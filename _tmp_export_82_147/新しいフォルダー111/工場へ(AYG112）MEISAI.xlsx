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DAD455D6-7E26-48E6-A3D4-D13EC2CA8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C22" i="3"/>
  <c r="B22" i="3"/>
  <c r="D23" i="3" s="1"/>
  <c r="U147" i="3"/>
  <c r="T147" i="3"/>
  <c r="U145" i="3"/>
  <c r="T145" i="3"/>
  <c r="U143" i="3"/>
  <c r="T143" i="3"/>
  <c r="U141" i="3"/>
  <c r="T141" i="3"/>
  <c r="U132" i="3"/>
  <c r="T132" i="3"/>
  <c r="U115" i="3"/>
  <c r="T115" i="3"/>
  <c r="U109" i="3"/>
  <c r="T109" i="3"/>
  <c r="U99" i="3"/>
  <c r="T99" i="3"/>
  <c r="U86" i="3"/>
  <c r="T86" i="3"/>
  <c r="U81" i="3"/>
  <c r="T81" i="3"/>
  <c r="U45" i="3"/>
  <c r="T45" i="3"/>
  <c r="U35" i="3"/>
  <c r="T35" i="3"/>
  <c r="U29" i="3"/>
  <c r="T29" i="3"/>
  <c r="U22" i="3"/>
  <c r="T22" i="3"/>
  <c r="U19" i="3"/>
  <c r="T19" i="3"/>
  <c r="U12" i="3"/>
  <c r="T12" i="3"/>
  <c r="U7" i="3"/>
  <c r="U148" i="3" s="1"/>
  <c r="T7" i="3"/>
  <c r="U5" i="3"/>
  <c r="T5" i="3"/>
  <c r="U3" i="3"/>
  <c r="T3" i="3"/>
  <c r="T148" i="3" s="1"/>
  <c r="A241" i="1"/>
  <c r="AF568" i="3"/>
  <c r="AD56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D850" i="3"/>
  <c r="BC850" i="3"/>
  <c r="BD845" i="3"/>
  <c r="BC845" i="3"/>
  <c r="BD843" i="3"/>
  <c r="BC843" i="3"/>
  <c r="BD829" i="3"/>
  <c r="BC829" i="3"/>
  <c r="BD811" i="3"/>
  <c r="BC811" i="3"/>
  <c r="BD800" i="3"/>
  <c r="BC800" i="3"/>
  <c r="BD766" i="3"/>
  <c r="BC766" i="3"/>
  <c r="BD753" i="3"/>
  <c r="BC753" i="3"/>
  <c r="BD715" i="3"/>
  <c r="BC715" i="3"/>
  <c r="BD706" i="3"/>
  <c r="BC706" i="3"/>
  <c r="BD692" i="3"/>
  <c r="BC692" i="3"/>
  <c r="BD659" i="3"/>
  <c r="BC659" i="3"/>
  <c r="BD606" i="3"/>
  <c r="BC606" i="3"/>
  <c r="BD594" i="3"/>
  <c r="BC594" i="3"/>
  <c r="BD571" i="3"/>
  <c r="BC571" i="3"/>
  <c r="BD556" i="3"/>
  <c r="BC556" i="3"/>
  <c r="BD532" i="3"/>
  <c r="BC532" i="3"/>
  <c r="BD514" i="3"/>
  <c r="BC514" i="3"/>
  <c r="BD494" i="3"/>
  <c r="BC494" i="3"/>
  <c r="BD480" i="3"/>
  <c r="BC480" i="3"/>
  <c r="BD471" i="3"/>
  <c r="BC471" i="3"/>
  <c r="BD397" i="3"/>
  <c r="BC397" i="3"/>
  <c r="B61" i="1"/>
  <c r="A151" i="1"/>
  <c r="AB43" i="1"/>
  <c r="BC851" i="3" l="1"/>
  <c r="BD85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<sst xmlns="http://schemas.openxmlformats.org/spreadsheetml/2006/main" count="2525" uniqueCount="357">
  <si>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</si>
  <si>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</si>
  <si>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</si>
  <si>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</si>
  <si>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</si>
  <si>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</si>
  <si>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</si>
  <si>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</si>
  <si>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</si>
  <si>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</si>
  <si>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</si>
  <si>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</si>
  <si>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</si>
  <si>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</si>
  <si>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</si>
  <si>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</si>
  <si>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</si>
  <si>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</si>
  <si>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</si>
  <si>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</si>
  <si>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</si>
  <si>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</si>
  <si>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</si>
  <si>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</si>
  <si>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</si>
  <si>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</si>
  <si>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</si>
  <si>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</si>
  <si>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</si>
  <si>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</si>
  <si>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</si>
  <si>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</si>
  <si>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</si>
  <si>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</si>
  <si>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</si>
  <si>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</si>
  <si>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</si>
  <si>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</si>
  <si>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</si>
  <si>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</si>
  <si>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</si>
  <si>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</si>
  <si>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</si>
  <si>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</si>
  <si>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</si>
  <si>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</si>
  <si>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</si>
  <si>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</si>
  <si>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</si>
  <si>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</si>
  <si>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</si>
  <si>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</si>
  <si>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</si>
  <si>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</si>
  <si>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</si>
  <si>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</si>
  <si>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</si>
  <si>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</si>
  <si>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</si>
  <si>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</si>
  <si>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</si>
  <si>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</si>
  <si>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</si>
  <si>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</si>
  <si>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</si>
  <si>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</si>
  <si>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</si>
  <si>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</si>
  <si>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</si>
  <si>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</si>
  <si>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</si>
  <si>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</si>
  <si>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</si>
  <si>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</si>
  <si>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</si>
  <si>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</si>
  <si>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</si>
  <si>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</si>
  <si>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</si>
  <si>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</si>
  <si>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</si>
  <si>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</si>
  <si>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</si>
  <si>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</si>
  <si>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</si>
  <si>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</si>
  <si>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</si>
  <si>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</si>
  <si>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</si>
  <si>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</si>
  <si>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</si>
  <si>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</si>
  <si>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</si>
  <si>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</si>
  <si>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</si>
  <si>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</si>
  <si>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</si>
  <si>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</si>
  <si>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</si>
  <si>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</si>
  <si>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</si>
  <si>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</si>
  <si>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</si>
  <si>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</si>
  <si>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</si>
  <si>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</si>
  <si>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</si>
  <si>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</si>
  <si>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</si>
  <si>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</si>
  <si>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</si>
  <si>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</si>
  <si>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</si>
  <si>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</si>
  <si>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</si>
  <si>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</si>
  <si>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</si>
  <si>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</si>
  <si>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</si>
  <si>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</si>
  <si>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</si>
  <si>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</si>
  <si>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</si>
  <si>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</si>
  <si>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</si>
  <si>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</si>
  <si>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</si>
  <si>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</si>
  <si>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</si>
  <si>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</si>
  <si>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</si>
  <si>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</si>
  <si>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</si>
  <si>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</si>
  <si>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</si>
  <si>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</si>
  <si>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</si>
  <si>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</si>
  <si>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</si>
  <si>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</si>
  <si>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</si>
  <si>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</si>
  <si>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</si>
  <si>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</si>
  <si>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</si>
  <si>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</si>
  <si>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</si>
  <si>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</si>
  <si>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</si>
  <si>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</si>
  <si>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</si>
  <si>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</si>
  <si>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</si>
  <si>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</si>
  <si>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</si>
  <si>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</si>
  <si>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</si>
  <si>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</si>
  <si>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</si>
  <si>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</si>
  <si>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</si>
  <si>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</si>
  <si>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</si>
  <si>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</si>
  <si>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</si>
  <si>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</si>
  <si>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</si>
  <si>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</si>
  <si>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</si>
  <si>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</si>
  <si>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</si>
  <si>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</si>
  <si>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</si>
  <si>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</si>
  <si>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</si>
  <si>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</si>
  <si>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</si>
  <si>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</si>
  <si>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</si>
  <si>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</si>
  <si>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</si>
  <si>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C</t>
    <phoneticPr fontId="1"/>
  </si>
  <si>
    <t>A732</t>
    <phoneticPr fontId="1"/>
  </si>
  <si>
    <t>M074</t>
    <phoneticPr fontId="1"/>
  </si>
  <si>
    <t>2025/7/8 個数</t>
  </si>
  <si>
    <t>2025/7/27 個数</t>
  </si>
  <si>
    <t>A120</t>
    <phoneticPr fontId="1"/>
  </si>
  <si>
    <t>A123</t>
    <phoneticPr fontId="1"/>
  </si>
  <si>
    <t>A623</t>
    <phoneticPr fontId="1"/>
  </si>
  <si>
    <t>2025/7/7 個数</t>
  </si>
  <si>
    <t>2025/7/13 個数</t>
  </si>
  <si>
    <t>2025/7/16 個数</t>
  </si>
  <si>
    <t>2025/7/28 個数</t>
  </si>
  <si>
    <t>A700</t>
    <phoneticPr fontId="1"/>
  </si>
  <si>
    <t>E</t>
    <phoneticPr fontId="1"/>
  </si>
  <si>
    <t>A255</t>
    <phoneticPr fontId="1"/>
  </si>
  <si>
    <t>A650</t>
    <phoneticPr fontId="1"/>
  </si>
  <si>
    <t>M070</t>
    <phoneticPr fontId="1"/>
  </si>
  <si>
    <t>P</t>
    <phoneticPr fontId="1"/>
  </si>
  <si>
    <t>A552</t>
    <phoneticPr fontId="1"/>
  </si>
  <si>
    <t>A550</t>
    <phoneticPr fontId="1"/>
  </si>
  <si>
    <t>A529</t>
    <phoneticPr fontId="1"/>
  </si>
  <si>
    <t>M037</t>
    <phoneticPr fontId="1"/>
  </si>
  <si>
    <t>A545</t>
    <phoneticPr fontId="1"/>
  </si>
  <si>
    <t>A318</t>
    <phoneticPr fontId="1"/>
  </si>
  <si>
    <t>A997</t>
    <phoneticPr fontId="1"/>
  </si>
  <si>
    <t>M025</t>
    <phoneticPr fontId="1"/>
  </si>
  <si>
    <t>A335</t>
    <phoneticPr fontId="1"/>
  </si>
  <si>
    <t>2025/7/15 個数</t>
  </si>
  <si>
    <t>2025/7/18 個数</t>
  </si>
  <si>
    <t>2025/7/20 個数</t>
  </si>
  <si>
    <t>2025/7/21 個数</t>
  </si>
  <si>
    <t>2025/7/23 個数</t>
  </si>
  <si>
    <t>2025/7/25 個数</t>
  </si>
  <si>
    <t>2025/7/26 個数</t>
  </si>
  <si>
    <t>2025/7/29 個数</t>
  </si>
  <si>
    <t>AYG112</t>
    <phoneticPr fontId="1"/>
  </si>
  <si>
    <t>07050140</t>
    <phoneticPr fontId="1"/>
  </si>
  <si>
    <t>A128</t>
    <phoneticPr fontId="1"/>
  </si>
  <si>
    <t>0706033</t>
    <phoneticPr fontId="1"/>
  </si>
  <si>
    <t>07060333</t>
    <phoneticPr fontId="1"/>
  </si>
  <si>
    <t>07060334</t>
    <phoneticPr fontId="1"/>
  </si>
  <si>
    <t>07060335</t>
    <phoneticPr fontId="1"/>
  </si>
  <si>
    <t>07060336</t>
    <phoneticPr fontId="1"/>
  </si>
  <si>
    <t>07060347</t>
    <phoneticPr fontId="1"/>
  </si>
  <si>
    <t>A635</t>
    <phoneticPr fontId="1"/>
  </si>
  <si>
    <t>07060348</t>
    <phoneticPr fontId="1"/>
  </si>
  <si>
    <t>07060349</t>
    <phoneticPr fontId="1"/>
  </si>
  <si>
    <t>07060365</t>
    <phoneticPr fontId="1"/>
  </si>
  <si>
    <t>07060274</t>
    <phoneticPr fontId="1"/>
  </si>
  <si>
    <t>07060287</t>
    <phoneticPr fontId="1"/>
  </si>
  <si>
    <t>07060288</t>
    <phoneticPr fontId="1"/>
  </si>
  <si>
    <t>07060289</t>
    <phoneticPr fontId="1"/>
  </si>
  <si>
    <t>07060290</t>
    <phoneticPr fontId="1"/>
  </si>
  <si>
    <t>07060292</t>
    <phoneticPr fontId="1"/>
  </si>
  <si>
    <t>07060293</t>
    <phoneticPr fontId="1"/>
  </si>
  <si>
    <t>07060294</t>
    <phoneticPr fontId="1"/>
  </si>
  <si>
    <t>07060363</t>
    <phoneticPr fontId="1"/>
  </si>
  <si>
    <t>07060378</t>
    <phoneticPr fontId="1"/>
  </si>
  <si>
    <t>07060379</t>
    <phoneticPr fontId="1"/>
  </si>
  <si>
    <t>07060381</t>
    <phoneticPr fontId="1"/>
  </si>
  <si>
    <t>07060384</t>
    <phoneticPr fontId="1"/>
  </si>
  <si>
    <t>07060390</t>
    <phoneticPr fontId="1"/>
  </si>
  <si>
    <t>07060426</t>
    <phoneticPr fontId="1"/>
  </si>
  <si>
    <t>07060057</t>
    <phoneticPr fontId="1"/>
  </si>
  <si>
    <t>07060058</t>
  </si>
  <si>
    <t>07060059</t>
  </si>
  <si>
    <t>07060260</t>
    <phoneticPr fontId="1"/>
  </si>
  <si>
    <t>07060261</t>
  </si>
  <si>
    <t>07060262</t>
  </si>
  <si>
    <t>07060263</t>
  </si>
  <si>
    <t>07060267</t>
    <phoneticPr fontId="1"/>
  </si>
  <si>
    <t>07060382</t>
    <phoneticPr fontId="1"/>
  </si>
  <si>
    <t>07060383</t>
  </si>
  <si>
    <t>07060392</t>
    <phoneticPr fontId="1"/>
  </si>
  <si>
    <t>07060398</t>
    <phoneticPr fontId="1"/>
  </si>
  <si>
    <t>07060439</t>
    <phoneticPr fontId="1"/>
  </si>
  <si>
    <t>A328</t>
    <phoneticPr fontId="1"/>
  </si>
  <si>
    <t>A913</t>
    <phoneticPr fontId="1"/>
  </si>
  <si>
    <t>07060258</t>
  </si>
  <si>
    <t>07060259</t>
  </si>
  <si>
    <t>07060264</t>
    <phoneticPr fontId="1"/>
  </si>
  <si>
    <t>07060257</t>
    <phoneticPr fontId="1"/>
  </si>
  <si>
    <t>07060265</t>
  </si>
  <si>
    <t>07060266</t>
  </si>
  <si>
    <t>07060418</t>
    <phoneticPr fontId="1"/>
  </si>
  <si>
    <t>07060419</t>
    <phoneticPr fontId="1"/>
  </si>
  <si>
    <t>07060446</t>
    <phoneticPr fontId="1"/>
  </si>
  <si>
    <t>07060447</t>
    <phoneticPr fontId="1"/>
  </si>
  <si>
    <t>07060448</t>
    <phoneticPr fontId="1"/>
  </si>
  <si>
    <t>07060397</t>
    <phoneticPr fontId="1"/>
  </si>
  <si>
    <t>07060440</t>
    <phoneticPr fontId="1"/>
  </si>
  <si>
    <t>07060441</t>
    <phoneticPr fontId="1"/>
  </si>
  <si>
    <t>07060442</t>
    <phoneticPr fontId="1"/>
  </si>
  <si>
    <t>07060445</t>
    <phoneticPr fontId="1"/>
  </si>
  <si>
    <t>07060451</t>
    <phoneticPr fontId="1"/>
  </si>
  <si>
    <t>07060452</t>
    <phoneticPr fontId="1"/>
  </si>
  <si>
    <t>07060453</t>
    <phoneticPr fontId="1"/>
  </si>
  <si>
    <t>07060454</t>
    <phoneticPr fontId="1"/>
  </si>
  <si>
    <t>A199</t>
    <phoneticPr fontId="1"/>
  </si>
  <si>
    <t>07060455</t>
    <phoneticPr fontId="1"/>
  </si>
  <si>
    <t>07060456</t>
    <phoneticPr fontId="1"/>
  </si>
  <si>
    <t>07060462</t>
    <phoneticPr fontId="1"/>
  </si>
  <si>
    <t>07050262</t>
    <phoneticPr fontId="1"/>
  </si>
  <si>
    <t>A670</t>
    <phoneticPr fontId="1"/>
  </si>
  <si>
    <t>07060483</t>
    <phoneticPr fontId="1"/>
  </si>
  <si>
    <t>07060484</t>
    <phoneticPr fontId="1"/>
  </si>
  <si>
    <t>07060486</t>
    <phoneticPr fontId="1"/>
  </si>
  <si>
    <t>07060487</t>
    <phoneticPr fontId="1"/>
  </si>
  <si>
    <t>07060488</t>
    <phoneticPr fontId="1"/>
  </si>
  <si>
    <t>07060489</t>
    <phoneticPr fontId="1"/>
  </si>
  <si>
    <t>07060490</t>
    <phoneticPr fontId="1"/>
  </si>
  <si>
    <t>07060491</t>
    <phoneticPr fontId="1"/>
  </si>
  <si>
    <t>07060492</t>
    <phoneticPr fontId="1"/>
  </si>
  <si>
    <t>07060493</t>
    <phoneticPr fontId="1"/>
  </si>
  <si>
    <t>07060494</t>
    <phoneticPr fontId="1"/>
  </si>
  <si>
    <t>07060495</t>
    <phoneticPr fontId="1"/>
  </si>
  <si>
    <t>07060496</t>
    <phoneticPr fontId="1"/>
  </si>
  <si>
    <t>07060354</t>
    <phoneticPr fontId="1"/>
  </si>
  <si>
    <t>07060355</t>
  </si>
  <si>
    <t>07060357</t>
    <phoneticPr fontId="1"/>
  </si>
  <si>
    <t>07060358</t>
  </si>
  <si>
    <t>07060359</t>
  </si>
  <si>
    <t>07060360</t>
  </si>
  <si>
    <t>07060361</t>
  </si>
  <si>
    <t>07060362</t>
  </si>
  <si>
    <t>07060464</t>
    <phoneticPr fontId="1"/>
  </si>
  <si>
    <t>07060465</t>
  </si>
  <si>
    <t>07060466</t>
  </si>
  <si>
    <t>07060467</t>
  </si>
  <si>
    <t>A307</t>
    <phoneticPr fontId="1"/>
  </si>
  <si>
    <t>07060477</t>
    <phoneticPr fontId="1"/>
  </si>
  <si>
    <t>07060485</t>
    <phoneticPr fontId="1"/>
  </si>
  <si>
    <t>07060497</t>
    <phoneticPr fontId="1"/>
  </si>
  <si>
    <t>07060282</t>
    <phoneticPr fontId="1"/>
  </si>
  <si>
    <t>07060283</t>
  </si>
  <si>
    <t>07060350</t>
    <phoneticPr fontId="1"/>
  </si>
  <si>
    <t>07060351</t>
    <phoneticPr fontId="1"/>
  </si>
  <si>
    <t>07060352</t>
  </si>
  <si>
    <t>07060353</t>
  </si>
  <si>
    <t>07060356</t>
    <phoneticPr fontId="1"/>
  </si>
  <si>
    <t>07060389</t>
    <phoneticPr fontId="1"/>
  </si>
  <si>
    <t>07060393</t>
    <phoneticPr fontId="1"/>
  </si>
  <si>
    <t>07060394</t>
    <phoneticPr fontId="1"/>
  </si>
  <si>
    <t>07060396</t>
    <phoneticPr fontId="1"/>
  </si>
  <si>
    <t>07060401</t>
    <phoneticPr fontId="1"/>
  </si>
  <si>
    <t>07060406</t>
    <phoneticPr fontId="1"/>
  </si>
  <si>
    <t>07060407</t>
    <phoneticPr fontId="1"/>
  </si>
  <si>
    <t>07060408</t>
    <phoneticPr fontId="1"/>
  </si>
  <si>
    <t>07060469</t>
    <phoneticPr fontId="1"/>
  </si>
  <si>
    <t>A850</t>
    <phoneticPr fontId="1"/>
  </si>
  <si>
    <t>07060470</t>
    <phoneticPr fontId="1"/>
  </si>
  <si>
    <t>07060471</t>
    <phoneticPr fontId="1"/>
  </si>
  <si>
    <t>07060478</t>
    <phoneticPr fontId="1"/>
  </si>
  <si>
    <t>07060479</t>
    <phoneticPr fontId="1"/>
  </si>
  <si>
    <t>07060501</t>
    <phoneticPr fontId="1"/>
  </si>
  <si>
    <t>07060505</t>
    <phoneticPr fontId="1"/>
  </si>
  <si>
    <t>07060509</t>
    <phoneticPr fontId="1"/>
  </si>
  <si>
    <t>07060515</t>
    <phoneticPr fontId="1"/>
  </si>
  <si>
    <t>07060516</t>
    <phoneticPr fontId="1"/>
  </si>
  <si>
    <t>07060520</t>
    <phoneticPr fontId="1"/>
  </si>
  <si>
    <t>A655</t>
    <phoneticPr fontId="1"/>
  </si>
  <si>
    <t>07060521</t>
    <phoneticPr fontId="1"/>
  </si>
  <si>
    <t>07060522</t>
    <phoneticPr fontId="1"/>
  </si>
  <si>
    <t>07060386</t>
    <phoneticPr fontId="1"/>
  </si>
  <si>
    <t>07060387</t>
    <phoneticPr fontId="1"/>
  </si>
  <si>
    <t>07060395</t>
    <phoneticPr fontId="1"/>
  </si>
  <si>
    <t>07060435</t>
    <phoneticPr fontId="1"/>
  </si>
  <si>
    <t>07060436</t>
    <phoneticPr fontId="1"/>
  </si>
  <si>
    <t>07060517</t>
    <phoneticPr fontId="1"/>
  </si>
  <si>
    <t>07060518</t>
    <phoneticPr fontId="1"/>
  </si>
  <si>
    <t>07060519</t>
    <phoneticPr fontId="1"/>
  </si>
  <si>
    <t>2025/7/22 個数</t>
  </si>
  <si>
    <t>2025/7/30 個数</t>
  </si>
  <si>
    <t>2025/8/2 個数</t>
  </si>
  <si>
    <t>2025/8/3 個数</t>
  </si>
  <si>
    <t>2025/8/8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</si>
</sst>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C13" sqref="C13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216</v>
      </c>
      <c r="B1" s="24">
        <v>45832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26.4</v>
      </c>
      <c r="C3" s="85" t="s">
        <v>217</v>
      </c>
      <c r="D3" s="109" t="s">
        <v>179</v>
      </c>
      <c r="E3" s="15" t="s">
        <v>36</v>
      </c>
      <c r="F3" s="14"/>
      <c r="G3" s="12" t="s">
        <v>180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45845</v>
      </c>
      <c r="U3" s="13" t="s">
        <v>146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219</v>
      </c>
      <c r="D4" s="109" t="s">
        <v>218</v>
      </c>
      <c r="E4" s="15" t="s">
        <v>75</v>
      </c>
      <c r="F4" s="16"/>
      <c r="G4" s="12" t="s">
        <v>180</v>
      </c>
      <c r="H4" s="15"/>
      <c r="I4" s="13"/>
      <c r="J4" s="15"/>
      <c r="K4" s="15"/>
      <c r="L4" s="17"/>
      <c r="M4" s="17"/>
      <c r="N4" s="13"/>
      <c r="O4" s="17"/>
      <c r="P4" s="17"/>
      <c r="Q4" s="17"/>
      <c r="R4" s="17"/>
      <c r="S4" s="15"/>
      <c r="T4" s="25">
        <v>45861</v>
      </c>
      <c r="U4" s="13" t="s">
        <v>147</v>
      </c>
      <c r="V4">
        <v>2</v>
      </c>
      <c r="X4" s="51" t="s">
        <v>107</v>
      </c>
      <c r="Y4" s="52">
        <f>COUNTIF(U3:U27,"R")</f>
        <v>5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220</v>
      </c>
      <c r="D5" s="109" t="s">
        <v>218</v>
      </c>
      <c r="E5" s="15" t="s">
        <v>38</v>
      </c>
      <c r="F5" s="16"/>
      <c r="G5" s="12" t="s">
        <v>180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45861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221</v>
      </c>
      <c r="D6" s="109" t="s">
        <v>218</v>
      </c>
      <c r="E6" s="15" t="s">
        <v>37</v>
      </c>
      <c r="F6" s="16"/>
      <c r="G6" s="12" t="s">
        <v>180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>
        <v>1</v>
      </c>
      <c r="R6" s="17"/>
      <c r="S6" s="15"/>
      <c r="T6" s="25">
        <v>45861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222</v>
      </c>
      <c r="D7" s="109" t="s">
        <v>186</v>
      </c>
      <c r="E7" s="15" t="s">
        <v>36</v>
      </c>
      <c r="F7" s="16"/>
      <c r="G7" s="12" t="s">
        <v>180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45861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223</v>
      </c>
      <c r="D8" s="109" t="s">
        <v>218</v>
      </c>
      <c r="E8" s="15" t="s">
        <v>36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45861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224</v>
      </c>
      <c r="D9" s="109" t="s">
        <v>225</v>
      </c>
      <c r="E9" s="15" t="s">
        <v>74</v>
      </c>
      <c r="F9" s="16"/>
      <c r="G9" s="12" t="s">
        <v>180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45854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226</v>
      </c>
      <c r="D10" s="109" t="s">
        <v>193</v>
      </c>
      <c r="E10" s="15" t="s">
        <v>39</v>
      </c>
      <c r="F10" s="16"/>
      <c r="G10" s="12" t="s">
        <v>180</v>
      </c>
      <c r="H10" s="15"/>
      <c r="I10" s="13"/>
      <c r="J10" s="15">
        <v>1</v>
      </c>
      <c r="K10" s="15"/>
      <c r="L10" s="17">
        <v>1</v>
      </c>
      <c r="M10" s="17"/>
      <c r="N10" s="13"/>
      <c r="O10" s="17"/>
      <c r="P10" s="17"/>
      <c r="Q10" s="17"/>
      <c r="R10" s="17"/>
      <c r="S10" s="15"/>
      <c r="T10" s="25">
        <v>45864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227</v>
      </c>
      <c r="D11" s="109" t="s">
        <v>193</v>
      </c>
      <c r="E11" s="15" t="s">
        <v>39</v>
      </c>
      <c r="F11" s="16"/>
      <c r="G11" s="12" t="s">
        <v>180</v>
      </c>
      <c r="H11" s="15"/>
      <c r="I11" s="13"/>
      <c r="J11" s="15">
        <v>1</v>
      </c>
      <c r="K11" s="15"/>
      <c r="L11" s="17">
        <v>1</v>
      </c>
      <c r="M11" s="17"/>
      <c r="N11" s="13"/>
      <c r="O11" s="17"/>
      <c r="P11" s="17"/>
      <c r="Q11" s="17"/>
      <c r="R11" s="17"/>
      <c r="S11" s="15"/>
      <c r="T11" s="25">
        <v>45864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228</v>
      </c>
      <c r="D12" s="109" t="s">
        <v>193</v>
      </c>
      <c r="E12" s="15" t="s">
        <v>39</v>
      </c>
      <c r="F12" s="16"/>
      <c r="G12" s="12" t="s">
        <v>180</v>
      </c>
      <c r="H12" s="15"/>
      <c r="I12" s="15"/>
      <c r="J12" s="15">
        <v>1</v>
      </c>
      <c r="K12" s="15"/>
      <c r="L12" s="17">
        <v>1</v>
      </c>
      <c r="M12" s="17"/>
      <c r="N12" s="17"/>
      <c r="O12" s="17"/>
      <c r="P12" s="17"/>
      <c r="Q12" s="17"/>
      <c r="R12" s="17"/>
      <c r="S12" s="15"/>
      <c r="T12" s="25">
        <v>45864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/>
      <c r="D13" s="109"/>
      <c r="E13" s="15"/>
      <c r="F13" s="16"/>
      <c r="G13" s="12"/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/>
      <c r="D14" s="109"/>
      <c r="E14" s="15"/>
      <c r="F14" s="16"/>
      <c r="G14" s="12"/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/>
      <c r="D15" s="109"/>
      <c r="E15" s="15"/>
      <c r="F15" s="16"/>
      <c r="G15" s="12"/>
      <c r="H15" s="15"/>
      <c r="I15" s="15"/>
      <c r="J15" s="15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226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10</v>
      </c>
      <c r="D28" s="112"/>
      <c r="E28" s="29"/>
      <c r="F28" s="29" t="s">
        <v>34</v>
      </c>
      <c r="G28" s="29">
        <f>COUNTIF(G3:G27,"S")</f>
        <v>10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4</v>
      </c>
      <c r="K28" s="29">
        <f t="shared" si="0"/>
        <v>1</v>
      </c>
      <c r="L28" s="29">
        <f t="shared" si="0"/>
        <v>3</v>
      </c>
      <c r="M28" s="29">
        <f t="shared" si="0"/>
        <v>4</v>
      </c>
      <c r="N28" s="29">
        <f t="shared" si="0"/>
        <v>4</v>
      </c>
      <c r="O28" s="29">
        <f t="shared" si="0"/>
        <v>0</v>
      </c>
      <c r="P28" s="29">
        <f t="shared" si="0"/>
        <v>0</v>
      </c>
      <c r="Q28" s="29">
        <f t="shared" si="0"/>
        <v>3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19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AYG112</v>
      </c>
      <c r="B31" s="24">
        <f>B1</f>
        <v>45832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21.6</v>
      </c>
      <c r="C33" s="85" t="s">
        <v>229</v>
      </c>
      <c r="D33" s="109" t="s">
        <v>197</v>
      </c>
      <c r="E33" s="15" t="s">
        <v>75</v>
      </c>
      <c r="F33" s="14"/>
      <c r="G33" s="12" t="s">
        <v>180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45854</v>
      </c>
      <c r="U33" s="13" t="s">
        <v>147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61</v>
      </c>
    </row>
    <row r="34" spans="1:29" x14ac:dyDescent="0.4">
      <c r="A34" s="146"/>
      <c r="B34" s="136"/>
      <c r="C34" s="85" t="s">
        <v>230</v>
      </c>
      <c r="D34" s="109" t="s">
        <v>203</v>
      </c>
      <c r="E34" s="15" t="s">
        <v>39</v>
      </c>
      <c r="F34" s="16"/>
      <c r="G34" s="12" t="s">
        <v>180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45867</v>
      </c>
      <c r="U34" s="13" t="s">
        <v>142</v>
      </c>
      <c r="V34">
        <v>2</v>
      </c>
      <c r="X34" s="51" t="s">
        <v>107</v>
      </c>
      <c r="Y34" s="52">
        <f>COUNTIF(U33:U57,"R")</f>
        <v>5</v>
      </c>
      <c r="AA34" s="31" t="s">
        <v>48</v>
      </c>
      <c r="AB34" s="32">
        <f>K28+K178+K148+K118+K208+K238+K268+K298+K328+K358</f>
        <v>16</v>
      </c>
    </row>
    <row r="35" spans="1:29" ht="19.5" thickBot="1" x14ac:dyDescent="0.45">
      <c r="A35" s="146"/>
      <c r="B35" s="136"/>
      <c r="C35" s="85" t="s">
        <v>231</v>
      </c>
      <c r="D35" s="109" t="s">
        <v>203</v>
      </c>
      <c r="E35" s="15" t="s">
        <v>39</v>
      </c>
      <c r="F35" s="16"/>
      <c r="G35" s="12" t="s">
        <v>180</v>
      </c>
      <c r="H35" s="13"/>
      <c r="I35" s="13"/>
      <c r="J35" s="15">
        <v>1</v>
      </c>
      <c r="K35" s="15">
        <v>1</v>
      </c>
      <c r="L35" s="17"/>
      <c r="M35" s="17"/>
      <c r="N35" s="13"/>
      <c r="O35" s="17"/>
      <c r="P35" s="17"/>
      <c r="Q35" s="17"/>
      <c r="R35" s="17"/>
      <c r="S35" s="15"/>
      <c r="T35" s="25">
        <v>45867</v>
      </c>
      <c r="U35" s="13" t="s">
        <v>146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28</v>
      </c>
    </row>
    <row r="36" spans="1:29" x14ac:dyDescent="0.4">
      <c r="A36" s="146"/>
      <c r="B36" s="136"/>
      <c r="C36" s="85" t="s">
        <v>232</v>
      </c>
      <c r="D36" s="109" t="s">
        <v>203</v>
      </c>
      <c r="E36" s="15" t="s">
        <v>39</v>
      </c>
      <c r="F36" s="16"/>
      <c r="G36" s="12" t="s">
        <v>180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45867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46"/>
      <c r="B37" s="136"/>
      <c r="C37" s="85" t="s">
        <v>233</v>
      </c>
      <c r="D37" s="109" t="s">
        <v>203</v>
      </c>
      <c r="E37" s="15" t="s">
        <v>37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45867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20</v>
      </c>
    </row>
    <row r="38" spans="1:29" x14ac:dyDescent="0.4">
      <c r="A38" s="146"/>
      <c r="B38" s="136"/>
      <c r="C38" s="85" t="s">
        <v>234</v>
      </c>
      <c r="D38" s="109" t="s">
        <v>203</v>
      </c>
      <c r="E38" s="15" t="s">
        <v>37</v>
      </c>
      <c r="F38" s="16"/>
      <c r="G38" s="12" t="s">
        <v>180</v>
      </c>
      <c r="H38" s="13"/>
      <c r="I38" s="13"/>
      <c r="J38" s="15"/>
      <c r="K38" s="15"/>
      <c r="L38" s="17"/>
      <c r="M38" s="17">
        <v>1</v>
      </c>
      <c r="N38" s="13"/>
      <c r="O38" s="17"/>
      <c r="P38" s="17"/>
      <c r="Q38" s="17">
        <v>1</v>
      </c>
      <c r="R38" s="17"/>
      <c r="S38" s="15"/>
      <c r="T38" s="25">
        <v>45861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4</v>
      </c>
    </row>
    <row r="39" spans="1:29" x14ac:dyDescent="0.4">
      <c r="A39" s="146"/>
      <c r="B39" s="136"/>
      <c r="C39" s="85" t="s">
        <v>235</v>
      </c>
      <c r="D39" s="109" t="s">
        <v>203</v>
      </c>
      <c r="E39" s="15" t="s">
        <v>37</v>
      </c>
      <c r="F39" s="16"/>
      <c r="G39" s="12" t="s">
        <v>180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45867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7</v>
      </c>
    </row>
    <row r="40" spans="1:29" x14ac:dyDescent="0.4">
      <c r="A40" s="146"/>
      <c r="B40" s="136"/>
      <c r="C40" s="85" t="s">
        <v>236</v>
      </c>
      <c r="D40" s="109" t="s">
        <v>203</v>
      </c>
      <c r="E40" s="15" t="s">
        <v>37</v>
      </c>
      <c r="F40" s="16"/>
      <c r="G40" s="12" t="s">
        <v>180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45867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16</v>
      </c>
    </row>
    <row r="41" spans="1:29" x14ac:dyDescent="0.4">
      <c r="A41" s="146"/>
      <c r="B41" s="136"/>
      <c r="C41" s="85" t="s">
        <v>237</v>
      </c>
      <c r="D41" s="109" t="s">
        <v>205</v>
      </c>
      <c r="E41" s="15" t="s">
        <v>37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45864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3</v>
      </c>
      <c r="AC41" t="s">
        <v>123</v>
      </c>
    </row>
    <row r="42" spans="1:29" ht="19.5" thickBot="1" x14ac:dyDescent="0.45">
      <c r="A42" s="146"/>
      <c r="B42" s="136"/>
      <c r="C42" s="85" t="s">
        <v>238</v>
      </c>
      <c r="D42" s="109" t="s">
        <v>179</v>
      </c>
      <c r="E42" s="15" t="s">
        <v>37</v>
      </c>
      <c r="F42" s="16"/>
      <c r="G42" s="12" t="s">
        <v>180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/>
      <c r="R42" s="17"/>
      <c r="S42" s="15"/>
      <c r="T42" s="25">
        <v>45851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4</v>
      </c>
      <c r="AC42" s="73">
        <f>SUM(AB33:AB42)</f>
        <v>179</v>
      </c>
    </row>
    <row r="43" spans="1:29" ht="19.5" thickBot="1" x14ac:dyDescent="0.45">
      <c r="A43" s="146"/>
      <c r="B43" s="136"/>
      <c r="C43" s="85" t="s">
        <v>239</v>
      </c>
      <c r="D43" s="109" t="s">
        <v>179</v>
      </c>
      <c r="E43" s="15" t="s">
        <v>36</v>
      </c>
      <c r="F43" s="16"/>
      <c r="G43" s="12" t="s">
        <v>180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>
        <v>1</v>
      </c>
      <c r="R43" s="17"/>
      <c r="S43" s="15"/>
      <c r="T43" s="25">
        <v>45853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 t="s">
        <v>240</v>
      </c>
      <c r="D44" s="109" t="s">
        <v>188</v>
      </c>
      <c r="E44" s="15" t="s">
        <v>38</v>
      </c>
      <c r="F44" s="16"/>
      <c r="G44" s="12" t="s">
        <v>180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45864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46"/>
      <c r="B45" s="136"/>
      <c r="C45" s="85" t="s">
        <v>241</v>
      </c>
      <c r="D45" s="109" t="s">
        <v>182</v>
      </c>
      <c r="E45" s="15" t="s">
        <v>36</v>
      </c>
      <c r="F45" s="16"/>
      <c r="G45" s="12" t="s">
        <v>180</v>
      </c>
      <c r="H45" s="15"/>
      <c r="I45" s="15"/>
      <c r="J45" s="15"/>
      <c r="K45" s="15"/>
      <c r="L45" s="17"/>
      <c r="M45" s="17">
        <v>1</v>
      </c>
      <c r="N45" s="17"/>
      <c r="O45" s="17"/>
      <c r="P45" s="17"/>
      <c r="Q45" s="17">
        <v>1</v>
      </c>
      <c r="R45" s="17"/>
      <c r="S45" s="15"/>
      <c r="T45" s="25">
        <v>45865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6"/>
      <c r="B46" s="136"/>
      <c r="C46" s="85" t="s">
        <v>242</v>
      </c>
      <c r="D46" s="109" t="s">
        <v>199</v>
      </c>
      <c r="E46" s="15" t="s">
        <v>74</v>
      </c>
      <c r="F46" s="16"/>
      <c r="G46" s="12" t="s">
        <v>180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45865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 t="s">
        <v>243</v>
      </c>
      <c r="D47" s="106" t="s">
        <v>196</v>
      </c>
      <c r="E47" s="15" t="s">
        <v>38</v>
      </c>
      <c r="F47" s="16"/>
      <c r="G47" s="15" t="s">
        <v>180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45861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123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10</v>
      </c>
      <c r="K58" s="29">
        <f t="shared" si="1"/>
        <v>9</v>
      </c>
      <c r="L58" s="29">
        <f t="shared" si="1"/>
        <v>0</v>
      </c>
      <c r="M58" s="29">
        <f t="shared" si="1"/>
        <v>4</v>
      </c>
      <c r="N58" s="29">
        <f t="shared" si="1"/>
        <v>2</v>
      </c>
      <c r="O58" s="29">
        <f t="shared" si="1"/>
        <v>0</v>
      </c>
      <c r="P58" s="29">
        <f t="shared" si="1"/>
        <v>0</v>
      </c>
      <c r="Q58" s="29">
        <f t="shared" si="1"/>
        <v>3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AYG112</v>
      </c>
      <c r="B61" s="24">
        <f>B1</f>
        <v>45832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22.4</v>
      </c>
      <c r="C63" s="85" t="s">
        <v>244</v>
      </c>
      <c r="D63" s="109" t="s">
        <v>193</v>
      </c>
      <c r="E63" s="15" t="s">
        <v>60</v>
      </c>
      <c r="F63" s="14"/>
      <c r="G63" s="12" t="s">
        <v>180</v>
      </c>
      <c r="H63" s="13"/>
      <c r="I63" s="13"/>
      <c r="J63" s="13">
        <v>1</v>
      </c>
      <c r="K63" s="13"/>
      <c r="L63" s="13">
        <v>1</v>
      </c>
      <c r="M63" s="13"/>
      <c r="N63" s="13"/>
      <c r="O63" s="13"/>
      <c r="P63" s="13"/>
      <c r="Q63" s="13"/>
      <c r="R63" s="13"/>
      <c r="S63" s="13"/>
      <c r="T63" s="25">
        <v>45859</v>
      </c>
      <c r="U63" s="13" t="s">
        <v>146</v>
      </c>
      <c r="V63">
        <v>1</v>
      </c>
      <c r="X63" s="51" t="s">
        <v>106</v>
      </c>
      <c r="Y63" s="52">
        <f>COUNTIF(U63:U87,"K")</f>
        <v>9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245</v>
      </c>
      <c r="D64" s="109" t="s">
        <v>193</v>
      </c>
      <c r="E64" s="15" t="s">
        <v>60</v>
      </c>
      <c r="F64" s="16"/>
      <c r="G64" s="12" t="s">
        <v>180</v>
      </c>
      <c r="H64" s="15"/>
      <c r="I64" s="15"/>
      <c r="J64" s="13">
        <v>1</v>
      </c>
      <c r="K64" s="15"/>
      <c r="L64" s="13">
        <v>1</v>
      </c>
      <c r="M64" s="17"/>
      <c r="N64" s="17"/>
      <c r="O64" s="17"/>
      <c r="P64" s="17"/>
      <c r="Q64" s="17"/>
      <c r="R64" s="17"/>
      <c r="S64" s="15"/>
      <c r="T64" s="25">
        <v>45859</v>
      </c>
      <c r="U64" s="13" t="s">
        <v>146</v>
      </c>
      <c r="V64">
        <v>2</v>
      </c>
      <c r="X64" s="51" t="s">
        <v>107</v>
      </c>
      <c r="Y64" s="52">
        <f>COUNTIF(U63:U87,"R")</f>
        <v>1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246</v>
      </c>
      <c r="D65" s="109" t="s">
        <v>193</v>
      </c>
      <c r="E65" s="15" t="s">
        <v>60</v>
      </c>
      <c r="F65" s="16"/>
      <c r="G65" s="12" t="s">
        <v>180</v>
      </c>
      <c r="H65" s="15"/>
      <c r="I65" s="15"/>
      <c r="J65" s="13">
        <v>1</v>
      </c>
      <c r="K65" s="15"/>
      <c r="L65" s="13">
        <v>1</v>
      </c>
      <c r="M65" s="17"/>
      <c r="N65" s="17"/>
      <c r="O65" s="17"/>
      <c r="P65" s="17"/>
      <c r="Q65" s="17"/>
      <c r="R65" s="17"/>
      <c r="S65" s="15"/>
      <c r="T65" s="25">
        <v>45859</v>
      </c>
      <c r="U65" s="13" t="s">
        <v>146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247</v>
      </c>
      <c r="D66" s="109" t="s">
        <v>193</v>
      </c>
      <c r="E66" s="15" t="s">
        <v>60</v>
      </c>
      <c r="F66" s="16"/>
      <c r="G66" s="12" t="s">
        <v>180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45861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248</v>
      </c>
      <c r="D67" s="109" t="s">
        <v>193</v>
      </c>
      <c r="E67" s="15" t="s">
        <v>60</v>
      </c>
      <c r="F67" s="16"/>
      <c r="G67" s="12" t="s">
        <v>180</v>
      </c>
      <c r="H67" s="15"/>
      <c r="I67" s="15"/>
      <c r="J67" s="13">
        <v>1</v>
      </c>
      <c r="K67" s="15"/>
      <c r="L67" s="13">
        <v>1</v>
      </c>
      <c r="M67" s="17"/>
      <c r="N67" s="17"/>
      <c r="O67" s="17"/>
      <c r="P67" s="17"/>
      <c r="Q67" s="17"/>
      <c r="R67" s="17"/>
      <c r="S67" s="15"/>
      <c r="T67" s="25">
        <v>45861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249</v>
      </c>
      <c r="D68" s="109" t="s">
        <v>193</v>
      </c>
      <c r="E68" s="15" t="s">
        <v>60</v>
      </c>
      <c r="F68" s="16"/>
      <c r="G68" s="12" t="s">
        <v>180</v>
      </c>
      <c r="H68" s="15"/>
      <c r="I68" s="15"/>
      <c r="J68" s="13">
        <v>1</v>
      </c>
      <c r="K68" s="15"/>
      <c r="L68" s="13">
        <v>1</v>
      </c>
      <c r="M68" s="17"/>
      <c r="N68" s="17"/>
      <c r="O68" s="17"/>
      <c r="P68" s="17"/>
      <c r="Q68" s="17"/>
      <c r="R68" s="17"/>
      <c r="S68" s="15"/>
      <c r="T68" s="25">
        <v>45861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250</v>
      </c>
      <c r="D69" s="109" t="s">
        <v>193</v>
      </c>
      <c r="E69" s="15" t="s">
        <v>60</v>
      </c>
      <c r="F69" s="16"/>
      <c r="G69" s="12" t="s">
        <v>180</v>
      </c>
      <c r="H69" s="15"/>
      <c r="I69" s="15"/>
      <c r="J69" s="13">
        <v>1</v>
      </c>
      <c r="K69" s="15"/>
      <c r="L69" s="13">
        <v>1</v>
      </c>
      <c r="M69" s="17"/>
      <c r="N69" s="17"/>
      <c r="O69" s="17"/>
      <c r="P69" s="17"/>
      <c r="Q69" s="17"/>
      <c r="R69" s="17"/>
      <c r="S69" s="15"/>
      <c r="T69" s="25">
        <v>45861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251</v>
      </c>
      <c r="D70" s="109" t="s">
        <v>193</v>
      </c>
      <c r="E70" s="15" t="s">
        <v>60</v>
      </c>
      <c r="F70" s="16"/>
      <c r="G70" s="12" t="s">
        <v>180</v>
      </c>
      <c r="H70" s="15"/>
      <c r="I70" s="15"/>
      <c r="J70" s="13">
        <v>1</v>
      </c>
      <c r="K70" s="15"/>
      <c r="L70" s="13">
        <v>1</v>
      </c>
      <c r="M70" s="17"/>
      <c r="N70" s="17"/>
      <c r="O70" s="17"/>
      <c r="P70" s="17"/>
      <c r="Q70" s="17"/>
      <c r="R70" s="17"/>
      <c r="S70" s="15"/>
      <c r="T70" s="25">
        <v>45861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252</v>
      </c>
      <c r="D71" s="109" t="s">
        <v>188</v>
      </c>
      <c r="E71" s="15" t="s">
        <v>38</v>
      </c>
      <c r="F71" s="16"/>
      <c r="G71" s="12" t="s">
        <v>180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45864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253</v>
      </c>
      <c r="D72" s="109" t="s">
        <v>188</v>
      </c>
      <c r="E72" s="15" t="s">
        <v>40</v>
      </c>
      <c r="F72" s="16"/>
      <c r="G72" s="12" t="s">
        <v>180</v>
      </c>
      <c r="H72" s="15"/>
      <c r="I72" s="15"/>
      <c r="J72" s="13"/>
      <c r="K72" s="15"/>
      <c r="L72" s="13"/>
      <c r="M72" s="17"/>
      <c r="N72" s="17"/>
      <c r="O72" s="17">
        <v>1</v>
      </c>
      <c r="P72" s="17">
        <v>1</v>
      </c>
      <c r="Q72" s="17">
        <v>1</v>
      </c>
      <c r="R72" s="17">
        <v>1</v>
      </c>
      <c r="S72" s="15"/>
      <c r="T72" s="25">
        <v>45864</v>
      </c>
      <c r="U72" s="13" t="s">
        <v>148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254</v>
      </c>
      <c r="D73" s="109" t="s">
        <v>257</v>
      </c>
      <c r="E73" s="15" t="s">
        <v>40</v>
      </c>
      <c r="F73" s="16"/>
      <c r="G73" s="15" t="s">
        <v>180</v>
      </c>
      <c r="H73" s="15"/>
      <c r="I73" s="15"/>
      <c r="J73" s="15"/>
      <c r="K73" s="15"/>
      <c r="L73" s="17"/>
      <c r="M73" s="17"/>
      <c r="N73" s="17"/>
      <c r="O73" s="17">
        <v>1</v>
      </c>
      <c r="P73" s="17">
        <v>1</v>
      </c>
      <c r="Q73" s="17"/>
      <c r="R73" s="17">
        <v>1</v>
      </c>
      <c r="S73" s="15"/>
      <c r="T73" s="25">
        <v>45865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255</v>
      </c>
      <c r="D74" s="109" t="s">
        <v>258</v>
      </c>
      <c r="E74" s="15" t="s">
        <v>133</v>
      </c>
      <c r="F74" s="16"/>
      <c r="G74" s="15" t="s">
        <v>180</v>
      </c>
      <c r="H74" s="15"/>
      <c r="I74" s="15"/>
      <c r="J74" s="15"/>
      <c r="K74" s="15"/>
      <c r="L74" s="17"/>
      <c r="M74" s="17"/>
      <c r="N74" s="17"/>
      <c r="O74" s="17"/>
      <c r="P74" s="17">
        <v>1</v>
      </c>
      <c r="Q74" s="17">
        <v>1</v>
      </c>
      <c r="R74" s="17">
        <v>1</v>
      </c>
      <c r="S74" s="15"/>
      <c r="T74" s="25">
        <v>45865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256</v>
      </c>
      <c r="D75" s="109" t="s">
        <v>183</v>
      </c>
      <c r="E75" s="15" t="s">
        <v>57</v>
      </c>
      <c r="F75" s="16"/>
      <c r="G75" s="15" t="s">
        <v>181</v>
      </c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>
        <v>45846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13</v>
      </c>
      <c r="D88" s="112"/>
      <c r="E88" s="29"/>
      <c r="F88" s="29" t="s">
        <v>34</v>
      </c>
      <c r="G88" s="29">
        <f>COUNTIF(G63:G87,"S")</f>
        <v>12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8</v>
      </c>
      <c r="M88" s="29">
        <f t="shared" si="2"/>
        <v>0</v>
      </c>
      <c r="N88" s="29">
        <f t="shared" si="2"/>
        <v>0</v>
      </c>
      <c r="O88" s="29">
        <f t="shared" si="2"/>
        <v>2</v>
      </c>
      <c r="P88" s="29">
        <f t="shared" si="2"/>
        <v>3</v>
      </c>
      <c r="Q88" s="29">
        <f t="shared" si="2"/>
        <v>2</v>
      </c>
      <c r="R88" s="29">
        <f t="shared" si="2"/>
        <v>3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19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AYG112</v>
      </c>
      <c r="B91" s="24">
        <f>B1</f>
        <v>45832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22.8</v>
      </c>
      <c r="C93" s="85" t="s">
        <v>262</v>
      </c>
      <c r="D93" s="109" t="s">
        <v>193</v>
      </c>
      <c r="E93" s="15" t="s">
        <v>60</v>
      </c>
      <c r="F93" s="14"/>
      <c r="G93" s="12" t="s">
        <v>180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45861</v>
      </c>
      <c r="U93" s="13" t="s">
        <v>146</v>
      </c>
      <c r="V93">
        <v>1</v>
      </c>
      <c r="X93" s="51" t="s">
        <v>106</v>
      </c>
      <c r="Y93" s="52">
        <f>COUNTIF(U93:U117,"K")</f>
        <v>10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259</v>
      </c>
      <c r="D94" s="109" t="s">
        <v>193</v>
      </c>
      <c r="E94" s="15" t="s">
        <v>60</v>
      </c>
      <c r="F94" s="16"/>
      <c r="G94" s="12" t="s">
        <v>180</v>
      </c>
      <c r="H94" s="15"/>
      <c r="I94" s="15"/>
      <c r="J94" s="15">
        <v>1</v>
      </c>
      <c r="K94" s="15"/>
      <c r="L94" s="17">
        <v>1</v>
      </c>
      <c r="M94" s="17"/>
      <c r="N94" s="17"/>
      <c r="O94" s="17"/>
      <c r="P94" s="17"/>
      <c r="Q94" s="17"/>
      <c r="R94" s="17"/>
      <c r="S94" s="15"/>
      <c r="T94" s="25">
        <v>45861</v>
      </c>
      <c r="U94" s="13" t="s">
        <v>146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260</v>
      </c>
      <c r="D95" s="109" t="s">
        <v>193</v>
      </c>
      <c r="E95" s="15" t="s">
        <v>60</v>
      </c>
      <c r="F95" s="16"/>
      <c r="G95" s="12" t="s">
        <v>180</v>
      </c>
      <c r="H95" s="15"/>
      <c r="I95" s="15"/>
      <c r="J95" s="15">
        <v>1</v>
      </c>
      <c r="K95" s="15"/>
      <c r="L95" s="17">
        <v>1</v>
      </c>
      <c r="M95" s="17"/>
      <c r="N95" s="17"/>
      <c r="O95" s="17"/>
      <c r="P95" s="17"/>
      <c r="Q95" s="17"/>
      <c r="R95" s="17"/>
      <c r="S95" s="15"/>
      <c r="T95" s="25">
        <v>45861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269</v>
      </c>
      <c r="D96" s="109" t="s">
        <v>207</v>
      </c>
      <c r="E96" s="15" t="s">
        <v>76</v>
      </c>
      <c r="F96" s="16"/>
      <c r="G96" s="12" t="s">
        <v>180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45858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261</v>
      </c>
      <c r="D97" s="109" t="s">
        <v>193</v>
      </c>
      <c r="E97" s="15" t="s">
        <v>60</v>
      </c>
      <c r="F97" s="16"/>
      <c r="G97" s="12" t="s">
        <v>180</v>
      </c>
      <c r="H97" s="15"/>
      <c r="I97" s="15"/>
      <c r="J97" s="15">
        <v>1</v>
      </c>
      <c r="K97" s="15"/>
      <c r="L97" s="17">
        <v>1</v>
      </c>
      <c r="M97" s="17"/>
      <c r="N97" s="17"/>
      <c r="O97" s="17"/>
      <c r="P97" s="17"/>
      <c r="Q97" s="17"/>
      <c r="R97" s="17"/>
      <c r="S97" s="15"/>
      <c r="T97" s="25">
        <v>45861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263</v>
      </c>
      <c r="D98" s="109" t="s">
        <v>193</v>
      </c>
      <c r="E98" s="15" t="s">
        <v>60</v>
      </c>
      <c r="F98" s="16"/>
      <c r="G98" s="12" t="s">
        <v>180</v>
      </c>
      <c r="H98" s="13"/>
      <c r="I98" s="15"/>
      <c r="J98" s="15">
        <v>1</v>
      </c>
      <c r="K98" s="15"/>
      <c r="L98" s="17">
        <v>1</v>
      </c>
      <c r="M98" s="17"/>
      <c r="N98" s="17"/>
      <c r="O98" s="17"/>
      <c r="P98" s="17"/>
      <c r="Q98" s="17"/>
      <c r="R98" s="17"/>
      <c r="S98" s="15"/>
      <c r="T98" s="25">
        <v>45861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264</v>
      </c>
      <c r="D99" s="109" t="s">
        <v>193</v>
      </c>
      <c r="E99" s="15" t="s">
        <v>60</v>
      </c>
      <c r="F99" s="16"/>
      <c r="G99" s="12" t="s">
        <v>180</v>
      </c>
      <c r="H99" s="15"/>
      <c r="I99" s="15"/>
      <c r="J99" s="15">
        <v>1</v>
      </c>
      <c r="K99" s="15"/>
      <c r="L99" s="17">
        <v>1</v>
      </c>
      <c r="M99" s="17"/>
      <c r="N99" s="17"/>
      <c r="O99" s="17"/>
      <c r="P99" s="17"/>
      <c r="Q99" s="17"/>
      <c r="R99" s="17"/>
      <c r="S99" s="15"/>
      <c r="T99" s="25">
        <v>45861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265</v>
      </c>
      <c r="D100" s="109" t="s">
        <v>193</v>
      </c>
      <c r="E100" s="15" t="s">
        <v>59</v>
      </c>
      <c r="F100" s="16"/>
      <c r="G100" s="12" t="s">
        <v>180</v>
      </c>
      <c r="H100" s="15" t="s">
        <v>194</v>
      </c>
      <c r="I100" s="15"/>
      <c r="J100" s="15">
        <v>2</v>
      </c>
      <c r="K100" s="15"/>
      <c r="L100" s="17"/>
      <c r="M100" s="17"/>
      <c r="N100" s="17"/>
      <c r="O100" s="17"/>
      <c r="P100" s="17"/>
      <c r="Q100" s="17"/>
      <c r="R100" s="17"/>
      <c r="S100" s="15"/>
      <c r="T100" s="25">
        <v>45866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266</v>
      </c>
      <c r="D101" s="109" t="s">
        <v>193</v>
      </c>
      <c r="E101" s="15" t="s">
        <v>59</v>
      </c>
      <c r="F101" s="16"/>
      <c r="G101" s="12" t="s">
        <v>180</v>
      </c>
      <c r="H101" s="15" t="s">
        <v>194</v>
      </c>
      <c r="I101" s="15"/>
      <c r="J101" s="15">
        <v>2</v>
      </c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45866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267</v>
      </c>
      <c r="D102" s="109" t="s">
        <v>207</v>
      </c>
      <c r="E102" s="15" t="s">
        <v>58</v>
      </c>
      <c r="F102" s="16"/>
      <c r="G102" s="12" t="s">
        <v>180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45858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268</v>
      </c>
      <c r="D103" s="109" t="s">
        <v>207</v>
      </c>
      <c r="E103" s="15" t="s">
        <v>76</v>
      </c>
      <c r="F103" s="16"/>
      <c r="G103" s="12" t="s">
        <v>180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45858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11</v>
      </c>
      <c r="D118" s="112"/>
      <c r="E118" s="29"/>
      <c r="F118" s="29" t="s">
        <v>34</v>
      </c>
      <c r="G118" s="29">
        <f>COUNTIF(G93:G117,"S")</f>
        <v>11</v>
      </c>
      <c r="H118" s="29">
        <f>COUNTIF(H93:H117,"E")</f>
        <v>2</v>
      </c>
      <c r="I118" s="29">
        <f>SUM(I93:I117)</f>
        <v>0</v>
      </c>
      <c r="J118" s="29">
        <f t="shared" ref="J118" si="3">SUM(J93:J117)</f>
        <v>12</v>
      </c>
      <c r="K118" s="29">
        <f t="shared" ref="K118" si="4">SUM(K93:K117)</f>
        <v>2</v>
      </c>
      <c r="L118" s="29">
        <f t="shared" ref="L118" si="5">SUM(L93:L117)</f>
        <v>6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AYG112</v>
      </c>
      <c r="B121" s="24">
        <f>B1</f>
        <v>45832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25.8</v>
      </c>
      <c r="C123" s="85" t="s">
        <v>270</v>
      </c>
      <c r="D123" s="106" t="s">
        <v>258</v>
      </c>
      <c r="E123" s="15" t="s">
        <v>37</v>
      </c>
      <c r="F123" s="14"/>
      <c r="G123" s="12" t="s">
        <v>180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/>
      <c r="R123" s="13"/>
      <c r="S123" s="13"/>
      <c r="T123" s="25">
        <v>45865</v>
      </c>
      <c r="U123" s="13" t="s">
        <v>147</v>
      </c>
      <c r="V123">
        <v>1</v>
      </c>
      <c r="X123" s="51" t="s">
        <v>106</v>
      </c>
      <c r="Y123" s="52">
        <f>COUNTIF(U123:U147,"K")</f>
        <v>5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271</v>
      </c>
      <c r="D124" s="106" t="s">
        <v>193</v>
      </c>
      <c r="E124" s="15" t="s">
        <v>39</v>
      </c>
      <c r="F124" s="16"/>
      <c r="G124" s="12" t="s">
        <v>180</v>
      </c>
      <c r="H124" s="15"/>
      <c r="I124" s="15"/>
      <c r="J124" s="15">
        <v>1</v>
      </c>
      <c r="K124" s="15"/>
      <c r="L124" s="17">
        <v>1</v>
      </c>
      <c r="M124" s="17"/>
      <c r="N124" s="13"/>
      <c r="O124" s="17"/>
      <c r="P124" s="17"/>
      <c r="Q124" s="17"/>
      <c r="R124" s="17"/>
      <c r="S124" s="15"/>
      <c r="T124" s="25">
        <v>45867</v>
      </c>
      <c r="U124" s="13" t="s">
        <v>142</v>
      </c>
      <c r="V124">
        <v>2</v>
      </c>
      <c r="X124" s="51" t="s">
        <v>107</v>
      </c>
      <c r="Y124" s="52">
        <f>COUNTIF(U123:U147,"R")</f>
        <v>5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272</v>
      </c>
      <c r="D125" s="106" t="s">
        <v>193</v>
      </c>
      <c r="E125" s="15" t="s">
        <v>39</v>
      </c>
      <c r="F125" s="16"/>
      <c r="G125" s="12" t="s">
        <v>198</v>
      </c>
      <c r="H125" s="13"/>
      <c r="I125" s="15"/>
      <c r="J125" s="15">
        <v>1</v>
      </c>
      <c r="K125" s="15"/>
      <c r="L125" s="17">
        <v>1</v>
      </c>
      <c r="M125" s="17"/>
      <c r="N125" s="13"/>
      <c r="O125" s="17"/>
      <c r="P125" s="17"/>
      <c r="Q125" s="17"/>
      <c r="R125" s="17"/>
      <c r="S125" s="15"/>
      <c r="T125" s="25">
        <v>45867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273</v>
      </c>
      <c r="D126" s="106" t="s">
        <v>193</v>
      </c>
      <c r="E126" s="15" t="s">
        <v>39</v>
      </c>
      <c r="F126" s="16"/>
      <c r="G126" s="12" t="s">
        <v>180</v>
      </c>
      <c r="H126" s="15"/>
      <c r="I126" s="15"/>
      <c r="J126" s="15">
        <v>1</v>
      </c>
      <c r="K126" s="15"/>
      <c r="L126" s="17">
        <v>1</v>
      </c>
      <c r="M126" s="17"/>
      <c r="N126" s="13"/>
      <c r="O126" s="17"/>
      <c r="P126" s="17"/>
      <c r="Q126" s="17"/>
      <c r="R126" s="17"/>
      <c r="S126" s="15"/>
      <c r="T126" s="25">
        <v>45867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274</v>
      </c>
      <c r="D127" s="106" t="s">
        <v>179</v>
      </c>
      <c r="E127" s="15" t="s">
        <v>36</v>
      </c>
      <c r="F127" s="16"/>
      <c r="G127" s="12" t="s">
        <v>180</v>
      </c>
      <c r="H127" s="15"/>
      <c r="I127" s="15"/>
      <c r="J127" s="15"/>
      <c r="K127" s="15"/>
      <c r="L127" s="17"/>
      <c r="M127" s="17">
        <v>1</v>
      </c>
      <c r="N127" s="13">
        <v>1</v>
      </c>
      <c r="O127" s="17"/>
      <c r="P127" s="17"/>
      <c r="Q127" s="17"/>
      <c r="R127" s="17"/>
      <c r="S127" s="15"/>
      <c r="T127" s="25">
        <v>45859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275</v>
      </c>
      <c r="D128" s="106" t="s">
        <v>182</v>
      </c>
      <c r="E128" s="15" t="s">
        <v>40</v>
      </c>
      <c r="F128" s="16"/>
      <c r="G128" s="12" t="s">
        <v>180</v>
      </c>
      <c r="H128" s="13"/>
      <c r="I128" s="15"/>
      <c r="J128" s="15"/>
      <c r="K128" s="15"/>
      <c r="L128" s="17"/>
      <c r="M128" s="17"/>
      <c r="N128" s="13"/>
      <c r="O128" s="17"/>
      <c r="P128" s="17">
        <v>1</v>
      </c>
      <c r="Q128" s="17"/>
      <c r="R128" s="17"/>
      <c r="S128" s="15"/>
      <c r="T128" s="25">
        <v>45866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276</v>
      </c>
      <c r="D129" s="106" t="s">
        <v>182</v>
      </c>
      <c r="E129" s="15" t="s">
        <v>40</v>
      </c>
      <c r="F129" s="16"/>
      <c r="G129" s="12" t="s">
        <v>180</v>
      </c>
      <c r="H129" s="15"/>
      <c r="I129" s="15"/>
      <c r="J129" s="15"/>
      <c r="K129" s="15"/>
      <c r="L129" s="17"/>
      <c r="M129" s="17"/>
      <c r="N129" s="13"/>
      <c r="O129" s="17"/>
      <c r="P129" s="17">
        <v>1</v>
      </c>
      <c r="Q129" s="17"/>
      <c r="R129" s="17"/>
      <c r="S129" s="15"/>
      <c r="T129" s="25">
        <v>45866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277</v>
      </c>
      <c r="D130" s="106" t="s">
        <v>195</v>
      </c>
      <c r="E130" s="15" t="s">
        <v>37</v>
      </c>
      <c r="F130" s="16"/>
      <c r="G130" s="12" t="s">
        <v>180</v>
      </c>
      <c r="H130" s="15"/>
      <c r="I130" s="15"/>
      <c r="J130" s="15"/>
      <c r="K130" s="15"/>
      <c r="L130" s="17"/>
      <c r="M130" s="17">
        <v>1</v>
      </c>
      <c r="N130" s="13">
        <v>1</v>
      </c>
      <c r="O130" s="17"/>
      <c r="P130" s="17"/>
      <c r="Q130" s="17"/>
      <c r="R130" s="17"/>
      <c r="S130" s="15"/>
      <c r="T130" s="25">
        <v>45867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278</v>
      </c>
      <c r="D131" s="106" t="s">
        <v>279</v>
      </c>
      <c r="E131" s="15" t="s">
        <v>37</v>
      </c>
      <c r="F131" s="16"/>
      <c r="G131" s="12" t="s">
        <v>180</v>
      </c>
      <c r="H131" s="15"/>
      <c r="I131" s="15"/>
      <c r="J131" s="15">
        <v>1</v>
      </c>
      <c r="K131" s="15">
        <v>1</v>
      </c>
      <c r="L131" s="17"/>
      <c r="M131" s="17"/>
      <c r="N131" s="13"/>
      <c r="O131" s="17"/>
      <c r="P131" s="17"/>
      <c r="Q131" s="17"/>
      <c r="R131" s="17"/>
      <c r="S131" s="86"/>
      <c r="T131" s="25">
        <v>45867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280</v>
      </c>
      <c r="D132" s="106" t="s">
        <v>279</v>
      </c>
      <c r="E132" s="15" t="s">
        <v>75</v>
      </c>
      <c r="F132" s="16"/>
      <c r="G132" s="12" t="s">
        <v>180</v>
      </c>
      <c r="H132" s="15"/>
      <c r="I132" s="15"/>
      <c r="J132" s="15"/>
      <c r="K132" s="15"/>
      <c r="L132" s="17"/>
      <c r="M132" s="17"/>
      <c r="N132" s="13"/>
      <c r="O132" s="17"/>
      <c r="P132" s="17"/>
      <c r="Q132" s="17"/>
      <c r="R132" s="17"/>
      <c r="S132" s="15"/>
      <c r="T132" s="25">
        <v>45867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281</v>
      </c>
      <c r="D133" s="106" t="s">
        <v>187</v>
      </c>
      <c r="E133" s="15" t="s">
        <v>60</v>
      </c>
      <c r="F133" s="16"/>
      <c r="G133" s="12" t="s">
        <v>180</v>
      </c>
      <c r="H133" s="15"/>
      <c r="I133" s="15"/>
      <c r="J133" s="15">
        <v>1</v>
      </c>
      <c r="K133" s="15"/>
      <c r="L133" s="17">
        <v>1</v>
      </c>
      <c r="M133" s="17"/>
      <c r="N133" s="13"/>
      <c r="O133" s="17"/>
      <c r="P133" s="17"/>
      <c r="Q133" s="17"/>
      <c r="R133" s="17"/>
      <c r="S133" s="15"/>
      <c r="T133" s="25">
        <v>45853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282</v>
      </c>
      <c r="D134" s="106" t="s">
        <v>179</v>
      </c>
      <c r="E134" s="15" t="s">
        <v>36</v>
      </c>
      <c r="F134" s="16"/>
      <c r="G134" s="12" t="s">
        <v>180</v>
      </c>
      <c r="H134" s="15"/>
      <c r="I134" s="15"/>
      <c r="J134" s="15"/>
      <c r="K134" s="15"/>
      <c r="L134" s="17"/>
      <c r="M134" s="17">
        <v>1</v>
      </c>
      <c r="N134" s="13">
        <v>1</v>
      </c>
      <c r="O134" s="17"/>
      <c r="P134" s="17"/>
      <c r="Q134" s="17">
        <v>1</v>
      </c>
      <c r="R134" s="17"/>
      <c r="S134" s="15"/>
      <c r="T134" s="25">
        <v>45854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/>
      <c r="D135" s="106"/>
      <c r="E135" s="15"/>
      <c r="F135" s="16"/>
      <c r="G135" s="12"/>
      <c r="H135" s="15"/>
      <c r="I135" s="15"/>
      <c r="J135" s="15"/>
      <c r="K135" s="15"/>
      <c r="L135" s="17"/>
      <c r="M135" s="17"/>
      <c r="N135" s="13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/>
      <c r="D136" s="106"/>
      <c r="E136" s="15"/>
      <c r="F136" s="16"/>
      <c r="G136" s="12"/>
      <c r="H136" s="15"/>
      <c r="I136" s="15"/>
      <c r="J136" s="15"/>
      <c r="K136" s="15"/>
      <c r="L136" s="17"/>
      <c r="M136" s="17"/>
      <c r="N136" s="13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/>
      <c r="D137" s="106"/>
      <c r="E137" s="15"/>
      <c r="F137" s="16"/>
      <c r="G137" s="12"/>
      <c r="H137" s="15"/>
      <c r="I137" s="15"/>
      <c r="J137" s="15"/>
      <c r="K137" s="15"/>
      <c r="L137" s="17"/>
      <c r="M137" s="17"/>
      <c r="N137" s="13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12</v>
      </c>
      <c r="D148" s="112"/>
      <c r="E148" s="29"/>
      <c r="F148" s="29" t="s">
        <v>34</v>
      </c>
      <c r="G148" s="29">
        <f>COUNTIF(G123:G147,"S")</f>
        <v>11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5</v>
      </c>
      <c r="K148" s="29">
        <f t="shared" ref="K148" si="14">SUM(K123:K147)</f>
        <v>1</v>
      </c>
      <c r="L148" s="29">
        <f t="shared" ref="L148" si="15">SUM(L123:L147)</f>
        <v>4</v>
      </c>
      <c r="M148" s="29">
        <f t="shared" ref="M148" si="16">SUM(M123:M147)</f>
        <v>4</v>
      </c>
      <c r="N148" s="29">
        <f t="shared" ref="N148" si="17">SUM(N123:N147)</f>
        <v>4</v>
      </c>
      <c r="O148" s="29">
        <f t="shared" ref="O148" si="18">SUM(O123:O147)</f>
        <v>0</v>
      </c>
      <c r="P148" s="29">
        <f t="shared" ref="P148" si="19">SUM(P123:P147)</f>
        <v>2</v>
      </c>
      <c r="Q148" s="29">
        <f t="shared" ref="Q148" si="20">SUM(Q123:Q147)</f>
        <v>1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AYG112</v>
      </c>
      <c r="B151" s="24">
        <f>B1</f>
        <v>45832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20</v>
      </c>
      <c r="C153" s="85" t="s">
        <v>283</v>
      </c>
      <c r="D153" s="109" t="s">
        <v>183</v>
      </c>
      <c r="E153" s="13" t="s">
        <v>36</v>
      </c>
      <c r="F153" s="14"/>
      <c r="G153" s="12" t="s">
        <v>180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45854</v>
      </c>
      <c r="U153" s="13" t="s">
        <v>147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285</v>
      </c>
      <c r="D154" s="109" t="s">
        <v>284</v>
      </c>
      <c r="E154" s="13" t="s">
        <v>37</v>
      </c>
      <c r="F154" s="16"/>
      <c r="G154" s="12" t="s">
        <v>180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45863</v>
      </c>
      <c r="U154" s="13" t="s">
        <v>147</v>
      </c>
      <c r="V154">
        <v>2</v>
      </c>
      <c r="X154" s="51" t="s">
        <v>107</v>
      </c>
      <c r="Y154" s="52">
        <f>COUNTIF(U153:U177,"R")</f>
        <v>8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286</v>
      </c>
      <c r="D155" s="106" t="s">
        <v>284</v>
      </c>
      <c r="E155" s="106" t="s">
        <v>74</v>
      </c>
      <c r="F155" s="16"/>
      <c r="G155" s="12" t="s">
        <v>180</v>
      </c>
      <c r="H155" s="13"/>
      <c r="I155" s="15"/>
      <c r="J155" s="13"/>
      <c r="K155" s="15"/>
      <c r="L155" s="13"/>
      <c r="M155" s="17">
        <v>1</v>
      </c>
      <c r="N155" s="17"/>
      <c r="O155" s="17"/>
      <c r="P155" s="17"/>
      <c r="Q155" s="17">
        <v>1</v>
      </c>
      <c r="R155" s="17"/>
      <c r="S155" s="15"/>
      <c r="T155" s="25">
        <v>45863</v>
      </c>
      <c r="U155" s="13" t="s">
        <v>147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287</v>
      </c>
      <c r="D156" s="106" t="s">
        <v>207</v>
      </c>
      <c r="E156" s="106" t="s">
        <v>58</v>
      </c>
      <c r="F156" s="16"/>
      <c r="G156" s="12" t="s">
        <v>180</v>
      </c>
      <c r="H156" s="15"/>
      <c r="I156" s="15"/>
      <c r="J156" s="13"/>
      <c r="K156" s="15"/>
      <c r="L156" s="13"/>
      <c r="M156" s="17"/>
      <c r="N156" s="17"/>
      <c r="O156" s="17"/>
      <c r="P156" s="17"/>
      <c r="Q156" s="17"/>
      <c r="R156" s="17"/>
      <c r="S156" s="15">
        <v>1</v>
      </c>
      <c r="T156" s="25">
        <v>45860</v>
      </c>
      <c r="U156" s="13" t="s">
        <v>142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288</v>
      </c>
      <c r="D157" s="106" t="s">
        <v>207</v>
      </c>
      <c r="E157" s="106" t="s">
        <v>36</v>
      </c>
      <c r="F157" s="16"/>
      <c r="G157" s="12" t="s">
        <v>180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45860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289</v>
      </c>
      <c r="D158" s="106" t="s">
        <v>207</v>
      </c>
      <c r="E158" s="106" t="s">
        <v>58</v>
      </c>
      <c r="F158" s="16"/>
      <c r="G158" s="12" t="s">
        <v>180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>
        <v>1</v>
      </c>
      <c r="T158" s="25">
        <v>45860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290</v>
      </c>
      <c r="D159" s="106" t="s">
        <v>207</v>
      </c>
      <c r="E159" s="106" t="s">
        <v>38</v>
      </c>
      <c r="F159" s="16"/>
      <c r="G159" s="12" t="s">
        <v>180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5">
        <v>45860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291</v>
      </c>
      <c r="D160" s="106" t="s">
        <v>207</v>
      </c>
      <c r="E160" s="106" t="s">
        <v>38</v>
      </c>
      <c r="F160" s="16"/>
      <c r="G160" s="12" t="s">
        <v>180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5">
        <v>45858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292</v>
      </c>
      <c r="D161" s="106" t="s">
        <v>207</v>
      </c>
      <c r="E161" s="106" t="s">
        <v>76</v>
      </c>
      <c r="F161" s="16"/>
      <c r="G161" s="12" t="s">
        <v>180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5">
        <v>45858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293</v>
      </c>
      <c r="D162" s="106" t="s">
        <v>207</v>
      </c>
      <c r="E162" s="106" t="s">
        <v>37</v>
      </c>
      <c r="F162" s="106"/>
      <c r="G162" s="12" t="s">
        <v>180</v>
      </c>
      <c r="H162" s="15"/>
      <c r="I162" s="15"/>
      <c r="J162" s="13">
        <v>1</v>
      </c>
      <c r="K162" s="15">
        <v>1</v>
      </c>
      <c r="L162" s="13"/>
      <c r="M162" s="17"/>
      <c r="N162" s="17">
        <v>1</v>
      </c>
      <c r="O162" s="17"/>
      <c r="P162" s="17"/>
      <c r="Q162" s="17"/>
      <c r="R162" s="17"/>
      <c r="S162" s="15"/>
      <c r="T162" s="25">
        <v>45858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294</v>
      </c>
      <c r="D163" s="106" t="s">
        <v>207</v>
      </c>
      <c r="E163" s="106" t="s">
        <v>37</v>
      </c>
      <c r="F163" s="16"/>
      <c r="G163" s="12" t="s">
        <v>180</v>
      </c>
      <c r="H163" s="15"/>
      <c r="I163" s="15"/>
      <c r="J163" s="15">
        <v>1</v>
      </c>
      <c r="K163" s="15"/>
      <c r="L163" s="17"/>
      <c r="M163" s="17"/>
      <c r="N163" s="17">
        <v>1</v>
      </c>
      <c r="O163" s="17"/>
      <c r="P163" s="17"/>
      <c r="Q163" s="17"/>
      <c r="R163" s="17"/>
      <c r="S163" s="15"/>
      <c r="T163" s="25">
        <v>45860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295</v>
      </c>
      <c r="D164" s="106" t="s">
        <v>207</v>
      </c>
      <c r="E164" s="106" t="s">
        <v>36</v>
      </c>
      <c r="F164" s="16"/>
      <c r="G164" s="12" t="s">
        <v>180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>
        <v>1</v>
      </c>
      <c r="R164" s="17"/>
      <c r="S164" s="15"/>
      <c r="T164" s="25">
        <v>45860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296</v>
      </c>
      <c r="D165" s="106" t="s">
        <v>207</v>
      </c>
      <c r="E165" s="106" t="s">
        <v>44</v>
      </c>
      <c r="F165" s="16"/>
      <c r="G165" s="12" t="s">
        <v>180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/>
      <c r="R165" s="17"/>
      <c r="S165" s="15"/>
      <c r="T165" s="25">
        <v>45860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297</v>
      </c>
      <c r="D166" s="106" t="s">
        <v>207</v>
      </c>
      <c r="E166" s="106" t="s">
        <v>37</v>
      </c>
      <c r="F166" s="16"/>
      <c r="G166" s="12" t="s">
        <v>180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45860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/>
      <c r="D167" s="106"/>
      <c r="E167" s="106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4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5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3</v>
      </c>
      <c r="R178" s="29">
        <f t="shared" ref="R178" si="31">SUM(R153:R177)</f>
        <v>0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26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178</v>
      </c>
      <c r="B181" s="24">
        <v>45789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23.4</v>
      </c>
      <c r="C183" s="85" t="s">
        <v>298</v>
      </c>
      <c r="D183" s="110" t="s">
        <v>193</v>
      </c>
      <c r="E183" s="18" t="s">
        <v>60</v>
      </c>
      <c r="F183" s="16"/>
      <c r="G183" s="18" t="s">
        <v>180</v>
      </c>
      <c r="H183" s="15"/>
      <c r="I183" s="15"/>
      <c r="J183" s="18">
        <v>1</v>
      </c>
      <c r="K183" s="15"/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45861</v>
      </c>
      <c r="U183" s="15" t="s">
        <v>146</v>
      </c>
      <c r="V183">
        <v>1</v>
      </c>
      <c r="X183" s="51" t="s">
        <v>106</v>
      </c>
      <c r="Y183" s="52">
        <f>COUNTIF(U183:U207,"K")</f>
        <v>12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299</v>
      </c>
      <c r="D184" s="110" t="s">
        <v>193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45861</v>
      </c>
      <c r="U184" s="15" t="s">
        <v>146</v>
      </c>
      <c r="V184">
        <v>2</v>
      </c>
      <c r="X184" s="51" t="s">
        <v>107</v>
      </c>
      <c r="Y184" s="52">
        <f>COUNTIF(U183:U207,"R")</f>
        <v>1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300</v>
      </c>
      <c r="D185" s="110" t="s">
        <v>193</v>
      </c>
      <c r="E185" s="18" t="s">
        <v>60</v>
      </c>
      <c r="F185" s="16"/>
      <c r="G185" s="18" t="s">
        <v>180</v>
      </c>
      <c r="H185" s="15"/>
      <c r="I185" s="15"/>
      <c r="J185" s="15">
        <v>1</v>
      </c>
      <c r="K185" s="15"/>
      <c r="L185" s="17">
        <v>1</v>
      </c>
      <c r="M185" s="17"/>
      <c r="N185" s="17"/>
      <c r="O185" s="17"/>
      <c r="P185" s="17"/>
      <c r="Q185" s="17"/>
      <c r="R185" s="17"/>
      <c r="S185" s="15"/>
      <c r="T185" s="25">
        <v>45861</v>
      </c>
      <c r="U185" s="15" t="s">
        <v>146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301</v>
      </c>
      <c r="D186" s="110" t="s">
        <v>193</v>
      </c>
      <c r="E186" s="18" t="s">
        <v>60</v>
      </c>
      <c r="F186" s="16"/>
      <c r="G186" s="18" t="s">
        <v>180</v>
      </c>
      <c r="H186" s="15"/>
      <c r="I186" s="15"/>
      <c r="J186" s="15">
        <v>1</v>
      </c>
      <c r="K186" s="15"/>
      <c r="L186" s="17">
        <v>1</v>
      </c>
      <c r="M186" s="17"/>
      <c r="N186" s="17"/>
      <c r="O186" s="17"/>
      <c r="P186" s="17"/>
      <c r="Q186" s="17"/>
      <c r="R186" s="17"/>
      <c r="S186" s="15"/>
      <c r="T186" s="25">
        <v>45861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302</v>
      </c>
      <c r="D187" s="110" t="s">
        <v>193</v>
      </c>
      <c r="E187" s="18" t="s">
        <v>60</v>
      </c>
      <c r="F187" s="16"/>
      <c r="G187" s="18" t="s">
        <v>180</v>
      </c>
      <c r="H187" s="15"/>
      <c r="I187" s="15"/>
      <c r="J187" s="15">
        <v>1</v>
      </c>
      <c r="K187" s="15"/>
      <c r="L187" s="17">
        <v>1</v>
      </c>
      <c r="M187" s="17"/>
      <c r="N187" s="17"/>
      <c r="O187" s="17"/>
      <c r="P187" s="17"/>
      <c r="Q187" s="17"/>
      <c r="R187" s="17"/>
      <c r="S187" s="15"/>
      <c r="T187" s="25">
        <v>45861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303</v>
      </c>
      <c r="D188" s="110" t="s">
        <v>193</v>
      </c>
      <c r="E188" s="18" t="s">
        <v>60</v>
      </c>
      <c r="F188" s="16"/>
      <c r="G188" s="18" t="s">
        <v>180</v>
      </c>
      <c r="H188" s="13"/>
      <c r="I188" s="15"/>
      <c r="J188" s="15">
        <v>1</v>
      </c>
      <c r="K188" s="15"/>
      <c r="L188" s="17">
        <v>1</v>
      </c>
      <c r="M188" s="17"/>
      <c r="N188" s="17"/>
      <c r="O188" s="17"/>
      <c r="P188" s="17"/>
      <c r="Q188" s="17"/>
      <c r="R188" s="17"/>
      <c r="S188" s="15"/>
      <c r="T188" s="25">
        <v>45861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304</v>
      </c>
      <c r="D189" s="110" t="s">
        <v>193</v>
      </c>
      <c r="E189" s="18" t="s">
        <v>60</v>
      </c>
      <c r="F189" s="16"/>
      <c r="G189" s="18" t="s">
        <v>180</v>
      </c>
      <c r="H189" s="15"/>
      <c r="I189" s="15"/>
      <c r="J189" s="15">
        <v>1</v>
      </c>
      <c r="K189" s="15"/>
      <c r="L189" s="17">
        <v>1</v>
      </c>
      <c r="M189" s="17"/>
      <c r="N189" s="17"/>
      <c r="O189" s="17"/>
      <c r="P189" s="17"/>
      <c r="Q189" s="17"/>
      <c r="R189" s="17"/>
      <c r="S189" s="15"/>
      <c r="T189" s="25">
        <v>45861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305</v>
      </c>
      <c r="D190" s="110" t="s">
        <v>193</v>
      </c>
      <c r="E190" s="15" t="s">
        <v>60</v>
      </c>
      <c r="F190" s="16"/>
      <c r="G190" s="18" t="s">
        <v>180</v>
      </c>
      <c r="H190" s="15"/>
      <c r="I190" s="15"/>
      <c r="J190" s="15">
        <v>1</v>
      </c>
      <c r="K190" s="15"/>
      <c r="L190" s="17">
        <v>1</v>
      </c>
      <c r="M190" s="17"/>
      <c r="N190" s="17"/>
      <c r="O190" s="17"/>
      <c r="P190" s="17"/>
      <c r="Q190" s="17"/>
      <c r="R190" s="17"/>
      <c r="S190" s="15"/>
      <c r="T190" s="25">
        <v>45861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306</v>
      </c>
      <c r="D191" s="106" t="s">
        <v>310</v>
      </c>
      <c r="E191" s="13" t="s">
        <v>39</v>
      </c>
      <c r="F191" s="16"/>
      <c r="G191" s="18" t="s">
        <v>180</v>
      </c>
      <c r="H191" s="15"/>
      <c r="I191" s="15"/>
      <c r="J191" s="15">
        <v>1</v>
      </c>
      <c r="K191" s="15">
        <v>1</v>
      </c>
      <c r="L191" s="17"/>
      <c r="M191" s="17"/>
      <c r="N191" s="17"/>
      <c r="O191" s="17"/>
      <c r="P191" s="17"/>
      <c r="Q191" s="17"/>
      <c r="R191" s="17"/>
      <c r="S191" s="15"/>
      <c r="T191" s="25">
        <v>45867</v>
      </c>
      <c r="U191" s="2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 t="s">
        <v>307</v>
      </c>
      <c r="D192" s="106" t="s">
        <v>310</v>
      </c>
      <c r="E192" s="13" t="s">
        <v>133</v>
      </c>
      <c r="F192" s="16"/>
      <c r="G192" s="18" t="s">
        <v>180</v>
      </c>
      <c r="H192" s="15"/>
      <c r="I192" s="15"/>
      <c r="J192" s="15"/>
      <c r="K192" s="15"/>
      <c r="L192" s="17"/>
      <c r="M192" s="17"/>
      <c r="N192" s="17"/>
      <c r="O192" s="17">
        <v>1</v>
      </c>
      <c r="P192" s="17">
        <v>1</v>
      </c>
      <c r="Q192" s="17">
        <v>1</v>
      </c>
      <c r="R192" s="17">
        <v>1</v>
      </c>
      <c r="S192" s="15"/>
      <c r="T192" s="25">
        <v>45867</v>
      </c>
      <c r="U192" s="15" t="s">
        <v>148</v>
      </c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 t="s">
        <v>308</v>
      </c>
      <c r="D193" s="106" t="s">
        <v>310</v>
      </c>
      <c r="E193" s="13" t="s">
        <v>39</v>
      </c>
      <c r="F193" s="16"/>
      <c r="G193" s="18" t="s">
        <v>180</v>
      </c>
      <c r="H193" s="15"/>
      <c r="I193" s="15"/>
      <c r="J193" s="15">
        <v>1</v>
      </c>
      <c r="K193" s="15">
        <v>1</v>
      </c>
      <c r="L193" s="17"/>
      <c r="M193" s="17"/>
      <c r="N193" s="17"/>
      <c r="O193" s="17"/>
      <c r="P193" s="17"/>
      <c r="Q193" s="17"/>
      <c r="R193" s="17"/>
      <c r="S193" s="15"/>
      <c r="T193" s="25">
        <v>45867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 t="s">
        <v>309</v>
      </c>
      <c r="D194" s="106" t="s">
        <v>310</v>
      </c>
      <c r="E194" s="13" t="s">
        <v>133</v>
      </c>
      <c r="F194" s="16"/>
      <c r="G194" s="18" t="s">
        <v>180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>
        <v>1</v>
      </c>
      <c r="R194" s="17">
        <v>1</v>
      </c>
      <c r="S194" s="15"/>
      <c r="T194" s="25">
        <v>45867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 t="s">
        <v>311</v>
      </c>
      <c r="D195" s="106" t="s">
        <v>204</v>
      </c>
      <c r="E195" s="15" t="s">
        <v>38</v>
      </c>
      <c r="F195" s="16"/>
      <c r="G195" s="18" t="s">
        <v>180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45877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 t="s">
        <v>312</v>
      </c>
      <c r="D196" s="106" t="s">
        <v>200</v>
      </c>
      <c r="E196" s="15" t="s">
        <v>57</v>
      </c>
      <c r="F196" s="16"/>
      <c r="G196" s="18" t="s">
        <v>181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45866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 t="s">
        <v>313</v>
      </c>
      <c r="D197" s="106" t="s">
        <v>203</v>
      </c>
      <c r="E197" s="15" t="s">
        <v>74</v>
      </c>
      <c r="F197" s="16"/>
      <c r="G197" s="15" t="s">
        <v>180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45872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12</v>
      </c>
      <c r="K208" s="29">
        <f t="shared" ref="K208" si="34">SUM(K183:K207)</f>
        <v>4</v>
      </c>
      <c r="L208" s="29">
        <f t="shared" ref="L208" si="35">SUM(L183:L207)</f>
        <v>8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2</v>
      </c>
      <c r="R208" s="29">
        <f t="shared" ref="R208" si="41">SUM(R183:R207)</f>
        <v>2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AYG112</v>
      </c>
      <c r="B211" s="24">
        <f>B1</f>
        <v>45832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22.4</v>
      </c>
      <c r="C213" s="85" t="s">
        <v>314</v>
      </c>
      <c r="D213" s="106" t="s">
        <v>193</v>
      </c>
      <c r="E213" s="15" t="s">
        <v>60</v>
      </c>
      <c r="F213" s="16"/>
      <c r="G213" s="15" t="s">
        <v>180</v>
      </c>
      <c r="H213" s="15"/>
      <c r="I213" s="15"/>
      <c r="J213" s="15">
        <v>1</v>
      </c>
      <c r="K213" s="15"/>
      <c r="L213" s="17">
        <v>1</v>
      </c>
      <c r="M213" s="17"/>
      <c r="N213" s="17"/>
      <c r="O213" s="17"/>
      <c r="P213" s="17"/>
      <c r="Q213" s="17"/>
      <c r="R213" s="17"/>
      <c r="S213" s="15"/>
      <c r="T213" s="25">
        <v>45861</v>
      </c>
      <c r="U213" s="15" t="s">
        <v>146</v>
      </c>
      <c r="V213">
        <v>1</v>
      </c>
      <c r="X213" s="51" t="s">
        <v>106</v>
      </c>
      <c r="Y213" s="52">
        <f>COUNTIF(U213:U237,"K")</f>
        <v>9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315</v>
      </c>
      <c r="D214" s="106" t="s">
        <v>193</v>
      </c>
      <c r="E214" s="15" t="s">
        <v>60</v>
      </c>
      <c r="F214" s="16"/>
      <c r="G214" s="15" t="s">
        <v>180</v>
      </c>
      <c r="H214" s="15"/>
      <c r="I214" s="15"/>
      <c r="J214" s="15">
        <v>1</v>
      </c>
      <c r="K214" s="15"/>
      <c r="L214" s="19">
        <v>1</v>
      </c>
      <c r="M214" s="19"/>
      <c r="N214" s="19"/>
      <c r="O214" s="19"/>
      <c r="P214" s="19"/>
      <c r="Q214" s="19"/>
      <c r="R214" s="19"/>
      <c r="S214" s="15"/>
      <c r="T214" s="25">
        <v>45861</v>
      </c>
      <c r="U214" s="15" t="s">
        <v>146</v>
      </c>
      <c r="V214">
        <v>2</v>
      </c>
      <c r="X214" s="51" t="s">
        <v>107</v>
      </c>
      <c r="Y214" s="52">
        <f>COUNTIF(U213:U237,"R")</f>
        <v>6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316</v>
      </c>
      <c r="D215" s="106" t="s">
        <v>193</v>
      </c>
      <c r="E215" s="18" t="s">
        <v>60</v>
      </c>
      <c r="F215" s="16"/>
      <c r="G215" s="18" t="s">
        <v>180</v>
      </c>
      <c r="H215" s="15"/>
      <c r="I215" s="15"/>
      <c r="J215" s="18">
        <v>1</v>
      </c>
      <c r="K215" s="15"/>
      <c r="L215" s="19">
        <v>1</v>
      </c>
      <c r="M215" s="19"/>
      <c r="N215" s="19"/>
      <c r="O215" s="19"/>
      <c r="P215" s="19"/>
      <c r="Q215" s="19"/>
      <c r="R215" s="19"/>
      <c r="S215" s="15"/>
      <c r="T215" s="25">
        <v>45861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317</v>
      </c>
      <c r="D216" s="110" t="s">
        <v>193</v>
      </c>
      <c r="E216" s="18" t="s">
        <v>60</v>
      </c>
      <c r="F216" s="16"/>
      <c r="G216" s="18" t="s">
        <v>180</v>
      </c>
      <c r="H216" s="15"/>
      <c r="I216" s="15"/>
      <c r="J216" s="18">
        <v>1</v>
      </c>
      <c r="K216" s="15"/>
      <c r="L216" s="19">
        <v>1</v>
      </c>
      <c r="M216" s="19"/>
      <c r="N216" s="19"/>
      <c r="O216" s="19"/>
      <c r="P216" s="19"/>
      <c r="Q216" s="19"/>
      <c r="R216" s="19"/>
      <c r="S216" s="15"/>
      <c r="T216" s="25">
        <v>45861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318</v>
      </c>
      <c r="D217" s="110" t="s">
        <v>193</v>
      </c>
      <c r="E217" s="18" t="s">
        <v>60</v>
      </c>
      <c r="F217" s="16"/>
      <c r="G217" s="18" t="s">
        <v>180</v>
      </c>
      <c r="H217" s="15"/>
      <c r="I217" s="15"/>
      <c r="J217" s="18">
        <v>1</v>
      </c>
      <c r="K217" s="15"/>
      <c r="L217" s="19">
        <v>1</v>
      </c>
      <c r="M217" s="19"/>
      <c r="N217" s="19"/>
      <c r="O217" s="19"/>
      <c r="P217" s="19"/>
      <c r="Q217" s="19"/>
      <c r="R217" s="19"/>
      <c r="S217" s="15"/>
      <c r="T217" s="25">
        <v>45861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319</v>
      </c>
      <c r="D218" s="110" t="s">
        <v>193</v>
      </c>
      <c r="E218" s="18" t="s">
        <v>60</v>
      </c>
      <c r="F218" s="16"/>
      <c r="G218" s="18" t="s">
        <v>180</v>
      </c>
      <c r="H218" s="15"/>
      <c r="I218" s="15"/>
      <c r="J218" s="18">
        <v>1</v>
      </c>
      <c r="K218" s="15"/>
      <c r="L218" s="19">
        <v>1</v>
      </c>
      <c r="M218" s="19"/>
      <c r="N218" s="19"/>
      <c r="O218" s="19"/>
      <c r="P218" s="19"/>
      <c r="Q218" s="19"/>
      <c r="R218" s="19"/>
      <c r="S218" s="15"/>
      <c r="T218" s="25">
        <v>45861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6" t="s">
        <v>320</v>
      </c>
      <c r="D219" s="110" t="s">
        <v>193</v>
      </c>
      <c r="E219" s="18" t="s">
        <v>60</v>
      </c>
      <c r="F219" s="17"/>
      <c r="G219" s="15" t="s">
        <v>180</v>
      </c>
      <c r="H219" s="15"/>
      <c r="I219" s="15"/>
      <c r="J219" s="15">
        <v>1</v>
      </c>
      <c r="K219" s="15"/>
      <c r="L219" s="15">
        <v>1</v>
      </c>
      <c r="M219" s="19"/>
      <c r="N219" s="19"/>
      <c r="O219" s="19"/>
      <c r="P219" s="19"/>
      <c r="Q219" s="19"/>
      <c r="R219" s="19"/>
      <c r="S219" s="15"/>
      <c r="T219" s="25">
        <v>45861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321</v>
      </c>
      <c r="D220" s="106" t="s">
        <v>199</v>
      </c>
      <c r="E220" s="106" t="s">
        <v>36</v>
      </c>
      <c r="F220" s="16"/>
      <c r="G220" s="12" t="s">
        <v>180</v>
      </c>
      <c r="H220" s="15"/>
      <c r="I220" s="15"/>
      <c r="J220" s="13">
        <v>1</v>
      </c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45865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322</v>
      </c>
      <c r="D221" s="106" t="s">
        <v>202</v>
      </c>
      <c r="E221" s="106" t="s">
        <v>75</v>
      </c>
      <c r="F221" s="16"/>
      <c r="G221" s="12" t="s">
        <v>180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>
        <v>45860</v>
      </c>
      <c r="U221" s="13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323</v>
      </c>
      <c r="D222" s="106" t="s">
        <v>202</v>
      </c>
      <c r="E222" s="106" t="s">
        <v>37</v>
      </c>
      <c r="F222" s="106"/>
      <c r="G222" s="12" t="s">
        <v>180</v>
      </c>
      <c r="H222" s="15"/>
      <c r="I222" s="15"/>
      <c r="J222" s="13"/>
      <c r="K222" s="15"/>
      <c r="L222" s="13"/>
      <c r="M222" s="17">
        <v>1</v>
      </c>
      <c r="N222" s="17">
        <v>1</v>
      </c>
      <c r="O222" s="17"/>
      <c r="P222" s="17"/>
      <c r="Q222" s="17">
        <v>1</v>
      </c>
      <c r="R222" s="17"/>
      <c r="S222" s="15"/>
      <c r="T222" s="25">
        <v>45864</v>
      </c>
      <c r="U222" s="13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324</v>
      </c>
      <c r="D223" s="106" t="s">
        <v>258</v>
      </c>
      <c r="E223" s="106" t="s">
        <v>75</v>
      </c>
      <c r="F223" s="16"/>
      <c r="G223" s="12" t="s">
        <v>180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45865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325</v>
      </c>
      <c r="D224" s="106" t="s">
        <v>258</v>
      </c>
      <c r="E224" s="106" t="s">
        <v>38</v>
      </c>
      <c r="F224" s="16"/>
      <c r="G224" s="12" t="s">
        <v>180</v>
      </c>
      <c r="H224" s="15"/>
      <c r="I224" s="15"/>
      <c r="J224" s="15"/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45859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326</v>
      </c>
      <c r="D225" s="106" t="s">
        <v>258</v>
      </c>
      <c r="E225" s="106" t="s">
        <v>75</v>
      </c>
      <c r="F225" s="16"/>
      <c r="G225" s="12" t="s">
        <v>180</v>
      </c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45865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327</v>
      </c>
      <c r="D226" s="106" t="s">
        <v>258</v>
      </c>
      <c r="E226" s="106" t="s">
        <v>58</v>
      </c>
      <c r="F226" s="16"/>
      <c r="G226" s="12" t="s">
        <v>180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45865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328</v>
      </c>
      <c r="D227" s="106" t="s">
        <v>258</v>
      </c>
      <c r="E227" s="106" t="s">
        <v>37</v>
      </c>
      <c r="F227" s="16"/>
      <c r="G227" s="12" t="s">
        <v>180</v>
      </c>
      <c r="H227" s="15"/>
      <c r="I227" s="15"/>
      <c r="J227" s="15"/>
      <c r="K227" s="15"/>
      <c r="L227" s="17"/>
      <c r="M227" s="17">
        <v>1</v>
      </c>
      <c r="N227" s="17">
        <v>1</v>
      </c>
      <c r="O227" s="17"/>
      <c r="P227" s="17"/>
      <c r="Q227" s="17">
        <v>1</v>
      </c>
      <c r="R227" s="17"/>
      <c r="S227" s="15"/>
      <c r="T227" s="25">
        <v>45854</v>
      </c>
      <c r="U227" s="13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8</v>
      </c>
      <c r="K238" s="29">
        <f t="shared" ref="K238" si="44">SUM(K213:K237)</f>
        <v>2</v>
      </c>
      <c r="L238" s="29">
        <f t="shared" ref="L238" si="45">SUM(L213:L237)</f>
        <v>7</v>
      </c>
      <c r="M238" s="29">
        <f t="shared" ref="M238" si="46">SUM(M213:M237)</f>
        <v>2</v>
      </c>
      <c r="N238" s="29">
        <f t="shared" ref="N238" si="47">SUM(N213:N237)</f>
        <v>2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2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AYG112</v>
      </c>
      <c r="B241" s="24">
        <f>B1</f>
        <v>45832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20</v>
      </c>
      <c r="C243" s="85" t="s">
        <v>329</v>
      </c>
      <c r="D243" s="106" t="s">
        <v>330</v>
      </c>
      <c r="E243" s="106" t="s">
        <v>38</v>
      </c>
      <c r="F243" s="14"/>
      <c r="G243" s="12" t="s">
        <v>180</v>
      </c>
      <c r="H243" s="13"/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45868</v>
      </c>
      <c r="U243" s="13" t="s">
        <v>146</v>
      </c>
      <c r="V243">
        <v>1</v>
      </c>
      <c r="X243" t="s">
        <v>106</v>
      </c>
      <c r="Y243">
        <f>COUNTIF(U243:U267,"K")</f>
        <v>5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331</v>
      </c>
      <c r="D244" s="106" t="s">
        <v>330</v>
      </c>
      <c r="E244" s="106" t="s">
        <v>38</v>
      </c>
      <c r="F244" s="16"/>
      <c r="G244" s="12" t="s">
        <v>180</v>
      </c>
      <c r="H244" s="15"/>
      <c r="I244" s="15"/>
      <c r="J244" s="13">
        <v>1</v>
      </c>
      <c r="K244" s="15"/>
      <c r="L244" s="13"/>
      <c r="M244" s="17"/>
      <c r="N244" s="17"/>
      <c r="O244" s="17"/>
      <c r="P244" s="17"/>
      <c r="Q244" s="17"/>
      <c r="R244" s="17"/>
      <c r="S244" s="15"/>
      <c r="T244" s="25">
        <v>45868</v>
      </c>
      <c r="U244" s="13" t="s">
        <v>146</v>
      </c>
      <c r="V244">
        <v>2</v>
      </c>
      <c r="X244" t="s">
        <v>107</v>
      </c>
      <c r="Y244">
        <f>COUNTIF(U243:U267,"R")</f>
        <v>5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332</v>
      </c>
      <c r="D245" s="106" t="s">
        <v>330</v>
      </c>
      <c r="E245" s="106" t="s">
        <v>38</v>
      </c>
      <c r="F245" s="16"/>
      <c r="G245" s="12" t="s">
        <v>180</v>
      </c>
      <c r="H245" s="13"/>
      <c r="I245" s="15"/>
      <c r="J245" s="13">
        <v>1</v>
      </c>
      <c r="K245" s="15"/>
      <c r="L245" s="13"/>
      <c r="M245" s="17"/>
      <c r="N245" s="17"/>
      <c r="O245" s="17"/>
      <c r="P245" s="17"/>
      <c r="Q245" s="17"/>
      <c r="R245" s="17"/>
      <c r="S245" s="15"/>
      <c r="T245" s="25">
        <v>45868</v>
      </c>
      <c r="U245" s="13" t="s">
        <v>146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333</v>
      </c>
      <c r="D246" s="106" t="s">
        <v>201</v>
      </c>
      <c r="E246" s="106" t="s">
        <v>58</v>
      </c>
      <c r="F246" s="16"/>
      <c r="G246" s="12" t="s">
        <v>180</v>
      </c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>
        <v>1</v>
      </c>
      <c r="T246" s="25">
        <v>45856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334</v>
      </c>
      <c r="D247" s="106" t="s">
        <v>201</v>
      </c>
      <c r="E247" s="106" t="s">
        <v>58</v>
      </c>
      <c r="F247" s="16"/>
      <c r="G247" s="12" t="s">
        <v>180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45856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335</v>
      </c>
      <c r="D248" s="106" t="s">
        <v>179</v>
      </c>
      <c r="E248" s="106" t="s">
        <v>36</v>
      </c>
      <c r="F248" s="16"/>
      <c r="G248" s="12" t="s">
        <v>180</v>
      </c>
      <c r="H248" s="13"/>
      <c r="I248" s="15"/>
      <c r="J248" s="13"/>
      <c r="K248" s="15"/>
      <c r="L248" s="13"/>
      <c r="M248" s="17">
        <v>1</v>
      </c>
      <c r="N248" s="17">
        <v>1</v>
      </c>
      <c r="O248" s="17"/>
      <c r="P248" s="17"/>
      <c r="Q248" s="17"/>
      <c r="R248" s="17"/>
      <c r="S248" s="15"/>
      <c r="T248" s="25">
        <v>45864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336</v>
      </c>
      <c r="D249" s="106" t="s">
        <v>179</v>
      </c>
      <c r="E249" s="106" t="s">
        <v>36</v>
      </c>
      <c r="F249" s="16"/>
      <c r="G249" s="12" t="s">
        <v>180</v>
      </c>
      <c r="H249" s="15"/>
      <c r="I249" s="15"/>
      <c r="J249" s="13"/>
      <c r="K249" s="15"/>
      <c r="L249" s="13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5">
        <v>45861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337</v>
      </c>
      <c r="D250" s="106" t="s">
        <v>179</v>
      </c>
      <c r="E250" s="106" t="s">
        <v>36</v>
      </c>
      <c r="F250" s="16"/>
      <c r="G250" s="12" t="s">
        <v>180</v>
      </c>
      <c r="H250" s="15"/>
      <c r="I250" s="15"/>
      <c r="J250" s="13"/>
      <c r="K250" s="15"/>
      <c r="L250" s="13"/>
      <c r="M250" s="17">
        <v>1</v>
      </c>
      <c r="N250" s="17"/>
      <c r="O250" s="17"/>
      <c r="P250" s="17"/>
      <c r="Q250" s="17">
        <v>1</v>
      </c>
      <c r="R250" s="17"/>
      <c r="S250" s="15"/>
      <c r="T250" s="25">
        <v>45864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338</v>
      </c>
      <c r="D251" s="106" t="s">
        <v>206</v>
      </c>
      <c r="E251" s="106" t="s">
        <v>40</v>
      </c>
      <c r="F251" s="16"/>
      <c r="G251" s="12" t="s">
        <v>180</v>
      </c>
      <c r="H251" s="15"/>
      <c r="I251" s="15"/>
      <c r="J251" s="13"/>
      <c r="K251" s="15"/>
      <c r="L251" s="13"/>
      <c r="M251" s="17"/>
      <c r="N251" s="17"/>
      <c r="O251" s="17">
        <v>1</v>
      </c>
      <c r="P251" s="17">
        <v>1</v>
      </c>
      <c r="Q251" s="17"/>
      <c r="R251" s="17"/>
      <c r="S251" s="15"/>
      <c r="T251" s="25">
        <v>45868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339</v>
      </c>
      <c r="D252" s="106" t="s">
        <v>206</v>
      </c>
      <c r="E252" s="106" t="s">
        <v>40</v>
      </c>
      <c r="F252" s="106"/>
      <c r="G252" s="12" t="s">
        <v>180</v>
      </c>
      <c r="H252" s="15"/>
      <c r="I252" s="15"/>
      <c r="J252" s="13"/>
      <c r="K252" s="15"/>
      <c r="L252" s="13"/>
      <c r="M252" s="17"/>
      <c r="N252" s="17"/>
      <c r="O252" s="17">
        <v>1</v>
      </c>
      <c r="P252" s="17">
        <v>1</v>
      </c>
      <c r="Q252" s="17"/>
      <c r="R252" s="17"/>
      <c r="S252" s="15"/>
      <c r="T252" s="25">
        <v>45868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340</v>
      </c>
      <c r="D253" s="106" t="s">
        <v>341</v>
      </c>
      <c r="E253" s="106" t="s">
        <v>133</v>
      </c>
      <c r="F253" s="16"/>
      <c r="G253" s="12" t="s">
        <v>180</v>
      </c>
      <c r="H253" s="15"/>
      <c r="I253" s="15"/>
      <c r="J253" s="15"/>
      <c r="K253" s="15"/>
      <c r="L253" s="17"/>
      <c r="M253" s="17"/>
      <c r="N253" s="17"/>
      <c r="O253" s="17"/>
      <c r="P253" s="17">
        <v>1</v>
      </c>
      <c r="Q253" s="17">
        <v>1</v>
      </c>
      <c r="R253" s="17">
        <v>1</v>
      </c>
      <c r="S253" s="15"/>
      <c r="T253" s="25">
        <v>45871</v>
      </c>
      <c r="U253" s="13" t="s">
        <v>148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342</v>
      </c>
      <c r="D254" s="106" t="s">
        <v>207</v>
      </c>
      <c r="E254" s="106" t="s">
        <v>58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>
        <v>1</v>
      </c>
      <c r="T254" s="25">
        <v>45864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 t="s">
        <v>343</v>
      </c>
      <c r="D255" s="106" t="s">
        <v>207</v>
      </c>
      <c r="E255" s="106" t="s">
        <v>39</v>
      </c>
      <c r="F255" s="16"/>
      <c r="G255" s="12" t="s">
        <v>180</v>
      </c>
      <c r="H255" s="15"/>
      <c r="I255" s="15"/>
      <c r="J255" s="15">
        <v>1</v>
      </c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45864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0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13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3</v>
      </c>
      <c r="N268" s="29">
        <f t="shared" ref="N268" si="57">SUM(N243:N267)</f>
        <v>2</v>
      </c>
      <c r="O268" s="29">
        <f t="shared" ref="O268" si="58">SUM(O243:O267)</f>
        <v>2</v>
      </c>
      <c r="P268" s="29">
        <f t="shared" ref="P268" si="59">SUM(P243:P267)</f>
        <v>3</v>
      </c>
      <c r="Q268" s="29">
        <f t="shared" ref="Q268" si="60">SUM(Q243:Q267)</f>
        <v>3</v>
      </c>
      <c r="R268" s="29">
        <f t="shared" ref="R268" si="61">SUM(R243:R267)</f>
        <v>1</v>
      </c>
      <c r="S268" s="29">
        <f t="shared" ref="S268" si="62">SUM(S243:S267)</f>
        <v>2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AYG112</v>
      </c>
      <c r="B271" s="24">
        <f>B1</f>
        <v>45832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>
        <v>21.4</v>
      </c>
      <c r="C273" s="85" t="s">
        <v>344</v>
      </c>
      <c r="D273" s="109" t="s">
        <v>341</v>
      </c>
      <c r="E273" s="13" t="s">
        <v>39</v>
      </c>
      <c r="F273" s="14"/>
      <c r="G273" s="12" t="s">
        <v>180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45863</v>
      </c>
      <c r="U273" s="13" t="s">
        <v>146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 t="s">
        <v>345</v>
      </c>
      <c r="D274" s="109" t="s">
        <v>341</v>
      </c>
      <c r="E274" s="13" t="s">
        <v>39</v>
      </c>
      <c r="F274" s="16"/>
      <c r="G274" s="12" t="s">
        <v>180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45863</v>
      </c>
      <c r="U274" s="13" t="s">
        <v>146</v>
      </c>
      <c r="V274">
        <v>2</v>
      </c>
      <c r="X274" s="51" t="s">
        <v>107</v>
      </c>
      <c r="Y274" s="52">
        <f>COUNTIF(U273:U297,"R")</f>
        <v>3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 t="s">
        <v>346</v>
      </c>
      <c r="D275" s="109" t="s">
        <v>179</v>
      </c>
      <c r="E275" s="13" t="s">
        <v>36</v>
      </c>
      <c r="F275" s="16"/>
      <c r="G275" s="12" t="s">
        <v>180</v>
      </c>
      <c r="H275" s="15"/>
      <c r="I275" s="15"/>
      <c r="J275" s="15"/>
      <c r="K275" s="15"/>
      <c r="L275" s="17"/>
      <c r="M275" s="17">
        <v>1</v>
      </c>
      <c r="N275" s="17">
        <v>1</v>
      </c>
      <c r="O275" s="17"/>
      <c r="P275" s="17"/>
      <c r="Q275" s="17">
        <v>1</v>
      </c>
      <c r="R275" s="17"/>
      <c r="S275" s="15"/>
      <c r="T275" s="26">
        <v>45854</v>
      </c>
      <c r="U275" s="13" t="s">
        <v>147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 t="s">
        <v>347</v>
      </c>
      <c r="D276" s="109" t="s">
        <v>179</v>
      </c>
      <c r="E276" s="13" t="s">
        <v>37</v>
      </c>
      <c r="F276" s="16"/>
      <c r="G276" s="12" t="s">
        <v>180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>
        <v>1</v>
      </c>
      <c r="R276" s="17"/>
      <c r="S276" s="15"/>
      <c r="T276" s="26">
        <v>45853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 t="s">
        <v>348</v>
      </c>
      <c r="D277" s="109" t="s">
        <v>179</v>
      </c>
      <c r="E277" s="13" t="s">
        <v>37</v>
      </c>
      <c r="F277" s="16"/>
      <c r="G277" s="12" t="s">
        <v>180</v>
      </c>
      <c r="H277" s="15"/>
      <c r="I277" s="15"/>
      <c r="J277" s="15"/>
      <c r="K277" s="15"/>
      <c r="L277" s="17"/>
      <c r="M277" s="17">
        <v>1</v>
      </c>
      <c r="N277" s="17">
        <v>1</v>
      </c>
      <c r="O277" s="17"/>
      <c r="P277" s="17"/>
      <c r="Q277" s="17"/>
      <c r="R277" s="17"/>
      <c r="S277" s="15"/>
      <c r="T277" s="26">
        <v>45853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 t="s">
        <v>349</v>
      </c>
      <c r="D278" s="109" t="s">
        <v>193</v>
      </c>
      <c r="E278" s="13" t="s">
        <v>59</v>
      </c>
      <c r="F278" s="16"/>
      <c r="G278" s="12" t="s">
        <v>180</v>
      </c>
      <c r="H278" s="13" t="s">
        <v>194</v>
      </c>
      <c r="I278" s="15"/>
      <c r="J278" s="15">
        <v>2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45868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 t="s">
        <v>350</v>
      </c>
      <c r="D279" s="109" t="s">
        <v>193</v>
      </c>
      <c r="E279" s="13" t="s">
        <v>59</v>
      </c>
      <c r="F279" s="16"/>
      <c r="G279" s="12" t="s">
        <v>180</v>
      </c>
      <c r="H279" s="15" t="s">
        <v>194</v>
      </c>
      <c r="I279" s="15"/>
      <c r="J279" s="15">
        <v>2</v>
      </c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45868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 t="s">
        <v>351</v>
      </c>
      <c r="D280" s="109" t="s">
        <v>193</v>
      </c>
      <c r="E280" s="13" t="s">
        <v>59</v>
      </c>
      <c r="F280" s="16"/>
      <c r="G280" s="12" t="s">
        <v>180</v>
      </c>
      <c r="H280" s="15" t="s">
        <v>194</v>
      </c>
      <c r="I280" s="15"/>
      <c r="J280" s="15">
        <v>2</v>
      </c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45868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8</v>
      </c>
      <c r="D298" s="112"/>
      <c r="E298" s="29"/>
      <c r="F298" s="29" t="s">
        <v>34</v>
      </c>
      <c r="G298" s="29">
        <f>COUNTIF(G273:G297,"S")</f>
        <v>8</v>
      </c>
      <c r="H298" s="29">
        <f>COUNTIF(H273:H297,"E")</f>
        <v>3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3</v>
      </c>
      <c r="N298" s="29">
        <f t="shared" ref="N298" si="67">SUM(N273:N297)</f>
        <v>3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2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AYG112</v>
      </c>
      <c r="B301" s="24">
        <f>B1</f>
        <v>45832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AYG112</v>
      </c>
      <c r="B331" s="24">
        <f>B151</f>
        <v>45832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K1533"/>
  <sheetViews>
    <sheetView zoomScaleNormal="100" workbookViewId="0">
      <selection activeCell="H22" sqref="H2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6" width="16.625" customWidth="1"/>
    <col min="37" max="37" width="11" customWidth="1"/>
    <col min="38" max="38" width="10.5" style="121" customWidth="1"/>
    <col min="39" max="39" width="10.25" style="121" customWidth="1"/>
    <col min="40" max="40" width="10.875" style="121" customWidth="1"/>
    <col min="41" max="54" width="16.625" customWidth="1"/>
    <col min="55" max="55" width="20.5" customWidth="1"/>
    <col min="60" max="60" width="12.375" customWidth="1"/>
    <col min="61" max="61" width="11.25" customWidth="1"/>
    <col min="62" max="62" width="10.5" customWidth="1"/>
    <col min="63" max="63" width="10.25" customWidth="1"/>
  </cols>
  <sheetData>
    <row r="1" spans="1:59" x14ac:dyDescent="0.4">
      <c r="A1" s="120" t="s">
        <v>216</v>
      </c>
      <c r="B1" s="121"/>
      <c r="C1" s="121"/>
      <c r="D1" s="121"/>
      <c r="T1" t="s">
        <v>143</v>
      </c>
      <c r="U1" t="s">
        <v>144</v>
      </c>
      <c r="AE1" t="s">
        <v>143</v>
      </c>
      <c r="AF1" t="s">
        <v>144</v>
      </c>
      <c r="AK1" s="120"/>
      <c r="BC1" t="s">
        <v>143</v>
      </c>
      <c r="BD1" t="s">
        <v>144</v>
      </c>
    </row>
    <row r="2" spans="1:59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T2" s="25">
        <v>45845</v>
      </c>
      <c r="U2" s="13" t="s">
        <v>146</v>
      </c>
      <c r="AE2" s="25">
        <v>45669</v>
      </c>
      <c r="AF2" s="13" t="s">
        <v>147</v>
      </c>
      <c r="AK2" s="116"/>
      <c r="AL2" s="123"/>
      <c r="AM2" s="123"/>
      <c r="AN2" s="123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25">
        <v>45258</v>
      </c>
      <c r="BD2" s="13" t="s">
        <v>162</v>
      </c>
      <c r="BG2" s="114"/>
    </row>
    <row r="3" spans="1:59" ht="20.100000000000001" customHeight="1" x14ac:dyDescent="0.4">
      <c r="A3" s="117">
        <v>45845</v>
      </c>
      <c r="B3" s="123">
        <v>1</v>
      </c>
      <c r="C3" s="123"/>
      <c r="D3" s="123"/>
      <c r="S3" s="115" t="s">
        <v>189</v>
      </c>
      <c r="T3" s="13">
        <f>SUBTOTAL(3,T2:T2)</f>
        <v>1</v>
      </c>
      <c r="U3" s="13">
        <f>SUBTOTAL(3,U2:U2)</f>
        <v>1</v>
      </c>
      <c r="AE3" s="25"/>
      <c r="AF3" s="13"/>
      <c r="AK3" s="116"/>
      <c r="AL3" s="123"/>
      <c r="AM3" s="123"/>
      <c r="AN3" s="123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25"/>
      <c r="BD3" s="13"/>
      <c r="BG3" s="114"/>
    </row>
    <row r="4" spans="1:59" ht="20.100000000000001" customHeight="1" x14ac:dyDescent="0.4">
      <c r="A4" s="117">
        <v>45846</v>
      </c>
      <c r="B4" s="123"/>
      <c r="C4" s="123">
        <v>1</v>
      </c>
      <c r="D4" s="123"/>
      <c r="R4" s="115"/>
      <c r="S4" s="115"/>
      <c r="T4" s="25">
        <v>45846</v>
      </c>
      <c r="U4" s="13" t="s">
        <v>147</v>
      </c>
      <c r="AE4" s="25"/>
      <c r="AF4" s="13"/>
      <c r="AK4" s="116"/>
      <c r="AL4" s="123"/>
      <c r="AM4" s="123"/>
      <c r="AN4" s="123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25"/>
      <c r="BD4" s="13"/>
      <c r="BG4" s="114"/>
    </row>
    <row r="5" spans="1:59" ht="20.100000000000001" customHeight="1" x14ac:dyDescent="0.4">
      <c r="A5" s="117">
        <v>45851</v>
      </c>
      <c r="B5" s="123"/>
      <c r="C5" s="123">
        <v>1</v>
      </c>
      <c r="D5" s="123"/>
      <c r="R5" s="115"/>
      <c r="S5" s="115" t="s">
        <v>184</v>
      </c>
      <c r="T5" s="13">
        <f>SUBTOTAL(3,T4:T4)</f>
        <v>1</v>
      </c>
      <c r="U5" s="13">
        <f>SUBTOTAL(3,U4:U4)</f>
        <v>1</v>
      </c>
      <c r="AE5" s="25"/>
      <c r="AF5" s="13"/>
      <c r="AK5" s="116"/>
      <c r="AL5" s="123"/>
      <c r="AM5" s="123"/>
      <c r="AN5" s="123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25"/>
      <c r="BD5" s="13"/>
      <c r="BG5" s="114"/>
    </row>
    <row r="6" spans="1:59" ht="20.100000000000001" customHeight="1" x14ac:dyDescent="0.4">
      <c r="A6" s="117">
        <v>45853</v>
      </c>
      <c r="B6" s="123">
        <v>1</v>
      </c>
      <c r="C6" s="123">
        <v>3</v>
      </c>
      <c r="D6" s="123"/>
      <c r="Q6" s="115"/>
      <c r="R6" s="115"/>
      <c r="S6" s="115"/>
      <c r="T6" s="25">
        <v>45851</v>
      </c>
      <c r="U6" s="13" t="s">
        <v>147</v>
      </c>
      <c r="AE6" s="25"/>
      <c r="AF6" s="13"/>
      <c r="AK6" s="116"/>
      <c r="AL6" s="123"/>
      <c r="AM6" s="123"/>
      <c r="AN6" s="123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25"/>
      <c r="BD6" s="13"/>
      <c r="BG6" s="114"/>
    </row>
    <row r="7" spans="1:59" ht="20.100000000000001" customHeight="1" x14ac:dyDescent="0.4">
      <c r="A7" s="117">
        <v>45854</v>
      </c>
      <c r="B7" s="123"/>
      <c r="C7" s="123">
        <v>6</v>
      </c>
      <c r="D7" s="123"/>
      <c r="Q7" s="115"/>
      <c r="R7" s="115"/>
      <c r="S7" s="115" t="s">
        <v>190</v>
      </c>
      <c r="T7" s="13">
        <f>SUBTOTAL(3,T6:T6)</f>
        <v>1</v>
      </c>
      <c r="U7" s="13">
        <f>SUBTOTAL(3,U6:U6)</f>
        <v>1</v>
      </c>
      <c r="AE7" s="25"/>
      <c r="AF7" s="13"/>
      <c r="AK7" s="116"/>
      <c r="AL7" s="123"/>
      <c r="AM7" s="123"/>
      <c r="AN7" s="123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25"/>
      <c r="BD7" s="13"/>
      <c r="BG7" s="114"/>
    </row>
    <row r="8" spans="1:59" ht="20.100000000000001" customHeight="1" x14ac:dyDescent="0.4">
      <c r="A8" s="117">
        <v>45856</v>
      </c>
      <c r="B8" s="123">
        <v>1</v>
      </c>
      <c r="C8" s="123">
        <v>1</v>
      </c>
      <c r="D8" s="123"/>
      <c r="P8" s="115"/>
      <c r="Q8" s="115"/>
      <c r="R8" s="115"/>
      <c r="S8" s="115"/>
      <c r="T8" s="25">
        <v>45853</v>
      </c>
      <c r="U8" s="13" t="s">
        <v>147</v>
      </c>
      <c r="AE8" s="25"/>
      <c r="AF8" s="13"/>
      <c r="AK8" s="116"/>
      <c r="AL8" s="123"/>
      <c r="AM8" s="123"/>
      <c r="AN8" s="123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25"/>
      <c r="BD8" s="13"/>
      <c r="BG8" s="114"/>
    </row>
    <row r="9" spans="1:59" ht="20.100000000000001" customHeight="1" x14ac:dyDescent="0.4">
      <c r="A9" s="117">
        <v>45858</v>
      </c>
      <c r="B9" s="123">
        <v>4</v>
      </c>
      <c r="C9" s="123">
        <v>2</v>
      </c>
      <c r="D9" s="123"/>
      <c r="P9" s="115"/>
      <c r="Q9" s="115"/>
      <c r="R9" s="115"/>
      <c r="S9" s="115"/>
      <c r="T9" s="25">
        <v>45853</v>
      </c>
      <c r="U9" s="13" t="s">
        <v>146</v>
      </c>
      <c r="AE9" s="25"/>
      <c r="AF9" s="13"/>
      <c r="AK9" s="116"/>
      <c r="AL9" s="123"/>
      <c r="AM9" s="123"/>
      <c r="AN9" s="123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25"/>
      <c r="BD9" s="13"/>
      <c r="BG9" s="114"/>
    </row>
    <row r="10" spans="1:59" ht="20.100000000000001" customHeight="1" x14ac:dyDescent="0.4">
      <c r="A10" s="117">
        <v>45859</v>
      </c>
      <c r="B10" s="123">
        <v>4</v>
      </c>
      <c r="C10" s="123">
        <v>1</v>
      </c>
      <c r="D10" s="123"/>
      <c r="N10" s="115"/>
      <c r="O10" s="115"/>
      <c r="P10" s="115"/>
      <c r="Q10" s="115"/>
      <c r="R10" s="115"/>
      <c r="S10" s="115"/>
      <c r="T10" s="25">
        <v>45853</v>
      </c>
      <c r="U10" s="13" t="s">
        <v>147</v>
      </c>
      <c r="AE10" s="25"/>
      <c r="AF10" s="13"/>
      <c r="AK10" s="116"/>
      <c r="AL10" s="123"/>
      <c r="AM10" s="123"/>
      <c r="AN10" s="123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25"/>
      <c r="BD10" s="13"/>
      <c r="BG10" s="114"/>
    </row>
    <row r="11" spans="1:59" ht="20.100000000000001" customHeight="1" x14ac:dyDescent="0.4">
      <c r="A11" s="117">
        <v>45860</v>
      </c>
      <c r="B11" s="123">
        <v>4</v>
      </c>
      <c r="C11" s="123">
        <v>5</v>
      </c>
      <c r="D11" s="123"/>
      <c r="N11" s="115"/>
      <c r="O11" s="115"/>
      <c r="P11" s="115"/>
      <c r="Q11" s="115"/>
      <c r="R11" s="115"/>
      <c r="S11" s="115"/>
      <c r="T11" s="25">
        <v>45853</v>
      </c>
      <c r="U11" s="13" t="s">
        <v>147</v>
      </c>
      <c r="AE11" s="25"/>
      <c r="AF11" s="13"/>
      <c r="AK11" s="116"/>
      <c r="AL11" s="123"/>
      <c r="AM11" s="123"/>
      <c r="AN11" s="123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25"/>
      <c r="BD11" s="13"/>
      <c r="BG11" s="114"/>
    </row>
    <row r="12" spans="1:59" ht="20.100000000000001" customHeight="1" x14ac:dyDescent="0.4">
      <c r="A12" s="117">
        <v>45861</v>
      </c>
      <c r="B12" s="123">
        <v>28</v>
      </c>
      <c r="C12" s="123">
        <v>6</v>
      </c>
      <c r="D12" s="123"/>
      <c r="N12" s="115"/>
      <c r="O12" s="115"/>
      <c r="P12" s="115"/>
      <c r="Q12" s="115"/>
      <c r="R12" s="115"/>
      <c r="S12" s="115" t="s">
        <v>208</v>
      </c>
      <c r="T12" s="13">
        <f>SUBTOTAL(3,T8:T11)</f>
        <v>4</v>
      </c>
      <c r="U12" s="13">
        <f>SUBTOTAL(3,U8:U11)</f>
        <v>4</v>
      </c>
      <c r="AE12" s="25"/>
      <c r="AF12" s="13"/>
      <c r="AK12" s="116"/>
      <c r="AL12" s="123"/>
      <c r="AM12" s="123"/>
      <c r="AN12" s="123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25"/>
      <c r="BD12" s="13"/>
      <c r="BG12" s="114"/>
    </row>
    <row r="13" spans="1:59" ht="20.100000000000001" customHeight="1" x14ac:dyDescent="0.4">
      <c r="A13" s="117">
        <v>45863</v>
      </c>
      <c r="B13" s="123">
        <v>2</v>
      </c>
      <c r="C13" s="123">
        <v>2</v>
      </c>
      <c r="D13" s="123"/>
      <c r="N13" s="115"/>
      <c r="O13" s="115"/>
      <c r="P13" s="115"/>
      <c r="Q13" s="115"/>
      <c r="R13" s="115"/>
      <c r="S13" s="115"/>
      <c r="T13" s="25">
        <v>45854</v>
      </c>
      <c r="U13" s="13" t="s">
        <v>147</v>
      </c>
      <c r="AE13" s="25"/>
      <c r="AF13" s="13"/>
      <c r="AK13" s="116"/>
      <c r="AL13" s="123"/>
      <c r="AM13" s="123"/>
      <c r="AN13" s="123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25"/>
      <c r="BD13" s="13"/>
      <c r="BG13" s="114"/>
    </row>
    <row r="14" spans="1:59" ht="20.100000000000001" customHeight="1" x14ac:dyDescent="0.4">
      <c r="A14" s="117">
        <v>45864</v>
      </c>
      <c r="B14" s="123">
        <v>7</v>
      </c>
      <c r="C14" s="123">
        <v>4</v>
      </c>
      <c r="D14" s="123">
        <v>1</v>
      </c>
      <c r="N14" s="115"/>
      <c r="O14" s="115"/>
      <c r="P14" s="115"/>
      <c r="Q14" s="115"/>
      <c r="R14" s="115"/>
      <c r="S14" s="115"/>
      <c r="T14" s="25">
        <v>45854</v>
      </c>
      <c r="U14" s="13" t="s">
        <v>147</v>
      </c>
      <c r="AE14" s="25"/>
      <c r="AF14" s="13"/>
      <c r="AK14" s="116"/>
      <c r="AL14" s="123"/>
      <c r="AM14" s="123"/>
      <c r="AN14" s="123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25"/>
      <c r="BD14" s="13"/>
      <c r="BG14" s="114"/>
    </row>
    <row r="15" spans="1:59" ht="20.100000000000001" customHeight="1" x14ac:dyDescent="0.4">
      <c r="A15" s="117">
        <v>45865</v>
      </c>
      <c r="B15" s="123">
        <v>2</v>
      </c>
      <c r="C15" s="123">
        <v>5</v>
      </c>
      <c r="D15" s="123">
        <v>2</v>
      </c>
      <c r="N15" s="115"/>
      <c r="O15" s="115"/>
      <c r="P15" s="115"/>
      <c r="Q15" s="115"/>
      <c r="R15" s="115"/>
      <c r="S15" s="115"/>
      <c r="T15" s="25">
        <v>45854</v>
      </c>
      <c r="U15" s="13" t="s">
        <v>147</v>
      </c>
      <c r="AE15" s="25"/>
      <c r="AF15" s="13"/>
      <c r="AK15" s="116"/>
      <c r="AL15" s="123"/>
      <c r="AM15" s="123"/>
      <c r="AN15" s="123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25"/>
      <c r="BD15" s="13"/>
      <c r="BG15" s="114"/>
    </row>
    <row r="16" spans="1:59" ht="20.100000000000001" customHeight="1" x14ac:dyDescent="0.4">
      <c r="A16" s="117">
        <v>45866</v>
      </c>
      <c r="B16" s="123">
        <v>2</v>
      </c>
      <c r="C16" s="123">
        <v>1</v>
      </c>
      <c r="D16" s="123">
        <v>2</v>
      </c>
      <c r="N16" s="115"/>
      <c r="O16" s="115"/>
      <c r="P16" s="115"/>
      <c r="Q16" s="115"/>
      <c r="R16" s="115"/>
      <c r="S16" s="115"/>
      <c r="T16" s="25">
        <v>45854</v>
      </c>
      <c r="U16" s="13" t="s">
        <v>147</v>
      </c>
      <c r="AE16" s="25"/>
      <c r="AF16" s="13"/>
      <c r="AK16" s="116"/>
      <c r="AL16" s="123"/>
      <c r="AM16" s="123"/>
      <c r="AN16" s="123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25"/>
      <c r="BD16" s="13"/>
      <c r="BG16" s="114"/>
    </row>
    <row r="17" spans="1:59" ht="20.100000000000001" customHeight="1" x14ac:dyDescent="0.4">
      <c r="A17" s="117">
        <v>45867</v>
      </c>
      <c r="B17" s="123">
        <v>12</v>
      </c>
      <c r="C17" s="123">
        <v>2</v>
      </c>
      <c r="D17" s="123">
        <v>2</v>
      </c>
      <c r="K17" s="115"/>
      <c r="L17" s="115"/>
      <c r="M17" s="115"/>
      <c r="N17" s="115"/>
      <c r="O17" s="115"/>
      <c r="P17" s="115"/>
      <c r="Q17" s="115"/>
      <c r="R17" s="115"/>
      <c r="S17" s="115"/>
      <c r="T17" s="25">
        <v>45854</v>
      </c>
      <c r="U17" s="13" t="s">
        <v>147</v>
      </c>
      <c r="AE17" s="25"/>
      <c r="AF17" s="13"/>
      <c r="AK17" s="116"/>
      <c r="AL17" s="123"/>
      <c r="AM17" s="123"/>
      <c r="AN17" s="123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25"/>
      <c r="BD17" s="13"/>
      <c r="BG17" s="114"/>
    </row>
    <row r="18" spans="1:59" ht="20.100000000000001" customHeight="1" x14ac:dyDescent="0.4">
      <c r="A18" s="117">
        <v>45868</v>
      </c>
      <c r="B18" s="123">
        <v>6</v>
      </c>
      <c r="C18" s="123"/>
      <c r="D18" s="123">
        <v>2</v>
      </c>
      <c r="K18" s="115"/>
      <c r="L18" s="115"/>
      <c r="M18" s="115"/>
      <c r="N18" s="115"/>
      <c r="O18" s="115"/>
      <c r="P18" s="115"/>
      <c r="Q18" s="115"/>
      <c r="R18" s="115"/>
      <c r="S18" s="115"/>
      <c r="T18" s="25">
        <v>45854</v>
      </c>
      <c r="U18" s="13" t="s">
        <v>147</v>
      </c>
      <c r="AE18" s="25"/>
      <c r="AF18" s="13"/>
      <c r="AK18" s="116"/>
      <c r="AL18" s="123"/>
      <c r="AM18" s="123"/>
      <c r="AN18" s="123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25"/>
      <c r="BD18" s="13"/>
      <c r="BG18" s="114"/>
    </row>
    <row r="19" spans="1:59" ht="20.100000000000001" customHeight="1" x14ac:dyDescent="0.4">
      <c r="A19" s="117">
        <v>45871</v>
      </c>
      <c r="B19" s="123"/>
      <c r="C19" s="123"/>
      <c r="D19" s="123">
        <v>1</v>
      </c>
      <c r="K19" s="115"/>
      <c r="L19" s="115"/>
      <c r="M19" s="115"/>
      <c r="N19" s="115"/>
      <c r="O19" s="115"/>
      <c r="P19" s="115"/>
      <c r="Q19" s="115"/>
      <c r="R19" s="115"/>
      <c r="S19" s="115" t="s">
        <v>191</v>
      </c>
      <c r="T19" s="13">
        <f>SUBTOTAL(3,T13:T18)</f>
        <v>6</v>
      </c>
      <c r="U19" s="13">
        <f>SUBTOTAL(3,U13:U18)</f>
        <v>6</v>
      </c>
      <c r="AE19" s="25"/>
      <c r="AF19" s="13"/>
      <c r="AK19" s="116"/>
      <c r="AL19" s="123"/>
      <c r="AM19" s="123"/>
      <c r="AN19" s="123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25"/>
      <c r="BD19" s="13"/>
      <c r="BG19" s="114"/>
    </row>
    <row r="20" spans="1:59" ht="20.100000000000001" customHeight="1" x14ac:dyDescent="0.4">
      <c r="A20" s="117">
        <v>45872</v>
      </c>
      <c r="B20" s="123">
        <v>1</v>
      </c>
      <c r="C20" s="123"/>
      <c r="D20" s="123"/>
      <c r="K20" s="115"/>
      <c r="L20" s="115"/>
      <c r="M20" s="115"/>
      <c r="N20" s="115"/>
      <c r="O20" s="115"/>
      <c r="P20" s="115"/>
      <c r="Q20" s="115"/>
      <c r="R20" s="115"/>
      <c r="S20" s="115"/>
      <c r="T20" s="25">
        <v>45856</v>
      </c>
      <c r="U20" s="13" t="s">
        <v>146</v>
      </c>
      <c r="AE20" s="25"/>
      <c r="AF20" s="13"/>
      <c r="AK20" s="116"/>
      <c r="AL20" s="123"/>
      <c r="AM20" s="123"/>
      <c r="AN20" s="123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25"/>
      <c r="BD20" s="13"/>
      <c r="BG20" s="114"/>
    </row>
    <row r="21" spans="1:59" ht="20.100000000000001" customHeight="1" x14ac:dyDescent="0.4">
      <c r="A21" s="117">
        <v>45877</v>
      </c>
      <c r="B21" s="123">
        <v>1</v>
      </c>
      <c r="C21" s="123"/>
      <c r="D21" s="123"/>
      <c r="K21" s="115"/>
      <c r="L21" s="115"/>
      <c r="M21" s="115"/>
      <c r="N21" s="115"/>
      <c r="O21" s="115"/>
      <c r="P21" s="115"/>
      <c r="Q21" s="115"/>
      <c r="R21" s="115"/>
      <c r="S21" s="115"/>
      <c r="T21" s="25">
        <v>45856</v>
      </c>
      <c r="U21" s="13" t="s">
        <v>147</v>
      </c>
      <c r="AE21" s="25"/>
      <c r="AF21" s="13"/>
      <c r="AK21" s="116"/>
      <c r="AL21" s="123"/>
      <c r="AM21" s="123"/>
      <c r="AN21" s="123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25"/>
      <c r="BD21" s="13"/>
      <c r="BG21" s="114"/>
    </row>
    <row r="22" spans="1:59" ht="20.100000000000001" customHeight="1" x14ac:dyDescent="0.4">
      <c r="A22" s="117"/>
      <c r="B22" s="123">
        <f>SUM(B3:B21)</f>
        <v>76</v>
      </c>
      <c r="C22" s="123">
        <f>SUM(C3:C21)</f>
        <v>40</v>
      </c>
      <c r="D22" s="123">
        <f>SUM(D3:D21)</f>
        <v>10</v>
      </c>
      <c r="K22" s="115"/>
      <c r="L22" s="115"/>
      <c r="M22" s="115"/>
      <c r="N22" s="115"/>
      <c r="O22" s="115"/>
      <c r="P22" s="115"/>
      <c r="Q22" s="115"/>
      <c r="R22" s="115"/>
      <c r="S22" s="115" t="s">
        <v>209</v>
      </c>
      <c r="T22" s="13">
        <f>SUBTOTAL(3,T20:T21)</f>
        <v>2</v>
      </c>
      <c r="U22" s="13">
        <f>SUBTOTAL(3,U20:U21)</f>
        <v>2</v>
      </c>
      <c r="AE22" s="25"/>
      <c r="AF22" s="13"/>
      <c r="AK22" s="116"/>
      <c r="AL22" s="123"/>
      <c r="AM22" s="123"/>
      <c r="AN22" s="123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25"/>
      <c r="BD22" s="13"/>
      <c r="BG22" s="114"/>
    </row>
    <row r="23" spans="1:59" ht="20.100000000000001" customHeight="1" x14ac:dyDescent="0.4">
      <c r="A23" s="117"/>
      <c r="B23" s="123"/>
      <c r="C23" s="123"/>
      <c r="D23" s="123">
        <f>SUM(B22:D22)</f>
        <v>126</v>
      </c>
      <c r="F23" s="117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25">
        <v>45858</v>
      </c>
      <c r="U23" s="13" t="s">
        <v>147</v>
      </c>
      <c r="AE23" s="25"/>
      <c r="AF23" s="13"/>
      <c r="AK23" s="116"/>
      <c r="AL23" s="123"/>
      <c r="AM23" s="123"/>
      <c r="AN23" s="123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25"/>
      <c r="BD23" s="13"/>
      <c r="BG23" s="114"/>
    </row>
    <row r="24" spans="1:59" ht="20.100000000000001" customHeight="1" x14ac:dyDescent="0.4">
      <c r="A24" s="117"/>
      <c r="B24" s="123"/>
      <c r="C24" s="123"/>
      <c r="D24" s="123"/>
      <c r="F24" s="117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25">
        <v>45858</v>
      </c>
      <c r="U24" s="13" t="s">
        <v>146</v>
      </c>
      <c r="AE24" s="25"/>
      <c r="AF24" s="13"/>
      <c r="AK24" s="116"/>
      <c r="AL24" s="123"/>
      <c r="AM24" s="123"/>
      <c r="AN24" s="123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25"/>
      <c r="BD24" s="13"/>
      <c r="BG24" s="114"/>
    </row>
    <row r="25" spans="1:59" ht="20.100000000000001" customHeight="1" x14ac:dyDescent="0.4">
      <c r="A25" s="117"/>
      <c r="B25" s="123"/>
      <c r="C25" s="123"/>
      <c r="D25" s="123"/>
      <c r="F25" s="117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25">
        <v>45858</v>
      </c>
      <c r="U25" s="13" t="s">
        <v>146</v>
      </c>
      <c r="AE25" s="25"/>
      <c r="AF25" s="13"/>
      <c r="AK25" s="116"/>
      <c r="AL25" s="123"/>
      <c r="AM25" s="123"/>
      <c r="AN25" s="123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25"/>
      <c r="BD25" s="13"/>
      <c r="BG25" s="114"/>
    </row>
    <row r="26" spans="1:59" ht="20.100000000000001" customHeight="1" x14ac:dyDescent="0.4">
      <c r="A26" s="117"/>
      <c r="B26" s="123"/>
      <c r="C26" s="123"/>
      <c r="D26" s="123"/>
      <c r="F26" s="117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25">
        <v>45858</v>
      </c>
      <c r="U26" s="13" t="s">
        <v>146</v>
      </c>
      <c r="AE26" s="25"/>
      <c r="AF26" s="13"/>
      <c r="AK26" s="116"/>
      <c r="AL26" s="123"/>
      <c r="AM26" s="123"/>
      <c r="AN26" s="123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25"/>
      <c r="BD26" s="13"/>
      <c r="BG26" s="114"/>
    </row>
    <row r="27" spans="1:59" ht="20.100000000000001" customHeight="1" x14ac:dyDescent="0.4">
      <c r="A27" s="117"/>
      <c r="B27" s="123"/>
      <c r="C27" s="123"/>
      <c r="D27" s="123"/>
      <c r="F27" s="117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25">
        <v>45858</v>
      </c>
      <c r="U27" s="13" t="s">
        <v>146</v>
      </c>
      <c r="AE27" s="25"/>
      <c r="AF27" s="13"/>
      <c r="AK27" s="116"/>
      <c r="AL27" s="123"/>
      <c r="AM27" s="123"/>
      <c r="AN27" s="123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25"/>
      <c r="BD27" s="13"/>
      <c r="BG27" s="114"/>
    </row>
    <row r="28" spans="1:59" ht="20.100000000000001" customHeight="1" x14ac:dyDescent="0.4">
      <c r="A28" s="117"/>
      <c r="B28" s="123"/>
      <c r="C28" s="123"/>
      <c r="D28" s="123"/>
      <c r="F28" s="117"/>
      <c r="T28" s="25">
        <v>45858</v>
      </c>
      <c r="U28" s="13" t="s">
        <v>147</v>
      </c>
      <c r="AE28" s="25"/>
      <c r="AF28" s="13"/>
      <c r="AK28" s="116"/>
      <c r="AL28" s="123"/>
      <c r="AM28" s="123"/>
      <c r="AN28" s="123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25"/>
      <c r="BD28" s="13"/>
      <c r="BG28" s="114"/>
    </row>
    <row r="29" spans="1:59" ht="20.100000000000001" customHeight="1" x14ac:dyDescent="0.4">
      <c r="A29" s="117"/>
      <c r="B29" s="123"/>
      <c r="C29" s="123"/>
      <c r="D29" s="123"/>
      <c r="F29" s="117"/>
      <c r="S29" s="115" t="s">
        <v>210</v>
      </c>
      <c r="T29" s="13">
        <f>SUBTOTAL(3,T23:T28)</f>
        <v>6</v>
      </c>
      <c r="U29" s="13">
        <f>SUBTOTAL(3,U23:U28)</f>
        <v>6</v>
      </c>
      <c r="AE29" s="25"/>
      <c r="AF29" s="13"/>
      <c r="AK29" s="116"/>
      <c r="AL29" s="123"/>
      <c r="AM29" s="123"/>
      <c r="AN29" s="123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25"/>
      <c r="BD29" s="13"/>
      <c r="BG29" s="114"/>
    </row>
    <row r="30" spans="1:59" ht="20.100000000000001" customHeight="1" x14ac:dyDescent="0.4">
      <c r="A30" s="117"/>
      <c r="B30" s="123"/>
      <c r="C30" s="123"/>
      <c r="D30" s="123"/>
      <c r="F30" s="117"/>
      <c r="O30" s="115"/>
      <c r="P30" s="115"/>
      <c r="Q30" s="115"/>
      <c r="R30" s="115"/>
      <c r="S30" s="115"/>
      <c r="T30" s="25">
        <v>45859</v>
      </c>
      <c r="U30" s="13" t="s">
        <v>146</v>
      </c>
      <c r="AE30" s="25"/>
      <c r="AF30" s="13"/>
      <c r="AK30" s="116"/>
      <c r="AL30" s="123"/>
      <c r="AM30" s="123"/>
      <c r="AN30" s="123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25"/>
      <c r="BD30" s="13"/>
      <c r="BG30" s="114"/>
    </row>
    <row r="31" spans="1:59" ht="20.100000000000001" customHeight="1" x14ac:dyDescent="0.4">
      <c r="A31" s="117"/>
      <c r="B31" s="123"/>
      <c r="C31" s="123"/>
      <c r="D31" s="123"/>
      <c r="F31" s="117"/>
      <c r="O31" s="115"/>
      <c r="P31" s="115"/>
      <c r="Q31" s="115"/>
      <c r="R31" s="115"/>
      <c r="S31" s="115"/>
      <c r="T31" s="25">
        <v>45859</v>
      </c>
      <c r="U31" s="13" t="s">
        <v>146</v>
      </c>
      <c r="AE31" s="25"/>
      <c r="AF31" s="13"/>
      <c r="AK31" s="116"/>
      <c r="AL31" s="123"/>
      <c r="AM31" s="123"/>
      <c r="AN31" s="123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25"/>
      <c r="BD31" s="13"/>
      <c r="BG31" s="114"/>
    </row>
    <row r="32" spans="1:59" ht="20.100000000000001" customHeight="1" x14ac:dyDescent="0.4">
      <c r="A32" s="117"/>
      <c r="B32" s="123"/>
      <c r="C32" s="123"/>
      <c r="D32" s="123"/>
      <c r="N32" s="115"/>
      <c r="O32" s="115"/>
      <c r="P32" s="115"/>
      <c r="Q32" s="115"/>
      <c r="R32" s="115"/>
      <c r="S32" s="115"/>
      <c r="T32" s="25">
        <v>45859</v>
      </c>
      <c r="U32" s="13" t="s">
        <v>146</v>
      </c>
      <c r="AE32" s="25"/>
      <c r="AF32" s="13"/>
      <c r="AK32" s="116"/>
      <c r="AL32" s="123"/>
      <c r="AM32" s="123"/>
      <c r="AN32" s="123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25"/>
      <c r="BD32" s="13"/>
      <c r="BG32" s="114"/>
    </row>
    <row r="33" spans="1:59" ht="20.100000000000001" customHeight="1" x14ac:dyDescent="0.4">
      <c r="A33" s="117"/>
      <c r="B33" s="123"/>
      <c r="C33" s="123"/>
      <c r="D33" s="123"/>
      <c r="N33" s="115"/>
      <c r="O33" s="115"/>
      <c r="P33" s="115"/>
      <c r="Q33" s="115"/>
      <c r="R33" s="115"/>
      <c r="S33" s="115"/>
      <c r="T33" s="25">
        <v>45859</v>
      </c>
      <c r="U33" s="15" t="s">
        <v>147</v>
      </c>
      <c r="AE33" s="25"/>
      <c r="AF33" s="13"/>
      <c r="AK33" s="116"/>
      <c r="AL33" s="123"/>
      <c r="AM33" s="123"/>
      <c r="AN33" s="123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25"/>
      <c r="BD33" s="13"/>
      <c r="BG33" s="114"/>
    </row>
    <row r="34" spans="1:59" ht="20.100000000000001" customHeight="1" x14ac:dyDescent="0.4">
      <c r="A34" s="117"/>
      <c r="B34" s="123"/>
      <c r="C34" s="123"/>
      <c r="D34" s="123"/>
      <c r="N34" s="115"/>
      <c r="O34" s="115"/>
      <c r="P34" s="115"/>
      <c r="Q34" s="115"/>
      <c r="R34" s="115"/>
      <c r="S34" s="115"/>
      <c r="T34" s="25">
        <v>45859</v>
      </c>
      <c r="U34" s="13" t="s">
        <v>146</v>
      </c>
      <c r="AE34" s="25"/>
      <c r="AF34" s="13"/>
      <c r="AK34" s="116"/>
      <c r="AL34" s="123"/>
      <c r="AM34" s="123"/>
      <c r="AN34" s="123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25"/>
      <c r="BD34" s="13"/>
      <c r="BG34" s="114"/>
    </row>
    <row r="35" spans="1:59" ht="20.100000000000001" customHeight="1" x14ac:dyDescent="0.4">
      <c r="A35" s="117"/>
      <c r="B35" s="123"/>
      <c r="C35" s="123"/>
      <c r="D35" s="123"/>
      <c r="N35" s="115"/>
      <c r="O35" s="115"/>
      <c r="P35" s="115"/>
      <c r="Q35" s="115"/>
      <c r="R35" s="115"/>
      <c r="S35" s="115" t="s">
        <v>211</v>
      </c>
      <c r="T35" s="13">
        <f>SUBTOTAL(3,T30:T34)</f>
        <v>5</v>
      </c>
      <c r="U35" s="13">
        <f>SUBTOTAL(3,U30:U34)</f>
        <v>5</v>
      </c>
      <c r="AE35" s="25"/>
      <c r="AF35" s="13"/>
      <c r="AK35" s="116"/>
      <c r="AL35" s="123"/>
      <c r="AM35" s="123"/>
      <c r="AN35" s="123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25"/>
      <c r="BD35" s="13"/>
      <c r="BG35" s="114"/>
    </row>
    <row r="36" spans="1:59" ht="20.100000000000001" customHeight="1" x14ac:dyDescent="0.4">
      <c r="A36" s="117"/>
      <c r="B36" s="123"/>
      <c r="C36" s="123"/>
      <c r="D36" s="123"/>
      <c r="M36" s="115"/>
      <c r="N36" s="115"/>
      <c r="O36" s="115"/>
      <c r="P36" s="115"/>
      <c r="Q36" s="115"/>
      <c r="R36" s="115"/>
      <c r="S36" s="115"/>
      <c r="T36" s="25">
        <v>45860</v>
      </c>
      <c r="U36" s="13" t="s">
        <v>142</v>
      </c>
      <c r="AE36" s="25"/>
      <c r="AF36" s="13"/>
      <c r="AK36" s="116"/>
      <c r="AL36" s="123"/>
      <c r="AM36" s="123"/>
      <c r="AN36" s="123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25"/>
      <c r="BD36" s="13"/>
      <c r="BG36" s="114"/>
    </row>
    <row r="37" spans="1:59" ht="20.100000000000001" customHeight="1" x14ac:dyDescent="0.4">
      <c r="A37" s="117"/>
      <c r="B37" s="123"/>
      <c r="C37" s="123"/>
      <c r="D37" s="123"/>
      <c r="M37" s="115"/>
      <c r="N37" s="115"/>
      <c r="O37" s="115"/>
      <c r="P37" s="115"/>
      <c r="Q37" s="115"/>
      <c r="R37" s="115"/>
      <c r="S37" s="115"/>
      <c r="T37" s="25">
        <v>45860</v>
      </c>
      <c r="U37" s="13" t="s">
        <v>146</v>
      </c>
      <c r="AE37" s="25"/>
      <c r="AF37" s="13"/>
      <c r="AK37" s="116"/>
      <c r="AL37" s="123"/>
      <c r="AM37" s="123"/>
      <c r="AN37" s="123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25"/>
      <c r="BD37" s="13"/>
      <c r="BG37" s="114"/>
    </row>
    <row r="38" spans="1:59" ht="20.100000000000001" customHeight="1" x14ac:dyDescent="0.4">
      <c r="A38" s="117"/>
      <c r="B38" s="123"/>
      <c r="C38" s="123"/>
      <c r="D38" s="123"/>
      <c r="M38" s="115"/>
      <c r="N38" s="115"/>
      <c r="O38" s="115"/>
      <c r="P38" s="115"/>
      <c r="Q38" s="115"/>
      <c r="R38" s="115"/>
      <c r="S38" s="115"/>
      <c r="T38" s="25">
        <v>45860</v>
      </c>
      <c r="U38" s="13" t="s">
        <v>146</v>
      </c>
      <c r="AE38" s="25"/>
      <c r="AF38" s="13"/>
      <c r="AK38" s="116"/>
      <c r="AL38" s="123"/>
      <c r="AM38" s="123"/>
      <c r="AN38" s="123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25"/>
      <c r="BD38" s="13"/>
      <c r="BG38" s="114"/>
    </row>
    <row r="39" spans="1:59" ht="20.100000000000001" customHeight="1" x14ac:dyDescent="0.4">
      <c r="A39" s="117"/>
      <c r="B39" s="123"/>
      <c r="C39" s="123"/>
      <c r="D39" s="123"/>
      <c r="M39" s="115"/>
      <c r="N39" s="115"/>
      <c r="O39" s="115"/>
      <c r="P39" s="115"/>
      <c r="Q39" s="115"/>
      <c r="R39" s="115"/>
      <c r="S39" s="115"/>
      <c r="T39" s="25">
        <v>45860</v>
      </c>
      <c r="U39" s="13" t="s">
        <v>146</v>
      </c>
      <c r="AE39" s="25"/>
      <c r="AF39" s="13"/>
      <c r="AK39" s="116"/>
      <c r="AL39" s="123"/>
      <c r="AM39" s="123"/>
      <c r="AN39" s="123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25"/>
      <c r="BD39" s="13"/>
      <c r="BG39" s="114"/>
    </row>
    <row r="40" spans="1:59" ht="20.100000000000001" customHeight="1" x14ac:dyDescent="0.4">
      <c r="A40" s="117"/>
      <c r="B40" s="123"/>
      <c r="C40" s="123"/>
      <c r="D40" s="123"/>
      <c r="L40" s="115"/>
      <c r="M40" s="115"/>
      <c r="N40" s="115"/>
      <c r="O40" s="115"/>
      <c r="P40" s="115"/>
      <c r="Q40" s="115"/>
      <c r="R40" s="115"/>
      <c r="S40" s="115"/>
      <c r="T40" s="25">
        <v>45860</v>
      </c>
      <c r="U40" s="13" t="s">
        <v>147</v>
      </c>
      <c r="AE40" s="25"/>
      <c r="AF40" s="13"/>
      <c r="AK40" s="116"/>
      <c r="AL40" s="123"/>
      <c r="AM40" s="123"/>
      <c r="AN40" s="123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25"/>
      <c r="BD40" s="13"/>
      <c r="BG40" s="114"/>
    </row>
    <row r="41" spans="1:59" ht="20.100000000000001" customHeight="1" x14ac:dyDescent="0.4">
      <c r="A41" s="117"/>
      <c r="B41" s="123"/>
      <c r="C41" s="123"/>
      <c r="D41" s="123"/>
      <c r="L41" s="115"/>
      <c r="M41" s="115"/>
      <c r="N41" s="115"/>
      <c r="O41" s="115"/>
      <c r="P41" s="115"/>
      <c r="Q41" s="115"/>
      <c r="R41" s="115"/>
      <c r="S41" s="115"/>
      <c r="T41" s="25">
        <v>45860</v>
      </c>
      <c r="U41" s="13" t="s">
        <v>147</v>
      </c>
      <c r="AE41" s="25"/>
      <c r="AF41" s="13"/>
      <c r="AK41" s="116"/>
      <c r="AL41" s="123"/>
      <c r="AM41" s="123"/>
      <c r="AN41" s="123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25"/>
      <c r="BD41" s="13"/>
      <c r="BG41" s="114"/>
    </row>
    <row r="42" spans="1:59" ht="20.100000000000001" customHeight="1" x14ac:dyDescent="0.4">
      <c r="A42" s="117"/>
      <c r="B42" s="123"/>
      <c r="C42" s="123"/>
      <c r="D42" s="123"/>
      <c r="L42" s="115"/>
      <c r="M42" s="115"/>
      <c r="N42" s="115"/>
      <c r="O42" s="115"/>
      <c r="P42" s="115"/>
      <c r="Q42" s="115"/>
      <c r="R42" s="115"/>
      <c r="S42" s="115"/>
      <c r="T42" s="25">
        <v>45860</v>
      </c>
      <c r="U42" s="13" t="s">
        <v>147</v>
      </c>
      <c r="AE42" s="25"/>
      <c r="AF42" s="13"/>
      <c r="AK42" s="116"/>
      <c r="AL42" s="123"/>
      <c r="AM42" s="123"/>
      <c r="AN42" s="123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25"/>
      <c r="BD42" s="13"/>
      <c r="BG42" s="114"/>
    </row>
    <row r="43" spans="1:59" ht="20.100000000000001" customHeight="1" x14ac:dyDescent="0.4">
      <c r="A43" s="117"/>
      <c r="B43" s="123"/>
      <c r="C43" s="123"/>
      <c r="D43" s="123"/>
      <c r="L43" s="115"/>
      <c r="M43" s="115"/>
      <c r="N43" s="115"/>
      <c r="O43" s="115"/>
      <c r="P43" s="115"/>
      <c r="Q43" s="115"/>
      <c r="R43" s="115"/>
      <c r="S43" s="115"/>
      <c r="T43" s="25">
        <v>45860</v>
      </c>
      <c r="U43" s="13" t="s">
        <v>147</v>
      </c>
      <c r="AE43" s="25"/>
      <c r="AF43" s="13"/>
      <c r="AK43" s="116"/>
      <c r="AL43" s="123"/>
      <c r="AM43" s="123"/>
      <c r="AN43" s="123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25"/>
      <c r="BD43" s="13"/>
      <c r="BG43" s="114"/>
    </row>
    <row r="44" spans="1:59" ht="20.100000000000001" customHeight="1" x14ac:dyDescent="0.4">
      <c r="A44" s="117"/>
      <c r="B44" s="123"/>
      <c r="C44" s="123"/>
      <c r="D44" s="123"/>
      <c r="L44" s="115"/>
      <c r="M44" s="115"/>
      <c r="N44" s="115"/>
      <c r="O44" s="115"/>
      <c r="P44" s="115"/>
      <c r="Q44" s="115"/>
      <c r="R44" s="115"/>
      <c r="S44" s="115"/>
      <c r="T44" s="25">
        <v>45860</v>
      </c>
      <c r="U44" s="13" t="s">
        <v>147</v>
      </c>
      <c r="AE44" s="25"/>
      <c r="AF44" s="13"/>
      <c r="AK44" s="116"/>
      <c r="AL44" s="123"/>
      <c r="AM44" s="123"/>
      <c r="AN44" s="123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25"/>
      <c r="BD44" s="13"/>
      <c r="BG44" s="114"/>
    </row>
    <row r="45" spans="1:59" ht="20.100000000000001" customHeight="1" x14ac:dyDescent="0.4">
      <c r="A45" s="117"/>
      <c r="B45" s="123"/>
      <c r="C45" s="123"/>
      <c r="D45" s="123"/>
      <c r="L45" s="115"/>
      <c r="M45" s="115"/>
      <c r="N45" s="115"/>
      <c r="O45" s="115"/>
      <c r="P45" s="115"/>
      <c r="Q45" s="115"/>
      <c r="R45" s="115"/>
      <c r="S45" s="115" t="s">
        <v>352</v>
      </c>
      <c r="T45" s="13">
        <f>SUBTOTAL(3,T36:T44)</f>
        <v>9</v>
      </c>
      <c r="U45" s="13">
        <f>SUBTOTAL(3,U36:U44)</f>
        <v>9</v>
      </c>
      <c r="AE45" s="25"/>
      <c r="AF45" s="13"/>
      <c r="AK45" s="116"/>
      <c r="AL45" s="123"/>
      <c r="AM45" s="123"/>
      <c r="AN45" s="123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25"/>
      <c r="BD45" s="13"/>
      <c r="BG45" s="114"/>
    </row>
    <row r="46" spans="1:59" ht="20.100000000000001" customHeight="1" x14ac:dyDescent="0.4">
      <c r="A46" s="117"/>
      <c r="B46" s="123"/>
      <c r="C46" s="123"/>
      <c r="D46" s="123"/>
      <c r="L46" s="115"/>
      <c r="M46" s="115"/>
      <c r="N46" s="115"/>
      <c r="O46" s="115"/>
      <c r="P46" s="115"/>
      <c r="Q46" s="115"/>
      <c r="R46" s="115"/>
      <c r="S46" s="115"/>
      <c r="T46" s="25">
        <v>45861</v>
      </c>
      <c r="U46" s="15" t="s">
        <v>147</v>
      </c>
      <c r="AE46" s="25"/>
      <c r="AF46" s="13"/>
      <c r="AK46" s="116"/>
      <c r="AL46" s="123"/>
      <c r="AM46" s="123"/>
      <c r="AN46" s="123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25"/>
      <c r="BD46" s="13"/>
      <c r="BG46" s="114"/>
    </row>
    <row r="47" spans="1:59" ht="20.100000000000001" customHeight="1" x14ac:dyDescent="0.4">
      <c r="A47" s="117"/>
      <c r="B47" s="123"/>
      <c r="C47" s="123"/>
      <c r="D47" s="123"/>
      <c r="T47" s="25">
        <v>45861</v>
      </c>
      <c r="U47" s="15" t="s">
        <v>146</v>
      </c>
      <c r="AE47" s="25"/>
      <c r="AF47" s="13"/>
      <c r="AK47" s="116"/>
      <c r="AL47" s="123"/>
      <c r="AM47" s="123"/>
      <c r="AN47" s="123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25"/>
      <c r="BD47" s="13"/>
      <c r="BG47" s="114"/>
    </row>
    <row r="48" spans="1:59" ht="20.100000000000001" customHeight="1" x14ac:dyDescent="0.4">
      <c r="A48" s="117"/>
      <c r="B48" s="123"/>
      <c r="C48" s="123"/>
      <c r="D48" s="123"/>
      <c r="P48" s="115"/>
      <c r="Q48" s="115"/>
      <c r="R48" s="115"/>
      <c r="S48" s="115"/>
      <c r="T48" s="25">
        <v>45861</v>
      </c>
      <c r="U48" s="15" t="s">
        <v>147</v>
      </c>
      <c r="AE48" s="25"/>
      <c r="AF48" s="13"/>
      <c r="AK48" s="116"/>
      <c r="AL48" s="123"/>
      <c r="AM48" s="123"/>
      <c r="AN48" s="123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25"/>
      <c r="BD48" s="13"/>
      <c r="BG48" s="114"/>
    </row>
    <row r="49" spans="1:59" ht="20.100000000000001" customHeight="1" x14ac:dyDescent="0.4">
      <c r="A49" s="117"/>
      <c r="B49" s="123"/>
      <c r="C49" s="123"/>
      <c r="D49" s="123"/>
      <c r="N49" s="115"/>
      <c r="O49" s="115"/>
      <c r="P49" s="115"/>
      <c r="Q49" s="115"/>
      <c r="R49" s="115"/>
      <c r="S49" s="115"/>
      <c r="T49" s="25">
        <v>45861</v>
      </c>
      <c r="U49" s="13" t="s">
        <v>147</v>
      </c>
      <c r="AE49" s="25"/>
      <c r="AF49" s="13"/>
      <c r="AK49" s="116"/>
      <c r="AL49" s="123"/>
      <c r="AM49" s="123"/>
      <c r="AN49" s="123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25"/>
      <c r="BD49" s="13"/>
      <c r="BG49" s="114"/>
    </row>
    <row r="50" spans="1:59" ht="20.100000000000001" customHeight="1" x14ac:dyDescent="0.4">
      <c r="A50" s="117"/>
      <c r="B50" s="123"/>
      <c r="C50" s="123"/>
      <c r="D50" s="123"/>
      <c r="N50" s="115"/>
      <c r="O50" s="115"/>
      <c r="P50" s="115"/>
      <c r="Q50" s="115"/>
      <c r="R50" s="115"/>
      <c r="S50" s="115"/>
      <c r="T50" s="25">
        <v>45861</v>
      </c>
      <c r="U50" s="13" t="s">
        <v>147</v>
      </c>
      <c r="AE50" s="25"/>
      <c r="AF50" s="13"/>
      <c r="AK50" s="116"/>
      <c r="AL50" s="123"/>
      <c r="AM50" s="123"/>
      <c r="AN50" s="123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25"/>
      <c r="BD50" s="13"/>
      <c r="BG50" s="114"/>
    </row>
    <row r="51" spans="1:59" ht="20.100000000000001" customHeight="1" x14ac:dyDescent="0.4">
      <c r="A51" s="117"/>
      <c r="B51" s="123"/>
      <c r="C51" s="123"/>
      <c r="D51" s="123"/>
      <c r="N51" s="115"/>
      <c r="O51" s="115"/>
      <c r="P51" s="115"/>
      <c r="Q51" s="115"/>
      <c r="R51" s="115"/>
      <c r="S51" s="115"/>
      <c r="T51" s="25">
        <v>45861</v>
      </c>
      <c r="U51" s="13" t="s">
        <v>147</v>
      </c>
      <c r="AE51" s="25"/>
      <c r="AF51" s="13"/>
      <c r="AK51" s="116"/>
      <c r="AL51" s="123"/>
      <c r="AM51" s="123"/>
      <c r="AN51" s="123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25"/>
      <c r="BD51" s="13"/>
      <c r="BG51" s="114"/>
    </row>
    <row r="52" spans="1:59" ht="20.100000000000001" customHeight="1" x14ac:dyDescent="0.4">
      <c r="A52" s="117"/>
      <c r="B52" s="123"/>
      <c r="C52" s="123"/>
      <c r="D52" s="123"/>
      <c r="L52" s="115"/>
      <c r="M52" s="115"/>
      <c r="N52" s="115"/>
      <c r="O52" s="115"/>
      <c r="P52" s="115"/>
      <c r="Q52" s="115"/>
      <c r="R52" s="115"/>
      <c r="S52" s="115"/>
      <c r="T52" s="25">
        <v>45861</v>
      </c>
      <c r="U52" s="13" t="s">
        <v>146</v>
      </c>
      <c r="AE52" s="25"/>
      <c r="AF52" s="13"/>
      <c r="AK52" s="116"/>
      <c r="AL52" s="123"/>
      <c r="AM52" s="123"/>
      <c r="AN52" s="123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25"/>
      <c r="BD52" s="13"/>
      <c r="BG52" s="114"/>
    </row>
    <row r="53" spans="1:59" ht="20.100000000000001" customHeight="1" x14ac:dyDescent="0.4">
      <c r="A53" s="117"/>
      <c r="B53" s="123"/>
      <c r="C53" s="123"/>
      <c r="D53" s="123"/>
      <c r="L53" s="115"/>
      <c r="M53" s="115"/>
      <c r="N53" s="115"/>
      <c r="O53" s="115"/>
      <c r="P53" s="115"/>
      <c r="Q53" s="115"/>
      <c r="R53" s="115"/>
      <c r="S53" s="115"/>
      <c r="T53" s="25">
        <v>45861</v>
      </c>
      <c r="U53" s="13" t="s">
        <v>146</v>
      </c>
      <c r="AE53" s="25"/>
      <c r="AF53" s="13"/>
      <c r="AK53" s="116"/>
      <c r="AL53" s="123"/>
      <c r="AM53" s="123"/>
      <c r="AN53" s="123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25"/>
      <c r="BD53" s="13"/>
      <c r="BG53" s="114"/>
    </row>
    <row r="54" spans="1:59" ht="20.100000000000001" customHeight="1" x14ac:dyDescent="0.4">
      <c r="A54" s="117"/>
      <c r="B54" s="123"/>
      <c r="C54" s="123"/>
      <c r="D54" s="123"/>
      <c r="L54" s="115"/>
      <c r="M54" s="115"/>
      <c r="N54" s="115"/>
      <c r="O54" s="115"/>
      <c r="P54" s="115"/>
      <c r="Q54" s="115"/>
      <c r="R54" s="115"/>
      <c r="S54" s="115"/>
      <c r="T54" s="25">
        <v>45861</v>
      </c>
      <c r="U54" s="13" t="s">
        <v>146</v>
      </c>
      <c r="AE54" s="25"/>
      <c r="AF54" s="13"/>
      <c r="AK54" s="116"/>
      <c r="AL54" s="123"/>
      <c r="AM54" s="123"/>
      <c r="AN54" s="123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25"/>
      <c r="BD54" s="13"/>
      <c r="BG54" s="114"/>
    </row>
    <row r="55" spans="1:59" ht="20.100000000000001" customHeight="1" x14ac:dyDescent="0.4">
      <c r="A55" s="117"/>
      <c r="B55" s="123"/>
      <c r="C55" s="123"/>
      <c r="D55" s="123"/>
      <c r="L55" s="115"/>
      <c r="M55" s="115"/>
      <c r="N55" s="115"/>
      <c r="O55" s="115"/>
      <c r="P55" s="115"/>
      <c r="Q55" s="115"/>
      <c r="R55" s="115"/>
      <c r="S55" s="115"/>
      <c r="T55" s="25">
        <v>45861</v>
      </c>
      <c r="U55" s="13" t="s">
        <v>146</v>
      </c>
      <c r="AE55" s="25"/>
      <c r="AF55" s="13"/>
      <c r="AK55" s="116"/>
      <c r="AL55" s="123"/>
      <c r="AM55" s="123"/>
      <c r="AN55" s="123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25"/>
      <c r="BD55" s="13"/>
      <c r="BG55" s="114"/>
    </row>
    <row r="56" spans="1:59" ht="20.100000000000001" customHeight="1" x14ac:dyDescent="0.4">
      <c r="A56" s="117"/>
      <c r="B56" s="123"/>
      <c r="C56" s="123"/>
      <c r="D56" s="123"/>
      <c r="K56" s="115"/>
      <c r="L56" s="115"/>
      <c r="M56" s="115"/>
      <c r="N56" s="115"/>
      <c r="O56" s="115"/>
      <c r="P56" s="115"/>
      <c r="Q56" s="115"/>
      <c r="R56" s="115"/>
      <c r="S56" s="115"/>
      <c r="T56" s="25">
        <v>45861</v>
      </c>
      <c r="U56" s="15" t="s">
        <v>146</v>
      </c>
      <c r="AE56" s="25"/>
      <c r="AF56" s="13"/>
      <c r="AK56" s="116"/>
      <c r="AL56" s="123"/>
      <c r="AM56" s="123"/>
      <c r="AN56" s="123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25"/>
      <c r="BD56" s="13"/>
      <c r="BG56" s="114"/>
    </row>
    <row r="57" spans="1:59" ht="20.100000000000001" customHeight="1" x14ac:dyDescent="0.4">
      <c r="A57" s="117"/>
      <c r="B57" s="123"/>
      <c r="C57" s="123"/>
      <c r="D57" s="123"/>
      <c r="K57" s="115"/>
      <c r="L57" s="115"/>
      <c r="M57" s="115"/>
      <c r="N57" s="115"/>
      <c r="O57" s="115"/>
      <c r="P57" s="115"/>
      <c r="Q57" s="115"/>
      <c r="R57" s="115"/>
      <c r="S57" s="115"/>
      <c r="T57" s="25">
        <v>45861</v>
      </c>
      <c r="U57" s="15" t="s">
        <v>146</v>
      </c>
      <c r="AE57" s="25"/>
      <c r="AF57" s="13"/>
      <c r="AK57" s="116"/>
      <c r="AL57" s="123"/>
      <c r="AM57" s="123"/>
      <c r="AN57" s="123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25"/>
      <c r="BD57" s="13"/>
      <c r="BG57" s="114"/>
    </row>
    <row r="58" spans="1:59" ht="20.100000000000001" customHeight="1" x14ac:dyDescent="0.4">
      <c r="A58" s="117"/>
      <c r="B58" s="123"/>
      <c r="C58" s="123"/>
      <c r="D58" s="123"/>
      <c r="K58" s="115"/>
      <c r="L58" s="115"/>
      <c r="M58" s="115"/>
      <c r="N58" s="115"/>
      <c r="O58" s="115"/>
      <c r="P58" s="115"/>
      <c r="Q58" s="115"/>
      <c r="R58" s="115"/>
      <c r="S58" s="115"/>
      <c r="T58" s="25">
        <v>45861</v>
      </c>
      <c r="U58" s="15" t="s">
        <v>146</v>
      </c>
      <c r="AE58" s="25"/>
      <c r="AF58" s="13"/>
      <c r="AK58" s="116"/>
      <c r="AL58" s="123"/>
      <c r="AM58" s="123"/>
      <c r="AN58" s="123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25"/>
      <c r="BD58" s="13"/>
      <c r="BG58" s="114"/>
    </row>
    <row r="59" spans="1:59" ht="20.100000000000001" customHeight="1" x14ac:dyDescent="0.4">
      <c r="A59" s="117"/>
      <c r="B59" s="123"/>
      <c r="C59" s="123"/>
      <c r="D59" s="123"/>
      <c r="K59" s="115"/>
      <c r="L59" s="115"/>
      <c r="M59" s="115"/>
      <c r="N59" s="115"/>
      <c r="O59" s="115"/>
      <c r="P59" s="115"/>
      <c r="Q59" s="115"/>
      <c r="R59" s="115"/>
      <c r="S59" s="115"/>
      <c r="T59" s="25">
        <v>45861</v>
      </c>
      <c r="U59" s="15" t="s">
        <v>146</v>
      </c>
      <c r="AE59" s="25"/>
      <c r="AF59" s="13"/>
      <c r="AK59" s="116"/>
      <c r="AL59" s="123"/>
      <c r="AM59" s="123"/>
      <c r="AN59" s="123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25"/>
      <c r="BD59" s="13"/>
      <c r="BG59" s="114"/>
    </row>
    <row r="60" spans="1:59" ht="20.100000000000001" customHeight="1" x14ac:dyDescent="0.4">
      <c r="A60" s="117"/>
      <c r="B60" s="123"/>
      <c r="C60" s="123"/>
      <c r="D60" s="123"/>
      <c r="K60" s="115"/>
      <c r="L60" s="115"/>
      <c r="M60" s="115"/>
      <c r="N60" s="115"/>
      <c r="O60" s="115"/>
      <c r="P60" s="115"/>
      <c r="Q60" s="115"/>
      <c r="R60" s="115"/>
      <c r="S60" s="115"/>
      <c r="T60" s="25">
        <v>45861</v>
      </c>
      <c r="U60" s="15" t="s">
        <v>146</v>
      </c>
      <c r="AE60" s="25"/>
      <c r="AF60" s="13"/>
      <c r="AK60" s="116"/>
      <c r="AL60" s="123"/>
      <c r="AM60" s="123"/>
      <c r="AN60" s="123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25"/>
      <c r="BD60" s="13"/>
      <c r="BG60" s="114"/>
    </row>
    <row r="61" spans="1:59" ht="20.100000000000001" customHeight="1" x14ac:dyDescent="0.4">
      <c r="A61" s="117"/>
      <c r="B61" s="123"/>
      <c r="C61" s="123"/>
      <c r="D61" s="123"/>
      <c r="K61" s="115"/>
      <c r="L61" s="115"/>
      <c r="M61" s="115"/>
      <c r="N61" s="115"/>
      <c r="O61" s="115"/>
      <c r="P61" s="115"/>
      <c r="Q61" s="115"/>
      <c r="R61" s="115"/>
      <c r="S61" s="115"/>
      <c r="T61" s="25">
        <v>45861</v>
      </c>
      <c r="U61" s="13" t="s">
        <v>146</v>
      </c>
      <c r="AE61" s="25"/>
      <c r="AF61" s="13"/>
      <c r="AK61" s="116"/>
      <c r="AL61" s="123"/>
      <c r="AM61" s="123"/>
      <c r="AN61" s="123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25"/>
      <c r="BD61" s="13"/>
      <c r="BG61" s="114"/>
    </row>
    <row r="62" spans="1:59" ht="20.100000000000001" customHeight="1" x14ac:dyDescent="0.4">
      <c r="A62" s="117"/>
      <c r="B62" s="123"/>
      <c r="C62" s="123"/>
      <c r="D62" s="123"/>
      <c r="K62" s="115"/>
      <c r="L62" s="115"/>
      <c r="M62" s="115"/>
      <c r="N62" s="115"/>
      <c r="O62" s="115"/>
      <c r="P62" s="115"/>
      <c r="Q62" s="115"/>
      <c r="R62" s="115"/>
      <c r="S62" s="115"/>
      <c r="T62" s="25">
        <v>45861</v>
      </c>
      <c r="U62" s="13" t="s">
        <v>146</v>
      </c>
      <c r="AE62" s="25"/>
      <c r="AF62" s="13"/>
      <c r="AK62" s="116"/>
      <c r="AL62" s="123"/>
      <c r="AM62" s="123"/>
      <c r="AN62" s="123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25"/>
      <c r="BD62" s="13"/>
      <c r="BG62" s="114"/>
    </row>
    <row r="63" spans="1:59" ht="20.100000000000001" customHeight="1" x14ac:dyDescent="0.4">
      <c r="A63" s="117"/>
      <c r="B63" s="123"/>
      <c r="C63" s="123"/>
      <c r="D63" s="123"/>
      <c r="K63" s="115"/>
      <c r="L63" s="115"/>
      <c r="M63" s="115"/>
      <c r="N63" s="115"/>
      <c r="O63" s="115"/>
      <c r="P63" s="115"/>
      <c r="Q63" s="115"/>
      <c r="R63" s="115"/>
      <c r="S63" s="115"/>
      <c r="T63" s="25">
        <v>45861</v>
      </c>
      <c r="U63" s="13" t="s">
        <v>146</v>
      </c>
      <c r="AE63" s="25"/>
      <c r="AF63" s="13"/>
      <c r="AK63" s="116"/>
      <c r="AL63" s="123"/>
      <c r="AM63" s="123"/>
      <c r="AN63" s="123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25"/>
      <c r="BD63" s="13"/>
      <c r="BG63" s="114"/>
    </row>
    <row r="64" spans="1:59" ht="20.100000000000001" customHeight="1" x14ac:dyDescent="0.4">
      <c r="A64" s="117"/>
      <c r="B64" s="123"/>
      <c r="C64" s="123"/>
      <c r="D64" s="123"/>
      <c r="K64" s="115"/>
      <c r="L64" s="115"/>
      <c r="M64" s="115"/>
      <c r="N64" s="115"/>
      <c r="O64" s="115"/>
      <c r="P64" s="115"/>
      <c r="Q64" s="115"/>
      <c r="R64" s="115"/>
      <c r="S64" s="115"/>
      <c r="T64" s="25">
        <v>45861</v>
      </c>
      <c r="U64" s="13" t="s">
        <v>146</v>
      </c>
      <c r="AE64" s="25"/>
      <c r="AF64" s="13"/>
      <c r="AK64" s="116"/>
      <c r="AL64" s="123"/>
      <c r="AM64" s="123"/>
      <c r="AN64" s="123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25"/>
      <c r="BD64" s="13"/>
      <c r="BG64" s="114"/>
    </row>
    <row r="65" spans="1:59" ht="20.100000000000001" customHeight="1" x14ac:dyDescent="0.4">
      <c r="A65" s="117"/>
      <c r="B65" s="123"/>
      <c r="C65" s="123"/>
      <c r="D65" s="123"/>
      <c r="F65" s="125"/>
      <c r="T65" s="25">
        <v>45861</v>
      </c>
      <c r="U65" s="13" t="s">
        <v>146</v>
      </c>
      <c r="AE65" s="25"/>
      <c r="AF65" s="13"/>
      <c r="AK65" s="116"/>
      <c r="AL65" s="123"/>
      <c r="AM65" s="123"/>
      <c r="AN65" s="123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25"/>
      <c r="BD65" s="13"/>
      <c r="BG65" s="114"/>
    </row>
    <row r="66" spans="1:59" ht="20.100000000000001" customHeight="1" x14ac:dyDescent="0.4">
      <c r="A66" s="117"/>
      <c r="B66" s="123"/>
      <c r="C66" s="123"/>
      <c r="D66" s="123"/>
      <c r="F66" s="117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25">
        <v>45861</v>
      </c>
      <c r="U66" s="13" t="s">
        <v>146</v>
      </c>
      <c r="AE66" s="25"/>
      <c r="AF66" s="13"/>
      <c r="AK66" s="116"/>
      <c r="AL66" s="123"/>
      <c r="AM66" s="123"/>
      <c r="AN66" s="123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25"/>
      <c r="BD66" s="13"/>
      <c r="BG66" s="114"/>
    </row>
    <row r="67" spans="1:59" ht="20.100000000000001" customHeight="1" x14ac:dyDescent="0.4">
      <c r="A67" s="117"/>
      <c r="B67" s="123"/>
      <c r="C67" s="123"/>
      <c r="D67" s="123"/>
      <c r="F67" s="117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25">
        <v>45861</v>
      </c>
      <c r="U67" s="13" t="s">
        <v>146</v>
      </c>
      <c r="AE67" s="25"/>
      <c r="AF67" s="13"/>
      <c r="AK67" s="116"/>
      <c r="AL67" s="123"/>
      <c r="AM67" s="123"/>
      <c r="AN67" s="123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25"/>
      <c r="BD67" s="13"/>
      <c r="BG67" s="114"/>
    </row>
    <row r="68" spans="1:59" ht="20.100000000000001" customHeight="1" x14ac:dyDescent="0.4">
      <c r="A68" s="117"/>
      <c r="B68" s="123"/>
      <c r="C68" s="123"/>
      <c r="D68" s="123"/>
      <c r="F68" s="117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25">
        <v>45861</v>
      </c>
      <c r="U68" s="25" t="s">
        <v>146</v>
      </c>
      <c r="AE68" s="25"/>
      <c r="AF68" s="13"/>
      <c r="AK68" s="116"/>
      <c r="AL68" s="123"/>
      <c r="AM68" s="123"/>
      <c r="AN68" s="123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25"/>
      <c r="BD68" s="13"/>
      <c r="BG68" s="114"/>
    </row>
    <row r="69" spans="1:59" ht="20.100000000000001" customHeight="1" x14ac:dyDescent="0.4">
      <c r="A69" s="117"/>
      <c r="B69" s="123"/>
      <c r="C69" s="123"/>
      <c r="D69" s="123"/>
      <c r="F69" s="117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25">
        <v>45861</v>
      </c>
      <c r="U69" s="25" t="s">
        <v>146</v>
      </c>
      <c r="AE69" s="25"/>
      <c r="AF69" s="13"/>
      <c r="AK69" s="116"/>
      <c r="AL69" s="123"/>
      <c r="AM69" s="123"/>
      <c r="AN69" s="123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25"/>
      <c r="BD69" s="13"/>
      <c r="BG69" s="114"/>
    </row>
    <row r="70" spans="1:59" ht="20.100000000000001" customHeight="1" x14ac:dyDescent="0.4">
      <c r="A70" s="117"/>
      <c r="B70" s="123"/>
      <c r="C70" s="123"/>
      <c r="D70" s="123"/>
      <c r="F70" s="117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25">
        <v>45861</v>
      </c>
      <c r="U70" s="25" t="s">
        <v>146</v>
      </c>
      <c r="AE70" s="25"/>
      <c r="AF70" s="13"/>
      <c r="AK70" s="116"/>
      <c r="AL70" s="123"/>
      <c r="AM70" s="123"/>
      <c r="AN70" s="123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25"/>
      <c r="BD70" s="13"/>
      <c r="BG70" s="114"/>
    </row>
    <row r="71" spans="1:59" ht="20.100000000000001" customHeight="1" x14ac:dyDescent="0.4">
      <c r="A71" s="117"/>
      <c r="B71" s="123"/>
      <c r="C71" s="123"/>
      <c r="D71" s="123"/>
      <c r="F71" s="117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25">
        <v>45861</v>
      </c>
      <c r="U71" s="25" t="s">
        <v>146</v>
      </c>
      <c r="AE71" s="25"/>
      <c r="AF71" s="13"/>
      <c r="AK71" s="116"/>
      <c r="AL71" s="123"/>
      <c r="AM71" s="123"/>
      <c r="AN71" s="123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25"/>
      <c r="BD71" s="13"/>
      <c r="BG71" s="114"/>
    </row>
    <row r="72" spans="1:59" ht="20.100000000000001" customHeight="1" x14ac:dyDescent="0.4">
      <c r="A72" s="117"/>
      <c r="B72" s="123"/>
      <c r="C72" s="123"/>
      <c r="D72" s="123"/>
      <c r="F72" s="117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25">
        <v>45861</v>
      </c>
      <c r="U72" s="25" t="s">
        <v>146</v>
      </c>
      <c r="AE72" s="25"/>
      <c r="AF72" s="13"/>
      <c r="AK72" s="116"/>
      <c r="AL72" s="123"/>
      <c r="AM72" s="123"/>
      <c r="AN72" s="123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25"/>
      <c r="BD72" s="13"/>
      <c r="BG72" s="114"/>
    </row>
    <row r="73" spans="1:59" ht="20.100000000000001" customHeight="1" x14ac:dyDescent="0.4">
      <c r="A73" s="117"/>
      <c r="B73" s="123"/>
      <c r="C73" s="123"/>
      <c r="D73" s="123"/>
      <c r="F73" s="117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26">
        <v>45861</v>
      </c>
      <c r="U73" s="13" t="s">
        <v>146</v>
      </c>
      <c r="AE73" s="25"/>
      <c r="AF73" s="13"/>
      <c r="AK73" s="116"/>
      <c r="AL73" s="123"/>
      <c r="AM73" s="123"/>
      <c r="AN73" s="123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25"/>
      <c r="BD73" s="13"/>
      <c r="BG73" s="114"/>
    </row>
    <row r="74" spans="1:59" ht="20.100000000000001" customHeight="1" x14ac:dyDescent="0.4">
      <c r="A74" s="117"/>
      <c r="B74" s="123"/>
      <c r="C74" s="123"/>
      <c r="D74" s="123"/>
      <c r="F74" s="117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26">
        <v>45861</v>
      </c>
      <c r="U74" s="13" t="s">
        <v>146</v>
      </c>
      <c r="AE74" s="25"/>
      <c r="AF74" s="13"/>
      <c r="AK74" s="116"/>
      <c r="AL74" s="123"/>
      <c r="AM74" s="123"/>
      <c r="AN74" s="123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25"/>
      <c r="BD74" s="13"/>
      <c r="BG74" s="114"/>
    </row>
    <row r="75" spans="1:59" ht="20.100000000000001" customHeight="1" x14ac:dyDescent="0.4">
      <c r="A75" s="117"/>
      <c r="B75" s="123"/>
      <c r="C75" s="123"/>
      <c r="D75" s="123"/>
      <c r="F75" s="117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25">
        <v>45861</v>
      </c>
      <c r="U75" s="13" t="s">
        <v>146</v>
      </c>
      <c r="AE75" s="25"/>
      <c r="AF75" s="13"/>
      <c r="AK75" s="116"/>
      <c r="AL75" s="123"/>
      <c r="AM75" s="123"/>
      <c r="AN75" s="123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25"/>
      <c r="BD75" s="13"/>
      <c r="BG75" s="114"/>
    </row>
    <row r="76" spans="1:59" ht="20.100000000000001" customHeight="1" x14ac:dyDescent="0.4">
      <c r="A76" s="117"/>
      <c r="B76" s="123"/>
      <c r="C76" s="123"/>
      <c r="D76" s="123"/>
      <c r="F76" s="117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25">
        <v>45861</v>
      </c>
      <c r="U76" s="13" t="s">
        <v>146</v>
      </c>
      <c r="AE76" s="25"/>
      <c r="AF76" s="13"/>
      <c r="AK76" s="116"/>
      <c r="AL76" s="123"/>
      <c r="AM76" s="123"/>
      <c r="AN76" s="123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25"/>
      <c r="BD76" s="13"/>
      <c r="BG76" s="114"/>
    </row>
    <row r="77" spans="1:59" ht="20.100000000000001" customHeight="1" x14ac:dyDescent="0.4">
      <c r="A77" s="117"/>
      <c r="B77" s="123"/>
      <c r="C77" s="123"/>
      <c r="D77" s="123"/>
      <c r="F77" s="117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25">
        <v>45861</v>
      </c>
      <c r="U77" s="13" t="s">
        <v>146</v>
      </c>
      <c r="AE77" s="25"/>
      <c r="AF77" s="13"/>
      <c r="AK77" s="116"/>
      <c r="AL77" s="123"/>
      <c r="AM77" s="123"/>
      <c r="AN77" s="123"/>
      <c r="AS77" s="115"/>
      <c r="AT77" s="115"/>
      <c r="AU77" s="115"/>
      <c r="AV77" s="115"/>
      <c r="AW77" s="115"/>
      <c r="AX77" s="115"/>
      <c r="AY77" s="115"/>
      <c r="AZ77" s="115"/>
      <c r="BA77" s="115"/>
      <c r="BB77" s="115"/>
      <c r="BC77" s="25"/>
      <c r="BD77" s="13"/>
      <c r="BG77" s="114"/>
    </row>
    <row r="78" spans="1:59" ht="20.100000000000001" customHeight="1" x14ac:dyDescent="0.4">
      <c r="A78" s="117"/>
      <c r="B78" s="123"/>
      <c r="C78" s="123"/>
      <c r="D78" s="123"/>
      <c r="F78" s="117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25">
        <v>45861</v>
      </c>
      <c r="U78" s="13" t="s">
        <v>146</v>
      </c>
      <c r="AE78" s="25"/>
      <c r="AF78" s="13"/>
      <c r="AK78" s="116"/>
      <c r="AL78" s="123"/>
      <c r="AM78" s="123"/>
      <c r="AN78" s="123"/>
      <c r="AS78" s="115"/>
      <c r="AT78" s="115"/>
      <c r="AU78" s="115"/>
      <c r="AV78" s="115"/>
      <c r="AW78" s="115"/>
      <c r="AX78" s="115"/>
      <c r="AY78" s="115"/>
      <c r="AZ78" s="115"/>
      <c r="BA78" s="115"/>
      <c r="BB78" s="115"/>
      <c r="BC78" s="25"/>
      <c r="BD78" s="13"/>
      <c r="BG78" s="114"/>
    </row>
    <row r="79" spans="1:59" ht="20.100000000000001" customHeight="1" x14ac:dyDescent="0.4">
      <c r="A79" s="117"/>
      <c r="B79" s="123"/>
      <c r="C79" s="123"/>
      <c r="D79" s="123"/>
      <c r="F79" s="117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25">
        <v>45861</v>
      </c>
      <c r="U79" s="13" t="s">
        <v>146</v>
      </c>
      <c r="AE79" s="25"/>
      <c r="AF79" s="13"/>
      <c r="AK79" s="116"/>
      <c r="AL79" s="123"/>
      <c r="AM79" s="123"/>
      <c r="AN79" s="123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25"/>
      <c r="BD79" s="13"/>
      <c r="BG79" s="114"/>
    </row>
    <row r="80" spans="1:59" ht="20.100000000000001" customHeight="1" x14ac:dyDescent="0.4">
      <c r="A80" s="117"/>
      <c r="B80" s="123"/>
      <c r="C80" s="123"/>
      <c r="D80" s="123"/>
      <c r="F80" s="117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25">
        <v>45861</v>
      </c>
      <c r="U80" s="13" t="s">
        <v>147</v>
      </c>
      <c r="AE80" s="25"/>
      <c r="AF80" s="13"/>
      <c r="AK80" s="116"/>
      <c r="AL80" s="123"/>
      <c r="AM80" s="123"/>
      <c r="AN80" s="123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25"/>
      <c r="BD80" s="13"/>
      <c r="BG80" s="114"/>
    </row>
    <row r="81" spans="1:59" ht="20.100000000000001" customHeight="1" x14ac:dyDescent="0.4">
      <c r="A81" s="117"/>
      <c r="B81" s="123"/>
      <c r="C81" s="123"/>
      <c r="D81" s="123"/>
      <c r="F81" s="117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 t="s">
        <v>212</v>
      </c>
      <c r="T81" s="13">
        <f>SUBTOTAL(3,T46:T80)</f>
        <v>35</v>
      </c>
      <c r="U81" s="13">
        <f>SUBTOTAL(3,U46:U80)</f>
        <v>35</v>
      </c>
      <c r="AE81" s="25"/>
      <c r="AF81" s="13"/>
      <c r="AK81" s="116"/>
      <c r="AL81" s="123"/>
      <c r="AM81" s="123"/>
      <c r="AN81" s="123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25"/>
      <c r="BD81" s="13"/>
      <c r="BG81" s="114"/>
    </row>
    <row r="82" spans="1:59" ht="20.100000000000001" customHeight="1" x14ac:dyDescent="0.4">
      <c r="A82" s="117"/>
      <c r="B82" s="123"/>
      <c r="C82" s="123"/>
      <c r="D82" s="123"/>
      <c r="F82" s="117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25">
        <v>45863</v>
      </c>
      <c r="U82" s="13" t="s">
        <v>147</v>
      </c>
      <c r="AE82" s="25"/>
      <c r="AF82" s="13"/>
      <c r="AK82" s="116"/>
      <c r="AL82" s="123"/>
      <c r="AM82" s="123"/>
      <c r="AN82" s="123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25"/>
      <c r="BD82" s="13"/>
      <c r="BG82" s="114"/>
    </row>
    <row r="83" spans="1:59" ht="20.100000000000001" customHeight="1" x14ac:dyDescent="0.4">
      <c r="A83" s="117"/>
      <c r="B83" s="123"/>
      <c r="C83" s="123"/>
      <c r="D83" s="123"/>
      <c r="F83" s="12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25">
        <v>45863</v>
      </c>
      <c r="U83" s="13" t="s">
        <v>147</v>
      </c>
      <c r="AE83" s="25"/>
      <c r="AF83" s="13"/>
      <c r="AK83" s="116"/>
      <c r="AL83" s="123"/>
      <c r="AM83" s="123"/>
      <c r="AN83" s="123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25"/>
      <c r="BD83" s="13"/>
      <c r="BG83" s="114"/>
    </row>
    <row r="84" spans="1:59" ht="20.100000000000001" customHeight="1" x14ac:dyDescent="0.4">
      <c r="A84" s="117"/>
      <c r="B84" s="123"/>
      <c r="C84" s="123"/>
      <c r="D84" s="123"/>
      <c r="F84" s="12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25">
        <v>45863</v>
      </c>
      <c r="U84" s="13" t="s">
        <v>146</v>
      </c>
      <c r="AE84" s="25"/>
      <c r="AF84" s="13"/>
      <c r="AK84" s="116"/>
      <c r="AL84" s="123"/>
      <c r="AM84" s="123"/>
      <c r="AN84" s="123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25"/>
      <c r="BD84" s="13"/>
      <c r="BG84" s="114"/>
    </row>
    <row r="85" spans="1:59" ht="20.100000000000001" customHeight="1" x14ac:dyDescent="0.4">
      <c r="A85" s="117"/>
      <c r="B85" s="123"/>
      <c r="C85" s="123"/>
      <c r="D85" s="123"/>
      <c r="F85" s="12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25">
        <v>45863</v>
      </c>
      <c r="U85" s="13" t="s">
        <v>146</v>
      </c>
      <c r="AE85" s="25"/>
      <c r="AF85" s="13"/>
      <c r="AK85" s="116"/>
      <c r="AL85" s="123"/>
      <c r="AM85" s="123"/>
      <c r="AN85" s="123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/>
      <c r="BC85" s="25"/>
      <c r="BD85" s="13"/>
      <c r="BG85" s="114"/>
    </row>
    <row r="86" spans="1:59" ht="20.100000000000001" customHeight="1" x14ac:dyDescent="0.4">
      <c r="A86" s="117"/>
      <c r="B86" s="123"/>
      <c r="C86" s="123"/>
      <c r="D86" s="123"/>
      <c r="F86" s="12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 t="s">
        <v>213</v>
      </c>
      <c r="T86" s="13">
        <f>SUBTOTAL(3,T82:T85)</f>
        <v>4</v>
      </c>
      <c r="U86" s="13">
        <f>SUBTOTAL(3,U82:U85)</f>
        <v>4</v>
      </c>
      <c r="AE86" s="25"/>
      <c r="AF86" s="13"/>
      <c r="AK86" s="116"/>
      <c r="AL86" s="123"/>
      <c r="AM86" s="123"/>
      <c r="AN86" s="123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25"/>
      <c r="BD86" s="13"/>
      <c r="BG86" s="114"/>
    </row>
    <row r="87" spans="1:59" ht="20.100000000000001" customHeight="1" x14ac:dyDescent="0.4">
      <c r="A87" s="117"/>
      <c r="B87" s="123"/>
      <c r="C87" s="123"/>
      <c r="D87" s="123"/>
      <c r="F87" s="12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25">
        <v>45864</v>
      </c>
      <c r="U87" s="13" t="s">
        <v>146</v>
      </c>
      <c r="AE87" s="25"/>
      <c r="AF87" s="13"/>
      <c r="AK87" s="116"/>
      <c r="AL87" s="123"/>
      <c r="AM87" s="123"/>
      <c r="AN87" s="123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25"/>
      <c r="BD87" s="13"/>
      <c r="BG87" s="114"/>
    </row>
    <row r="88" spans="1:59" ht="20.100000000000001" customHeight="1" x14ac:dyDescent="0.4">
      <c r="A88" s="117"/>
      <c r="B88" s="123"/>
      <c r="C88" s="123"/>
      <c r="D88" s="123"/>
      <c r="F88" s="12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25">
        <v>45864</v>
      </c>
      <c r="U88" s="13" t="s">
        <v>146</v>
      </c>
      <c r="AE88" s="25"/>
      <c r="AF88" s="13"/>
      <c r="AK88" s="116"/>
      <c r="AL88" s="123"/>
      <c r="AM88" s="123"/>
      <c r="AN88" s="123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25"/>
      <c r="BD88" s="13"/>
      <c r="BG88" s="114"/>
    </row>
    <row r="89" spans="1:59" ht="20.100000000000001" customHeight="1" x14ac:dyDescent="0.4">
      <c r="A89" s="117"/>
      <c r="B89" s="123"/>
      <c r="C89" s="123"/>
      <c r="D89" s="123"/>
      <c r="F89" s="12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25">
        <v>45864</v>
      </c>
      <c r="U89" s="15" t="s">
        <v>146</v>
      </c>
      <c r="AE89" s="25"/>
      <c r="AF89" s="13"/>
      <c r="AK89" s="116"/>
      <c r="AL89" s="123"/>
      <c r="AM89" s="123"/>
      <c r="AN89" s="123"/>
      <c r="AS89" s="115"/>
      <c r="AT89" s="115"/>
      <c r="AU89" s="115"/>
      <c r="AV89" s="115"/>
      <c r="AW89" s="115"/>
      <c r="AX89" s="115"/>
      <c r="AY89" s="115"/>
      <c r="AZ89" s="115"/>
      <c r="BA89" s="115"/>
      <c r="BB89" s="115"/>
      <c r="BC89" s="25"/>
      <c r="BD89" s="13"/>
      <c r="BG89" s="114"/>
    </row>
    <row r="90" spans="1:59" ht="20.100000000000001" customHeight="1" x14ac:dyDescent="0.4">
      <c r="A90" s="117"/>
      <c r="B90" s="123"/>
      <c r="C90" s="123"/>
      <c r="D90" s="123"/>
      <c r="F90" s="12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25">
        <v>45864</v>
      </c>
      <c r="U90" s="15" t="s">
        <v>146</v>
      </c>
      <c r="AE90" s="25"/>
      <c r="AF90" s="13"/>
      <c r="AK90" s="116"/>
      <c r="AL90" s="123"/>
      <c r="AM90" s="123"/>
      <c r="AN90" s="123"/>
      <c r="AS90" s="115"/>
      <c r="AT90" s="115"/>
      <c r="AU90" s="115"/>
      <c r="AV90" s="115"/>
      <c r="AW90" s="115"/>
      <c r="AX90" s="115"/>
      <c r="AY90" s="115"/>
      <c r="AZ90" s="115"/>
      <c r="BA90" s="115"/>
      <c r="BB90" s="115"/>
      <c r="BC90" s="25"/>
      <c r="BD90" s="13"/>
      <c r="BG90" s="114"/>
    </row>
    <row r="91" spans="1:59" ht="20.100000000000001" customHeight="1" x14ac:dyDescent="0.4">
      <c r="A91" s="117"/>
      <c r="B91" s="123"/>
      <c r="C91" s="123"/>
      <c r="D91" s="123"/>
      <c r="F91" s="12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25">
        <v>45864</v>
      </c>
      <c r="U91" s="15" t="s">
        <v>146</v>
      </c>
      <c r="AE91" s="25"/>
      <c r="AF91" s="13"/>
      <c r="AK91" s="116"/>
      <c r="AL91" s="123"/>
      <c r="AM91" s="123"/>
      <c r="AN91" s="123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25"/>
      <c r="BD91" s="13"/>
      <c r="BG91" s="114"/>
    </row>
    <row r="92" spans="1:59" ht="20.100000000000001" customHeight="1" x14ac:dyDescent="0.4">
      <c r="A92" s="117"/>
      <c r="B92" s="123"/>
      <c r="C92" s="123"/>
      <c r="D92" s="123"/>
      <c r="F92" s="12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25">
        <v>45864</v>
      </c>
      <c r="U92" s="13" t="s">
        <v>146</v>
      </c>
      <c r="AE92" s="25"/>
      <c r="AF92" s="13"/>
      <c r="AK92" s="116"/>
      <c r="AL92" s="123"/>
      <c r="AM92" s="123"/>
      <c r="AN92" s="123"/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25"/>
      <c r="BD92" s="13"/>
      <c r="BG92" s="114"/>
    </row>
    <row r="93" spans="1:59" ht="20.100000000000001" customHeight="1" x14ac:dyDescent="0.4">
      <c r="A93" s="117"/>
      <c r="B93" s="123"/>
      <c r="C93" s="123"/>
      <c r="D93" s="123"/>
      <c r="F93" s="12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25">
        <v>45864</v>
      </c>
      <c r="U93" s="13" t="s">
        <v>148</v>
      </c>
      <c r="AE93" s="25"/>
      <c r="AF93" s="13"/>
      <c r="AK93" s="116"/>
      <c r="AL93" s="123"/>
      <c r="AM93" s="123"/>
      <c r="AN93" s="123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25"/>
      <c r="BD93" s="13"/>
      <c r="BG93" s="114"/>
    </row>
    <row r="94" spans="1:59" ht="20.100000000000001" customHeight="1" x14ac:dyDescent="0.4">
      <c r="A94" s="117"/>
      <c r="B94" s="123"/>
      <c r="C94" s="123"/>
      <c r="D94" s="123"/>
      <c r="F94" s="12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25">
        <v>45864</v>
      </c>
      <c r="U94" s="13" t="s">
        <v>147</v>
      </c>
      <c r="AE94" s="25"/>
      <c r="AF94" s="13"/>
      <c r="AK94" s="116"/>
      <c r="AL94" s="123"/>
      <c r="AM94" s="123"/>
      <c r="AN94" s="123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25"/>
      <c r="BD94" s="13"/>
      <c r="BG94" s="114"/>
    </row>
    <row r="95" spans="1:59" ht="20.100000000000001" customHeight="1" x14ac:dyDescent="0.4">
      <c r="A95" s="117"/>
      <c r="B95" s="123"/>
      <c r="C95" s="123"/>
      <c r="D95" s="123"/>
      <c r="F95" s="12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25">
        <v>45864</v>
      </c>
      <c r="U95" s="13" t="s">
        <v>147</v>
      </c>
      <c r="AE95" s="25"/>
      <c r="AF95" s="13"/>
      <c r="AK95" s="116"/>
      <c r="AL95" s="123"/>
      <c r="AM95" s="123"/>
      <c r="AN95" s="123"/>
      <c r="AS95" s="115"/>
      <c r="AT95" s="115"/>
      <c r="AU95" s="115"/>
      <c r="AV95" s="115"/>
      <c r="AW95" s="115"/>
      <c r="AX95" s="115"/>
      <c r="AY95" s="115"/>
      <c r="AZ95" s="115"/>
      <c r="BA95" s="115"/>
      <c r="BB95" s="115"/>
      <c r="BC95" s="25"/>
      <c r="BD95" s="13"/>
      <c r="BG95" s="114"/>
    </row>
    <row r="96" spans="1:59" ht="20.100000000000001" customHeight="1" x14ac:dyDescent="0.4">
      <c r="A96" s="117"/>
      <c r="B96" s="123"/>
      <c r="C96" s="123"/>
      <c r="D96" s="123"/>
      <c r="F96" s="12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25">
        <v>45864</v>
      </c>
      <c r="U96" s="13" t="s">
        <v>147</v>
      </c>
      <c r="AE96" s="25"/>
      <c r="AF96" s="13"/>
      <c r="AK96" s="116"/>
      <c r="AL96" s="123"/>
      <c r="AM96" s="123"/>
      <c r="AN96" s="123"/>
      <c r="AS96" s="115"/>
      <c r="AT96" s="115"/>
      <c r="AU96" s="115"/>
      <c r="AV96" s="115"/>
      <c r="AW96" s="115"/>
      <c r="AX96" s="115"/>
      <c r="AY96" s="115"/>
      <c r="AZ96" s="115"/>
      <c r="BA96" s="115"/>
      <c r="BB96" s="115"/>
      <c r="BC96" s="25"/>
      <c r="BD96" s="13"/>
      <c r="BG96" s="114"/>
    </row>
    <row r="97" spans="1:59" ht="20.100000000000001" customHeight="1" x14ac:dyDescent="0.4">
      <c r="A97" s="117"/>
      <c r="B97" s="123"/>
      <c r="C97" s="123"/>
      <c r="D97" s="123"/>
      <c r="F97" s="12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25">
        <v>45864</v>
      </c>
      <c r="U97" s="13" t="s">
        <v>147</v>
      </c>
      <c r="AE97" s="25"/>
      <c r="AF97" s="13"/>
      <c r="AK97" s="116"/>
      <c r="AL97" s="123"/>
      <c r="AM97" s="123"/>
      <c r="AN97" s="123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25"/>
      <c r="BD97" s="13"/>
      <c r="BG97" s="114"/>
    </row>
    <row r="98" spans="1:59" ht="20.100000000000001" customHeight="1" x14ac:dyDescent="0.4">
      <c r="A98" s="117"/>
      <c r="B98" s="123"/>
      <c r="C98" s="123"/>
      <c r="D98" s="123"/>
      <c r="F98" s="12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25">
        <v>45864</v>
      </c>
      <c r="U98" s="15" t="s">
        <v>146</v>
      </c>
      <c r="AE98" s="25"/>
      <c r="AF98" s="13"/>
      <c r="AK98" s="116"/>
      <c r="AL98" s="123"/>
      <c r="AM98" s="123"/>
      <c r="AN98" s="123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25"/>
      <c r="BD98" s="13"/>
      <c r="BG98" s="114"/>
    </row>
    <row r="99" spans="1:59" ht="20.100000000000001" customHeight="1" x14ac:dyDescent="0.4">
      <c r="A99" s="117"/>
      <c r="B99" s="123"/>
      <c r="C99" s="123"/>
      <c r="D99" s="123"/>
      <c r="F99" s="12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 t="s">
        <v>214</v>
      </c>
      <c r="T99" s="13">
        <f>SUBTOTAL(3,T87:T98)</f>
        <v>12</v>
      </c>
      <c r="U99" s="15">
        <f>SUBTOTAL(3,U87:U98)</f>
        <v>12</v>
      </c>
      <c r="AE99" s="25"/>
      <c r="AF99" s="13"/>
      <c r="AK99" s="116"/>
      <c r="AL99" s="123"/>
      <c r="AM99" s="123"/>
      <c r="AN99" s="123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25"/>
      <c r="BD99" s="13"/>
      <c r="BG99" s="114"/>
    </row>
    <row r="100" spans="1:59" ht="20.100000000000001" customHeight="1" x14ac:dyDescent="0.4">
      <c r="A100" s="117"/>
      <c r="B100" s="123"/>
      <c r="C100" s="123"/>
      <c r="D100" s="123"/>
      <c r="F100" s="12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25">
        <v>45865</v>
      </c>
      <c r="U100" s="15" t="s">
        <v>147</v>
      </c>
      <c r="AE100" s="25"/>
      <c r="AF100" s="13"/>
      <c r="AK100" s="116"/>
      <c r="AL100" s="123"/>
      <c r="AM100" s="123"/>
      <c r="AN100" s="123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25"/>
      <c r="BD100" s="13"/>
      <c r="BG100" s="114"/>
    </row>
    <row r="101" spans="1:59" ht="20.100000000000001" customHeight="1" x14ac:dyDescent="0.4">
      <c r="A101" s="117"/>
      <c r="B101" s="123"/>
      <c r="C101" s="123"/>
      <c r="D101" s="123"/>
      <c r="F101" s="12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25">
        <v>45865</v>
      </c>
      <c r="U101" s="15" t="s">
        <v>146</v>
      </c>
      <c r="AE101" s="25"/>
      <c r="AF101" s="13"/>
      <c r="AK101" s="116"/>
      <c r="AL101" s="123"/>
      <c r="AM101" s="123"/>
      <c r="AN101" s="123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25"/>
      <c r="BD101" s="13"/>
      <c r="BG101" s="114"/>
    </row>
    <row r="102" spans="1:59" ht="20.100000000000001" customHeight="1" x14ac:dyDescent="0.4">
      <c r="A102" s="117"/>
      <c r="B102" s="123"/>
      <c r="C102" s="123"/>
      <c r="D102" s="123"/>
      <c r="F102" s="12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25">
        <v>45865</v>
      </c>
      <c r="U102" s="15" t="s">
        <v>148</v>
      </c>
      <c r="AE102" s="25"/>
      <c r="AF102" s="13"/>
      <c r="AK102" s="116"/>
      <c r="AL102" s="123"/>
      <c r="AM102" s="123"/>
      <c r="AN102" s="123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25"/>
      <c r="BD102" s="13"/>
      <c r="BG102" s="114"/>
    </row>
    <row r="103" spans="1:59" ht="20.100000000000001" customHeight="1" x14ac:dyDescent="0.4">
      <c r="A103" s="117"/>
      <c r="B103" s="123"/>
      <c r="C103" s="123"/>
      <c r="D103" s="123"/>
      <c r="F103" s="12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25">
        <v>45865</v>
      </c>
      <c r="U103" s="15" t="s">
        <v>148</v>
      </c>
      <c r="AE103" s="25"/>
      <c r="AF103" s="13"/>
      <c r="AK103" s="116"/>
      <c r="AL103" s="123"/>
      <c r="AM103" s="123"/>
      <c r="AN103" s="123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25"/>
      <c r="BD103" s="13"/>
      <c r="BG103" s="114"/>
    </row>
    <row r="104" spans="1:59" ht="20.100000000000001" customHeight="1" x14ac:dyDescent="0.4">
      <c r="A104" s="117"/>
      <c r="B104" s="123"/>
      <c r="C104" s="123"/>
      <c r="D104" s="123"/>
      <c r="F104" s="125"/>
      <c r="T104" s="25">
        <v>45865</v>
      </c>
      <c r="U104" s="15" t="s">
        <v>147</v>
      </c>
      <c r="AA104" s="115"/>
      <c r="AB104" s="115"/>
      <c r="AC104" s="115"/>
      <c r="AD104" s="115"/>
      <c r="AE104" s="25">
        <v>45669</v>
      </c>
      <c r="AF104" s="13" t="s">
        <v>147</v>
      </c>
      <c r="AK104" s="116"/>
      <c r="AL104" s="123"/>
      <c r="AM104" s="123"/>
      <c r="AN104" s="123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25"/>
      <c r="BD104" s="13"/>
      <c r="BG104" s="114"/>
    </row>
    <row r="105" spans="1:59" ht="20.100000000000001" customHeight="1" x14ac:dyDescent="0.4">
      <c r="A105" s="117"/>
      <c r="B105" s="123"/>
      <c r="C105" s="123"/>
      <c r="D105" s="123"/>
      <c r="F105" s="125"/>
      <c r="N105" s="115"/>
      <c r="O105" s="115"/>
      <c r="P105" s="115"/>
      <c r="Q105" s="115"/>
      <c r="R105" s="115"/>
      <c r="S105" s="115"/>
      <c r="T105" s="25">
        <v>45865</v>
      </c>
      <c r="U105" s="15" t="s">
        <v>146</v>
      </c>
      <c r="AA105" s="115"/>
      <c r="AB105" s="115"/>
      <c r="AC105" s="115"/>
      <c r="AD105" s="115"/>
      <c r="AE105" s="25"/>
      <c r="AF105" s="13"/>
      <c r="AK105" s="116"/>
      <c r="AL105" s="123"/>
      <c r="AM105" s="123"/>
      <c r="AN105" s="123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25"/>
      <c r="BD105" s="13"/>
      <c r="BG105" s="114"/>
    </row>
    <row r="106" spans="1:59" ht="20.100000000000001" customHeight="1" x14ac:dyDescent="0.4">
      <c r="A106" s="117"/>
      <c r="B106" s="123"/>
      <c r="C106" s="123"/>
      <c r="D106" s="123"/>
      <c r="F106" s="125"/>
      <c r="T106" s="25">
        <v>45865</v>
      </c>
      <c r="U106" s="15" t="s">
        <v>147</v>
      </c>
      <c r="AA106" s="115"/>
      <c r="AB106" s="115"/>
      <c r="AC106" s="115"/>
      <c r="AD106" s="115"/>
      <c r="AE106" s="25"/>
      <c r="AF106" s="13"/>
      <c r="AK106" s="116"/>
      <c r="AL106" s="123"/>
      <c r="AM106" s="123"/>
      <c r="AN106" s="123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25"/>
      <c r="BD106" s="13"/>
      <c r="BG106" s="114"/>
    </row>
    <row r="107" spans="1:59" ht="20.100000000000001" customHeight="1" x14ac:dyDescent="0.4">
      <c r="A107" s="117"/>
      <c r="B107" s="123"/>
      <c r="C107" s="123"/>
      <c r="D107" s="123"/>
      <c r="F107" s="12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25">
        <v>45865</v>
      </c>
      <c r="U107" s="15" t="s">
        <v>147</v>
      </c>
      <c r="AA107" s="115"/>
      <c r="AB107" s="115"/>
      <c r="AC107" s="115"/>
      <c r="AD107" s="115"/>
      <c r="AE107" s="25"/>
      <c r="AF107" s="13"/>
      <c r="AK107" s="116"/>
      <c r="AL107" s="123"/>
      <c r="AM107" s="123"/>
      <c r="AN107" s="123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25"/>
      <c r="BD107" s="13"/>
      <c r="BG107" s="114"/>
    </row>
    <row r="108" spans="1:59" ht="20.100000000000001" customHeight="1" x14ac:dyDescent="0.4">
      <c r="A108" s="117"/>
      <c r="B108" s="123"/>
      <c r="C108" s="123"/>
      <c r="D108" s="123"/>
      <c r="F108" s="12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25">
        <v>45865</v>
      </c>
      <c r="U108" s="15" t="s">
        <v>147</v>
      </c>
      <c r="AA108" s="115"/>
      <c r="AB108" s="115"/>
      <c r="AC108" s="115"/>
      <c r="AD108" s="115"/>
      <c r="AE108" s="25"/>
      <c r="AF108" s="13"/>
      <c r="AK108" s="116"/>
      <c r="AL108" s="123"/>
      <c r="AM108" s="123"/>
      <c r="AN108" s="123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25"/>
      <c r="BD108" s="13"/>
      <c r="BG108" s="114"/>
    </row>
    <row r="109" spans="1:59" ht="20.100000000000001" customHeight="1" x14ac:dyDescent="0.4">
      <c r="A109" s="117"/>
      <c r="B109" s="123"/>
      <c r="C109" s="123"/>
      <c r="D109" s="123"/>
      <c r="F109" s="12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 t="s">
        <v>185</v>
      </c>
      <c r="T109" s="13">
        <f>SUBTOTAL(3,T100:T108)</f>
        <v>9</v>
      </c>
      <c r="U109" s="15">
        <f>SUBTOTAL(3,U100:U108)</f>
        <v>9</v>
      </c>
      <c r="AA109" s="115"/>
      <c r="AB109" s="115"/>
      <c r="AC109" s="115"/>
      <c r="AD109" s="115"/>
      <c r="AE109" s="25"/>
      <c r="AF109" s="13"/>
      <c r="AK109" s="116"/>
      <c r="AL109" s="123"/>
      <c r="AM109" s="123"/>
      <c r="AN109" s="123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25"/>
      <c r="BD109" s="13"/>
      <c r="BG109" s="114"/>
    </row>
    <row r="110" spans="1:59" ht="20.100000000000001" customHeight="1" x14ac:dyDescent="0.4">
      <c r="A110" s="117"/>
      <c r="B110" s="123"/>
      <c r="C110" s="123"/>
      <c r="D110" s="123"/>
      <c r="F110" s="12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25">
        <v>45866</v>
      </c>
      <c r="U110" s="15" t="s">
        <v>146</v>
      </c>
      <c r="AA110" s="115"/>
      <c r="AB110" s="115"/>
      <c r="AC110" s="115"/>
      <c r="AD110" s="115"/>
      <c r="AE110" s="25"/>
      <c r="AF110" s="13"/>
      <c r="AK110" s="116"/>
      <c r="AL110" s="123"/>
      <c r="AM110" s="123"/>
      <c r="AN110" s="123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25"/>
      <c r="BD110" s="13"/>
      <c r="BG110" s="114"/>
    </row>
    <row r="111" spans="1:59" ht="20.100000000000001" customHeight="1" x14ac:dyDescent="0.4">
      <c r="A111" s="117"/>
      <c r="B111" s="123"/>
      <c r="C111" s="123"/>
      <c r="D111" s="123"/>
      <c r="F111" s="12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25">
        <v>45866</v>
      </c>
      <c r="U111" s="15" t="s">
        <v>146</v>
      </c>
      <c r="AA111" s="115"/>
      <c r="AB111" s="115"/>
      <c r="AC111" s="115"/>
      <c r="AD111" s="115"/>
      <c r="AE111" s="25"/>
      <c r="AF111" s="13"/>
      <c r="AK111" s="116"/>
      <c r="AL111" s="123"/>
      <c r="AM111" s="123"/>
      <c r="AN111" s="123"/>
      <c r="AS111" s="115"/>
      <c r="AT111" s="115"/>
      <c r="AU111" s="115"/>
      <c r="AV111" s="115"/>
      <c r="AW111" s="115"/>
      <c r="AX111" s="115"/>
      <c r="AY111" s="115"/>
      <c r="AZ111" s="115"/>
      <c r="BA111" s="115"/>
      <c r="BB111" s="115"/>
      <c r="BC111" s="25"/>
      <c r="BD111" s="13"/>
      <c r="BG111" s="114"/>
    </row>
    <row r="112" spans="1:59" ht="20.100000000000001" customHeight="1" x14ac:dyDescent="0.4">
      <c r="A112" s="117"/>
      <c r="B112" s="123"/>
      <c r="C112" s="123"/>
      <c r="D112" s="123"/>
      <c r="F112" s="12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25">
        <v>45866</v>
      </c>
      <c r="U112" s="15" t="s">
        <v>148</v>
      </c>
      <c r="AA112" s="115"/>
      <c r="AB112" s="115"/>
      <c r="AC112" s="115"/>
      <c r="AD112" s="115"/>
      <c r="AE112" s="25"/>
      <c r="AF112" s="13"/>
      <c r="AK112" s="116"/>
      <c r="AL112" s="123"/>
      <c r="AM112" s="123"/>
      <c r="AN112" s="123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25"/>
      <c r="BD112" s="13"/>
      <c r="BG112" s="114"/>
    </row>
    <row r="113" spans="1:59" ht="20.100000000000001" customHeight="1" x14ac:dyDescent="0.4">
      <c r="A113" s="117"/>
      <c r="B113" s="123"/>
      <c r="C113" s="123"/>
      <c r="D113" s="123"/>
      <c r="F113" s="12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25">
        <v>45866</v>
      </c>
      <c r="U113" s="13" t="s">
        <v>148</v>
      </c>
      <c r="AA113" s="115"/>
      <c r="AB113" s="115"/>
      <c r="AC113" s="115"/>
      <c r="AD113" s="115"/>
      <c r="AE113" s="25"/>
      <c r="AF113" s="13"/>
      <c r="AK113" s="116"/>
      <c r="AL113" s="123"/>
      <c r="AM113" s="123"/>
      <c r="AN113" s="123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25"/>
      <c r="BD113" s="13"/>
      <c r="BG113" s="114"/>
    </row>
    <row r="114" spans="1:59" ht="20.100000000000001" customHeight="1" x14ac:dyDescent="0.4">
      <c r="A114" s="117"/>
      <c r="B114" s="123"/>
      <c r="C114" s="123"/>
      <c r="D114" s="123"/>
      <c r="F114" s="12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25">
        <v>45866</v>
      </c>
      <c r="U114" s="13" t="s">
        <v>147</v>
      </c>
      <c r="AA114" s="115"/>
      <c r="AB114" s="115"/>
      <c r="AC114" s="115"/>
      <c r="AD114" s="115"/>
      <c r="AE114" s="25"/>
      <c r="AF114" s="13"/>
      <c r="AK114" s="116"/>
      <c r="AL114" s="123"/>
      <c r="AM114" s="123"/>
      <c r="AN114" s="123"/>
      <c r="AS114" s="115"/>
      <c r="AT114" s="115"/>
      <c r="AU114" s="115"/>
      <c r="AV114" s="115"/>
      <c r="AW114" s="115"/>
      <c r="AX114" s="115"/>
      <c r="AY114" s="115"/>
      <c r="AZ114" s="115"/>
      <c r="BA114" s="115"/>
      <c r="BB114" s="115"/>
      <c r="BC114" s="25"/>
      <c r="BD114" s="13"/>
      <c r="BG114" s="114"/>
    </row>
    <row r="115" spans="1:59" ht="20.100000000000001" customHeight="1" x14ac:dyDescent="0.4">
      <c r="A115" s="117"/>
      <c r="B115" s="123"/>
      <c r="C115" s="123"/>
      <c r="D115" s="123"/>
      <c r="F115" s="12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 t="s">
        <v>192</v>
      </c>
      <c r="T115" s="13">
        <f>SUBTOTAL(3,T110:T114)</f>
        <v>5</v>
      </c>
      <c r="U115" s="13">
        <f>SUBTOTAL(3,U110:U114)</f>
        <v>5</v>
      </c>
      <c r="AA115" s="115"/>
      <c r="AB115" s="115"/>
      <c r="AC115" s="115"/>
      <c r="AD115" s="115"/>
      <c r="AE115" s="25"/>
      <c r="AF115" s="13"/>
      <c r="AK115" s="116"/>
      <c r="AL115" s="123"/>
      <c r="AM115" s="123"/>
      <c r="AN115" s="123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25"/>
      <c r="BD115" s="13"/>
      <c r="BG115" s="114"/>
    </row>
    <row r="116" spans="1:59" ht="20.100000000000001" customHeight="1" x14ac:dyDescent="0.4">
      <c r="A116" s="117"/>
      <c r="B116" s="123"/>
      <c r="C116" s="123"/>
      <c r="D116" s="123"/>
      <c r="F116" s="12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25">
        <v>45867</v>
      </c>
      <c r="U116" s="13" t="s">
        <v>142</v>
      </c>
      <c r="AA116" s="115"/>
      <c r="AB116" s="115"/>
      <c r="AC116" s="115"/>
      <c r="AD116" s="115"/>
      <c r="AE116" s="25"/>
      <c r="AF116" s="13"/>
      <c r="AK116" s="116"/>
      <c r="AL116" s="123"/>
      <c r="AM116" s="123"/>
      <c r="AN116" s="123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25"/>
      <c r="BD116" s="13"/>
      <c r="BG116" s="114"/>
    </row>
    <row r="117" spans="1:59" ht="20.100000000000001" customHeight="1" x14ac:dyDescent="0.4">
      <c r="A117" s="117"/>
      <c r="B117" s="123"/>
      <c r="C117" s="123"/>
      <c r="D117" s="123"/>
      <c r="F117" s="12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25">
        <v>45867</v>
      </c>
      <c r="U117" s="13" t="s">
        <v>146</v>
      </c>
      <c r="AA117" s="115"/>
      <c r="AB117" s="115"/>
      <c r="AC117" s="115"/>
      <c r="AD117" s="115"/>
      <c r="AE117" s="25"/>
      <c r="AF117" s="13"/>
      <c r="AK117" s="116"/>
      <c r="AL117" s="123"/>
      <c r="AM117" s="123"/>
      <c r="AN117" s="123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25"/>
      <c r="BD117" s="13"/>
      <c r="BG117" s="114"/>
    </row>
    <row r="118" spans="1:59" ht="20.100000000000001" customHeight="1" x14ac:dyDescent="0.4">
      <c r="A118" s="117"/>
      <c r="B118" s="123"/>
      <c r="C118" s="123"/>
      <c r="D118" s="123"/>
      <c r="F118" s="12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25">
        <v>45867</v>
      </c>
      <c r="U118" s="13" t="s">
        <v>146</v>
      </c>
      <c r="AA118" s="115"/>
      <c r="AB118" s="115"/>
      <c r="AC118" s="115"/>
      <c r="AD118" s="115"/>
      <c r="AE118" s="25"/>
      <c r="AF118" s="13"/>
      <c r="AK118" s="116"/>
      <c r="AL118" s="123"/>
      <c r="AM118" s="123"/>
      <c r="AN118" s="123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25"/>
      <c r="BD118" s="13"/>
      <c r="BG118" s="114"/>
    </row>
    <row r="119" spans="1:59" ht="20.100000000000001" customHeight="1" x14ac:dyDescent="0.4">
      <c r="A119" s="117"/>
      <c r="B119" s="123"/>
      <c r="C119" s="123"/>
      <c r="D119" s="123"/>
      <c r="F119" s="12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25">
        <v>45867</v>
      </c>
      <c r="U119" s="13" t="s">
        <v>146</v>
      </c>
      <c r="AA119" s="115"/>
      <c r="AB119" s="115"/>
      <c r="AC119" s="115"/>
      <c r="AD119" s="115"/>
      <c r="AE119" s="25"/>
      <c r="AF119" s="13"/>
      <c r="AK119" s="116"/>
      <c r="AL119" s="123"/>
      <c r="AM119" s="123"/>
      <c r="AN119" s="123"/>
      <c r="AS119" s="115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25"/>
      <c r="BD119" s="13"/>
      <c r="BG119" s="114"/>
    </row>
    <row r="120" spans="1:59" ht="20.100000000000001" customHeight="1" x14ac:dyDescent="0.4">
      <c r="A120" s="117"/>
      <c r="B120" s="123"/>
      <c r="C120" s="123"/>
      <c r="D120" s="123"/>
      <c r="F120" s="12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25">
        <v>45867</v>
      </c>
      <c r="U120" s="13" t="s">
        <v>146</v>
      </c>
      <c r="AA120" s="115"/>
      <c r="AB120" s="115"/>
      <c r="AC120" s="115"/>
      <c r="AD120" s="115"/>
      <c r="AE120" s="25"/>
      <c r="AF120" s="13"/>
      <c r="AK120" s="116"/>
      <c r="AL120" s="123"/>
      <c r="AM120" s="123"/>
      <c r="AN120" s="123"/>
      <c r="AS120" s="115"/>
      <c r="AT120" s="115"/>
      <c r="AU120" s="115"/>
      <c r="AV120" s="115"/>
      <c r="AW120" s="115"/>
      <c r="AX120" s="115"/>
      <c r="AY120" s="115"/>
      <c r="AZ120" s="115"/>
      <c r="BA120" s="115"/>
      <c r="BB120" s="115"/>
      <c r="BC120" s="25"/>
      <c r="BD120" s="13"/>
      <c r="BG120" s="114"/>
    </row>
    <row r="121" spans="1:59" ht="20.100000000000001" customHeight="1" x14ac:dyDescent="0.4">
      <c r="A121" s="117"/>
      <c r="B121" s="123"/>
      <c r="C121" s="123"/>
      <c r="D121" s="123"/>
      <c r="F121" s="12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25">
        <v>45867</v>
      </c>
      <c r="U121" s="13" t="s">
        <v>146</v>
      </c>
      <c r="AA121" s="115"/>
      <c r="AB121" s="115"/>
      <c r="AC121" s="115"/>
      <c r="AD121" s="115"/>
      <c r="AE121" s="25"/>
      <c r="AF121" s="13"/>
      <c r="AK121" s="116"/>
      <c r="AL121" s="123"/>
      <c r="AM121" s="123"/>
      <c r="AN121" s="123"/>
      <c r="AS121" s="115"/>
      <c r="AT121" s="115"/>
      <c r="AU121" s="115"/>
      <c r="AV121" s="115"/>
      <c r="AW121" s="115"/>
      <c r="AX121" s="115"/>
      <c r="AY121" s="115"/>
      <c r="AZ121" s="115"/>
      <c r="BA121" s="115"/>
      <c r="BB121" s="115"/>
      <c r="BC121" s="25"/>
      <c r="BD121" s="13"/>
      <c r="BG121" s="114"/>
    </row>
    <row r="122" spans="1:59" ht="20.100000000000001" customHeight="1" x14ac:dyDescent="0.4">
      <c r="A122" s="117"/>
      <c r="B122" s="123"/>
      <c r="C122" s="123"/>
      <c r="D122" s="123"/>
      <c r="F122" s="12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25">
        <v>45867</v>
      </c>
      <c r="U122" s="13" t="s">
        <v>142</v>
      </c>
      <c r="AA122" s="115"/>
      <c r="AB122" s="115"/>
      <c r="AC122" s="115"/>
      <c r="AD122" s="115"/>
      <c r="AE122" s="25"/>
      <c r="AF122" s="13"/>
      <c r="AK122" s="116"/>
      <c r="AL122" s="123"/>
      <c r="AM122" s="123"/>
      <c r="AN122" s="123"/>
      <c r="AS122" s="115"/>
      <c r="AT122" s="115"/>
      <c r="AU122" s="115"/>
      <c r="AV122" s="115"/>
      <c r="AW122" s="115"/>
      <c r="AX122" s="115"/>
      <c r="AY122" s="115"/>
      <c r="AZ122" s="115"/>
      <c r="BA122" s="115"/>
      <c r="BB122" s="115"/>
      <c r="BC122" s="25"/>
      <c r="BD122" s="13"/>
      <c r="BG122" s="114"/>
    </row>
    <row r="123" spans="1:59" ht="20.100000000000001" customHeight="1" x14ac:dyDescent="0.4">
      <c r="A123" s="117"/>
      <c r="B123" s="123"/>
      <c r="C123" s="123"/>
      <c r="D123" s="123"/>
      <c r="F123" s="12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25">
        <v>45867</v>
      </c>
      <c r="U123" s="13" t="s">
        <v>146</v>
      </c>
      <c r="AA123" s="115"/>
      <c r="AB123" s="115"/>
      <c r="AC123" s="115"/>
      <c r="AD123" s="115"/>
      <c r="AE123" s="25"/>
      <c r="AF123" s="13"/>
      <c r="AK123" s="116"/>
      <c r="AL123" s="123"/>
      <c r="AM123" s="123"/>
      <c r="AN123" s="123"/>
      <c r="AS123" s="115"/>
      <c r="AT123" s="115"/>
      <c r="AU123" s="115"/>
      <c r="AV123" s="115"/>
      <c r="AW123" s="115"/>
      <c r="AX123" s="115"/>
      <c r="AY123" s="115"/>
      <c r="AZ123" s="115"/>
      <c r="BA123" s="115"/>
      <c r="BB123" s="115"/>
      <c r="BC123" s="25"/>
      <c r="BD123" s="13"/>
      <c r="BG123" s="114"/>
    </row>
    <row r="124" spans="1:59" ht="20.100000000000001" customHeight="1" x14ac:dyDescent="0.4">
      <c r="A124" s="117"/>
      <c r="B124" s="123"/>
      <c r="C124" s="123"/>
      <c r="D124" s="123"/>
      <c r="F124" s="12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25">
        <v>45867</v>
      </c>
      <c r="U124" s="13" t="s">
        <v>146</v>
      </c>
      <c r="AA124" s="115"/>
      <c r="AB124" s="115"/>
      <c r="AC124" s="115"/>
      <c r="AD124" s="115"/>
      <c r="AE124" s="25"/>
      <c r="AF124" s="13"/>
      <c r="AK124" s="116"/>
      <c r="AL124" s="123"/>
      <c r="AM124" s="123"/>
      <c r="AN124" s="123"/>
      <c r="AS124" s="115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25"/>
      <c r="BD124" s="13"/>
      <c r="BG124" s="114"/>
    </row>
    <row r="125" spans="1:59" ht="20.100000000000001" customHeight="1" x14ac:dyDescent="0.4">
      <c r="A125" s="117"/>
      <c r="B125" s="123"/>
      <c r="C125" s="123"/>
      <c r="D125" s="123"/>
      <c r="F125" s="12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25">
        <v>45867</v>
      </c>
      <c r="U125" s="13" t="s">
        <v>147</v>
      </c>
      <c r="AA125" s="115"/>
      <c r="AB125" s="115"/>
      <c r="AC125" s="115"/>
      <c r="AD125" s="115"/>
      <c r="AE125" s="25"/>
      <c r="AF125" s="13"/>
      <c r="AK125" s="116"/>
      <c r="AL125" s="123"/>
      <c r="AM125" s="123"/>
      <c r="AN125" s="123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25"/>
      <c r="BD125" s="13"/>
      <c r="BG125" s="114"/>
    </row>
    <row r="126" spans="1:59" ht="20.100000000000001" customHeight="1" x14ac:dyDescent="0.4">
      <c r="A126" s="117"/>
      <c r="B126" s="123"/>
      <c r="C126" s="123"/>
      <c r="D126" s="123"/>
      <c r="F126" s="125"/>
      <c r="T126" s="25">
        <v>45867</v>
      </c>
      <c r="U126" s="13" t="s">
        <v>146</v>
      </c>
      <c r="AA126" s="115"/>
      <c r="AB126" s="115"/>
      <c r="AC126" s="115"/>
      <c r="AD126" s="115"/>
      <c r="AE126" s="25">
        <v>45671</v>
      </c>
      <c r="AF126" s="13" t="s">
        <v>146</v>
      </c>
      <c r="AK126" s="116"/>
      <c r="AL126" s="123"/>
      <c r="AM126" s="123"/>
      <c r="AN126" s="123"/>
      <c r="AS126" s="115"/>
      <c r="AT126" s="115"/>
      <c r="AU126" s="115"/>
      <c r="AV126" s="115"/>
      <c r="AW126" s="115"/>
      <c r="AX126" s="115"/>
      <c r="AY126" s="115"/>
      <c r="AZ126" s="115"/>
      <c r="BA126" s="115"/>
      <c r="BB126" s="115"/>
      <c r="BC126" s="25"/>
      <c r="BD126" s="13"/>
      <c r="BG126" s="114"/>
    </row>
    <row r="127" spans="1:59" ht="20.100000000000001" customHeight="1" x14ac:dyDescent="0.4">
      <c r="A127" s="117"/>
      <c r="B127" s="123"/>
      <c r="C127" s="123"/>
      <c r="D127" s="123"/>
      <c r="F127" s="12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25">
        <v>45867</v>
      </c>
      <c r="U127" s="13" t="s">
        <v>147</v>
      </c>
      <c r="AA127" s="115"/>
      <c r="AB127" s="115"/>
      <c r="AC127" s="115"/>
      <c r="AD127" s="115"/>
      <c r="AE127" s="25"/>
      <c r="AF127" s="13"/>
      <c r="AK127" s="116"/>
      <c r="AL127" s="123"/>
      <c r="AM127" s="123"/>
      <c r="AN127" s="123"/>
      <c r="AS127" s="115"/>
      <c r="AT127" s="115"/>
      <c r="AU127" s="115"/>
      <c r="AV127" s="115"/>
      <c r="AW127" s="115"/>
      <c r="AX127" s="115"/>
      <c r="AY127" s="115"/>
      <c r="AZ127" s="115"/>
      <c r="BA127" s="115"/>
      <c r="BB127" s="115"/>
      <c r="BC127" s="25"/>
      <c r="BD127" s="13"/>
      <c r="BG127" s="114"/>
    </row>
    <row r="128" spans="1:59" ht="20.100000000000001" customHeight="1" x14ac:dyDescent="0.4">
      <c r="A128" s="117"/>
      <c r="B128" s="123"/>
      <c r="C128" s="123"/>
      <c r="D128" s="123"/>
      <c r="F128" s="12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25">
        <v>45867</v>
      </c>
      <c r="U128" s="25" t="s">
        <v>146</v>
      </c>
      <c r="AA128" s="115"/>
      <c r="AB128" s="115"/>
      <c r="AC128" s="115"/>
      <c r="AD128" s="115"/>
      <c r="AE128" s="25"/>
      <c r="AF128" s="13"/>
      <c r="AK128" s="116"/>
      <c r="AL128" s="123"/>
      <c r="AM128" s="123"/>
      <c r="AN128" s="123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25"/>
      <c r="BD128" s="13"/>
      <c r="BG128" s="114"/>
    </row>
    <row r="129" spans="1:59" ht="20.100000000000001" customHeight="1" x14ac:dyDescent="0.4">
      <c r="A129" s="117"/>
      <c r="B129" s="123"/>
      <c r="C129" s="123"/>
      <c r="D129" s="123"/>
      <c r="F129" s="125"/>
      <c r="T129" s="25">
        <v>45867</v>
      </c>
      <c r="U129" s="13" t="s">
        <v>148</v>
      </c>
      <c r="Y129" s="115"/>
      <c r="Z129" s="115"/>
      <c r="AA129" s="115"/>
      <c r="AB129" s="115"/>
      <c r="AC129" s="115"/>
      <c r="AD129" s="115"/>
      <c r="AE129" s="25">
        <v>45671</v>
      </c>
      <c r="AF129" s="13" t="s">
        <v>148</v>
      </c>
      <c r="AK129" s="116"/>
      <c r="AL129" s="123"/>
      <c r="AM129" s="123"/>
      <c r="AN129" s="123"/>
      <c r="AS129" s="115"/>
      <c r="AT129" s="115"/>
      <c r="AU129" s="115"/>
      <c r="AV129" s="115"/>
      <c r="AW129" s="115"/>
      <c r="AX129" s="115"/>
      <c r="AY129" s="115"/>
      <c r="AZ129" s="115"/>
      <c r="BA129" s="115"/>
      <c r="BB129" s="115"/>
      <c r="BC129" s="25"/>
      <c r="BD129" s="13"/>
      <c r="BG129" s="114"/>
    </row>
    <row r="130" spans="1:59" ht="20.100000000000001" customHeight="1" x14ac:dyDescent="0.4">
      <c r="A130" s="117"/>
      <c r="B130" s="123"/>
      <c r="C130" s="123"/>
      <c r="D130" s="123"/>
      <c r="F130" s="125"/>
      <c r="Q130" s="115"/>
      <c r="R130" s="115"/>
      <c r="S130" s="115"/>
      <c r="T130" s="25">
        <v>45867</v>
      </c>
      <c r="U130" s="13" t="s">
        <v>146</v>
      </c>
      <c r="Y130" s="115"/>
      <c r="Z130" s="115"/>
      <c r="AA130" s="115"/>
      <c r="AB130" s="115"/>
      <c r="AC130" s="115"/>
      <c r="AD130" s="115"/>
      <c r="AE130" s="25"/>
      <c r="AF130" s="13"/>
      <c r="AK130" s="116"/>
      <c r="AL130" s="123"/>
      <c r="AM130" s="123"/>
      <c r="AN130" s="123"/>
      <c r="AS130" s="115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25"/>
      <c r="BD130" s="13"/>
      <c r="BG130" s="114"/>
    </row>
    <row r="131" spans="1:59" ht="20.100000000000001" customHeight="1" x14ac:dyDescent="0.4">
      <c r="A131" s="117"/>
      <c r="B131" s="123"/>
      <c r="C131" s="123"/>
      <c r="D131" s="123"/>
      <c r="F131" s="125"/>
      <c r="P131" s="115"/>
      <c r="Q131" s="115"/>
      <c r="R131" s="115"/>
      <c r="S131" s="115"/>
      <c r="T131" s="25">
        <v>45867</v>
      </c>
      <c r="U131" s="13" t="s">
        <v>148</v>
      </c>
      <c r="Y131" s="115"/>
      <c r="Z131" s="115"/>
      <c r="AA131" s="115"/>
      <c r="AB131" s="115"/>
      <c r="AC131" s="115"/>
      <c r="AD131" s="115"/>
      <c r="AE131" s="25"/>
      <c r="AF131" s="13"/>
      <c r="AK131" s="116"/>
      <c r="AL131" s="123"/>
      <c r="AM131" s="123"/>
      <c r="AN131" s="123"/>
      <c r="AS131" s="115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25"/>
      <c r="BD131" s="13"/>
      <c r="BG131" s="114"/>
    </row>
    <row r="132" spans="1:59" ht="20.100000000000001" customHeight="1" x14ac:dyDescent="0.4">
      <c r="A132" s="117"/>
      <c r="B132" s="123"/>
      <c r="C132" s="123"/>
      <c r="D132" s="123"/>
      <c r="F132" s="125"/>
      <c r="P132" s="115"/>
      <c r="Q132" s="115"/>
      <c r="R132" s="115"/>
      <c r="S132" s="115" t="s">
        <v>215</v>
      </c>
      <c r="T132" s="13">
        <f>SUBTOTAL(3,T116:T131)</f>
        <v>16</v>
      </c>
      <c r="U132" s="13">
        <f>SUBTOTAL(3,U116:U131)</f>
        <v>16</v>
      </c>
      <c r="Y132" s="115"/>
      <c r="Z132" s="115"/>
      <c r="AA132" s="115"/>
      <c r="AB132" s="115"/>
      <c r="AC132" s="115"/>
      <c r="AD132" s="115"/>
      <c r="AE132" s="25"/>
      <c r="AF132" s="13"/>
      <c r="AK132" s="116"/>
      <c r="AL132" s="123"/>
      <c r="AM132" s="123"/>
      <c r="AN132" s="123"/>
      <c r="AS132" s="115"/>
      <c r="AT132" s="115"/>
      <c r="AU132" s="115"/>
      <c r="AV132" s="115"/>
      <c r="AW132" s="115"/>
      <c r="AX132" s="115"/>
      <c r="AY132" s="115"/>
      <c r="AZ132" s="115"/>
      <c r="BA132" s="115"/>
      <c r="BB132" s="115"/>
      <c r="BC132" s="25"/>
      <c r="BD132" s="13"/>
      <c r="BG132" s="114"/>
    </row>
    <row r="133" spans="1:59" ht="20.100000000000001" customHeight="1" x14ac:dyDescent="0.4">
      <c r="A133" s="117"/>
      <c r="B133" s="123"/>
      <c r="C133" s="123"/>
      <c r="D133" s="123"/>
      <c r="F133" s="125"/>
      <c r="P133" s="115"/>
      <c r="Q133" s="115"/>
      <c r="R133" s="115"/>
      <c r="S133" s="115"/>
      <c r="T133" s="25">
        <v>45868</v>
      </c>
      <c r="U133" s="13" t="s">
        <v>146</v>
      </c>
      <c r="Y133" s="115"/>
      <c r="Z133" s="115"/>
      <c r="AA133" s="115"/>
      <c r="AB133" s="115"/>
      <c r="AC133" s="115"/>
      <c r="AD133" s="115"/>
      <c r="AE133" s="25"/>
      <c r="AF133" s="13"/>
      <c r="AK133" s="116"/>
      <c r="AL133" s="123"/>
      <c r="AM133" s="123"/>
      <c r="AN133" s="123"/>
      <c r="AS133" s="115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25"/>
      <c r="BD133" s="13"/>
      <c r="BG133" s="114"/>
    </row>
    <row r="134" spans="1:59" ht="20.100000000000001" customHeight="1" x14ac:dyDescent="0.4">
      <c r="A134" s="117"/>
      <c r="B134" s="123"/>
      <c r="C134" s="123"/>
      <c r="D134" s="123"/>
      <c r="T134" s="25">
        <v>45868</v>
      </c>
      <c r="U134" s="13" t="s">
        <v>146</v>
      </c>
      <c r="Y134" s="115"/>
      <c r="Z134" s="115"/>
      <c r="AA134" s="115"/>
      <c r="AB134" s="115"/>
      <c r="AC134" s="115"/>
      <c r="AD134" s="115"/>
      <c r="AE134" s="25"/>
      <c r="AF134" s="13"/>
      <c r="AK134" s="116"/>
      <c r="AL134" s="123"/>
      <c r="AM134" s="123"/>
      <c r="AN134" s="123"/>
      <c r="AS134" s="115"/>
      <c r="AT134" s="115"/>
      <c r="AU134" s="115"/>
      <c r="AV134" s="115"/>
      <c r="AW134" s="115"/>
      <c r="AX134" s="115"/>
      <c r="AY134" s="115"/>
      <c r="AZ134" s="115"/>
      <c r="BA134" s="115"/>
      <c r="BB134" s="115"/>
      <c r="BC134" s="25"/>
      <c r="BD134" s="13"/>
      <c r="BG134" s="114"/>
    </row>
    <row r="135" spans="1:59" ht="20.100000000000001" customHeight="1" x14ac:dyDescent="0.4">
      <c r="A135" s="117"/>
      <c r="B135" s="123"/>
      <c r="C135" s="123"/>
      <c r="D135" s="123"/>
      <c r="N135" s="115"/>
      <c r="O135" s="115"/>
      <c r="P135" s="115"/>
      <c r="Q135" s="115"/>
      <c r="R135" s="115"/>
      <c r="S135" s="115"/>
      <c r="T135" s="25">
        <v>45868</v>
      </c>
      <c r="U135" s="13" t="s">
        <v>146</v>
      </c>
      <c r="Y135" s="115"/>
      <c r="Z135" s="115"/>
      <c r="AA135" s="115"/>
      <c r="AB135" s="115"/>
      <c r="AC135" s="115"/>
      <c r="AD135" s="115"/>
      <c r="AE135" s="25"/>
      <c r="AF135" s="13"/>
      <c r="AK135" s="116"/>
      <c r="AL135" s="123"/>
      <c r="AM135" s="123"/>
      <c r="AN135" s="123"/>
      <c r="AS135" s="115"/>
      <c r="AT135" s="115"/>
      <c r="AU135" s="115"/>
      <c r="AV135" s="115"/>
      <c r="AW135" s="115"/>
      <c r="AX135" s="115"/>
      <c r="AY135" s="115"/>
      <c r="AZ135" s="115"/>
      <c r="BA135" s="115"/>
      <c r="BB135" s="115"/>
      <c r="BC135" s="25"/>
      <c r="BD135" s="13"/>
      <c r="BG135" s="114"/>
    </row>
    <row r="136" spans="1:59" ht="20.100000000000001" customHeight="1" x14ac:dyDescent="0.4">
      <c r="A136" s="117"/>
      <c r="B136" s="123"/>
      <c r="C136" s="123"/>
      <c r="D136" s="123"/>
      <c r="N136" s="115"/>
      <c r="O136" s="115"/>
      <c r="P136" s="115"/>
      <c r="Q136" s="115"/>
      <c r="R136" s="115"/>
      <c r="S136" s="115"/>
      <c r="T136" s="26">
        <v>45868</v>
      </c>
      <c r="U136" s="13" t="s">
        <v>148</v>
      </c>
      <c r="Y136" s="115"/>
      <c r="Z136" s="115"/>
      <c r="AA136" s="115"/>
      <c r="AB136" s="115"/>
      <c r="AC136" s="115"/>
      <c r="AD136" s="115"/>
      <c r="AE136" s="25"/>
      <c r="AF136" s="13"/>
      <c r="AK136" s="116"/>
      <c r="AL136" s="123"/>
      <c r="AM136" s="123"/>
      <c r="AN136" s="123"/>
      <c r="AS136" s="115"/>
      <c r="AT136" s="115"/>
      <c r="AU136" s="115"/>
      <c r="AV136" s="115"/>
      <c r="AW136" s="115"/>
      <c r="AX136" s="115"/>
      <c r="AY136" s="115"/>
      <c r="AZ136" s="115"/>
      <c r="BA136" s="115"/>
      <c r="BB136" s="115"/>
      <c r="BC136" s="25"/>
      <c r="BD136" s="13"/>
      <c r="BG136" s="114"/>
    </row>
    <row r="137" spans="1:59" ht="20.100000000000001" customHeight="1" x14ac:dyDescent="0.4">
      <c r="A137" s="117"/>
      <c r="B137" s="123"/>
      <c r="C137" s="123"/>
      <c r="D137" s="123"/>
      <c r="N137" s="115"/>
      <c r="O137" s="115"/>
      <c r="P137" s="115"/>
      <c r="Q137" s="115"/>
      <c r="R137" s="115"/>
      <c r="S137" s="115"/>
      <c r="T137" s="26">
        <v>45868</v>
      </c>
      <c r="U137" s="13" t="s">
        <v>148</v>
      </c>
      <c r="Y137" s="115"/>
      <c r="Z137" s="115"/>
      <c r="AA137" s="115"/>
      <c r="AB137" s="115"/>
      <c r="AC137" s="115"/>
      <c r="AD137" s="115"/>
      <c r="AE137" s="25"/>
      <c r="AF137" s="13"/>
      <c r="AK137" s="116"/>
      <c r="AL137" s="123"/>
      <c r="AM137" s="123"/>
      <c r="AN137" s="123"/>
      <c r="AS137" s="115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25"/>
      <c r="BD137" s="13"/>
      <c r="BG137" s="114"/>
    </row>
    <row r="138" spans="1:59" ht="20.100000000000001" customHeight="1" x14ac:dyDescent="0.4">
      <c r="A138" s="117"/>
      <c r="B138" s="123"/>
      <c r="C138" s="123"/>
      <c r="D138" s="123"/>
      <c r="N138" s="115"/>
      <c r="O138" s="115"/>
      <c r="P138" s="115"/>
      <c r="Q138" s="115"/>
      <c r="R138" s="115"/>
      <c r="S138" s="115"/>
      <c r="T138" s="26">
        <v>45868</v>
      </c>
      <c r="U138" s="13" t="s">
        <v>146</v>
      </c>
      <c r="Y138" s="115"/>
      <c r="Z138" s="115"/>
      <c r="AA138" s="115"/>
      <c r="AB138" s="115"/>
      <c r="AC138" s="115"/>
      <c r="AD138" s="115"/>
      <c r="AE138" s="25"/>
      <c r="AF138" s="13"/>
      <c r="AK138" s="116"/>
      <c r="AL138" s="123"/>
      <c r="AM138" s="123"/>
      <c r="AN138" s="123"/>
      <c r="AS138" s="115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25"/>
      <c r="BD138" s="13"/>
      <c r="BG138" s="114"/>
    </row>
    <row r="139" spans="1:59" ht="20.100000000000001" customHeight="1" x14ac:dyDescent="0.4">
      <c r="A139" s="117"/>
      <c r="B139" s="123"/>
      <c r="C139" s="123"/>
      <c r="D139" s="123"/>
      <c r="N139" s="115"/>
      <c r="O139" s="115"/>
      <c r="P139" s="115"/>
      <c r="Q139" s="115"/>
      <c r="R139" s="115"/>
      <c r="S139" s="115"/>
      <c r="T139" s="26">
        <v>45868</v>
      </c>
      <c r="U139" s="13" t="s">
        <v>146</v>
      </c>
      <c r="Y139" s="115"/>
      <c r="Z139" s="115"/>
      <c r="AA139" s="115"/>
      <c r="AB139" s="115"/>
      <c r="AC139" s="115"/>
      <c r="AD139" s="115"/>
      <c r="AE139" s="25"/>
      <c r="AF139" s="13"/>
      <c r="AK139" s="116"/>
      <c r="AL139" s="123"/>
      <c r="AM139" s="123"/>
      <c r="AN139" s="123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25"/>
      <c r="BD139" s="13"/>
      <c r="BG139" s="114"/>
    </row>
    <row r="140" spans="1:59" ht="20.100000000000001" customHeight="1" x14ac:dyDescent="0.4">
      <c r="A140" s="117"/>
      <c r="B140" s="123"/>
      <c r="C140" s="123"/>
      <c r="D140" s="123"/>
      <c r="T140" s="26">
        <v>45868</v>
      </c>
      <c r="U140" s="13" t="s">
        <v>146</v>
      </c>
      <c r="Y140" s="115"/>
      <c r="Z140" s="115"/>
      <c r="AA140" s="115"/>
      <c r="AB140" s="115"/>
      <c r="AC140" s="115"/>
      <c r="AD140" s="115"/>
      <c r="AE140" s="25"/>
      <c r="AF140" s="13"/>
      <c r="AK140" s="116"/>
      <c r="AL140" s="123"/>
      <c r="AM140" s="123"/>
      <c r="AN140" s="123"/>
      <c r="AS140" s="115"/>
      <c r="AT140" s="115"/>
      <c r="AU140" s="115"/>
      <c r="AV140" s="115"/>
      <c r="AW140" s="115"/>
      <c r="AX140" s="115"/>
      <c r="AY140" s="115"/>
      <c r="AZ140" s="115"/>
      <c r="BA140" s="115"/>
      <c r="BB140" s="115"/>
      <c r="BC140" s="25"/>
      <c r="BD140" s="13"/>
      <c r="BG140" s="114"/>
    </row>
    <row r="141" spans="1:59" ht="20.100000000000001" customHeight="1" x14ac:dyDescent="0.4">
      <c r="A141" s="117"/>
      <c r="B141" s="123"/>
      <c r="C141" s="123"/>
      <c r="D141" s="123"/>
      <c r="S141" s="115" t="s">
        <v>353</v>
      </c>
      <c r="T141" s="17">
        <f>SUBTOTAL(3,T133:T140)</f>
        <v>8</v>
      </c>
      <c r="U141" s="13">
        <f>SUBTOTAL(3,U133:U140)</f>
        <v>8</v>
      </c>
      <c r="Y141" s="115"/>
      <c r="Z141" s="115"/>
      <c r="AA141" s="115"/>
      <c r="AB141" s="115"/>
      <c r="AC141" s="115"/>
      <c r="AD141" s="115"/>
      <c r="AE141" s="25"/>
      <c r="AF141" s="13"/>
      <c r="AK141" s="116"/>
      <c r="AL141" s="123"/>
      <c r="AM141" s="123"/>
      <c r="AN141" s="123"/>
      <c r="AS141" s="115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25"/>
      <c r="BD141" s="13"/>
      <c r="BG141" s="114"/>
    </row>
    <row r="142" spans="1:59" ht="20.100000000000001" customHeight="1" x14ac:dyDescent="0.4">
      <c r="A142" s="117"/>
      <c r="B142" s="123"/>
      <c r="C142" s="123"/>
      <c r="D142" s="123"/>
      <c r="M142" s="115"/>
      <c r="N142" s="115"/>
      <c r="O142" s="115"/>
      <c r="P142" s="115"/>
      <c r="Q142" s="115"/>
      <c r="R142" s="115"/>
      <c r="S142" s="115"/>
      <c r="T142" s="26">
        <v>45871</v>
      </c>
      <c r="U142" s="13" t="s">
        <v>148</v>
      </c>
      <c r="Y142" s="115"/>
      <c r="Z142" s="115"/>
      <c r="AA142" s="115"/>
      <c r="AB142" s="115"/>
      <c r="AC142" s="115"/>
      <c r="AD142" s="115"/>
      <c r="AE142" s="25"/>
      <c r="AF142" s="13"/>
      <c r="AK142" s="116"/>
      <c r="AL142" s="123"/>
      <c r="AM142" s="123"/>
      <c r="AN142" s="123"/>
      <c r="AS142" s="115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25"/>
      <c r="BD142" s="13"/>
      <c r="BG142" s="114"/>
    </row>
    <row r="143" spans="1:59" ht="20.100000000000001" customHeight="1" x14ac:dyDescent="0.4">
      <c r="A143" s="117"/>
      <c r="B143" s="123"/>
      <c r="C143" s="123"/>
      <c r="D143" s="123"/>
      <c r="M143" s="115"/>
      <c r="N143" s="115"/>
      <c r="O143" s="115"/>
      <c r="P143" s="115"/>
      <c r="Q143" s="115"/>
      <c r="R143" s="115"/>
      <c r="S143" s="115" t="s">
        <v>354</v>
      </c>
      <c r="T143" s="17">
        <f>SUBTOTAL(3,T142:T142)</f>
        <v>1</v>
      </c>
      <c r="U143" s="13">
        <f>SUBTOTAL(3,U142:U142)</f>
        <v>1</v>
      </c>
      <c r="Y143" s="115"/>
      <c r="Z143" s="115"/>
      <c r="AA143" s="115"/>
      <c r="AB143" s="115"/>
      <c r="AC143" s="115"/>
      <c r="AD143" s="115"/>
      <c r="AE143" s="25"/>
      <c r="AF143" s="13"/>
      <c r="AK143" s="116"/>
      <c r="AL143" s="123"/>
      <c r="AM143" s="123"/>
      <c r="AN143" s="123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25"/>
      <c r="BD143" s="13"/>
      <c r="BG143" s="114"/>
    </row>
    <row r="144" spans="1:59" ht="20.100000000000001" customHeight="1" x14ac:dyDescent="0.4">
      <c r="A144" s="117"/>
      <c r="B144" s="123"/>
      <c r="C144" s="123"/>
      <c r="D144" s="123"/>
      <c r="M144" s="115"/>
      <c r="N144" s="115"/>
      <c r="O144" s="115"/>
      <c r="P144" s="115"/>
      <c r="Q144" s="115"/>
      <c r="R144" s="115"/>
      <c r="S144" s="115"/>
      <c r="T144" s="26">
        <v>45872</v>
      </c>
      <c r="U144" s="13" t="s">
        <v>146</v>
      </c>
      <c r="Y144" s="115"/>
      <c r="Z144" s="115"/>
      <c r="AA144" s="115"/>
      <c r="AB144" s="115"/>
      <c r="AC144" s="115"/>
      <c r="AD144" s="115"/>
      <c r="AE144" s="25"/>
      <c r="AF144" s="13"/>
      <c r="AK144" s="116"/>
      <c r="AL144" s="123"/>
      <c r="AM144" s="123"/>
      <c r="AN144" s="123"/>
      <c r="AS144" s="115"/>
      <c r="AT144" s="115"/>
      <c r="AU144" s="115"/>
      <c r="AV144" s="115"/>
      <c r="AW144" s="115"/>
      <c r="AX144" s="115"/>
      <c r="AY144" s="115"/>
      <c r="AZ144" s="115"/>
      <c r="BA144" s="115"/>
      <c r="BB144" s="115"/>
      <c r="BC144" s="25"/>
      <c r="BD144" s="13"/>
      <c r="BG144" s="114"/>
    </row>
    <row r="145" spans="1:59" ht="20.100000000000001" customHeight="1" x14ac:dyDescent="0.4">
      <c r="A145" s="117"/>
      <c r="B145" s="123"/>
      <c r="C145" s="123"/>
      <c r="D145" s="123"/>
      <c r="M145" s="115"/>
      <c r="N145" s="115"/>
      <c r="O145" s="115"/>
      <c r="P145" s="115"/>
      <c r="Q145" s="115"/>
      <c r="R145" s="115"/>
      <c r="S145" s="115" t="s">
        <v>355</v>
      </c>
      <c r="T145" s="17">
        <f>SUBTOTAL(3,T144:T144)</f>
        <v>1</v>
      </c>
      <c r="U145" s="13">
        <f>SUBTOTAL(3,U144:U144)</f>
        <v>1</v>
      </c>
      <c r="Y145" s="115"/>
      <c r="Z145" s="115"/>
      <c r="AA145" s="115"/>
      <c r="AB145" s="115"/>
      <c r="AC145" s="115"/>
      <c r="AD145" s="115"/>
      <c r="AE145" s="25"/>
      <c r="AF145" s="13"/>
      <c r="AK145" s="116"/>
      <c r="AL145" s="123"/>
      <c r="AM145" s="123"/>
      <c r="AN145" s="123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25"/>
      <c r="BD145" s="13"/>
      <c r="BG145" s="114"/>
    </row>
    <row r="146" spans="1:59" ht="20.100000000000001" customHeight="1" x14ac:dyDescent="0.4">
      <c r="A146" s="117"/>
      <c r="B146" s="123"/>
      <c r="C146" s="123"/>
      <c r="D146" s="123"/>
      <c r="T146" s="26">
        <v>45877</v>
      </c>
      <c r="U146" s="13" t="s">
        <v>146</v>
      </c>
      <c r="Y146" s="115"/>
      <c r="Z146" s="115"/>
      <c r="AA146" s="115"/>
      <c r="AB146" s="115"/>
      <c r="AC146" s="115"/>
      <c r="AD146" s="115"/>
      <c r="AE146" s="25"/>
      <c r="AF146" s="13"/>
      <c r="AK146" s="116"/>
      <c r="AL146" s="123"/>
      <c r="AM146" s="123"/>
      <c r="AN146" s="123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25"/>
      <c r="BD146" s="13"/>
      <c r="BG146" s="114"/>
    </row>
    <row r="147" spans="1:59" ht="20.100000000000001" customHeight="1" x14ac:dyDescent="0.4">
      <c r="A147" s="117"/>
      <c r="B147" s="123"/>
      <c r="C147" s="123"/>
      <c r="D147" s="123"/>
      <c r="S147" s="115" t="s">
        <v>356</v>
      </c>
      <c r="T147" s="20">
        <f>SUBTOTAL(3,T146:T146)</f>
        <v>1</v>
      </c>
      <c r="U147" s="13">
        <f>SUBTOTAL(3,U146:U146)</f>
        <v>1</v>
      </c>
      <c r="Y147" s="115"/>
      <c r="Z147" s="115"/>
      <c r="AA147" s="115"/>
      <c r="AB147" s="115"/>
      <c r="AC147" s="115"/>
      <c r="AD147" s="115"/>
      <c r="AE147" s="25"/>
      <c r="AF147" s="13"/>
      <c r="AK147" s="116"/>
      <c r="AL147" s="123"/>
      <c r="AM147" s="123"/>
      <c r="AN147" s="123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25"/>
      <c r="BD147" s="13"/>
      <c r="BG147" s="114"/>
    </row>
    <row r="148" spans="1:59" ht="20.100000000000001" customHeight="1" x14ac:dyDescent="0.4">
      <c r="A148" s="117"/>
      <c r="B148" s="123"/>
      <c r="C148" s="123"/>
      <c r="D148" s="123"/>
      <c r="S148" s="115" t="s">
        <v>145</v>
      </c>
      <c r="T148" s="20">
        <f>SUBTOTAL(3,T2:T146)</f>
        <v>127</v>
      </c>
      <c r="U148" s="13">
        <f>SUBTOTAL(3,U2:U146)</f>
        <v>127</v>
      </c>
      <c r="Y148" s="115"/>
      <c r="Z148" s="115"/>
      <c r="AA148" s="115"/>
      <c r="AB148" s="115"/>
      <c r="AC148" s="115"/>
      <c r="AD148" s="115"/>
      <c r="AE148" s="25"/>
      <c r="AF148" s="13"/>
      <c r="AK148" s="116"/>
      <c r="AL148" s="123"/>
      <c r="AM148" s="123"/>
      <c r="AN148" s="123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25"/>
      <c r="BD148" s="13"/>
      <c r="BG148" s="114"/>
    </row>
    <row r="149" spans="1:59" ht="20.100000000000001" customHeight="1" x14ac:dyDescent="0.4">
      <c r="A149" s="117"/>
      <c r="B149" s="123"/>
      <c r="C149" s="123"/>
      <c r="D149" s="123"/>
      <c r="K149" s="115"/>
      <c r="L149" s="115"/>
      <c r="M149" s="115"/>
      <c r="N149" s="115"/>
      <c r="O149" s="115"/>
      <c r="P149" s="115"/>
      <c r="Q149" s="115"/>
      <c r="R149" s="115"/>
      <c r="S149" s="115"/>
      <c r="T149" s="25"/>
      <c r="U149" s="13"/>
      <c r="Y149" s="115"/>
      <c r="Z149" s="115"/>
      <c r="AA149" s="115"/>
      <c r="AB149" s="115"/>
      <c r="AC149" s="115"/>
      <c r="AD149" s="115"/>
      <c r="AE149" s="25"/>
      <c r="AF149" s="13"/>
      <c r="AK149" s="116"/>
      <c r="AL149" s="123"/>
      <c r="AM149" s="123"/>
      <c r="AN149" s="123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25"/>
      <c r="BD149" s="13"/>
      <c r="BG149" s="114"/>
    </row>
    <row r="150" spans="1:59" ht="20.100000000000001" customHeight="1" x14ac:dyDescent="0.4">
      <c r="A150" s="117"/>
      <c r="B150" s="123"/>
      <c r="C150" s="123"/>
      <c r="D150" s="123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25"/>
      <c r="U150" s="13"/>
      <c r="Y150" s="115"/>
      <c r="Z150" s="115"/>
      <c r="AA150" s="115"/>
      <c r="AB150" s="115"/>
      <c r="AC150" s="115"/>
      <c r="AD150" s="115"/>
      <c r="AE150" s="25"/>
      <c r="AF150" s="13"/>
      <c r="AK150" s="116"/>
      <c r="AL150" s="123"/>
      <c r="AM150" s="123"/>
      <c r="AN150" s="123"/>
      <c r="AS150" s="115"/>
      <c r="AT150" s="115"/>
      <c r="AU150" s="115"/>
      <c r="AV150" s="115"/>
      <c r="AW150" s="115"/>
      <c r="AX150" s="115"/>
      <c r="AY150" s="115"/>
      <c r="AZ150" s="115"/>
      <c r="BA150" s="115"/>
      <c r="BB150" s="115"/>
      <c r="BC150" s="25"/>
      <c r="BD150" s="13"/>
      <c r="BG150" s="114"/>
    </row>
    <row r="151" spans="1:59" ht="20.100000000000001" customHeight="1" x14ac:dyDescent="0.4">
      <c r="A151" s="117"/>
      <c r="B151" s="123"/>
      <c r="C151" s="123"/>
      <c r="D151" s="123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25"/>
      <c r="U151" s="13"/>
      <c r="Y151" s="115"/>
      <c r="Z151" s="115"/>
      <c r="AA151" s="115"/>
      <c r="AB151" s="115"/>
      <c r="AC151" s="115"/>
      <c r="AD151" s="115"/>
      <c r="AE151" s="25"/>
      <c r="AF151" s="13"/>
      <c r="AK151" s="116"/>
      <c r="AL151" s="123"/>
      <c r="AM151" s="123"/>
      <c r="AN151" s="123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25"/>
      <c r="BD151" s="13"/>
      <c r="BG151" s="114"/>
    </row>
    <row r="152" spans="1:59" ht="20.100000000000001" customHeight="1" x14ac:dyDescent="0.4">
      <c r="A152" s="117"/>
      <c r="B152" s="123"/>
      <c r="C152" s="123"/>
      <c r="D152" s="123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3"/>
      <c r="U152" s="13"/>
      <c r="Y152" s="115"/>
      <c r="Z152" s="115"/>
      <c r="AA152" s="115"/>
      <c r="AB152" s="115"/>
      <c r="AC152" s="115"/>
      <c r="AD152" s="115"/>
      <c r="AE152" s="25"/>
      <c r="AF152" s="13"/>
      <c r="AK152" s="116"/>
      <c r="AL152" s="123"/>
      <c r="AM152" s="123"/>
      <c r="AN152" s="123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25"/>
      <c r="BD152" s="13"/>
      <c r="BG152" s="114"/>
    </row>
    <row r="153" spans="1:59" ht="20.100000000000001" customHeight="1" x14ac:dyDescent="0.4">
      <c r="A153" s="117"/>
      <c r="B153" s="123"/>
      <c r="C153" s="123"/>
      <c r="D153" s="123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25"/>
      <c r="U153" s="13"/>
      <c r="Y153" s="115"/>
      <c r="Z153" s="115"/>
      <c r="AA153" s="115"/>
      <c r="AB153" s="115"/>
      <c r="AC153" s="115"/>
      <c r="AD153" s="115"/>
      <c r="AE153" s="25"/>
      <c r="AF153" s="13"/>
      <c r="AK153" s="116"/>
      <c r="AL153" s="123"/>
      <c r="AM153" s="123"/>
      <c r="AN153" s="123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25"/>
      <c r="BD153" s="13"/>
      <c r="BG153" s="114"/>
    </row>
    <row r="154" spans="1:59" ht="20.100000000000001" customHeight="1" x14ac:dyDescent="0.4">
      <c r="A154" s="117"/>
      <c r="B154" s="123"/>
      <c r="C154" s="123"/>
      <c r="D154" s="123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25"/>
      <c r="U154" s="13"/>
      <c r="Y154" s="115"/>
      <c r="Z154" s="115"/>
      <c r="AA154" s="115"/>
      <c r="AB154" s="115"/>
      <c r="AC154" s="115"/>
      <c r="AD154" s="115"/>
      <c r="AE154" s="25"/>
      <c r="AF154" s="13"/>
      <c r="AK154" s="116"/>
      <c r="AL154" s="123"/>
      <c r="AM154" s="123"/>
      <c r="AN154" s="123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25"/>
      <c r="BD154" s="13"/>
      <c r="BG154" s="114"/>
    </row>
    <row r="155" spans="1:59" ht="20.100000000000001" customHeight="1" x14ac:dyDescent="0.4">
      <c r="A155" s="117"/>
      <c r="B155" s="123"/>
      <c r="C155" s="123"/>
      <c r="D155" s="123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3"/>
      <c r="U155" s="13"/>
      <c r="Y155" s="115"/>
      <c r="Z155" s="115"/>
      <c r="AA155" s="115"/>
      <c r="AB155" s="115"/>
      <c r="AC155" s="115"/>
      <c r="AD155" s="115"/>
      <c r="AE155" s="25"/>
      <c r="AF155" s="13"/>
      <c r="AK155" s="116"/>
      <c r="AL155" s="123"/>
      <c r="AM155" s="123"/>
      <c r="AN155" s="123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25"/>
      <c r="BD155" s="13"/>
      <c r="BG155" s="114"/>
    </row>
    <row r="156" spans="1:59" ht="20.100000000000001" customHeight="1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25"/>
      <c r="U156" s="13"/>
      <c r="Y156" s="115"/>
      <c r="Z156" s="115"/>
      <c r="AA156" s="115"/>
      <c r="AB156" s="115"/>
      <c r="AC156" s="115"/>
      <c r="AD156" s="115"/>
      <c r="AE156" s="25"/>
      <c r="AF156" s="13"/>
      <c r="AK156" s="116"/>
      <c r="AL156" s="123"/>
      <c r="AM156" s="123"/>
      <c r="AN156" s="123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25"/>
      <c r="BD156" s="13"/>
      <c r="BG156" s="114"/>
    </row>
    <row r="157" spans="1:59" ht="20.100000000000001" customHeight="1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3"/>
      <c r="U157" s="13"/>
      <c r="Y157" s="115"/>
      <c r="Z157" s="115"/>
      <c r="AA157" s="115"/>
      <c r="AB157" s="115"/>
      <c r="AC157" s="115"/>
      <c r="AD157" s="115"/>
      <c r="AE157" s="25"/>
      <c r="AF157" s="13"/>
      <c r="AK157" s="116"/>
      <c r="AL157" s="123"/>
      <c r="AM157" s="123"/>
      <c r="AN157" s="123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25"/>
      <c r="BD157" s="13"/>
      <c r="BG157" s="114"/>
    </row>
    <row r="158" spans="1:59" ht="20.100000000000001" customHeight="1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25"/>
      <c r="U158" s="13"/>
      <c r="Y158" s="115"/>
      <c r="Z158" s="115"/>
      <c r="AA158" s="115"/>
      <c r="AB158" s="115"/>
      <c r="AC158" s="115"/>
      <c r="AD158" s="115"/>
      <c r="AE158" s="25"/>
      <c r="AF158" s="13"/>
      <c r="AK158" s="116"/>
      <c r="AL158" s="123"/>
      <c r="AM158" s="123"/>
      <c r="AN158" s="123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25"/>
      <c r="BD158" s="13"/>
      <c r="BG158" s="114"/>
    </row>
    <row r="159" spans="1:59" ht="20.100000000000001" customHeight="1" x14ac:dyDescent="0.4">
      <c r="A159" s="117"/>
      <c r="B159" s="123"/>
      <c r="C159" s="123"/>
      <c r="D159" s="123"/>
      <c r="T159" s="25"/>
      <c r="U159" s="25"/>
      <c r="Y159" s="115"/>
      <c r="Z159" s="115"/>
      <c r="AA159" s="115"/>
      <c r="AB159" s="115"/>
      <c r="AC159" s="115"/>
      <c r="AD159" s="115"/>
      <c r="AE159" s="25">
        <v>45672</v>
      </c>
      <c r="AF159" s="13" t="s">
        <v>146</v>
      </c>
      <c r="AK159" s="116"/>
      <c r="AL159" s="123"/>
      <c r="AM159" s="123"/>
      <c r="AN159" s="123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25"/>
      <c r="BD159" s="13"/>
      <c r="BG159" s="114"/>
    </row>
    <row r="160" spans="1:59" ht="20.100000000000001" customHeight="1" x14ac:dyDescent="0.4">
      <c r="A160" s="117"/>
      <c r="B160" s="123"/>
      <c r="C160" s="123"/>
      <c r="D160" s="123"/>
      <c r="R160" s="115"/>
      <c r="S160" s="115"/>
      <c r="T160" s="13"/>
      <c r="U160" s="13"/>
      <c r="Y160" s="115"/>
      <c r="Z160" s="115"/>
      <c r="AA160" s="115"/>
      <c r="AB160" s="115"/>
      <c r="AC160" s="115"/>
      <c r="AD160" s="115"/>
      <c r="AE160" s="25"/>
      <c r="AF160" s="13"/>
      <c r="AK160" s="116"/>
      <c r="AL160" s="123"/>
      <c r="AM160" s="123"/>
      <c r="AN160" s="123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25"/>
      <c r="BD160" s="13"/>
      <c r="BG160" s="114"/>
    </row>
    <row r="161" spans="1:59" ht="20.100000000000001" customHeight="1" x14ac:dyDescent="0.4">
      <c r="A161" s="117"/>
      <c r="B161" s="123"/>
      <c r="C161" s="123"/>
      <c r="D161" s="123"/>
      <c r="O161" s="115"/>
      <c r="P161" s="115"/>
      <c r="Q161" s="115"/>
      <c r="R161" s="115"/>
      <c r="S161" s="115"/>
      <c r="T161" s="25"/>
      <c r="U161" s="13"/>
      <c r="Y161" s="115"/>
      <c r="Z161" s="115"/>
      <c r="AA161" s="115"/>
      <c r="AB161" s="115"/>
      <c r="AC161" s="115"/>
      <c r="AD161" s="115"/>
      <c r="AE161" s="25"/>
      <c r="AF161" s="13"/>
      <c r="AK161" s="116"/>
      <c r="AL161" s="123"/>
      <c r="AM161" s="123"/>
      <c r="AN161" s="123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25"/>
      <c r="BD161" s="13"/>
      <c r="BG161" s="114"/>
    </row>
    <row r="162" spans="1:59" ht="20.100000000000001" customHeight="1" x14ac:dyDescent="0.4">
      <c r="A162" s="117"/>
      <c r="B162" s="123"/>
      <c r="C162" s="123"/>
      <c r="D162" s="123"/>
      <c r="O162" s="115"/>
      <c r="P162" s="115"/>
      <c r="Q162" s="115"/>
      <c r="R162" s="115"/>
      <c r="S162" s="115"/>
      <c r="T162" s="20"/>
      <c r="U162" s="13"/>
      <c r="Y162" s="115"/>
      <c r="Z162" s="115"/>
      <c r="AA162" s="115"/>
      <c r="AB162" s="115"/>
      <c r="AC162" s="115"/>
      <c r="AD162" s="115"/>
      <c r="AE162" s="25"/>
      <c r="AF162" s="13"/>
      <c r="AK162" s="116"/>
      <c r="AL162" s="123"/>
      <c r="AM162" s="123"/>
      <c r="AN162" s="123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25"/>
      <c r="BD162" s="13"/>
      <c r="BG162" s="114"/>
    </row>
    <row r="163" spans="1:59" ht="20.100000000000001" customHeight="1" x14ac:dyDescent="0.4">
      <c r="A163" s="117"/>
      <c r="B163" s="123"/>
      <c r="C163" s="123"/>
      <c r="D163" s="123"/>
      <c r="N163" s="115"/>
      <c r="O163" s="115"/>
      <c r="P163" s="115"/>
      <c r="Q163" s="115"/>
      <c r="R163" s="115"/>
      <c r="S163" s="115"/>
      <c r="T163" s="26"/>
      <c r="U163" s="15"/>
      <c r="Y163" s="115"/>
      <c r="Z163" s="115"/>
      <c r="AA163" s="115"/>
      <c r="AB163" s="115"/>
      <c r="AC163" s="115"/>
      <c r="AD163" s="115"/>
      <c r="AE163" s="25"/>
      <c r="AF163" s="13"/>
      <c r="AK163" s="116"/>
      <c r="AL163" s="123"/>
      <c r="AM163" s="123"/>
      <c r="AN163" s="123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25"/>
      <c r="BD163" s="13"/>
      <c r="BG163" s="114"/>
    </row>
    <row r="164" spans="1:59" ht="20.100000000000001" customHeight="1" x14ac:dyDescent="0.4">
      <c r="A164" s="117"/>
      <c r="B164" s="123"/>
      <c r="C164" s="123"/>
      <c r="D164" s="123"/>
      <c r="T164" s="26"/>
      <c r="U164" s="15"/>
      <c r="Y164" s="115"/>
      <c r="Z164" s="115"/>
      <c r="AA164" s="115"/>
      <c r="AB164" s="115"/>
      <c r="AC164" s="115"/>
      <c r="AD164" s="115"/>
      <c r="AE164" s="25">
        <v>45672</v>
      </c>
      <c r="AF164" s="13" t="s">
        <v>146</v>
      </c>
      <c r="AK164" s="116"/>
      <c r="AL164" s="123"/>
      <c r="AM164" s="123"/>
      <c r="AN164" s="123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25"/>
      <c r="BD164" s="13"/>
      <c r="BG164" s="114"/>
    </row>
    <row r="165" spans="1:59" ht="20.100000000000001" customHeight="1" x14ac:dyDescent="0.4">
      <c r="A165" s="117"/>
      <c r="B165" s="123"/>
      <c r="C165" s="123"/>
      <c r="D165" s="123"/>
      <c r="T165" s="30"/>
      <c r="U165" s="15"/>
      <c r="Y165" s="115"/>
      <c r="Z165" s="115"/>
      <c r="AA165" s="115"/>
      <c r="AB165" s="115"/>
      <c r="AC165" s="115"/>
      <c r="AD165" s="115"/>
      <c r="AE165" s="25"/>
      <c r="AF165" s="13"/>
      <c r="AK165" s="116"/>
      <c r="AL165" s="123"/>
      <c r="AM165" s="123"/>
      <c r="AN165" s="123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25"/>
      <c r="BD165" s="13"/>
      <c r="BG165" s="114"/>
    </row>
    <row r="166" spans="1:59" ht="20.100000000000001" customHeight="1" x14ac:dyDescent="0.4">
      <c r="A166" s="117"/>
      <c r="B166" s="123"/>
      <c r="C166" s="123"/>
      <c r="D166" s="123"/>
      <c r="R166" s="115"/>
      <c r="S166" s="115"/>
      <c r="T166" s="19"/>
      <c r="U166" s="15"/>
      <c r="Y166" s="115"/>
      <c r="Z166" s="115"/>
      <c r="AA166" s="115"/>
      <c r="AB166" s="115"/>
      <c r="AC166" s="115"/>
      <c r="AD166" s="115"/>
      <c r="AE166" s="25"/>
      <c r="AF166" s="13"/>
      <c r="AK166" s="116"/>
      <c r="AL166" s="123"/>
      <c r="AM166" s="123"/>
      <c r="AN166" s="123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25"/>
      <c r="BD166" s="13"/>
      <c r="BG166" s="114"/>
    </row>
    <row r="167" spans="1:59" ht="20.100000000000001" customHeight="1" x14ac:dyDescent="0.4">
      <c r="A167" s="117"/>
      <c r="B167" s="123"/>
      <c r="C167" s="123"/>
      <c r="D167" s="123"/>
      <c r="T167" s="30"/>
      <c r="U167" s="15"/>
      <c r="Y167" s="115"/>
      <c r="Z167" s="115"/>
      <c r="AA167" s="115"/>
      <c r="AB167" s="115"/>
      <c r="AC167" s="115"/>
      <c r="AD167" s="115"/>
      <c r="AE167" s="25">
        <v>45672</v>
      </c>
      <c r="AF167" s="25" t="s">
        <v>147</v>
      </c>
      <c r="AK167" s="116"/>
      <c r="AL167" s="123"/>
      <c r="AM167" s="123"/>
      <c r="AN167" s="123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25"/>
      <c r="BD167" s="13"/>
      <c r="BG167" s="114"/>
    </row>
    <row r="168" spans="1:59" ht="20.100000000000001" customHeight="1" x14ac:dyDescent="0.4">
      <c r="A168" s="117"/>
      <c r="B168" s="123"/>
      <c r="C168" s="123"/>
      <c r="D168" s="123"/>
      <c r="T168" s="26"/>
      <c r="U168" s="15"/>
      <c r="Y168" s="115"/>
      <c r="Z168" s="115"/>
      <c r="AA168" s="115"/>
      <c r="AB168" s="115"/>
      <c r="AC168" s="115"/>
      <c r="AD168" s="115"/>
      <c r="AE168" s="25"/>
      <c r="AF168" s="25"/>
      <c r="AK168" s="116"/>
      <c r="AL168" s="123"/>
      <c r="AM168" s="123"/>
      <c r="AN168" s="123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25"/>
      <c r="BD168" s="13"/>
      <c r="BG168" s="114"/>
    </row>
    <row r="169" spans="1:59" ht="20.100000000000001" customHeight="1" x14ac:dyDescent="0.4">
      <c r="A169" s="117"/>
      <c r="B169" s="123"/>
      <c r="C169" s="123"/>
      <c r="D169" s="123"/>
      <c r="R169" s="115"/>
      <c r="S169" s="115"/>
      <c r="T169" s="20"/>
      <c r="U169" s="13"/>
      <c r="Y169" s="115"/>
      <c r="Z169" s="115"/>
      <c r="AA169" s="115"/>
      <c r="AB169" s="115"/>
      <c r="AC169" s="115"/>
      <c r="AD169" s="115"/>
      <c r="AE169" s="25"/>
      <c r="AF169" s="25"/>
      <c r="AK169" s="116"/>
      <c r="AL169" s="123"/>
      <c r="AM169" s="123"/>
      <c r="AN169" s="123"/>
      <c r="AS169" s="115"/>
      <c r="AT169" s="115"/>
      <c r="AU169" s="115"/>
      <c r="AV169" s="115"/>
      <c r="AW169" s="115"/>
      <c r="AX169" s="115"/>
      <c r="AY169" s="115"/>
      <c r="AZ169" s="115"/>
      <c r="BA169" s="115"/>
      <c r="BB169" s="115"/>
      <c r="BC169" s="25"/>
      <c r="BD169" s="13"/>
      <c r="BG169" s="114"/>
    </row>
    <row r="170" spans="1:59" ht="20.100000000000001" customHeight="1" x14ac:dyDescent="0.4">
      <c r="A170" s="117"/>
      <c r="B170" s="123"/>
      <c r="C170" s="123"/>
      <c r="D170" s="123"/>
      <c r="R170" s="115"/>
      <c r="S170" s="115"/>
      <c r="T170" s="20"/>
      <c r="U170" s="13"/>
      <c r="Y170" s="115"/>
      <c r="Z170" s="115"/>
      <c r="AA170" s="115"/>
      <c r="AB170" s="115"/>
      <c r="AC170" s="115"/>
      <c r="AD170" s="115"/>
      <c r="AE170" s="25"/>
      <c r="AF170" s="25"/>
      <c r="AK170" s="116"/>
      <c r="AL170" s="123"/>
      <c r="AM170" s="123"/>
      <c r="AN170" s="123"/>
      <c r="AS170" s="115"/>
      <c r="AT170" s="115"/>
      <c r="AU170" s="115"/>
      <c r="AV170" s="115"/>
      <c r="AW170" s="115"/>
      <c r="AX170" s="115"/>
      <c r="AY170" s="115"/>
      <c r="AZ170" s="115"/>
      <c r="BA170" s="115"/>
      <c r="BB170" s="115"/>
      <c r="BC170" s="25"/>
      <c r="BD170" s="13"/>
      <c r="BG170" s="114"/>
    </row>
    <row r="171" spans="1:59" ht="20.100000000000001" customHeight="1" x14ac:dyDescent="0.4">
      <c r="A171" s="117"/>
      <c r="B171" s="123"/>
      <c r="C171" s="123"/>
      <c r="D171" s="123"/>
      <c r="O171" s="115"/>
      <c r="P171" s="115"/>
      <c r="Q171" s="115"/>
      <c r="R171" s="115"/>
      <c r="S171" s="115"/>
      <c r="T171" s="25"/>
      <c r="U171" s="13"/>
      <c r="Y171" s="115"/>
      <c r="Z171" s="115"/>
      <c r="AA171" s="115"/>
      <c r="AB171" s="115"/>
      <c r="AC171" s="115"/>
      <c r="AD171" s="115"/>
      <c r="AE171" s="25"/>
      <c r="AF171" s="25"/>
      <c r="AK171" s="116"/>
      <c r="AL171" s="123"/>
      <c r="AM171" s="123"/>
      <c r="AN171" s="123"/>
      <c r="AS171" s="115"/>
      <c r="AT171" s="115"/>
      <c r="AU171" s="115"/>
      <c r="AV171" s="115"/>
      <c r="AW171" s="115"/>
      <c r="AX171" s="115"/>
      <c r="AY171" s="115"/>
      <c r="AZ171" s="115"/>
      <c r="BA171" s="115"/>
      <c r="BB171" s="115"/>
      <c r="BC171" s="25"/>
      <c r="BD171" s="13"/>
      <c r="BG171" s="114"/>
    </row>
    <row r="172" spans="1:59" ht="20.100000000000001" customHeight="1" x14ac:dyDescent="0.4">
      <c r="A172" s="117"/>
      <c r="B172" s="123"/>
      <c r="C172" s="123"/>
      <c r="D172" s="123"/>
      <c r="O172" s="115"/>
      <c r="P172" s="115"/>
      <c r="Q172" s="115"/>
      <c r="R172" s="115"/>
      <c r="S172" s="115"/>
      <c r="T172" s="20"/>
      <c r="U172" s="13"/>
      <c r="Y172" s="115"/>
      <c r="Z172" s="115"/>
      <c r="AA172" s="115"/>
      <c r="AB172" s="115"/>
      <c r="AC172" s="115"/>
      <c r="AD172" s="115"/>
      <c r="AE172" s="25"/>
      <c r="AF172" s="25"/>
      <c r="AK172" s="116"/>
      <c r="AL172" s="123"/>
      <c r="AM172" s="123"/>
      <c r="AN172" s="123"/>
      <c r="AS172" s="115"/>
      <c r="AT172" s="115"/>
      <c r="AU172" s="115"/>
      <c r="AV172" s="115"/>
      <c r="AW172" s="115"/>
      <c r="AX172" s="115"/>
      <c r="AY172" s="115"/>
      <c r="AZ172" s="115"/>
      <c r="BA172" s="115"/>
      <c r="BB172" s="115"/>
      <c r="BC172" s="25"/>
      <c r="BD172" s="13"/>
      <c r="BG172" s="114"/>
    </row>
    <row r="173" spans="1:59" ht="20.100000000000001" customHeight="1" x14ac:dyDescent="0.4">
      <c r="A173" s="117"/>
      <c r="B173" s="123"/>
      <c r="C173" s="123"/>
      <c r="D173" s="123"/>
      <c r="N173" s="115"/>
      <c r="O173" s="115"/>
      <c r="P173" s="115"/>
      <c r="Q173" s="115"/>
      <c r="R173" s="115"/>
      <c r="S173" s="115"/>
      <c r="T173" s="26"/>
      <c r="U173" s="13"/>
      <c r="Y173" s="115"/>
      <c r="Z173" s="115"/>
      <c r="AA173" s="115"/>
      <c r="AB173" s="115"/>
      <c r="AC173" s="115"/>
      <c r="AD173" s="115"/>
      <c r="AE173" s="25"/>
      <c r="AF173" s="25"/>
      <c r="AK173" s="116"/>
      <c r="AL173" s="123"/>
      <c r="AM173" s="123"/>
      <c r="AN173" s="123"/>
      <c r="AS173" s="115"/>
      <c r="AT173" s="115"/>
      <c r="AU173" s="115"/>
      <c r="AV173" s="115"/>
      <c r="AW173" s="115"/>
      <c r="AX173" s="115"/>
      <c r="AY173" s="115"/>
      <c r="AZ173" s="115"/>
      <c r="BA173" s="115"/>
      <c r="BB173" s="115"/>
      <c r="BC173" s="25"/>
      <c r="BD173" s="13"/>
      <c r="BG173" s="114"/>
    </row>
    <row r="174" spans="1:59" ht="20.100000000000001" customHeight="1" x14ac:dyDescent="0.4">
      <c r="A174" s="117"/>
      <c r="B174" s="123"/>
      <c r="C174" s="123"/>
      <c r="D174" s="123"/>
      <c r="T174" s="26"/>
      <c r="U174" s="13"/>
      <c r="Y174" s="115"/>
      <c r="Z174" s="115"/>
      <c r="AA174" s="115"/>
      <c r="AB174" s="115"/>
      <c r="AC174" s="115"/>
      <c r="AD174" s="115"/>
      <c r="AE174" s="25">
        <v>45673</v>
      </c>
      <c r="AF174" s="13" t="s">
        <v>147</v>
      </c>
      <c r="AK174" s="116"/>
      <c r="AL174" s="123"/>
      <c r="AM174" s="123"/>
      <c r="AN174" s="123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115"/>
      <c r="BC174" s="25"/>
      <c r="BD174" s="13"/>
      <c r="BG174" s="114"/>
    </row>
    <row r="175" spans="1:59" ht="20.100000000000001" customHeight="1" x14ac:dyDescent="0.4">
      <c r="A175" s="117"/>
      <c r="B175" s="123"/>
      <c r="C175" s="123"/>
      <c r="D175" s="123"/>
      <c r="P175" s="115"/>
      <c r="Q175" s="115"/>
      <c r="R175" s="115"/>
      <c r="S175" s="115"/>
      <c r="T175" s="26"/>
      <c r="U175" s="13"/>
      <c r="Y175" s="115"/>
      <c r="Z175" s="115"/>
      <c r="AA175" s="115"/>
      <c r="AB175" s="115"/>
      <c r="AC175" s="115"/>
      <c r="AD175" s="115"/>
      <c r="AE175" s="25"/>
      <c r="AF175" s="13"/>
      <c r="AK175" s="116"/>
      <c r="AL175" s="123"/>
      <c r="AM175" s="123"/>
      <c r="AN175" s="123"/>
      <c r="AS175" s="115"/>
      <c r="AT175" s="115"/>
      <c r="AU175" s="115"/>
      <c r="AV175" s="115"/>
      <c r="AW175" s="115"/>
      <c r="AX175" s="115"/>
      <c r="AY175" s="115"/>
      <c r="AZ175" s="115"/>
      <c r="BA175" s="115"/>
      <c r="BB175" s="115"/>
      <c r="BC175" s="25"/>
      <c r="BD175" s="13"/>
      <c r="BG175" s="114"/>
    </row>
    <row r="176" spans="1:59" ht="20.100000000000001" customHeight="1" x14ac:dyDescent="0.4">
      <c r="A176" s="117"/>
      <c r="B176" s="123"/>
      <c r="C176" s="123"/>
      <c r="D176" s="123"/>
      <c r="L176" s="115"/>
      <c r="M176" s="115"/>
      <c r="N176" s="115"/>
      <c r="O176" s="115"/>
      <c r="P176" s="115"/>
      <c r="Q176" s="115"/>
      <c r="R176" s="115"/>
      <c r="S176" s="115"/>
      <c r="T176" s="26"/>
      <c r="U176" s="13"/>
      <c r="Y176" s="115"/>
      <c r="Z176" s="115"/>
      <c r="AA176" s="115"/>
      <c r="AB176" s="115"/>
      <c r="AC176" s="115"/>
      <c r="AD176" s="115"/>
      <c r="AE176" s="25"/>
      <c r="AF176" s="13"/>
      <c r="AK176" s="116"/>
      <c r="AL176" s="123"/>
      <c r="AM176" s="123"/>
      <c r="AN176" s="123"/>
      <c r="AS176" s="115"/>
      <c r="AT176" s="115"/>
      <c r="AU176" s="115"/>
      <c r="AV176" s="115"/>
      <c r="AW176" s="115"/>
      <c r="AX176" s="115"/>
      <c r="AY176" s="115"/>
      <c r="AZ176" s="115"/>
      <c r="BA176" s="115"/>
      <c r="BB176" s="115"/>
      <c r="BC176" s="25"/>
      <c r="BD176" s="13"/>
      <c r="BG176" s="114"/>
    </row>
    <row r="177" spans="1:59" ht="20.100000000000001" customHeight="1" x14ac:dyDescent="0.4">
      <c r="A177" s="117"/>
      <c r="B177" s="123"/>
      <c r="C177" s="123"/>
      <c r="D177" s="123"/>
      <c r="L177" s="115"/>
      <c r="M177" s="115"/>
      <c r="N177" s="115"/>
      <c r="O177" s="115"/>
      <c r="P177" s="115"/>
      <c r="Q177" s="115"/>
      <c r="R177" s="115"/>
      <c r="S177" s="115"/>
      <c r="T177" s="17"/>
      <c r="U177" s="13"/>
      <c r="Y177" s="115"/>
      <c r="Z177" s="115"/>
      <c r="AA177" s="115"/>
      <c r="AB177" s="115"/>
      <c r="AC177" s="115"/>
      <c r="AD177" s="115"/>
      <c r="AE177" s="25"/>
      <c r="AF177" s="13"/>
      <c r="AK177" s="116"/>
      <c r="AL177" s="123"/>
      <c r="AM177" s="123"/>
      <c r="AN177" s="123"/>
      <c r="AS177" s="115"/>
      <c r="AT177" s="115"/>
      <c r="AU177" s="115"/>
      <c r="AV177" s="115"/>
      <c r="AW177" s="115"/>
      <c r="AX177" s="115"/>
      <c r="AY177" s="115"/>
      <c r="AZ177" s="115"/>
      <c r="BA177" s="115"/>
      <c r="BB177" s="115"/>
      <c r="BC177" s="25"/>
      <c r="BD177" s="13"/>
      <c r="BG177" s="114"/>
    </row>
    <row r="178" spans="1:59" ht="20.100000000000001" customHeight="1" x14ac:dyDescent="0.4">
      <c r="A178" s="117"/>
      <c r="B178" s="123"/>
      <c r="C178" s="123"/>
      <c r="D178" s="123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26"/>
      <c r="U178" s="13"/>
      <c r="Y178" s="115"/>
      <c r="Z178" s="115"/>
      <c r="AA178" s="115"/>
      <c r="AB178" s="115"/>
      <c r="AC178" s="115"/>
      <c r="AD178" s="115"/>
      <c r="AE178" s="25"/>
      <c r="AF178" s="13"/>
      <c r="AK178" s="116"/>
      <c r="AL178" s="123"/>
      <c r="AM178" s="123"/>
      <c r="AN178" s="123"/>
      <c r="AS178" s="115"/>
      <c r="AT178" s="115"/>
      <c r="AU178" s="115"/>
      <c r="AV178" s="115"/>
      <c r="AW178" s="115"/>
      <c r="AX178" s="115"/>
      <c r="AY178" s="115"/>
      <c r="AZ178" s="115"/>
      <c r="BA178" s="115"/>
      <c r="BB178" s="115"/>
      <c r="BC178" s="25"/>
      <c r="BD178" s="13"/>
      <c r="BG178" s="114"/>
    </row>
    <row r="179" spans="1:59" ht="20.100000000000001" customHeight="1" x14ac:dyDescent="0.4">
      <c r="A179" s="117"/>
      <c r="B179" s="123"/>
      <c r="C179" s="123"/>
      <c r="D179" s="123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7"/>
      <c r="U179" s="13"/>
      <c r="Y179" s="115"/>
      <c r="Z179" s="115"/>
      <c r="AA179" s="115"/>
      <c r="AB179" s="115"/>
      <c r="AC179" s="115"/>
      <c r="AD179" s="115"/>
      <c r="AE179" s="25"/>
      <c r="AF179" s="13"/>
      <c r="AK179" s="116"/>
      <c r="AL179" s="123"/>
      <c r="AM179" s="123"/>
      <c r="AN179" s="123"/>
      <c r="AS179" s="115"/>
      <c r="AT179" s="115"/>
      <c r="AU179" s="115"/>
      <c r="AV179" s="115"/>
      <c r="AW179" s="115"/>
      <c r="AX179" s="115"/>
      <c r="AY179" s="115"/>
      <c r="AZ179" s="115"/>
      <c r="BA179" s="115"/>
      <c r="BB179" s="115"/>
      <c r="BC179" s="25"/>
      <c r="BD179" s="13"/>
      <c r="BG179" s="114"/>
    </row>
    <row r="180" spans="1:59" ht="20.100000000000001" customHeight="1" x14ac:dyDescent="0.4">
      <c r="A180" s="117"/>
      <c r="B180" s="123"/>
      <c r="C180" s="123"/>
      <c r="D180" s="123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26"/>
      <c r="U180" s="13"/>
      <c r="Y180" s="115"/>
      <c r="Z180" s="115"/>
      <c r="AA180" s="115"/>
      <c r="AB180" s="115"/>
      <c r="AC180" s="115"/>
      <c r="AD180" s="115"/>
      <c r="AE180" s="25"/>
      <c r="AF180" s="13"/>
      <c r="AK180" s="116"/>
      <c r="AL180" s="123"/>
      <c r="AM180" s="123"/>
      <c r="AN180" s="123"/>
      <c r="AS180" s="115"/>
      <c r="AT180" s="115"/>
      <c r="AU180" s="115"/>
      <c r="AV180" s="115"/>
      <c r="AW180" s="115"/>
      <c r="AX180" s="115"/>
      <c r="AY180" s="115"/>
      <c r="AZ180" s="115"/>
      <c r="BA180" s="115"/>
      <c r="BB180" s="115"/>
      <c r="BC180" s="25"/>
      <c r="BD180" s="13"/>
      <c r="BG180" s="114"/>
    </row>
    <row r="181" spans="1:59" ht="20.100000000000001" customHeight="1" x14ac:dyDescent="0.4">
      <c r="A181" s="117"/>
      <c r="B181" s="123"/>
      <c r="C181" s="123"/>
      <c r="D181" s="123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7"/>
      <c r="U181" s="13"/>
      <c r="Y181" s="115"/>
      <c r="Z181" s="115"/>
      <c r="AA181" s="115"/>
      <c r="AB181" s="115"/>
      <c r="AC181" s="115"/>
      <c r="AD181" s="115"/>
      <c r="AE181" s="25"/>
      <c r="AF181" s="13"/>
      <c r="AK181" s="116"/>
      <c r="AL181" s="123"/>
      <c r="AM181" s="123"/>
      <c r="AN181" s="123"/>
      <c r="AS181" s="115"/>
      <c r="AT181" s="115"/>
      <c r="AU181" s="115"/>
      <c r="AV181" s="115"/>
      <c r="AW181" s="115"/>
      <c r="AX181" s="115"/>
      <c r="AY181" s="115"/>
      <c r="AZ181" s="115"/>
      <c r="BA181" s="115"/>
      <c r="BB181" s="115"/>
      <c r="BC181" s="25"/>
      <c r="BD181" s="13"/>
      <c r="BG181" s="114"/>
    </row>
    <row r="182" spans="1:59" ht="20.100000000000001" customHeight="1" x14ac:dyDescent="0.4">
      <c r="A182" s="117"/>
      <c r="B182" s="123"/>
      <c r="C182" s="123"/>
      <c r="D182" s="123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26"/>
      <c r="U182" s="25"/>
      <c r="Y182" s="115"/>
      <c r="Z182" s="115"/>
      <c r="AA182" s="115"/>
      <c r="AB182" s="115"/>
      <c r="AC182" s="115"/>
      <c r="AD182" s="115"/>
      <c r="AE182" s="25"/>
      <c r="AF182" s="13"/>
      <c r="AK182" s="116"/>
      <c r="AL182" s="123"/>
      <c r="AM182" s="123"/>
      <c r="AN182" s="123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15"/>
      <c r="BC182" s="25"/>
      <c r="BD182" s="13"/>
      <c r="BG182" s="114"/>
    </row>
    <row r="183" spans="1:59" ht="20.100000000000001" customHeight="1" x14ac:dyDescent="0.4">
      <c r="A183" s="117"/>
      <c r="B183" s="123"/>
      <c r="C183" s="123"/>
      <c r="D183" s="123"/>
      <c r="T183" s="26"/>
      <c r="U183" s="25"/>
      <c r="Y183" s="115"/>
      <c r="Z183" s="115"/>
      <c r="AA183" s="115"/>
      <c r="AB183" s="115"/>
      <c r="AC183" s="115"/>
      <c r="AD183" s="115"/>
      <c r="AE183" s="25">
        <v>45673</v>
      </c>
      <c r="AF183" s="13" t="s">
        <v>147</v>
      </c>
      <c r="AK183" s="116"/>
      <c r="AL183" s="123"/>
      <c r="AM183" s="123"/>
      <c r="AN183" s="123"/>
      <c r="AS183" s="115"/>
      <c r="AT183" s="115"/>
      <c r="AU183" s="115"/>
      <c r="AV183" s="115"/>
      <c r="AW183" s="115"/>
      <c r="AX183" s="115"/>
      <c r="AY183" s="115"/>
      <c r="AZ183" s="115"/>
      <c r="BA183" s="115"/>
      <c r="BB183" s="115"/>
      <c r="BC183" s="25"/>
      <c r="BD183" s="13"/>
      <c r="BG183" s="114"/>
    </row>
    <row r="184" spans="1:59" ht="20.100000000000001" customHeight="1" x14ac:dyDescent="0.4">
      <c r="A184" s="117"/>
      <c r="B184" s="123"/>
      <c r="C184" s="123"/>
      <c r="D184" s="123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26"/>
      <c r="U184" s="13"/>
      <c r="Y184" s="115"/>
      <c r="Z184" s="115"/>
      <c r="AA184" s="115"/>
      <c r="AB184" s="115"/>
      <c r="AC184" s="115"/>
      <c r="AD184" s="115"/>
      <c r="AE184" s="25"/>
      <c r="AF184" s="13"/>
      <c r="AK184" s="116"/>
      <c r="AL184" s="123"/>
      <c r="AM184" s="123"/>
      <c r="AN184" s="123"/>
      <c r="AS184" s="115"/>
      <c r="AT184" s="115"/>
      <c r="AU184" s="115"/>
      <c r="AV184" s="115"/>
      <c r="AW184" s="115"/>
      <c r="AX184" s="115"/>
      <c r="AY184" s="115"/>
      <c r="AZ184" s="115"/>
      <c r="BA184" s="115"/>
      <c r="BB184" s="115"/>
      <c r="BC184" s="25"/>
      <c r="BD184" s="13"/>
      <c r="BG184" s="114"/>
    </row>
    <row r="185" spans="1:59" ht="20.100000000000001" customHeight="1" x14ac:dyDescent="0.4">
      <c r="A185" s="117"/>
      <c r="B185" s="123"/>
      <c r="C185" s="123"/>
      <c r="D185" s="123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26"/>
      <c r="U185" s="13"/>
      <c r="Y185" s="115"/>
      <c r="Z185" s="115"/>
      <c r="AA185" s="115"/>
      <c r="AB185" s="115"/>
      <c r="AC185" s="115"/>
      <c r="AD185" s="115"/>
      <c r="AE185" s="25"/>
      <c r="AF185" s="13"/>
      <c r="AK185" s="116"/>
      <c r="AL185" s="123"/>
      <c r="AM185" s="123"/>
      <c r="AN185" s="123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115"/>
      <c r="BC185" s="25"/>
      <c r="BD185" s="13"/>
      <c r="BG185" s="114"/>
    </row>
    <row r="186" spans="1:59" ht="20.100000000000001" customHeight="1" x14ac:dyDescent="0.4">
      <c r="A186" s="117"/>
      <c r="B186" s="123"/>
      <c r="C186" s="123"/>
      <c r="D186" s="123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26"/>
      <c r="U186" s="13"/>
      <c r="Y186" s="115"/>
      <c r="Z186" s="115"/>
      <c r="AA186" s="115"/>
      <c r="AB186" s="115"/>
      <c r="AC186" s="115"/>
      <c r="AD186" s="115"/>
      <c r="AE186" s="25"/>
      <c r="AF186" s="13"/>
      <c r="AK186" s="116"/>
      <c r="AL186" s="123"/>
      <c r="AM186" s="123"/>
      <c r="AN186" s="123"/>
      <c r="AS186" s="115"/>
      <c r="AT186" s="115"/>
      <c r="AU186" s="115"/>
      <c r="AV186" s="115"/>
      <c r="AW186" s="115"/>
      <c r="AX186" s="115"/>
      <c r="AY186" s="115"/>
      <c r="AZ186" s="115"/>
      <c r="BA186" s="115"/>
      <c r="BB186" s="115"/>
      <c r="BC186" s="25"/>
      <c r="BD186" s="13"/>
      <c r="BG186" s="114"/>
    </row>
    <row r="187" spans="1:59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26"/>
      <c r="U187" s="13"/>
      <c r="Y187" s="115"/>
      <c r="Z187" s="115"/>
      <c r="AA187" s="115"/>
      <c r="AB187" s="115"/>
      <c r="AC187" s="115"/>
      <c r="AD187" s="115"/>
      <c r="AE187" s="25"/>
      <c r="AF187" s="13"/>
      <c r="AK187" s="116"/>
      <c r="AL187" s="123"/>
      <c r="AM187" s="123"/>
      <c r="AN187" s="123"/>
      <c r="AS187" s="115"/>
      <c r="AT187" s="115"/>
      <c r="AU187" s="115"/>
      <c r="AV187" s="115"/>
      <c r="AW187" s="115"/>
      <c r="AX187" s="115"/>
      <c r="AY187" s="115"/>
      <c r="AZ187" s="115"/>
      <c r="BA187" s="115"/>
      <c r="BB187" s="115"/>
      <c r="BC187" s="25"/>
      <c r="BD187" s="13"/>
      <c r="BG187" s="114"/>
    </row>
    <row r="188" spans="1:59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7"/>
      <c r="U188" s="13"/>
      <c r="Y188" s="115"/>
      <c r="Z188" s="115"/>
      <c r="AA188" s="115"/>
      <c r="AB188" s="115"/>
      <c r="AC188" s="115"/>
      <c r="AD188" s="115"/>
      <c r="AE188" s="25"/>
      <c r="AF188" s="13"/>
      <c r="AK188" s="116"/>
      <c r="AL188" s="123"/>
      <c r="AM188" s="123"/>
      <c r="AN188" s="123"/>
      <c r="AS188" s="115"/>
      <c r="AT188" s="115"/>
      <c r="AU188" s="115"/>
      <c r="AV188" s="115"/>
      <c r="AW188" s="115"/>
      <c r="AX188" s="115"/>
      <c r="AY188" s="115"/>
      <c r="AZ188" s="115"/>
      <c r="BA188" s="115"/>
      <c r="BB188" s="115"/>
      <c r="BC188" s="25"/>
      <c r="BD188" s="13"/>
      <c r="BG188" s="114"/>
    </row>
    <row r="189" spans="1:59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7"/>
      <c r="U189" s="13"/>
      <c r="Y189" s="115"/>
      <c r="Z189" s="115"/>
      <c r="AA189" s="115"/>
      <c r="AB189" s="115"/>
      <c r="AC189" s="115"/>
      <c r="AD189" s="115"/>
      <c r="AE189" s="25"/>
      <c r="AF189" s="13"/>
      <c r="AK189" s="116"/>
      <c r="AL189" s="123"/>
      <c r="AM189" s="123"/>
      <c r="AN189" s="123"/>
      <c r="AS189" s="115"/>
      <c r="AT189" s="115"/>
      <c r="AU189" s="115"/>
      <c r="AV189" s="115"/>
      <c r="AW189" s="115"/>
      <c r="AX189" s="115"/>
      <c r="AY189" s="115"/>
      <c r="AZ189" s="115"/>
      <c r="BA189" s="115"/>
      <c r="BB189" s="115"/>
      <c r="BC189" s="25"/>
      <c r="BD189" s="13"/>
      <c r="BG189" s="114"/>
    </row>
    <row r="190" spans="1:59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26"/>
      <c r="U190" s="13"/>
      <c r="Y190" s="115"/>
      <c r="Z190" s="115"/>
      <c r="AA190" s="115"/>
      <c r="AB190" s="115"/>
      <c r="AC190" s="115"/>
      <c r="AD190" s="115"/>
      <c r="AE190" s="25"/>
      <c r="AF190" s="13"/>
      <c r="AK190" s="116"/>
      <c r="AL190" s="123"/>
      <c r="AM190" s="123"/>
      <c r="AN190" s="123"/>
      <c r="AS190" s="115"/>
      <c r="AT190" s="115"/>
      <c r="AU190" s="115"/>
      <c r="AV190" s="115"/>
      <c r="AW190" s="115"/>
      <c r="AX190" s="115"/>
      <c r="AY190" s="115"/>
      <c r="AZ190" s="115"/>
      <c r="BA190" s="115"/>
      <c r="BB190" s="115"/>
      <c r="BC190" s="25"/>
      <c r="BD190" s="13"/>
      <c r="BG190" s="114"/>
    </row>
    <row r="191" spans="1:59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26"/>
      <c r="U191" s="13"/>
      <c r="Y191" s="115"/>
      <c r="Z191" s="115"/>
      <c r="AA191" s="115"/>
      <c r="AB191" s="115"/>
      <c r="AC191" s="115"/>
      <c r="AD191" s="115"/>
      <c r="AE191" s="25"/>
      <c r="AF191" s="13"/>
      <c r="AK191" s="116"/>
      <c r="AL191" s="123"/>
      <c r="AM191" s="123"/>
      <c r="AN191" s="123"/>
      <c r="AS191" s="115"/>
      <c r="AT191" s="115"/>
      <c r="AU191" s="115"/>
      <c r="AV191" s="115"/>
      <c r="AW191" s="115"/>
      <c r="AX191" s="115"/>
      <c r="AY191" s="115"/>
      <c r="AZ191" s="115"/>
      <c r="BA191" s="115"/>
      <c r="BB191" s="115"/>
      <c r="BC191" s="25"/>
      <c r="BD191" s="13"/>
      <c r="BG191" s="114"/>
    </row>
    <row r="192" spans="1:59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26"/>
      <c r="U192" s="13"/>
      <c r="Y192" s="115"/>
      <c r="Z192" s="115"/>
      <c r="AA192" s="115"/>
      <c r="AB192" s="115"/>
      <c r="AC192" s="115"/>
      <c r="AD192" s="115"/>
      <c r="AE192" s="25"/>
      <c r="AF192" s="13"/>
      <c r="AK192" s="116"/>
      <c r="AL192" s="123"/>
      <c r="AM192" s="123"/>
      <c r="AN192" s="123"/>
      <c r="AS192" s="115"/>
      <c r="AT192" s="115"/>
      <c r="AU192" s="115"/>
      <c r="AV192" s="115"/>
      <c r="AW192" s="115"/>
      <c r="AX192" s="115"/>
      <c r="AY192" s="115"/>
      <c r="AZ192" s="115"/>
      <c r="BA192" s="115"/>
      <c r="BB192" s="115"/>
      <c r="BC192" s="25"/>
      <c r="BD192" s="13"/>
      <c r="BG192" s="114"/>
    </row>
    <row r="193" spans="1:59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26"/>
      <c r="U193" s="13"/>
      <c r="Y193" s="115"/>
      <c r="Z193" s="115"/>
      <c r="AA193" s="115"/>
      <c r="AB193" s="115"/>
      <c r="AC193" s="115"/>
      <c r="AD193" s="115"/>
      <c r="AE193" s="25"/>
      <c r="AF193" s="13"/>
      <c r="AK193" s="116"/>
      <c r="AL193" s="123"/>
      <c r="AM193" s="123"/>
      <c r="AN193" s="123"/>
      <c r="AS193" s="115"/>
      <c r="AT193" s="115"/>
      <c r="AU193" s="115"/>
      <c r="AV193" s="115"/>
      <c r="AW193" s="115"/>
      <c r="AX193" s="115"/>
      <c r="AY193" s="115"/>
      <c r="AZ193" s="115"/>
      <c r="BA193" s="115"/>
      <c r="BB193" s="115"/>
      <c r="BC193" s="25"/>
      <c r="BD193" s="13"/>
      <c r="BG193" s="114"/>
    </row>
    <row r="194" spans="1:59" ht="20.100000000000001" customHeight="1" x14ac:dyDescent="0.4">
      <c r="A194" s="117"/>
      <c r="B194" s="123"/>
      <c r="C194" s="123"/>
      <c r="D194" s="123"/>
      <c r="T194" s="26"/>
      <c r="U194" s="13"/>
      <c r="W194" s="115"/>
      <c r="X194" s="115"/>
      <c r="Y194" s="115"/>
      <c r="Z194" s="115"/>
      <c r="AA194" s="115"/>
      <c r="AB194" s="115"/>
      <c r="AC194" s="115"/>
      <c r="AD194" s="115"/>
      <c r="AE194" s="25">
        <v>45673</v>
      </c>
      <c r="AF194" s="13" t="s">
        <v>148</v>
      </c>
      <c r="AK194" s="116"/>
      <c r="AL194" s="123"/>
      <c r="AM194" s="123"/>
      <c r="AN194" s="123"/>
      <c r="AS194" s="115"/>
      <c r="AT194" s="115"/>
      <c r="AU194" s="115"/>
      <c r="AV194" s="115"/>
      <c r="AW194" s="115"/>
      <c r="AX194" s="115"/>
      <c r="AY194" s="115"/>
      <c r="AZ194" s="115"/>
      <c r="BA194" s="115"/>
      <c r="BB194" s="115"/>
      <c r="BC194" s="25"/>
      <c r="BD194" s="13"/>
      <c r="BG194" s="114"/>
    </row>
    <row r="195" spans="1:59" ht="20.100000000000001" customHeight="1" x14ac:dyDescent="0.4">
      <c r="A195" s="117"/>
      <c r="B195" s="123"/>
      <c r="C195" s="123"/>
      <c r="D195" s="123"/>
      <c r="P195" s="115"/>
      <c r="Q195" s="115"/>
      <c r="R195" s="115"/>
      <c r="S195" s="115"/>
      <c r="T195" s="17"/>
      <c r="U195" s="13"/>
      <c r="W195" s="115"/>
      <c r="X195" s="115"/>
      <c r="Y195" s="115"/>
      <c r="Z195" s="115"/>
      <c r="AA195" s="115"/>
      <c r="AB195" s="115"/>
      <c r="AC195" s="115"/>
      <c r="AD195" s="115"/>
      <c r="AE195" s="25"/>
      <c r="AF195" s="13"/>
      <c r="AK195" s="116"/>
      <c r="AL195" s="123"/>
      <c r="AM195" s="123"/>
      <c r="AN195" s="123"/>
      <c r="AS195" s="115"/>
      <c r="AT195" s="115"/>
      <c r="AU195" s="115"/>
      <c r="AV195" s="115"/>
      <c r="AW195" s="115"/>
      <c r="AX195" s="115"/>
      <c r="AY195" s="115"/>
      <c r="AZ195" s="115"/>
      <c r="BA195" s="115"/>
      <c r="BB195" s="115"/>
      <c r="BC195" s="25"/>
      <c r="BD195" s="13"/>
      <c r="BG195" s="114"/>
    </row>
    <row r="196" spans="1:59" ht="20.100000000000001" customHeight="1" x14ac:dyDescent="0.4">
      <c r="A196" s="117"/>
      <c r="B196" s="123"/>
      <c r="C196" s="123"/>
      <c r="D196" s="123"/>
      <c r="K196" s="115"/>
      <c r="L196" s="115"/>
      <c r="M196" s="115"/>
      <c r="N196" s="115"/>
      <c r="O196" s="115"/>
      <c r="P196" s="115"/>
      <c r="Q196" s="115"/>
      <c r="R196" s="115"/>
      <c r="S196" s="115"/>
      <c r="T196" s="26"/>
      <c r="U196" s="13"/>
      <c r="W196" s="115"/>
      <c r="X196" s="115"/>
      <c r="Y196" s="115"/>
      <c r="Z196" s="115"/>
      <c r="AA196" s="115"/>
      <c r="AB196" s="115"/>
      <c r="AC196" s="115"/>
      <c r="AD196" s="115"/>
      <c r="AE196" s="25"/>
      <c r="AF196" s="13"/>
      <c r="AK196" s="116"/>
      <c r="AL196" s="123"/>
      <c r="AM196" s="123"/>
      <c r="AN196" s="123"/>
      <c r="AS196" s="115"/>
      <c r="AT196" s="115"/>
      <c r="AU196" s="115"/>
      <c r="AV196" s="115"/>
      <c r="AW196" s="115"/>
      <c r="AX196" s="115"/>
      <c r="AY196" s="115"/>
      <c r="AZ196" s="115"/>
      <c r="BA196" s="115"/>
      <c r="BB196" s="115"/>
      <c r="BC196" s="25"/>
      <c r="BD196" s="13"/>
      <c r="BG196" s="114"/>
    </row>
    <row r="197" spans="1:59" ht="20.100000000000001" customHeight="1" x14ac:dyDescent="0.4">
      <c r="A197" s="117"/>
      <c r="B197" s="123"/>
      <c r="C197" s="123"/>
      <c r="D197" s="123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26"/>
      <c r="U197" s="13"/>
      <c r="W197" s="115"/>
      <c r="X197" s="115"/>
      <c r="Y197" s="115"/>
      <c r="Z197" s="115"/>
      <c r="AA197" s="115"/>
      <c r="AB197" s="115"/>
      <c r="AC197" s="115"/>
      <c r="AD197" s="115"/>
      <c r="AE197" s="25"/>
      <c r="AF197" s="13"/>
      <c r="AK197" s="116"/>
      <c r="AL197" s="123"/>
      <c r="AM197" s="123"/>
      <c r="AN197" s="123"/>
      <c r="AS197" s="115"/>
      <c r="AT197" s="115"/>
      <c r="AU197" s="115"/>
      <c r="AV197" s="115"/>
      <c r="AW197" s="115"/>
      <c r="AX197" s="115"/>
      <c r="AY197" s="115"/>
      <c r="AZ197" s="115"/>
      <c r="BA197" s="115"/>
      <c r="BB197" s="115"/>
      <c r="BC197" s="25"/>
      <c r="BD197" s="13"/>
      <c r="BG197" s="114"/>
    </row>
    <row r="198" spans="1:59" ht="20.100000000000001" customHeight="1" x14ac:dyDescent="0.4">
      <c r="A198" s="117"/>
      <c r="B198" s="123"/>
      <c r="C198" s="123"/>
      <c r="D198" s="123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26"/>
      <c r="U198" s="13"/>
      <c r="W198" s="115"/>
      <c r="X198" s="115"/>
      <c r="Y198" s="115"/>
      <c r="Z198" s="115"/>
      <c r="AA198" s="115"/>
      <c r="AB198" s="115"/>
      <c r="AC198" s="115"/>
      <c r="AD198" s="115"/>
      <c r="AE198" s="25"/>
      <c r="AF198" s="13"/>
      <c r="AK198" s="116"/>
      <c r="AL198" s="123"/>
      <c r="AM198" s="123"/>
      <c r="AN198" s="123"/>
      <c r="AS198" s="115"/>
      <c r="AT198" s="115"/>
      <c r="AU198" s="115"/>
      <c r="AV198" s="115"/>
      <c r="AW198" s="115"/>
      <c r="AX198" s="115"/>
      <c r="AY198" s="115"/>
      <c r="AZ198" s="115"/>
      <c r="BA198" s="115"/>
      <c r="BB198" s="115"/>
      <c r="BC198" s="25"/>
      <c r="BD198" s="13"/>
      <c r="BG198" s="114"/>
    </row>
    <row r="199" spans="1:59" ht="20.100000000000001" customHeight="1" x14ac:dyDescent="0.4">
      <c r="A199" s="117"/>
      <c r="B199" s="123"/>
      <c r="C199" s="123"/>
      <c r="D199" s="123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26"/>
      <c r="U199" s="13"/>
      <c r="W199" s="115"/>
      <c r="X199" s="115"/>
      <c r="Y199" s="115"/>
      <c r="Z199" s="115"/>
      <c r="AA199" s="115"/>
      <c r="AB199" s="115"/>
      <c r="AC199" s="115"/>
      <c r="AD199" s="115"/>
      <c r="AE199" s="25"/>
      <c r="AF199" s="13"/>
      <c r="AK199" s="116"/>
      <c r="AL199" s="123"/>
      <c r="AM199" s="123"/>
      <c r="AN199" s="123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115"/>
      <c r="BC199" s="25"/>
      <c r="BD199" s="13"/>
      <c r="BG199" s="114"/>
    </row>
    <row r="200" spans="1:59" ht="20.100000000000001" customHeight="1" x14ac:dyDescent="0.4">
      <c r="A200" s="117"/>
      <c r="B200" s="123"/>
      <c r="C200" s="123"/>
      <c r="D200" s="123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7"/>
      <c r="U200" s="13"/>
      <c r="W200" s="115"/>
      <c r="X200" s="115"/>
      <c r="Y200" s="115"/>
      <c r="Z200" s="115"/>
      <c r="AA200" s="115"/>
      <c r="AB200" s="115"/>
      <c r="AC200" s="115"/>
      <c r="AD200" s="115"/>
      <c r="AE200" s="25"/>
      <c r="AF200" s="13"/>
      <c r="AK200" s="116"/>
      <c r="AL200" s="123"/>
      <c r="AM200" s="123"/>
      <c r="AN200" s="123"/>
      <c r="AS200" s="115"/>
      <c r="AT200" s="115"/>
      <c r="AU200" s="115"/>
      <c r="AV200" s="115"/>
      <c r="AW200" s="115"/>
      <c r="AX200" s="115"/>
      <c r="AY200" s="115"/>
      <c r="AZ200" s="115"/>
      <c r="BA200" s="115"/>
      <c r="BB200" s="115"/>
      <c r="BC200" s="25"/>
      <c r="BD200" s="13"/>
      <c r="BG200" s="114"/>
    </row>
    <row r="201" spans="1:59" ht="20.100000000000001" customHeight="1" x14ac:dyDescent="0.4">
      <c r="A201" s="117"/>
      <c r="B201" s="123"/>
      <c r="C201" s="123"/>
      <c r="D201" s="123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26"/>
      <c r="U201" s="13"/>
      <c r="W201" s="115"/>
      <c r="X201" s="115"/>
      <c r="Y201" s="115"/>
      <c r="Z201" s="115"/>
      <c r="AA201" s="115"/>
      <c r="AB201" s="115"/>
      <c r="AC201" s="115"/>
      <c r="AD201" s="115"/>
      <c r="AE201" s="25"/>
      <c r="AF201" s="13"/>
      <c r="AK201" s="116"/>
      <c r="AL201" s="123"/>
      <c r="AM201" s="123"/>
      <c r="AN201" s="123"/>
      <c r="AS201" s="115"/>
      <c r="AT201" s="115"/>
      <c r="AU201" s="115"/>
      <c r="AV201" s="115"/>
      <c r="AW201" s="115"/>
      <c r="AX201" s="115"/>
      <c r="AY201" s="115"/>
      <c r="AZ201" s="115"/>
      <c r="BA201" s="115"/>
      <c r="BB201" s="115"/>
      <c r="BC201" s="25"/>
      <c r="BD201" s="13"/>
      <c r="BG201" s="114"/>
    </row>
    <row r="202" spans="1:59" ht="20.100000000000001" customHeight="1" x14ac:dyDescent="0.4">
      <c r="A202" s="117"/>
      <c r="B202" s="123"/>
      <c r="C202" s="123"/>
      <c r="D202" s="123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26"/>
      <c r="U202" s="15"/>
      <c r="W202" s="115"/>
      <c r="X202" s="115"/>
      <c r="Y202" s="115"/>
      <c r="Z202" s="115"/>
      <c r="AA202" s="115"/>
      <c r="AB202" s="115"/>
      <c r="AC202" s="115"/>
      <c r="AD202" s="115"/>
      <c r="AE202" s="25"/>
      <c r="AF202" s="13"/>
      <c r="AK202" s="116"/>
      <c r="AL202" s="123"/>
      <c r="AM202" s="123"/>
      <c r="AN202" s="123"/>
      <c r="AS202" s="115"/>
      <c r="AT202" s="115"/>
      <c r="AU202" s="115"/>
      <c r="AV202" s="115"/>
      <c r="AW202" s="115"/>
      <c r="AX202" s="115"/>
      <c r="AY202" s="115"/>
      <c r="AZ202" s="115"/>
      <c r="BA202" s="115"/>
      <c r="BB202" s="115"/>
      <c r="BC202" s="25"/>
      <c r="BD202" s="13"/>
      <c r="BG202" s="114"/>
    </row>
    <row r="203" spans="1:59" ht="20.100000000000001" customHeight="1" x14ac:dyDescent="0.4">
      <c r="A203" s="117"/>
      <c r="B203" s="123"/>
      <c r="C203" s="123"/>
      <c r="D203" s="123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26"/>
      <c r="U203" s="15"/>
      <c r="W203" s="115"/>
      <c r="X203" s="115"/>
      <c r="Y203" s="115"/>
      <c r="Z203" s="115"/>
      <c r="AA203" s="115"/>
      <c r="AB203" s="115"/>
      <c r="AC203" s="115"/>
      <c r="AD203" s="115"/>
      <c r="AE203" s="25"/>
      <c r="AF203" s="13"/>
      <c r="AK203" s="116"/>
      <c r="AL203" s="123"/>
      <c r="AM203" s="123"/>
      <c r="AN203" s="123"/>
      <c r="AS203" s="115"/>
      <c r="AT203" s="115"/>
      <c r="AU203" s="115"/>
      <c r="AV203" s="115"/>
      <c r="AW203" s="115"/>
      <c r="AX203" s="115"/>
      <c r="AY203" s="115"/>
      <c r="AZ203" s="115"/>
      <c r="BA203" s="115"/>
      <c r="BB203" s="115"/>
      <c r="BC203" s="25"/>
      <c r="BD203" s="13"/>
      <c r="BG203" s="114"/>
    </row>
    <row r="204" spans="1:59" ht="20.100000000000001" customHeight="1" x14ac:dyDescent="0.4">
      <c r="A204" s="117"/>
      <c r="B204" s="123"/>
      <c r="C204" s="123"/>
      <c r="D204" s="123"/>
      <c r="T204" s="26"/>
      <c r="U204" s="15"/>
      <c r="W204" s="115"/>
      <c r="X204" s="115"/>
      <c r="Y204" s="115"/>
      <c r="Z204" s="115"/>
      <c r="AA204" s="115"/>
      <c r="AB204" s="115"/>
      <c r="AC204" s="115"/>
      <c r="AD204" s="115"/>
      <c r="AE204" s="25">
        <v>45673</v>
      </c>
      <c r="AF204" s="13" t="s">
        <v>147</v>
      </c>
      <c r="AK204" s="116"/>
      <c r="AL204" s="123"/>
      <c r="AM204" s="123"/>
      <c r="AN204" s="123"/>
      <c r="AS204" s="115"/>
      <c r="AT204" s="115"/>
      <c r="AU204" s="115"/>
      <c r="AV204" s="115"/>
      <c r="AW204" s="115"/>
      <c r="AX204" s="115"/>
      <c r="AY204" s="115"/>
      <c r="AZ204" s="115"/>
      <c r="BA204" s="115"/>
      <c r="BB204" s="115"/>
      <c r="BC204" s="25"/>
      <c r="BD204" s="13"/>
      <c r="BG204" s="114"/>
    </row>
    <row r="205" spans="1:59" ht="20.100000000000001" customHeight="1" x14ac:dyDescent="0.4">
      <c r="A205" s="117"/>
      <c r="B205" s="123"/>
      <c r="C205" s="123"/>
      <c r="D205" s="123"/>
      <c r="P205" s="115"/>
      <c r="Q205" s="115"/>
      <c r="R205" s="115"/>
      <c r="S205" s="115"/>
      <c r="T205" s="17"/>
      <c r="U205" s="15"/>
      <c r="W205" s="115"/>
      <c r="X205" s="115"/>
      <c r="Y205" s="115"/>
      <c r="Z205" s="115"/>
      <c r="AA205" s="115"/>
      <c r="AB205" s="115"/>
      <c r="AC205" s="115"/>
      <c r="AD205" s="115"/>
      <c r="AE205" s="25"/>
      <c r="AF205" s="13"/>
      <c r="AK205" s="116"/>
      <c r="AL205" s="123"/>
      <c r="AM205" s="123"/>
      <c r="AN205" s="123"/>
      <c r="AS205" s="115"/>
      <c r="AT205" s="115"/>
      <c r="AU205" s="115"/>
      <c r="AV205" s="115"/>
      <c r="AW205" s="115"/>
      <c r="AX205" s="115"/>
      <c r="AY205" s="115"/>
      <c r="AZ205" s="115"/>
      <c r="BA205" s="115"/>
      <c r="BB205" s="115"/>
      <c r="BC205" s="25"/>
      <c r="BD205" s="13"/>
      <c r="BG205" s="114"/>
    </row>
    <row r="206" spans="1:59" ht="20.100000000000001" customHeight="1" x14ac:dyDescent="0.4">
      <c r="A206" s="117"/>
      <c r="B206" s="123"/>
      <c r="C206" s="123"/>
      <c r="D206" s="123"/>
      <c r="T206" s="26"/>
      <c r="U206" s="15"/>
      <c r="W206" s="115"/>
      <c r="X206" s="115"/>
      <c r="Y206" s="115"/>
      <c r="Z206" s="115"/>
      <c r="AA206" s="115"/>
      <c r="AB206" s="115"/>
      <c r="AC206" s="115"/>
      <c r="AD206" s="115"/>
      <c r="AE206" s="25"/>
      <c r="AF206" s="13"/>
      <c r="AK206" s="116"/>
      <c r="AL206" s="123"/>
      <c r="AM206" s="123"/>
      <c r="AN206" s="123"/>
      <c r="AS206" s="115"/>
      <c r="AT206" s="115"/>
      <c r="AU206" s="115"/>
      <c r="AV206" s="115"/>
      <c r="AW206" s="115"/>
      <c r="AX206" s="115"/>
      <c r="AY206" s="115"/>
      <c r="AZ206" s="115"/>
      <c r="BA206" s="115"/>
      <c r="BB206" s="115"/>
      <c r="BC206" s="25"/>
      <c r="BD206" s="13"/>
      <c r="BG206" s="114"/>
    </row>
    <row r="207" spans="1:59" ht="20.100000000000001" customHeight="1" x14ac:dyDescent="0.4">
      <c r="A207" s="117"/>
      <c r="B207" s="123"/>
      <c r="C207" s="123"/>
      <c r="D207" s="123"/>
      <c r="P207" s="115"/>
      <c r="Q207" s="115"/>
      <c r="R207" s="115"/>
      <c r="S207" s="115"/>
      <c r="T207" s="17"/>
      <c r="U207" s="15"/>
      <c r="W207" s="115"/>
      <c r="X207" s="115"/>
      <c r="Y207" s="115"/>
      <c r="Z207" s="115"/>
      <c r="AA207" s="115"/>
      <c r="AB207" s="115"/>
      <c r="AC207" s="115"/>
      <c r="AD207" s="115"/>
      <c r="AE207" s="25"/>
      <c r="AF207" s="13"/>
      <c r="AK207" s="116"/>
      <c r="AL207" s="123"/>
      <c r="AM207" s="123"/>
      <c r="AN207" s="123"/>
      <c r="AS207" s="115"/>
      <c r="AT207" s="115"/>
      <c r="AU207" s="115"/>
      <c r="AV207" s="115"/>
      <c r="AW207" s="115"/>
      <c r="AX207" s="115"/>
      <c r="AY207" s="115"/>
      <c r="AZ207" s="115"/>
      <c r="BA207" s="115"/>
      <c r="BB207" s="115"/>
      <c r="BC207" s="25"/>
      <c r="BD207" s="13"/>
      <c r="BG207" s="114"/>
    </row>
    <row r="208" spans="1:59" ht="20.100000000000001" customHeight="1" x14ac:dyDescent="0.4">
      <c r="A208" s="117"/>
      <c r="B208" s="123"/>
      <c r="C208" s="123"/>
      <c r="D208" s="123"/>
      <c r="K208" s="115"/>
      <c r="L208" s="115"/>
      <c r="M208" s="115"/>
      <c r="N208" s="115"/>
      <c r="O208" s="115"/>
      <c r="P208" s="115"/>
      <c r="Q208" s="115"/>
      <c r="R208" s="115"/>
      <c r="S208" s="115"/>
      <c r="T208" s="26"/>
      <c r="U208" s="15"/>
      <c r="W208" s="115"/>
      <c r="X208" s="115"/>
      <c r="Y208" s="115"/>
      <c r="Z208" s="115"/>
      <c r="AA208" s="115"/>
      <c r="AB208" s="115"/>
      <c r="AC208" s="115"/>
      <c r="AD208" s="115"/>
      <c r="AE208" s="25"/>
      <c r="AF208" s="13"/>
      <c r="AK208" s="116"/>
      <c r="AL208" s="123"/>
      <c r="AM208" s="123"/>
      <c r="AN208" s="123"/>
      <c r="AS208" s="115"/>
      <c r="AT208" s="115"/>
      <c r="AU208" s="115"/>
      <c r="AV208" s="115"/>
      <c r="AW208" s="115"/>
      <c r="AX208" s="115"/>
      <c r="AY208" s="115"/>
      <c r="AZ208" s="115"/>
      <c r="BA208" s="115"/>
      <c r="BB208" s="115"/>
      <c r="BC208" s="25"/>
      <c r="BD208" s="13"/>
      <c r="BG208" s="114"/>
    </row>
    <row r="209" spans="1:59" ht="20.100000000000001" customHeight="1" x14ac:dyDescent="0.4">
      <c r="A209" s="117"/>
      <c r="B209" s="123"/>
      <c r="C209" s="123"/>
      <c r="D209" s="123"/>
      <c r="K209" s="115"/>
      <c r="L209" s="115"/>
      <c r="M209" s="115"/>
      <c r="N209" s="115"/>
      <c r="O209" s="115"/>
      <c r="P209" s="115"/>
      <c r="Q209" s="115"/>
      <c r="R209" s="115"/>
      <c r="S209" s="115"/>
      <c r="T209" s="20"/>
      <c r="U209" s="13"/>
      <c r="W209" s="115"/>
      <c r="X209" s="115"/>
      <c r="Y209" s="115"/>
      <c r="Z209" s="115"/>
      <c r="AA209" s="115"/>
      <c r="AB209" s="115"/>
      <c r="AC209" s="115"/>
      <c r="AD209" s="115"/>
      <c r="AE209" s="25"/>
      <c r="AF209" s="13"/>
      <c r="AK209" s="116"/>
      <c r="AL209" s="123"/>
      <c r="AM209" s="123"/>
      <c r="AN209" s="123"/>
      <c r="AS209" s="115"/>
      <c r="AT209" s="115"/>
      <c r="AU209" s="115"/>
      <c r="AV209" s="115"/>
      <c r="AW209" s="115"/>
      <c r="AX209" s="115"/>
      <c r="AY209" s="115"/>
      <c r="AZ209" s="115"/>
      <c r="BA209" s="115"/>
      <c r="BB209" s="115"/>
      <c r="BC209" s="25"/>
      <c r="BD209" s="13"/>
      <c r="BG209" s="114"/>
    </row>
    <row r="210" spans="1:59" ht="20.100000000000001" customHeight="1" x14ac:dyDescent="0.4">
      <c r="A210" s="117"/>
      <c r="B210" s="123"/>
      <c r="C210" s="123"/>
      <c r="D210" s="123"/>
      <c r="K210" s="115"/>
      <c r="L210" s="115"/>
      <c r="M210" s="115"/>
      <c r="N210" s="115"/>
      <c r="O210" s="115"/>
      <c r="P210" s="115"/>
      <c r="Q210" s="115"/>
      <c r="R210" s="115"/>
      <c r="S210" s="115"/>
      <c r="T210" s="20"/>
      <c r="U210" s="13"/>
      <c r="W210" s="115"/>
      <c r="X210" s="115"/>
      <c r="Y210" s="115"/>
      <c r="Z210" s="115"/>
      <c r="AA210" s="115"/>
      <c r="AB210" s="115"/>
      <c r="AC210" s="115"/>
      <c r="AD210" s="115"/>
      <c r="AE210" s="25"/>
      <c r="AF210" s="13"/>
      <c r="AK210" s="116"/>
      <c r="AL210" s="123"/>
      <c r="AM210" s="123"/>
      <c r="AN210" s="123"/>
      <c r="AS210" s="115"/>
      <c r="AT210" s="115"/>
      <c r="AU210" s="115"/>
      <c r="AV210" s="115"/>
      <c r="AW210" s="115"/>
      <c r="AX210" s="115"/>
      <c r="AY210" s="115"/>
      <c r="AZ210" s="115"/>
      <c r="BA210" s="115"/>
      <c r="BB210" s="115"/>
      <c r="BC210" s="25"/>
      <c r="BD210" s="13"/>
      <c r="BG210" s="114"/>
    </row>
    <row r="211" spans="1:59" ht="20.100000000000001" customHeight="1" x14ac:dyDescent="0.4">
      <c r="A211" s="117"/>
      <c r="B211" s="123"/>
      <c r="C211" s="123"/>
      <c r="D211" s="123"/>
      <c r="K211" s="115"/>
      <c r="L211" s="115"/>
      <c r="M211" s="115"/>
      <c r="N211" s="115"/>
      <c r="O211" s="115"/>
      <c r="P211" s="115"/>
      <c r="Q211" s="115"/>
      <c r="R211" s="115"/>
      <c r="S211" s="115"/>
      <c r="T211" s="13"/>
      <c r="U211" s="13"/>
      <c r="W211" s="115"/>
      <c r="X211" s="115"/>
      <c r="Y211" s="115"/>
      <c r="Z211" s="115"/>
      <c r="AA211" s="115"/>
      <c r="AB211" s="115"/>
      <c r="AC211" s="115"/>
      <c r="AD211" s="115"/>
      <c r="AE211" s="25"/>
      <c r="AF211" s="13"/>
      <c r="AK211" s="116"/>
      <c r="AL211" s="123"/>
      <c r="AM211" s="123"/>
      <c r="AN211" s="123"/>
      <c r="AS211" s="115"/>
      <c r="AT211" s="115"/>
      <c r="AU211" s="115"/>
      <c r="AV211" s="115"/>
      <c r="AW211" s="115"/>
      <c r="AX211" s="115"/>
      <c r="AY211" s="115"/>
      <c r="AZ211" s="115"/>
      <c r="BA211" s="115"/>
      <c r="BB211" s="115"/>
      <c r="BC211" s="25"/>
      <c r="BD211" s="13"/>
      <c r="BG211" s="114"/>
    </row>
    <row r="212" spans="1:59" ht="20.100000000000001" customHeight="1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25"/>
      <c r="U212" s="13"/>
      <c r="W212" s="115"/>
      <c r="X212" s="115"/>
      <c r="Y212" s="115"/>
      <c r="Z212" s="115"/>
      <c r="AA212" s="115"/>
      <c r="AB212" s="115"/>
      <c r="AC212" s="115"/>
      <c r="AD212" s="115"/>
      <c r="AE212" s="25"/>
      <c r="AF212" s="13"/>
      <c r="AK212" s="116"/>
      <c r="AL212" s="123"/>
      <c r="AM212" s="123"/>
      <c r="AN212" s="123"/>
      <c r="AS212" s="115"/>
      <c r="AT212" s="115"/>
      <c r="AU212" s="115"/>
      <c r="AV212" s="115"/>
      <c r="AW212" s="115"/>
      <c r="AX212" s="115"/>
      <c r="AY212" s="115"/>
      <c r="AZ212" s="115"/>
      <c r="BA212" s="115"/>
      <c r="BB212" s="115"/>
      <c r="BC212" s="25"/>
      <c r="BD212" s="13"/>
      <c r="BG212" s="114"/>
    </row>
    <row r="213" spans="1:59" ht="20.100000000000001" customHeight="1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3"/>
      <c r="U213" s="13"/>
      <c r="W213" s="115"/>
      <c r="X213" s="115"/>
      <c r="Y213" s="115"/>
      <c r="Z213" s="115"/>
      <c r="AA213" s="115"/>
      <c r="AB213" s="115"/>
      <c r="AC213" s="115"/>
      <c r="AD213" s="115"/>
      <c r="AE213" s="25"/>
      <c r="AF213" s="13"/>
      <c r="AK213" s="116"/>
      <c r="AL213" s="123"/>
      <c r="AM213" s="123"/>
      <c r="AN213" s="123"/>
      <c r="AS213" s="115"/>
      <c r="AT213" s="115"/>
      <c r="AU213" s="115"/>
      <c r="AV213" s="115"/>
      <c r="AW213" s="115"/>
      <c r="AX213" s="115"/>
      <c r="AY213" s="115"/>
      <c r="AZ213" s="115"/>
      <c r="BA213" s="115"/>
      <c r="BB213" s="115"/>
      <c r="BC213" s="25"/>
      <c r="BD213" s="13"/>
      <c r="BG213" s="114"/>
    </row>
    <row r="214" spans="1:59" ht="20.100000000000001" customHeight="1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25"/>
      <c r="U214" s="13"/>
      <c r="W214" s="115"/>
      <c r="X214" s="115"/>
      <c r="Y214" s="115"/>
      <c r="Z214" s="115"/>
      <c r="AA214" s="115"/>
      <c r="AB214" s="115"/>
      <c r="AC214" s="115"/>
      <c r="AD214" s="115"/>
      <c r="AE214" s="25"/>
      <c r="AF214" s="13"/>
      <c r="AK214" s="116"/>
      <c r="AL214" s="123"/>
      <c r="AM214" s="123"/>
      <c r="AN214" s="123"/>
      <c r="AS214" s="115"/>
      <c r="AT214" s="115"/>
      <c r="AU214" s="115"/>
      <c r="AV214" s="115"/>
      <c r="AW214" s="115"/>
      <c r="AX214" s="115"/>
      <c r="AY214" s="115"/>
      <c r="AZ214" s="115"/>
      <c r="BA214" s="115"/>
      <c r="BB214" s="115"/>
      <c r="BC214" s="25"/>
      <c r="BD214" s="13"/>
      <c r="BG214" s="114"/>
    </row>
    <row r="215" spans="1:59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25"/>
      <c r="U215" s="13"/>
      <c r="W215" s="115"/>
      <c r="X215" s="115"/>
      <c r="Y215" s="115"/>
      <c r="Z215" s="115"/>
      <c r="AA215" s="115"/>
      <c r="AB215" s="115"/>
      <c r="AC215" s="115"/>
      <c r="AD215" s="115"/>
      <c r="AE215" s="25"/>
      <c r="AF215" s="13"/>
      <c r="AK215" s="116"/>
      <c r="AL215" s="123"/>
      <c r="AM215" s="123"/>
      <c r="AN215" s="123"/>
      <c r="AS215" s="115"/>
      <c r="AT215" s="115"/>
      <c r="AU215" s="115"/>
      <c r="AV215" s="115"/>
      <c r="AW215" s="115"/>
      <c r="AX215" s="115"/>
      <c r="AY215" s="115"/>
      <c r="AZ215" s="115"/>
      <c r="BA215" s="115"/>
      <c r="BB215" s="115"/>
      <c r="BC215" s="25"/>
      <c r="BD215" s="13"/>
      <c r="BG215" s="114"/>
    </row>
    <row r="216" spans="1:59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25"/>
      <c r="U216" s="13"/>
      <c r="W216" s="115"/>
      <c r="X216" s="115"/>
      <c r="Y216" s="115"/>
      <c r="Z216" s="115"/>
      <c r="AA216" s="115"/>
      <c r="AB216" s="115"/>
      <c r="AC216" s="115"/>
      <c r="AD216" s="115"/>
      <c r="AE216" s="25"/>
      <c r="AF216" s="13"/>
      <c r="AK216" s="116"/>
      <c r="AL216" s="123"/>
      <c r="AM216" s="123"/>
      <c r="AN216" s="123"/>
      <c r="AS216" s="115"/>
      <c r="AT216" s="115"/>
      <c r="AU216" s="115"/>
      <c r="AV216" s="115"/>
      <c r="AW216" s="115"/>
      <c r="AX216" s="115"/>
      <c r="AY216" s="115"/>
      <c r="AZ216" s="115"/>
      <c r="BA216" s="115"/>
      <c r="BB216" s="115"/>
      <c r="BC216" s="25"/>
      <c r="BD216" s="13"/>
      <c r="BG216" s="114"/>
    </row>
    <row r="217" spans="1:59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25"/>
      <c r="U217" s="13"/>
      <c r="W217" s="115"/>
      <c r="X217" s="115"/>
      <c r="Y217" s="115"/>
      <c r="Z217" s="115"/>
      <c r="AA217" s="115"/>
      <c r="AB217" s="115"/>
      <c r="AC217" s="115"/>
      <c r="AD217" s="115"/>
      <c r="AE217" s="25"/>
      <c r="AF217" s="13"/>
      <c r="AK217" s="116"/>
      <c r="AL217" s="123"/>
      <c r="AM217" s="123"/>
      <c r="AN217" s="123"/>
      <c r="AS217" s="115"/>
      <c r="AT217" s="115"/>
      <c r="AU217" s="115"/>
      <c r="AV217" s="115"/>
      <c r="AW217" s="115"/>
      <c r="AX217" s="115"/>
      <c r="AY217" s="115"/>
      <c r="AZ217" s="115"/>
      <c r="BA217" s="115"/>
      <c r="BB217" s="115"/>
      <c r="BC217" s="25"/>
      <c r="BD217" s="13"/>
      <c r="BG217" s="114"/>
    </row>
    <row r="218" spans="1:59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25"/>
      <c r="U218" s="13"/>
      <c r="W218" s="115"/>
      <c r="X218" s="115"/>
      <c r="Y218" s="115"/>
      <c r="Z218" s="115"/>
      <c r="AA218" s="115"/>
      <c r="AB218" s="115"/>
      <c r="AC218" s="115"/>
      <c r="AD218" s="115"/>
      <c r="AE218" s="25"/>
      <c r="AF218" s="13"/>
      <c r="AK218" s="116"/>
      <c r="AL218" s="123"/>
      <c r="AM218" s="123"/>
      <c r="AN218" s="123"/>
      <c r="AS218" s="115"/>
      <c r="AT218" s="115"/>
      <c r="AU218" s="115"/>
      <c r="AV218" s="115"/>
      <c r="AW218" s="115"/>
      <c r="AX218" s="115"/>
      <c r="AY218" s="115"/>
      <c r="AZ218" s="115"/>
      <c r="BA218" s="115"/>
      <c r="BB218" s="115"/>
      <c r="BC218" s="25"/>
      <c r="BD218" s="13"/>
      <c r="BG218" s="114"/>
    </row>
    <row r="219" spans="1:59" ht="20.100000000000001" customHeight="1" x14ac:dyDescent="0.4">
      <c r="A219" s="117"/>
      <c r="B219" s="123"/>
      <c r="C219" s="123"/>
      <c r="D219" s="123"/>
      <c r="T219" s="25"/>
      <c r="U219" s="13"/>
      <c r="W219" s="115"/>
      <c r="X219" s="115"/>
      <c r="Y219" s="115"/>
      <c r="Z219" s="115"/>
      <c r="AA219" s="115"/>
      <c r="AB219" s="115"/>
      <c r="AC219" s="115"/>
      <c r="AD219" s="115"/>
      <c r="AE219" s="25">
        <v>45673</v>
      </c>
      <c r="AF219" s="13" t="s">
        <v>147</v>
      </c>
      <c r="AK219" s="116"/>
      <c r="AL219" s="123"/>
      <c r="AM219" s="123"/>
      <c r="AN219" s="123"/>
      <c r="AS219" s="115"/>
      <c r="AT219" s="115"/>
      <c r="AU219" s="115"/>
      <c r="AV219" s="115"/>
      <c r="AW219" s="115"/>
      <c r="AX219" s="115"/>
      <c r="AY219" s="115"/>
      <c r="AZ219" s="115"/>
      <c r="BA219" s="115"/>
      <c r="BB219" s="115"/>
      <c r="BC219" s="25"/>
      <c r="BD219" s="13"/>
      <c r="BG219" s="114"/>
    </row>
    <row r="220" spans="1:59" ht="20.100000000000001" customHeight="1" x14ac:dyDescent="0.4">
      <c r="A220" s="117"/>
      <c r="B220" s="123"/>
      <c r="C220" s="123"/>
      <c r="D220" s="123"/>
      <c r="T220" s="25"/>
      <c r="U220" s="13"/>
      <c r="W220" s="115"/>
      <c r="X220" s="115"/>
      <c r="Y220" s="115"/>
      <c r="Z220" s="115"/>
      <c r="AA220" s="115"/>
      <c r="AB220" s="115"/>
      <c r="AC220" s="115"/>
      <c r="AD220" s="115"/>
      <c r="AE220" s="25">
        <v>45673</v>
      </c>
      <c r="AF220" s="13" t="s">
        <v>147</v>
      </c>
      <c r="AK220" s="116"/>
      <c r="AL220" s="123"/>
      <c r="AM220" s="123"/>
      <c r="AN220" s="123"/>
      <c r="AS220" s="115"/>
      <c r="AT220" s="115"/>
      <c r="AU220" s="115"/>
      <c r="AV220" s="115"/>
      <c r="AW220" s="115"/>
      <c r="AX220" s="115"/>
      <c r="AY220" s="115"/>
      <c r="AZ220" s="115"/>
      <c r="BA220" s="115"/>
      <c r="BB220" s="115"/>
      <c r="BC220" s="25"/>
      <c r="BD220" s="13"/>
      <c r="BG220" s="114"/>
    </row>
    <row r="221" spans="1:59" ht="20.100000000000001" customHeight="1" x14ac:dyDescent="0.4">
      <c r="A221" s="117"/>
      <c r="B221" s="123"/>
      <c r="C221" s="123"/>
      <c r="D221" s="123"/>
      <c r="T221" s="25"/>
      <c r="U221" s="13"/>
      <c r="W221" s="115"/>
      <c r="X221" s="115"/>
      <c r="Y221" s="115"/>
      <c r="Z221" s="115"/>
      <c r="AA221" s="115"/>
      <c r="AB221" s="115"/>
      <c r="AC221" s="115"/>
      <c r="AD221" s="115"/>
      <c r="AE221" s="25">
        <v>45675</v>
      </c>
      <c r="AF221" s="13" t="s">
        <v>147</v>
      </c>
      <c r="AK221" s="116"/>
      <c r="AL221" s="123"/>
      <c r="AM221" s="123"/>
      <c r="AN221" s="123"/>
      <c r="AS221" s="115"/>
      <c r="AT221" s="115"/>
      <c r="AU221" s="115"/>
      <c r="AV221" s="115"/>
      <c r="AW221" s="115"/>
      <c r="AX221" s="115"/>
      <c r="AY221" s="115"/>
      <c r="AZ221" s="115"/>
      <c r="BA221" s="115"/>
      <c r="BB221" s="115"/>
      <c r="BC221" s="25"/>
      <c r="BD221" s="13"/>
      <c r="BG221" s="114"/>
    </row>
    <row r="222" spans="1:59" ht="20.100000000000001" customHeight="1" x14ac:dyDescent="0.4">
      <c r="A222" s="117"/>
      <c r="B222" s="123"/>
      <c r="C222" s="123"/>
      <c r="D222" s="123"/>
      <c r="T222" s="25"/>
      <c r="U222" s="13"/>
      <c r="W222" s="115"/>
      <c r="X222" s="115"/>
      <c r="Y222" s="115"/>
      <c r="Z222" s="115"/>
      <c r="AA222" s="115"/>
      <c r="AB222" s="115"/>
      <c r="AC222" s="115"/>
      <c r="AD222" s="115"/>
      <c r="AE222" s="25"/>
      <c r="AF222" s="13"/>
      <c r="AK222" s="116"/>
      <c r="AL222" s="123"/>
      <c r="AM222" s="123"/>
      <c r="AN222" s="123"/>
      <c r="AS222" s="115"/>
      <c r="AT222" s="115"/>
      <c r="AU222" s="115"/>
      <c r="AV222" s="115"/>
      <c r="AW222" s="115"/>
      <c r="AX222" s="115"/>
      <c r="AY222" s="115"/>
      <c r="AZ222" s="115"/>
      <c r="BA222" s="115"/>
      <c r="BB222" s="115"/>
      <c r="BC222" s="25"/>
      <c r="BD222" s="13"/>
      <c r="BG222" s="114"/>
    </row>
    <row r="223" spans="1:59" ht="20.100000000000001" customHeight="1" x14ac:dyDescent="0.4">
      <c r="A223" s="117"/>
      <c r="B223" s="123"/>
      <c r="C223" s="123"/>
      <c r="D223" s="123"/>
      <c r="N223" s="115"/>
      <c r="O223" s="115"/>
      <c r="P223" s="115"/>
      <c r="Q223" s="115"/>
      <c r="R223" s="115"/>
      <c r="S223" s="115"/>
      <c r="T223" s="25"/>
      <c r="U223" s="13"/>
      <c r="W223" s="115"/>
      <c r="X223" s="115"/>
      <c r="Y223" s="115"/>
      <c r="Z223" s="115"/>
      <c r="AA223" s="115"/>
      <c r="AB223" s="115"/>
      <c r="AC223" s="115"/>
      <c r="AD223" s="115"/>
      <c r="AE223" s="25"/>
      <c r="AF223" s="13"/>
      <c r="AK223" s="116"/>
      <c r="AL223" s="123"/>
      <c r="AM223" s="123"/>
      <c r="AN223" s="123"/>
      <c r="AS223" s="115"/>
      <c r="AT223" s="115"/>
      <c r="AU223" s="115"/>
      <c r="AV223" s="115"/>
      <c r="AW223" s="115"/>
      <c r="AX223" s="115"/>
      <c r="AY223" s="115"/>
      <c r="AZ223" s="115"/>
      <c r="BA223" s="115"/>
      <c r="BB223" s="115"/>
      <c r="BC223" s="25"/>
      <c r="BD223" s="13"/>
      <c r="BG223" s="114"/>
    </row>
    <row r="224" spans="1:59" ht="20.100000000000001" customHeight="1" x14ac:dyDescent="0.4">
      <c r="A224" s="117"/>
      <c r="B224" s="123"/>
      <c r="C224" s="123"/>
      <c r="D224" s="123"/>
      <c r="T224" s="25"/>
      <c r="U224" s="13"/>
      <c r="W224" s="115"/>
      <c r="X224" s="115"/>
      <c r="Y224" s="115"/>
      <c r="Z224" s="115"/>
      <c r="AA224" s="115"/>
      <c r="AB224" s="115"/>
      <c r="AC224" s="115"/>
      <c r="AD224" s="115"/>
      <c r="AE224" s="25">
        <v>45675</v>
      </c>
      <c r="AF224" s="15" t="s">
        <v>147</v>
      </c>
      <c r="AK224" s="116"/>
      <c r="AL224" s="123"/>
      <c r="AM224" s="123"/>
      <c r="AN224" s="123"/>
      <c r="AS224" s="115"/>
      <c r="AT224" s="115"/>
      <c r="AU224" s="115"/>
      <c r="AV224" s="115"/>
      <c r="AW224" s="115"/>
      <c r="AX224" s="115"/>
      <c r="AY224" s="115"/>
      <c r="AZ224" s="115"/>
      <c r="BA224" s="115"/>
      <c r="BB224" s="115"/>
      <c r="BC224" s="25"/>
      <c r="BD224" s="13"/>
      <c r="BG224" s="114"/>
    </row>
    <row r="225" spans="1:59" ht="20.100000000000001" customHeight="1" x14ac:dyDescent="0.4">
      <c r="A225" s="117"/>
      <c r="B225" s="123"/>
      <c r="C225" s="123"/>
      <c r="D225" s="123"/>
      <c r="T225" s="26"/>
      <c r="U225" s="13"/>
      <c r="W225" s="115"/>
      <c r="X225" s="115"/>
      <c r="Y225" s="115"/>
      <c r="Z225" s="115"/>
      <c r="AA225" s="115"/>
      <c r="AB225" s="115"/>
      <c r="AC225" s="115"/>
      <c r="AD225" s="115"/>
      <c r="AE225" s="25"/>
      <c r="AF225" s="13"/>
      <c r="AK225" s="116"/>
      <c r="AL225" s="123"/>
      <c r="AM225" s="123"/>
      <c r="AN225" s="123"/>
      <c r="AS225" s="115"/>
      <c r="AT225" s="115"/>
      <c r="AU225" s="115"/>
      <c r="AV225" s="115"/>
      <c r="AW225" s="115"/>
      <c r="AX225" s="115"/>
      <c r="AY225" s="115"/>
      <c r="AZ225" s="115"/>
      <c r="BA225" s="115"/>
      <c r="BB225" s="115"/>
      <c r="BC225" s="25"/>
      <c r="BD225" s="13"/>
      <c r="BG225" s="114"/>
    </row>
    <row r="226" spans="1:59" ht="20.100000000000001" customHeight="1" x14ac:dyDescent="0.4">
      <c r="A226" s="117"/>
      <c r="B226" s="123"/>
      <c r="C226" s="123"/>
      <c r="D226" s="123"/>
      <c r="T226" s="26"/>
      <c r="U226" s="13"/>
      <c r="W226" s="115"/>
      <c r="X226" s="115"/>
      <c r="Y226" s="115"/>
      <c r="Z226" s="115"/>
      <c r="AA226" s="115"/>
      <c r="AB226" s="115"/>
      <c r="AC226" s="115"/>
      <c r="AD226" s="115"/>
      <c r="AE226" s="25">
        <v>45675</v>
      </c>
      <c r="AF226" s="13" t="s">
        <v>147</v>
      </c>
      <c r="AK226" s="116"/>
      <c r="AL226" s="123"/>
      <c r="AM226" s="123"/>
      <c r="AN226" s="123"/>
      <c r="AS226" s="115"/>
      <c r="AT226" s="115"/>
      <c r="AU226" s="115"/>
      <c r="AV226" s="115"/>
      <c r="AW226" s="115"/>
      <c r="AX226" s="115"/>
      <c r="AY226" s="115"/>
      <c r="AZ226" s="115"/>
      <c r="BA226" s="115"/>
      <c r="BB226" s="115"/>
      <c r="BC226" s="25"/>
      <c r="BD226" s="13"/>
      <c r="BG226" s="114"/>
    </row>
    <row r="227" spans="1:59" ht="20.100000000000001" customHeight="1" x14ac:dyDescent="0.4">
      <c r="A227" s="117"/>
      <c r="B227" s="123"/>
      <c r="C227" s="123"/>
      <c r="D227" s="123"/>
      <c r="K227" s="115"/>
      <c r="L227" s="115"/>
      <c r="M227" s="115"/>
      <c r="N227" s="115"/>
      <c r="O227" s="115"/>
      <c r="P227" s="115"/>
      <c r="Q227" s="115"/>
      <c r="R227" s="115"/>
      <c r="S227" s="115"/>
      <c r="T227" s="26"/>
      <c r="U227" s="13"/>
      <c r="W227" s="115"/>
      <c r="X227" s="115"/>
      <c r="Y227" s="115"/>
      <c r="Z227" s="115"/>
      <c r="AA227" s="115"/>
      <c r="AB227" s="115"/>
      <c r="AC227" s="115"/>
      <c r="AD227" s="115"/>
      <c r="AE227" s="25"/>
      <c r="AF227" s="13"/>
      <c r="AK227" s="116"/>
      <c r="AL227" s="123"/>
      <c r="AM227" s="123"/>
      <c r="AN227" s="123"/>
      <c r="AS227" s="115"/>
      <c r="AT227" s="115"/>
      <c r="AU227" s="115"/>
      <c r="AV227" s="115"/>
      <c r="AW227" s="115"/>
      <c r="AX227" s="115"/>
      <c r="AY227" s="115"/>
      <c r="AZ227" s="115"/>
      <c r="BA227" s="115"/>
      <c r="BB227" s="115"/>
      <c r="BC227" s="25"/>
      <c r="BD227" s="13"/>
      <c r="BG227" s="114"/>
    </row>
    <row r="228" spans="1:59" ht="20.100000000000001" customHeight="1" x14ac:dyDescent="0.4">
      <c r="A228" s="117"/>
      <c r="B228" s="123"/>
      <c r="C228" s="123"/>
      <c r="D228" s="123"/>
      <c r="T228" s="26"/>
      <c r="U228" s="13"/>
      <c r="W228" s="115"/>
      <c r="X228" s="115"/>
      <c r="Y228" s="115"/>
      <c r="Z228" s="115"/>
      <c r="AA228" s="115"/>
      <c r="AB228" s="115"/>
      <c r="AC228" s="115"/>
      <c r="AD228" s="115"/>
      <c r="AE228" s="25"/>
      <c r="AF228" s="13"/>
      <c r="AK228" s="116"/>
      <c r="AL228" s="123"/>
      <c r="AM228" s="123"/>
      <c r="AN228" s="123"/>
      <c r="AS228" s="115"/>
      <c r="AT228" s="115"/>
      <c r="AU228" s="115"/>
      <c r="AV228" s="115"/>
      <c r="AW228" s="115"/>
      <c r="AX228" s="115"/>
      <c r="AY228" s="115"/>
      <c r="AZ228" s="115"/>
      <c r="BA228" s="115"/>
      <c r="BB228" s="115"/>
      <c r="BC228" s="25"/>
      <c r="BD228" s="13"/>
      <c r="BG228" s="114"/>
    </row>
    <row r="229" spans="1:59" ht="20.100000000000001" customHeight="1" x14ac:dyDescent="0.4">
      <c r="A229" s="117"/>
      <c r="B229" s="123"/>
      <c r="C229" s="123"/>
      <c r="D229" s="123"/>
      <c r="M229" s="115"/>
      <c r="N229" s="115"/>
      <c r="O229" s="115"/>
      <c r="P229" s="115"/>
      <c r="Q229" s="115"/>
      <c r="R229" s="115"/>
      <c r="S229" s="115"/>
      <c r="T229" s="26"/>
      <c r="U229" s="13"/>
      <c r="W229" s="115"/>
      <c r="X229" s="115"/>
      <c r="Y229" s="115"/>
      <c r="Z229" s="115"/>
      <c r="AA229" s="115"/>
      <c r="AB229" s="115"/>
      <c r="AC229" s="115"/>
      <c r="AD229" s="115"/>
      <c r="AE229" s="25"/>
      <c r="AF229" s="13"/>
      <c r="AK229" s="116"/>
      <c r="AL229" s="123"/>
      <c r="AM229" s="123"/>
      <c r="AN229" s="123"/>
      <c r="AS229" s="115"/>
      <c r="AT229" s="115"/>
      <c r="AU229" s="115"/>
      <c r="AV229" s="115"/>
      <c r="AW229" s="115"/>
      <c r="AX229" s="115"/>
      <c r="AY229" s="115"/>
      <c r="AZ229" s="115"/>
      <c r="BA229" s="115"/>
      <c r="BB229" s="115"/>
      <c r="BC229" s="25"/>
      <c r="BD229" s="13"/>
      <c r="BG229" s="114"/>
    </row>
    <row r="230" spans="1:59" ht="20.100000000000001" customHeight="1" x14ac:dyDescent="0.4">
      <c r="A230" s="117"/>
      <c r="B230" s="123"/>
      <c r="C230" s="123"/>
      <c r="D230" s="123"/>
      <c r="M230" s="115"/>
      <c r="N230" s="115"/>
      <c r="O230" s="115"/>
      <c r="P230" s="115"/>
      <c r="Q230" s="115"/>
      <c r="R230" s="115"/>
      <c r="S230" s="115"/>
      <c r="T230" s="17"/>
      <c r="U230" s="13"/>
      <c r="W230" s="115"/>
      <c r="X230" s="115"/>
      <c r="Y230" s="115"/>
      <c r="Z230" s="115"/>
      <c r="AA230" s="115"/>
      <c r="AB230" s="115"/>
      <c r="AC230" s="115"/>
      <c r="AD230" s="115"/>
      <c r="AE230" s="25"/>
      <c r="AF230" s="13"/>
      <c r="AK230" s="116"/>
      <c r="AL230" s="123"/>
      <c r="AM230" s="123"/>
      <c r="AN230" s="123"/>
      <c r="AS230" s="115"/>
      <c r="AT230" s="115"/>
      <c r="AU230" s="115"/>
      <c r="AV230" s="115"/>
      <c r="AW230" s="115"/>
      <c r="AX230" s="115"/>
      <c r="AY230" s="115"/>
      <c r="AZ230" s="115"/>
      <c r="BA230" s="115"/>
      <c r="BB230" s="115"/>
      <c r="BC230" s="25"/>
      <c r="BD230" s="13"/>
      <c r="BG230" s="114"/>
    </row>
    <row r="231" spans="1:59" ht="20.100000000000001" customHeight="1" x14ac:dyDescent="0.4">
      <c r="A231" s="117"/>
      <c r="B231" s="123"/>
      <c r="C231" s="123"/>
      <c r="D231" s="123"/>
      <c r="L231" s="115"/>
      <c r="M231" s="115"/>
      <c r="N231" s="115"/>
      <c r="O231" s="115"/>
      <c r="P231" s="115"/>
      <c r="Q231" s="115"/>
      <c r="R231" s="115"/>
      <c r="S231" s="115"/>
      <c r="T231" s="26"/>
      <c r="U231" s="25"/>
      <c r="W231" s="115"/>
      <c r="X231" s="115"/>
      <c r="Y231" s="115"/>
      <c r="Z231" s="115"/>
      <c r="AA231" s="115"/>
      <c r="AB231" s="115"/>
      <c r="AC231" s="115"/>
      <c r="AD231" s="115"/>
      <c r="AE231" s="25"/>
      <c r="AF231" s="13"/>
      <c r="AK231" s="116"/>
      <c r="AL231" s="123"/>
      <c r="AM231" s="123"/>
      <c r="AN231" s="123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115"/>
      <c r="BC231" s="25"/>
      <c r="BD231" s="13"/>
      <c r="BG231" s="114"/>
    </row>
    <row r="232" spans="1:59" ht="20.100000000000001" customHeight="1" x14ac:dyDescent="0.4">
      <c r="A232" s="117"/>
      <c r="B232" s="123"/>
      <c r="C232" s="123"/>
      <c r="D232" s="123"/>
      <c r="T232" s="26"/>
      <c r="U232" s="25"/>
      <c r="W232" s="115"/>
      <c r="X232" s="115"/>
      <c r="Y232" s="115"/>
      <c r="Z232" s="115"/>
      <c r="AA232" s="115"/>
      <c r="AB232" s="115"/>
      <c r="AC232" s="115"/>
      <c r="AD232" s="115"/>
      <c r="AE232" s="25"/>
      <c r="AF232" s="13"/>
      <c r="AK232" s="116"/>
      <c r="AL232" s="123"/>
      <c r="AM232" s="123"/>
      <c r="AN232" s="123"/>
      <c r="AS232" s="115"/>
      <c r="AT232" s="115"/>
      <c r="AU232" s="115"/>
      <c r="AV232" s="115"/>
      <c r="AW232" s="115"/>
      <c r="AX232" s="115"/>
      <c r="AY232" s="115"/>
      <c r="AZ232" s="115"/>
      <c r="BA232" s="115"/>
      <c r="BB232" s="115"/>
      <c r="BC232" s="25"/>
      <c r="BD232" s="13"/>
      <c r="BG232" s="114"/>
    </row>
    <row r="233" spans="1:59" ht="20.100000000000001" customHeight="1" x14ac:dyDescent="0.4">
      <c r="A233" s="117"/>
      <c r="B233" s="123"/>
      <c r="C233" s="123"/>
      <c r="D233" s="123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26"/>
      <c r="U233" s="25"/>
      <c r="W233" s="115"/>
      <c r="X233" s="115"/>
      <c r="Y233" s="115"/>
      <c r="Z233" s="115"/>
      <c r="AA233" s="115"/>
      <c r="AB233" s="115"/>
      <c r="AC233" s="115"/>
      <c r="AD233" s="115"/>
      <c r="AE233" s="25"/>
      <c r="AF233" s="13"/>
      <c r="AK233" s="116"/>
      <c r="AL233" s="123"/>
      <c r="AM233" s="123"/>
      <c r="AN233" s="123"/>
      <c r="AS233" s="115"/>
      <c r="AT233" s="115"/>
      <c r="AU233" s="115"/>
      <c r="AV233" s="115"/>
      <c r="AW233" s="115"/>
      <c r="AX233" s="115"/>
      <c r="AY233" s="115"/>
      <c r="AZ233" s="115"/>
      <c r="BA233" s="115"/>
      <c r="BB233" s="115"/>
      <c r="BC233" s="25"/>
      <c r="BD233" s="13"/>
      <c r="BG233" s="114"/>
    </row>
    <row r="234" spans="1:59" ht="20.100000000000001" customHeight="1" x14ac:dyDescent="0.4">
      <c r="A234" s="117"/>
      <c r="B234" s="123"/>
      <c r="C234" s="123"/>
      <c r="D234" s="123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26"/>
      <c r="U234" s="13"/>
      <c r="W234" s="115"/>
      <c r="X234" s="115"/>
      <c r="Y234" s="115"/>
      <c r="Z234" s="115"/>
      <c r="AA234" s="115"/>
      <c r="AB234" s="115"/>
      <c r="AC234" s="115"/>
      <c r="AD234" s="115"/>
      <c r="AE234" s="25"/>
      <c r="AF234" s="13"/>
      <c r="AK234" s="116"/>
      <c r="AL234" s="123"/>
      <c r="AM234" s="123"/>
      <c r="AN234" s="123"/>
      <c r="AS234" s="115"/>
      <c r="AT234" s="115"/>
      <c r="AU234" s="115"/>
      <c r="AV234" s="115"/>
      <c r="AW234" s="115"/>
      <c r="AX234" s="115"/>
      <c r="AY234" s="115"/>
      <c r="AZ234" s="115"/>
      <c r="BA234" s="115"/>
      <c r="BB234" s="115"/>
      <c r="BC234" s="25"/>
      <c r="BD234" s="13"/>
      <c r="BG234" s="114"/>
    </row>
    <row r="235" spans="1:59" ht="20.100000000000001" customHeight="1" x14ac:dyDescent="0.4">
      <c r="A235" s="117"/>
      <c r="B235" s="123"/>
      <c r="C235" s="123"/>
      <c r="D235" s="123"/>
      <c r="T235" s="26"/>
      <c r="U235" s="13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5">
        <v>45675</v>
      </c>
      <c r="AF235" s="13" t="s">
        <v>146</v>
      </c>
      <c r="AK235" s="116"/>
      <c r="AL235" s="123"/>
      <c r="AM235" s="123"/>
      <c r="AN235" s="123"/>
      <c r="AS235" s="115"/>
      <c r="AT235" s="115"/>
      <c r="AU235" s="115"/>
      <c r="AV235" s="115"/>
      <c r="AW235" s="115"/>
      <c r="AX235" s="115"/>
      <c r="AY235" s="115"/>
      <c r="AZ235" s="115"/>
      <c r="BA235" s="115"/>
      <c r="BB235" s="115"/>
      <c r="BC235" s="25"/>
      <c r="BD235" s="13"/>
      <c r="BG235" s="114"/>
    </row>
    <row r="236" spans="1:59" ht="20.100000000000001" customHeight="1" x14ac:dyDescent="0.4">
      <c r="A236" s="117"/>
      <c r="B236" s="123"/>
      <c r="C236" s="123"/>
      <c r="D236" s="123"/>
      <c r="O236" s="115"/>
      <c r="P236" s="115"/>
      <c r="Q236" s="115"/>
      <c r="R236" s="115"/>
      <c r="S236" s="115"/>
      <c r="T236" s="17"/>
      <c r="U236" s="13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25"/>
      <c r="AF236" s="13"/>
      <c r="AK236" s="116"/>
      <c r="AL236" s="123"/>
      <c r="AM236" s="123"/>
      <c r="AN236" s="123"/>
      <c r="AS236" s="115"/>
      <c r="AT236" s="115"/>
      <c r="AU236" s="115"/>
      <c r="AV236" s="115"/>
      <c r="AW236" s="115"/>
      <c r="AX236" s="115"/>
      <c r="AY236" s="115"/>
      <c r="AZ236" s="115"/>
      <c r="BA236" s="115"/>
      <c r="BB236" s="115"/>
      <c r="BC236" s="25"/>
      <c r="BD236" s="13"/>
      <c r="BG236" s="114"/>
    </row>
    <row r="237" spans="1:59" ht="20.100000000000001" customHeight="1" x14ac:dyDescent="0.4">
      <c r="A237" s="117"/>
      <c r="B237" s="123"/>
      <c r="C237" s="123"/>
      <c r="D237" s="123"/>
      <c r="T237" s="26"/>
      <c r="U237" s="13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25">
        <v>45676</v>
      </c>
      <c r="AF237" s="13" t="s">
        <v>148</v>
      </c>
      <c r="AK237" s="116"/>
      <c r="AL237" s="123"/>
      <c r="AM237" s="123"/>
      <c r="AN237" s="123"/>
      <c r="AS237" s="115"/>
      <c r="AT237" s="115"/>
      <c r="AU237" s="115"/>
      <c r="AV237" s="115"/>
      <c r="AW237" s="115"/>
      <c r="AX237" s="115"/>
      <c r="AY237" s="115"/>
      <c r="AZ237" s="115"/>
      <c r="BA237" s="115"/>
      <c r="BB237" s="115"/>
      <c r="BC237" s="25"/>
      <c r="BD237" s="13"/>
      <c r="BG237" s="114"/>
    </row>
    <row r="238" spans="1:59" ht="20.100000000000001" customHeight="1" x14ac:dyDescent="0.4">
      <c r="A238" s="117"/>
      <c r="B238" s="123"/>
      <c r="C238" s="123"/>
      <c r="D238" s="123"/>
      <c r="O238" s="115"/>
      <c r="P238" s="115"/>
      <c r="Q238" s="115"/>
      <c r="R238" s="115"/>
      <c r="S238" s="115"/>
      <c r="T238" s="17"/>
      <c r="U238" s="13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25"/>
      <c r="AF238" s="13"/>
      <c r="AK238" s="116"/>
      <c r="AL238" s="123"/>
      <c r="AM238" s="123"/>
      <c r="AN238" s="123"/>
      <c r="AS238" s="115"/>
      <c r="AT238" s="115"/>
      <c r="AU238" s="115"/>
      <c r="AV238" s="115"/>
      <c r="AW238" s="115"/>
      <c r="AX238" s="115"/>
      <c r="AY238" s="115"/>
      <c r="AZ238" s="115"/>
      <c r="BA238" s="115"/>
      <c r="BB238" s="115"/>
      <c r="BC238" s="25"/>
      <c r="BD238" s="13"/>
      <c r="BG238" s="114"/>
    </row>
    <row r="239" spans="1:59" ht="20.100000000000001" customHeight="1" x14ac:dyDescent="0.4">
      <c r="A239" s="117"/>
      <c r="B239" s="123"/>
      <c r="C239" s="123"/>
      <c r="D239" s="123"/>
      <c r="N239" s="115"/>
      <c r="O239" s="115"/>
      <c r="P239" s="115"/>
      <c r="Q239" s="115"/>
      <c r="R239" s="115"/>
      <c r="S239" s="115"/>
      <c r="T239" s="26"/>
      <c r="U239" s="13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25"/>
      <c r="AF239" s="13"/>
      <c r="AK239" s="116"/>
      <c r="AL239" s="123"/>
      <c r="AM239" s="123"/>
      <c r="AN239" s="123"/>
      <c r="AS239" s="115"/>
      <c r="AT239" s="115"/>
      <c r="AU239" s="115"/>
      <c r="AV239" s="115"/>
      <c r="AW239" s="115"/>
      <c r="AX239" s="115"/>
      <c r="AY239" s="115"/>
      <c r="AZ239" s="115"/>
      <c r="BA239" s="115"/>
      <c r="BB239" s="115"/>
      <c r="BC239" s="25"/>
      <c r="BD239" s="13"/>
      <c r="BG239" s="114"/>
    </row>
    <row r="240" spans="1:59" ht="20.100000000000001" customHeight="1" x14ac:dyDescent="0.4">
      <c r="A240" s="117"/>
      <c r="B240" s="123"/>
      <c r="C240" s="123"/>
      <c r="D240" s="123"/>
      <c r="N240" s="115"/>
      <c r="O240" s="115"/>
      <c r="P240" s="115"/>
      <c r="Q240" s="115"/>
      <c r="R240" s="115"/>
      <c r="S240" s="115"/>
      <c r="T240" s="17"/>
      <c r="U240" s="13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25"/>
      <c r="AF240" s="13"/>
      <c r="AK240" s="116"/>
      <c r="AL240" s="123"/>
      <c r="AM240" s="123"/>
      <c r="AN240" s="123"/>
      <c r="AS240" s="115"/>
      <c r="AT240" s="115"/>
      <c r="AU240" s="115"/>
      <c r="AV240" s="115"/>
      <c r="AW240" s="115"/>
      <c r="AX240" s="115"/>
      <c r="AY240" s="115"/>
      <c r="AZ240" s="115"/>
      <c r="BA240" s="115"/>
      <c r="BB240" s="115"/>
      <c r="BC240" s="25"/>
      <c r="BD240" s="13"/>
      <c r="BG240" s="114"/>
    </row>
    <row r="241" spans="1:59" ht="20.100000000000001" customHeight="1" x14ac:dyDescent="0.4">
      <c r="A241" s="117"/>
      <c r="B241" s="123"/>
      <c r="C241" s="123"/>
      <c r="D241" s="123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26"/>
      <c r="U241" s="13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25"/>
      <c r="AF241" s="13"/>
      <c r="AK241" s="116"/>
      <c r="AL241" s="123"/>
      <c r="AM241" s="123"/>
      <c r="AN241" s="123"/>
      <c r="AS241" s="115"/>
      <c r="AT241" s="115"/>
      <c r="AU241" s="115"/>
      <c r="AV241" s="115"/>
      <c r="AW241" s="115"/>
      <c r="AX241" s="115"/>
      <c r="AY241" s="115"/>
      <c r="AZ241" s="115"/>
      <c r="BA241" s="115"/>
      <c r="BB241" s="115"/>
      <c r="BC241" s="25"/>
      <c r="BD241" s="13"/>
      <c r="BG241" s="114"/>
    </row>
    <row r="242" spans="1:59" ht="20.100000000000001" customHeight="1" x14ac:dyDescent="0.4">
      <c r="A242" s="117"/>
      <c r="B242" s="123"/>
      <c r="C242" s="123"/>
      <c r="D242" s="123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26"/>
      <c r="U242" s="13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25"/>
      <c r="AF242" s="13"/>
      <c r="AK242" s="116"/>
      <c r="AL242" s="123"/>
      <c r="AM242" s="123"/>
      <c r="AN242" s="123"/>
      <c r="AS242" s="115"/>
      <c r="AT242" s="115"/>
      <c r="AU242" s="115"/>
      <c r="AV242" s="115"/>
      <c r="AW242" s="115"/>
      <c r="AX242" s="115"/>
      <c r="AY242" s="115"/>
      <c r="AZ242" s="115"/>
      <c r="BA242" s="115"/>
      <c r="BB242" s="115"/>
      <c r="BC242" s="25"/>
      <c r="BD242" s="13"/>
      <c r="BG242" s="114"/>
    </row>
    <row r="243" spans="1:59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26"/>
      <c r="U243" s="13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25"/>
      <c r="AF243" s="13"/>
      <c r="AK243" s="116"/>
      <c r="AL243" s="123"/>
      <c r="AM243" s="123"/>
      <c r="AN243" s="123"/>
      <c r="AS243" s="115"/>
      <c r="AT243" s="115"/>
      <c r="AU243" s="115"/>
      <c r="AV243" s="115"/>
      <c r="AW243" s="115"/>
      <c r="AX243" s="115"/>
      <c r="AY243" s="115"/>
      <c r="AZ243" s="115"/>
      <c r="BA243" s="115"/>
      <c r="BB243" s="115"/>
      <c r="BC243" s="25"/>
      <c r="BD243" s="13"/>
      <c r="BG243" s="114"/>
    </row>
    <row r="244" spans="1:59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26"/>
      <c r="U244" s="13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25"/>
      <c r="AF244" s="13"/>
      <c r="AK244" s="116"/>
      <c r="AL244" s="123"/>
      <c r="AM244" s="123"/>
      <c r="AN244" s="123"/>
      <c r="AS244" s="115"/>
      <c r="AT244" s="115"/>
      <c r="AU244" s="115"/>
      <c r="AV244" s="115"/>
      <c r="AW244" s="115"/>
      <c r="AX244" s="115"/>
      <c r="AY244" s="115"/>
      <c r="AZ244" s="115"/>
      <c r="BA244" s="115"/>
      <c r="BB244" s="115"/>
      <c r="BC244" s="25"/>
      <c r="BD244" s="13"/>
      <c r="BG244" s="114"/>
    </row>
    <row r="245" spans="1:59" ht="20.100000000000001" customHeight="1" x14ac:dyDescent="0.4">
      <c r="A245" s="117"/>
      <c r="B245" s="123"/>
      <c r="C245" s="123"/>
      <c r="D245" s="123"/>
      <c r="T245" s="26"/>
      <c r="U245" s="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25">
        <v>45677</v>
      </c>
      <c r="AF245" s="13" t="s">
        <v>146</v>
      </c>
      <c r="AK245" s="116"/>
      <c r="AL245" s="123"/>
      <c r="AM245" s="123"/>
      <c r="AN245" s="123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115"/>
      <c r="BC245" s="25"/>
      <c r="BD245" s="13"/>
      <c r="BG245" s="114"/>
    </row>
    <row r="246" spans="1:59" ht="20.100000000000001" customHeight="1" x14ac:dyDescent="0.4">
      <c r="A246" s="117"/>
      <c r="B246" s="123"/>
      <c r="C246" s="123"/>
      <c r="D246" s="123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26"/>
      <c r="U246" s="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25"/>
      <c r="AF246" s="13"/>
      <c r="AK246" s="116"/>
      <c r="AL246" s="123"/>
      <c r="AM246" s="123"/>
      <c r="AN246" s="123"/>
      <c r="AS246" s="115"/>
      <c r="AT246" s="115"/>
      <c r="AU246" s="115"/>
      <c r="AV246" s="115"/>
      <c r="AW246" s="115"/>
      <c r="AX246" s="115"/>
      <c r="AY246" s="115"/>
      <c r="AZ246" s="115"/>
      <c r="BA246" s="115"/>
      <c r="BB246" s="115"/>
      <c r="BC246" s="25"/>
      <c r="BD246" s="13"/>
      <c r="BG246" s="114"/>
    </row>
    <row r="247" spans="1:59" ht="20.100000000000001" customHeight="1" x14ac:dyDescent="0.4">
      <c r="A247" s="117"/>
      <c r="B247" s="123"/>
      <c r="C247" s="123"/>
      <c r="D247" s="123"/>
      <c r="T247" s="26"/>
      <c r="U247" s="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25"/>
      <c r="AF247" s="13"/>
      <c r="AK247" s="116"/>
      <c r="AL247" s="123"/>
      <c r="AM247" s="123"/>
      <c r="AN247" s="123"/>
      <c r="AS247" s="115"/>
      <c r="AT247" s="115"/>
      <c r="AU247" s="115"/>
      <c r="AV247" s="115"/>
      <c r="AW247" s="115"/>
      <c r="AX247" s="115"/>
      <c r="AY247" s="115"/>
      <c r="AZ247" s="115"/>
      <c r="BA247" s="115"/>
      <c r="BB247" s="115"/>
      <c r="BC247" s="25"/>
      <c r="BD247" s="13"/>
      <c r="BG247" s="114"/>
    </row>
    <row r="248" spans="1:59" ht="20.100000000000001" customHeight="1" x14ac:dyDescent="0.4">
      <c r="A248" s="117"/>
      <c r="B248" s="123"/>
      <c r="C248" s="123"/>
      <c r="D248" s="123"/>
      <c r="K248" s="115"/>
      <c r="L248" s="115"/>
      <c r="M248" s="115"/>
      <c r="N248" s="115"/>
      <c r="O248" s="115"/>
      <c r="P248" s="115"/>
      <c r="Q248" s="115"/>
      <c r="R248" s="115"/>
      <c r="S248" s="115"/>
      <c r="T248" s="26"/>
      <c r="U248" s="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25"/>
      <c r="AF248" s="13"/>
      <c r="AK248" s="116"/>
      <c r="AL248" s="123"/>
      <c r="AM248" s="123"/>
      <c r="AN248" s="123"/>
      <c r="AS248" s="115"/>
      <c r="AT248" s="115"/>
      <c r="AU248" s="115"/>
      <c r="AV248" s="115"/>
      <c r="AW248" s="115"/>
      <c r="AX248" s="115"/>
      <c r="AY248" s="115"/>
      <c r="AZ248" s="115"/>
      <c r="BA248" s="115"/>
      <c r="BB248" s="115"/>
      <c r="BC248" s="25"/>
      <c r="BD248" s="13"/>
      <c r="BG248" s="114"/>
    </row>
    <row r="249" spans="1:59" ht="20.100000000000001" customHeight="1" x14ac:dyDescent="0.4">
      <c r="A249" s="117"/>
      <c r="B249" s="123"/>
      <c r="C249" s="123"/>
      <c r="D249" s="123"/>
      <c r="K249" s="115"/>
      <c r="L249" s="115"/>
      <c r="M249" s="115"/>
      <c r="N249" s="115"/>
      <c r="O249" s="115"/>
      <c r="P249" s="115"/>
      <c r="Q249" s="115"/>
      <c r="R249" s="115"/>
      <c r="S249" s="115"/>
      <c r="T249" s="26"/>
      <c r="U249" s="13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25"/>
      <c r="AF249" s="13"/>
      <c r="AK249" s="116"/>
      <c r="AL249" s="123"/>
      <c r="AM249" s="123"/>
      <c r="AN249" s="123"/>
      <c r="AS249" s="115"/>
      <c r="AT249" s="115"/>
      <c r="AU249" s="115"/>
      <c r="AV249" s="115"/>
      <c r="AW249" s="115"/>
      <c r="AX249" s="115"/>
      <c r="AY249" s="115"/>
      <c r="AZ249" s="115"/>
      <c r="BA249" s="115"/>
      <c r="BB249" s="115"/>
      <c r="BC249" s="25"/>
      <c r="BD249" s="13"/>
      <c r="BG249" s="114"/>
    </row>
    <row r="250" spans="1:59" ht="20.100000000000001" customHeight="1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26"/>
      <c r="U250" s="13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25"/>
      <c r="AF250" s="13"/>
      <c r="AK250" s="116"/>
      <c r="AL250" s="123"/>
      <c r="AM250" s="123"/>
      <c r="AN250" s="123"/>
      <c r="AS250" s="115"/>
      <c r="AT250" s="115"/>
      <c r="AU250" s="115"/>
      <c r="AV250" s="115"/>
      <c r="AW250" s="115"/>
      <c r="AX250" s="115"/>
      <c r="AY250" s="115"/>
      <c r="AZ250" s="115"/>
      <c r="BA250" s="115"/>
      <c r="BB250" s="115"/>
      <c r="BC250" s="25"/>
      <c r="BD250" s="13"/>
      <c r="BG250" s="114"/>
    </row>
    <row r="251" spans="1:59" ht="20.100000000000001" customHeight="1" x14ac:dyDescent="0.4">
      <c r="A251" s="117"/>
      <c r="B251" s="123"/>
      <c r="C251" s="123"/>
      <c r="D251" s="123"/>
      <c r="T251" s="26"/>
      <c r="U251" s="13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25">
        <v>45677</v>
      </c>
      <c r="AF251" s="13" t="s">
        <v>146</v>
      </c>
      <c r="AK251" s="116"/>
      <c r="AL251" s="123"/>
      <c r="AM251" s="123"/>
      <c r="AN251" s="123"/>
      <c r="AS251" s="115"/>
      <c r="AT251" s="115"/>
      <c r="AU251" s="115"/>
      <c r="AV251" s="115"/>
      <c r="AW251" s="115"/>
      <c r="AX251" s="115"/>
      <c r="AY251" s="115"/>
      <c r="AZ251" s="115"/>
      <c r="BA251" s="115"/>
      <c r="BB251" s="115"/>
      <c r="BC251" s="25"/>
      <c r="BD251" s="13"/>
      <c r="BG251" s="114"/>
    </row>
    <row r="252" spans="1:59" ht="20.100000000000001" customHeight="1" x14ac:dyDescent="0.4">
      <c r="A252" s="117"/>
      <c r="B252" s="123"/>
      <c r="C252" s="123"/>
      <c r="D252" s="123"/>
      <c r="N252" s="115"/>
      <c r="O252" s="115"/>
      <c r="P252" s="115"/>
      <c r="Q252" s="115"/>
      <c r="R252" s="115"/>
      <c r="S252" s="115"/>
      <c r="T252" s="26"/>
      <c r="U252" s="13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5"/>
      <c r="AF252" s="13"/>
      <c r="AK252" s="116"/>
      <c r="AL252" s="123"/>
      <c r="AM252" s="123"/>
      <c r="AN252" s="123"/>
      <c r="AS252" s="115"/>
      <c r="AT252" s="115"/>
      <c r="AU252" s="115"/>
      <c r="AV252" s="115"/>
      <c r="AW252" s="115"/>
      <c r="AX252" s="115"/>
      <c r="AY252" s="115"/>
      <c r="AZ252" s="115"/>
      <c r="BA252" s="115"/>
      <c r="BB252" s="115"/>
      <c r="BC252" s="25"/>
      <c r="BD252" s="13"/>
      <c r="BG252" s="114"/>
    </row>
    <row r="253" spans="1:59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26"/>
      <c r="U253" s="13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5"/>
      <c r="AF253" s="13"/>
      <c r="AK253" s="116"/>
      <c r="AL253" s="123"/>
      <c r="AM253" s="123"/>
      <c r="AN253" s="123"/>
      <c r="AS253" s="115"/>
      <c r="AT253" s="115"/>
      <c r="AU253" s="115"/>
      <c r="AV253" s="115"/>
      <c r="AW253" s="115"/>
      <c r="AX253" s="115"/>
      <c r="AY253" s="115"/>
      <c r="AZ253" s="115"/>
      <c r="BA253" s="115"/>
      <c r="BB253" s="115"/>
      <c r="BC253" s="25"/>
      <c r="BD253" s="13"/>
      <c r="BG253" s="114"/>
    </row>
    <row r="254" spans="1:59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7"/>
      <c r="U254" s="13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25"/>
      <c r="AF254" s="13"/>
      <c r="AK254" s="116"/>
      <c r="AL254" s="123"/>
      <c r="AM254" s="123"/>
      <c r="AN254" s="123"/>
      <c r="AS254" s="115"/>
      <c r="AT254" s="115"/>
      <c r="AU254" s="115"/>
      <c r="AV254" s="115"/>
      <c r="AW254" s="115"/>
      <c r="AX254" s="115"/>
      <c r="AY254" s="115"/>
      <c r="AZ254" s="115"/>
      <c r="BA254" s="115"/>
      <c r="BB254" s="115"/>
      <c r="BC254" s="25"/>
      <c r="BD254" s="13"/>
      <c r="BG254" s="114"/>
    </row>
    <row r="255" spans="1:59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26"/>
      <c r="U255" s="13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25"/>
      <c r="AF255" s="13"/>
      <c r="AK255" s="116"/>
      <c r="AL255" s="123"/>
      <c r="AM255" s="123"/>
      <c r="AN255" s="123"/>
      <c r="AS255" s="115"/>
      <c r="AT255" s="115"/>
      <c r="AU255" s="115"/>
      <c r="AV255" s="115"/>
      <c r="AW255" s="115"/>
      <c r="AX255" s="115"/>
      <c r="AY255" s="115"/>
      <c r="AZ255" s="115"/>
      <c r="BA255" s="115"/>
      <c r="BB255" s="115"/>
      <c r="BC255" s="25"/>
      <c r="BD255" s="13"/>
      <c r="BG255" s="114"/>
    </row>
    <row r="256" spans="1:59" ht="20.100000000000001" customHeight="1" x14ac:dyDescent="0.4">
      <c r="A256" s="117"/>
      <c r="B256" s="123"/>
      <c r="C256" s="123"/>
      <c r="D256" s="123"/>
      <c r="T256" s="26"/>
      <c r="U256" s="13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25">
        <v>45677</v>
      </c>
      <c r="AF256" s="13" t="s">
        <v>148</v>
      </c>
      <c r="AK256" s="116"/>
      <c r="AL256" s="123"/>
      <c r="AM256" s="123"/>
      <c r="AN256" s="123"/>
      <c r="AS256" s="115"/>
      <c r="AT256" s="115"/>
      <c r="AU256" s="115"/>
      <c r="AV256" s="115"/>
      <c r="AW256" s="115"/>
      <c r="AX256" s="115"/>
      <c r="AY256" s="115"/>
      <c r="AZ256" s="115"/>
      <c r="BA256" s="115"/>
      <c r="BB256" s="115"/>
      <c r="BC256" s="25"/>
      <c r="BD256" s="13"/>
      <c r="BG256" s="114"/>
    </row>
    <row r="257" spans="1:59" ht="19.5" x14ac:dyDescent="0.4">
      <c r="A257" s="117"/>
      <c r="B257" s="123"/>
      <c r="C257" s="123"/>
      <c r="D257" s="123"/>
      <c r="T257" s="26"/>
      <c r="U257" s="13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25"/>
      <c r="AF257" s="13"/>
      <c r="AK257" s="116"/>
      <c r="AL257" s="123"/>
      <c r="AM257" s="123"/>
      <c r="AN257" s="123"/>
      <c r="AS257" s="115"/>
      <c r="AT257" s="115"/>
      <c r="AU257" s="115"/>
      <c r="AV257" s="115"/>
      <c r="AW257" s="115"/>
      <c r="AX257" s="115"/>
      <c r="AY257" s="115"/>
      <c r="AZ257" s="115"/>
      <c r="BA257" s="115"/>
      <c r="BB257" s="115"/>
      <c r="BC257" s="25"/>
      <c r="BD257" s="13"/>
      <c r="BG257" s="114"/>
    </row>
    <row r="258" spans="1:59" ht="19.5" x14ac:dyDescent="0.4">
      <c r="A258" s="117"/>
      <c r="B258" s="123"/>
      <c r="C258" s="123"/>
      <c r="D258" s="123"/>
      <c r="O258" s="115"/>
      <c r="P258" s="115"/>
      <c r="Q258" s="115"/>
      <c r="R258" s="115"/>
      <c r="S258" s="115"/>
      <c r="T258" s="17"/>
      <c r="U258" s="13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25"/>
      <c r="AF258" s="13"/>
      <c r="AK258" s="116"/>
      <c r="AL258" s="123"/>
      <c r="AM258" s="123"/>
      <c r="AN258" s="123"/>
      <c r="AS258" s="115"/>
      <c r="AT258" s="115"/>
      <c r="AU258" s="115"/>
      <c r="AV258" s="115"/>
      <c r="AW258" s="115"/>
      <c r="AX258" s="115"/>
      <c r="AY258" s="115"/>
      <c r="AZ258" s="115"/>
      <c r="BA258" s="115"/>
      <c r="BB258" s="115"/>
      <c r="BC258" s="25"/>
      <c r="BD258" s="13"/>
      <c r="BG258" s="114"/>
    </row>
    <row r="259" spans="1:59" ht="19.5" x14ac:dyDescent="0.4">
      <c r="A259" s="117"/>
      <c r="B259" s="123"/>
      <c r="C259" s="123"/>
      <c r="D259" s="123"/>
      <c r="M259" s="115"/>
      <c r="N259" s="115"/>
      <c r="O259" s="115"/>
      <c r="P259" s="115"/>
      <c r="Q259" s="115"/>
      <c r="R259" s="115"/>
      <c r="S259" s="115"/>
      <c r="T259" s="26"/>
      <c r="U259" s="13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25"/>
      <c r="AF259" s="13"/>
      <c r="AK259" s="116"/>
      <c r="AL259" s="123"/>
      <c r="AM259" s="123"/>
      <c r="AN259" s="123"/>
      <c r="AS259" s="115"/>
      <c r="AT259" s="115"/>
      <c r="AU259" s="115"/>
      <c r="AV259" s="115"/>
      <c r="AW259" s="115"/>
      <c r="AX259" s="115"/>
      <c r="AY259" s="115"/>
      <c r="AZ259" s="115"/>
      <c r="BA259" s="115"/>
      <c r="BB259" s="115"/>
      <c r="BC259" s="25"/>
      <c r="BD259" s="13"/>
      <c r="BG259" s="114"/>
    </row>
    <row r="260" spans="1:59" ht="19.5" x14ac:dyDescent="0.4">
      <c r="A260" s="117"/>
      <c r="B260" s="123"/>
      <c r="C260" s="123"/>
      <c r="D260" s="123"/>
      <c r="M260" s="115"/>
      <c r="N260" s="115"/>
      <c r="O260" s="115"/>
      <c r="P260" s="115"/>
      <c r="Q260" s="115"/>
      <c r="R260" s="115"/>
      <c r="S260" s="115"/>
      <c r="T260" s="17"/>
      <c r="U260" s="13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25"/>
      <c r="AF260" s="13"/>
      <c r="AK260" s="116"/>
      <c r="AL260" s="123"/>
      <c r="AM260" s="123"/>
      <c r="AN260" s="123"/>
      <c r="AS260" s="115"/>
      <c r="AT260" s="115"/>
      <c r="AU260" s="115"/>
      <c r="AV260" s="115"/>
      <c r="AW260" s="115"/>
      <c r="AX260" s="115"/>
      <c r="AY260" s="115"/>
      <c r="AZ260" s="115"/>
      <c r="BA260" s="115"/>
      <c r="BB260" s="115"/>
      <c r="BC260" s="25"/>
      <c r="BD260" s="13"/>
      <c r="BG260" s="114"/>
    </row>
    <row r="261" spans="1:59" ht="19.5" x14ac:dyDescent="0.4">
      <c r="A261" s="117"/>
      <c r="B261" s="123"/>
      <c r="C261" s="123"/>
      <c r="D261" s="123"/>
      <c r="K261" s="115"/>
      <c r="L261" s="115"/>
      <c r="M261" s="115"/>
      <c r="N261" s="115"/>
      <c r="O261" s="115"/>
      <c r="P261" s="115"/>
      <c r="Q261" s="115"/>
      <c r="R261" s="115"/>
      <c r="S261" s="115"/>
      <c r="T261" s="26"/>
      <c r="U261" s="13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25"/>
      <c r="AF261" s="13"/>
      <c r="AK261" s="116"/>
      <c r="AL261" s="123"/>
      <c r="AM261" s="123"/>
      <c r="AN261" s="123"/>
      <c r="AS261" s="115"/>
      <c r="AT261" s="115"/>
      <c r="AU261" s="115"/>
      <c r="AV261" s="115"/>
      <c r="AW261" s="115"/>
      <c r="AX261" s="115"/>
      <c r="AY261" s="115"/>
      <c r="AZ261" s="115"/>
      <c r="BA261" s="115"/>
      <c r="BB261" s="115"/>
      <c r="BC261" s="25"/>
      <c r="BD261" s="13"/>
      <c r="BG261" s="114"/>
    </row>
    <row r="262" spans="1:59" ht="19.5" x14ac:dyDescent="0.4">
      <c r="A262" s="117"/>
      <c r="B262" s="123"/>
      <c r="C262" s="123"/>
      <c r="D262" s="123"/>
      <c r="K262" s="115"/>
      <c r="L262" s="115"/>
      <c r="M262" s="115"/>
      <c r="N262" s="115"/>
      <c r="O262" s="115"/>
      <c r="P262" s="115"/>
      <c r="Q262" s="115"/>
      <c r="R262" s="115"/>
      <c r="S262" s="115"/>
      <c r="T262" s="17"/>
      <c r="U262" s="13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25"/>
      <c r="AF262" s="13"/>
      <c r="AK262" s="116"/>
      <c r="AL262" s="123"/>
      <c r="AM262" s="123"/>
      <c r="AN262" s="123"/>
      <c r="AS262" s="115"/>
      <c r="AT262" s="115"/>
      <c r="AU262" s="115"/>
      <c r="AV262" s="115"/>
      <c r="AW262" s="115"/>
      <c r="AX262" s="115"/>
      <c r="AY262" s="115"/>
      <c r="AZ262" s="115"/>
      <c r="BA262" s="115"/>
      <c r="BB262" s="115"/>
      <c r="BC262" s="25"/>
      <c r="BD262" s="13"/>
      <c r="BG262" s="114"/>
    </row>
    <row r="263" spans="1:59" ht="19.5" x14ac:dyDescent="0.4">
      <c r="A263" s="117"/>
      <c r="B263" s="123"/>
      <c r="C263" s="123"/>
      <c r="D263" s="123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26"/>
      <c r="U263" s="13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25"/>
      <c r="AF263" s="13"/>
      <c r="AK263" s="116"/>
      <c r="AL263" s="123"/>
      <c r="AM263" s="123"/>
      <c r="AN263" s="123"/>
      <c r="AS263" s="115"/>
      <c r="AT263" s="115"/>
      <c r="AU263" s="115"/>
      <c r="AV263" s="115"/>
      <c r="AW263" s="115"/>
      <c r="AX263" s="115"/>
      <c r="AY263" s="115"/>
      <c r="AZ263" s="115"/>
      <c r="BA263" s="115"/>
      <c r="BB263" s="115"/>
      <c r="BC263" s="25"/>
      <c r="BD263" s="13"/>
      <c r="BG263" s="114"/>
    </row>
    <row r="264" spans="1:59" ht="19.5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26"/>
      <c r="U264" s="13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25"/>
      <c r="AF264" s="13"/>
      <c r="AK264" s="116"/>
      <c r="AL264" s="123"/>
      <c r="AM264" s="123"/>
      <c r="AN264" s="123"/>
      <c r="AS264" s="115"/>
      <c r="AT264" s="115"/>
      <c r="AU264" s="115"/>
      <c r="AV264" s="115"/>
      <c r="AW264" s="115"/>
      <c r="AX264" s="115"/>
      <c r="AY264" s="115"/>
      <c r="AZ264" s="115"/>
      <c r="BA264" s="115"/>
      <c r="BB264" s="115"/>
      <c r="BC264" s="25"/>
      <c r="BD264" s="13"/>
      <c r="BG264" s="114"/>
    </row>
    <row r="265" spans="1:59" ht="19.5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26"/>
      <c r="U265" s="13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5"/>
      <c r="AF265" s="13"/>
      <c r="AK265" s="116"/>
      <c r="AL265" s="123"/>
      <c r="AM265" s="123"/>
      <c r="AN265" s="123"/>
      <c r="AS265" s="115"/>
      <c r="AT265" s="115"/>
      <c r="AU265" s="115"/>
      <c r="AV265" s="115"/>
      <c r="AW265" s="115"/>
      <c r="AX265" s="115"/>
      <c r="AY265" s="115"/>
      <c r="AZ265" s="115"/>
      <c r="BA265" s="115"/>
      <c r="BB265" s="115"/>
      <c r="BC265" s="25"/>
      <c r="BD265" s="13"/>
      <c r="BG265" s="114"/>
    </row>
    <row r="266" spans="1:59" ht="19.5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7"/>
      <c r="U266" s="13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25"/>
      <c r="AF266" s="13"/>
      <c r="AK266" s="116"/>
      <c r="AL266" s="123"/>
      <c r="AM266" s="123"/>
      <c r="AN266" s="123"/>
      <c r="AS266" s="115"/>
      <c r="AT266" s="115"/>
      <c r="AU266" s="115"/>
      <c r="AV266" s="115"/>
      <c r="AW266" s="115"/>
      <c r="AX266" s="115"/>
      <c r="AY266" s="115"/>
      <c r="AZ266" s="115"/>
      <c r="BA266" s="115"/>
      <c r="BB266" s="115"/>
      <c r="BC266" s="25"/>
      <c r="BD266" s="13"/>
      <c r="BG266" s="114"/>
    </row>
    <row r="267" spans="1:59" ht="19.5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26"/>
      <c r="U267" s="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25"/>
      <c r="AF267" s="13"/>
      <c r="AK267" s="116"/>
      <c r="AL267" s="123"/>
      <c r="AM267" s="123"/>
      <c r="AN267" s="123"/>
      <c r="AS267" s="115"/>
      <c r="AT267" s="115"/>
      <c r="AU267" s="115"/>
      <c r="AV267" s="115"/>
      <c r="AW267" s="115"/>
      <c r="AX267" s="115"/>
      <c r="AY267" s="115"/>
      <c r="AZ267" s="115"/>
      <c r="BA267" s="115"/>
      <c r="BB267" s="115"/>
      <c r="BC267" s="25"/>
      <c r="BD267" s="13"/>
      <c r="BG267" s="114"/>
    </row>
    <row r="268" spans="1:59" ht="19.5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7"/>
      <c r="U268" s="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25"/>
      <c r="AF268" s="13"/>
      <c r="AK268" s="116"/>
      <c r="AL268" s="123"/>
      <c r="AM268" s="123"/>
      <c r="AN268" s="123"/>
      <c r="AS268" s="115"/>
      <c r="AT268" s="115"/>
      <c r="AU268" s="115"/>
      <c r="AV268" s="115"/>
      <c r="AW268" s="115"/>
      <c r="AX268" s="115"/>
      <c r="AY268" s="115"/>
      <c r="AZ268" s="115"/>
      <c r="BA268" s="115"/>
      <c r="BB268" s="115"/>
      <c r="BC268" s="25"/>
      <c r="BD268" s="13"/>
      <c r="BG268" s="114"/>
    </row>
    <row r="269" spans="1:59" ht="19.5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26"/>
      <c r="U269" s="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25"/>
      <c r="AF269" s="13"/>
      <c r="AK269" s="116"/>
      <c r="AL269" s="123"/>
      <c r="AM269" s="123"/>
      <c r="AN269" s="123"/>
      <c r="AS269" s="115"/>
      <c r="AT269" s="115"/>
      <c r="AU269" s="115"/>
      <c r="AV269" s="115"/>
      <c r="AW269" s="115"/>
      <c r="AX269" s="115"/>
      <c r="AY269" s="115"/>
      <c r="AZ269" s="115"/>
      <c r="BA269" s="115"/>
      <c r="BB269" s="115"/>
      <c r="BC269" s="25"/>
      <c r="BD269" s="13"/>
      <c r="BG269" s="114"/>
    </row>
    <row r="270" spans="1:59" ht="19.5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7"/>
      <c r="U270" s="13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25"/>
      <c r="AF270" s="13"/>
      <c r="AK270" s="116"/>
      <c r="AL270" s="123"/>
      <c r="AM270" s="123"/>
      <c r="AN270" s="123"/>
      <c r="AS270" s="115"/>
      <c r="AT270" s="115"/>
      <c r="AU270" s="115"/>
      <c r="AV270" s="115"/>
      <c r="AW270" s="115"/>
      <c r="AX270" s="115"/>
      <c r="AY270" s="115"/>
      <c r="AZ270" s="115"/>
      <c r="BA270" s="115"/>
      <c r="BB270" s="115"/>
      <c r="BC270" s="25"/>
      <c r="BD270" s="13"/>
      <c r="BG270" s="114"/>
    </row>
    <row r="271" spans="1:59" ht="19.5" x14ac:dyDescent="0.4">
      <c r="A271" s="117"/>
      <c r="B271" s="123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7"/>
      <c r="U271" s="13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25"/>
      <c r="AF271" s="13"/>
      <c r="AK271" s="116"/>
      <c r="AL271" s="123"/>
      <c r="AM271" s="123"/>
      <c r="AN271" s="123"/>
      <c r="AS271" s="115"/>
      <c r="AT271" s="115"/>
      <c r="AU271" s="115"/>
      <c r="AV271" s="115"/>
      <c r="AW271" s="115"/>
      <c r="AX271" s="115"/>
      <c r="AY271" s="115"/>
      <c r="AZ271" s="115"/>
      <c r="BA271" s="115"/>
      <c r="BB271" s="115"/>
      <c r="BC271" s="25"/>
      <c r="BD271" s="13"/>
      <c r="BG271" s="114"/>
    </row>
    <row r="272" spans="1:59" ht="19.5" x14ac:dyDescent="0.4">
      <c r="A272" s="117"/>
      <c r="B272" s="123"/>
      <c r="C272" s="123"/>
      <c r="D272" s="123"/>
      <c r="T272" s="26"/>
      <c r="U272" s="13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25">
        <v>45677</v>
      </c>
      <c r="AF272" s="13" t="s">
        <v>146</v>
      </c>
      <c r="AK272" s="116"/>
      <c r="AL272" s="123"/>
      <c r="AM272" s="123"/>
      <c r="AN272" s="123"/>
      <c r="AS272" s="115"/>
      <c r="AT272" s="115"/>
      <c r="AU272" s="115"/>
      <c r="AV272" s="115"/>
      <c r="AW272" s="115"/>
      <c r="AX272" s="115"/>
      <c r="AY272" s="115"/>
      <c r="AZ272" s="115"/>
      <c r="BA272" s="115"/>
      <c r="BB272" s="115"/>
      <c r="BC272" s="25"/>
      <c r="BD272" s="13"/>
      <c r="BG272" s="114"/>
    </row>
    <row r="273" spans="1:59" ht="19.5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26"/>
      <c r="U273" s="13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25"/>
      <c r="AF273" s="13"/>
      <c r="AK273" s="116"/>
      <c r="AL273" s="123"/>
      <c r="AM273" s="123"/>
      <c r="AN273" s="123"/>
      <c r="AS273" s="115"/>
      <c r="AT273" s="115"/>
      <c r="AU273" s="115"/>
      <c r="AV273" s="115"/>
      <c r="AW273" s="115"/>
      <c r="AX273" s="115"/>
      <c r="AY273" s="115"/>
      <c r="AZ273" s="115"/>
      <c r="BA273" s="115"/>
      <c r="BB273" s="115"/>
      <c r="BC273" s="25"/>
      <c r="BD273" s="13"/>
      <c r="BG273" s="114"/>
    </row>
    <row r="274" spans="1:59" ht="19.5" x14ac:dyDescent="0.4">
      <c r="A274" s="117"/>
      <c r="B274" s="123"/>
      <c r="C274" s="123"/>
      <c r="D274" s="123"/>
      <c r="T274" s="26"/>
      <c r="U274" s="13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25"/>
      <c r="AF274" s="13"/>
      <c r="AK274" s="116"/>
      <c r="AL274" s="123"/>
      <c r="AM274" s="123"/>
      <c r="AN274" s="123"/>
      <c r="AS274" s="115"/>
      <c r="AT274" s="115"/>
      <c r="AU274" s="115"/>
      <c r="AV274" s="115"/>
      <c r="AW274" s="115"/>
      <c r="AX274" s="115"/>
      <c r="AY274" s="115"/>
      <c r="AZ274" s="115"/>
      <c r="BA274" s="115"/>
      <c r="BB274" s="115"/>
      <c r="BC274" s="25"/>
      <c r="BD274" s="13"/>
      <c r="BG274" s="114"/>
    </row>
    <row r="275" spans="1:59" ht="19.5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26"/>
      <c r="U275" s="13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25"/>
      <c r="AF275" s="13"/>
      <c r="AK275" s="116"/>
      <c r="AL275" s="123"/>
      <c r="AM275" s="123"/>
      <c r="AN275" s="123"/>
      <c r="AS275" s="115"/>
      <c r="AT275" s="115"/>
      <c r="AU275" s="115"/>
      <c r="AV275" s="115"/>
      <c r="AW275" s="115"/>
      <c r="AX275" s="115"/>
      <c r="AY275" s="115"/>
      <c r="AZ275" s="115"/>
      <c r="BA275" s="115"/>
      <c r="BB275" s="115"/>
      <c r="BC275" s="25"/>
      <c r="BD275" s="13"/>
      <c r="BG275" s="114"/>
    </row>
    <row r="276" spans="1:59" ht="19.5" x14ac:dyDescent="0.4">
      <c r="A276" s="117"/>
      <c r="B276" s="123"/>
      <c r="C276" s="123"/>
      <c r="D276" s="123"/>
      <c r="K276" s="115"/>
      <c r="L276" s="115"/>
      <c r="M276" s="115"/>
      <c r="N276" s="115"/>
      <c r="O276" s="115"/>
      <c r="P276" s="115"/>
      <c r="Q276" s="115"/>
      <c r="R276" s="115"/>
      <c r="S276" s="115"/>
      <c r="T276" s="26"/>
      <c r="U276" s="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25"/>
      <c r="AF276" s="13"/>
      <c r="AK276" s="116"/>
      <c r="AL276" s="123"/>
      <c r="AM276" s="123"/>
      <c r="AN276" s="123"/>
      <c r="AS276" s="115"/>
      <c r="AT276" s="115"/>
      <c r="AU276" s="115"/>
      <c r="AV276" s="115"/>
      <c r="AW276" s="115"/>
      <c r="AX276" s="115"/>
      <c r="AY276" s="115"/>
      <c r="AZ276" s="115"/>
      <c r="BA276" s="115"/>
      <c r="BB276" s="115"/>
      <c r="BC276" s="25"/>
      <c r="BD276" s="13"/>
      <c r="BG276" s="114"/>
    </row>
    <row r="277" spans="1:59" ht="19.5" x14ac:dyDescent="0.4">
      <c r="A277" s="117"/>
      <c r="B277" s="123"/>
      <c r="C277" s="123"/>
      <c r="D277" s="123"/>
      <c r="T277" s="26"/>
      <c r="U277" s="13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25"/>
      <c r="AF277" s="13"/>
      <c r="AK277" s="116"/>
      <c r="AL277" s="123"/>
      <c r="AM277" s="123"/>
      <c r="AN277" s="123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115"/>
      <c r="BC277" s="25"/>
      <c r="BD277" s="13"/>
      <c r="BG277" s="114"/>
    </row>
    <row r="278" spans="1:59" ht="19.5" x14ac:dyDescent="0.4">
      <c r="A278" s="117"/>
      <c r="B278" s="123"/>
      <c r="C278" s="123"/>
      <c r="D278" s="123"/>
      <c r="M278" s="115"/>
      <c r="N278" s="115"/>
      <c r="O278" s="115"/>
      <c r="P278" s="115"/>
      <c r="Q278" s="115"/>
      <c r="R278" s="115"/>
      <c r="S278" s="115"/>
      <c r="T278" s="26"/>
      <c r="U278" s="13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5"/>
      <c r="AF278" s="13"/>
      <c r="AK278" s="116"/>
      <c r="AL278" s="123"/>
      <c r="AM278" s="123"/>
      <c r="AN278" s="123"/>
      <c r="AS278" s="115"/>
      <c r="AT278" s="115"/>
      <c r="AU278" s="115"/>
      <c r="AV278" s="115"/>
      <c r="AW278" s="115"/>
      <c r="AX278" s="115"/>
      <c r="AY278" s="115"/>
      <c r="AZ278" s="115"/>
      <c r="BA278" s="115"/>
      <c r="BB278" s="115"/>
      <c r="BC278" s="25"/>
      <c r="BD278" s="13"/>
      <c r="BG278" s="114"/>
    </row>
    <row r="279" spans="1:59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26"/>
      <c r="U279" s="13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25"/>
      <c r="AF279" s="13"/>
      <c r="AK279" s="116"/>
      <c r="AL279" s="123"/>
      <c r="AM279" s="123"/>
      <c r="AN279" s="123"/>
      <c r="AS279" s="115"/>
      <c r="AT279" s="115"/>
      <c r="AU279" s="115"/>
      <c r="AV279" s="115"/>
      <c r="AW279" s="115"/>
      <c r="AX279" s="115"/>
      <c r="AY279" s="115"/>
      <c r="AZ279" s="115"/>
      <c r="BA279" s="115"/>
      <c r="BB279" s="115"/>
      <c r="BC279" s="25"/>
      <c r="BD279" s="13"/>
      <c r="BG279" s="114"/>
    </row>
    <row r="280" spans="1:59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26"/>
      <c r="U280" s="13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25"/>
      <c r="AF280" s="13"/>
      <c r="AK280" s="116"/>
      <c r="AL280" s="123"/>
      <c r="AM280" s="123"/>
      <c r="AN280" s="123"/>
      <c r="AS280" s="115"/>
      <c r="AT280" s="115"/>
      <c r="AU280" s="115"/>
      <c r="AV280" s="115"/>
      <c r="AW280" s="115"/>
      <c r="AX280" s="115"/>
      <c r="AY280" s="115"/>
      <c r="AZ280" s="115"/>
      <c r="BA280" s="115"/>
      <c r="BB280" s="115"/>
      <c r="BC280" s="25"/>
      <c r="BD280" s="13"/>
      <c r="BG280" s="114"/>
    </row>
    <row r="281" spans="1:59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7"/>
      <c r="U281" s="13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5"/>
      <c r="AF281" s="13"/>
      <c r="AK281" s="116"/>
      <c r="AL281" s="123"/>
      <c r="AM281" s="123"/>
      <c r="AN281" s="123"/>
      <c r="AS281" s="115"/>
      <c r="AT281" s="115"/>
      <c r="AU281" s="115"/>
      <c r="AV281" s="115"/>
      <c r="AW281" s="115"/>
      <c r="AX281" s="115"/>
      <c r="AY281" s="115"/>
      <c r="AZ281" s="115"/>
      <c r="BA281" s="115"/>
      <c r="BB281" s="115"/>
      <c r="BC281" s="25"/>
      <c r="BD281" s="13"/>
      <c r="BG281" s="114"/>
    </row>
    <row r="282" spans="1:59" ht="19.5" x14ac:dyDescent="0.4">
      <c r="A282" s="117"/>
      <c r="B282" s="123"/>
      <c r="C282" s="123"/>
      <c r="D282" s="123"/>
      <c r="T282" s="26"/>
      <c r="U282" s="13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5">
        <v>45677</v>
      </c>
      <c r="AF282" s="13" t="s">
        <v>147</v>
      </c>
      <c r="AK282" s="116"/>
      <c r="AL282" s="123"/>
      <c r="AM282" s="123"/>
      <c r="AN282" s="123"/>
      <c r="AS282" s="115"/>
      <c r="AT282" s="115"/>
      <c r="AU282" s="115"/>
      <c r="AV282" s="115"/>
      <c r="AW282" s="115"/>
      <c r="AX282" s="115"/>
      <c r="AY282" s="115"/>
      <c r="AZ282" s="115"/>
      <c r="BA282" s="115"/>
      <c r="BB282" s="115"/>
      <c r="BC282" s="25"/>
      <c r="BD282" s="13"/>
      <c r="BG282" s="114"/>
    </row>
    <row r="283" spans="1:59" ht="19.5" x14ac:dyDescent="0.4">
      <c r="A283" s="117"/>
      <c r="B283" s="123"/>
      <c r="C283" s="123"/>
      <c r="D283" s="123"/>
      <c r="L283" s="115"/>
      <c r="M283" s="115"/>
      <c r="N283" s="115"/>
      <c r="O283" s="115"/>
      <c r="P283" s="115"/>
      <c r="Q283" s="115"/>
      <c r="R283" s="115"/>
      <c r="S283" s="115"/>
      <c r="T283" s="26"/>
      <c r="U283" s="13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25"/>
      <c r="AF283" s="13"/>
      <c r="AK283" s="116"/>
      <c r="AL283" s="123"/>
      <c r="AM283" s="123"/>
      <c r="AN283" s="123"/>
      <c r="AS283" s="115"/>
      <c r="AT283" s="115"/>
      <c r="AU283" s="115"/>
      <c r="AV283" s="115"/>
      <c r="AW283" s="115"/>
      <c r="AX283" s="115"/>
      <c r="AY283" s="115"/>
      <c r="AZ283" s="115"/>
      <c r="BA283" s="115"/>
      <c r="BB283" s="115"/>
      <c r="BC283" s="25"/>
      <c r="BD283" s="13"/>
      <c r="BG283" s="114"/>
    </row>
    <row r="284" spans="1:59" ht="19.5" x14ac:dyDescent="0.4">
      <c r="A284" s="117"/>
      <c r="B284" s="123"/>
      <c r="C284" s="123"/>
      <c r="D284" s="123"/>
      <c r="T284" s="26"/>
      <c r="U284" s="13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25">
        <v>45677</v>
      </c>
      <c r="AF284" s="25" t="s">
        <v>147</v>
      </c>
      <c r="AK284" s="116"/>
      <c r="AL284" s="123"/>
      <c r="AM284" s="123"/>
      <c r="AN284" s="123"/>
      <c r="AS284" s="115"/>
      <c r="AT284" s="115"/>
      <c r="AU284" s="115"/>
      <c r="AV284" s="115"/>
      <c r="AW284" s="115"/>
      <c r="AX284" s="115"/>
      <c r="AY284" s="115"/>
      <c r="AZ284" s="115"/>
      <c r="BA284" s="115"/>
      <c r="BB284" s="115"/>
      <c r="BC284" s="25"/>
      <c r="BD284" s="13"/>
      <c r="BG284" s="114"/>
    </row>
    <row r="285" spans="1:59" ht="19.5" x14ac:dyDescent="0.4">
      <c r="A285" s="117"/>
      <c r="B285" s="123"/>
      <c r="C285" s="123"/>
      <c r="D285" s="123"/>
      <c r="T285" s="26"/>
      <c r="U285" s="13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25"/>
      <c r="AF285" s="25"/>
      <c r="AK285" s="116"/>
      <c r="AL285" s="123"/>
      <c r="AM285" s="123"/>
      <c r="AN285" s="123"/>
      <c r="AS285" s="115"/>
      <c r="AT285" s="115"/>
      <c r="AU285" s="115"/>
      <c r="AV285" s="115"/>
      <c r="AW285" s="115"/>
      <c r="AX285" s="115"/>
      <c r="AY285" s="115"/>
      <c r="AZ285" s="115"/>
      <c r="BA285" s="115"/>
      <c r="BB285" s="115"/>
      <c r="BC285" s="25"/>
      <c r="BD285" s="13"/>
      <c r="BG285" s="114"/>
    </row>
    <row r="286" spans="1:59" ht="19.5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26"/>
      <c r="U286" s="13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25"/>
      <c r="AF286" s="25"/>
      <c r="AK286" s="116"/>
      <c r="AL286" s="123"/>
      <c r="AM286" s="123"/>
      <c r="AN286" s="123"/>
      <c r="AS286" s="115"/>
      <c r="AT286" s="115"/>
      <c r="AU286" s="115"/>
      <c r="AV286" s="115"/>
      <c r="AW286" s="115"/>
      <c r="AX286" s="115"/>
      <c r="AY286" s="115"/>
      <c r="AZ286" s="115"/>
      <c r="BA286" s="115"/>
      <c r="BB286" s="115"/>
      <c r="BC286" s="25"/>
      <c r="BD286" s="13"/>
      <c r="BG286" s="114"/>
    </row>
    <row r="287" spans="1:59" ht="19.5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26"/>
      <c r="U287" s="13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25"/>
      <c r="AF287" s="25"/>
      <c r="AK287" s="116"/>
      <c r="AL287" s="123"/>
      <c r="AM287" s="123"/>
      <c r="AN287" s="123"/>
      <c r="AS287" s="115"/>
      <c r="AT287" s="115"/>
      <c r="AU287" s="115"/>
      <c r="AV287" s="115"/>
      <c r="AW287" s="115"/>
      <c r="AX287" s="115"/>
      <c r="AY287" s="115"/>
      <c r="AZ287" s="115"/>
      <c r="BA287" s="115"/>
      <c r="BB287" s="115"/>
      <c r="BC287" s="25"/>
      <c r="BD287" s="13"/>
      <c r="BG287" s="114"/>
    </row>
    <row r="288" spans="1:59" ht="19.5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26"/>
      <c r="U288" s="13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25"/>
      <c r="AF288" s="25"/>
      <c r="AK288" s="116"/>
      <c r="AL288" s="123"/>
      <c r="AM288" s="123"/>
      <c r="AN288" s="123"/>
      <c r="AS288" s="115"/>
      <c r="AT288" s="115"/>
      <c r="AU288" s="115"/>
      <c r="AV288" s="115"/>
      <c r="AW288" s="115"/>
      <c r="AX288" s="115"/>
      <c r="AY288" s="115"/>
      <c r="AZ288" s="115"/>
      <c r="BA288" s="115"/>
      <c r="BB288" s="115"/>
      <c r="BC288" s="25"/>
      <c r="BD288" s="13"/>
      <c r="BG288" s="114"/>
    </row>
    <row r="289" spans="1:59" ht="19.5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7"/>
      <c r="U289" s="13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5"/>
      <c r="AF289" s="25"/>
      <c r="AK289" s="116"/>
      <c r="AL289" s="123"/>
      <c r="AM289" s="123"/>
      <c r="AN289" s="123"/>
      <c r="AS289" s="115"/>
      <c r="AT289" s="115"/>
      <c r="AU289" s="115"/>
      <c r="AV289" s="115"/>
      <c r="AW289" s="115"/>
      <c r="AX289" s="115"/>
      <c r="AY289" s="115"/>
      <c r="AZ289" s="115"/>
      <c r="BA289" s="115"/>
      <c r="BB289" s="115"/>
      <c r="BC289" s="25"/>
      <c r="BD289" s="13"/>
      <c r="BG289" s="114"/>
    </row>
    <row r="290" spans="1:59" ht="19.5" x14ac:dyDescent="0.4">
      <c r="A290" s="117"/>
      <c r="B290" s="123"/>
      <c r="C290" s="123"/>
      <c r="D290" s="123"/>
      <c r="T290" s="26"/>
      <c r="U290" s="13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25">
        <v>45678</v>
      </c>
      <c r="AF290" s="13" t="s">
        <v>147</v>
      </c>
      <c r="AK290" s="116"/>
      <c r="AL290" s="123"/>
      <c r="AM290" s="123"/>
      <c r="AN290" s="123"/>
      <c r="AS290" s="115"/>
      <c r="AT290" s="115"/>
      <c r="AU290" s="115"/>
      <c r="AV290" s="115"/>
      <c r="AW290" s="115"/>
      <c r="AX290" s="115"/>
      <c r="AY290" s="115"/>
      <c r="AZ290" s="115"/>
      <c r="BA290" s="115"/>
      <c r="BB290" s="115"/>
      <c r="BC290" s="25"/>
      <c r="BD290" s="13"/>
      <c r="BG290" s="114"/>
    </row>
    <row r="291" spans="1:59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26"/>
      <c r="U291" s="13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5"/>
      <c r="AF291" s="13"/>
      <c r="AK291" s="116"/>
      <c r="AL291" s="123"/>
      <c r="AM291" s="123"/>
      <c r="AN291" s="123"/>
      <c r="AS291" s="115"/>
      <c r="AT291" s="115"/>
      <c r="AU291" s="115"/>
      <c r="AV291" s="115"/>
      <c r="AW291" s="115"/>
      <c r="AX291" s="115"/>
      <c r="AY291" s="115"/>
      <c r="AZ291" s="115"/>
      <c r="BA291" s="115"/>
      <c r="BB291" s="115"/>
      <c r="BC291" s="25"/>
      <c r="BD291" s="13"/>
      <c r="BG291" s="114"/>
    </row>
    <row r="292" spans="1:59" ht="19.5" x14ac:dyDescent="0.4">
      <c r="A292" s="117"/>
      <c r="B292" s="123"/>
      <c r="C292" s="123"/>
      <c r="D292" s="123"/>
      <c r="T292" s="26"/>
      <c r="U292" s="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25">
        <v>45678</v>
      </c>
      <c r="AF292" s="13" t="s">
        <v>146</v>
      </c>
      <c r="AK292" s="116"/>
      <c r="AL292" s="123"/>
      <c r="AM292" s="123"/>
      <c r="AN292" s="123"/>
      <c r="AS292" s="115"/>
      <c r="AT292" s="115"/>
      <c r="AU292" s="115"/>
      <c r="AV292" s="115"/>
      <c r="AW292" s="115"/>
      <c r="AX292" s="115"/>
      <c r="AY292" s="115"/>
      <c r="AZ292" s="115"/>
      <c r="BA292" s="115"/>
      <c r="BB292" s="115"/>
      <c r="BC292" s="25"/>
      <c r="BD292" s="13"/>
      <c r="BG292" s="114"/>
    </row>
    <row r="293" spans="1:59" ht="19.5" x14ac:dyDescent="0.4">
      <c r="A293" s="117"/>
      <c r="B293" s="123"/>
      <c r="C293" s="123"/>
      <c r="D293" s="123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26"/>
      <c r="U293" s="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5"/>
      <c r="AF293" s="13"/>
      <c r="AK293" s="116"/>
      <c r="AL293" s="123"/>
      <c r="AM293" s="123"/>
      <c r="AN293" s="123"/>
      <c r="AS293" s="115"/>
      <c r="AT293" s="115"/>
      <c r="AU293" s="115"/>
      <c r="AV293" s="115"/>
      <c r="AW293" s="115"/>
      <c r="AX293" s="115"/>
      <c r="AY293" s="115"/>
      <c r="AZ293" s="115"/>
      <c r="BA293" s="115"/>
      <c r="BB293" s="115"/>
      <c r="BC293" s="25"/>
      <c r="BD293" s="13"/>
      <c r="BG293" s="114"/>
    </row>
    <row r="294" spans="1:59" ht="19.5" x14ac:dyDescent="0.4">
      <c r="A294" s="117"/>
      <c r="B294" s="123"/>
      <c r="C294" s="123"/>
      <c r="D294" s="123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26"/>
      <c r="U294" s="13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25"/>
      <c r="AF294" s="13"/>
      <c r="AK294" s="116"/>
      <c r="AL294" s="123"/>
      <c r="AM294" s="123"/>
      <c r="AN294" s="123"/>
      <c r="AS294" s="115"/>
      <c r="AT294" s="115"/>
      <c r="AU294" s="115"/>
      <c r="AV294" s="115"/>
      <c r="AW294" s="115"/>
      <c r="AX294" s="115"/>
      <c r="AY294" s="115"/>
      <c r="AZ294" s="115"/>
      <c r="BA294" s="115"/>
      <c r="BB294" s="115"/>
      <c r="BC294" s="25"/>
      <c r="BD294" s="13"/>
      <c r="BG294" s="114"/>
    </row>
    <row r="295" spans="1:59" ht="19.5" x14ac:dyDescent="0.4">
      <c r="A295" s="117"/>
      <c r="B295" s="123"/>
      <c r="C295" s="123"/>
      <c r="D295" s="123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26"/>
      <c r="U295" s="13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5"/>
      <c r="AF295" s="13"/>
      <c r="AK295" s="116"/>
      <c r="AL295" s="123"/>
      <c r="AM295" s="123"/>
      <c r="AN295" s="123"/>
      <c r="AS295" s="115"/>
      <c r="AT295" s="115"/>
      <c r="AU295" s="115"/>
      <c r="AV295" s="115"/>
      <c r="AW295" s="115"/>
      <c r="AX295" s="115"/>
      <c r="AY295" s="115"/>
      <c r="AZ295" s="115"/>
      <c r="BA295" s="115"/>
      <c r="BB295" s="115"/>
      <c r="BC295" s="25"/>
      <c r="BD295" s="13"/>
      <c r="BG295" s="114"/>
    </row>
    <row r="296" spans="1:59" ht="19.5" x14ac:dyDescent="0.4">
      <c r="A296" s="117"/>
      <c r="B296" s="123"/>
      <c r="C296" s="123"/>
      <c r="D296" s="123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26"/>
      <c r="U296" s="13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25"/>
      <c r="AF296" s="13"/>
      <c r="AK296" s="116"/>
      <c r="AL296" s="123"/>
      <c r="AM296" s="123"/>
      <c r="AN296" s="123"/>
      <c r="AS296" s="115"/>
      <c r="AT296" s="115"/>
      <c r="AU296" s="115"/>
      <c r="AV296" s="115"/>
      <c r="AW296" s="115"/>
      <c r="AX296" s="115"/>
      <c r="AY296" s="115"/>
      <c r="AZ296" s="115"/>
      <c r="BA296" s="115"/>
      <c r="BB296" s="115"/>
      <c r="BC296" s="25"/>
      <c r="BD296" s="13"/>
      <c r="BG296" s="114"/>
    </row>
    <row r="297" spans="1:59" ht="19.5" x14ac:dyDescent="0.4">
      <c r="A297" s="117"/>
      <c r="B297" s="123"/>
      <c r="C297" s="123"/>
      <c r="D297" s="123"/>
      <c r="T297" s="26"/>
      <c r="U297" s="13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5">
        <v>45678</v>
      </c>
      <c r="AF297" s="13" t="s">
        <v>148</v>
      </c>
      <c r="AK297" s="116"/>
      <c r="AL297" s="123"/>
      <c r="AM297" s="123"/>
      <c r="AN297" s="123"/>
      <c r="AS297" s="115"/>
      <c r="AT297" s="115"/>
      <c r="AU297" s="115"/>
      <c r="AV297" s="115"/>
      <c r="AW297" s="115"/>
      <c r="AX297" s="115"/>
      <c r="AY297" s="115"/>
      <c r="AZ297" s="115"/>
      <c r="BA297" s="115"/>
      <c r="BB297" s="115"/>
      <c r="BC297" s="25"/>
      <c r="BD297" s="13"/>
      <c r="BG297" s="114"/>
    </row>
    <row r="298" spans="1:59" ht="19.5" x14ac:dyDescent="0.4">
      <c r="A298" s="117"/>
      <c r="B298" s="123"/>
      <c r="C298" s="123"/>
      <c r="D298" s="123"/>
      <c r="K298" s="115"/>
      <c r="L298" s="115"/>
      <c r="M298" s="115"/>
      <c r="N298" s="115"/>
      <c r="O298" s="115"/>
      <c r="P298" s="115"/>
      <c r="Q298" s="115"/>
      <c r="R298" s="115"/>
      <c r="S298" s="115"/>
      <c r="T298" s="26"/>
      <c r="U298" s="13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25"/>
      <c r="AF298" s="13"/>
      <c r="AK298" s="116"/>
      <c r="AL298" s="123"/>
      <c r="AM298" s="123"/>
      <c r="AN298" s="123"/>
      <c r="AS298" s="115"/>
      <c r="AT298" s="115"/>
      <c r="AU298" s="115"/>
      <c r="AV298" s="115"/>
      <c r="AW298" s="115"/>
      <c r="AX298" s="115"/>
      <c r="AY298" s="115"/>
      <c r="AZ298" s="115"/>
      <c r="BA298" s="115"/>
      <c r="BB298" s="115"/>
      <c r="BC298" s="25"/>
      <c r="BD298" s="13"/>
      <c r="BG298" s="114"/>
    </row>
    <row r="299" spans="1:59" ht="19.5" x14ac:dyDescent="0.4">
      <c r="A299" s="117"/>
      <c r="B299" s="123"/>
      <c r="C299" s="123"/>
      <c r="D299" s="123"/>
      <c r="K299" s="115"/>
      <c r="L299" s="115"/>
      <c r="M299" s="115"/>
      <c r="N299" s="115"/>
      <c r="O299" s="115"/>
      <c r="P299" s="115"/>
      <c r="Q299" s="115"/>
      <c r="R299" s="115"/>
      <c r="S299" s="115"/>
      <c r="T299" s="17"/>
      <c r="U299" s="13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25"/>
      <c r="AF299" s="13"/>
      <c r="AK299" s="116"/>
      <c r="AL299" s="123"/>
      <c r="AM299" s="123"/>
      <c r="AN299" s="123"/>
      <c r="AS299" s="115"/>
      <c r="AT299" s="115"/>
      <c r="AU299" s="115"/>
      <c r="AV299" s="115"/>
      <c r="AW299" s="115"/>
      <c r="AX299" s="115"/>
      <c r="AY299" s="115"/>
      <c r="AZ299" s="115"/>
      <c r="BA299" s="115"/>
      <c r="BB299" s="115"/>
      <c r="BC299" s="25"/>
      <c r="BD299" s="13"/>
      <c r="BG299" s="114"/>
    </row>
    <row r="300" spans="1:59" ht="19.5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26"/>
      <c r="U300" s="134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25"/>
      <c r="AF300" s="13"/>
      <c r="AK300" s="116"/>
      <c r="AL300" s="123"/>
      <c r="AM300" s="123"/>
      <c r="AN300" s="123"/>
      <c r="AS300" s="115"/>
      <c r="AT300" s="115"/>
      <c r="AU300" s="115"/>
      <c r="AV300" s="115"/>
      <c r="AW300" s="115"/>
      <c r="AX300" s="115"/>
      <c r="AY300" s="115"/>
      <c r="AZ300" s="115"/>
      <c r="BA300" s="115"/>
      <c r="BB300" s="115"/>
      <c r="BC300" s="25"/>
      <c r="BD300" s="13"/>
      <c r="BG300" s="114"/>
    </row>
    <row r="301" spans="1:59" ht="19.5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26"/>
      <c r="U301" s="13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25"/>
      <c r="AF301" s="13"/>
      <c r="AK301" s="116"/>
      <c r="AL301" s="123"/>
      <c r="AM301" s="123"/>
      <c r="AN301" s="123"/>
      <c r="AS301" s="115"/>
      <c r="AT301" s="115"/>
      <c r="AU301" s="115"/>
      <c r="AV301" s="115"/>
      <c r="AW301" s="115"/>
      <c r="AX301" s="115"/>
      <c r="AY301" s="115"/>
      <c r="AZ301" s="115"/>
      <c r="BA301" s="115"/>
      <c r="BB301" s="115"/>
      <c r="BC301" s="25"/>
      <c r="BD301" s="13"/>
      <c r="BG301" s="114"/>
    </row>
    <row r="302" spans="1:59" ht="19.5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26"/>
      <c r="U302" s="13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25"/>
      <c r="AF302" s="13"/>
      <c r="AK302" s="116"/>
      <c r="AL302" s="123"/>
      <c r="AM302" s="123"/>
      <c r="AN302" s="123"/>
      <c r="AS302" s="115"/>
      <c r="AT302" s="115"/>
      <c r="AU302" s="115"/>
      <c r="AV302" s="115"/>
      <c r="AW302" s="115"/>
      <c r="AX302" s="115"/>
      <c r="AY302" s="115"/>
      <c r="AZ302" s="115"/>
      <c r="BA302" s="115"/>
      <c r="BB302" s="115"/>
      <c r="BC302" s="25"/>
      <c r="BD302" s="13"/>
      <c r="BG302" s="114"/>
    </row>
    <row r="303" spans="1:59" ht="19.5" x14ac:dyDescent="0.4">
      <c r="A303" s="117"/>
      <c r="B303" s="123"/>
      <c r="C303" s="123"/>
      <c r="D303" s="123"/>
      <c r="T303" s="26"/>
      <c r="U303" s="13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25">
        <v>45678</v>
      </c>
      <c r="AF303" s="13" t="s">
        <v>148</v>
      </c>
      <c r="AK303" s="116"/>
      <c r="AL303" s="123"/>
      <c r="AM303" s="123"/>
      <c r="AN303" s="123"/>
      <c r="AS303" s="115"/>
      <c r="AT303" s="115"/>
      <c r="AU303" s="115"/>
      <c r="AV303" s="115"/>
      <c r="AW303" s="115"/>
      <c r="AX303" s="115"/>
      <c r="AY303" s="115"/>
      <c r="AZ303" s="115"/>
      <c r="BA303" s="115"/>
      <c r="BB303" s="115"/>
      <c r="BC303" s="25"/>
      <c r="BD303" s="13"/>
      <c r="BG303" s="114"/>
    </row>
    <row r="304" spans="1:59" ht="19.5" x14ac:dyDescent="0.4">
      <c r="A304" s="117"/>
      <c r="B304" s="123"/>
      <c r="C304" s="123"/>
      <c r="D304" s="123"/>
      <c r="T304" s="26"/>
      <c r="U304" s="13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25">
        <v>45678</v>
      </c>
      <c r="AF304" s="13" t="s">
        <v>148</v>
      </c>
      <c r="AK304" s="116"/>
      <c r="AL304" s="123"/>
      <c r="AM304" s="123"/>
      <c r="AN304" s="123"/>
      <c r="AS304" s="115"/>
      <c r="AT304" s="115"/>
      <c r="AU304" s="115"/>
      <c r="AV304" s="115"/>
      <c r="AW304" s="115"/>
      <c r="AX304" s="115"/>
      <c r="AY304" s="115"/>
      <c r="AZ304" s="115"/>
      <c r="BA304" s="115"/>
      <c r="BB304" s="115"/>
      <c r="BC304" s="25"/>
      <c r="BD304" s="13"/>
      <c r="BG304" s="114"/>
    </row>
    <row r="305" spans="1:59" ht="19.5" x14ac:dyDescent="0.4">
      <c r="A305" s="117"/>
      <c r="B305" s="123"/>
      <c r="C305" s="123"/>
      <c r="D305" s="123"/>
      <c r="L305" s="115"/>
      <c r="M305" s="115"/>
      <c r="N305" s="115"/>
      <c r="O305" s="115"/>
      <c r="P305" s="115"/>
      <c r="Q305" s="115"/>
      <c r="R305" s="115"/>
      <c r="S305" s="115"/>
      <c r="T305" s="26"/>
      <c r="U305" s="13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25"/>
      <c r="AF305" s="13"/>
      <c r="AK305" s="116"/>
      <c r="AL305" s="123"/>
      <c r="AM305" s="123"/>
      <c r="AN305" s="123"/>
      <c r="AS305" s="115"/>
      <c r="AT305" s="115"/>
      <c r="AU305" s="115"/>
      <c r="AV305" s="115"/>
      <c r="AW305" s="115"/>
      <c r="AX305" s="115"/>
      <c r="AY305" s="115"/>
      <c r="AZ305" s="115"/>
      <c r="BA305" s="115"/>
      <c r="BB305" s="115"/>
      <c r="BC305" s="25"/>
      <c r="BD305" s="13"/>
      <c r="BG305" s="114"/>
    </row>
    <row r="306" spans="1:59" ht="19.5" x14ac:dyDescent="0.4">
      <c r="A306" s="117"/>
      <c r="B306" s="123"/>
      <c r="C306" s="123"/>
      <c r="D306" s="123"/>
      <c r="L306" s="115"/>
      <c r="M306" s="115"/>
      <c r="N306" s="115"/>
      <c r="O306" s="115"/>
      <c r="P306" s="115"/>
      <c r="Q306" s="115"/>
      <c r="R306" s="115"/>
      <c r="S306" s="115"/>
      <c r="T306" s="26"/>
      <c r="U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25"/>
      <c r="AF306" s="13"/>
      <c r="AK306" s="116"/>
      <c r="AL306" s="123"/>
      <c r="AM306" s="123"/>
      <c r="AN306" s="123"/>
      <c r="AS306" s="115"/>
      <c r="AT306" s="115"/>
      <c r="AU306" s="115"/>
      <c r="AV306" s="115"/>
      <c r="AW306" s="115"/>
      <c r="AX306" s="115"/>
      <c r="AY306" s="115"/>
      <c r="AZ306" s="115"/>
      <c r="BA306" s="115"/>
      <c r="BB306" s="115"/>
      <c r="BC306" s="25"/>
      <c r="BD306" s="13"/>
      <c r="BG306" s="114"/>
    </row>
    <row r="307" spans="1:59" ht="19.5" x14ac:dyDescent="0.4">
      <c r="A307" s="117"/>
      <c r="B307" s="123"/>
      <c r="C307" s="123"/>
      <c r="D307" s="123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26"/>
      <c r="U307" s="13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25"/>
      <c r="AF307" s="13"/>
      <c r="AK307" s="116"/>
      <c r="AL307" s="123"/>
      <c r="AM307" s="123"/>
      <c r="AN307" s="123"/>
      <c r="AS307" s="115"/>
      <c r="AT307" s="115"/>
      <c r="AU307" s="115"/>
      <c r="AV307" s="115"/>
      <c r="AW307" s="115"/>
      <c r="AX307" s="115"/>
      <c r="AY307" s="115"/>
      <c r="AZ307" s="115"/>
      <c r="BA307" s="115"/>
      <c r="BB307" s="115"/>
      <c r="BC307" s="25"/>
      <c r="BD307" s="13"/>
      <c r="BG307" s="114"/>
    </row>
    <row r="308" spans="1:59" ht="19.5" x14ac:dyDescent="0.4">
      <c r="A308" s="117"/>
      <c r="B308" s="123"/>
      <c r="C308" s="123"/>
      <c r="D308" s="123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26"/>
      <c r="U308" s="13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25"/>
      <c r="AF308" s="13"/>
      <c r="AK308" s="116"/>
      <c r="AL308" s="123"/>
      <c r="AM308" s="123"/>
      <c r="AN308" s="123"/>
      <c r="AS308" s="115"/>
      <c r="AT308" s="115"/>
      <c r="AU308" s="115"/>
      <c r="AV308" s="115"/>
      <c r="AW308" s="115"/>
      <c r="AX308" s="115"/>
      <c r="AY308" s="115"/>
      <c r="AZ308" s="115"/>
      <c r="BA308" s="115"/>
      <c r="BB308" s="115"/>
      <c r="BC308" s="25"/>
      <c r="BD308" s="13"/>
      <c r="BG308" s="114"/>
    </row>
    <row r="309" spans="1:59" ht="19.5" x14ac:dyDescent="0.4">
      <c r="A309" s="117"/>
      <c r="B309" s="123"/>
      <c r="C309" s="123"/>
      <c r="D309" s="123"/>
      <c r="T309" s="26"/>
      <c r="U309" s="13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5">
        <v>45679</v>
      </c>
      <c r="AF309" s="15" t="s">
        <v>146</v>
      </c>
      <c r="AK309" s="116"/>
      <c r="AL309" s="123"/>
      <c r="AM309" s="123"/>
      <c r="AN309" s="123"/>
      <c r="AS309" s="115"/>
      <c r="AT309" s="115"/>
      <c r="AU309" s="115"/>
      <c r="AV309" s="115"/>
      <c r="AW309" s="115"/>
      <c r="AX309" s="115"/>
      <c r="AY309" s="115"/>
      <c r="AZ309" s="115"/>
      <c r="BA309" s="115"/>
      <c r="BB309" s="115"/>
      <c r="BC309" s="25"/>
      <c r="BD309" s="13"/>
      <c r="BG309" s="114"/>
    </row>
    <row r="310" spans="1:59" ht="19.5" x14ac:dyDescent="0.4">
      <c r="A310" s="117"/>
      <c r="B310" s="123"/>
      <c r="C310" s="123"/>
      <c r="D310" s="123"/>
      <c r="M310" s="115"/>
      <c r="N310" s="115"/>
      <c r="O310" s="115"/>
      <c r="P310" s="115"/>
      <c r="Q310" s="115"/>
      <c r="R310" s="115"/>
      <c r="S310" s="115"/>
      <c r="T310" s="26"/>
      <c r="U310" s="13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25"/>
      <c r="AF310" s="15"/>
      <c r="AK310" s="116"/>
      <c r="AL310" s="123"/>
      <c r="AM310" s="123"/>
      <c r="AN310" s="123"/>
      <c r="AS310" s="115"/>
      <c r="AT310" s="115"/>
      <c r="AU310" s="115"/>
      <c r="AV310" s="115"/>
      <c r="AW310" s="115"/>
      <c r="AX310" s="115"/>
      <c r="AY310" s="115"/>
      <c r="AZ310" s="115"/>
      <c r="BA310" s="115"/>
      <c r="BB310" s="115"/>
      <c r="BC310" s="25"/>
      <c r="BD310" s="13"/>
      <c r="BG310" s="114"/>
    </row>
    <row r="311" spans="1:59" ht="19.5" x14ac:dyDescent="0.4">
      <c r="A311" s="117"/>
      <c r="B311" s="123"/>
      <c r="C311" s="123"/>
      <c r="D311" s="123"/>
      <c r="M311" s="115"/>
      <c r="N311" s="115"/>
      <c r="O311" s="115"/>
      <c r="P311" s="115"/>
      <c r="Q311" s="115"/>
      <c r="R311" s="115"/>
      <c r="S311" s="115"/>
      <c r="T311" s="17"/>
      <c r="U311" s="13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25"/>
      <c r="AF311" s="15"/>
      <c r="AK311" s="116"/>
      <c r="AL311" s="123"/>
      <c r="AM311" s="123"/>
      <c r="AN311" s="123"/>
      <c r="AS311" s="115"/>
      <c r="AT311" s="115"/>
      <c r="AU311" s="115"/>
      <c r="AV311" s="115"/>
      <c r="AW311" s="115"/>
      <c r="AX311" s="115"/>
      <c r="AY311" s="115"/>
      <c r="AZ311" s="115"/>
      <c r="BA311" s="115"/>
      <c r="BB311" s="115"/>
      <c r="BC311" s="25"/>
      <c r="BD311" s="13"/>
      <c r="BG311" s="114"/>
    </row>
    <row r="312" spans="1:59" ht="19.5" x14ac:dyDescent="0.4">
      <c r="A312" s="117"/>
      <c r="B312" s="123"/>
      <c r="C312" s="123"/>
      <c r="D312" s="123"/>
      <c r="T312" s="26"/>
      <c r="U312" s="13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25"/>
      <c r="AF312" s="15"/>
      <c r="AK312" s="116"/>
      <c r="AL312" s="123"/>
      <c r="AM312" s="123"/>
      <c r="AN312" s="123"/>
      <c r="AS312" s="115"/>
      <c r="AT312" s="115"/>
      <c r="AU312" s="115"/>
      <c r="AV312" s="115"/>
      <c r="AW312" s="115"/>
      <c r="AX312" s="115"/>
      <c r="AY312" s="115"/>
      <c r="AZ312" s="115"/>
      <c r="BA312" s="115"/>
      <c r="BB312" s="115"/>
      <c r="BC312" s="25"/>
      <c r="BD312" s="13"/>
      <c r="BG312" s="114"/>
    </row>
    <row r="313" spans="1:59" ht="19.5" x14ac:dyDescent="0.4">
      <c r="A313" s="117"/>
      <c r="B313" s="123"/>
      <c r="C313" s="123"/>
      <c r="D313" s="123"/>
      <c r="M313" s="115"/>
      <c r="N313" s="115"/>
      <c r="O313" s="115"/>
      <c r="P313" s="115"/>
      <c r="Q313" s="115"/>
      <c r="R313" s="115"/>
      <c r="S313" s="115"/>
      <c r="T313" s="26"/>
      <c r="U313" s="13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5"/>
      <c r="AF313" s="15"/>
      <c r="AK313" s="116"/>
      <c r="AL313" s="123"/>
      <c r="AM313" s="123"/>
      <c r="AN313" s="123"/>
      <c r="AS313" s="115"/>
      <c r="AT313" s="115"/>
      <c r="AU313" s="115"/>
      <c r="AV313" s="115"/>
      <c r="AW313" s="115"/>
      <c r="AX313" s="115"/>
      <c r="AY313" s="115"/>
      <c r="AZ313" s="115"/>
      <c r="BA313" s="115"/>
      <c r="BB313" s="115"/>
      <c r="BC313" s="25"/>
      <c r="BD313" s="13"/>
      <c r="BG313" s="114"/>
    </row>
    <row r="314" spans="1:59" ht="19.5" x14ac:dyDescent="0.4">
      <c r="A314" s="117"/>
      <c r="B314" s="123"/>
      <c r="C314" s="123"/>
      <c r="D314" s="123"/>
      <c r="M314" s="115"/>
      <c r="N314" s="115"/>
      <c r="O314" s="115"/>
      <c r="P314" s="115"/>
      <c r="Q314" s="115"/>
      <c r="R314" s="115"/>
      <c r="S314" s="115"/>
      <c r="T314" s="17"/>
      <c r="U314" s="13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25"/>
      <c r="AF314" s="15"/>
      <c r="AK314" s="116"/>
      <c r="AL314" s="123"/>
      <c r="AM314" s="123"/>
      <c r="AN314" s="123"/>
      <c r="AS314" s="115"/>
      <c r="AT314" s="115"/>
      <c r="AU314" s="115"/>
      <c r="AV314" s="115"/>
      <c r="AW314" s="115"/>
      <c r="AX314" s="115"/>
      <c r="AY314" s="115"/>
      <c r="AZ314" s="115"/>
      <c r="BA314" s="115"/>
      <c r="BB314" s="115"/>
      <c r="BC314" s="25"/>
      <c r="BD314" s="13"/>
      <c r="BG314" s="114"/>
    </row>
    <row r="315" spans="1:59" ht="19.5" x14ac:dyDescent="0.4">
      <c r="A315" s="117"/>
      <c r="B315" s="123"/>
      <c r="C315" s="123"/>
      <c r="D315" s="123"/>
      <c r="L315" s="115"/>
      <c r="M315" s="115"/>
      <c r="N315" s="115"/>
      <c r="O315" s="115"/>
      <c r="P315" s="115"/>
      <c r="Q315" s="115"/>
      <c r="R315" s="115"/>
      <c r="S315" s="115"/>
      <c r="T315" s="26"/>
      <c r="U315" s="13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25"/>
      <c r="AF315" s="15"/>
      <c r="AK315" s="116"/>
      <c r="AL315" s="123"/>
      <c r="AM315" s="123"/>
      <c r="AN315" s="123"/>
      <c r="AS315" s="115"/>
      <c r="AT315" s="115"/>
      <c r="AU315" s="115"/>
      <c r="AV315" s="115"/>
      <c r="AW315" s="115"/>
      <c r="AX315" s="115"/>
      <c r="AY315" s="115"/>
      <c r="AZ315" s="115"/>
      <c r="BA315" s="115"/>
      <c r="BB315" s="115"/>
      <c r="BC315" s="25"/>
      <c r="BD315" s="13"/>
      <c r="BG315" s="114"/>
    </row>
    <row r="316" spans="1:59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26"/>
      <c r="U316" s="13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25"/>
      <c r="AF316" s="15"/>
      <c r="AK316" s="116"/>
      <c r="AL316" s="123"/>
      <c r="AM316" s="123"/>
      <c r="AN316" s="123"/>
      <c r="AS316" s="115"/>
      <c r="AT316" s="115"/>
      <c r="AU316" s="115"/>
      <c r="AV316" s="115"/>
      <c r="AW316" s="115"/>
      <c r="AX316" s="115"/>
      <c r="AY316" s="115"/>
      <c r="AZ316" s="115"/>
      <c r="BA316" s="115"/>
      <c r="BB316" s="115"/>
      <c r="BC316" s="25"/>
      <c r="BD316" s="13"/>
      <c r="BG316" s="114"/>
    </row>
    <row r="317" spans="1:59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26"/>
      <c r="U317" s="13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25"/>
      <c r="AF317" s="15"/>
      <c r="AK317" s="116"/>
      <c r="AL317" s="123"/>
      <c r="AM317" s="123"/>
      <c r="AN317" s="123"/>
      <c r="AS317" s="115"/>
      <c r="AT317" s="115"/>
      <c r="AU317" s="115"/>
      <c r="AV317" s="115"/>
      <c r="AW317" s="115"/>
      <c r="AX317" s="115"/>
      <c r="AY317" s="115"/>
      <c r="AZ317" s="115"/>
      <c r="BA317" s="115"/>
      <c r="BB317" s="115"/>
      <c r="BC317" s="25"/>
      <c r="BD317" s="13"/>
      <c r="BG317" s="114"/>
    </row>
    <row r="318" spans="1:59" ht="19.5" x14ac:dyDescent="0.4">
      <c r="A318" s="117"/>
      <c r="B318" s="123"/>
      <c r="C318" s="123"/>
      <c r="D318" s="123"/>
      <c r="T318" s="26"/>
      <c r="U318" s="13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25">
        <v>45679</v>
      </c>
      <c r="AF318" s="15" t="s">
        <v>148</v>
      </c>
      <c r="AK318" s="116"/>
      <c r="AL318" s="123"/>
      <c r="AM318" s="123"/>
      <c r="AN318" s="123"/>
      <c r="AS318" s="115"/>
      <c r="AT318" s="115"/>
      <c r="AU318" s="115"/>
      <c r="AV318" s="115"/>
      <c r="AW318" s="115"/>
      <c r="AX318" s="115"/>
      <c r="AY318" s="115"/>
      <c r="AZ318" s="115"/>
      <c r="BA318" s="115"/>
      <c r="BB318" s="115"/>
      <c r="BC318" s="25"/>
      <c r="BD318" s="13"/>
      <c r="BG318" s="114"/>
    </row>
    <row r="319" spans="1:59" ht="19.5" x14ac:dyDescent="0.4">
      <c r="A319" s="117"/>
      <c r="B319" s="123"/>
      <c r="C319" s="123"/>
      <c r="D319" s="123"/>
      <c r="M319" s="115"/>
      <c r="N319" s="115"/>
      <c r="O319" s="115"/>
      <c r="P319" s="115"/>
      <c r="Q319" s="115"/>
      <c r="R319" s="115"/>
      <c r="S319" s="115"/>
      <c r="T319" s="26"/>
      <c r="U319" s="13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25"/>
      <c r="AF319" s="13"/>
      <c r="AK319" s="116"/>
      <c r="AL319" s="123"/>
      <c r="AM319" s="123"/>
      <c r="AN319" s="123"/>
      <c r="AS319" s="115"/>
      <c r="AT319" s="115"/>
      <c r="AU319" s="115"/>
      <c r="AV319" s="115"/>
      <c r="AW319" s="115"/>
      <c r="AX319" s="115"/>
      <c r="AY319" s="115"/>
      <c r="AZ319" s="115"/>
      <c r="BA319" s="115"/>
      <c r="BB319" s="115"/>
      <c r="BC319" s="25"/>
      <c r="BD319" s="13"/>
      <c r="BG319" s="114"/>
    </row>
    <row r="320" spans="1:59" ht="19.5" x14ac:dyDescent="0.4">
      <c r="A320" s="117"/>
      <c r="B320" s="123"/>
      <c r="C320" s="123"/>
      <c r="D320" s="123"/>
      <c r="L320" s="115"/>
      <c r="M320" s="115"/>
      <c r="N320" s="115"/>
      <c r="O320" s="115"/>
      <c r="P320" s="115"/>
      <c r="Q320" s="115"/>
      <c r="R320" s="115"/>
      <c r="S320" s="115"/>
      <c r="T320" s="26"/>
      <c r="U320" s="13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25"/>
      <c r="AF320" s="13"/>
      <c r="AK320" s="116"/>
      <c r="AL320" s="123"/>
      <c r="AM320" s="123"/>
      <c r="AN320" s="123"/>
      <c r="AS320" s="115"/>
      <c r="AT320" s="115"/>
      <c r="AU320" s="115"/>
      <c r="AV320" s="115"/>
      <c r="AW320" s="115"/>
      <c r="AX320" s="115"/>
      <c r="AY320" s="115"/>
      <c r="AZ320" s="115"/>
      <c r="BA320" s="115"/>
      <c r="BB320" s="115"/>
      <c r="BC320" s="25"/>
      <c r="BD320" s="13"/>
      <c r="BG320" s="114"/>
    </row>
    <row r="321" spans="1:59" ht="19.5" x14ac:dyDescent="0.4">
      <c r="A321" s="117"/>
      <c r="B321" s="123"/>
      <c r="C321" s="123"/>
      <c r="D321" s="123"/>
      <c r="L321" s="115"/>
      <c r="M321" s="115"/>
      <c r="N321" s="115"/>
      <c r="O321" s="115"/>
      <c r="P321" s="115"/>
      <c r="Q321" s="115"/>
      <c r="R321" s="115"/>
      <c r="S321" s="115"/>
      <c r="T321" s="26"/>
      <c r="U321" s="13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25"/>
      <c r="AF321" s="13"/>
      <c r="AK321" s="116"/>
      <c r="AL321" s="123"/>
      <c r="AM321" s="123"/>
      <c r="AN321" s="123"/>
      <c r="AS321" s="115"/>
      <c r="AT321" s="115"/>
      <c r="AU321" s="115"/>
      <c r="AV321" s="115"/>
      <c r="AW321" s="115"/>
      <c r="AX321" s="115"/>
      <c r="AY321" s="115"/>
      <c r="AZ321" s="115"/>
      <c r="BA321" s="115"/>
      <c r="BB321" s="115"/>
      <c r="BC321" s="25"/>
      <c r="BD321" s="13"/>
      <c r="BG321" s="114"/>
    </row>
    <row r="322" spans="1:59" ht="19.5" x14ac:dyDescent="0.4">
      <c r="A322" s="117"/>
      <c r="B322" s="123"/>
      <c r="C322" s="123"/>
      <c r="D322" s="123"/>
      <c r="L322" s="115"/>
      <c r="M322" s="115"/>
      <c r="N322" s="115"/>
      <c r="O322" s="115"/>
      <c r="P322" s="115"/>
      <c r="Q322" s="115"/>
      <c r="R322" s="115"/>
      <c r="S322" s="115"/>
      <c r="T322" s="17"/>
      <c r="U322" s="13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25"/>
      <c r="AF322" s="13"/>
      <c r="AK322" s="116"/>
      <c r="AL322" s="123"/>
      <c r="AM322" s="123"/>
      <c r="AN322" s="123"/>
      <c r="AS322" s="115"/>
      <c r="AT322" s="115"/>
      <c r="AU322" s="115"/>
      <c r="AV322" s="115"/>
      <c r="AW322" s="115"/>
      <c r="AX322" s="115"/>
      <c r="AY322" s="115"/>
      <c r="AZ322" s="115"/>
      <c r="BA322" s="115"/>
      <c r="BB322" s="115"/>
      <c r="BC322" s="25"/>
      <c r="BD322" s="13"/>
      <c r="BG322" s="114"/>
    </row>
    <row r="323" spans="1:59" ht="19.5" x14ac:dyDescent="0.4">
      <c r="A323" s="117"/>
      <c r="B323" s="123"/>
      <c r="C323" s="123"/>
      <c r="D323" s="123"/>
      <c r="K323" s="115"/>
      <c r="L323" s="115"/>
      <c r="M323" s="115"/>
      <c r="N323" s="115"/>
      <c r="O323" s="115"/>
      <c r="P323" s="115"/>
      <c r="Q323" s="115"/>
      <c r="R323" s="115"/>
      <c r="S323" s="115"/>
      <c r="T323" s="26"/>
      <c r="U323" s="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25"/>
      <c r="AF323" s="13"/>
      <c r="AK323" s="116"/>
      <c r="AL323" s="123"/>
      <c r="AM323" s="123"/>
      <c r="AN323" s="123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115"/>
      <c r="BC323" s="25"/>
      <c r="BD323" s="13"/>
      <c r="BG323" s="114"/>
    </row>
    <row r="324" spans="1:59" ht="19.5" x14ac:dyDescent="0.4">
      <c r="A324" s="117"/>
      <c r="B324" s="123"/>
      <c r="C324" s="123"/>
      <c r="D324" s="123"/>
      <c r="K324" s="115"/>
      <c r="L324" s="115"/>
      <c r="M324" s="115"/>
      <c r="N324" s="115"/>
      <c r="O324" s="115"/>
      <c r="P324" s="115"/>
      <c r="Q324" s="115"/>
      <c r="R324" s="115"/>
      <c r="S324" s="115"/>
      <c r="T324" s="17"/>
      <c r="U324" s="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25"/>
      <c r="AF324" s="13"/>
      <c r="AK324" s="116"/>
      <c r="AL324" s="123"/>
      <c r="AM324" s="123"/>
      <c r="AN324" s="123"/>
      <c r="AS324" s="115"/>
      <c r="AT324" s="115"/>
      <c r="AU324" s="115"/>
      <c r="AV324" s="115"/>
      <c r="AW324" s="115"/>
      <c r="AX324" s="115"/>
      <c r="AY324" s="115"/>
      <c r="AZ324" s="115"/>
      <c r="BA324" s="115"/>
      <c r="BB324" s="115"/>
      <c r="BC324" s="25"/>
      <c r="BD324" s="13"/>
      <c r="BG324" s="114"/>
    </row>
    <row r="325" spans="1:59" ht="19.5" x14ac:dyDescent="0.4">
      <c r="A325" s="117"/>
      <c r="B325" s="123"/>
      <c r="C325" s="123"/>
      <c r="D325" s="123"/>
      <c r="K325" s="115"/>
      <c r="L325" s="115"/>
      <c r="M325" s="115"/>
      <c r="N325" s="115"/>
      <c r="O325" s="115"/>
      <c r="P325" s="115"/>
      <c r="Q325" s="115"/>
      <c r="R325" s="115"/>
      <c r="S325" s="115"/>
      <c r="T325" s="26"/>
      <c r="U325" s="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25"/>
      <c r="AF325" s="13"/>
      <c r="AK325" s="116"/>
      <c r="AL325" s="123"/>
      <c r="AM325" s="123"/>
      <c r="AN325" s="123"/>
      <c r="AS325" s="115"/>
      <c r="AT325" s="115"/>
      <c r="AU325" s="115"/>
      <c r="AV325" s="115"/>
      <c r="AW325" s="115"/>
      <c r="AX325" s="115"/>
      <c r="AY325" s="115"/>
      <c r="AZ325" s="115"/>
      <c r="BA325" s="115"/>
      <c r="BB325" s="115"/>
      <c r="BC325" s="25"/>
      <c r="BD325" s="13"/>
      <c r="BG325" s="114"/>
    </row>
    <row r="326" spans="1:59" ht="19.5" x14ac:dyDescent="0.4">
      <c r="A326" s="117"/>
      <c r="B326" s="123"/>
      <c r="C326" s="123"/>
      <c r="D326" s="123"/>
      <c r="K326" s="115"/>
      <c r="L326" s="115"/>
      <c r="M326" s="115"/>
      <c r="N326" s="115"/>
      <c r="O326" s="115"/>
      <c r="P326" s="115"/>
      <c r="Q326" s="115"/>
      <c r="R326" s="115"/>
      <c r="S326" s="115"/>
      <c r="T326" s="17"/>
      <c r="U326" s="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25"/>
      <c r="AF326" s="13"/>
      <c r="AK326" s="116"/>
      <c r="AL326" s="123"/>
      <c r="AM326" s="123"/>
      <c r="AN326" s="123"/>
      <c r="AS326" s="115"/>
      <c r="AT326" s="115"/>
      <c r="AU326" s="115"/>
      <c r="AV326" s="115"/>
      <c r="AW326" s="115"/>
      <c r="AX326" s="115"/>
      <c r="AY326" s="115"/>
      <c r="AZ326" s="115"/>
      <c r="BA326" s="115"/>
      <c r="BB326" s="115"/>
      <c r="BC326" s="25"/>
      <c r="BD326" s="13"/>
      <c r="BG326" s="114"/>
    </row>
    <row r="327" spans="1:59" ht="19.5" x14ac:dyDescent="0.4">
      <c r="A327" s="117"/>
      <c r="B327" s="123"/>
      <c r="C327" s="123"/>
      <c r="D327" s="123"/>
      <c r="K327" s="115"/>
      <c r="L327" s="115"/>
      <c r="M327" s="115"/>
      <c r="N327" s="115"/>
      <c r="O327" s="115"/>
      <c r="P327" s="115"/>
      <c r="Q327" s="115"/>
      <c r="R327" s="115"/>
      <c r="S327" s="115"/>
      <c r="T327" s="26"/>
      <c r="U327" s="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25"/>
      <c r="AF327" s="13"/>
      <c r="AK327" s="116"/>
      <c r="AL327" s="123"/>
      <c r="AM327" s="123"/>
      <c r="AN327" s="123"/>
      <c r="AS327" s="115"/>
      <c r="AT327" s="115"/>
      <c r="AU327" s="115"/>
      <c r="AV327" s="115"/>
      <c r="AW327" s="115"/>
      <c r="AX327" s="115"/>
      <c r="AY327" s="115"/>
      <c r="AZ327" s="115"/>
      <c r="BA327" s="115"/>
      <c r="BB327" s="115"/>
      <c r="BC327" s="25"/>
      <c r="BD327" s="13"/>
      <c r="BG327" s="114"/>
    </row>
    <row r="328" spans="1:59" ht="19.5" x14ac:dyDescent="0.4">
      <c r="A328" s="117"/>
      <c r="B328" s="123"/>
      <c r="C328" s="123"/>
      <c r="D328" s="123"/>
      <c r="T328" s="26"/>
      <c r="U328" s="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25">
        <v>45679</v>
      </c>
      <c r="AF328" s="13" t="s">
        <v>147</v>
      </c>
      <c r="AK328" s="116"/>
      <c r="AL328" s="123"/>
      <c r="AM328" s="123"/>
      <c r="AN328" s="123"/>
      <c r="AS328" s="115"/>
      <c r="AT328" s="115"/>
      <c r="AU328" s="115"/>
      <c r="AV328" s="115"/>
      <c r="AW328" s="115"/>
      <c r="AX328" s="115"/>
      <c r="AY328" s="115"/>
      <c r="AZ328" s="115"/>
      <c r="BA328" s="115"/>
      <c r="BB328" s="115"/>
      <c r="BC328" s="25"/>
      <c r="BD328" s="13"/>
      <c r="BG328" s="114"/>
    </row>
    <row r="329" spans="1:59" ht="19.5" x14ac:dyDescent="0.4">
      <c r="A329" s="117"/>
      <c r="B329" s="123"/>
      <c r="C329" s="123"/>
      <c r="D329" s="123"/>
      <c r="N329" s="115"/>
      <c r="O329" s="115"/>
      <c r="P329" s="115"/>
      <c r="Q329" s="115"/>
      <c r="R329" s="115"/>
      <c r="S329" s="115"/>
      <c r="T329" s="17"/>
      <c r="U329" s="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25"/>
      <c r="AF329" s="13"/>
      <c r="AK329" s="116"/>
      <c r="AL329" s="123"/>
      <c r="AM329" s="123"/>
      <c r="AN329" s="123"/>
      <c r="AS329" s="115"/>
      <c r="AT329" s="115"/>
      <c r="AU329" s="115"/>
      <c r="AV329" s="115"/>
      <c r="AW329" s="115"/>
      <c r="AX329" s="115"/>
      <c r="AY329" s="115"/>
      <c r="AZ329" s="115"/>
      <c r="BA329" s="115"/>
      <c r="BB329" s="115"/>
      <c r="BC329" s="25"/>
      <c r="BD329" s="13"/>
      <c r="BG329" s="114"/>
    </row>
    <row r="330" spans="1:59" ht="19.5" x14ac:dyDescent="0.4">
      <c r="A330" s="117"/>
      <c r="B330" s="123"/>
      <c r="C330" s="123"/>
      <c r="D330" s="123"/>
      <c r="K330" s="115"/>
      <c r="L330" s="115"/>
      <c r="M330" s="115"/>
      <c r="N330" s="115"/>
      <c r="O330" s="115"/>
      <c r="P330" s="115"/>
      <c r="Q330" s="115"/>
      <c r="R330" s="115"/>
      <c r="S330" s="115"/>
      <c r="T330" s="26"/>
      <c r="U330" s="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25"/>
      <c r="AF330" s="13"/>
      <c r="AK330" s="116"/>
      <c r="AL330" s="123"/>
      <c r="AM330" s="123"/>
      <c r="AN330" s="123"/>
      <c r="AS330" s="115"/>
      <c r="AT330" s="115"/>
      <c r="AU330" s="115"/>
      <c r="AV330" s="115"/>
      <c r="AW330" s="115"/>
      <c r="AX330" s="115"/>
      <c r="AY330" s="115"/>
      <c r="AZ330" s="115"/>
      <c r="BA330" s="115"/>
      <c r="BB330" s="115"/>
      <c r="BC330" s="25"/>
      <c r="BD330" s="13"/>
      <c r="BG330" s="114"/>
    </row>
    <row r="331" spans="1:59" ht="19.5" x14ac:dyDescent="0.4">
      <c r="A331" s="117"/>
      <c r="B331" s="123"/>
      <c r="C331" s="123"/>
      <c r="D331" s="123"/>
      <c r="K331" s="115"/>
      <c r="L331" s="115"/>
      <c r="M331" s="115"/>
      <c r="N331" s="115"/>
      <c r="O331" s="115"/>
      <c r="P331" s="115"/>
      <c r="Q331" s="115"/>
      <c r="R331" s="115"/>
      <c r="S331" s="115"/>
      <c r="T331" s="26"/>
      <c r="U331" s="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25"/>
      <c r="AF331" s="13"/>
      <c r="AK331" s="116"/>
      <c r="AL331" s="123"/>
      <c r="AM331" s="123"/>
      <c r="AN331" s="123"/>
      <c r="AS331" s="115"/>
      <c r="AT331" s="115"/>
      <c r="AU331" s="115"/>
      <c r="AV331" s="115"/>
      <c r="AW331" s="115"/>
      <c r="AX331" s="115"/>
      <c r="AY331" s="115"/>
      <c r="AZ331" s="115"/>
      <c r="BA331" s="115"/>
      <c r="BB331" s="115"/>
      <c r="BC331" s="25"/>
      <c r="BD331" s="13"/>
      <c r="BG331" s="114"/>
    </row>
    <row r="332" spans="1:59" ht="19.5" x14ac:dyDescent="0.4">
      <c r="A332" s="117"/>
      <c r="B332" s="123"/>
      <c r="C332" s="123"/>
      <c r="D332" s="123"/>
      <c r="K332" s="115"/>
      <c r="L332" s="115"/>
      <c r="M332" s="115"/>
      <c r="N332" s="115"/>
      <c r="O332" s="115"/>
      <c r="P332" s="115"/>
      <c r="Q332" s="115"/>
      <c r="R332" s="115"/>
      <c r="S332" s="115"/>
      <c r="T332" s="17"/>
      <c r="U332" s="13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25"/>
      <c r="AF332" s="13"/>
      <c r="AK332" s="116"/>
      <c r="AL332" s="123"/>
      <c r="AM332" s="123"/>
      <c r="AN332" s="123"/>
      <c r="AS332" s="115"/>
      <c r="AT332" s="115"/>
      <c r="AU332" s="115"/>
      <c r="AV332" s="115"/>
      <c r="AW332" s="115"/>
      <c r="AX332" s="115"/>
      <c r="AY332" s="115"/>
      <c r="AZ332" s="115"/>
      <c r="BA332" s="115"/>
      <c r="BB332" s="115"/>
      <c r="BC332" s="25"/>
      <c r="BD332" s="13"/>
      <c r="BG332" s="114"/>
    </row>
    <row r="333" spans="1:59" ht="19.5" x14ac:dyDescent="0.4">
      <c r="A333" s="117"/>
      <c r="B333" s="123"/>
      <c r="C333" s="123"/>
      <c r="D333" s="123"/>
      <c r="K333" s="115"/>
      <c r="L333" s="115"/>
      <c r="M333" s="115"/>
      <c r="N333" s="115"/>
      <c r="O333" s="115"/>
      <c r="P333" s="115"/>
      <c r="Q333" s="115"/>
      <c r="R333" s="115"/>
      <c r="S333" s="115"/>
      <c r="T333" s="17"/>
      <c r="U333" s="13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25"/>
      <c r="AF333" s="13"/>
      <c r="AK333" s="116"/>
      <c r="AL333" s="123"/>
      <c r="AM333" s="123"/>
      <c r="AN333" s="123"/>
      <c r="AS333" s="115"/>
      <c r="AT333" s="115"/>
      <c r="AU333" s="115"/>
      <c r="AV333" s="115"/>
      <c r="AW333" s="115"/>
      <c r="AX333" s="115"/>
      <c r="AY333" s="115"/>
      <c r="AZ333" s="115"/>
      <c r="BA333" s="115"/>
      <c r="BB333" s="115"/>
      <c r="BC333" s="25"/>
      <c r="BD333" s="13"/>
      <c r="BG333" s="114"/>
    </row>
    <row r="334" spans="1:59" ht="19.5" x14ac:dyDescent="0.4">
      <c r="A334" s="117"/>
      <c r="B334" s="123"/>
      <c r="C334" s="123"/>
      <c r="D334" s="123"/>
      <c r="K334" s="115"/>
      <c r="L334" s="115"/>
      <c r="M334" s="115"/>
      <c r="N334" s="115"/>
      <c r="O334" s="115"/>
      <c r="P334" s="115"/>
      <c r="Q334" s="115"/>
      <c r="R334" s="115"/>
      <c r="S334" s="115"/>
      <c r="T334" s="26"/>
      <c r="U334" s="13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25"/>
      <c r="AF334" s="13"/>
      <c r="AK334" s="116"/>
      <c r="AL334" s="123"/>
      <c r="AM334" s="123"/>
      <c r="AN334" s="123"/>
      <c r="AS334" s="115"/>
      <c r="AT334" s="115"/>
      <c r="AU334" s="115"/>
      <c r="AV334" s="115"/>
      <c r="AW334" s="115"/>
      <c r="AX334" s="115"/>
      <c r="AY334" s="115"/>
      <c r="AZ334" s="115"/>
      <c r="BA334" s="115"/>
      <c r="BB334" s="115"/>
      <c r="BC334" s="25"/>
      <c r="BD334" s="13"/>
      <c r="BG334" s="114"/>
    </row>
    <row r="335" spans="1:59" ht="19.5" x14ac:dyDescent="0.4">
      <c r="A335" s="117"/>
      <c r="B335" s="123"/>
      <c r="C335" s="123"/>
      <c r="D335" s="123"/>
      <c r="K335" s="115"/>
      <c r="L335" s="115"/>
      <c r="M335" s="115"/>
      <c r="N335" s="115"/>
      <c r="O335" s="115"/>
      <c r="P335" s="115"/>
      <c r="Q335" s="115"/>
      <c r="R335" s="115"/>
      <c r="S335" s="115"/>
      <c r="T335" s="17"/>
      <c r="U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25"/>
      <c r="AF335" s="13"/>
      <c r="AK335" s="116"/>
      <c r="AL335" s="123"/>
      <c r="AM335" s="123"/>
      <c r="AN335" s="123"/>
      <c r="AS335" s="115"/>
      <c r="AT335" s="115"/>
      <c r="AU335" s="115"/>
      <c r="AV335" s="115"/>
      <c r="AW335" s="115"/>
      <c r="AX335" s="115"/>
      <c r="AY335" s="115"/>
      <c r="AZ335" s="115"/>
      <c r="BA335" s="115"/>
      <c r="BB335" s="115"/>
      <c r="BC335" s="25"/>
      <c r="BD335" s="13"/>
      <c r="BG335" s="114"/>
    </row>
    <row r="336" spans="1:59" ht="19.5" x14ac:dyDescent="0.4">
      <c r="A336" s="117"/>
      <c r="B336" s="123"/>
      <c r="C336" s="123"/>
      <c r="D336" s="123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26"/>
      <c r="U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5"/>
      <c r="AF336" s="13"/>
      <c r="AK336" s="116"/>
      <c r="AL336" s="123"/>
      <c r="AM336" s="123"/>
      <c r="AN336" s="123"/>
      <c r="AS336" s="115"/>
      <c r="AT336" s="115"/>
      <c r="AU336" s="115"/>
      <c r="AV336" s="115"/>
      <c r="AW336" s="115"/>
      <c r="AX336" s="115"/>
      <c r="AY336" s="115"/>
      <c r="AZ336" s="115"/>
      <c r="BA336" s="115"/>
      <c r="BB336" s="115"/>
      <c r="BC336" s="25"/>
      <c r="BD336" s="13"/>
      <c r="BG336" s="114"/>
    </row>
    <row r="337" spans="1:59" ht="19.5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26"/>
      <c r="U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25"/>
      <c r="AF337" s="13"/>
      <c r="AK337" s="116"/>
      <c r="AL337" s="123"/>
      <c r="AM337" s="123"/>
      <c r="AN337" s="123"/>
      <c r="AS337" s="115"/>
      <c r="AT337" s="115"/>
      <c r="AU337" s="115"/>
      <c r="AV337" s="115"/>
      <c r="AW337" s="115"/>
      <c r="AX337" s="115"/>
      <c r="AY337" s="115"/>
      <c r="AZ337" s="115"/>
      <c r="BA337" s="115"/>
      <c r="BB337" s="115"/>
      <c r="BC337" s="25"/>
      <c r="BD337" s="13"/>
      <c r="BG337" s="114"/>
    </row>
    <row r="338" spans="1:59" ht="19.5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26"/>
      <c r="U338" s="13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25"/>
      <c r="AF338" s="13"/>
      <c r="AK338" s="116"/>
      <c r="AL338" s="123"/>
      <c r="AM338" s="123"/>
      <c r="AN338" s="123"/>
      <c r="AS338" s="115"/>
      <c r="AT338" s="115"/>
      <c r="AU338" s="115"/>
      <c r="AV338" s="115"/>
      <c r="AW338" s="115"/>
      <c r="AX338" s="115"/>
      <c r="AY338" s="115"/>
      <c r="AZ338" s="115"/>
      <c r="BA338" s="115"/>
      <c r="BB338" s="115"/>
      <c r="BC338" s="25"/>
      <c r="BD338" s="13"/>
      <c r="BG338" s="114"/>
    </row>
    <row r="339" spans="1:59" ht="19.5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26"/>
      <c r="U339" s="13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25"/>
      <c r="AF339" s="13"/>
      <c r="AK339" s="116"/>
      <c r="AL339" s="123"/>
      <c r="AM339" s="123"/>
      <c r="AN339" s="123"/>
      <c r="AS339" s="115"/>
      <c r="AT339" s="115"/>
      <c r="AU339" s="115"/>
      <c r="AV339" s="115"/>
      <c r="AW339" s="115"/>
      <c r="AX339" s="115"/>
      <c r="AY339" s="115"/>
      <c r="AZ339" s="115"/>
      <c r="BA339" s="115"/>
      <c r="BB339" s="115"/>
      <c r="BC339" s="25"/>
      <c r="BD339" s="13"/>
      <c r="BG339" s="114"/>
    </row>
    <row r="340" spans="1:59" ht="19.5" x14ac:dyDescent="0.4">
      <c r="A340" s="117"/>
      <c r="B340" s="123"/>
      <c r="C340" s="123"/>
      <c r="D340" s="123"/>
      <c r="T340" s="26"/>
      <c r="U340" s="13"/>
      <c r="AE340" s="25">
        <v>45679</v>
      </c>
      <c r="AF340" s="13" t="s">
        <v>147</v>
      </c>
      <c r="AK340" s="116"/>
      <c r="AL340" s="123"/>
      <c r="AM340" s="123"/>
      <c r="AN340" s="123"/>
      <c r="AS340" s="115"/>
      <c r="AT340" s="115"/>
      <c r="AU340" s="115"/>
      <c r="AV340" s="115"/>
      <c r="AW340" s="115"/>
      <c r="AX340" s="115"/>
      <c r="AY340" s="115"/>
      <c r="AZ340" s="115"/>
      <c r="BA340" s="115"/>
      <c r="BB340" s="115"/>
      <c r="BC340" s="25"/>
      <c r="BD340" s="13"/>
      <c r="BG340" s="114"/>
    </row>
    <row r="341" spans="1:59" ht="19.5" x14ac:dyDescent="0.4">
      <c r="A341" s="117"/>
      <c r="B341" s="123"/>
      <c r="C341" s="123"/>
      <c r="D341" s="123"/>
      <c r="K341" s="115"/>
      <c r="L341" s="115"/>
      <c r="M341" s="115"/>
      <c r="N341" s="115"/>
      <c r="O341" s="115"/>
      <c r="P341" s="115"/>
      <c r="Q341" s="115"/>
      <c r="R341" s="115"/>
      <c r="S341" s="115"/>
      <c r="T341" s="26"/>
      <c r="U341" s="13"/>
      <c r="AE341" s="25"/>
      <c r="AF341" s="13"/>
      <c r="AK341" s="116"/>
      <c r="AL341" s="123"/>
      <c r="AM341" s="123"/>
      <c r="AN341" s="123"/>
      <c r="AS341" s="115"/>
      <c r="AT341" s="115"/>
      <c r="AU341" s="115"/>
      <c r="AV341" s="115"/>
      <c r="AW341" s="115"/>
      <c r="AX341" s="115"/>
      <c r="AY341" s="115"/>
      <c r="AZ341" s="115"/>
      <c r="BA341" s="115"/>
      <c r="BB341" s="115"/>
      <c r="BC341" s="25"/>
      <c r="BD341" s="13"/>
      <c r="BG341" s="114"/>
    </row>
    <row r="342" spans="1:59" ht="19.5" x14ac:dyDescent="0.4">
      <c r="A342" s="117"/>
      <c r="B342" s="123"/>
      <c r="C342" s="123"/>
      <c r="D342" s="123"/>
      <c r="T342" s="26"/>
      <c r="U342" s="13"/>
      <c r="AE342" s="25"/>
      <c r="AF342" s="13"/>
      <c r="AK342" s="116"/>
      <c r="AL342" s="123"/>
      <c r="AM342" s="123"/>
      <c r="AN342" s="123"/>
      <c r="AS342" s="115"/>
      <c r="AT342" s="115"/>
      <c r="AU342" s="115"/>
      <c r="AV342" s="115"/>
      <c r="AW342" s="115"/>
      <c r="AX342" s="115"/>
      <c r="AY342" s="115"/>
      <c r="AZ342" s="115"/>
      <c r="BA342" s="115"/>
      <c r="BB342" s="115"/>
      <c r="BC342" s="25"/>
      <c r="BD342" s="13"/>
      <c r="BG342" s="114"/>
    </row>
    <row r="343" spans="1:59" ht="19.5" x14ac:dyDescent="0.4">
      <c r="A343" s="117"/>
      <c r="B343" s="123"/>
      <c r="C343" s="123"/>
      <c r="D343" s="123"/>
      <c r="K343" s="115"/>
      <c r="L343" s="115"/>
      <c r="M343" s="115"/>
      <c r="N343" s="115"/>
      <c r="O343" s="115"/>
      <c r="P343" s="115"/>
      <c r="Q343" s="115"/>
      <c r="R343" s="115"/>
      <c r="S343" s="115"/>
      <c r="T343" s="26"/>
      <c r="U343" s="13"/>
      <c r="AE343" s="25"/>
      <c r="AF343" s="13"/>
      <c r="AK343" s="116"/>
      <c r="AL343" s="123"/>
      <c r="AM343" s="123"/>
      <c r="AN343" s="123"/>
      <c r="AS343" s="115"/>
      <c r="AT343" s="115"/>
      <c r="AU343" s="115"/>
      <c r="AV343" s="115"/>
      <c r="AW343" s="115"/>
      <c r="AX343" s="115"/>
      <c r="AY343" s="115"/>
      <c r="AZ343" s="115"/>
      <c r="BA343" s="115"/>
      <c r="BB343" s="115"/>
      <c r="BC343" s="25"/>
      <c r="BD343" s="13"/>
      <c r="BG343" s="114"/>
    </row>
    <row r="344" spans="1:59" ht="19.5" x14ac:dyDescent="0.4">
      <c r="A344" s="117"/>
      <c r="B344" s="123"/>
      <c r="C344" s="123"/>
      <c r="D344" s="123"/>
      <c r="K344" s="115"/>
      <c r="L344" s="115"/>
      <c r="M344" s="115"/>
      <c r="N344" s="115"/>
      <c r="O344" s="115"/>
      <c r="P344" s="115"/>
      <c r="Q344" s="115"/>
      <c r="R344" s="115"/>
      <c r="S344" s="115"/>
      <c r="T344" s="17"/>
      <c r="U344" s="13"/>
      <c r="AE344" s="25"/>
      <c r="AF344" s="13"/>
      <c r="AK344" s="116"/>
      <c r="AL344" s="123"/>
      <c r="AM344" s="123"/>
      <c r="AN344" s="123"/>
      <c r="AS344" s="115"/>
      <c r="AT344" s="115"/>
      <c r="AU344" s="115"/>
      <c r="AV344" s="115"/>
      <c r="AW344" s="115"/>
      <c r="AX344" s="115"/>
      <c r="AY344" s="115"/>
      <c r="AZ344" s="115"/>
      <c r="BA344" s="115"/>
      <c r="BB344" s="115"/>
      <c r="BC344" s="25"/>
      <c r="BD344" s="13"/>
      <c r="BG344" s="114"/>
    </row>
    <row r="345" spans="1:59" ht="19.5" x14ac:dyDescent="0.4">
      <c r="A345" s="117"/>
      <c r="B345" s="123"/>
      <c r="C345" s="123"/>
      <c r="D345" s="123"/>
      <c r="T345" s="26"/>
      <c r="U345" s="13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25">
        <v>45679</v>
      </c>
      <c r="AF345" s="13" t="s">
        <v>146</v>
      </c>
      <c r="AK345" s="116"/>
      <c r="AL345" s="123"/>
      <c r="AM345" s="123"/>
      <c r="AN345" s="123"/>
      <c r="AS345" s="115"/>
      <c r="AT345" s="115"/>
      <c r="AU345" s="115"/>
      <c r="AV345" s="115"/>
      <c r="AW345" s="115"/>
      <c r="AX345" s="115"/>
      <c r="AY345" s="115"/>
      <c r="AZ345" s="115"/>
      <c r="BA345" s="115"/>
      <c r="BB345" s="115"/>
      <c r="BC345" s="25"/>
      <c r="BD345" s="13"/>
      <c r="BG345" s="114"/>
    </row>
    <row r="346" spans="1:59" ht="19.5" x14ac:dyDescent="0.4">
      <c r="A346" s="117"/>
      <c r="B346" s="123"/>
      <c r="C346" s="123"/>
      <c r="D346" s="123"/>
      <c r="K346" s="115"/>
      <c r="L346" s="115"/>
      <c r="M346" s="115"/>
      <c r="N346" s="115"/>
      <c r="O346" s="115"/>
      <c r="P346" s="115"/>
      <c r="Q346" s="115"/>
      <c r="R346" s="115"/>
      <c r="S346" s="115"/>
      <c r="T346" s="26"/>
      <c r="U346" s="13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5"/>
      <c r="AF346" s="13"/>
      <c r="AK346" s="116"/>
      <c r="AL346" s="123"/>
      <c r="AM346" s="123"/>
      <c r="AN346" s="123"/>
      <c r="AS346" s="115"/>
      <c r="AT346" s="115"/>
      <c r="AU346" s="115"/>
      <c r="AV346" s="115"/>
      <c r="AW346" s="115"/>
      <c r="AX346" s="115"/>
      <c r="AY346" s="115"/>
      <c r="AZ346" s="115"/>
      <c r="BA346" s="115"/>
      <c r="BB346" s="115"/>
      <c r="BC346" s="25"/>
      <c r="BD346" s="13"/>
      <c r="BG346" s="114"/>
    </row>
    <row r="347" spans="1:59" ht="19.5" x14ac:dyDescent="0.4">
      <c r="A347" s="117"/>
      <c r="B347" s="123"/>
      <c r="C347" s="123"/>
      <c r="D347" s="123"/>
      <c r="T347" s="26"/>
      <c r="U347" s="13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25"/>
      <c r="AF347" s="13"/>
      <c r="AK347" s="116"/>
      <c r="AL347" s="123"/>
      <c r="AM347" s="123"/>
      <c r="AN347" s="123"/>
      <c r="AS347" s="115"/>
      <c r="AT347" s="115"/>
      <c r="AU347" s="115"/>
      <c r="AV347" s="115"/>
      <c r="AW347" s="115"/>
      <c r="AX347" s="115"/>
      <c r="AY347" s="115"/>
      <c r="AZ347" s="115"/>
      <c r="BA347" s="115"/>
      <c r="BB347" s="115"/>
      <c r="BC347" s="25"/>
      <c r="BD347" s="13"/>
      <c r="BG347" s="114"/>
    </row>
    <row r="348" spans="1:59" ht="19.5" x14ac:dyDescent="0.4">
      <c r="A348" s="117"/>
      <c r="B348" s="123"/>
      <c r="C348" s="123"/>
      <c r="D348" s="123"/>
      <c r="K348" s="115"/>
      <c r="L348" s="115"/>
      <c r="M348" s="115"/>
      <c r="N348" s="115"/>
      <c r="O348" s="115"/>
      <c r="P348" s="115"/>
      <c r="Q348" s="115"/>
      <c r="R348" s="115"/>
      <c r="S348" s="115"/>
      <c r="T348" s="26"/>
      <c r="U348" s="13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25"/>
      <c r="AF348" s="13"/>
      <c r="AK348" s="116"/>
      <c r="AL348" s="123"/>
      <c r="AM348" s="123"/>
      <c r="AN348" s="123"/>
      <c r="AS348" s="115"/>
      <c r="AT348" s="115"/>
      <c r="AU348" s="115"/>
      <c r="AV348" s="115"/>
      <c r="AW348" s="115"/>
      <c r="AX348" s="115"/>
      <c r="AY348" s="115"/>
      <c r="AZ348" s="115"/>
      <c r="BA348" s="115"/>
      <c r="BB348" s="115"/>
      <c r="BC348" s="25"/>
      <c r="BD348" s="13"/>
      <c r="BG348" s="114"/>
    </row>
    <row r="349" spans="1:59" ht="19.5" x14ac:dyDescent="0.4">
      <c r="A349" s="117"/>
      <c r="B349" s="123"/>
      <c r="C349" s="123"/>
      <c r="D349" s="123"/>
      <c r="K349" s="115"/>
      <c r="L349" s="115"/>
      <c r="M349" s="115"/>
      <c r="N349" s="115"/>
      <c r="O349" s="115"/>
      <c r="P349" s="115"/>
      <c r="Q349" s="115"/>
      <c r="R349" s="115"/>
      <c r="S349" s="115"/>
      <c r="T349" s="26"/>
      <c r="U349" s="13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25"/>
      <c r="AF349" s="13"/>
      <c r="AK349" s="116"/>
      <c r="AL349" s="123"/>
      <c r="AM349" s="123"/>
      <c r="AN349" s="123"/>
      <c r="AS349" s="115"/>
      <c r="AT349" s="115"/>
      <c r="AU349" s="115"/>
      <c r="AV349" s="115"/>
      <c r="AW349" s="115"/>
      <c r="AX349" s="115"/>
      <c r="AY349" s="115"/>
      <c r="AZ349" s="115"/>
      <c r="BA349" s="115"/>
      <c r="BB349" s="115"/>
      <c r="BC349" s="25"/>
      <c r="BD349" s="13"/>
      <c r="BG349" s="114"/>
    </row>
    <row r="350" spans="1:59" ht="19.5" x14ac:dyDescent="0.4">
      <c r="A350" s="117"/>
      <c r="B350" s="123"/>
      <c r="C350" s="123"/>
      <c r="D350" s="123"/>
      <c r="T350" s="26"/>
      <c r="U350" s="13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25">
        <v>45679</v>
      </c>
      <c r="AF350" s="13" t="s">
        <v>147</v>
      </c>
      <c r="AK350" s="116"/>
      <c r="AL350" s="123"/>
      <c r="AM350" s="123"/>
      <c r="AN350" s="123"/>
      <c r="AS350" s="115"/>
      <c r="AT350" s="115"/>
      <c r="AU350" s="115"/>
      <c r="AV350" s="115"/>
      <c r="AW350" s="115"/>
      <c r="AX350" s="115"/>
      <c r="AY350" s="115"/>
      <c r="AZ350" s="115"/>
      <c r="BA350" s="115"/>
      <c r="BB350" s="115"/>
      <c r="BC350" s="25"/>
      <c r="BD350" s="13"/>
      <c r="BG350" s="114"/>
    </row>
    <row r="351" spans="1:59" ht="19.5" x14ac:dyDescent="0.4">
      <c r="A351" s="117"/>
      <c r="B351" s="123"/>
      <c r="C351" s="123"/>
      <c r="D351" s="123"/>
      <c r="T351" s="26"/>
      <c r="U351" s="13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25">
        <v>45680</v>
      </c>
      <c r="AF351" s="13" t="s">
        <v>148</v>
      </c>
      <c r="AK351" s="116"/>
      <c r="AL351" s="123"/>
      <c r="AM351" s="123"/>
      <c r="AN351" s="123"/>
      <c r="AS351" s="115"/>
      <c r="AT351" s="115"/>
      <c r="AU351" s="115"/>
      <c r="AV351" s="115"/>
      <c r="AW351" s="115"/>
      <c r="AX351" s="115"/>
      <c r="AY351" s="115"/>
      <c r="AZ351" s="115"/>
      <c r="BA351" s="115"/>
      <c r="BB351" s="115"/>
      <c r="BC351" s="25"/>
      <c r="BD351" s="13"/>
      <c r="BG351" s="114"/>
    </row>
    <row r="352" spans="1:59" ht="19.5" x14ac:dyDescent="0.4">
      <c r="A352" s="117"/>
      <c r="B352" s="123"/>
      <c r="C352" s="123"/>
      <c r="D352" s="123"/>
      <c r="M352" s="115"/>
      <c r="N352" s="115"/>
      <c r="O352" s="115"/>
      <c r="P352" s="115"/>
      <c r="Q352" s="115"/>
      <c r="R352" s="115"/>
      <c r="S352" s="115"/>
      <c r="T352" s="17"/>
      <c r="U352" s="13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25"/>
      <c r="AF352" s="13"/>
      <c r="AK352" s="116"/>
      <c r="AL352" s="123"/>
      <c r="AM352" s="123"/>
      <c r="AN352" s="123"/>
      <c r="AS352" s="115"/>
      <c r="AT352" s="115"/>
      <c r="AU352" s="115"/>
      <c r="AV352" s="115"/>
      <c r="AW352" s="115"/>
      <c r="AX352" s="115"/>
      <c r="AY352" s="115"/>
      <c r="AZ352" s="115"/>
      <c r="BA352" s="115"/>
      <c r="BB352" s="115"/>
      <c r="BC352" s="25"/>
      <c r="BD352" s="13"/>
      <c r="BG352" s="114"/>
    </row>
    <row r="353" spans="1:59" ht="19.5" x14ac:dyDescent="0.4">
      <c r="A353" s="117"/>
      <c r="B353" s="123"/>
      <c r="C353" s="123"/>
      <c r="D353" s="123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26"/>
      <c r="U353" s="13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25"/>
      <c r="AF353" s="13"/>
      <c r="AK353" s="116"/>
      <c r="AL353" s="123"/>
      <c r="AM353" s="123"/>
      <c r="AN353" s="123"/>
      <c r="AS353" s="115"/>
      <c r="AT353" s="115"/>
      <c r="AU353" s="115"/>
      <c r="AV353" s="115"/>
      <c r="AW353" s="115"/>
      <c r="AX353" s="115"/>
      <c r="AY353" s="115"/>
      <c r="AZ353" s="115"/>
      <c r="BA353" s="115"/>
      <c r="BB353" s="115"/>
      <c r="BC353" s="25"/>
      <c r="BD353" s="13"/>
      <c r="BG353" s="114"/>
    </row>
    <row r="354" spans="1:59" ht="19.5" x14ac:dyDescent="0.4">
      <c r="A354" s="117"/>
      <c r="B354" s="123"/>
      <c r="C354" s="123"/>
      <c r="D354" s="123"/>
      <c r="T354" s="26"/>
      <c r="U354" s="13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25">
        <v>45680</v>
      </c>
      <c r="AF354" s="13" t="s">
        <v>147</v>
      </c>
      <c r="AK354" s="116"/>
      <c r="AL354" s="123"/>
      <c r="AM354" s="123"/>
      <c r="AN354" s="123"/>
      <c r="AS354" s="115"/>
      <c r="AT354" s="115"/>
      <c r="AU354" s="115"/>
      <c r="AV354" s="115"/>
      <c r="AW354" s="115"/>
      <c r="AX354" s="115"/>
      <c r="AY354" s="115"/>
      <c r="AZ354" s="115"/>
      <c r="BA354" s="115"/>
      <c r="BB354" s="115"/>
      <c r="BC354" s="25"/>
      <c r="BD354" s="13"/>
      <c r="BG354" s="114"/>
    </row>
    <row r="355" spans="1:59" ht="19.5" x14ac:dyDescent="0.4">
      <c r="A355" s="117"/>
      <c r="B355" s="123"/>
      <c r="C355" s="123"/>
      <c r="D355" s="123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26"/>
      <c r="U355" s="13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25"/>
      <c r="AF355" s="13"/>
      <c r="AK355" s="116"/>
      <c r="AL355" s="123"/>
      <c r="AM355" s="123"/>
      <c r="AN355" s="123"/>
      <c r="AS355" s="115"/>
      <c r="AT355" s="115"/>
      <c r="AU355" s="115"/>
      <c r="AV355" s="115"/>
      <c r="AW355" s="115"/>
      <c r="AX355" s="115"/>
      <c r="AY355" s="115"/>
      <c r="AZ355" s="115"/>
      <c r="BA355" s="115"/>
      <c r="BB355" s="115"/>
      <c r="BC355" s="25"/>
      <c r="BD355" s="13"/>
      <c r="BG355" s="114"/>
    </row>
    <row r="356" spans="1:59" ht="19.5" x14ac:dyDescent="0.4">
      <c r="A356" s="117"/>
      <c r="B356" s="123"/>
      <c r="C356" s="123"/>
      <c r="D356" s="123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26"/>
      <c r="U356" s="13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25"/>
      <c r="AF356" s="13"/>
      <c r="AK356" s="116"/>
      <c r="AL356" s="123"/>
      <c r="AM356" s="123"/>
      <c r="AN356" s="123"/>
      <c r="AS356" s="115"/>
      <c r="AT356" s="115"/>
      <c r="AU356" s="115"/>
      <c r="AV356" s="115"/>
      <c r="AW356" s="115"/>
      <c r="AX356" s="115"/>
      <c r="AY356" s="115"/>
      <c r="AZ356" s="115"/>
      <c r="BA356" s="115"/>
      <c r="BB356" s="115"/>
      <c r="BC356" s="25"/>
      <c r="BD356" s="13"/>
      <c r="BG356" s="114"/>
    </row>
    <row r="357" spans="1:59" ht="19.5" x14ac:dyDescent="0.4">
      <c r="A357" s="117"/>
      <c r="B357" s="123"/>
      <c r="C357" s="123"/>
      <c r="D357" s="123"/>
      <c r="T357" s="26"/>
      <c r="U357" s="13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25">
        <v>45680</v>
      </c>
      <c r="AF357" s="13" t="s">
        <v>147</v>
      </c>
      <c r="AK357" s="116"/>
      <c r="AL357" s="123"/>
      <c r="AM357" s="123"/>
      <c r="AN357" s="123"/>
      <c r="AS357" s="115"/>
      <c r="AT357" s="115"/>
      <c r="AU357" s="115"/>
      <c r="AV357" s="115"/>
      <c r="AW357" s="115"/>
      <c r="AX357" s="115"/>
      <c r="AY357" s="115"/>
      <c r="AZ357" s="115"/>
      <c r="BA357" s="115"/>
      <c r="BB357" s="115"/>
      <c r="BC357" s="25"/>
      <c r="BD357" s="13"/>
      <c r="BG357" s="114"/>
    </row>
    <row r="358" spans="1:59" ht="19.5" x14ac:dyDescent="0.4">
      <c r="A358" s="117"/>
      <c r="B358" s="123"/>
      <c r="C358" s="123"/>
      <c r="D358" s="123"/>
      <c r="T358" s="26"/>
      <c r="U358" s="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25"/>
      <c r="AF358" s="13"/>
      <c r="AK358" s="116"/>
      <c r="AL358" s="123"/>
      <c r="AM358" s="123"/>
      <c r="AN358" s="123"/>
      <c r="AS358" s="115"/>
      <c r="AT358" s="115"/>
      <c r="AU358" s="115"/>
      <c r="AV358" s="115"/>
      <c r="AW358" s="115"/>
      <c r="AX358" s="115"/>
      <c r="AY358" s="115"/>
      <c r="AZ358" s="115"/>
      <c r="BA358" s="115"/>
      <c r="BB358" s="115"/>
      <c r="BC358" s="25"/>
      <c r="BD358" s="13"/>
      <c r="BG358" s="114"/>
    </row>
    <row r="359" spans="1:59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26"/>
      <c r="U359" s="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5"/>
      <c r="AF359" s="13"/>
      <c r="AK359" s="116"/>
      <c r="AL359" s="123"/>
      <c r="AM359" s="123"/>
      <c r="AN359" s="123"/>
      <c r="AS359" s="115"/>
      <c r="AT359" s="115"/>
      <c r="AU359" s="115"/>
      <c r="AV359" s="115"/>
      <c r="AW359" s="115"/>
      <c r="AX359" s="115"/>
      <c r="AY359" s="115"/>
      <c r="AZ359" s="115"/>
      <c r="BA359" s="115"/>
      <c r="BB359" s="115"/>
      <c r="BC359" s="25"/>
      <c r="BD359" s="13"/>
      <c r="BG359" s="114"/>
    </row>
    <row r="360" spans="1:59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26"/>
      <c r="U360" s="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25"/>
      <c r="AF360" s="13"/>
      <c r="AK360" s="116"/>
      <c r="AL360" s="123"/>
      <c r="AM360" s="123"/>
      <c r="AN360" s="123"/>
      <c r="AS360" s="115"/>
      <c r="AT360" s="115"/>
      <c r="AU360" s="115"/>
      <c r="AV360" s="115"/>
      <c r="AW360" s="115"/>
      <c r="AX360" s="115"/>
      <c r="AY360" s="115"/>
      <c r="AZ360" s="115"/>
      <c r="BA360" s="115"/>
      <c r="BB360" s="115"/>
      <c r="BC360" s="25"/>
      <c r="BD360" s="13"/>
      <c r="BG360" s="114"/>
    </row>
    <row r="361" spans="1:59" ht="19.5" x14ac:dyDescent="0.4">
      <c r="A361" s="117"/>
      <c r="B361" s="123"/>
      <c r="C361" s="123"/>
      <c r="D361" s="123"/>
      <c r="T361" s="26"/>
      <c r="U361" s="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25">
        <v>45680</v>
      </c>
      <c r="AF361" s="13" t="s">
        <v>146</v>
      </c>
      <c r="AK361" s="116"/>
      <c r="AL361" s="123"/>
      <c r="AM361" s="123"/>
      <c r="AN361" s="123"/>
      <c r="AS361" s="115"/>
      <c r="AT361" s="115"/>
      <c r="AU361" s="115"/>
      <c r="AV361" s="115"/>
      <c r="AW361" s="115"/>
      <c r="AX361" s="115"/>
      <c r="AY361" s="115"/>
      <c r="AZ361" s="115"/>
      <c r="BA361" s="115"/>
      <c r="BB361" s="115"/>
      <c r="BC361" s="25"/>
      <c r="BD361" s="13"/>
      <c r="BG361" s="114"/>
    </row>
    <row r="362" spans="1:59" ht="19.5" x14ac:dyDescent="0.4">
      <c r="A362" s="117"/>
      <c r="B362" s="123"/>
      <c r="C362" s="123"/>
      <c r="D362" s="123"/>
      <c r="T362" s="26"/>
      <c r="U362" s="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25">
        <v>45680</v>
      </c>
      <c r="AF362" s="13" t="s">
        <v>146</v>
      </c>
      <c r="AK362" s="116"/>
      <c r="AL362" s="123"/>
      <c r="AM362" s="123"/>
      <c r="AN362" s="123"/>
      <c r="AS362" s="115"/>
      <c r="AT362" s="115"/>
      <c r="AU362" s="115"/>
      <c r="AV362" s="115"/>
      <c r="AW362" s="115"/>
      <c r="AX362" s="115"/>
      <c r="AY362" s="115"/>
      <c r="AZ362" s="115"/>
      <c r="BA362" s="115"/>
      <c r="BB362" s="115"/>
      <c r="BC362" s="25"/>
      <c r="BD362" s="13"/>
      <c r="BG362" s="114"/>
    </row>
    <row r="363" spans="1:59" ht="19.5" x14ac:dyDescent="0.4">
      <c r="A363" s="117"/>
      <c r="B363" s="123"/>
      <c r="C363" s="123"/>
      <c r="D363" s="123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26"/>
      <c r="U363" s="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25">
        <v>45680</v>
      </c>
      <c r="AF363" s="13" t="s">
        <v>147</v>
      </c>
      <c r="AK363" s="116"/>
      <c r="AL363" s="123"/>
      <c r="AM363" s="123"/>
      <c r="AN363" s="123"/>
      <c r="AS363" s="115"/>
      <c r="AT363" s="115"/>
      <c r="AU363" s="115"/>
      <c r="AV363" s="115"/>
      <c r="AW363" s="115"/>
      <c r="AX363" s="115"/>
      <c r="AY363" s="115"/>
      <c r="AZ363" s="115"/>
      <c r="BA363" s="115"/>
      <c r="BB363" s="115"/>
      <c r="BC363" s="25"/>
      <c r="BD363" s="13"/>
      <c r="BG363" s="114"/>
    </row>
    <row r="364" spans="1:59" ht="19.5" x14ac:dyDescent="0.4">
      <c r="A364" s="117"/>
      <c r="B364" s="123"/>
      <c r="C364" s="123"/>
      <c r="D364" s="123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26"/>
      <c r="U364" s="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25"/>
      <c r="AF364" s="13"/>
      <c r="AK364" s="116"/>
      <c r="AL364" s="123"/>
      <c r="AM364" s="123"/>
      <c r="AN364" s="123"/>
      <c r="AS364" s="115"/>
      <c r="AT364" s="115"/>
      <c r="AU364" s="115"/>
      <c r="AV364" s="115"/>
      <c r="AW364" s="115"/>
      <c r="AX364" s="115"/>
      <c r="AY364" s="115"/>
      <c r="AZ364" s="115"/>
      <c r="BA364" s="115"/>
      <c r="BB364" s="115"/>
      <c r="BC364" s="25"/>
      <c r="BD364" s="13"/>
      <c r="BG364" s="114"/>
    </row>
    <row r="365" spans="1:59" ht="19.5" x14ac:dyDescent="0.4">
      <c r="A365" s="117"/>
      <c r="B365" s="123"/>
      <c r="C365" s="123"/>
      <c r="D365" s="123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7"/>
      <c r="U365" s="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25"/>
      <c r="AF365" s="13"/>
      <c r="AK365" s="116"/>
      <c r="AL365" s="123"/>
      <c r="AM365" s="123"/>
      <c r="AN365" s="123"/>
      <c r="AS365" s="115"/>
      <c r="AT365" s="115"/>
      <c r="AU365" s="115"/>
      <c r="AV365" s="115"/>
      <c r="AW365" s="115"/>
      <c r="AX365" s="115"/>
      <c r="AY365" s="115"/>
      <c r="AZ365" s="115"/>
      <c r="BA365" s="115"/>
      <c r="BB365" s="115"/>
      <c r="BC365" s="25"/>
      <c r="BD365" s="13"/>
      <c r="BG365" s="114"/>
    </row>
    <row r="366" spans="1:59" ht="19.5" x14ac:dyDescent="0.4">
      <c r="A366" s="117"/>
      <c r="B366" s="123"/>
      <c r="C366" s="123"/>
      <c r="D366" s="123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26"/>
      <c r="U366" s="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25"/>
      <c r="AF366" s="13"/>
      <c r="AK366" s="116"/>
      <c r="AL366" s="123"/>
      <c r="AM366" s="123"/>
      <c r="AN366" s="123"/>
      <c r="AS366" s="115"/>
      <c r="AT366" s="115"/>
      <c r="AU366" s="115"/>
      <c r="AV366" s="115"/>
      <c r="AW366" s="115"/>
      <c r="AX366" s="115"/>
      <c r="AY366" s="115"/>
      <c r="AZ366" s="115"/>
      <c r="BA366" s="115"/>
      <c r="BB366" s="115"/>
      <c r="BC366" s="25"/>
      <c r="BD366" s="13"/>
      <c r="BG366" s="114"/>
    </row>
    <row r="367" spans="1:59" ht="19.5" x14ac:dyDescent="0.4">
      <c r="A367" s="117"/>
      <c r="B367" s="123"/>
      <c r="C367" s="123"/>
      <c r="D367" s="123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7"/>
      <c r="U367" s="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25"/>
      <c r="AF367" s="13"/>
      <c r="AK367" s="116"/>
      <c r="AL367" s="123"/>
      <c r="AM367" s="123"/>
      <c r="AN367" s="123"/>
      <c r="AS367" s="115"/>
      <c r="AT367" s="115"/>
      <c r="AU367" s="115"/>
      <c r="AV367" s="115"/>
      <c r="AW367" s="115"/>
      <c r="AX367" s="115"/>
      <c r="AY367" s="115"/>
      <c r="AZ367" s="115"/>
      <c r="BA367" s="115"/>
      <c r="BB367" s="115"/>
      <c r="BC367" s="25"/>
      <c r="BD367" s="13"/>
      <c r="BG367" s="114"/>
    </row>
    <row r="368" spans="1:59" ht="19.5" x14ac:dyDescent="0.4">
      <c r="A368" s="117"/>
      <c r="B368" s="123"/>
      <c r="C368" s="123"/>
      <c r="D368" s="123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26"/>
      <c r="U368" s="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25">
        <v>45680</v>
      </c>
      <c r="AF368" s="15" t="s">
        <v>142</v>
      </c>
      <c r="AK368" s="116"/>
      <c r="AL368" s="123"/>
      <c r="AM368" s="123"/>
      <c r="AN368" s="123"/>
      <c r="AS368" s="115"/>
      <c r="AT368" s="115"/>
      <c r="AU368" s="115"/>
      <c r="AV368" s="115"/>
      <c r="AW368" s="115"/>
      <c r="AX368" s="115"/>
      <c r="AY368" s="115"/>
      <c r="AZ368" s="115"/>
      <c r="BA368" s="115"/>
      <c r="BB368" s="115"/>
      <c r="BC368" s="25"/>
      <c r="BD368" s="13"/>
      <c r="BG368" s="114"/>
    </row>
    <row r="369" spans="1:59" ht="19.5" x14ac:dyDescent="0.4">
      <c r="A369" s="117"/>
      <c r="B369" s="123"/>
      <c r="C369" s="123"/>
      <c r="D369" s="123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7"/>
      <c r="U369" s="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25"/>
      <c r="AF369" s="15"/>
      <c r="AK369" s="116"/>
      <c r="AL369" s="123"/>
      <c r="AM369" s="123"/>
      <c r="AN369" s="123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115"/>
      <c r="BC369" s="25"/>
      <c r="BD369" s="13"/>
      <c r="BG369" s="114"/>
    </row>
    <row r="370" spans="1:59" ht="19.5" x14ac:dyDescent="0.4">
      <c r="A370" s="117"/>
      <c r="B370" s="123"/>
      <c r="C370" s="123"/>
      <c r="D370" s="123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26"/>
      <c r="U370" s="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25"/>
      <c r="AF370" s="15"/>
      <c r="AK370" s="116"/>
      <c r="AL370" s="123"/>
      <c r="AM370" s="123"/>
      <c r="AN370" s="123"/>
      <c r="AS370" s="115"/>
      <c r="AT370" s="115"/>
      <c r="AU370" s="115"/>
      <c r="AV370" s="115"/>
      <c r="AW370" s="115"/>
      <c r="AX370" s="115"/>
      <c r="AY370" s="115"/>
      <c r="AZ370" s="115"/>
      <c r="BA370" s="115"/>
      <c r="BB370" s="115"/>
      <c r="BC370" s="25"/>
      <c r="BD370" s="13"/>
      <c r="BG370" s="114"/>
    </row>
    <row r="371" spans="1:59" ht="19.5" x14ac:dyDescent="0.4">
      <c r="A371" s="117"/>
      <c r="B371" s="123"/>
      <c r="C371" s="123"/>
      <c r="D371" s="123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26"/>
      <c r="U371" s="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25">
        <v>45680</v>
      </c>
      <c r="AF371" s="15" t="s">
        <v>146</v>
      </c>
      <c r="AK371" s="116"/>
      <c r="AL371" s="123"/>
      <c r="AM371" s="123"/>
      <c r="AN371" s="123"/>
      <c r="AS371" s="115"/>
      <c r="AT371" s="115"/>
      <c r="AU371" s="115"/>
      <c r="AV371" s="115"/>
      <c r="AW371" s="115"/>
      <c r="AX371" s="115"/>
      <c r="AY371" s="115"/>
      <c r="AZ371" s="115"/>
      <c r="BA371" s="115"/>
      <c r="BB371" s="115"/>
      <c r="BC371" s="25"/>
      <c r="BD371" s="13"/>
      <c r="BG371" s="114"/>
    </row>
    <row r="372" spans="1:59" ht="19.5" x14ac:dyDescent="0.4">
      <c r="A372" s="117"/>
      <c r="B372" s="123"/>
      <c r="C372" s="123"/>
      <c r="D372" s="123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26"/>
      <c r="U372" s="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5"/>
      <c r="AF372" s="15"/>
      <c r="AK372" s="116"/>
      <c r="AL372" s="123"/>
      <c r="AM372" s="123"/>
      <c r="AN372" s="123"/>
      <c r="AS372" s="115"/>
      <c r="AT372" s="115"/>
      <c r="AU372" s="115"/>
      <c r="AV372" s="115"/>
      <c r="AW372" s="115"/>
      <c r="AX372" s="115"/>
      <c r="AY372" s="115"/>
      <c r="AZ372" s="115"/>
      <c r="BA372" s="115"/>
      <c r="BB372" s="115"/>
      <c r="BC372" s="25"/>
      <c r="BD372" s="13"/>
      <c r="BG372" s="114"/>
    </row>
    <row r="373" spans="1:59" ht="19.5" x14ac:dyDescent="0.4">
      <c r="A373" s="117"/>
      <c r="B373" s="123"/>
      <c r="C373" s="123"/>
      <c r="D373" s="123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26"/>
      <c r="U373" s="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25">
        <v>45680</v>
      </c>
      <c r="AF373" s="15" t="s">
        <v>146</v>
      </c>
      <c r="AK373" s="116"/>
      <c r="AL373" s="123"/>
      <c r="AM373" s="123"/>
      <c r="AN373" s="123"/>
      <c r="AS373" s="115"/>
      <c r="AT373" s="115"/>
      <c r="AU373" s="115"/>
      <c r="AV373" s="115"/>
      <c r="AW373" s="115"/>
      <c r="AX373" s="115"/>
      <c r="AY373" s="115"/>
      <c r="AZ373" s="115"/>
      <c r="BA373" s="115"/>
      <c r="BB373" s="115"/>
      <c r="BC373" s="25"/>
      <c r="BD373" s="13"/>
      <c r="BG373" s="114"/>
    </row>
    <row r="374" spans="1:59" ht="19.5" x14ac:dyDescent="0.4">
      <c r="A374" s="117"/>
      <c r="B374" s="123"/>
      <c r="C374" s="123"/>
      <c r="D374" s="123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26"/>
      <c r="U374" s="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25"/>
      <c r="AF374" s="15"/>
      <c r="AK374" s="116"/>
      <c r="AL374" s="123"/>
      <c r="AM374" s="123"/>
      <c r="AN374" s="123"/>
      <c r="AS374" s="115"/>
      <c r="AT374" s="115"/>
      <c r="AU374" s="115"/>
      <c r="AV374" s="115"/>
      <c r="AW374" s="115"/>
      <c r="AX374" s="115"/>
      <c r="AY374" s="115"/>
      <c r="AZ374" s="115"/>
      <c r="BA374" s="115"/>
      <c r="BB374" s="115"/>
      <c r="BC374" s="25"/>
      <c r="BD374" s="13"/>
      <c r="BG374" s="114"/>
    </row>
    <row r="375" spans="1:59" ht="19.5" x14ac:dyDescent="0.4">
      <c r="A375" s="117"/>
      <c r="B375" s="123"/>
      <c r="C375" s="123"/>
      <c r="D375" s="123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26"/>
      <c r="U375" s="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5"/>
      <c r="AF375" s="15"/>
      <c r="AK375" s="116"/>
      <c r="AL375" s="123"/>
      <c r="AM375" s="123"/>
      <c r="AN375" s="123"/>
      <c r="AS375" s="115"/>
      <c r="AT375" s="115"/>
      <c r="AU375" s="115"/>
      <c r="AV375" s="115"/>
      <c r="AW375" s="115"/>
      <c r="AX375" s="115"/>
      <c r="AY375" s="115"/>
      <c r="AZ375" s="115"/>
      <c r="BA375" s="115"/>
      <c r="BB375" s="115"/>
      <c r="BC375" s="25"/>
      <c r="BD375" s="13"/>
      <c r="BG375" s="114"/>
    </row>
    <row r="376" spans="1:59" ht="19.5" x14ac:dyDescent="0.4">
      <c r="A376" s="117"/>
      <c r="B376" s="123"/>
      <c r="C376" s="123"/>
      <c r="D376" s="123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26"/>
      <c r="U376" s="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25"/>
      <c r="AF376" s="15"/>
      <c r="AK376" s="116"/>
      <c r="AL376" s="123"/>
      <c r="AM376" s="123"/>
      <c r="AN376" s="123"/>
      <c r="AS376" s="115"/>
      <c r="AT376" s="115"/>
      <c r="AU376" s="115"/>
      <c r="AV376" s="115"/>
      <c r="AW376" s="115"/>
      <c r="AX376" s="115"/>
      <c r="AY376" s="115"/>
      <c r="AZ376" s="115"/>
      <c r="BA376" s="115"/>
      <c r="BB376" s="115"/>
      <c r="BC376" s="25"/>
      <c r="BD376" s="13"/>
      <c r="BG376" s="114"/>
    </row>
    <row r="377" spans="1:59" ht="19.5" x14ac:dyDescent="0.4">
      <c r="A377" s="117"/>
      <c r="B377" s="123"/>
      <c r="C377" s="123"/>
      <c r="D377" s="123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26"/>
      <c r="U377" s="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25">
        <v>45680</v>
      </c>
      <c r="AF377" s="15" t="s">
        <v>146</v>
      </c>
      <c r="AK377" s="116"/>
      <c r="AL377" s="123"/>
      <c r="AM377" s="123"/>
      <c r="AN377" s="123"/>
      <c r="AS377" s="115"/>
      <c r="AT377" s="115"/>
      <c r="AU377" s="115"/>
      <c r="AV377" s="115"/>
      <c r="AW377" s="115"/>
      <c r="AX377" s="115"/>
      <c r="AY377" s="115"/>
      <c r="AZ377" s="115"/>
      <c r="BA377" s="115"/>
      <c r="BB377" s="115"/>
      <c r="BC377" s="25"/>
      <c r="BD377" s="13"/>
      <c r="BG377" s="114"/>
    </row>
    <row r="378" spans="1:59" ht="19.5" x14ac:dyDescent="0.4">
      <c r="A378" s="117"/>
      <c r="B378" s="123"/>
      <c r="C378" s="123"/>
      <c r="D378" s="123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26"/>
      <c r="U378" s="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25"/>
      <c r="AF378" s="15"/>
      <c r="AK378" s="116"/>
      <c r="AL378" s="123"/>
      <c r="AM378" s="123"/>
      <c r="AN378" s="123"/>
      <c r="AS378" s="115"/>
      <c r="AT378" s="115"/>
      <c r="AU378" s="115"/>
      <c r="AV378" s="115"/>
      <c r="AW378" s="115"/>
      <c r="AX378" s="115"/>
      <c r="AY378" s="115"/>
      <c r="AZ378" s="115"/>
      <c r="BA378" s="115"/>
      <c r="BB378" s="115"/>
      <c r="BC378" s="25"/>
      <c r="BD378" s="13"/>
      <c r="BG378" s="114"/>
    </row>
    <row r="379" spans="1:59" ht="19.5" x14ac:dyDescent="0.4">
      <c r="A379" s="117"/>
      <c r="B379" s="123"/>
      <c r="C379" s="123"/>
      <c r="D379" s="123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7"/>
      <c r="U379" s="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25"/>
      <c r="AF379" s="15"/>
      <c r="AK379" s="116"/>
      <c r="AL379" s="123"/>
      <c r="AM379" s="123"/>
      <c r="AN379" s="123"/>
      <c r="AS379" s="115"/>
      <c r="AT379" s="115"/>
      <c r="AU379" s="115"/>
      <c r="AV379" s="115"/>
      <c r="AW379" s="115"/>
      <c r="AX379" s="115"/>
      <c r="AY379" s="115"/>
      <c r="AZ379" s="115"/>
      <c r="BA379" s="115"/>
      <c r="BB379" s="115"/>
      <c r="BC379" s="25"/>
      <c r="BD379" s="13"/>
      <c r="BG379" s="114"/>
    </row>
    <row r="380" spans="1:59" ht="19.5" x14ac:dyDescent="0.4">
      <c r="A380" s="117"/>
      <c r="B380" s="123"/>
      <c r="C380" s="123"/>
      <c r="D380" s="123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26"/>
      <c r="U380" s="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25">
        <v>45680</v>
      </c>
      <c r="AF380" s="15" t="s">
        <v>147</v>
      </c>
      <c r="AK380" s="116"/>
      <c r="AL380" s="123"/>
      <c r="AM380" s="123"/>
      <c r="AN380" s="123"/>
      <c r="AS380" s="115"/>
      <c r="AT380" s="115"/>
      <c r="AU380" s="115"/>
      <c r="AV380" s="115"/>
      <c r="AW380" s="115"/>
      <c r="AX380" s="115"/>
      <c r="AY380" s="115"/>
      <c r="AZ380" s="115"/>
      <c r="BA380" s="115"/>
      <c r="BB380" s="115"/>
      <c r="BC380" s="25"/>
      <c r="BD380" s="13"/>
      <c r="BG380" s="114"/>
    </row>
    <row r="381" spans="1:59" ht="19.5" x14ac:dyDescent="0.4">
      <c r="A381" s="117"/>
      <c r="B381" s="123"/>
      <c r="C381" s="123"/>
      <c r="D381" s="123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7"/>
      <c r="U381" s="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25"/>
      <c r="AF381" s="13"/>
      <c r="AK381" s="116"/>
      <c r="AL381" s="123"/>
      <c r="AM381" s="123"/>
      <c r="AN381" s="123"/>
      <c r="AS381" s="115"/>
      <c r="AT381" s="115"/>
      <c r="AU381" s="115"/>
      <c r="AV381" s="115"/>
      <c r="AW381" s="115"/>
      <c r="AX381" s="115"/>
      <c r="AY381" s="115"/>
      <c r="AZ381" s="115"/>
      <c r="BA381" s="115"/>
      <c r="BB381" s="115"/>
      <c r="BC381" s="25"/>
      <c r="BD381" s="13"/>
      <c r="BG381" s="114"/>
    </row>
    <row r="382" spans="1:59" ht="19.5" x14ac:dyDescent="0.4">
      <c r="A382" s="117"/>
      <c r="B382" s="123"/>
      <c r="C382" s="123"/>
      <c r="D382" s="123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26"/>
      <c r="U382" s="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25"/>
      <c r="AF382" s="13"/>
      <c r="AK382" s="116"/>
      <c r="AL382" s="123"/>
      <c r="AM382" s="123"/>
      <c r="AN382" s="123"/>
      <c r="AS382" s="115"/>
      <c r="AT382" s="115"/>
      <c r="AU382" s="115"/>
      <c r="AV382" s="115"/>
      <c r="AW382" s="115"/>
      <c r="AX382" s="115"/>
      <c r="AY382" s="115"/>
      <c r="AZ382" s="115"/>
      <c r="BA382" s="115"/>
      <c r="BB382" s="115"/>
      <c r="BC382" s="25"/>
      <c r="BD382" s="13"/>
      <c r="BG382" s="114"/>
    </row>
    <row r="383" spans="1:59" ht="19.5" x14ac:dyDescent="0.4">
      <c r="A383" s="117"/>
      <c r="B383" s="123"/>
      <c r="C383" s="123"/>
      <c r="D383" s="123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26"/>
      <c r="U383" s="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25"/>
      <c r="AF383" s="13"/>
      <c r="AK383" s="116"/>
      <c r="AL383" s="123"/>
      <c r="AM383" s="123"/>
      <c r="AN383" s="123"/>
      <c r="AS383" s="115"/>
      <c r="AT383" s="115"/>
      <c r="AU383" s="115"/>
      <c r="AV383" s="115"/>
      <c r="AW383" s="115"/>
      <c r="AX383" s="115"/>
      <c r="AY383" s="115"/>
      <c r="AZ383" s="115"/>
      <c r="BA383" s="115"/>
      <c r="BB383" s="115"/>
      <c r="BC383" s="25"/>
      <c r="BD383" s="13"/>
      <c r="BG383" s="114"/>
    </row>
    <row r="384" spans="1:59" ht="19.5" x14ac:dyDescent="0.4">
      <c r="A384" s="117"/>
      <c r="B384" s="123"/>
      <c r="C384" s="123"/>
      <c r="D384" s="123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7"/>
      <c r="U384" s="13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25"/>
      <c r="AF384" s="13"/>
      <c r="AK384" s="116"/>
      <c r="AL384" s="123"/>
      <c r="AM384" s="123"/>
      <c r="AN384" s="123"/>
      <c r="AS384" s="115"/>
      <c r="AT384" s="115"/>
      <c r="AU384" s="115"/>
      <c r="AV384" s="115"/>
      <c r="AW384" s="115"/>
      <c r="AX384" s="115"/>
      <c r="AY384" s="115"/>
      <c r="AZ384" s="115"/>
      <c r="BA384" s="115"/>
      <c r="BB384" s="115"/>
      <c r="BC384" s="25"/>
      <c r="BD384" s="13"/>
      <c r="BG384" s="114"/>
    </row>
    <row r="385" spans="1:59" ht="19.5" x14ac:dyDescent="0.4">
      <c r="A385" s="117"/>
      <c r="B385" s="123"/>
      <c r="C385" s="123"/>
      <c r="D385" s="123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7"/>
      <c r="U385" s="13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25"/>
      <c r="AF385" s="13"/>
      <c r="AK385" s="116"/>
      <c r="AL385" s="123"/>
      <c r="AM385" s="123"/>
      <c r="AN385" s="123"/>
      <c r="AS385" s="115"/>
      <c r="AT385" s="115"/>
      <c r="AU385" s="115"/>
      <c r="AV385" s="115"/>
      <c r="AW385" s="115"/>
      <c r="AX385" s="115"/>
      <c r="AY385" s="115"/>
      <c r="AZ385" s="115"/>
      <c r="BA385" s="115"/>
      <c r="BB385" s="115"/>
      <c r="BC385" s="25"/>
      <c r="BD385" s="13"/>
      <c r="BG385" s="114"/>
    </row>
    <row r="386" spans="1:59" ht="19.5" x14ac:dyDescent="0.4">
      <c r="A386" s="117"/>
      <c r="B386" s="123"/>
      <c r="C386" s="123"/>
      <c r="D386" s="123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26"/>
      <c r="U386" s="13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25"/>
      <c r="AF386" s="13"/>
      <c r="AK386" s="116"/>
      <c r="AL386" s="123"/>
      <c r="AM386" s="123"/>
      <c r="AN386" s="123"/>
      <c r="AS386" s="115"/>
      <c r="AT386" s="115"/>
      <c r="AU386" s="115"/>
      <c r="AV386" s="115"/>
      <c r="AW386" s="115"/>
      <c r="AX386" s="115"/>
      <c r="AY386" s="115"/>
      <c r="AZ386" s="115"/>
      <c r="BA386" s="115"/>
      <c r="BB386" s="115"/>
      <c r="BC386" s="25"/>
      <c r="BD386" s="13"/>
      <c r="BG386" s="114"/>
    </row>
    <row r="387" spans="1:59" ht="19.5" x14ac:dyDescent="0.4">
      <c r="A387" s="117"/>
      <c r="B387" s="123"/>
      <c r="C387" s="123"/>
      <c r="D387" s="123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26"/>
      <c r="U387" s="13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5"/>
      <c r="AF387" s="13"/>
      <c r="AK387" s="116"/>
      <c r="AL387" s="123"/>
      <c r="AM387" s="123"/>
      <c r="AN387" s="123"/>
      <c r="AS387" s="115"/>
      <c r="AT387" s="115"/>
      <c r="AU387" s="115"/>
      <c r="AV387" s="115"/>
      <c r="AW387" s="115"/>
      <c r="AX387" s="115"/>
      <c r="AY387" s="115"/>
      <c r="AZ387" s="115"/>
      <c r="BA387" s="115"/>
      <c r="BB387" s="115"/>
      <c r="BC387" s="25"/>
      <c r="BD387" s="13"/>
      <c r="BG387" s="114"/>
    </row>
    <row r="388" spans="1:59" ht="19.5" x14ac:dyDescent="0.4">
      <c r="A388" s="117"/>
      <c r="B388" s="123"/>
      <c r="C388" s="123"/>
      <c r="D388" s="123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26"/>
      <c r="U388" s="13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25"/>
      <c r="AF388" s="13"/>
      <c r="AK388" s="116"/>
      <c r="AL388" s="123"/>
      <c r="AM388" s="123"/>
      <c r="AN388" s="123"/>
      <c r="AS388" s="115"/>
      <c r="AT388" s="115"/>
      <c r="AU388" s="115"/>
      <c r="AV388" s="115"/>
      <c r="AW388" s="115"/>
      <c r="AX388" s="115"/>
      <c r="AY388" s="115"/>
      <c r="AZ388" s="115"/>
      <c r="BA388" s="115"/>
      <c r="BB388" s="115"/>
      <c r="BC388" s="25"/>
      <c r="BD388" s="13"/>
      <c r="BG388" s="114"/>
    </row>
    <row r="389" spans="1:59" ht="19.5" x14ac:dyDescent="0.4">
      <c r="A389" s="117"/>
      <c r="B389" s="123"/>
      <c r="C389" s="123"/>
      <c r="D389" s="123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26"/>
      <c r="U389" s="13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5"/>
      <c r="AF389" s="13"/>
      <c r="AK389" s="116"/>
      <c r="AL389" s="123"/>
      <c r="AM389" s="123"/>
      <c r="AN389" s="123"/>
      <c r="AS389" s="115"/>
      <c r="AT389" s="115"/>
      <c r="AU389" s="115"/>
      <c r="AV389" s="115"/>
      <c r="AW389" s="115"/>
      <c r="AX389" s="115"/>
      <c r="AY389" s="115"/>
      <c r="AZ389" s="115"/>
      <c r="BA389" s="115"/>
      <c r="BB389" s="115"/>
      <c r="BC389" s="25"/>
      <c r="BD389" s="13"/>
      <c r="BG389" s="114"/>
    </row>
    <row r="390" spans="1:59" ht="19.5" x14ac:dyDescent="0.4">
      <c r="A390" s="117"/>
      <c r="B390" s="123"/>
      <c r="C390" s="123"/>
      <c r="D390" s="123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26"/>
      <c r="U390" s="13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5">
        <v>45680</v>
      </c>
      <c r="AF390" s="13" t="s">
        <v>146</v>
      </c>
      <c r="AK390" s="116"/>
      <c r="AL390" s="123"/>
      <c r="AM390" s="123"/>
      <c r="AN390" s="123"/>
      <c r="AS390" s="115"/>
      <c r="AT390" s="115"/>
      <c r="AU390" s="115"/>
      <c r="AV390" s="115"/>
      <c r="AW390" s="115"/>
      <c r="AX390" s="115"/>
      <c r="AY390" s="115"/>
      <c r="AZ390" s="115"/>
      <c r="BA390" s="115"/>
      <c r="BB390" s="115"/>
      <c r="BC390" s="25"/>
      <c r="BD390" s="13"/>
      <c r="BG390" s="114"/>
    </row>
    <row r="391" spans="1:59" ht="19.5" x14ac:dyDescent="0.4">
      <c r="A391" s="117"/>
      <c r="B391" s="123"/>
      <c r="C391" s="123"/>
      <c r="D391" s="123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7"/>
      <c r="U391" s="13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25"/>
      <c r="AF391" s="13"/>
      <c r="AK391" s="116"/>
      <c r="AL391" s="123"/>
      <c r="AM391" s="123"/>
      <c r="AN391" s="123"/>
      <c r="AS391" s="115"/>
      <c r="AT391" s="115"/>
      <c r="AU391" s="115"/>
      <c r="AV391" s="115"/>
      <c r="AW391" s="115"/>
      <c r="AX391" s="115"/>
      <c r="AY391" s="115"/>
      <c r="AZ391" s="115"/>
      <c r="BA391" s="115"/>
      <c r="BB391" s="115"/>
      <c r="BC391" s="25"/>
      <c r="BD391" s="13"/>
      <c r="BG391" s="114"/>
    </row>
    <row r="392" spans="1:59" ht="19.5" x14ac:dyDescent="0.4">
      <c r="A392" s="117"/>
      <c r="B392" s="123"/>
      <c r="C392" s="123"/>
      <c r="D392" s="123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26"/>
      <c r="U392" s="13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25">
        <v>45680</v>
      </c>
      <c r="AF392" s="13" t="s">
        <v>147</v>
      </c>
      <c r="AK392" s="116"/>
      <c r="AL392" s="123"/>
      <c r="AM392" s="123"/>
      <c r="AN392" s="123"/>
      <c r="AS392" s="115"/>
      <c r="AT392" s="115"/>
      <c r="AU392" s="115"/>
      <c r="AV392" s="115"/>
      <c r="AW392" s="115"/>
      <c r="AX392" s="115"/>
      <c r="AY392" s="115"/>
      <c r="AZ392" s="115"/>
      <c r="BA392" s="115"/>
      <c r="BB392" s="115"/>
      <c r="BC392" s="25"/>
      <c r="BD392" s="13"/>
      <c r="BG392" s="114"/>
    </row>
    <row r="393" spans="1:59" ht="19.5" x14ac:dyDescent="0.4">
      <c r="A393" s="117"/>
      <c r="B393" s="123"/>
      <c r="C393" s="123"/>
      <c r="D393" s="123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26"/>
      <c r="U393" s="13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5">
        <v>45680</v>
      </c>
      <c r="AF393" s="13" t="s">
        <v>146</v>
      </c>
      <c r="AK393" s="116"/>
      <c r="AL393" s="123"/>
      <c r="AM393" s="123"/>
      <c r="AN393" s="123"/>
      <c r="AS393" s="115"/>
      <c r="AT393" s="115"/>
      <c r="AU393" s="115"/>
      <c r="AV393" s="115"/>
      <c r="AW393" s="115"/>
      <c r="AX393" s="115"/>
      <c r="AY393" s="115"/>
      <c r="AZ393" s="115"/>
      <c r="BA393" s="115"/>
      <c r="BB393" s="115"/>
      <c r="BC393" s="25"/>
      <c r="BD393" s="13"/>
      <c r="BG393" s="114"/>
    </row>
    <row r="394" spans="1:59" ht="19.5" x14ac:dyDescent="0.4">
      <c r="A394" s="117"/>
      <c r="B394" s="123"/>
      <c r="C394" s="123"/>
      <c r="D394" s="123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7"/>
      <c r="U394" s="13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25"/>
      <c r="AF394" s="13"/>
      <c r="AK394" s="116"/>
      <c r="AL394" s="123"/>
      <c r="AM394" s="123"/>
      <c r="AN394" s="123"/>
      <c r="AS394" s="115"/>
      <c r="AT394" s="115"/>
      <c r="AU394" s="115"/>
      <c r="AV394" s="115"/>
      <c r="AW394" s="115"/>
      <c r="AX394" s="115"/>
      <c r="AY394" s="115"/>
      <c r="AZ394" s="115"/>
      <c r="BA394" s="115"/>
      <c r="BB394" s="115"/>
      <c r="BC394" s="25"/>
      <c r="BD394" s="13"/>
      <c r="BG394" s="114"/>
    </row>
    <row r="395" spans="1:59" ht="19.5" x14ac:dyDescent="0.4">
      <c r="A395" s="117"/>
      <c r="B395" s="123"/>
      <c r="C395" s="123"/>
      <c r="D395" s="123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26"/>
      <c r="U395" s="13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25"/>
      <c r="AF395" s="13"/>
      <c r="AK395" s="116"/>
      <c r="AL395" s="123"/>
      <c r="AM395" s="123"/>
      <c r="AN395" s="123"/>
      <c r="AS395" s="115"/>
      <c r="AT395" s="115"/>
      <c r="AU395" s="115"/>
      <c r="AV395" s="115"/>
      <c r="AW395" s="115"/>
      <c r="AX395" s="115"/>
      <c r="AY395" s="115"/>
      <c r="AZ395" s="115"/>
      <c r="BA395" s="115"/>
      <c r="BB395" s="115"/>
      <c r="BC395" s="25"/>
      <c r="BD395" s="13"/>
      <c r="BG395" s="114"/>
    </row>
    <row r="396" spans="1:59" ht="19.5" x14ac:dyDescent="0.4">
      <c r="A396" s="117"/>
      <c r="B396" s="123"/>
      <c r="C396" s="123"/>
      <c r="D396" s="123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7"/>
      <c r="U396" s="13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25"/>
      <c r="AF396" s="13"/>
      <c r="AK396" s="116"/>
      <c r="AL396" s="123"/>
      <c r="AM396" s="123"/>
      <c r="AN396" s="123"/>
      <c r="AS396" s="115"/>
      <c r="AT396" s="115"/>
      <c r="AU396" s="115"/>
      <c r="AV396" s="115"/>
      <c r="AW396" s="115"/>
      <c r="AX396" s="115"/>
      <c r="AY396" s="115"/>
      <c r="AZ396" s="115"/>
      <c r="BA396" s="115"/>
      <c r="BB396" s="115"/>
      <c r="BC396" s="25"/>
      <c r="BD396" s="13"/>
      <c r="BG396" s="114"/>
    </row>
    <row r="397" spans="1:59" ht="19.5" x14ac:dyDescent="0.4">
      <c r="A397" s="117"/>
      <c r="B397" s="123"/>
      <c r="C397" s="123"/>
      <c r="D397" s="123"/>
      <c r="T397" s="26"/>
      <c r="U397" s="13"/>
      <c r="AE397" s="25">
        <v>45680</v>
      </c>
      <c r="AF397" s="13" t="s">
        <v>146</v>
      </c>
      <c r="AK397" s="117"/>
      <c r="AL397" s="123"/>
      <c r="AM397" s="123"/>
      <c r="AN397" s="123"/>
      <c r="AS397" s="115"/>
      <c r="AT397" s="115"/>
      <c r="AU397" s="115"/>
      <c r="AV397" s="115"/>
      <c r="AW397" s="115"/>
      <c r="AX397" s="115"/>
      <c r="AY397" s="115"/>
      <c r="AZ397" s="115"/>
      <c r="BA397" s="115"/>
      <c r="BB397" s="115" t="s">
        <v>149</v>
      </c>
      <c r="BC397" s="13">
        <f>SUBTOTAL(3,BC2:BC2)</f>
        <v>1</v>
      </c>
      <c r="BD397" s="13">
        <f>SUBTOTAL(3,BD2:BD2)</f>
        <v>1</v>
      </c>
      <c r="BG397" s="114"/>
    </row>
    <row r="398" spans="1:59" ht="19.5" x14ac:dyDescent="0.4">
      <c r="A398" s="117"/>
      <c r="B398" s="123"/>
      <c r="C398" s="123"/>
      <c r="D398" s="123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7"/>
      <c r="U398" s="13"/>
      <c r="AE398" s="25"/>
      <c r="AF398" s="13"/>
      <c r="AK398" s="117"/>
      <c r="AL398" s="123"/>
      <c r="AM398" s="123"/>
      <c r="AN398" s="123"/>
      <c r="AS398" s="115"/>
      <c r="AT398" s="115"/>
      <c r="AU398" s="115"/>
      <c r="AV398" s="115"/>
      <c r="AW398" s="115"/>
      <c r="AX398" s="115"/>
      <c r="AY398" s="115"/>
      <c r="AZ398" s="115"/>
      <c r="BA398" s="115"/>
      <c r="BB398" s="115"/>
      <c r="BC398" s="13"/>
      <c r="BD398" s="13"/>
      <c r="BG398" s="114"/>
    </row>
    <row r="399" spans="1:59" ht="19.5" x14ac:dyDescent="0.4">
      <c r="A399" s="117"/>
      <c r="B399" s="123"/>
      <c r="C399" s="123"/>
      <c r="D399" s="123"/>
      <c r="T399" s="26"/>
      <c r="U399" s="13"/>
      <c r="AE399" s="25"/>
      <c r="AF399" s="13"/>
      <c r="AK399" s="117"/>
      <c r="AL399" s="123"/>
      <c r="AM399" s="123"/>
      <c r="AN399" s="123"/>
      <c r="AS399" s="115"/>
      <c r="AT399" s="115"/>
      <c r="AU399" s="115"/>
      <c r="AV399" s="115"/>
      <c r="AW399" s="115"/>
      <c r="AX399" s="115"/>
      <c r="AY399" s="115"/>
      <c r="AZ399" s="115"/>
      <c r="BA399" s="115"/>
      <c r="BB399" s="115"/>
      <c r="BC399" s="13"/>
      <c r="BD399" s="13"/>
      <c r="BG399" s="114"/>
    </row>
    <row r="400" spans="1:59" ht="19.5" x14ac:dyDescent="0.4">
      <c r="A400" s="117"/>
      <c r="B400" s="123"/>
      <c r="C400" s="123"/>
      <c r="D400" s="123"/>
      <c r="T400" s="26"/>
      <c r="U400" s="13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25">
        <v>45682</v>
      </c>
      <c r="AF400" s="13" t="s">
        <v>147</v>
      </c>
      <c r="AK400" s="117"/>
      <c r="AL400" s="123"/>
      <c r="AM400" s="123"/>
      <c r="AN400" s="123"/>
      <c r="AS400" s="115"/>
      <c r="AT400" s="115"/>
      <c r="AU400" s="115"/>
      <c r="AV400" s="115"/>
      <c r="AW400" s="115"/>
      <c r="AX400" s="115"/>
      <c r="AY400" s="115"/>
      <c r="AZ400" s="115"/>
      <c r="BA400" s="115"/>
      <c r="BB400" s="115"/>
      <c r="BC400" s="13"/>
      <c r="BD400" s="13"/>
      <c r="BG400" s="114"/>
    </row>
    <row r="401" spans="1:59" ht="19.5" x14ac:dyDescent="0.4">
      <c r="A401" s="117"/>
      <c r="B401" s="123"/>
      <c r="C401" s="123"/>
      <c r="D401" s="123"/>
      <c r="T401" s="26"/>
      <c r="U401" s="13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25">
        <v>45682</v>
      </c>
      <c r="AF401" s="13" t="s">
        <v>146</v>
      </c>
      <c r="AK401" s="117"/>
      <c r="AL401" s="123"/>
      <c r="AM401" s="123"/>
      <c r="AN401" s="123"/>
      <c r="AS401" s="115"/>
      <c r="AT401" s="115"/>
      <c r="AU401" s="115"/>
      <c r="AV401" s="115"/>
      <c r="AW401" s="115"/>
      <c r="AX401" s="115"/>
      <c r="AY401" s="115"/>
      <c r="AZ401" s="115"/>
      <c r="BA401" s="115"/>
      <c r="BB401" s="115"/>
      <c r="BC401" s="13"/>
      <c r="BD401" s="13"/>
      <c r="BG401" s="114"/>
    </row>
    <row r="402" spans="1:59" ht="19.5" x14ac:dyDescent="0.4">
      <c r="A402" s="117"/>
      <c r="B402" s="123"/>
      <c r="C402" s="123"/>
      <c r="D402" s="123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26"/>
      <c r="U402" s="13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25"/>
      <c r="AF402" s="13"/>
      <c r="AK402" s="117"/>
      <c r="AL402" s="123"/>
      <c r="AM402" s="123"/>
      <c r="AN402" s="123"/>
      <c r="AS402" s="115"/>
      <c r="AT402" s="115"/>
      <c r="AU402" s="115"/>
      <c r="AV402" s="115"/>
      <c r="AW402" s="115"/>
      <c r="AX402" s="115"/>
      <c r="AY402" s="115"/>
      <c r="AZ402" s="115"/>
      <c r="BA402" s="115"/>
      <c r="BB402" s="115"/>
      <c r="BC402" s="13"/>
      <c r="BD402" s="13"/>
      <c r="BG402" s="114"/>
    </row>
    <row r="403" spans="1:59" ht="19.5" x14ac:dyDescent="0.4">
      <c r="A403" s="117"/>
      <c r="B403" s="123"/>
      <c r="C403" s="123"/>
      <c r="D403" s="123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26"/>
      <c r="U403" s="13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25"/>
      <c r="AF403" s="13"/>
      <c r="AK403" s="117"/>
      <c r="AL403" s="123"/>
      <c r="AM403" s="123"/>
      <c r="AN403" s="123"/>
      <c r="AS403" s="115"/>
      <c r="AT403" s="115"/>
      <c r="AU403" s="115"/>
      <c r="AV403" s="115"/>
      <c r="AW403" s="115"/>
      <c r="AX403" s="115"/>
      <c r="AY403" s="115"/>
      <c r="AZ403" s="115"/>
      <c r="BA403" s="115"/>
      <c r="BB403" s="115"/>
      <c r="BC403" s="13"/>
      <c r="BD403" s="13"/>
      <c r="BG403" s="114"/>
    </row>
    <row r="404" spans="1:59" ht="19.5" x14ac:dyDescent="0.4">
      <c r="A404" s="117"/>
      <c r="B404" s="123"/>
      <c r="C404" s="123"/>
      <c r="D404" s="123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7"/>
      <c r="U404" s="13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25"/>
      <c r="AF404" s="13"/>
      <c r="AK404" s="117"/>
      <c r="AL404" s="123"/>
      <c r="AM404" s="123"/>
      <c r="AN404" s="123"/>
      <c r="AS404" s="115"/>
      <c r="AT404" s="115"/>
      <c r="AU404" s="115"/>
      <c r="AV404" s="115"/>
      <c r="AW404" s="115"/>
      <c r="AX404" s="115"/>
      <c r="AY404" s="115"/>
      <c r="AZ404" s="115"/>
      <c r="BA404" s="115"/>
      <c r="BB404" s="115"/>
      <c r="BC404" s="13"/>
      <c r="BD404" s="13"/>
      <c r="BG404" s="114"/>
    </row>
    <row r="405" spans="1:59" ht="19.5" x14ac:dyDescent="0.4">
      <c r="A405" s="117"/>
      <c r="B405" s="123"/>
      <c r="C405" s="123"/>
      <c r="D405" s="123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26"/>
      <c r="U405" s="13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25"/>
      <c r="AF405" s="13"/>
      <c r="AK405" s="117"/>
      <c r="AL405" s="123"/>
      <c r="AM405" s="123"/>
      <c r="AN405" s="123"/>
      <c r="AS405" s="115"/>
      <c r="AT405" s="115"/>
      <c r="AU405" s="115"/>
      <c r="AV405" s="115"/>
      <c r="AW405" s="115"/>
      <c r="AX405" s="115"/>
      <c r="AY405" s="115"/>
      <c r="AZ405" s="115"/>
      <c r="BA405" s="115"/>
      <c r="BB405" s="115"/>
      <c r="BC405" s="13"/>
      <c r="BD405" s="13"/>
      <c r="BG405" s="114"/>
    </row>
    <row r="406" spans="1:59" ht="19.5" x14ac:dyDescent="0.4">
      <c r="A406" s="117"/>
      <c r="B406" s="123"/>
      <c r="C406" s="123"/>
      <c r="D406" s="123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7"/>
      <c r="U406" s="13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25"/>
      <c r="AF406" s="13"/>
      <c r="AK406" s="117"/>
      <c r="AL406" s="123"/>
      <c r="AM406" s="123"/>
      <c r="AN406" s="123"/>
      <c r="AS406" s="115"/>
      <c r="AT406" s="115"/>
      <c r="AU406" s="115"/>
      <c r="AV406" s="115"/>
      <c r="AW406" s="115"/>
      <c r="AX406" s="115"/>
      <c r="AY406" s="115"/>
      <c r="AZ406" s="115"/>
      <c r="BA406" s="115"/>
      <c r="BB406" s="115"/>
      <c r="BC406" s="13"/>
      <c r="BD406" s="13"/>
      <c r="BG406" s="114"/>
    </row>
    <row r="407" spans="1:59" ht="19.5" x14ac:dyDescent="0.4">
      <c r="A407" s="117"/>
      <c r="B407" s="123"/>
      <c r="C407" s="123"/>
      <c r="D407" s="123"/>
      <c r="T407" s="26"/>
      <c r="U407" s="13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25">
        <v>45682</v>
      </c>
      <c r="AF407" s="13" t="s">
        <v>147</v>
      </c>
      <c r="AK407" s="117"/>
      <c r="AL407" s="123"/>
      <c r="AM407" s="123"/>
      <c r="AN407" s="123"/>
      <c r="AS407" s="115"/>
      <c r="AT407" s="115"/>
      <c r="AU407" s="115"/>
      <c r="AV407" s="115"/>
      <c r="AW407" s="115"/>
      <c r="AX407" s="115"/>
      <c r="AY407" s="115"/>
      <c r="AZ407" s="115"/>
      <c r="BA407" s="115"/>
      <c r="BB407" s="115"/>
      <c r="BC407" s="13"/>
      <c r="BD407" s="13"/>
      <c r="BG407" s="114"/>
    </row>
    <row r="408" spans="1:59" ht="19.5" x14ac:dyDescent="0.4">
      <c r="A408" s="117"/>
      <c r="B408" s="123"/>
      <c r="C408" s="123"/>
      <c r="D408" s="123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7"/>
      <c r="U408" s="13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5"/>
      <c r="AF408" s="13"/>
      <c r="AK408" s="117"/>
      <c r="AL408" s="123"/>
      <c r="AM408" s="123"/>
      <c r="AN408" s="123"/>
      <c r="AS408" s="115"/>
      <c r="AT408" s="115"/>
      <c r="AU408" s="115"/>
      <c r="AV408" s="115"/>
      <c r="AW408" s="115"/>
      <c r="AX408" s="115"/>
      <c r="AY408" s="115"/>
      <c r="AZ408" s="115"/>
      <c r="BA408" s="115"/>
      <c r="BB408" s="115"/>
      <c r="BC408" s="13"/>
      <c r="BD408" s="13"/>
      <c r="BG408" s="114"/>
    </row>
    <row r="409" spans="1:59" ht="19.5" x14ac:dyDescent="0.4">
      <c r="A409" s="117"/>
      <c r="B409" s="123"/>
      <c r="C409" s="123"/>
      <c r="D409" s="123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7"/>
      <c r="U409" s="13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25"/>
      <c r="AF409" s="13"/>
      <c r="AK409" s="117"/>
      <c r="AL409" s="123"/>
      <c r="AM409" s="123"/>
      <c r="AN409" s="123"/>
      <c r="AS409" s="115"/>
      <c r="AT409" s="115"/>
      <c r="AU409" s="115"/>
      <c r="AV409" s="115"/>
      <c r="AW409" s="115"/>
      <c r="AX409" s="115"/>
      <c r="AY409" s="115"/>
      <c r="AZ409" s="115"/>
      <c r="BA409" s="115"/>
      <c r="BB409" s="115"/>
      <c r="BC409" s="13"/>
      <c r="BD409" s="13"/>
      <c r="BG409" s="114"/>
    </row>
    <row r="410" spans="1:59" ht="19.5" x14ac:dyDescent="0.4">
      <c r="A410" s="117"/>
      <c r="B410" s="123"/>
      <c r="C410" s="123"/>
      <c r="D410" s="123"/>
      <c r="T410" s="129"/>
      <c r="U410" s="13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25"/>
      <c r="AF410" s="13"/>
      <c r="AK410" s="117"/>
      <c r="AL410" s="123"/>
      <c r="AM410" s="123"/>
      <c r="AN410" s="123"/>
      <c r="AS410" s="115"/>
      <c r="AT410" s="115"/>
      <c r="AU410" s="115"/>
      <c r="AV410" s="115"/>
      <c r="AW410" s="115"/>
      <c r="AX410" s="115"/>
      <c r="AY410" s="115"/>
      <c r="AZ410" s="115"/>
      <c r="BA410" s="115"/>
      <c r="BB410" s="115"/>
      <c r="BC410" s="13"/>
      <c r="BD410" s="13"/>
      <c r="BG410" s="114"/>
    </row>
    <row r="411" spans="1:59" ht="19.5" x14ac:dyDescent="0.4">
      <c r="A411" s="117"/>
      <c r="B411" s="123"/>
      <c r="C411" s="123"/>
      <c r="D411" s="123"/>
      <c r="T411" s="26"/>
      <c r="U411" s="13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25"/>
      <c r="AF411" s="13"/>
      <c r="AK411" s="117"/>
      <c r="AL411" s="123"/>
      <c r="AM411" s="123"/>
      <c r="AN411" s="123"/>
      <c r="AS411" s="115"/>
      <c r="AT411" s="115"/>
      <c r="AU411" s="115"/>
      <c r="AV411" s="115"/>
      <c r="AW411" s="115"/>
      <c r="AX411" s="115"/>
      <c r="AY411" s="115"/>
      <c r="AZ411" s="115"/>
      <c r="BA411" s="115"/>
      <c r="BB411" s="115"/>
      <c r="BC411" s="13"/>
      <c r="BD411" s="13"/>
      <c r="BG411" s="114"/>
    </row>
    <row r="412" spans="1:59" ht="19.5" x14ac:dyDescent="0.4">
      <c r="A412" s="117"/>
      <c r="B412" s="123"/>
      <c r="C412" s="123"/>
      <c r="D412" s="123"/>
      <c r="T412" s="26"/>
      <c r="U412" s="13"/>
      <c r="AE412" s="25">
        <v>45682</v>
      </c>
      <c r="AF412" s="15" t="s">
        <v>146</v>
      </c>
      <c r="AK412" s="117"/>
      <c r="AL412" s="123"/>
      <c r="AM412" s="123"/>
      <c r="AN412" s="123"/>
      <c r="AS412" s="115"/>
      <c r="AT412" s="115"/>
      <c r="AU412" s="115"/>
      <c r="AV412" s="115"/>
      <c r="AW412" s="115"/>
      <c r="AX412" s="115"/>
      <c r="AY412" s="115"/>
      <c r="AZ412" s="115"/>
      <c r="BA412" s="115"/>
      <c r="BB412" s="115"/>
      <c r="BC412" s="13"/>
      <c r="BD412" s="13"/>
      <c r="BG412" s="114"/>
    </row>
    <row r="413" spans="1:59" ht="19.5" x14ac:dyDescent="0.4">
      <c r="A413" s="117"/>
      <c r="B413" s="123"/>
      <c r="C413" s="123"/>
      <c r="D413" s="123"/>
      <c r="T413" s="129"/>
      <c r="U413" s="13"/>
      <c r="AE413" s="25"/>
      <c r="AF413" s="15"/>
      <c r="AK413" s="117"/>
      <c r="AL413" s="123"/>
      <c r="AM413" s="123"/>
      <c r="AN413" s="123"/>
      <c r="AS413" s="115"/>
      <c r="AT413" s="115"/>
      <c r="AU413" s="115"/>
      <c r="AV413" s="115"/>
      <c r="AW413" s="115"/>
      <c r="AX413" s="115"/>
      <c r="AY413" s="115"/>
      <c r="AZ413" s="115"/>
      <c r="BA413" s="115"/>
      <c r="BB413" s="115"/>
      <c r="BC413" s="13"/>
      <c r="BD413" s="13"/>
      <c r="BG413" s="114"/>
    </row>
    <row r="414" spans="1:59" ht="19.5" x14ac:dyDescent="0.4">
      <c r="A414" s="117"/>
      <c r="B414" s="123"/>
      <c r="C414" s="123"/>
      <c r="D414" s="123"/>
      <c r="T414" s="26"/>
      <c r="U414" s="13"/>
      <c r="AE414" s="25"/>
      <c r="AF414" s="15"/>
      <c r="AK414" s="117"/>
      <c r="AL414" s="123"/>
      <c r="AM414" s="123"/>
      <c r="AN414" s="123"/>
      <c r="AS414" s="115"/>
      <c r="AT414" s="115"/>
      <c r="AU414" s="115"/>
      <c r="AV414" s="115"/>
      <c r="AW414" s="115"/>
      <c r="AX414" s="115"/>
      <c r="AY414" s="115"/>
      <c r="AZ414" s="115"/>
      <c r="BA414" s="115"/>
      <c r="BB414" s="115"/>
      <c r="BC414" s="13"/>
      <c r="BD414" s="13"/>
      <c r="BG414" s="114"/>
    </row>
    <row r="415" spans="1:59" ht="19.5" x14ac:dyDescent="0.4">
      <c r="A415" s="117"/>
      <c r="B415" s="123"/>
      <c r="C415" s="123"/>
      <c r="D415" s="123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26"/>
      <c r="U415" s="13"/>
      <c r="AE415" s="25"/>
      <c r="AF415" s="15"/>
      <c r="AK415" s="117"/>
      <c r="AL415" s="123"/>
      <c r="AM415" s="123"/>
      <c r="AN415" s="123"/>
      <c r="AS415" s="115"/>
      <c r="AT415" s="115"/>
      <c r="AU415" s="115"/>
      <c r="AV415" s="115"/>
      <c r="AW415" s="115"/>
      <c r="AX415" s="115"/>
      <c r="AY415" s="115"/>
      <c r="AZ415" s="115"/>
      <c r="BA415" s="115"/>
      <c r="BB415" s="115"/>
      <c r="BC415" s="13"/>
      <c r="BD415" s="13"/>
      <c r="BG415" s="114"/>
    </row>
    <row r="416" spans="1:59" ht="19.5" x14ac:dyDescent="0.4">
      <c r="A416" s="117"/>
      <c r="B416" s="123"/>
      <c r="C416" s="123"/>
      <c r="D416" s="123"/>
      <c r="T416" s="26"/>
      <c r="U416" s="13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25">
        <v>45682</v>
      </c>
      <c r="AF416" s="15" t="s">
        <v>146</v>
      </c>
      <c r="AK416" s="117"/>
      <c r="AL416" s="123"/>
      <c r="AM416" s="123"/>
      <c r="AN416" s="123"/>
      <c r="AS416" s="115"/>
      <c r="AT416" s="115"/>
      <c r="AU416" s="115"/>
      <c r="AV416" s="115"/>
      <c r="AW416" s="115"/>
      <c r="AX416" s="115"/>
      <c r="AY416" s="115"/>
      <c r="AZ416" s="115"/>
      <c r="BA416" s="115"/>
      <c r="BB416" s="115"/>
      <c r="BC416" s="13"/>
      <c r="BD416" s="13"/>
      <c r="BG416" s="114"/>
    </row>
    <row r="417" spans="1:59" ht="19.5" x14ac:dyDescent="0.4">
      <c r="A417" s="117"/>
      <c r="B417" s="123"/>
      <c r="C417" s="123"/>
      <c r="D417" s="123"/>
      <c r="T417" s="129"/>
      <c r="U417" s="13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25"/>
      <c r="AF417" s="15"/>
      <c r="AK417" s="117"/>
      <c r="AL417" s="123"/>
      <c r="AM417" s="123"/>
      <c r="AN417" s="123"/>
      <c r="AS417" s="115"/>
      <c r="AT417" s="115"/>
      <c r="AU417" s="115"/>
      <c r="AV417" s="115"/>
      <c r="AW417" s="115"/>
      <c r="AX417" s="115"/>
      <c r="AY417" s="115"/>
      <c r="AZ417" s="115"/>
      <c r="BA417" s="115"/>
      <c r="BB417" s="115"/>
      <c r="BC417" s="13"/>
      <c r="BD417" s="13"/>
      <c r="BG417" s="114"/>
    </row>
    <row r="418" spans="1:59" ht="19.5" x14ac:dyDescent="0.4">
      <c r="A418" s="117"/>
      <c r="B418" s="123"/>
      <c r="C418" s="123"/>
      <c r="D418" s="123"/>
      <c r="T418" s="26"/>
      <c r="U418" s="13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25">
        <v>45682</v>
      </c>
      <c r="AF418" s="15" t="s">
        <v>148</v>
      </c>
      <c r="AK418" s="117"/>
      <c r="AL418" s="123"/>
      <c r="AM418" s="123"/>
      <c r="AN418" s="123"/>
      <c r="AS418" s="115"/>
      <c r="AT418" s="115"/>
      <c r="AU418" s="115"/>
      <c r="AV418" s="115"/>
      <c r="AW418" s="115"/>
      <c r="AX418" s="115"/>
      <c r="AY418" s="115"/>
      <c r="AZ418" s="115"/>
      <c r="BA418" s="115"/>
      <c r="BB418" s="115"/>
      <c r="BC418" s="13"/>
      <c r="BD418" s="13"/>
      <c r="BG418" s="114"/>
    </row>
    <row r="419" spans="1:59" ht="19.5" x14ac:dyDescent="0.4">
      <c r="A419" s="117"/>
      <c r="B419" s="123"/>
      <c r="C419" s="123"/>
      <c r="D419" s="123"/>
      <c r="T419" s="26"/>
      <c r="U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5">
        <v>45682</v>
      </c>
      <c r="AF419" s="15" t="s">
        <v>146</v>
      </c>
      <c r="AK419" s="117"/>
      <c r="AL419" s="123"/>
      <c r="AM419" s="123"/>
      <c r="AN419" s="123"/>
      <c r="AS419" s="115"/>
      <c r="AT419" s="115"/>
      <c r="AU419" s="115"/>
      <c r="AV419" s="115"/>
      <c r="AW419" s="115"/>
      <c r="AX419" s="115"/>
      <c r="AY419" s="115"/>
      <c r="AZ419" s="115"/>
      <c r="BA419" s="115"/>
      <c r="BB419" s="115"/>
      <c r="BC419" s="13"/>
      <c r="BD419" s="13"/>
      <c r="BG419" s="114"/>
    </row>
    <row r="420" spans="1:59" ht="19.5" x14ac:dyDescent="0.4">
      <c r="A420" s="117"/>
      <c r="B420" s="123"/>
      <c r="C420" s="123"/>
      <c r="D420" s="123"/>
      <c r="T420" s="26"/>
      <c r="U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5">
        <v>45682</v>
      </c>
      <c r="AF420" s="15" t="s">
        <v>148</v>
      </c>
      <c r="AK420" s="117"/>
      <c r="AL420" s="123"/>
      <c r="AM420" s="123"/>
      <c r="AN420" s="123"/>
      <c r="AS420" s="115"/>
      <c r="AT420" s="115"/>
      <c r="AU420" s="115"/>
      <c r="AV420" s="115"/>
      <c r="AW420" s="115"/>
      <c r="AX420" s="115"/>
      <c r="AY420" s="115"/>
      <c r="AZ420" s="115"/>
      <c r="BA420" s="115"/>
      <c r="BB420" s="115"/>
      <c r="BC420" s="13"/>
      <c r="BD420" s="13"/>
      <c r="BG420" s="114"/>
    </row>
    <row r="421" spans="1:59" ht="19.5" x14ac:dyDescent="0.4">
      <c r="A421" s="117"/>
      <c r="B421" s="123"/>
      <c r="C421" s="123"/>
      <c r="D421" s="123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26"/>
      <c r="U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5"/>
      <c r="AF421" s="15"/>
      <c r="AK421" s="117"/>
      <c r="AL421" s="123"/>
      <c r="AM421" s="123"/>
      <c r="AN421" s="123"/>
      <c r="AS421" s="115"/>
      <c r="AT421" s="115"/>
      <c r="AU421" s="115"/>
      <c r="AV421" s="115"/>
      <c r="AW421" s="115"/>
      <c r="AX421" s="115"/>
      <c r="AY421" s="115"/>
      <c r="AZ421" s="115"/>
      <c r="BA421" s="115"/>
      <c r="BB421" s="115"/>
      <c r="BC421" s="13"/>
      <c r="BD421" s="13"/>
      <c r="BG421" s="114"/>
    </row>
    <row r="422" spans="1:59" ht="19.5" x14ac:dyDescent="0.4">
      <c r="A422" s="117"/>
      <c r="B422" s="123"/>
      <c r="C422" s="123"/>
      <c r="D422" s="123"/>
      <c r="T422" s="26"/>
      <c r="U422" s="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25">
        <v>45682</v>
      </c>
      <c r="AF422" s="15" t="s">
        <v>148</v>
      </c>
      <c r="AK422" s="117"/>
      <c r="AL422" s="123"/>
      <c r="AM422" s="123"/>
      <c r="AN422" s="123"/>
      <c r="AS422" s="115"/>
      <c r="AT422" s="115"/>
      <c r="AU422" s="115"/>
      <c r="AV422" s="115"/>
      <c r="AW422" s="115"/>
      <c r="AX422" s="115"/>
      <c r="AY422" s="115"/>
      <c r="AZ422" s="115"/>
      <c r="BA422" s="115"/>
      <c r="BB422" s="115"/>
      <c r="BC422" s="13"/>
      <c r="BD422" s="13"/>
      <c r="BG422" s="114"/>
    </row>
    <row r="423" spans="1:59" ht="19.5" x14ac:dyDescent="0.4">
      <c r="A423" s="117"/>
      <c r="B423" s="123"/>
      <c r="C423" s="123"/>
      <c r="D423" s="123"/>
      <c r="T423" s="26"/>
      <c r="U423" s="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25">
        <v>45682</v>
      </c>
      <c r="AF423" s="105" t="s">
        <v>148</v>
      </c>
      <c r="AK423" s="117"/>
      <c r="AL423" s="123"/>
      <c r="AM423" s="123"/>
      <c r="AN423" s="123"/>
      <c r="AS423" s="115"/>
      <c r="AT423" s="115"/>
      <c r="AU423" s="115"/>
      <c r="AV423" s="115"/>
      <c r="AW423" s="115"/>
      <c r="AX423" s="115"/>
      <c r="AY423" s="115"/>
      <c r="AZ423" s="115"/>
      <c r="BA423" s="115"/>
      <c r="BB423" s="115"/>
      <c r="BC423" s="13"/>
      <c r="BD423" s="13"/>
      <c r="BG423" s="114"/>
    </row>
    <row r="424" spans="1:59" ht="19.5" x14ac:dyDescent="0.4">
      <c r="A424" s="117"/>
      <c r="B424" s="123"/>
      <c r="C424" s="123"/>
      <c r="D424" s="123"/>
      <c r="T424" s="26"/>
      <c r="U424" s="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25">
        <v>45682</v>
      </c>
      <c r="AF424" s="105" t="s">
        <v>146</v>
      </c>
      <c r="AK424" s="117"/>
      <c r="AL424" s="123"/>
      <c r="AM424" s="123"/>
      <c r="AN424" s="123"/>
      <c r="AS424" s="115"/>
      <c r="AT424" s="115"/>
      <c r="AU424" s="115"/>
      <c r="AV424" s="115"/>
      <c r="AW424" s="115"/>
      <c r="AX424" s="115"/>
      <c r="AY424" s="115"/>
      <c r="AZ424" s="115"/>
      <c r="BA424" s="115"/>
      <c r="BB424" s="115"/>
      <c r="BC424" s="13"/>
      <c r="BD424" s="13"/>
      <c r="BG424" s="114"/>
    </row>
    <row r="425" spans="1:59" ht="19.5" x14ac:dyDescent="0.4">
      <c r="A425" s="117"/>
      <c r="B425" s="123"/>
      <c r="C425" s="123"/>
      <c r="D425" s="123"/>
      <c r="T425" s="129"/>
      <c r="U425" s="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25"/>
      <c r="AF425" s="105"/>
      <c r="AK425" s="117"/>
      <c r="AL425" s="123"/>
      <c r="AM425" s="123"/>
      <c r="AN425" s="123"/>
      <c r="AS425" s="115"/>
      <c r="AT425" s="115"/>
      <c r="AU425" s="115"/>
      <c r="AV425" s="115"/>
      <c r="AW425" s="115"/>
      <c r="AX425" s="115"/>
      <c r="AY425" s="115"/>
      <c r="AZ425" s="115"/>
      <c r="BA425" s="115"/>
      <c r="BB425" s="115"/>
      <c r="BC425" s="13"/>
      <c r="BD425" s="13"/>
      <c r="BG425" s="114"/>
    </row>
    <row r="426" spans="1:59" ht="19.5" x14ac:dyDescent="0.4">
      <c r="A426" s="117"/>
      <c r="B426" s="123"/>
      <c r="C426" s="123"/>
      <c r="D426" s="123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26"/>
      <c r="U426" s="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25">
        <v>45682</v>
      </c>
      <c r="AF426" s="15" t="s">
        <v>146</v>
      </c>
      <c r="AK426" s="117"/>
      <c r="AL426" s="123"/>
      <c r="AM426" s="123"/>
      <c r="AN426" s="123"/>
      <c r="AS426" s="115"/>
      <c r="AT426" s="115"/>
      <c r="AU426" s="115"/>
      <c r="AV426" s="115"/>
      <c r="AW426" s="115"/>
      <c r="AX426" s="115"/>
      <c r="AY426" s="115"/>
      <c r="AZ426" s="115"/>
      <c r="BA426" s="115"/>
      <c r="BB426" s="115"/>
      <c r="BC426" s="13"/>
      <c r="BD426" s="13"/>
      <c r="BG426" s="114"/>
    </row>
    <row r="427" spans="1:59" ht="19.5" x14ac:dyDescent="0.4">
      <c r="A427" s="117"/>
      <c r="B427" s="123"/>
      <c r="C427" s="123"/>
      <c r="D427" s="123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26"/>
      <c r="U427" s="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25">
        <v>45683</v>
      </c>
      <c r="AF427" s="13" t="s">
        <v>147</v>
      </c>
      <c r="AK427" s="117"/>
      <c r="AL427" s="123"/>
      <c r="AM427" s="123"/>
      <c r="AN427" s="123"/>
      <c r="AS427" s="115"/>
      <c r="AT427" s="115"/>
      <c r="AU427" s="115"/>
      <c r="AV427" s="115"/>
      <c r="AW427" s="115"/>
      <c r="AX427" s="115"/>
      <c r="AY427" s="115"/>
      <c r="AZ427" s="115"/>
      <c r="BA427" s="115"/>
      <c r="BB427" s="115"/>
      <c r="BC427" s="13"/>
      <c r="BD427" s="13"/>
      <c r="BG427" s="114"/>
    </row>
    <row r="428" spans="1:59" ht="19.5" x14ac:dyDescent="0.4">
      <c r="A428" s="117"/>
      <c r="B428" s="123"/>
      <c r="C428" s="123"/>
      <c r="D428" s="123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26"/>
      <c r="U428" s="13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25">
        <v>45683</v>
      </c>
      <c r="AF428" s="13" t="s">
        <v>147</v>
      </c>
      <c r="AK428" s="117"/>
      <c r="AL428" s="123"/>
      <c r="AM428" s="123"/>
      <c r="AN428" s="123"/>
      <c r="AS428" s="115"/>
      <c r="AT428" s="115"/>
      <c r="AU428" s="115"/>
      <c r="AV428" s="115"/>
      <c r="AW428" s="115"/>
      <c r="AX428" s="115"/>
      <c r="AY428" s="115"/>
      <c r="AZ428" s="115"/>
      <c r="BA428" s="115"/>
      <c r="BB428" s="115"/>
      <c r="BC428" s="13"/>
      <c r="BD428" s="13"/>
      <c r="BG428" s="114"/>
    </row>
    <row r="429" spans="1:59" ht="19.5" x14ac:dyDescent="0.4">
      <c r="A429" s="117"/>
      <c r="B429" s="123"/>
      <c r="C429" s="123"/>
      <c r="D429" s="123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26"/>
      <c r="U429" s="13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25"/>
      <c r="AF429" s="13"/>
      <c r="AK429" s="117"/>
      <c r="AL429" s="123"/>
      <c r="AM429" s="123"/>
      <c r="AN429" s="123"/>
      <c r="AS429" s="115"/>
      <c r="AT429" s="115"/>
      <c r="AU429" s="115"/>
      <c r="AV429" s="115"/>
      <c r="AW429" s="115"/>
      <c r="AX429" s="115"/>
      <c r="AY429" s="115"/>
      <c r="AZ429" s="115"/>
      <c r="BA429" s="115"/>
      <c r="BB429" s="115"/>
      <c r="BC429" s="13"/>
      <c r="BD429" s="13"/>
      <c r="BG429" s="114"/>
    </row>
    <row r="430" spans="1:59" ht="19.5" x14ac:dyDescent="0.4">
      <c r="A430" s="117"/>
      <c r="B430" s="123"/>
      <c r="C430" s="123"/>
      <c r="D430" s="123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26"/>
      <c r="U430" s="13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25">
        <v>45684</v>
      </c>
      <c r="AF430" s="13" t="s">
        <v>146</v>
      </c>
      <c r="AK430" s="117"/>
      <c r="AL430" s="123"/>
      <c r="AM430" s="123"/>
      <c r="AN430" s="123"/>
      <c r="AS430" s="115"/>
      <c r="AT430" s="115"/>
      <c r="AU430" s="115"/>
      <c r="AV430" s="115"/>
      <c r="AW430" s="115"/>
      <c r="AX430" s="115"/>
      <c r="AY430" s="115"/>
      <c r="AZ430" s="115"/>
      <c r="BA430" s="115"/>
      <c r="BB430" s="115"/>
      <c r="BC430" s="13"/>
      <c r="BD430" s="13"/>
      <c r="BG430" s="114"/>
    </row>
    <row r="431" spans="1:59" ht="19.5" x14ac:dyDescent="0.4">
      <c r="A431" s="117"/>
      <c r="B431" s="123"/>
      <c r="C431" s="123"/>
      <c r="D431" s="123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26"/>
      <c r="U431" s="13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25"/>
      <c r="AF431" s="13"/>
      <c r="AK431" s="117"/>
      <c r="AL431" s="123"/>
      <c r="AM431" s="123"/>
      <c r="AN431" s="123"/>
      <c r="AS431" s="115"/>
      <c r="AT431" s="115"/>
      <c r="AU431" s="115"/>
      <c r="AV431" s="115"/>
      <c r="AW431" s="115"/>
      <c r="AX431" s="115"/>
      <c r="AY431" s="115"/>
      <c r="AZ431" s="115"/>
      <c r="BA431" s="115"/>
      <c r="BB431" s="115"/>
      <c r="BC431" s="13"/>
      <c r="BD431" s="13"/>
      <c r="BG431" s="114"/>
    </row>
    <row r="432" spans="1:59" ht="19.5" x14ac:dyDescent="0.4">
      <c r="A432" s="117"/>
      <c r="B432" s="123"/>
      <c r="C432" s="123"/>
      <c r="D432" s="123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29"/>
      <c r="U432" s="13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5"/>
      <c r="AF432" s="13"/>
      <c r="AK432" s="117"/>
      <c r="AL432" s="123"/>
      <c r="AM432" s="123"/>
      <c r="AN432" s="123"/>
      <c r="AS432" s="115"/>
      <c r="AT432" s="115"/>
      <c r="AU432" s="115"/>
      <c r="AV432" s="115"/>
      <c r="AW432" s="115"/>
      <c r="AX432" s="115"/>
      <c r="AY432" s="115"/>
      <c r="AZ432" s="115"/>
      <c r="BA432" s="115"/>
      <c r="BB432" s="115"/>
      <c r="BC432" s="13"/>
      <c r="BD432" s="13"/>
      <c r="BG432" s="114"/>
    </row>
    <row r="433" spans="1:59" ht="19.5" x14ac:dyDescent="0.4">
      <c r="A433" s="117"/>
      <c r="B433" s="123"/>
      <c r="C433" s="123"/>
      <c r="D433" s="123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26"/>
      <c r="U433" s="13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25">
        <v>45684</v>
      </c>
      <c r="AF433" s="13" t="s">
        <v>148</v>
      </c>
      <c r="AK433" s="117"/>
      <c r="AL433" s="123"/>
      <c r="AM433" s="123"/>
      <c r="AN433" s="123"/>
      <c r="AS433" s="115"/>
      <c r="AT433" s="115"/>
      <c r="AU433" s="115"/>
      <c r="AV433" s="115"/>
      <c r="AW433" s="115"/>
      <c r="AX433" s="115"/>
      <c r="AY433" s="115"/>
      <c r="AZ433" s="115"/>
      <c r="BA433" s="115"/>
      <c r="BB433" s="115"/>
      <c r="BC433" s="13"/>
      <c r="BD433" s="13"/>
      <c r="BG433" s="114"/>
    </row>
    <row r="434" spans="1:59" ht="19.5" x14ac:dyDescent="0.4">
      <c r="A434" s="117"/>
      <c r="B434" s="123"/>
      <c r="C434" s="123"/>
      <c r="D434" s="123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26"/>
      <c r="U434" s="13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25"/>
      <c r="AF434" s="13"/>
      <c r="AK434" s="117"/>
      <c r="AL434" s="123"/>
      <c r="AM434" s="123"/>
      <c r="AN434" s="123"/>
      <c r="AS434" s="115"/>
      <c r="AT434" s="115"/>
      <c r="AU434" s="115"/>
      <c r="AV434" s="115"/>
      <c r="AW434" s="115"/>
      <c r="AX434" s="115"/>
      <c r="AY434" s="115"/>
      <c r="AZ434" s="115"/>
      <c r="BA434" s="115"/>
      <c r="BB434" s="115"/>
      <c r="BC434" s="13"/>
      <c r="BD434" s="13"/>
      <c r="BG434" s="114"/>
    </row>
    <row r="435" spans="1:59" ht="19.5" x14ac:dyDescent="0.4">
      <c r="A435" s="117"/>
      <c r="B435" s="123"/>
      <c r="C435" s="123"/>
      <c r="D435" s="123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26"/>
      <c r="U435" s="13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25"/>
      <c r="AF435" s="13"/>
      <c r="AK435" s="117"/>
      <c r="AL435" s="123"/>
      <c r="AM435" s="123"/>
      <c r="AN435" s="123"/>
      <c r="AS435" s="115"/>
      <c r="AT435" s="115"/>
      <c r="AU435" s="115"/>
      <c r="AV435" s="115"/>
      <c r="AW435" s="115"/>
      <c r="AX435" s="115"/>
      <c r="AY435" s="115"/>
      <c r="AZ435" s="115"/>
      <c r="BA435" s="115"/>
      <c r="BB435" s="115"/>
      <c r="BC435" s="13"/>
      <c r="BD435" s="13"/>
      <c r="BG435" s="114"/>
    </row>
    <row r="436" spans="1:59" ht="19.5" x14ac:dyDescent="0.4">
      <c r="A436" s="117"/>
      <c r="B436" s="123"/>
      <c r="C436" s="123"/>
      <c r="D436" s="123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29"/>
      <c r="U436" s="13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25"/>
      <c r="AF436" s="13"/>
      <c r="AK436" s="117"/>
      <c r="AL436" s="123"/>
      <c r="AM436" s="123"/>
      <c r="AN436" s="123"/>
      <c r="AS436" s="115"/>
      <c r="AT436" s="115"/>
      <c r="AU436" s="115"/>
      <c r="AV436" s="115"/>
      <c r="AW436" s="115"/>
      <c r="AX436" s="115"/>
      <c r="AY436" s="115"/>
      <c r="AZ436" s="115"/>
      <c r="BA436" s="115"/>
      <c r="BB436" s="115"/>
      <c r="BC436" s="13"/>
      <c r="BD436" s="13"/>
      <c r="BG436" s="114"/>
    </row>
    <row r="437" spans="1:59" ht="19.5" x14ac:dyDescent="0.4">
      <c r="A437" s="117"/>
      <c r="B437" s="123"/>
      <c r="C437" s="123"/>
      <c r="D437" s="123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26"/>
      <c r="U437" s="2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25"/>
      <c r="AF437" s="13"/>
      <c r="AK437" s="117"/>
      <c r="AL437" s="123"/>
      <c r="AM437" s="123"/>
      <c r="AN437" s="123"/>
      <c r="AS437" s="115"/>
      <c r="AT437" s="115"/>
      <c r="AU437" s="115"/>
      <c r="AV437" s="115"/>
      <c r="AW437" s="115"/>
      <c r="AX437" s="115"/>
      <c r="AY437" s="115"/>
      <c r="AZ437" s="115"/>
      <c r="BA437" s="115"/>
      <c r="BB437" s="115"/>
      <c r="BC437" s="13"/>
      <c r="BD437" s="13"/>
      <c r="BG437" s="114"/>
    </row>
    <row r="438" spans="1:59" ht="19.5" x14ac:dyDescent="0.4">
      <c r="A438" s="117"/>
      <c r="B438" s="123"/>
      <c r="C438" s="123"/>
      <c r="D438" s="123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26"/>
      <c r="U438" s="13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25"/>
      <c r="AF438" s="13"/>
      <c r="AK438" s="117"/>
      <c r="AL438" s="123"/>
      <c r="AM438" s="123"/>
      <c r="AN438" s="123"/>
      <c r="AS438" s="115"/>
      <c r="AT438" s="115"/>
      <c r="AU438" s="115"/>
      <c r="AV438" s="115"/>
      <c r="AW438" s="115"/>
      <c r="AX438" s="115"/>
      <c r="AY438" s="115"/>
      <c r="AZ438" s="115"/>
      <c r="BA438" s="115"/>
      <c r="BB438" s="115"/>
      <c r="BC438" s="13"/>
      <c r="BD438" s="13"/>
      <c r="BG438" s="114"/>
    </row>
    <row r="439" spans="1:59" ht="19.5" x14ac:dyDescent="0.4">
      <c r="A439" s="117"/>
      <c r="B439" s="123"/>
      <c r="C439" s="123"/>
      <c r="D439" s="123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26"/>
      <c r="U439" s="13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25"/>
      <c r="AF439" s="13"/>
      <c r="AK439" s="117"/>
      <c r="AL439" s="123"/>
      <c r="AM439" s="123"/>
      <c r="AN439" s="123"/>
      <c r="AS439" s="115"/>
      <c r="AT439" s="115"/>
      <c r="AU439" s="115"/>
      <c r="AV439" s="115"/>
      <c r="AW439" s="115"/>
      <c r="AX439" s="115"/>
      <c r="AY439" s="115"/>
      <c r="AZ439" s="115"/>
      <c r="BA439" s="115"/>
      <c r="BB439" s="115"/>
      <c r="BC439" s="13"/>
      <c r="BD439" s="13"/>
      <c r="BG439" s="114"/>
    </row>
    <row r="440" spans="1:59" ht="19.5" x14ac:dyDescent="0.4">
      <c r="A440" s="117"/>
      <c r="B440" s="123"/>
      <c r="C440" s="123"/>
      <c r="D440" s="123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29"/>
      <c r="U440" s="13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25"/>
      <c r="AF440" s="13"/>
      <c r="AK440" s="117"/>
      <c r="AL440" s="123"/>
      <c r="AM440" s="123"/>
      <c r="AN440" s="123"/>
      <c r="AS440" s="115"/>
      <c r="AT440" s="115"/>
      <c r="AU440" s="115"/>
      <c r="AV440" s="115"/>
      <c r="AW440" s="115"/>
      <c r="AX440" s="115"/>
      <c r="AY440" s="115"/>
      <c r="AZ440" s="115"/>
      <c r="BA440" s="115"/>
      <c r="BB440" s="115"/>
      <c r="BC440" s="13"/>
      <c r="BD440" s="13"/>
      <c r="BG440" s="114"/>
    </row>
    <row r="441" spans="1:59" ht="19.5" x14ac:dyDescent="0.4">
      <c r="A441" s="117"/>
      <c r="B441" s="123"/>
      <c r="C441" s="123"/>
      <c r="D441" s="123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26"/>
      <c r="U441" s="134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5"/>
      <c r="AF441" s="13"/>
      <c r="AK441" s="117"/>
      <c r="AL441" s="123"/>
      <c r="AM441" s="123"/>
      <c r="AN441" s="123"/>
      <c r="AS441" s="115"/>
      <c r="AT441" s="115"/>
      <c r="AU441" s="115"/>
      <c r="AV441" s="115"/>
      <c r="AW441" s="115"/>
      <c r="AX441" s="115"/>
      <c r="AY441" s="115"/>
      <c r="AZ441" s="115"/>
      <c r="BA441" s="115"/>
      <c r="BB441" s="115"/>
      <c r="BC441" s="13"/>
      <c r="BD441" s="13"/>
      <c r="BG441" s="114"/>
    </row>
    <row r="442" spans="1:59" ht="19.5" x14ac:dyDescent="0.4">
      <c r="A442" s="117"/>
      <c r="B442" s="123"/>
      <c r="C442" s="123"/>
      <c r="D442" s="123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26"/>
      <c r="U442" s="13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25">
        <v>45684</v>
      </c>
      <c r="AF442" s="13" t="s">
        <v>147</v>
      </c>
      <c r="AK442" s="117"/>
      <c r="AL442" s="123"/>
      <c r="AM442" s="123"/>
      <c r="AN442" s="123"/>
      <c r="AS442" s="115"/>
      <c r="AT442" s="115"/>
      <c r="AU442" s="115"/>
      <c r="AV442" s="115"/>
      <c r="AW442" s="115"/>
      <c r="AX442" s="115"/>
      <c r="AY442" s="115"/>
      <c r="AZ442" s="115"/>
      <c r="BA442" s="115"/>
      <c r="BB442" s="115"/>
      <c r="BC442" s="13"/>
      <c r="BD442" s="13"/>
      <c r="BG442" s="114"/>
    </row>
    <row r="443" spans="1:59" ht="19.5" x14ac:dyDescent="0.4">
      <c r="A443" s="117"/>
      <c r="B443" s="123"/>
      <c r="C443" s="123"/>
      <c r="D443" s="123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29"/>
      <c r="U443" s="13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25"/>
      <c r="AF443" s="13"/>
      <c r="AK443" s="117"/>
      <c r="AL443" s="123"/>
      <c r="AM443" s="123"/>
      <c r="AN443" s="123"/>
      <c r="AS443" s="115"/>
      <c r="AT443" s="115"/>
      <c r="AU443" s="115"/>
      <c r="AV443" s="115"/>
      <c r="AW443" s="115"/>
      <c r="AX443" s="115"/>
      <c r="AY443" s="115"/>
      <c r="AZ443" s="115"/>
      <c r="BA443" s="115"/>
      <c r="BB443" s="115"/>
      <c r="BC443" s="13"/>
      <c r="BD443" s="13"/>
      <c r="BG443" s="114"/>
    </row>
    <row r="444" spans="1:59" ht="19.5" x14ac:dyDescent="0.4">
      <c r="A444" s="117"/>
      <c r="B444" s="123"/>
      <c r="C444" s="123"/>
      <c r="D444" s="123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26"/>
      <c r="U444" s="13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25"/>
      <c r="AF444" s="13"/>
      <c r="AK444" s="117"/>
      <c r="AL444" s="123"/>
      <c r="AM444" s="123"/>
      <c r="AN444" s="123"/>
      <c r="AS444" s="115"/>
      <c r="AT444" s="115"/>
      <c r="AU444" s="115"/>
      <c r="AV444" s="115"/>
      <c r="AW444" s="115"/>
      <c r="AX444" s="115"/>
      <c r="AY444" s="115"/>
      <c r="AZ444" s="115"/>
      <c r="BA444" s="115"/>
      <c r="BB444" s="115"/>
      <c r="BC444" s="13"/>
      <c r="BD444" s="13"/>
      <c r="BG444" s="114"/>
    </row>
    <row r="445" spans="1:59" ht="19.5" x14ac:dyDescent="0.4">
      <c r="A445" s="117"/>
      <c r="B445" s="123"/>
      <c r="C445" s="123"/>
      <c r="D445" s="123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26"/>
      <c r="U445" s="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25">
        <v>45684</v>
      </c>
      <c r="AF445" s="13" t="s">
        <v>146</v>
      </c>
      <c r="AK445" s="117"/>
      <c r="AL445" s="123"/>
      <c r="AM445" s="123"/>
      <c r="AN445" s="123"/>
      <c r="AS445" s="115"/>
      <c r="AT445" s="115"/>
      <c r="AU445" s="115"/>
      <c r="AV445" s="115"/>
      <c r="AW445" s="115"/>
      <c r="AX445" s="115"/>
      <c r="AY445" s="115"/>
      <c r="AZ445" s="115"/>
      <c r="BA445" s="115"/>
      <c r="BB445" s="115"/>
      <c r="BC445" s="13"/>
      <c r="BD445" s="13"/>
      <c r="BG445" s="114"/>
    </row>
    <row r="446" spans="1:59" ht="19.5" x14ac:dyDescent="0.4">
      <c r="A446" s="117"/>
      <c r="B446" s="123"/>
      <c r="C446" s="123"/>
      <c r="D446" s="123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29"/>
      <c r="U446" s="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25"/>
      <c r="AF446" s="13"/>
      <c r="AK446" s="117"/>
      <c r="AL446" s="123"/>
      <c r="AM446" s="123"/>
      <c r="AN446" s="123"/>
      <c r="AS446" s="115"/>
      <c r="AT446" s="115"/>
      <c r="AU446" s="115"/>
      <c r="AV446" s="115"/>
      <c r="AW446" s="115"/>
      <c r="AX446" s="115"/>
      <c r="AY446" s="115"/>
      <c r="AZ446" s="115"/>
      <c r="BA446" s="115"/>
      <c r="BB446" s="115"/>
      <c r="BC446" s="13"/>
      <c r="BD446" s="13"/>
      <c r="BG446" s="114"/>
    </row>
    <row r="447" spans="1:59" ht="19.5" x14ac:dyDescent="0.4">
      <c r="A447" s="117"/>
      <c r="B447" s="123"/>
      <c r="C447" s="123"/>
      <c r="D447" s="123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26"/>
      <c r="U447" s="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5"/>
      <c r="AF447" s="13"/>
      <c r="AK447" s="117"/>
      <c r="AL447" s="123"/>
      <c r="AM447" s="123"/>
      <c r="AN447" s="123"/>
      <c r="AS447" s="115"/>
      <c r="AT447" s="115"/>
      <c r="AU447" s="115"/>
      <c r="AV447" s="115"/>
      <c r="AW447" s="115"/>
      <c r="AX447" s="115"/>
      <c r="AY447" s="115"/>
      <c r="AZ447" s="115"/>
      <c r="BA447" s="115"/>
      <c r="BB447" s="115"/>
      <c r="BC447" s="13"/>
      <c r="BD447" s="13"/>
      <c r="BG447" s="114"/>
    </row>
    <row r="448" spans="1:59" ht="19.5" x14ac:dyDescent="0.4">
      <c r="A448" s="117"/>
      <c r="B448" s="123"/>
      <c r="C448" s="123"/>
      <c r="D448" s="123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29"/>
      <c r="U448" s="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25"/>
      <c r="AF448" s="13"/>
      <c r="AK448" s="117"/>
      <c r="AL448" s="123"/>
      <c r="AM448" s="123"/>
      <c r="AN448" s="123"/>
      <c r="AS448" s="115"/>
      <c r="AT448" s="115"/>
      <c r="AU448" s="115"/>
      <c r="AV448" s="115"/>
      <c r="AW448" s="115"/>
      <c r="AX448" s="115"/>
      <c r="AY448" s="115"/>
      <c r="AZ448" s="115"/>
      <c r="BA448" s="115"/>
      <c r="BB448" s="115"/>
      <c r="BC448" s="13"/>
      <c r="BD448" s="13"/>
      <c r="BG448" s="114"/>
    </row>
    <row r="449" spans="1:59" ht="19.5" x14ac:dyDescent="0.4">
      <c r="A449" s="117"/>
      <c r="B449" s="123"/>
      <c r="C449" s="123"/>
      <c r="D449" s="123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26"/>
      <c r="U449" s="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5"/>
      <c r="AF449" s="13"/>
      <c r="AK449" s="117"/>
      <c r="AL449" s="123"/>
      <c r="AM449" s="123"/>
      <c r="AN449" s="123"/>
      <c r="AS449" s="115"/>
      <c r="AT449" s="115"/>
      <c r="AU449" s="115"/>
      <c r="AV449" s="115"/>
      <c r="AW449" s="115"/>
      <c r="AX449" s="115"/>
      <c r="AY449" s="115"/>
      <c r="AZ449" s="115"/>
      <c r="BA449" s="115"/>
      <c r="BB449" s="115"/>
      <c r="BC449" s="13"/>
      <c r="BD449" s="13"/>
      <c r="BG449" s="114"/>
    </row>
    <row r="450" spans="1:59" ht="19.5" x14ac:dyDescent="0.4">
      <c r="A450" s="117"/>
      <c r="B450" s="123"/>
      <c r="C450" s="123"/>
      <c r="D450" s="123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29"/>
      <c r="U450" s="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25"/>
      <c r="AF450" s="13"/>
      <c r="AK450" s="117"/>
      <c r="AL450" s="123"/>
      <c r="AM450" s="123"/>
      <c r="AN450" s="123"/>
      <c r="AS450" s="115"/>
      <c r="AT450" s="115"/>
      <c r="AU450" s="115"/>
      <c r="AV450" s="115"/>
      <c r="AW450" s="115"/>
      <c r="AX450" s="115"/>
      <c r="AY450" s="115"/>
      <c r="AZ450" s="115"/>
      <c r="BA450" s="115"/>
      <c r="BB450" s="115"/>
      <c r="BC450" s="13"/>
      <c r="BD450" s="13"/>
      <c r="BG450" s="114"/>
    </row>
    <row r="451" spans="1:59" ht="19.5" x14ac:dyDescent="0.4">
      <c r="A451" s="117"/>
      <c r="B451" s="123"/>
      <c r="C451" s="123"/>
      <c r="D451" s="123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29"/>
      <c r="U451" s="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5"/>
      <c r="AF451" s="13"/>
      <c r="AK451" s="117"/>
      <c r="AL451" s="123"/>
      <c r="AM451" s="123"/>
      <c r="AN451" s="123"/>
      <c r="AS451" s="115"/>
      <c r="AT451" s="115"/>
      <c r="AU451" s="115"/>
      <c r="AV451" s="115"/>
      <c r="AW451" s="115"/>
      <c r="AX451" s="115"/>
      <c r="AY451" s="115"/>
      <c r="AZ451" s="115"/>
      <c r="BA451" s="115"/>
      <c r="BB451" s="115"/>
      <c r="BC451" s="13"/>
      <c r="BD451" s="13"/>
      <c r="BG451" s="114"/>
    </row>
    <row r="452" spans="1:59" ht="19.5" x14ac:dyDescent="0.4">
      <c r="A452" s="117"/>
      <c r="B452" s="123"/>
      <c r="C452" s="123"/>
      <c r="D452" s="123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26"/>
      <c r="U452" s="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5">
        <v>45684</v>
      </c>
      <c r="AF452" s="13" t="s">
        <v>147</v>
      </c>
      <c r="AK452" s="117"/>
      <c r="AL452" s="123"/>
      <c r="AM452" s="123"/>
      <c r="AN452" s="123"/>
      <c r="AS452" s="115"/>
      <c r="AT452" s="115"/>
      <c r="AU452" s="115"/>
      <c r="AV452" s="115"/>
      <c r="AW452" s="115"/>
      <c r="AX452" s="115"/>
      <c r="AY452" s="115"/>
      <c r="AZ452" s="115"/>
      <c r="BA452" s="115"/>
      <c r="BB452" s="115"/>
      <c r="BC452" s="13"/>
      <c r="BD452" s="13"/>
      <c r="BG452" s="114"/>
    </row>
    <row r="453" spans="1:59" ht="19.5" x14ac:dyDescent="0.4">
      <c r="A453" s="117"/>
      <c r="B453" s="123"/>
      <c r="C453" s="123"/>
      <c r="D453" s="123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26"/>
      <c r="U453" s="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5">
        <v>45684</v>
      </c>
      <c r="AF453" s="13" t="s">
        <v>146</v>
      </c>
      <c r="AK453" s="117"/>
      <c r="AL453" s="123"/>
      <c r="AM453" s="123"/>
      <c r="AN453" s="123"/>
      <c r="AS453" s="115"/>
      <c r="AT453" s="115"/>
      <c r="AU453" s="115"/>
      <c r="AV453" s="115"/>
      <c r="AW453" s="115"/>
      <c r="AX453" s="115"/>
      <c r="AY453" s="115"/>
      <c r="AZ453" s="115"/>
      <c r="BA453" s="115"/>
      <c r="BB453" s="115"/>
      <c r="BC453" s="13"/>
      <c r="BD453" s="13"/>
      <c r="BG453" s="114"/>
    </row>
    <row r="454" spans="1:59" ht="19.5" x14ac:dyDescent="0.4">
      <c r="A454" s="117"/>
      <c r="B454" s="123"/>
      <c r="C454" s="123"/>
      <c r="D454" s="123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26"/>
      <c r="U454" s="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25">
        <v>45684</v>
      </c>
      <c r="AF454" s="13" t="s">
        <v>146</v>
      </c>
      <c r="AK454" s="117"/>
      <c r="AL454" s="123"/>
      <c r="AM454" s="123"/>
      <c r="AN454" s="123"/>
      <c r="AS454" s="115"/>
      <c r="AT454" s="115"/>
      <c r="AU454" s="115"/>
      <c r="AV454" s="115"/>
      <c r="AW454" s="115"/>
      <c r="AX454" s="115"/>
      <c r="AY454" s="115"/>
      <c r="AZ454" s="115"/>
      <c r="BA454" s="115"/>
      <c r="BB454" s="115"/>
      <c r="BC454" s="13"/>
      <c r="BD454" s="13"/>
      <c r="BG454" s="114"/>
    </row>
    <row r="455" spans="1:59" ht="19.5" x14ac:dyDescent="0.4">
      <c r="A455" s="117"/>
      <c r="B455" s="123"/>
      <c r="C455" s="123"/>
      <c r="D455" s="123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20"/>
      <c r="U455" s="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25"/>
      <c r="AF455" s="13"/>
      <c r="AK455" s="117"/>
      <c r="AL455" s="123"/>
      <c r="AM455" s="123"/>
      <c r="AN455" s="123"/>
      <c r="AS455" s="115"/>
      <c r="AT455" s="115"/>
      <c r="AU455" s="115"/>
      <c r="AV455" s="115"/>
      <c r="AW455" s="115"/>
      <c r="AX455" s="115"/>
      <c r="AY455" s="115"/>
      <c r="AZ455" s="115"/>
      <c r="BA455" s="115"/>
      <c r="BB455" s="115"/>
      <c r="BC455" s="13"/>
      <c r="BD455" s="13"/>
      <c r="BG455" s="114"/>
    </row>
    <row r="456" spans="1:59" ht="19.5" x14ac:dyDescent="0.4">
      <c r="A456" s="117"/>
      <c r="B456" s="123"/>
      <c r="C456" s="123"/>
      <c r="D456" s="123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20"/>
      <c r="U456" s="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25"/>
      <c r="AF456" s="13"/>
      <c r="AK456" s="117"/>
      <c r="AL456" s="123"/>
      <c r="AM456" s="123"/>
      <c r="AN456" s="123"/>
      <c r="AS456" s="115"/>
      <c r="AT456" s="115"/>
      <c r="AU456" s="115"/>
      <c r="AV456" s="115"/>
      <c r="AW456" s="115"/>
      <c r="AX456" s="115"/>
      <c r="AY456" s="115"/>
      <c r="AZ456" s="115"/>
      <c r="BA456" s="115"/>
      <c r="BB456" s="115"/>
      <c r="BC456" s="13"/>
      <c r="BD456" s="13"/>
      <c r="BG456" s="114"/>
    </row>
    <row r="457" spans="1:59" ht="19.5" x14ac:dyDescent="0.4">
      <c r="A457" s="117"/>
      <c r="B457" s="123"/>
      <c r="C457" s="123"/>
      <c r="D457" s="123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25"/>
      <c r="U457" s="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25">
        <v>45684</v>
      </c>
      <c r="AF457" s="13" t="s">
        <v>147</v>
      </c>
      <c r="AK457" s="117"/>
      <c r="AL457" s="123"/>
      <c r="AM457" s="123"/>
      <c r="AN457" s="123"/>
      <c r="AS457" s="115"/>
      <c r="AT457" s="115"/>
      <c r="AU457" s="115"/>
      <c r="AV457" s="115"/>
      <c r="AW457" s="115"/>
      <c r="AX457" s="115"/>
      <c r="AY457" s="115"/>
      <c r="AZ457" s="115"/>
      <c r="BA457" s="115"/>
      <c r="BB457" s="115"/>
      <c r="BC457" s="13"/>
      <c r="BD457" s="13"/>
      <c r="BG457" s="114"/>
    </row>
    <row r="458" spans="1:59" ht="19.5" x14ac:dyDescent="0.4">
      <c r="A458" s="117"/>
      <c r="B458" s="123"/>
      <c r="C458" s="123"/>
      <c r="D458" s="123"/>
      <c r="T458" s="25"/>
      <c r="U458" s="15"/>
      <c r="AE458" s="25">
        <v>45685</v>
      </c>
      <c r="AF458" s="13" t="s">
        <v>146</v>
      </c>
      <c r="AK458" s="117"/>
      <c r="AL458" s="123"/>
      <c r="AM458" s="123"/>
      <c r="AN458" s="123"/>
      <c r="AS458" s="115"/>
      <c r="AT458" s="115"/>
      <c r="AU458" s="115"/>
      <c r="AV458" s="115"/>
      <c r="AW458" s="115"/>
      <c r="AX458" s="115"/>
      <c r="AY458" s="115"/>
      <c r="AZ458" s="115"/>
      <c r="BA458" s="115"/>
      <c r="BB458" s="115"/>
      <c r="BC458" s="25">
        <v>45263</v>
      </c>
      <c r="BD458" s="13" t="s">
        <v>162</v>
      </c>
      <c r="BG458" s="114"/>
    </row>
    <row r="459" spans="1:59" ht="19.5" x14ac:dyDescent="0.4">
      <c r="A459" s="117"/>
      <c r="B459" s="123"/>
      <c r="C459" s="123"/>
      <c r="D459" s="123"/>
      <c r="T459" s="25"/>
      <c r="U459" s="15"/>
      <c r="AB459" s="115"/>
      <c r="AC459" s="115"/>
      <c r="AD459" s="115"/>
      <c r="AE459" s="25">
        <v>45685</v>
      </c>
      <c r="AF459" s="13" t="s">
        <v>147</v>
      </c>
      <c r="AK459" s="117"/>
      <c r="AL459" s="123"/>
      <c r="AM459" s="123"/>
      <c r="AN459" s="123"/>
      <c r="AS459" s="115"/>
      <c r="AT459" s="115"/>
      <c r="AU459" s="115"/>
      <c r="AV459" s="115"/>
      <c r="AW459" s="115"/>
      <c r="AX459" s="115"/>
      <c r="AY459" s="115"/>
      <c r="AZ459" s="115"/>
      <c r="BA459" s="115"/>
      <c r="BB459" s="115"/>
      <c r="BC459" s="25"/>
      <c r="BD459" s="13"/>
      <c r="BG459" s="114"/>
    </row>
    <row r="460" spans="1:59" ht="19.5" x14ac:dyDescent="0.4">
      <c r="A460" s="117"/>
      <c r="B460" s="123"/>
      <c r="C460" s="123"/>
      <c r="D460" s="123"/>
      <c r="T460" s="133"/>
      <c r="U460" s="15"/>
      <c r="AB460" s="115"/>
      <c r="AC460" s="115"/>
      <c r="AD460" s="115"/>
      <c r="AE460" s="25"/>
      <c r="AF460" s="13"/>
      <c r="AK460" s="117"/>
      <c r="AL460" s="123"/>
      <c r="AM460" s="123"/>
      <c r="AN460" s="123"/>
      <c r="AS460" s="115"/>
      <c r="AT460" s="115"/>
      <c r="AU460" s="115"/>
      <c r="AV460" s="115"/>
      <c r="AW460" s="115"/>
      <c r="AX460" s="115"/>
      <c r="AY460" s="115"/>
      <c r="AZ460" s="115"/>
      <c r="BA460" s="115"/>
      <c r="BB460" s="115"/>
      <c r="BC460" s="25"/>
      <c r="BD460" s="13"/>
      <c r="BG460" s="114"/>
    </row>
    <row r="461" spans="1:59" ht="19.5" x14ac:dyDescent="0.4">
      <c r="A461" s="117"/>
      <c r="B461" s="123"/>
      <c r="C461" s="123"/>
      <c r="D461" s="123"/>
      <c r="T461" s="25"/>
      <c r="U461" s="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25">
        <v>45685</v>
      </c>
      <c r="AF461" s="13" t="s">
        <v>147</v>
      </c>
      <c r="AK461" s="117"/>
      <c r="AL461" s="123"/>
      <c r="AM461" s="123"/>
      <c r="AN461" s="123"/>
      <c r="AS461" s="115"/>
      <c r="AT461" s="115"/>
      <c r="AU461" s="115"/>
      <c r="AV461" s="115"/>
      <c r="AW461" s="115"/>
      <c r="AX461" s="115"/>
      <c r="AY461" s="115"/>
      <c r="AZ461" s="115"/>
      <c r="BA461" s="115"/>
      <c r="BB461" s="115"/>
      <c r="BC461" s="25"/>
      <c r="BD461" s="13"/>
      <c r="BG461" s="114"/>
    </row>
    <row r="462" spans="1:59" ht="19.5" x14ac:dyDescent="0.4">
      <c r="A462" s="117"/>
      <c r="B462" s="123"/>
      <c r="C462" s="123"/>
      <c r="D462" s="123"/>
      <c r="T462" s="25"/>
      <c r="U462" s="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25">
        <v>45685</v>
      </c>
      <c r="AF462" s="13" t="s">
        <v>148</v>
      </c>
      <c r="AK462" s="117"/>
      <c r="AL462" s="123"/>
      <c r="AM462" s="123"/>
      <c r="AN462" s="123"/>
      <c r="AS462" s="115"/>
      <c r="AT462" s="115"/>
      <c r="AU462" s="115"/>
      <c r="AV462" s="115"/>
      <c r="AW462" s="115"/>
      <c r="AX462" s="115"/>
      <c r="AY462" s="115"/>
      <c r="AZ462" s="115"/>
      <c r="BA462" s="115"/>
      <c r="BB462" s="115"/>
      <c r="BC462" s="25"/>
      <c r="BD462" s="13"/>
      <c r="BG462" s="114"/>
    </row>
    <row r="463" spans="1:59" ht="19.5" x14ac:dyDescent="0.4">
      <c r="A463" s="117"/>
      <c r="B463" s="123"/>
      <c r="C463" s="123"/>
      <c r="D463" s="123"/>
      <c r="T463" s="25"/>
      <c r="U463" s="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25">
        <v>45685</v>
      </c>
      <c r="AF463" s="13" t="s">
        <v>148</v>
      </c>
      <c r="AK463" s="117"/>
      <c r="AL463" s="123"/>
      <c r="AM463" s="123"/>
      <c r="AN463" s="123"/>
      <c r="AS463" s="115"/>
      <c r="AT463" s="115"/>
      <c r="AU463" s="115"/>
      <c r="AV463" s="115"/>
      <c r="AW463" s="115"/>
      <c r="AX463" s="115"/>
      <c r="AY463" s="115"/>
      <c r="AZ463" s="115"/>
      <c r="BA463" s="115"/>
      <c r="BB463" s="115"/>
      <c r="BC463" s="25"/>
      <c r="BD463" s="13"/>
      <c r="BG463" s="114"/>
    </row>
    <row r="464" spans="1:59" ht="19.5" x14ac:dyDescent="0.4">
      <c r="A464" s="117"/>
      <c r="B464" s="123"/>
      <c r="C464" s="123"/>
      <c r="D464" s="123"/>
      <c r="T464" s="133"/>
      <c r="U464" s="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25"/>
      <c r="AF464" s="13"/>
      <c r="AK464" s="117"/>
      <c r="AL464" s="123"/>
      <c r="AM464" s="123"/>
      <c r="AN464" s="123"/>
      <c r="AS464" s="115"/>
      <c r="AT464" s="115"/>
      <c r="AU464" s="115"/>
      <c r="AV464" s="115"/>
      <c r="AW464" s="115"/>
      <c r="AX464" s="115"/>
      <c r="AY464" s="115"/>
      <c r="AZ464" s="115"/>
      <c r="BA464" s="115"/>
      <c r="BB464" s="115"/>
      <c r="BC464" s="25"/>
      <c r="BD464" s="13"/>
      <c r="BG464" s="114"/>
    </row>
    <row r="465" spans="1:59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25"/>
      <c r="U465" s="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25"/>
      <c r="AF465" s="13"/>
      <c r="AK465" s="117"/>
      <c r="AL465" s="123"/>
      <c r="AM465" s="123"/>
      <c r="AN465" s="123"/>
      <c r="AS465" s="115"/>
      <c r="AT465" s="115"/>
      <c r="AU465" s="115"/>
      <c r="AV465" s="115"/>
      <c r="AW465" s="115"/>
      <c r="AX465" s="115"/>
      <c r="AY465" s="115"/>
      <c r="AZ465" s="115"/>
      <c r="BA465" s="115"/>
      <c r="BB465" s="115"/>
      <c r="BC465" s="25"/>
      <c r="BD465" s="13"/>
      <c r="BG465" s="114"/>
    </row>
    <row r="466" spans="1:59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33"/>
      <c r="U466" s="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5"/>
      <c r="AF466" s="13"/>
      <c r="AK466" s="117"/>
      <c r="AL466" s="123"/>
      <c r="AM466" s="123"/>
      <c r="AN466" s="123"/>
      <c r="AS466" s="115"/>
      <c r="AT466" s="115"/>
      <c r="AU466" s="115"/>
      <c r="AV466" s="115"/>
      <c r="AW466" s="115"/>
      <c r="AX466" s="115"/>
      <c r="AY466" s="115"/>
      <c r="AZ466" s="115"/>
      <c r="BA466" s="115"/>
      <c r="BB466" s="115"/>
      <c r="BC466" s="25"/>
      <c r="BD466" s="13"/>
      <c r="BG466" s="114"/>
    </row>
    <row r="467" spans="1:59" ht="19.5" x14ac:dyDescent="0.4">
      <c r="A467" s="117"/>
      <c r="B467" s="123"/>
      <c r="C467" s="123"/>
      <c r="D467" s="123"/>
      <c r="T467" s="25"/>
      <c r="U467" s="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25">
        <v>45685</v>
      </c>
      <c r="AF467" s="13" t="s">
        <v>148</v>
      </c>
      <c r="AK467" s="117"/>
      <c r="AL467" s="123"/>
      <c r="AM467" s="123"/>
      <c r="AN467" s="123"/>
      <c r="AS467" s="115"/>
      <c r="AT467" s="115"/>
      <c r="AU467" s="115"/>
      <c r="AV467" s="115"/>
      <c r="AW467" s="115"/>
      <c r="AX467" s="115"/>
      <c r="AY467" s="115"/>
      <c r="AZ467" s="115"/>
      <c r="BA467" s="115"/>
      <c r="BB467" s="115"/>
      <c r="BC467" s="25"/>
      <c r="BD467" s="13"/>
      <c r="BG467" s="114"/>
    </row>
    <row r="468" spans="1:59" ht="19.5" x14ac:dyDescent="0.4">
      <c r="A468" s="117"/>
      <c r="B468" s="123"/>
      <c r="C468" s="123"/>
      <c r="D468" s="123"/>
      <c r="T468" s="25"/>
      <c r="U468" s="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25">
        <v>45685</v>
      </c>
      <c r="AF468" s="13" t="s">
        <v>148</v>
      </c>
      <c r="AK468" s="117"/>
      <c r="AL468" s="123"/>
      <c r="AM468" s="123"/>
      <c r="AN468" s="123"/>
      <c r="AS468" s="115"/>
      <c r="AT468" s="115"/>
      <c r="AU468" s="115"/>
      <c r="AV468" s="115"/>
      <c r="AW468" s="115"/>
      <c r="AX468" s="115"/>
      <c r="AY468" s="115"/>
      <c r="AZ468" s="115"/>
      <c r="BA468" s="115"/>
      <c r="BB468" s="115"/>
      <c r="BC468" s="25"/>
      <c r="BD468" s="13"/>
      <c r="BG468" s="114"/>
    </row>
    <row r="469" spans="1:59" ht="19.5" x14ac:dyDescent="0.4">
      <c r="A469" s="117"/>
      <c r="B469" s="123"/>
      <c r="C469" s="123"/>
      <c r="D469" s="123"/>
      <c r="T469" s="25"/>
      <c r="U469" s="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25">
        <v>45685</v>
      </c>
      <c r="AF469" s="13" t="s">
        <v>146</v>
      </c>
      <c r="AK469" s="117"/>
      <c r="AL469" s="123"/>
      <c r="AM469" s="123"/>
      <c r="AN469" s="123"/>
      <c r="AS469" s="115"/>
      <c r="AT469" s="115"/>
      <c r="AU469" s="115"/>
      <c r="AV469" s="115"/>
      <c r="AW469" s="115"/>
      <c r="AX469" s="115"/>
      <c r="AY469" s="115"/>
      <c r="AZ469" s="115"/>
      <c r="BA469" s="115"/>
      <c r="BB469" s="115"/>
      <c r="BC469" s="25"/>
      <c r="BD469" s="13"/>
      <c r="BG469" s="114"/>
    </row>
    <row r="470" spans="1:59" ht="19.5" x14ac:dyDescent="0.4">
      <c r="A470" s="117"/>
      <c r="B470" s="123"/>
      <c r="C470" s="123"/>
      <c r="D470" s="123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25"/>
      <c r="U470" s="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25"/>
      <c r="AF470" s="13"/>
      <c r="AK470" s="117"/>
      <c r="AL470" s="123"/>
      <c r="AM470" s="123"/>
      <c r="AN470" s="123"/>
      <c r="AS470" s="115"/>
      <c r="AT470" s="115"/>
      <c r="AU470" s="115"/>
      <c r="AV470" s="115"/>
      <c r="AW470" s="115"/>
      <c r="AX470" s="115"/>
      <c r="AY470" s="115"/>
      <c r="AZ470" s="115"/>
      <c r="BA470" s="115"/>
      <c r="BB470" s="115"/>
      <c r="BC470" s="25"/>
      <c r="BD470" s="13"/>
      <c r="BG470" s="114"/>
    </row>
    <row r="471" spans="1:59" ht="19.5" x14ac:dyDescent="0.4">
      <c r="A471" s="117"/>
      <c r="B471" s="123"/>
      <c r="C471" s="123"/>
      <c r="D471" s="123"/>
      <c r="T471" s="25"/>
      <c r="U471" s="15"/>
      <c r="AE471" s="25">
        <v>45685</v>
      </c>
      <c r="AF471" s="13" t="s">
        <v>148</v>
      </c>
      <c r="AK471" s="117"/>
      <c r="AL471" s="123"/>
      <c r="AM471" s="123"/>
      <c r="AN471" s="123"/>
      <c r="AS471" s="115"/>
      <c r="AT471" s="115"/>
      <c r="AU471" s="115"/>
      <c r="AV471" s="115"/>
      <c r="AW471" s="115"/>
      <c r="AX471" s="115"/>
      <c r="AY471" s="115"/>
      <c r="AZ471" s="115"/>
      <c r="BA471" s="115"/>
      <c r="BB471" s="115" t="s">
        <v>150</v>
      </c>
      <c r="BC471" s="13">
        <f>SUBTOTAL(3,BC458:BC458)</f>
        <v>1</v>
      </c>
      <c r="BD471" s="13">
        <f>SUBTOTAL(3,BD458:BD458)</f>
        <v>1</v>
      </c>
      <c r="BG471" s="114"/>
    </row>
    <row r="472" spans="1:59" ht="19.5" x14ac:dyDescent="0.4">
      <c r="A472" s="117"/>
      <c r="B472" s="123"/>
      <c r="C472" s="123"/>
      <c r="D472" s="123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25"/>
      <c r="U472" s="15"/>
      <c r="AE472" s="25"/>
      <c r="AF472" s="13"/>
      <c r="AK472" s="117"/>
      <c r="AL472" s="123"/>
      <c r="AM472" s="123"/>
      <c r="AN472" s="123"/>
      <c r="AS472" s="115"/>
      <c r="AT472" s="115"/>
      <c r="AU472" s="115"/>
      <c r="AV472" s="115"/>
      <c r="AW472" s="115"/>
      <c r="AX472" s="115"/>
      <c r="AY472" s="115"/>
      <c r="AZ472" s="115"/>
      <c r="BA472" s="115"/>
      <c r="BB472" s="115"/>
      <c r="BC472" s="13"/>
      <c r="BD472" s="13"/>
      <c r="BG472" s="114"/>
    </row>
    <row r="473" spans="1:59" ht="19.5" x14ac:dyDescent="0.4">
      <c r="A473" s="117"/>
      <c r="B473" s="123"/>
      <c r="C473" s="123"/>
      <c r="D473" s="123"/>
      <c r="T473" s="25"/>
      <c r="U473" s="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25">
        <v>45685</v>
      </c>
      <c r="AF473" s="15" t="s">
        <v>146</v>
      </c>
      <c r="AK473" s="117"/>
      <c r="AL473" s="123"/>
      <c r="AM473" s="123"/>
      <c r="AN473" s="123"/>
      <c r="AS473" s="115"/>
      <c r="AT473" s="115"/>
      <c r="AU473" s="115"/>
      <c r="AV473" s="115"/>
      <c r="AW473" s="115"/>
      <c r="AX473" s="115"/>
      <c r="AY473" s="115"/>
      <c r="AZ473" s="115"/>
      <c r="BA473" s="115"/>
      <c r="BB473" s="115"/>
      <c r="BC473" s="13"/>
      <c r="BD473" s="13"/>
      <c r="BG473" s="114"/>
    </row>
    <row r="474" spans="1:59" ht="19.5" x14ac:dyDescent="0.4">
      <c r="A474" s="117"/>
      <c r="B474" s="123"/>
      <c r="C474" s="123"/>
      <c r="D474" s="123"/>
      <c r="T474" s="25"/>
      <c r="U474" s="15"/>
      <c r="AE474" s="25">
        <v>45685</v>
      </c>
      <c r="AF474" s="15" t="s">
        <v>146</v>
      </c>
      <c r="AK474" s="117"/>
      <c r="AL474" s="123"/>
      <c r="AM474" s="123"/>
      <c r="AN474" s="123"/>
      <c r="AS474" s="115"/>
      <c r="AT474" s="115"/>
      <c r="AU474" s="115"/>
      <c r="AV474" s="115"/>
      <c r="AW474" s="115"/>
      <c r="AX474" s="115"/>
      <c r="AY474" s="115"/>
      <c r="AZ474" s="115"/>
      <c r="BA474" s="115"/>
      <c r="BB474" s="115"/>
      <c r="BC474" s="25">
        <v>45264</v>
      </c>
      <c r="BD474" s="13" t="s">
        <v>162</v>
      </c>
      <c r="BG474" s="114"/>
    </row>
    <row r="475" spans="1:59" ht="19.5" x14ac:dyDescent="0.4">
      <c r="A475" s="117"/>
      <c r="B475" s="123"/>
      <c r="C475" s="123"/>
      <c r="D475" s="123"/>
      <c r="T475" s="25"/>
      <c r="U475" s="15"/>
      <c r="AA475" s="115"/>
      <c r="AB475" s="115"/>
      <c r="AC475" s="115"/>
      <c r="AD475" s="115"/>
      <c r="AE475" s="25">
        <v>45686</v>
      </c>
      <c r="AF475" s="15" t="s">
        <v>148</v>
      </c>
      <c r="AK475" s="117"/>
      <c r="AL475" s="123"/>
      <c r="AM475" s="123"/>
      <c r="AN475" s="123"/>
      <c r="AS475" s="115"/>
      <c r="AT475" s="115"/>
      <c r="AU475" s="115"/>
      <c r="AV475" s="115"/>
      <c r="AW475" s="115"/>
      <c r="AX475" s="115"/>
      <c r="AY475" s="115"/>
      <c r="AZ475" s="115"/>
      <c r="BA475" s="115"/>
      <c r="BB475" s="115"/>
      <c r="BC475" s="25"/>
      <c r="BD475" s="13"/>
      <c r="BG475" s="114"/>
    </row>
    <row r="476" spans="1:59" ht="19.5" x14ac:dyDescent="0.4">
      <c r="A476" s="117"/>
      <c r="B476" s="123"/>
      <c r="C476" s="123"/>
      <c r="D476" s="123"/>
      <c r="T476" s="25"/>
      <c r="U476" s="15"/>
      <c r="Y476" s="115"/>
      <c r="Z476" s="115"/>
      <c r="AA476" s="115"/>
      <c r="AB476" s="115"/>
      <c r="AC476" s="115"/>
      <c r="AD476" s="115"/>
      <c r="AE476" s="25">
        <v>45686</v>
      </c>
      <c r="AF476" s="15" t="s">
        <v>146</v>
      </c>
      <c r="AK476" s="117"/>
      <c r="AL476" s="123"/>
      <c r="AM476" s="123"/>
      <c r="AN476" s="123"/>
      <c r="AS476" s="115"/>
      <c r="AT476" s="115"/>
      <c r="AU476" s="115"/>
      <c r="AV476" s="115"/>
      <c r="AW476" s="115"/>
      <c r="AX476" s="115"/>
      <c r="AY476" s="115"/>
      <c r="AZ476" s="115"/>
      <c r="BA476" s="115"/>
      <c r="BB476" s="115"/>
      <c r="BC476" s="25"/>
      <c r="BD476" s="13"/>
      <c r="BG476" s="114"/>
    </row>
    <row r="477" spans="1:59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25"/>
      <c r="U477" s="15"/>
      <c r="Y477" s="115"/>
      <c r="Z477" s="115"/>
      <c r="AA477" s="115"/>
      <c r="AB477" s="115"/>
      <c r="AC477" s="115"/>
      <c r="AD477" s="115"/>
      <c r="AE477" s="25"/>
      <c r="AF477" s="15"/>
      <c r="AK477" s="117"/>
      <c r="AL477" s="123"/>
      <c r="AM477" s="123"/>
      <c r="AN477" s="123"/>
      <c r="AS477" s="115"/>
      <c r="AT477" s="115"/>
      <c r="AU477" s="115"/>
      <c r="AV477" s="115"/>
      <c r="AW477" s="115"/>
      <c r="AX477" s="115"/>
      <c r="AY477" s="115"/>
      <c r="AZ477" s="115"/>
      <c r="BA477" s="115"/>
      <c r="BB477" s="115"/>
      <c r="BC477" s="25"/>
      <c r="BD477" s="13"/>
      <c r="BG477" s="114"/>
    </row>
    <row r="478" spans="1:59" ht="19.5" x14ac:dyDescent="0.4">
      <c r="A478" s="117"/>
      <c r="B478" s="123"/>
      <c r="C478" s="123"/>
      <c r="D478" s="123"/>
      <c r="T478" s="26"/>
      <c r="U478" s="15"/>
      <c r="Y478" s="115"/>
      <c r="Z478" s="115"/>
      <c r="AA478" s="115"/>
      <c r="AB478" s="115"/>
      <c r="AC478" s="115"/>
      <c r="AD478" s="115"/>
      <c r="AE478" s="25">
        <v>45686</v>
      </c>
      <c r="AF478" s="15" t="s">
        <v>148</v>
      </c>
      <c r="AK478" s="117"/>
      <c r="AL478" s="123"/>
      <c r="AM478" s="123"/>
      <c r="AN478" s="123"/>
      <c r="AS478" s="115"/>
      <c r="AT478" s="115"/>
      <c r="AU478" s="115"/>
      <c r="AV478" s="115"/>
      <c r="AW478" s="115"/>
      <c r="AX478" s="115"/>
      <c r="AY478" s="115"/>
      <c r="AZ478" s="115"/>
      <c r="BA478" s="115"/>
      <c r="BB478" s="115"/>
      <c r="BC478" s="25"/>
      <c r="BD478" s="13"/>
      <c r="BG478" s="114"/>
    </row>
    <row r="479" spans="1:59" ht="19.5" x14ac:dyDescent="0.4">
      <c r="A479" s="117"/>
      <c r="B479" s="123"/>
      <c r="C479" s="123"/>
      <c r="D479" s="123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26"/>
      <c r="U479" s="13"/>
      <c r="Y479" s="115"/>
      <c r="Z479" s="115"/>
      <c r="AA479" s="115"/>
      <c r="AB479" s="115"/>
      <c r="AC479" s="115"/>
      <c r="AD479" s="115"/>
      <c r="AE479" s="25"/>
      <c r="AF479" s="15"/>
      <c r="AK479" s="117"/>
      <c r="AL479" s="123"/>
      <c r="AM479" s="123"/>
      <c r="AN479" s="123"/>
      <c r="AS479" s="115"/>
      <c r="AT479" s="115"/>
      <c r="AU479" s="115"/>
      <c r="AV479" s="115"/>
      <c r="AW479" s="115"/>
      <c r="AX479" s="115"/>
      <c r="AY479" s="115"/>
      <c r="AZ479" s="115"/>
      <c r="BA479" s="115"/>
      <c r="BB479" s="115"/>
      <c r="BC479" s="25"/>
      <c r="BD479" s="13"/>
      <c r="BG479" s="114"/>
    </row>
    <row r="480" spans="1:59" ht="19.5" x14ac:dyDescent="0.4">
      <c r="A480" s="117"/>
      <c r="B480" s="123"/>
      <c r="C480" s="123"/>
      <c r="D480" s="123"/>
      <c r="T480" s="26"/>
      <c r="U480" s="13"/>
      <c r="AE480" s="25">
        <v>45686</v>
      </c>
      <c r="AF480" s="15" t="s">
        <v>146</v>
      </c>
      <c r="AK480" s="117"/>
      <c r="AL480" s="123"/>
      <c r="AM480" s="123"/>
      <c r="AN480" s="123"/>
      <c r="AS480" s="115"/>
      <c r="AT480" s="115"/>
      <c r="AU480" s="115"/>
      <c r="AV480" s="115"/>
      <c r="AW480" s="115"/>
      <c r="AX480" s="115"/>
      <c r="AY480" s="115"/>
      <c r="AZ480" s="115"/>
      <c r="BA480" s="115"/>
      <c r="BB480" s="115" t="s">
        <v>154</v>
      </c>
      <c r="BC480" s="13">
        <f>SUBTOTAL(3,BC474:BC474)</f>
        <v>1</v>
      </c>
      <c r="BD480" s="13">
        <f>SUBTOTAL(3,BD474:BD474)</f>
        <v>1</v>
      </c>
      <c r="BG480" s="114"/>
    </row>
    <row r="481" spans="1:59" ht="19.5" x14ac:dyDescent="0.4">
      <c r="A481" s="117"/>
      <c r="B481" s="123"/>
      <c r="C481" s="123"/>
      <c r="D481" s="123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26"/>
      <c r="U481" s="13"/>
      <c r="AE481" s="25"/>
      <c r="AF481" s="15"/>
      <c r="AK481" s="117"/>
      <c r="AL481" s="123"/>
      <c r="AM481" s="123"/>
      <c r="AN481" s="123"/>
      <c r="AS481" s="115"/>
      <c r="AT481" s="115"/>
      <c r="AU481" s="115"/>
      <c r="AV481" s="115"/>
      <c r="AW481" s="115"/>
      <c r="AX481" s="115"/>
      <c r="AY481" s="115"/>
      <c r="AZ481" s="115"/>
      <c r="BA481" s="115"/>
      <c r="BB481" s="115"/>
      <c r="BC481" s="13"/>
      <c r="BD481" s="13"/>
      <c r="BG481" s="114"/>
    </row>
    <row r="482" spans="1:59" ht="19.5" x14ac:dyDescent="0.4">
      <c r="A482" s="117"/>
      <c r="B482" s="123"/>
      <c r="C482" s="123"/>
      <c r="D482" s="123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26"/>
      <c r="U482" s="13"/>
      <c r="AE482" s="25"/>
      <c r="AF482" s="15"/>
      <c r="AK482" s="117"/>
      <c r="AL482" s="123"/>
      <c r="AM482" s="123"/>
      <c r="AN482" s="123"/>
      <c r="AS482" s="115"/>
      <c r="AT482" s="115"/>
      <c r="AU482" s="115"/>
      <c r="AV482" s="115"/>
      <c r="AW482" s="115"/>
      <c r="AX482" s="115"/>
      <c r="AY482" s="115"/>
      <c r="AZ482" s="115"/>
      <c r="BA482" s="115"/>
      <c r="BB482" s="115"/>
      <c r="BC482" s="13"/>
      <c r="BD482" s="13"/>
      <c r="BG482" s="114"/>
    </row>
    <row r="483" spans="1:59" ht="19.5" x14ac:dyDescent="0.4">
      <c r="A483" s="117"/>
      <c r="B483" s="123"/>
      <c r="C483" s="123"/>
      <c r="D483" s="123"/>
      <c r="T483" s="26"/>
      <c r="U483" s="13"/>
      <c r="AE483" s="25">
        <v>45686</v>
      </c>
      <c r="AF483" s="15" t="s">
        <v>146</v>
      </c>
      <c r="AK483" s="117"/>
      <c r="AL483" s="123"/>
      <c r="AM483" s="123"/>
      <c r="AN483" s="123"/>
      <c r="AS483" s="115"/>
      <c r="AT483" s="115"/>
      <c r="AU483" s="115"/>
      <c r="AV483" s="115"/>
      <c r="AW483" s="115"/>
      <c r="AX483" s="115"/>
      <c r="AY483" s="115"/>
      <c r="AZ483" s="115"/>
      <c r="BA483" s="115"/>
      <c r="BB483" s="115"/>
      <c r="BC483" s="25">
        <v>45265</v>
      </c>
      <c r="BD483" s="13" t="s">
        <v>162</v>
      </c>
      <c r="BG483" s="114"/>
    </row>
    <row r="484" spans="1:59" ht="19.5" x14ac:dyDescent="0.4">
      <c r="A484" s="117"/>
      <c r="B484" s="123"/>
      <c r="C484" s="123"/>
      <c r="D484" s="123"/>
      <c r="T484" s="26"/>
      <c r="U484" s="13"/>
      <c r="AE484" s="25">
        <v>45686</v>
      </c>
      <c r="AF484" s="15" t="s">
        <v>146</v>
      </c>
      <c r="AK484" s="117"/>
      <c r="AL484" s="123"/>
      <c r="AM484" s="123"/>
      <c r="AN484" s="123"/>
      <c r="AS484" s="115"/>
      <c r="AT484" s="115"/>
      <c r="AU484" s="115"/>
      <c r="AV484" s="115"/>
      <c r="AW484" s="115"/>
      <c r="AX484" s="115"/>
      <c r="AY484" s="115"/>
      <c r="AZ484" s="115"/>
      <c r="BA484" s="115"/>
      <c r="BB484" s="115"/>
      <c r="BC484" s="25">
        <v>45265</v>
      </c>
      <c r="BD484" s="25" t="s">
        <v>162</v>
      </c>
      <c r="BG484" s="114"/>
    </row>
    <row r="485" spans="1:59" ht="19.5" x14ac:dyDescent="0.4">
      <c r="A485" s="117"/>
      <c r="B485" s="123"/>
      <c r="C485" s="123"/>
      <c r="D485" s="123"/>
      <c r="T485" s="26"/>
      <c r="U485" s="13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25">
        <v>45686</v>
      </c>
      <c r="AF485" s="15" t="s">
        <v>146</v>
      </c>
      <c r="AK485" s="117"/>
      <c r="AL485" s="123"/>
      <c r="AM485" s="123"/>
      <c r="AN485" s="123"/>
      <c r="AS485" s="115"/>
      <c r="AT485" s="115"/>
      <c r="AU485" s="115"/>
      <c r="AV485" s="115"/>
      <c r="AW485" s="115"/>
      <c r="AX485" s="115"/>
      <c r="AY485" s="115"/>
      <c r="AZ485" s="115"/>
      <c r="BA485" s="115"/>
      <c r="BB485" s="115"/>
      <c r="BC485" s="25"/>
      <c r="BD485" s="25"/>
      <c r="BG485" s="114"/>
    </row>
    <row r="486" spans="1:59" ht="19.5" x14ac:dyDescent="0.4">
      <c r="A486" s="117"/>
      <c r="B486" s="123"/>
      <c r="C486" s="123"/>
      <c r="D486" s="123"/>
      <c r="T486" s="129"/>
      <c r="U486" s="13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25"/>
      <c r="AF486" s="13"/>
      <c r="AK486" s="117"/>
      <c r="AL486" s="123"/>
      <c r="AM486" s="123"/>
      <c r="AN486" s="123"/>
      <c r="AS486" s="115"/>
      <c r="AT486" s="115"/>
      <c r="AU486" s="115"/>
      <c r="AV486" s="115"/>
      <c r="AW486" s="115"/>
      <c r="AX486" s="115"/>
      <c r="AY486" s="115"/>
      <c r="AZ486" s="115"/>
      <c r="BA486" s="115"/>
      <c r="BB486" s="115"/>
      <c r="BC486" s="25"/>
      <c r="BD486" s="25"/>
      <c r="BG486" s="114"/>
    </row>
    <row r="487" spans="1:59" ht="19.5" x14ac:dyDescent="0.4">
      <c r="A487" s="117"/>
      <c r="B487" s="123"/>
      <c r="C487" s="123"/>
      <c r="D487" s="123"/>
      <c r="T487" s="26"/>
      <c r="U487" s="13"/>
      <c r="AE487" s="25">
        <v>45686</v>
      </c>
      <c r="AF487" s="13" t="s">
        <v>146</v>
      </c>
      <c r="AK487" s="117"/>
      <c r="AL487" s="123"/>
      <c r="AM487" s="123"/>
      <c r="AN487" s="123"/>
      <c r="AS487" s="115"/>
      <c r="AT487" s="115"/>
      <c r="AU487" s="115"/>
      <c r="AV487" s="115"/>
      <c r="AW487" s="115"/>
      <c r="AX487" s="115"/>
      <c r="AY487" s="115"/>
      <c r="AZ487" s="115"/>
      <c r="BA487" s="115"/>
      <c r="BB487" s="115"/>
      <c r="BC487" s="25">
        <v>45265</v>
      </c>
      <c r="BD487" s="13" t="s">
        <v>162</v>
      </c>
      <c r="BG487" s="114"/>
    </row>
    <row r="488" spans="1:59" ht="19.5" x14ac:dyDescent="0.4">
      <c r="A488" s="117"/>
      <c r="B488" s="123"/>
      <c r="C488" s="123"/>
      <c r="D488" s="123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26"/>
      <c r="U488" s="13"/>
      <c r="AE488" s="25"/>
      <c r="AF488" s="13"/>
      <c r="AK488" s="117"/>
      <c r="AL488" s="123"/>
      <c r="AM488" s="123"/>
      <c r="AN488" s="123"/>
      <c r="AS488" s="115"/>
      <c r="AT488" s="115"/>
      <c r="AU488" s="115"/>
      <c r="AV488" s="115"/>
      <c r="AW488" s="115"/>
      <c r="AX488" s="115"/>
      <c r="AY488" s="115"/>
      <c r="AZ488" s="115"/>
      <c r="BA488" s="115"/>
      <c r="BB488" s="115"/>
      <c r="BC488" s="25"/>
      <c r="BD488" s="13"/>
      <c r="BG488" s="114"/>
    </row>
    <row r="489" spans="1:59" ht="19.5" x14ac:dyDescent="0.4">
      <c r="A489" s="117"/>
      <c r="B489" s="123"/>
      <c r="C489" s="123"/>
      <c r="D489" s="123"/>
      <c r="T489" s="26"/>
      <c r="U489" s="13"/>
      <c r="AA489" s="115"/>
      <c r="AB489" s="115"/>
      <c r="AC489" s="115"/>
      <c r="AD489" s="115"/>
      <c r="AE489" s="25">
        <v>45686</v>
      </c>
      <c r="AF489" s="15" t="s">
        <v>146</v>
      </c>
      <c r="AK489" s="117"/>
      <c r="AL489" s="123"/>
      <c r="AM489" s="123"/>
      <c r="AN489" s="123"/>
      <c r="AS489" s="115"/>
      <c r="AT489" s="115"/>
      <c r="AU489" s="115"/>
      <c r="AV489" s="115"/>
      <c r="AW489" s="115"/>
      <c r="AX489" s="115"/>
      <c r="AY489" s="115"/>
      <c r="AZ489" s="115"/>
      <c r="BA489" s="115"/>
      <c r="BB489" s="115"/>
      <c r="BC489" s="25"/>
      <c r="BD489" s="13"/>
      <c r="BG489" s="114"/>
    </row>
    <row r="490" spans="1:59" ht="19.5" x14ac:dyDescent="0.4">
      <c r="A490" s="117"/>
      <c r="B490" s="123"/>
      <c r="C490" s="123"/>
      <c r="D490" s="123"/>
      <c r="T490" s="26"/>
      <c r="U490" s="13"/>
      <c r="AE490" s="25">
        <v>45686</v>
      </c>
      <c r="AF490" s="15" t="s">
        <v>147</v>
      </c>
      <c r="AK490" s="117"/>
      <c r="AL490" s="123"/>
      <c r="AM490" s="123"/>
      <c r="AN490" s="123"/>
      <c r="AS490" s="115"/>
      <c r="AT490" s="115"/>
      <c r="AU490" s="115"/>
      <c r="AV490" s="115"/>
      <c r="AW490" s="115"/>
      <c r="AX490" s="115"/>
      <c r="AY490" s="115"/>
      <c r="AZ490" s="115"/>
      <c r="BA490" s="115"/>
      <c r="BB490" s="115"/>
      <c r="BC490" s="25">
        <v>45265</v>
      </c>
      <c r="BD490" s="13" t="s">
        <v>162</v>
      </c>
      <c r="BG490" s="114"/>
    </row>
    <row r="491" spans="1:59" ht="19.5" x14ac:dyDescent="0.4">
      <c r="A491" s="117"/>
      <c r="B491" s="123"/>
      <c r="C491" s="123"/>
      <c r="D491" s="123"/>
      <c r="T491" s="26"/>
      <c r="U491" s="13"/>
      <c r="AB491" s="115"/>
      <c r="AC491" s="115"/>
      <c r="AD491" s="115"/>
      <c r="AE491" s="25">
        <v>45686</v>
      </c>
      <c r="AF491" s="15" t="s">
        <v>147</v>
      </c>
      <c r="AK491" s="117"/>
      <c r="AL491" s="123"/>
      <c r="AM491" s="123"/>
      <c r="AN491" s="123"/>
      <c r="AS491" s="115"/>
      <c r="AT491" s="115"/>
      <c r="AU491" s="115"/>
      <c r="AV491" s="115"/>
      <c r="AW491" s="115"/>
      <c r="AX491" s="115"/>
      <c r="AY491" s="115"/>
      <c r="AZ491" s="115"/>
      <c r="BA491" s="115"/>
      <c r="BB491" s="115"/>
      <c r="BC491" s="25"/>
      <c r="BD491" s="13"/>
      <c r="BG491" s="114"/>
    </row>
    <row r="492" spans="1:59" ht="19.5" x14ac:dyDescent="0.4">
      <c r="A492" s="117"/>
      <c r="B492" s="123"/>
      <c r="C492" s="123"/>
      <c r="D492" s="123"/>
      <c r="T492" s="26"/>
      <c r="U492" s="13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25">
        <v>45686</v>
      </c>
      <c r="AF492" s="13" t="s">
        <v>146</v>
      </c>
      <c r="AK492" s="117"/>
      <c r="AL492" s="123"/>
      <c r="AM492" s="123"/>
      <c r="AN492" s="123"/>
      <c r="AS492" s="115"/>
      <c r="AT492" s="115"/>
      <c r="AU492" s="115"/>
      <c r="AV492" s="115"/>
      <c r="AW492" s="115"/>
      <c r="AX492" s="115"/>
      <c r="AY492" s="115"/>
      <c r="AZ492" s="115"/>
      <c r="BA492" s="115"/>
      <c r="BB492" s="115"/>
      <c r="BC492" s="25"/>
      <c r="BD492" s="13"/>
      <c r="BG492" s="114"/>
    </row>
    <row r="493" spans="1:59" ht="19.5" x14ac:dyDescent="0.4">
      <c r="A493" s="117"/>
      <c r="B493" s="123"/>
      <c r="C493" s="123"/>
      <c r="D493" s="123"/>
      <c r="T493" s="26"/>
      <c r="U493" s="13"/>
      <c r="AE493" s="25">
        <v>45686</v>
      </c>
      <c r="AF493" s="25" t="s">
        <v>146</v>
      </c>
      <c r="AK493" s="117"/>
      <c r="AL493" s="123"/>
      <c r="AM493" s="123"/>
      <c r="AN493" s="123"/>
      <c r="AS493" s="115"/>
      <c r="AT493" s="115"/>
      <c r="AU493" s="115"/>
      <c r="AV493" s="115"/>
      <c r="AW493" s="115"/>
      <c r="AX493" s="115"/>
      <c r="AY493" s="115"/>
      <c r="AZ493" s="115"/>
      <c r="BA493" s="115"/>
      <c r="BB493" s="115"/>
      <c r="BC493" s="25">
        <v>45265</v>
      </c>
      <c r="BD493" s="13" t="s">
        <v>163</v>
      </c>
      <c r="BG493" s="114"/>
    </row>
    <row r="494" spans="1:59" ht="19.5" x14ac:dyDescent="0.4">
      <c r="A494" s="117"/>
      <c r="B494" s="123"/>
      <c r="C494" s="123"/>
      <c r="D494" s="123"/>
      <c r="T494" s="26"/>
      <c r="U494" s="13"/>
      <c r="AE494" s="25">
        <v>45686</v>
      </c>
      <c r="AF494" s="25" t="s">
        <v>147</v>
      </c>
      <c r="AK494" s="117"/>
      <c r="AL494" s="123"/>
      <c r="AM494" s="123"/>
      <c r="AN494" s="123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 t="s">
        <v>155</v>
      </c>
      <c r="BC494" s="13">
        <f>SUBTOTAL(3,BC483:BC493)</f>
        <v>5</v>
      </c>
      <c r="BD494" s="13">
        <f>SUBTOTAL(3,BD483:BD493)</f>
        <v>5</v>
      </c>
      <c r="BG494" s="114"/>
    </row>
    <row r="495" spans="1:59" ht="19.5" x14ac:dyDescent="0.4">
      <c r="A495" s="117"/>
      <c r="B495" s="123"/>
      <c r="C495" s="123"/>
      <c r="D495" s="123"/>
      <c r="T495" s="26"/>
      <c r="U495" s="13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25">
        <v>45686</v>
      </c>
      <c r="AF495" s="25" t="s">
        <v>148</v>
      </c>
      <c r="AK495" s="117"/>
      <c r="AL495" s="123"/>
      <c r="AM495" s="123"/>
      <c r="AN495" s="123"/>
      <c r="AS495" s="115"/>
      <c r="AT495" s="115"/>
      <c r="AU495" s="115"/>
      <c r="AV495" s="115"/>
      <c r="AW495" s="115"/>
      <c r="AX495" s="115"/>
      <c r="AY495" s="115"/>
      <c r="AZ495" s="115"/>
      <c r="BA495" s="115"/>
      <c r="BB495" s="115"/>
      <c r="BC495" s="13"/>
      <c r="BD495" s="13"/>
      <c r="BG495" s="114"/>
    </row>
    <row r="496" spans="1:59" ht="19.5" x14ac:dyDescent="0.4">
      <c r="A496" s="117"/>
      <c r="B496" s="123"/>
      <c r="C496" s="123"/>
      <c r="D496" s="123"/>
      <c r="T496" s="26"/>
      <c r="U496" s="13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25">
        <v>45686</v>
      </c>
      <c r="AF496" s="13" t="s">
        <v>146</v>
      </c>
      <c r="AK496" s="117"/>
      <c r="AL496" s="123"/>
      <c r="AM496" s="123"/>
      <c r="AN496" s="123"/>
      <c r="AS496" s="115"/>
      <c r="AT496" s="115"/>
      <c r="AU496" s="115"/>
      <c r="AV496" s="115"/>
      <c r="AW496" s="115"/>
      <c r="AX496" s="115"/>
      <c r="AY496" s="115"/>
      <c r="AZ496" s="115"/>
      <c r="BA496" s="115"/>
      <c r="BB496" s="115"/>
      <c r="BC496" s="13"/>
      <c r="BD496" s="13"/>
      <c r="BG496" s="114"/>
    </row>
    <row r="497" spans="1:59" ht="19.5" x14ac:dyDescent="0.4">
      <c r="A497" s="117"/>
      <c r="B497" s="123"/>
      <c r="C497" s="123"/>
      <c r="D497" s="123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26"/>
      <c r="U497" s="13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25">
        <v>45686</v>
      </c>
      <c r="AF497" s="13" t="s">
        <v>146</v>
      </c>
      <c r="AK497" s="117"/>
      <c r="AL497" s="123"/>
      <c r="AM497" s="123"/>
      <c r="AN497" s="123"/>
      <c r="AS497" s="115"/>
      <c r="AT497" s="115"/>
      <c r="AU497" s="115"/>
      <c r="AV497" s="115"/>
      <c r="AW497" s="115"/>
      <c r="AX497" s="115"/>
      <c r="AY497" s="115"/>
      <c r="AZ497" s="115"/>
      <c r="BA497" s="115"/>
      <c r="BB497" s="115"/>
      <c r="BC497" s="13"/>
      <c r="BD497" s="13"/>
      <c r="BG497" s="114"/>
    </row>
    <row r="498" spans="1:59" ht="19.5" x14ac:dyDescent="0.4">
      <c r="A498" s="117"/>
      <c r="B498" s="123"/>
      <c r="C498" s="123"/>
      <c r="D498" s="123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26"/>
      <c r="U498" s="13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25">
        <v>45686</v>
      </c>
      <c r="AF498" s="15" t="s">
        <v>148</v>
      </c>
      <c r="AK498" s="117"/>
      <c r="AL498" s="123"/>
      <c r="AM498" s="123"/>
      <c r="AN498" s="123"/>
      <c r="AS498" s="115"/>
      <c r="AT498" s="115"/>
      <c r="AU498" s="115"/>
      <c r="AV498" s="115"/>
      <c r="AW498" s="115"/>
      <c r="AX498" s="115"/>
      <c r="AY498" s="115"/>
      <c r="AZ498" s="115"/>
      <c r="BA498" s="115"/>
      <c r="BB498" s="115"/>
      <c r="BC498" s="13"/>
      <c r="BD498" s="13"/>
      <c r="BG498" s="114"/>
    </row>
    <row r="499" spans="1:59" ht="19.5" x14ac:dyDescent="0.4">
      <c r="A499" s="117"/>
      <c r="B499" s="123"/>
      <c r="C499" s="123"/>
      <c r="D499" s="123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26"/>
      <c r="U499" s="13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25">
        <v>45686</v>
      </c>
      <c r="AF499" s="15" t="s">
        <v>148</v>
      </c>
      <c r="AK499" s="117"/>
      <c r="AL499" s="123"/>
      <c r="AM499" s="123"/>
      <c r="AN499" s="123"/>
      <c r="AS499" s="115"/>
      <c r="AT499" s="115"/>
      <c r="AU499" s="115"/>
      <c r="AV499" s="115"/>
      <c r="AW499" s="115"/>
      <c r="AX499" s="115"/>
      <c r="AY499" s="115"/>
      <c r="AZ499" s="115"/>
      <c r="BA499" s="115"/>
      <c r="BB499" s="115"/>
      <c r="BC499" s="13"/>
      <c r="BD499" s="13"/>
      <c r="BG499" s="114"/>
    </row>
    <row r="500" spans="1:59" ht="19.5" x14ac:dyDescent="0.4">
      <c r="A500" s="117"/>
      <c r="B500" s="123"/>
      <c r="C500" s="123"/>
      <c r="D500" s="123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26"/>
      <c r="U500" s="13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25">
        <v>45686</v>
      </c>
      <c r="AF500" s="15" t="s">
        <v>148</v>
      </c>
      <c r="AK500" s="117"/>
      <c r="AL500" s="123"/>
      <c r="AM500" s="123"/>
      <c r="AN500" s="123"/>
      <c r="AS500" s="115"/>
      <c r="AT500" s="115"/>
      <c r="AU500" s="115"/>
      <c r="AV500" s="115"/>
      <c r="AW500" s="115"/>
      <c r="AX500" s="115"/>
      <c r="AY500" s="115"/>
      <c r="AZ500" s="115"/>
      <c r="BA500" s="115"/>
      <c r="BB500" s="115"/>
      <c r="BC500" s="13"/>
      <c r="BD500" s="13"/>
      <c r="BG500" s="114"/>
    </row>
    <row r="501" spans="1:59" ht="19.5" x14ac:dyDescent="0.4">
      <c r="A501" s="117"/>
      <c r="B501" s="123"/>
      <c r="C501" s="123"/>
      <c r="D501" s="123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26"/>
      <c r="U501" s="13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5">
        <v>45686</v>
      </c>
      <c r="AF501" s="15" t="s">
        <v>146</v>
      </c>
      <c r="AK501" s="117"/>
      <c r="AL501" s="123"/>
      <c r="AM501" s="123"/>
      <c r="AN501" s="123"/>
      <c r="AS501" s="115"/>
      <c r="AT501" s="115"/>
      <c r="AU501" s="115"/>
      <c r="AV501" s="115"/>
      <c r="AW501" s="115"/>
      <c r="AX501" s="115"/>
      <c r="AY501" s="115"/>
      <c r="AZ501" s="115"/>
      <c r="BA501" s="115"/>
      <c r="BB501" s="115"/>
      <c r="BC501" s="13"/>
      <c r="BD501" s="13"/>
      <c r="BG501" s="114"/>
    </row>
    <row r="502" spans="1:59" ht="19.5" x14ac:dyDescent="0.4">
      <c r="A502" s="117"/>
      <c r="B502" s="123"/>
      <c r="C502" s="123"/>
      <c r="D502" s="123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26"/>
      <c r="U502" s="13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25">
        <v>45686</v>
      </c>
      <c r="AF502" s="15" t="s">
        <v>148</v>
      </c>
      <c r="AK502" s="117"/>
      <c r="AL502" s="123"/>
      <c r="AM502" s="123"/>
      <c r="AN502" s="123"/>
      <c r="AS502" s="115"/>
      <c r="AT502" s="115"/>
      <c r="AU502" s="115"/>
      <c r="AV502" s="115"/>
      <c r="AW502" s="115"/>
      <c r="AX502" s="115"/>
      <c r="AY502" s="115"/>
      <c r="AZ502" s="115"/>
      <c r="BA502" s="115"/>
      <c r="BB502" s="115"/>
      <c r="BC502" s="13"/>
      <c r="BD502" s="13"/>
      <c r="BG502" s="114"/>
    </row>
    <row r="503" spans="1:59" ht="19.5" x14ac:dyDescent="0.4">
      <c r="A503" s="117"/>
      <c r="B503" s="123"/>
      <c r="C503" s="123"/>
      <c r="D503" s="123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26"/>
      <c r="U503" s="13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25">
        <v>45689</v>
      </c>
      <c r="AF503" s="15" t="s">
        <v>147</v>
      </c>
      <c r="AK503" s="117"/>
      <c r="AL503" s="123"/>
      <c r="AM503" s="123"/>
      <c r="AN503" s="123"/>
      <c r="AS503" s="115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3"/>
      <c r="BD503" s="13"/>
      <c r="BG503" s="114"/>
    </row>
    <row r="504" spans="1:59" ht="19.5" x14ac:dyDescent="0.4">
      <c r="A504" s="117"/>
      <c r="B504" s="123"/>
      <c r="C504" s="123"/>
      <c r="D504" s="123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26"/>
      <c r="U504" s="13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5"/>
      <c r="AF504" s="15"/>
      <c r="AK504" s="117"/>
      <c r="AL504" s="123"/>
      <c r="AM504" s="123"/>
      <c r="AN504" s="123"/>
      <c r="AS504" s="115"/>
      <c r="AT504" s="115"/>
      <c r="AU504" s="115"/>
      <c r="AV504" s="115"/>
      <c r="AW504" s="115"/>
      <c r="AX504" s="115"/>
      <c r="AY504" s="115"/>
      <c r="AZ504" s="115"/>
      <c r="BA504" s="115"/>
      <c r="BB504" s="115"/>
      <c r="BC504" s="13"/>
      <c r="BD504" s="13"/>
      <c r="BG504" s="114"/>
    </row>
    <row r="505" spans="1:59" ht="19.5" x14ac:dyDescent="0.4">
      <c r="A505" s="117"/>
      <c r="B505" s="123"/>
      <c r="C505" s="123"/>
      <c r="D505" s="123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26"/>
      <c r="U505" s="13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25">
        <v>45689</v>
      </c>
      <c r="AF505" s="15" t="s">
        <v>147</v>
      </c>
      <c r="AK505" s="117"/>
      <c r="AL505" s="123"/>
      <c r="AM505" s="123"/>
      <c r="AN505" s="123"/>
      <c r="AS505" s="115"/>
      <c r="AT505" s="115"/>
      <c r="AU505" s="115"/>
      <c r="AV505" s="115"/>
      <c r="AW505" s="115"/>
      <c r="AX505" s="115"/>
      <c r="AY505" s="115"/>
      <c r="AZ505" s="115"/>
      <c r="BA505" s="115"/>
      <c r="BB505" s="115"/>
      <c r="BC505" s="13"/>
      <c r="BD505" s="13"/>
      <c r="BG505" s="114"/>
    </row>
    <row r="506" spans="1:59" ht="19.5" x14ac:dyDescent="0.4">
      <c r="A506" s="117"/>
      <c r="B506" s="123"/>
      <c r="C506" s="123"/>
      <c r="D506" s="123"/>
      <c r="T506" s="26"/>
      <c r="U506" s="13"/>
      <c r="AE506" s="25">
        <v>45689</v>
      </c>
      <c r="AF506" s="15" t="s">
        <v>146</v>
      </c>
      <c r="AK506" s="117"/>
      <c r="AL506" s="123"/>
      <c r="AM506" s="123"/>
      <c r="AN506" s="123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115"/>
      <c r="BB506" s="115"/>
      <c r="BC506" s="25">
        <v>45266</v>
      </c>
      <c r="BD506" s="25" t="s">
        <v>162</v>
      </c>
      <c r="BG506" s="114"/>
    </row>
    <row r="507" spans="1:59" ht="19.5" x14ac:dyDescent="0.4">
      <c r="A507" s="117"/>
      <c r="B507" s="123"/>
      <c r="C507" s="123"/>
      <c r="D507" s="123"/>
      <c r="T507" s="129"/>
      <c r="U507" s="13"/>
      <c r="AE507" s="25"/>
      <c r="AF507" s="15"/>
      <c r="AK507" s="117"/>
      <c r="AL507" s="123"/>
      <c r="AM507" s="123"/>
      <c r="AN507" s="123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/>
      <c r="AZ507" s="115"/>
      <c r="BA507" s="115"/>
      <c r="BB507" s="115"/>
      <c r="BC507" s="25"/>
      <c r="BD507" s="25"/>
      <c r="BG507" s="114"/>
    </row>
    <row r="508" spans="1:59" ht="19.5" x14ac:dyDescent="0.4">
      <c r="A508" s="117"/>
      <c r="B508" s="123"/>
      <c r="C508" s="123"/>
      <c r="D508" s="123"/>
      <c r="T508" s="26"/>
      <c r="U508" s="13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25">
        <v>45689</v>
      </c>
      <c r="AF508" s="15" t="s">
        <v>146</v>
      </c>
      <c r="AK508" s="117"/>
      <c r="AL508" s="123"/>
      <c r="AM508" s="123"/>
      <c r="AN508" s="123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15"/>
      <c r="BA508" s="115"/>
      <c r="BB508" s="115"/>
      <c r="BC508" s="25"/>
      <c r="BD508" s="25"/>
      <c r="BG508" s="114"/>
    </row>
    <row r="509" spans="1:59" ht="19.5" x14ac:dyDescent="0.4">
      <c r="A509" s="117"/>
      <c r="B509" s="123"/>
      <c r="C509" s="123"/>
      <c r="D509" s="123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26"/>
      <c r="U509" s="13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25"/>
      <c r="AF509" s="15"/>
      <c r="AK509" s="117"/>
      <c r="AL509" s="123"/>
      <c r="AM509" s="123"/>
      <c r="AN509" s="123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/>
      <c r="BB509" s="115"/>
      <c r="BC509" s="25"/>
      <c r="BD509" s="25"/>
      <c r="BG509" s="114"/>
    </row>
    <row r="510" spans="1:59" ht="19.5" x14ac:dyDescent="0.4">
      <c r="A510" s="117"/>
      <c r="B510" s="123"/>
      <c r="C510" s="123"/>
      <c r="D510" s="123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26"/>
      <c r="U510" s="13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25"/>
      <c r="AF510" s="15"/>
      <c r="AK510" s="117"/>
      <c r="AL510" s="123"/>
      <c r="AM510" s="123"/>
      <c r="AN510" s="123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15"/>
      <c r="BA510" s="115"/>
      <c r="BB510" s="115"/>
      <c r="BC510" s="25"/>
      <c r="BD510" s="25"/>
      <c r="BG510" s="114"/>
    </row>
    <row r="511" spans="1:59" ht="19.5" x14ac:dyDescent="0.4">
      <c r="A511" s="117"/>
      <c r="B511" s="123"/>
      <c r="C511" s="123"/>
      <c r="D511" s="123"/>
      <c r="T511" s="26"/>
      <c r="U511" s="13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25">
        <v>45690</v>
      </c>
      <c r="AF511" s="15" t="s">
        <v>146</v>
      </c>
      <c r="AK511" s="117"/>
      <c r="AL511" s="123"/>
      <c r="AM511" s="123"/>
      <c r="AN511" s="123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115"/>
      <c r="BB511" s="115"/>
      <c r="BC511" s="25"/>
      <c r="BD511" s="25"/>
      <c r="BG511" s="114"/>
    </row>
    <row r="512" spans="1:59" ht="19.5" x14ac:dyDescent="0.4">
      <c r="A512" s="117"/>
      <c r="B512" s="123"/>
      <c r="C512" s="123"/>
      <c r="D512" s="123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26"/>
      <c r="U512" s="13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5"/>
      <c r="AF512" s="15"/>
      <c r="AK512" s="117"/>
      <c r="AL512" s="123"/>
      <c r="AM512" s="123"/>
      <c r="AN512" s="123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115"/>
      <c r="BA512" s="115"/>
      <c r="BB512" s="115"/>
      <c r="BC512" s="25"/>
      <c r="BD512" s="25"/>
      <c r="BG512" s="114"/>
    </row>
    <row r="513" spans="1:59" ht="19.5" x14ac:dyDescent="0.4">
      <c r="A513" s="117"/>
      <c r="B513" s="123"/>
      <c r="C513" s="123"/>
      <c r="D513" s="123"/>
      <c r="T513" s="26"/>
      <c r="U513" s="13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25">
        <v>45691</v>
      </c>
      <c r="AF513" s="15" t="s">
        <v>146</v>
      </c>
      <c r="AK513" s="117"/>
      <c r="AL513" s="123"/>
      <c r="AM513" s="123"/>
      <c r="AN513" s="123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/>
      <c r="BA513" s="115"/>
      <c r="BB513" s="115"/>
      <c r="BC513" s="25"/>
      <c r="BD513" s="25"/>
      <c r="BG513" s="114"/>
    </row>
    <row r="514" spans="1:59" ht="19.5" x14ac:dyDescent="0.4">
      <c r="A514" s="117"/>
      <c r="B514" s="123"/>
      <c r="C514" s="123"/>
      <c r="D514" s="123"/>
      <c r="T514" s="26"/>
      <c r="U514" s="13"/>
      <c r="AE514" s="25">
        <v>45691</v>
      </c>
      <c r="AF514" s="15" t="s">
        <v>146</v>
      </c>
      <c r="AK514" s="117"/>
      <c r="AL514" s="123"/>
      <c r="AM514" s="123"/>
      <c r="AN514" s="123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15"/>
      <c r="BB514" s="115" t="s">
        <v>156</v>
      </c>
      <c r="BC514" s="13">
        <f>SUBTOTAL(3,BC506:BC506)</f>
        <v>1</v>
      </c>
      <c r="BD514" s="13">
        <f>SUBTOTAL(3,BD506:BD506)</f>
        <v>1</v>
      </c>
      <c r="BG514" s="114"/>
    </row>
    <row r="515" spans="1:59" ht="19.5" x14ac:dyDescent="0.4">
      <c r="A515" s="117"/>
      <c r="B515" s="123"/>
      <c r="C515" s="123"/>
      <c r="D515" s="123"/>
      <c r="T515" s="26"/>
      <c r="U515" s="13"/>
      <c r="AA515" s="115"/>
      <c r="AB515" s="115"/>
      <c r="AC515" s="115"/>
      <c r="AD515" s="115"/>
      <c r="AE515" s="25">
        <v>45691</v>
      </c>
      <c r="AF515" s="15" t="s">
        <v>146</v>
      </c>
      <c r="AK515" s="117"/>
      <c r="AL515" s="123"/>
      <c r="AM515" s="123"/>
      <c r="AN515" s="123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3"/>
      <c r="BD515" s="13"/>
      <c r="BG515" s="114"/>
    </row>
    <row r="516" spans="1:59" ht="19.5" x14ac:dyDescent="0.4">
      <c r="A516" s="117"/>
      <c r="B516" s="123"/>
      <c r="C516" s="123"/>
      <c r="D516" s="123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26"/>
      <c r="U516" s="13"/>
      <c r="AA516" s="115"/>
      <c r="AB516" s="115"/>
      <c r="AC516" s="115"/>
      <c r="AD516" s="115"/>
      <c r="AE516" s="25"/>
      <c r="AF516" s="15"/>
      <c r="AK516" s="117"/>
      <c r="AL516" s="123"/>
      <c r="AM516" s="123"/>
      <c r="AN516" s="123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15"/>
      <c r="BB516" s="115"/>
      <c r="BC516" s="13"/>
      <c r="BD516" s="13"/>
      <c r="BG516" s="114"/>
    </row>
    <row r="517" spans="1:59" ht="19.5" x14ac:dyDescent="0.4">
      <c r="A517" s="117"/>
      <c r="B517" s="123"/>
      <c r="C517" s="123"/>
      <c r="D517" s="123"/>
      <c r="T517" s="26"/>
      <c r="U517" s="13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25">
        <v>45691</v>
      </c>
      <c r="AF517" s="15" t="s">
        <v>146</v>
      </c>
      <c r="AK517" s="117"/>
      <c r="AL517" s="123"/>
      <c r="AM517" s="123"/>
      <c r="AN517" s="123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15"/>
      <c r="BC517" s="13"/>
      <c r="BD517" s="13"/>
      <c r="BG517" s="114"/>
    </row>
    <row r="518" spans="1:59" ht="19.5" x14ac:dyDescent="0.4">
      <c r="A518" s="117"/>
      <c r="B518" s="123"/>
      <c r="C518" s="123"/>
      <c r="D518" s="123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26"/>
      <c r="U518" s="13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5"/>
      <c r="AF518" s="15"/>
      <c r="AK518" s="117"/>
      <c r="AL518" s="123"/>
      <c r="AM518" s="123"/>
      <c r="AN518" s="123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3"/>
      <c r="BD518" s="13"/>
      <c r="BG518" s="114"/>
    </row>
    <row r="519" spans="1:59" ht="19.5" x14ac:dyDescent="0.4">
      <c r="A519" s="117"/>
      <c r="B519" s="123"/>
      <c r="C519" s="123"/>
      <c r="D519" s="123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26"/>
      <c r="U519" s="13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25"/>
      <c r="AF519" s="15"/>
      <c r="AK519" s="117"/>
      <c r="AL519" s="123"/>
      <c r="AM519" s="123"/>
      <c r="AN519" s="123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115"/>
      <c r="BA519" s="115"/>
      <c r="BB519" s="115"/>
      <c r="BC519" s="13"/>
      <c r="BD519" s="13"/>
      <c r="BG519" s="114"/>
    </row>
    <row r="520" spans="1:59" ht="19.5" x14ac:dyDescent="0.4">
      <c r="A520" s="117"/>
      <c r="B520" s="123"/>
      <c r="C520" s="123"/>
      <c r="D520" s="123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26"/>
      <c r="U520" s="13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25"/>
      <c r="AF520" s="15"/>
      <c r="AK520" s="117"/>
      <c r="AL520" s="123"/>
      <c r="AM520" s="123"/>
      <c r="AN520" s="123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15"/>
      <c r="BB520" s="115"/>
      <c r="BC520" s="13"/>
      <c r="BD520" s="13"/>
      <c r="BG520" s="114"/>
    </row>
    <row r="521" spans="1:59" ht="19.5" x14ac:dyDescent="0.4">
      <c r="A521" s="117"/>
      <c r="B521" s="123"/>
      <c r="C521" s="123"/>
      <c r="D521" s="123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29"/>
      <c r="U521" s="13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25"/>
      <c r="AF521" s="15"/>
      <c r="AK521" s="117"/>
      <c r="AL521" s="123"/>
      <c r="AM521" s="123"/>
      <c r="AN521" s="123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115"/>
      <c r="BA521" s="115"/>
      <c r="BB521" s="115"/>
      <c r="BC521" s="13"/>
      <c r="BD521" s="13"/>
      <c r="BG521" s="114"/>
    </row>
    <row r="522" spans="1:59" ht="19.5" x14ac:dyDescent="0.4">
      <c r="A522" s="117"/>
      <c r="B522" s="123"/>
      <c r="C522" s="123"/>
      <c r="D522" s="123"/>
      <c r="T522" s="26"/>
      <c r="U522" s="13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25">
        <v>45692</v>
      </c>
      <c r="AF522" s="15" t="s">
        <v>146</v>
      </c>
      <c r="AK522" s="117"/>
      <c r="AL522" s="123"/>
      <c r="AM522" s="123"/>
      <c r="AN522" s="123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15"/>
      <c r="BB522" s="115"/>
      <c r="BC522" s="13"/>
      <c r="BD522" s="13"/>
      <c r="BG522" s="114"/>
    </row>
    <row r="523" spans="1:59" ht="19.5" x14ac:dyDescent="0.4">
      <c r="A523" s="117"/>
      <c r="B523" s="123"/>
      <c r="C523" s="123"/>
      <c r="D523" s="123"/>
      <c r="T523" s="129"/>
      <c r="U523" s="13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25"/>
      <c r="AF523" s="15"/>
      <c r="AK523" s="117"/>
      <c r="AL523" s="123"/>
      <c r="AM523" s="123"/>
      <c r="AN523" s="123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3"/>
      <c r="BD523" s="13"/>
      <c r="BG523" s="114"/>
    </row>
    <row r="524" spans="1:59" ht="19.5" x14ac:dyDescent="0.4">
      <c r="A524" s="117"/>
      <c r="B524" s="123"/>
      <c r="C524" s="123"/>
      <c r="D524" s="123"/>
      <c r="T524" s="26"/>
      <c r="U524" s="13"/>
      <c r="AE524" s="25">
        <v>45692</v>
      </c>
      <c r="AF524" s="15" t="s">
        <v>146</v>
      </c>
      <c r="AK524" s="117"/>
      <c r="AL524" s="123"/>
      <c r="AM524" s="123"/>
      <c r="AN524" s="123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115"/>
      <c r="BA524" s="115"/>
      <c r="BB524" s="115"/>
      <c r="BC524" s="25">
        <v>45267</v>
      </c>
      <c r="BD524" s="13" t="s">
        <v>142</v>
      </c>
      <c r="BG524" s="114"/>
    </row>
    <row r="525" spans="1:59" ht="19.5" x14ac:dyDescent="0.4">
      <c r="A525" s="117"/>
      <c r="B525" s="123"/>
      <c r="C525" s="123"/>
      <c r="D525" s="123"/>
      <c r="T525" s="26"/>
      <c r="U525" s="13"/>
      <c r="AA525" s="115"/>
      <c r="AB525" s="115"/>
      <c r="AC525" s="115"/>
      <c r="AD525" s="115"/>
      <c r="AE525" s="25">
        <v>45692</v>
      </c>
      <c r="AF525" s="15" t="s">
        <v>146</v>
      </c>
      <c r="AK525" s="117"/>
      <c r="AL525" s="123"/>
      <c r="AM525" s="123"/>
      <c r="AN525" s="123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25"/>
      <c r="BD525" s="13"/>
      <c r="BG525" s="114"/>
    </row>
    <row r="526" spans="1:59" ht="19.5" x14ac:dyDescent="0.4">
      <c r="A526" s="117"/>
      <c r="B526" s="123"/>
      <c r="C526" s="123"/>
      <c r="D526" s="123"/>
      <c r="T526" s="26"/>
      <c r="U526" s="13"/>
      <c r="W526" s="115"/>
      <c r="X526" s="115"/>
      <c r="Y526" s="115"/>
      <c r="Z526" s="115"/>
      <c r="AA526" s="115"/>
      <c r="AB526" s="115"/>
      <c r="AC526" s="115"/>
      <c r="AD526" s="115"/>
      <c r="AE526" s="25">
        <v>45692</v>
      </c>
      <c r="AF526" s="15" t="s">
        <v>146</v>
      </c>
      <c r="AK526" s="117"/>
      <c r="AL526" s="123"/>
      <c r="AM526" s="123"/>
      <c r="AN526" s="123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115"/>
      <c r="BA526" s="115"/>
      <c r="BB526" s="115"/>
      <c r="BC526" s="25"/>
      <c r="BD526" s="13"/>
      <c r="BG526" s="114"/>
    </row>
    <row r="527" spans="1:59" ht="19.5" x14ac:dyDescent="0.4">
      <c r="A527" s="117"/>
      <c r="B527" s="123"/>
      <c r="C527" s="123"/>
      <c r="D527" s="123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26"/>
      <c r="U527" s="13"/>
      <c r="W527" s="115"/>
      <c r="X527" s="115"/>
      <c r="Y527" s="115"/>
      <c r="Z527" s="115"/>
      <c r="AA527" s="115"/>
      <c r="AB527" s="115"/>
      <c r="AC527" s="115"/>
      <c r="AD527" s="115"/>
      <c r="AE527" s="25"/>
      <c r="AF527" s="15"/>
      <c r="AK527" s="117"/>
      <c r="AL527" s="123"/>
      <c r="AM527" s="123"/>
      <c r="AN527" s="123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115"/>
      <c r="BC527" s="25"/>
      <c r="BD527" s="13"/>
      <c r="BG527" s="114"/>
    </row>
    <row r="528" spans="1:59" ht="19.5" x14ac:dyDescent="0.4">
      <c r="A528" s="117"/>
      <c r="B528" s="123"/>
      <c r="C528" s="123"/>
      <c r="D528" s="123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29"/>
      <c r="U528" s="13"/>
      <c r="W528" s="115"/>
      <c r="X528" s="115"/>
      <c r="Y528" s="115"/>
      <c r="Z528" s="115"/>
      <c r="AA528" s="115"/>
      <c r="AB528" s="115"/>
      <c r="AC528" s="115"/>
      <c r="AD528" s="115"/>
      <c r="AE528" s="25"/>
      <c r="AF528" s="15"/>
      <c r="AK528" s="117"/>
      <c r="AL528" s="123"/>
      <c r="AM528" s="123"/>
      <c r="AN528" s="123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115"/>
      <c r="BC528" s="25"/>
      <c r="BD528" s="13"/>
      <c r="BG528" s="114"/>
    </row>
    <row r="529" spans="1:59" ht="19.5" x14ac:dyDescent="0.4">
      <c r="A529" s="117"/>
      <c r="B529" s="123"/>
      <c r="C529" s="123"/>
      <c r="D529" s="123"/>
      <c r="T529" s="26"/>
      <c r="U529" s="13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5">
        <v>45693</v>
      </c>
      <c r="AF529" s="15" t="s">
        <v>146</v>
      </c>
      <c r="AK529" s="117"/>
      <c r="AL529" s="123"/>
      <c r="AM529" s="123"/>
      <c r="AN529" s="123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115"/>
      <c r="BC529" s="25"/>
      <c r="BD529" s="13"/>
      <c r="BG529" s="114"/>
    </row>
    <row r="530" spans="1:59" ht="19.5" x14ac:dyDescent="0.4">
      <c r="A530" s="117"/>
      <c r="B530" s="123"/>
      <c r="C530" s="123"/>
      <c r="D530" s="123"/>
      <c r="T530" s="129"/>
      <c r="U530" s="13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5"/>
      <c r="AF530" s="15"/>
      <c r="AK530" s="117"/>
      <c r="AL530" s="123"/>
      <c r="AM530" s="123"/>
      <c r="AN530" s="123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115"/>
      <c r="BC530" s="25"/>
      <c r="BD530" s="13"/>
      <c r="BG530" s="114"/>
    </row>
    <row r="531" spans="1:59" ht="19.5" x14ac:dyDescent="0.4">
      <c r="A531" s="117"/>
      <c r="B531" s="123"/>
      <c r="C531" s="123"/>
      <c r="D531" s="123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26"/>
      <c r="U531" s="13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25"/>
      <c r="AF531" s="15"/>
      <c r="AK531" s="117"/>
      <c r="AL531" s="123"/>
      <c r="AM531" s="123"/>
      <c r="AN531" s="123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115"/>
      <c r="BC531" s="25"/>
      <c r="BD531" s="13"/>
      <c r="BG531" s="114"/>
    </row>
    <row r="532" spans="1:59" ht="19.5" x14ac:dyDescent="0.4">
      <c r="A532" s="117"/>
      <c r="B532" s="123"/>
      <c r="C532" s="123"/>
      <c r="D532" s="123"/>
      <c r="T532" s="26"/>
      <c r="U532" s="13"/>
      <c r="AE532" s="25">
        <v>45693</v>
      </c>
      <c r="AF532" s="15" t="s">
        <v>146</v>
      </c>
      <c r="AK532" s="117"/>
      <c r="AL532" s="123"/>
      <c r="AM532" s="123"/>
      <c r="AN532" s="123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115" t="s">
        <v>157</v>
      </c>
      <c r="BC532" s="13">
        <f>SUBTOTAL(3,BC524:BC524)</f>
        <v>1</v>
      </c>
      <c r="BD532" s="13">
        <f>SUBTOTAL(3,BD524:BD524)</f>
        <v>1</v>
      </c>
      <c r="BG532" s="114"/>
    </row>
    <row r="533" spans="1:59" ht="19.5" x14ac:dyDescent="0.4">
      <c r="A533" s="117"/>
      <c r="B533" s="123"/>
      <c r="C533" s="123"/>
      <c r="D533" s="123"/>
      <c r="T533" s="26"/>
      <c r="U533" s="13"/>
      <c r="W533" s="115"/>
      <c r="X533" s="115"/>
      <c r="Y533" s="115"/>
      <c r="Z533" s="115"/>
      <c r="AA533" s="115"/>
      <c r="AB533" s="115"/>
      <c r="AC533" s="115"/>
      <c r="AD533" s="115"/>
      <c r="AE533" s="25">
        <v>45693</v>
      </c>
      <c r="AF533" s="15" t="s">
        <v>146</v>
      </c>
      <c r="AK533" s="117"/>
      <c r="AL533" s="123"/>
      <c r="AM533" s="123"/>
      <c r="AN533" s="123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3"/>
      <c r="BD533" s="13"/>
      <c r="BG533" s="114"/>
    </row>
    <row r="534" spans="1:59" ht="19.5" x14ac:dyDescent="0.4">
      <c r="A534" s="117"/>
      <c r="B534" s="123"/>
      <c r="C534" s="123"/>
      <c r="D534" s="123"/>
      <c r="T534" s="129"/>
      <c r="U534" s="13"/>
      <c r="W534" s="115"/>
      <c r="X534" s="115"/>
      <c r="Y534" s="115"/>
      <c r="Z534" s="115"/>
      <c r="AA534" s="115"/>
      <c r="AB534" s="115"/>
      <c r="AC534" s="115"/>
      <c r="AD534" s="115"/>
      <c r="AE534" s="25"/>
      <c r="AF534" s="15"/>
      <c r="AK534" s="117"/>
      <c r="AL534" s="123"/>
      <c r="AM534" s="123"/>
      <c r="AN534" s="123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115"/>
      <c r="BC534" s="13"/>
      <c r="BD534" s="13"/>
      <c r="BG534" s="114"/>
    </row>
    <row r="535" spans="1:59" ht="19.5" x14ac:dyDescent="0.4">
      <c r="A535" s="117"/>
      <c r="B535" s="123"/>
      <c r="C535" s="123"/>
      <c r="D535" s="123"/>
      <c r="T535" s="129"/>
      <c r="U535" s="13"/>
      <c r="W535" s="115"/>
      <c r="X535" s="115"/>
      <c r="Y535" s="115"/>
      <c r="Z535" s="115"/>
      <c r="AA535" s="115"/>
      <c r="AB535" s="115"/>
      <c r="AC535" s="115"/>
      <c r="AD535" s="115"/>
      <c r="AE535" s="25"/>
      <c r="AF535" s="15"/>
      <c r="AK535" s="117"/>
      <c r="AL535" s="123"/>
      <c r="AM535" s="123"/>
      <c r="AN535" s="123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3"/>
      <c r="BD535" s="13"/>
      <c r="BG535" s="114"/>
    </row>
    <row r="536" spans="1:59" ht="19.5" x14ac:dyDescent="0.4">
      <c r="A536" s="117"/>
      <c r="B536" s="123"/>
      <c r="C536" s="123"/>
      <c r="D536" s="123"/>
      <c r="T536" s="26"/>
      <c r="U536" s="13"/>
      <c r="W536" s="115"/>
      <c r="X536" s="115"/>
      <c r="Y536" s="115"/>
      <c r="Z536" s="115"/>
      <c r="AA536" s="115"/>
      <c r="AB536" s="115"/>
      <c r="AC536" s="115"/>
      <c r="AD536" s="115"/>
      <c r="AE536" s="25">
        <v>45694</v>
      </c>
      <c r="AF536" s="15" t="s">
        <v>147</v>
      </c>
      <c r="AK536" s="117"/>
      <c r="AL536" s="123"/>
      <c r="AM536" s="123"/>
      <c r="AN536" s="123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/>
      <c r="BB536" s="115"/>
      <c r="BC536" s="13"/>
      <c r="BD536" s="13"/>
      <c r="BG536" s="114"/>
    </row>
    <row r="537" spans="1:59" ht="19.5" x14ac:dyDescent="0.4">
      <c r="A537" s="117"/>
      <c r="B537" s="123"/>
      <c r="C537" s="123"/>
      <c r="D537" s="123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7"/>
      <c r="U537" s="13"/>
      <c r="W537" s="115"/>
      <c r="X537" s="115"/>
      <c r="Y537" s="115"/>
      <c r="Z537" s="115"/>
      <c r="AA537" s="115"/>
      <c r="AB537" s="115"/>
      <c r="AC537" s="115"/>
      <c r="AD537" s="115"/>
      <c r="AE537" s="25"/>
      <c r="AF537" s="15"/>
      <c r="AK537" s="117"/>
      <c r="AL537" s="123"/>
      <c r="AM537" s="123"/>
      <c r="AN537" s="123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15"/>
      <c r="BC537" s="13"/>
      <c r="BD537" s="13"/>
      <c r="BG537" s="114"/>
    </row>
    <row r="538" spans="1:59" ht="19.5" x14ac:dyDescent="0.4">
      <c r="A538" s="117"/>
      <c r="B538" s="123"/>
      <c r="C538" s="123"/>
      <c r="D538" s="123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7"/>
      <c r="U538" s="13"/>
      <c r="W538" s="115"/>
      <c r="X538" s="115"/>
      <c r="Y538" s="115"/>
      <c r="Z538" s="115"/>
      <c r="AA538" s="115"/>
      <c r="AB538" s="115"/>
      <c r="AC538" s="115"/>
      <c r="AD538" s="115"/>
      <c r="AE538" s="25"/>
      <c r="AF538" s="15"/>
      <c r="AK538" s="117"/>
      <c r="AL538" s="123"/>
      <c r="AM538" s="123"/>
      <c r="AN538" s="123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115"/>
      <c r="BB538" s="115"/>
      <c r="BC538" s="13"/>
      <c r="BD538" s="13"/>
      <c r="BG538" s="114"/>
    </row>
    <row r="539" spans="1:59" ht="19.5" x14ac:dyDescent="0.4">
      <c r="A539" s="117"/>
      <c r="B539" s="123"/>
      <c r="C539" s="123"/>
      <c r="D539" s="123"/>
      <c r="T539" s="26"/>
      <c r="U539" s="13"/>
      <c r="W539" s="115"/>
      <c r="X539" s="115"/>
      <c r="Y539" s="115"/>
      <c r="Z539" s="115"/>
      <c r="AA539" s="115"/>
      <c r="AB539" s="115"/>
      <c r="AC539" s="115"/>
      <c r="AD539" s="115"/>
      <c r="AE539" s="25">
        <v>45694</v>
      </c>
      <c r="AF539" s="105" t="s">
        <v>147</v>
      </c>
      <c r="AK539" s="117"/>
      <c r="AL539" s="123"/>
      <c r="AM539" s="123"/>
      <c r="AN539" s="123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115"/>
      <c r="BB539" s="115"/>
      <c r="BC539" s="13"/>
      <c r="BD539" s="13"/>
      <c r="BG539" s="114"/>
    </row>
    <row r="540" spans="1:59" ht="19.5" x14ac:dyDescent="0.4">
      <c r="A540" s="117"/>
      <c r="B540" s="123"/>
      <c r="C540" s="123"/>
      <c r="D540" s="123"/>
      <c r="T540" s="26"/>
      <c r="U540" s="13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25">
        <v>45694</v>
      </c>
      <c r="AF540" s="15" t="s">
        <v>147</v>
      </c>
      <c r="AK540" s="117"/>
      <c r="AL540" s="123"/>
      <c r="AM540" s="123"/>
      <c r="AN540" s="123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115"/>
      <c r="BB540" s="115"/>
      <c r="BC540" s="13"/>
      <c r="BD540" s="13"/>
      <c r="BG540" s="114"/>
    </row>
    <row r="541" spans="1:59" ht="19.5" x14ac:dyDescent="0.4">
      <c r="A541" s="117"/>
      <c r="B541" s="123"/>
      <c r="C541" s="123"/>
      <c r="D541" s="123"/>
      <c r="T541" s="26"/>
      <c r="U541" s="13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26">
        <v>45694</v>
      </c>
      <c r="AF541" s="15" t="s">
        <v>148</v>
      </c>
      <c r="AK541" s="117"/>
      <c r="AL541" s="123"/>
      <c r="AM541" s="123"/>
      <c r="AN541" s="123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115"/>
      <c r="BB541" s="115"/>
      <c r="BC541" s="13"/>
      <c r="BD541" s="13"/>
      <c r="BG541" s="114"/>
    </row>
    <row r="542" spans="1:59" ht="19.5" x14ac:dyDescent="0.4">
      <c r="A542" s="117"/>
      <c r="B542" s="123"/>
      <c r="C542" s="123"/>
      <c r="D542" s="123"/>
      <c r="T542" s="26"/>
      <c r="U542" s="13"/>
      <c r="AE542" s="26">
        <v>45694</v>
      </c>
      <c r="AF542" s="13" t="s">
        <v>147</v>
      </c>
      <c r="AK542" s="117"/>
      <c r="AL542" s="123"/>
      <c r="AM542" s="123"/>
      <c r="AN542" s="123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25">
        <v>45268</v>
      </c>
      <c r="BD542" s="13" t="s">
        <v>162</v>
      </c>
      <c r="BG542" s="114"/>
    </row>
    <row r="543" spans="1:59" ht="19.5" x14ac:dyDescent="0.4">
      <c r="A543" s="117"/>
      <c r="B543" s="123"/>
      <c r="C543" s="123"/>
      <c r="D543" s="123"/>
      <c r="T543" s="26"/>
      <c r="U543" s="13"/>
      <c r="W543" s="115"/>
      <c r="X543" s="115"/>
      <c r="Y543" s="115"/>
      <c r="Z543" s="115"/>
      <c r="AA543" s="115"/>
      <c r="AB543" s="115"/>
      <c r="AC543" s="115"/>
      <c r="AD543" s="115"/>
      <c r="AE543" s="26">
        <v>45694</v>
      </c>
      <c r="AF543" s="13" t="s">
        <v>147</v>
      </c>
      <c r="AK543" s="117"/>
      <c r="AL543" s="123"/>
      <c r="AM543" s="123"/>
      <c r="AN543" s="123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115"/>
      <c r="BB543" s="115"/>
      <c r="BC543" s="25"/>
      <c r="BD543" s="13"/>
      <c r="BG543" s="114"/>
    </row>
    <row r="544" spans="1:59" ht="19.5" x14ac:dyDescent="0.4">
      <c r="A544" s="117"/>
      <c r="B544" s="123"/>
      <c r="C544" s="123"/>
      <c r="D544" s="123"/>
      <c r="T544" s="26"/>
      <c r="U544" s="13"/>
      <c r="AE544" s="26">
        <v>45694</v>
      </c>
      <c r="AF544" s="13" t="s">
        <v>147</v>
      </c>
      <c r="AK544" s="117"/>
      <c r="AL544" s="123"/>
      <c r="AM544" s="123"/>
      <c r="AN544" s="123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115"/>
      <c r="BB544" s="115"/>
      <c r="BC544" s="25">
        <v>45268</v>
      </c>
      <c r="BD544" s="13" t="s">
        <v>162</v>
      </c>
      <c r="BG544" s="114"/>
    </row>
    <row r="545" spans="1:59" ht="19.5" x14ac:dyDescent="0.4">
      <c r="A545" s="117"/>
      <c r="B545" s="123"/>
      <c r="C545" s="123"/>
      <c r="D545" s="123"/>
      <c r="T545" s="26"/>
      <c r="U545" s="13"/>
      <c r="AB545" s="115"/>
      <c r="AC545" s="115"/>
      <c r="AD545" s="115"/>
      <c r="AE545" s="26">
        <v>45696</v>
      </c>
      <c r="AF545" s="13" t="s">
        <v>147</v>
      </c>
      <c r="AK545" s="117"/>
      <c r="AL545" s="123"/>
      <c r="AM545" s="123"/>
      <c r="AN545" s="123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115"/>
      <c r="BB545" s="115"/>
      <c r="BC545" s="25"/>
      <c r="BD545" s="13"/>
      <c r="BG545" s="114"/>
    </row>
    <row r="546" spans="1:59" ht="19.5" x14ac:dyDescent="0.4">
      <c r="A546" s="117"/>
      <c r="B546" s="123"/>
      <c r="C546" s="123"/>
      <c r="D546" s="123"/>
      <c r="T546" s="26"/>
      <c r="U546" s="13"/>
      <c r="AE546" s="26">
        <v>45698</v>
      </c>
      <c r="AF546" s="13" t="s">
        <v>147</v>
      </c>
      <c r="AK546" s="117"/>
      <c r="AL546" s="123"/>
      <c r="AM546" s="123"/>
      <c r="AN546" s="123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115"/>
      <c r="BB546" s="115"/>
      <c r="BC546" s="25">
        <v>45268</v>
      </c>
      <c r="BD546" s="13" t="s">
        <v>163</v>
      </c>
      <c r="BG546" s="114"/>
    </row>
    <row r="547" spans="1:59" ht="19.5" x14ac:dyDescent="0.4">
      <c r="A547" s="117"/>
      <c r="B547" s="123"/>
      <c r="C547" s="123"/>
      <c r="D547" s="123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7"/>
      <c r="U547" s="13"/>
      <c r="AE547" s="26"/>
      <c r="AF547" s="13"/>
      <c r="AK547" s="117"/>
      <c r="AL547" s="123"/>
      <c r="AM547" s="123"/>
      <c r="AN547" s="123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115"/>
      <c r="BB547" s="115"/>
      <c r="BC547" s="25"/>
      <c r="BD547" s="13"/>
      <c r="BG547" s="114"/>
    </row>
    <row r="548" spans="1:59" ht="19.5" x14ac:dyDescent="0.4">
      <c r="A548" s="117"/>
      <c r="B548" s="123"/>
      <c r="C548" s="123"/>
      <c r="D548" s="123"/>
      <c r="T548" s="26"/>
      <c r="U548" s="13"/>
      <c r="AB548" s="115"/>
      <c r="AC548" s="115"/>
      <c r="AD548" s="115"/>
      <c r="AE548" s="26">
        <v>45698</v>
      </c>
      <c r="AF548" s="13" t="s">
        <v>147</v>
      </c>
      <c r="AK548" s="117"/>
      <c r="AL548" s="123"/>
      <c r="AM548" s="123"/>
      <c r="AN548" s="123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115"/>
      <c r="BC548" s="25"/>
      <c r="BD548" s="13"/>
      <c r="BG548" s="114"/>
    </row>
    <row r="549" spans="1:59" ht="19.5" x14ac:dyDescent="0.4">
      <c r="A549" s="117"/>
      <c r="B549" s="123"/>
      <c r="C549" s="123"/>
      <c r="D549" s="123"/>
      <c r="T549" s="26"/>
      <c r="U549" s="13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26">
        <v>45699</v>
      </c>
      <c r="AF549" s="13" t="s">
        <v>148</v>
      </c>
      <c r="AK549" s="117"/>
      <c r="AL549" s="123"/>
      <c r="AM549" s="123"/>
      <c r="AN549" s="123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115"/>
      <c r="BB549" s="115"/>
      <c r="BC549" s="25"/>
      <c r="BD549" s="13"/>
      <c r="BG549" s="114"/>
    </row>
    <row r="550" spans="1:59" ht="19.5" x14ac:dyDescent="0.4">
      <c r="A550" s="117"/>
      <c r="B550" s="123"/>
      <c r="C550" s="123"/>
      <c r="D550" s="123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7"/>
      <c r="U550" s="13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26"/>
      <c r="AF550" s="13"/>
      <c r="AK550" s="117"/>
      <c r="AL550" s="123"/>
      <c r="AM550" s="123"/>
      <c r="AN550" s="123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25"/>
      <c r="BD550" s="13"/>
      <c r="BG550" s="114"/>
    </row>
    <row r="551" spans="1:59" ht="19.5" x14ac:dyDescent="0.4">
      <c r="A551" s="117"/>
      <c r="B551" s="123"/>
      <c r="C551" s="123"/>
      <c r="D551" s="123"/>
      <c r="T551" s="26"/>
      <c r="U551" s="13"/>
      <c r="AE551" s="26">
        <v>45699</v>
      </c>
      <c r="AF551" s="13" t="s">
        <v>148</v>
      </c>
      <c r="AK551" s="117"/>
      <c r="AL551" s="123"/>
      <c r="AM551" s="123"/>
      <c r="AN551" s="123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/>
      <c r="BB551" s="115"/>
      <c r="BC551" s="25">
        <v>45268</v>
      </c>
      <c r="BD551" s="13" t="s">
        <v>163</v>
      </c>
      <c r="BG551" s="114"/>
    </row>
    <row r="552" spans="1:59" ht="19.5" x14ac:dyDescent="0.4">
      <c r="A552" s="117"/>
      <c r="B552" s="123"/>
      <c r="C552" s="123"/>
      <c r="D552" s="123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7"/>
      <c r="U552" s="13"/>
      <c r="AE552" s="26"/>
      <c r="AF552" s="13"/>
      <c r="AK552" s="117"/>
      <c r="AL552" s="123"/>
      <c r="AM552" s="123"/>
      <c r="AN552" s="123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15"/>
      <c r="BC552" s="25"/>
      <c r="BD552" s="13"/>
      <c r="BG552" s="114"/>
    </row>
    <row r="553" spans="1:59" ht="19.5" x14ac:dyDescent="0.4">
      <c r="A553" s="117"/>
      <c r="B553" s="123"/>
      <c r="C553" s="123"/>
      <c r="D553" s="123"/>
      <c r="T553" s="26"/>
      <c r="U553" s="13"/>
      <c r="X553" s="115"/>
      <c r="Y553" s="115"/>
      <c r="Z553" s="115"/>
      <c r="AA553" s="115"/>
      <c r="AB553" s="115"/>
      <c r="AC553" s="115"/>
      <c r="AD553" s="115"/>
      <c r="AE553" s="26">
        <v>45699</v>
      </c>
      <c r="AF553" s="13" t="s">
        <v>148</v>
      </c>
      <c r="AK553" s="117"/>
      <c r="AL553" s="123"/>
      <c r="AM553" s="123"/>
      <c r="AN553" s="123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15"/>
      <c r="BC553" s="25"/>
      <c r="BD553" s="13"/>
      <c r="BG553" s="114"/>
    </row>
    <row r="554" spans="1:59" ht="19.5" x14ac:dyDescent="0.4">
      <c r="A554" s="117"/>
      <c r="B554" s="123"/>
      <c r="C554" s="123"/>
      <c r="D554" s="123"/>
      <c r="T554" s="26"/>
      <c r="U554" s="13"/>
      <c r="X554" s="115"/>
      <c r="Y554" s="115"/>
      <c r="Z554" s="115"/>
      <c r="AA554" s="115"/>
      <c r="AB554" s="115"/>
      <c r="AC554" s="115"/>
      <c r="AD554" s="115"/>
      <c r="AE554" s="26">
        <v>45699</v>
      </c>
      <c r="AF554" s="13" t="s">
        <v>148</v>
      </c>
      <c r="AK554" s="117"/>
      <c r="AL554" s="123"/>
      <c r="AM554" s="123"/>
      <c r="AN554" s="123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15"/>
      <c r="BC554" s="25"/>
      <c r="BD554" s="13"/>
      <c r="BG554" s="114"/>
    </row>
    <row r="555" spans="1:59" ht="19.5" x14ac:dyDescent="0.4">
      <c r="A555" s="117"/>
      <c r="B555" s="123"/>
      <c r="C555" s="123"/>
      <c r="D555" s="123"/>
      <c r="T555" s="26"/>
      <c r="U555" s="13"/>
      <c r="X555" s="115"/>
      <c r="Y555" s="115"/>
      <c r="Z555" s="115"/>
      <c r="AA555" s="115"/>
      <c r="AB555" s="115"/>
      <c r="AC555" s="115"/>
      <c r="AD555" s="115"/>
      <c r="AE555" s="26">
        <v>45699</v>
      </c>
      <c r="AF555" s="13" t="s">
        <v>148</v>
      </c>
      <c r="AK555" s="117"/>
      <c r="AL555" s="123"/>
      <c r="AM555" s="123"/>
      <c r="AN555" s="123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115"/>
      <c r="BC555" s="25"/>
      <c r="BD555" s="13"/>
      <c r="BG555" s="114"/>
    </row>
    <row r="556" spans="1:59" ht="19.5" x14ac:dyDescent="0.4">
      <c r="A556" s="117"/>
      <c r="B556" s="123"/>
      <c r="C556" s="123"/>
      <c r="D556" s="123"/>
      <c r="T556" s="26"/>
      <c r="U556" s="13"/>
      <c r="AE556" s="26">
        <v>45699</v>
      </c>
      <c r="AF556" s="13" t="s">
        <v>148</v>
      </c>
      <c r="AK556" s="117"/>
      <c r="AL556" s="123"/>
      <c r="AM556" s="123"/>
      <c r="AN556" s="123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115" t="s">
        <v>158</v>
      </c>
      <c r="BC556" s="13">
        <f>SUBTOTAL(3,BC542:BC551)</f>
        <v>4</v>
      </c>
      <c r="BD556" s="13">
        <f>SUBTOTAL(3,BD542:BD551)</f>
        <v>4</v>
      </c>
      <c r="BG556" s="114"/>
    </row>
    <row r="557" spans="1:59" ht="19.5" x14ac:dyDescent="0.4">
      <c r="A557" s="117"/>
      <c r="B557" s="123"/>
      <c r="C557" s="123"/>
      <c r="D557" s="123"/>
      <c r="T557" s="26"/>
      <c r="U557" s="15"/>
      <c r="AB557" s="115"/>
      <c r="AC557" s="115"/>
      <c r="AD557" s="115"/>
      <c r="AE557" s="26">
        <v>45706</v>
      </c>
      <c r="AF557" s="13" t="s">
        <v>146</v>
      </c>
      <c r="AK557" s="117"/>
      <c r="AL557" s="123"/>
      <c r="AM557" s="123"/>
      <c r="AN557" s="123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115"/>
      <c r="BC557" s="13"/>
      <c r="BD557" s="13"/>
      <c r="BG557" s="114"/>
    </row>
    <row r="558" spans="1:59" ht="19.5" x14ac:dyDescent="0.4">
      <c r="A558" s="117"/>
      <c r="B558" s="123"/>
      <c r="C558" s="123"/>
      <c r="D558" s="123"/>
      <c r="T558" s="26"/>
      <c r="U558" s="13"/>
      <c r="AA558" s="115"/>
      <c r="AB558" s="115"/>
      <c r="AC558" s="115"/>
      <c r="AD558" s="115"/>
      <c r="AE558" s="26">
        <v>45709</v>
      </c>
      <c r="AF558" s="13" t="s">
        <v>148</v>
      </c>
      <c r="AK558" s="117"/>
      <c r="AL558" s="123"/>
      <c r="AM558" s="123"/>
      <c r="AN558" s="123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3"/>
      <c r="BD558" s="13"/>
      <c r="BG558" s="114"/>
    </row>
    <row r="559" spans="1:59" ht="19.5" x14ac:dyDescent="0.4">
      <c r="A559" s="117"/>
      <c r="B559" s="123"/>
      <c r="C559" s="123"/>
      <c r="D559" s="123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7"/>
      <c r="U559" s="13"/>
      <c r="AA559" s="115"/>
      <c r="AB559" s="115"/>
      <c r="AC559" s="115"/>
      <c r="AD559" s="115"/>
      <c r="AE559" s="26"/>
      <c r="AF559" s="13"/>
      <c r="AK559" s="117"/>
      <c r="AL559" s="123"/>
      <c r="AM559" s="123"/>
      <c r="AN559" s="123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3"/>
      <c r="BD559" s="13"/>
      <c r="BG559" s="114"/>
    </row>
    <row r="560" spans="1:59" ht="19.5" x14ac:dyDescent="0.4">
      <c r="A560" s="117"/>
      <c r="B560" s="123"/>
      <c r="C560" s="123"/>
      <c r="D560" s="123"/>
      <c r="T560" s="26"/>
      <c r="U560" s="13"/>
      <c r="AA560" s="115"/>
      <c r="AB560" s="115"/>
      <c r="AC560" s="115"/>
      <c r="AD560" s="115"/>
      <c r="AE560" s="26">
        <v>45709</v>
      </c>
      <c r="AF560" s="13" t="s">
        <v>147</v>
      </c>
      <c r="AK560" s="117"/>
      <c r="AL560" s="123"/>
      <c r="AM560" s="123"/>
      <c r="AN560" s="123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115"/>
      <c r="BC560" s="13"/>
      <c r="BD560" s="13"/>
      <c r="BG560" s="114"/>
    </row>
    <row r="561" spans="1:59" ht="19.5" x14ac:dyDescent="0.4">
      <c r="A561" s="117"/>
      <c r="B561" s="123"/>
      <c r="C561" s="123"/>
      <c r="D561" s="123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7"/>
      <c r="U561" s="13"/>
      <c r="AA561" s="115"/>
      <c r="AB561" s="115"/>
      <c r="AC561" s="115"/>
      <c r="AD561" s="115"/>
      <c r="AE561" s="26"/>
      <c r="AF561" s="13"/>
      <c r="AK561" s="117"/>
      <c r="AL561" s="123"/>
      <c r="AM561" s="123"/>
      <c r="AN561" s="123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115"/>
      <c r="BC561" s="13"/>
      <c r="BD561" s="13"/>
      <c r="BG561" s="114"/>
    </row>
    <row r="562" spans="1:59" ht="19.5" x14ac:dyDescent="0.4">
      <c r="A562" s="117"/>
      <c r="B562" s="123"/>
      <c r="C562" s="123"/>
      <c r="D562" s="123"/>
      <c r="T562" s="26"/>
      <c r="U562" s="13"/>
      <c r="AA562" s="115"/>
      <c r="AB562" s="115"/>
      <c r="AC562" s="115"/>
      <c r="AD562" s="115"/>
      <c r="AE562" s="26">
        <v>45712</v>
      </c>
      <c r="AF562" s="13" t="s">
        <v>146</v>
      </c>
      <c r="AK562" s="117"/>
      <c r="AL562" s="123"/>
      <c r="AM562" s="123"/>
      <c r="AN562" s="123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3"/>
      <c r="BD562" s="13"/>
      <c r="BG562" s="114"/>
    </row>
    <row r="563" spans="1:59" ht="19.5" x14ac:dyDescent="0.4">
      <c r="A563" s="117"/>
      <c r="B563" s="123"/>
      <c r="C563" s="123"/>
      <c r="D563" s="123"/>
      <c r="T563" s="26"/>
      <c r="U563" s="13"/>
      <c r="AA563" s="115"/>
      <c r="AB563" s="115"/>
      <c r="AC563" s="115"/>
      <c r="AD563" s="115"/>
      <c r="AE563" s="26">
        <v>45712</v>
      </c>
      <c r="AF563" s="13" t="s">
        <v>148</v>
      </c>
      <c r="AK563" s="117"/>
      <c r="AL563" s="123"/>
      <c r="AM563" s="123"/>
      <c r="AN563" s="123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115"/>
      <c r="BC563" s="13"/>
      <c r="BD563" s="13"/>
      <c r="BG563" s="114"/>
    </row>
    <row r="564" spans="1:59" ht="19.5" x14ac:dyDescent="0.4">
      <c r="A564" s="117"/>
      <c r="B564" s="123"/>
      <c r="C564" s="123"/>
      <c r="D564" s="123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7"/>
      <c r="U564" s="13"/>
      <c r="AA564" s="115"/>
      <c r="AB564" s="115"/>
      <c r="AC564" s="115"/>
      <c r="AD564" s="115"/>
      <c r="AE564" s="26"/>
      <c r="AF564" s="13"/>
      <c r="AK564" s="117"/>
      <c r="AL564" s="123"/>
      <c r="AM564" s="123"/>
      <c r="AN564" s="123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115"/>
      <c r="BC564" s="13"/>
      <c r="BD564" s="13"/>
      <c r="BG564" s="114"/>
    </row>
    <row r="565" spans="1:59" ht="19.5" x14ac:dyDescent="0.4">
      <c r="A565" s="117"/>
      <c r="B565" s="123"/>
      <c r="C565" s="123"/>
      <c r="D565" s="123"/>
      <c r="T565" s="26"/>
      <c r="U565" s="13"/>
      <c r="Y565" s="115"/>
      <c r="Z565" s="115"/>
      <c r="AA565" s="115"/>
      <c r="AB565" s="115"/>
      <c r="AC565" s="115"/>
      <c r="AD565" s="115"/>
      <c r="AE565" s="26">
        <v>45714</v>
      </c>
      <c r="AF565" s="13" t="s">
        <v>147</v>
      </c>
      <c r="AK565" s="117"/>
      <c r="AL565" s="123"/>
      <c r="AM565" s="123"/>
      <c r="AN565" s="123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115"/>
      <c r="BC565" s="13"/>
      <c r="BD565" s="13"/>
      <c r="BG565" s="114"/>
    </row>
    <row r="566" spans="1:59" ht="19.5" x14ac:dyDescent="0.4">
      <c r="A566" s="117"/>
      <c r="B566" s="123"/>
      <c r="C566" s="123"/>
      <c r="D566" s="123"/>
      <c r="T566" s="26"/>
      <c r="U566" s="13"/>
      <c r="AE566" s="26">
        <v>45714</v>
      </c>
      <c r="AF566" s="13" t="s">
        <v>147</v>
      </c>
      <c r="AK566" s="117"/>
      <c r="AL566" s="123"/>
      <c r="AM566" s="123"/>
      <c r="AN566" s="123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115"/>
      <c r="BB566" s="115"/>
      <c r="BC566" s="25">
        <v>45269</v>
      </c>
      <c r="BD566" s="13" t="s">
        <v>163</v>
      </c>
      <c r="BG566" s="114"/>
    </row>
    <row r="567" spans="1:59" ht="19.5" x14ac:dyDescent="0.4">
      <c r="A567" s="117"/>
      <c r="B567" s="123"/>
      <c r="C567" s="123"/>
      <c r="D567" s="123"/>
      <c r="T567" s="26"/>
      <c r="U567" s="13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26">
        <v>45714</v>
      </c>
      <c r="AF567" s="13" t="s">
        <v>147</v>
      </c>
      <c r="AK567" s="117"/>
      <c r="AL567" s="123"/>
      <c r="AM567" s="123"/>
      <c r="AN567" s="123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115"/>
      <c r="BC567" s="25"/>
      <c r="BD567" s="13"/>
      <c r="BG567" s="114"/>
    </row>
    <row r="568" spans="1:59" ht="19.5" x14ac:dyDescent="0.4">
      <c r="A568" s="117"/>
      <c r="B568" s="123"/>
      <c r="C568" s="123"/>
      <c r="D568" s="123"/>
      <c r="T568" s="26"/>
      <c r="U568" s="13"/>
      <c r="V568" s="115"/>
      <c r="W568" s="115"/>
      <c r="X568" s="115"/>
      <c r="Y568" s="115"/>
      <c r="Z568" s="115"/>
      <c r="AA568" s="115"/>
      <c r="AB568" s="115"/>
      <c r="AC568" s="115" t="s">
        <v>145</v>
      </c>
      <c r="AD568" s="115">
        <f>SUBTOTAL(3,AD2:AD567)</f>
        <v>0</v>
      </c>
      <c r="AE568" s="26"/>
      <c r="AF568" s="13">
        <f>SUBTOTAL(3,AF2:AF567)</f>
        <v>145</v>
      </c>
      <c r="AK568" s="117"/>
      <c r="AL568" s="123"/>
      <c r="AM568" s="123"/>
      <c r="AN568" s="123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115"/>
      <c r="BB568" s="115"/>
      <c r="BC568" s="25"/>
      <c r="BD568" s="13"/>
      <c r="BG568" s="114"/>
    </row>
    <row r="569" spans="1:59" ht="19.5" x14ac:dyDescent="0.4">
      <c r="A569" s="117"/>
      <c r="B569" s="123"/>
      <c r="C569" s="123"/>
      <c r="D569" s="123"/>
      <c r="T569" s="26"/>
      <c r="U569" s="13"/>
      <c r="AE569" s="26"/>
      <c r="AF569" s="13"/>
      <c r="AK569" s="117"/>
      <c r="AL569" s="123"/>
      <c r="AM569" s="123"/>
      <c r="AN569" s="123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115"/>
      <c r="BB569" s="115"/>
      <c r="BC569" s="25">
        <v>45269</v>
      </c>
      <c r="BD569" s="13" t="s">
        <v>163</v>
      </c>
      <c r="BG569" s="114"/>
    </row>
    <row r="570" spans="1:59" ht="19.5" x14ac:dyDescent="0.4">
      <c r="A570" s="117"/>
      <c r="B570" s="123"/>
      <c r="C570" s="123"/>
      <c r="D570" s="123"/>
      <c r="T570" s="26"/>
      <c r="U570" s="13"/>
      <c r="X570" s="115"/>
      <c r="Y570" s="115"/>
      <c r="Z570" s="115"/>
      <c r="AA570" s="115"/>
      <c r="AB570" s="115"/>
      <c r="AC570" s="115"/>
      <c r="AD570" s="115"/>
      <c r="AE570" s="26"/>
      <c r="AF570" s="13"/>
      <c r="AK570" s="117"/>
      <c r="AL570" s="123"/>
      <c r="AM570" s="123"/>
      <c r="AN570" s="123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115"/>
      <c r="BC570" s="25"/>
      <c r="BD570" s="13"/>
      <c r="BG570" s="114"/>
    </row>
    <row r="571" spans="1:59" ht="19.5" x14ac:dyDescent="0.4">
      <c r="A571" s="117"/>
      <c r="B571" s="123"/>
      <c r="C571" s="123"/>
      <c r="D571" s="123"/>
      <c r="T571" s="26"/>
      <c r="U571" s="13"/>
      <c r="AE571" s="26"/>
      <c r="AF571" s="13"/>
      <c r="AK571" s="117"/>
      <c r="AL571" s="123"/>
      <c r="AM571" s="123"/>
      <c r="AN571" s="123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115"/>
      <c r="BB571" s="115" t="s">
        <v>159</v>
      </c>
      <c r="BC571" s="13">
        <f>SUBTOTAL(3,BC566:BC569)</f>
        <v>2</v>
      </c>
      <c r="BD571" s="13">
        <f>SUBTOTAL(3,BD566:BD569)</f>
        <v>2</v>
      </c>
      <c r="BG571" s="114"/>
    </row>
    <row r="572" spans="1:59" ht="19.5" x14ac:dyDescent="0.4">
      <c r="A572" s="117"/>
      <c r="B572" s="123"/>
      <c r="C572" s="123"/>
      <c r="D572" s="123"/>
      <c r="T572" s="26"/>
      <c r="U572" s="13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26"/>
      <c r="AF572" s="13"/>
      <c r="AK572" s="117"/>
      <c r="AL572" s="123"/>
      <c r="AM572" s="123"/>
      <c r="AN572" s="123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115"/>
      <c r="BC572" s="13"/>
      <c r="BD572" s="13"/>
      <c r="BG572" s="114"/>
    </row>
    <row r="573" spans="1:59" ht="19.5" x14ac:dyDescent="0.4">
      <c r="A573" s="117"/>
      <c r="B573" s="123"/>
      <c r="C573" s="123"/>
      <c r="D573" s="123"/>
      <c r="T573" s="26"/>
      <c r="U573" s="13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26"/>
      <c r="AF573" s="13"/>
      <c r="AK573" s="117"/>
      <c r="AL573" s="123"/>
      <c r="AM573" s="123"/>
      <c r="AN573" s="123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115"/>
      <c r="BB573" s="115"/>
      <c r="BC573" s="13"/>
      <c r="BD573" s="13"/>
      <c r="BG573" s="114"/>
    </row>
    <row r="574" spans="1:59" ht="19.5" x14ac:dyDescent="0.4">
      <c r="A574" s="117"/>
      <c r="B574" s="123"/>
      <c r="C574" s="123"/>
      <c r="D574" s="123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26"/>
      <c r="U574" s="13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26"/>
      <c r="AF574" s="13"/>
      <c r="AK574" s="117"/>
      <c r="AL574" s="123"/>
      <c r="AM574" s="123"/>
      <c r="AN574" s="123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115"/>
      <c r="BB574" s="115"/>
      <c r="BC574" s="13"/>
      <c r="BD574" s="13"/>
      <c r="BG574" s="114"/>
    </row>
    <row r="575" spans="1:59" ht="19.5" x14ac:dyDescent="0.4">
      <c r="A575" s="117"/>
      <c r="B575" s="123"/>
      <c r="C575" s="123"/>
      <c r="D575" s="123"/>
      <c r="T575" s="26"/>
      <c r="U575" s="13"/>
      <c r="AE575" s="26"/>
      <c r="AF575" s="13"/>
      <c r="AK575" s="117"/>
      <c r="AL575" s="123"/>
      <c r="AM575" s="123"/>
      <c r="AN575" s="123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115"/>
      <c r="BB575" s="115"/>
      <c r="BC575" s="25">
        <v>45270</v>
      </c>
      <c r="BD575" s="13" t="s">
        <v>164</v>
      </c>
      <c r="BG575" s="114"/>
    </row>
    <row r="576" spans="1:59" ht="19.5" x14ac:dyDescent="0.4">
      <c r="A576" s="117"/>
      <c r="B576" s="123"/>
      <c r="C576" s="123"/>
      <c r="D576" s="123"/>
      <c r="T576" s="26"/>
      <c r="U576" s="13"/>
      <c r="Z576" s="115"/>
      <c r="AA576" s="115"/>
      <c r="AB576" s="115"/>
      <c r="AC576" s="115"/>
      <c r="AD576" s="115"/>
      <c r="AE576" s="17"/>
      <c r="AF576" s="13"/>
      <c r="AK576" s="117"/>
      <c r="AL576" s="123"/>
      <c r="AM576" s="123"/>
      <c r="AN576" s="123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115"/>
      <c r="BC576" s="25"/>
      <c r="BD576" s="13"/>
      <c r="BG576" s="114"/>
    </row>
    <row r="577" spans="1:59" ht="19.5" x14ac:dyDescent="0.4">
      <c r="A577" s="117"/>
      <c r="B577" s="123"/>
      <c r="C577" s="123"/>
      <c r="D577" s="123"/>
      <c r="T577" s="26"/>
      <c r="U577" s="13"/>
      <c r="AE577" s="26"/>
      <c r="AF577" s="13"/>
      <c r="AK577" s="117"/>
      <c r="AL577" s="123"/>
      <c r="AM577" s="123"/>
      <c r="AN577" s="123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115"/>
      <c r="BB577" s="115"/>
      <c r="BC577" s="25"/>
      <c r="BD577" s="13"/>
      <c r="BG577" s="114"/>
    </row>
    <row r="578" spans="1:59" ht="19.5" x14ac:dyDescent="0.4">
      <c r="A578" s="117"/>
      <c r="B578" s="123"/>
      <c r="C578" s="123"/>
      <c r="D578" s="123"/>
      <c r="T578" s="26"/>
      <c r="U578" s="13"/>
      <c r="W578" s="115"/>
      <c r="X578" s="115"/>
      <c r="Y578" s="115"/>
      <c r="Z578" s="115"/>
      <c r="AA578" s="115"/>
      <c r="AB578" s="115"/>
      <c r="AC578" s="115"/>
      <c r="AD578" s="115"/>
      <c r="AE578" s="26"/>
      <c r="AF578" s="13"/>
      <c r="AK578" s="117"/>
      <c r="AL578" s="123"/>
      <c r="AM578" s="123"/>
      <c r="AN578" s="123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115"/>
      <c r="BB578" s="115"/>
      <c r="BC578" s="25"/>
      <c r="BD578" s="13"/>
      <c r="BG578" s="114"/>
    </row>
    <row r="579" spans="1:59" ht="19.5" x14ac:dyDescent="0.4">
      <c r="A579" s="117"/>
      <c r="B579" s="123"/>
      <c r="C579" s="123"/>
      <c r="D579" s="123"/>
      <c r="T579" s="26"/>
      <c r="U579" s="13"/>
      <c r="AE579" s="26"/>
      <c r="AF579" s="13"/>
      <c r="AK579" s="117"/>
      <c r="AL579" s="123"/>
      <c r="AM579" s="123"/>
      <c r="AN579" s="123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115"/>
      <c r="BB579" s="115"/>
      <c r="BC579" s="25">
        <v>45270</v>
      </c>
      <c r="BD579" s="13" t="s">
        <v>164</v>
      </c>
      <c r="BG579" s="114"/>
    </row>
    <row r="580" spans="1:59" ht="19.5" x14ac:dyDescent="0.4">
      <c r="A580" s="117"/>
      <c r="B580" s="123"/>
      <c r="C580" s="123"/>
      <c r="D580" s="123"/>
      <c r="T580" s="26"/>
      <c r="U580" s="13"/>
      <c r="Y580" s="115"/>
      <c r="Z580" s="115"/>
      <c r="AA580" s="115"/>
      <c r="AB580" s="115"/>
      <c r="AC580" s="115"/>
      <c r="AD580" s="115"/>
      <c r="AE580" s="26"/>
      <c r="AF580" s="13"/>
      <c r="AK580" s="117"/>
      <c r="AL580" s="123"/>
      <c r="AM580" s="123"/>
      <c r="AN580" s="123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115"/>
      <c r="BB580" s="115"/>
      <c r="BC580" s="25"/>
      <c r="BD580" s="13"/>
      <c r="BG580" s="114"/>
    </row>
    <row r="581" spans="1:59" ht="19.5" x14ac:dyDescent="0.4">
      <c r="A581" s="117"/>
      <c r="B581" s="123"/>
      <c r="C581" s="123"/>
      <c r="D581" s="123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26"/>
      <c r="U581" s="13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6"/>
      <c r="AF581" s="13"/>
      <c r="AK581" s="117"/>
      <c r="AL581" s="123"/>
      <c r="AM581" s="123"/>
      <c r="AN581" s="123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115"/>
      <c r="BB581" s="115"/>
      <c r="BC581" s="25"/>
      <c r="BD581" s="13"/>
      <c r="BG581" s="114"/>
    </row>
    <row r="582" spans="1:59" ht="19.5" x14ac:dyDescent="0.4">
      <c r="A582" s="117"/>
      <c r="B582" s="123"/>
      <c r="C582" s="123"/>
      <c r="D582" s="123"/>
      <c r="T582" s="26"/>
      <c r="U582" s="15"/>
      <c r="AE582" s="26"/>
      <c r="AF582" s="13"/>
      <c r="AK582" s="117"/>
      <c r="AL582" s="123"/>
      <c r="AM582" s="123"/>
      <c r="AN582" s="123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25">
        <v>45270</v>
      </c>
      <c r="BD582" s="13" t="s">
        <v>162</v>
      </c>
      <c r="BG582" s="114"/>
    </row>
    <row r="583" spans="1:59" ht="19.5" x14ac:dyDescent="0.4">
      <c r="A583" s="117"/>
      <c r="B583" s="123"/>
      <c r="C583" s="123"/>
      <c r="D583" s="123"/>
      <c r="T583" s="26"/>
      <c r="U583" s="15"/>
      <c r="X583" s="115"/>
      <c r="Y583" s="115"/>
      <c r="Z583" s="115"/>
      <c r="AA583" s="115"/>
      <c r="AB583" s="115"/>
      <c r="AC583" s="115"/>
      <c r="AD583" s="115"/>
      <c r="AE583" s="26"/>
      <c r="AF583" s="15"/>
      <c r="AK583" s="117"/>
      <c r="AL583" s="123"/>
      <c r="AM583" s="123"/>
      <c r="AN583" s="123"/>
      <c r="AO583" s="115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115"/>
      <c r="BC583" s="25"/>
      <c r="BD583" s="13"/>
      <c r="BG583" s="114"/>
    </row>
    <row r="584" spans="1:59" ht="19.5" x14ac:dyDescent="0.4">
      <c r="A584" s="117"/>
      <c r="B584" s="123"/>
      <c r="C584" s="123"/>
      <c r="D584" s="123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7"/>
      <c r="U584" s="15"/>
      <c r="X584" s="115"/>
      <c r="Y584" s="115"/>
      <c r="Z584" s="115"/>
      <c r="AA584" s="115"/>
      <c r="AB584" s="115"/>
      <c r="AC584" s="115"/>
      <c r="AD584" s="115"/>
      <c r="AE584" s="26"/>
      <c r="AF584" s="13"/>
      <c r="AK584" s="117"/>
      <c r="AL584" s="123"/>
      <c r="AM584" s="123"/>
      <c r="AN584" s="123"/>
      <c r="AO584" s="115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25"/>
      <c r="BD584" s="13"/>
      <c r="BG584" s="114"/>
    </row>
    <row r="585" spans="1:59" ht="19.5" x14ac:dyDescent="0.4">
      <c r="A585" s="117"/>
      <c r="B585" s="123"/>
      <c r="C585" s="123"/>
      <c r="D585" s="123"/>
      <c r="T585" s="26"/>
      <c r="U585" s="15"/>
      <c r="AE585" s="26"/>
      <c r="AF585" s="13"/>
      <c r="AK585" s="117"/>
      <c r="AL585" s="123"/>
      <c r="AM585" s="123"/>
      <c r="AN585" s="123"/>
      <c r="AO585" s="115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115"/>
      <c r="BC585" s="25">
        <v>45270</v>
      </c>
      <c r="BD585" s="13" t="s">
        <v>162</v>
      </c>
      <c r="BG585" s="114"/>
    </row>
    <row r="586" spans="1:59" ht="19.5" x14ac:dyDescent="0.4">
      <c r="A586" s="117"/>
      <c r="B586" s="123"/>
      <c r="C586" s="123"/>
      <c r="D586" s="123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7"/>
      <c r="U586" s="15"/>
      <c r="AE586" s="26"/>
      <c r="AF586" s="13"/>
      <c r="AK586" s="117"/>
      <c r="AL586" s="123"/>
      <c r="AM586" s="123"/>
      <c r="AN586" s="123"/>
      <c r="AO586" s="115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25"/>
      <c r="BD586" s="13"/>
      <c r="BG586" s="114"/>
    </row>
    <row r="587" spans="1:59" ht="19.5" x14ac:dyDescent="0.4">
      <c r="A587" s="117"/>
      <c r="B587" s="123"/>
      <c r="C587" s="123"/>
      <c r="D587" s="123"/>
      <c r="T587" s="26"/>
      <c r="U587" s="15"/>
      <c r="Z587" s="115"/>
      <c r="AA587" s="115"/>
      <c r="AB587" s="115"/>
      <c r="AC587" s="115"/>
      <c r="AD587" s="115"/>
      <c r="AE587" s="17"/>
      <c r="AF587" s="13"/>
      <c r="AK587" s="117"/>
      <c r="AL587" s="123"/>
      <c r="AM587" s="123"/>
      <c r="AN587" s="123"/>
      <c r="AO587" s="115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25"/>
      <c r="BD587" s="13"/>
      <c r="BG587" s="114"/>
    </row>
    <row r="588" spans="1:59" ht="19.5" x14ac:dyDescent="0.4">
      <c r="A588" s="117"/>
      <c r="B588" s="123"/>
      <c r="C588" s="123"/>
      <c r="D588" s="123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9"/>
      <c r="U588" s="119"/>
      <c r="Z588" s="115"/>
      <c r="AA588" s="115"/>
      <c r="AB588" s="115"/>
      <c r="AC588" s="115"/>
      <c r="AD588" s="115"/>
      <c r="AE588" s="17"/>
      <c r="AF588" s="13"/>
      <c r="AK588" s="117"/>
      <c r="AL588" s="123"/>
      <c r="AM588" s="123"/>
      <c r="AN588" s="123"/>
      <c r="AO588" s="115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25"/>
      <c r="BD588" s="13"/>
      <c r="BG588" s="114"/>
    </row>
    <row r="589" spans="1:59" ht="19.5" x14ac:dyDescent="0.4">
      <c r="A589" s="117"/>
      <c r="B589" s="123"/>
      <c r="C589" s="123"/>
      <c r="D589" s="123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9"/>
      <c r="U589" s="119"/>
      <c r="Z589" s="115"/>
      <c r="AA589" s="115"/>
      <c r="AB589" s="115"/>
      <c r="AC589" s="115"/>
      <c r="AD589" s="115"/>
      <c r="AE589" s="17"/>
      <c r="AF589" s="13"/>
      <c r="AK589" s="117"/>
      <c r="AL589" s="123"/>
      <c r="AM589" s="123"/>
      <c r="AN589" s="123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25"/>
      <c r="BD589" s="13"/>
      <c r="BG589" s="114"/>
    </row>
    <row r="590" spans="1:59" ht="19.5" x14ac:dyDescent="0.4">
      <c r="A590" s="117"/>
      <c r="B590" s="123"/>
      <c r="C590" s="123"/>
      <c r="D590" s="123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6"/>
      <c r="AF590" s="13"/>
      <c r="AK590" s="117"/>
      <c r="AL590" s="123"/>
      <c r="AM590" s="123"/>
      <c r="AN590" s="123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25"/>
      <c r="BD590" s="13"/>
      <c r="BG590" s="114"/>
    </row>
    <row r="591" spans="1:59" ht="19.5" x14ac:dyDescent="0.4">
      <c r="A591" s="117"/>
      <c r="B591" s="123"/>
      <c r="C591" s="123"/>
      <c r="D591" s="123"/>
      <c r="AE591" s="26"/>
      <c r="AF591" s="13"/>
      <c r="AK591" s="117"/>
      <c r="AL591" s="123"/>
      <c r="AM591" s="123"/>
      <c r="AN591" s="123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25"/>
      <c r="BD591" s="13"/>
      <c r="BG591" s="114"/>
    </row>
    <row r="592" spans="1:59" ht="19.5" x14ac:dyDescent="0.4">
      <c r="A592" s="117"/>
      <c r="B592" s="123"/>
      <c r="C592" s="123"/>
      <c r="D592" s="123"/>
      <c r="AE592" s="26"/>
      <c r="AF592" s="13"/>
      <c r="AK592" s="117"/>
      <c r="AL592" s="123"/>
      <c r="AM592" s="123"/>
      <c r="AN592" s="123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25">
        <v>45270</v>
      </c>
      <c r="BD592" s="13" t="s">
        <v>163</v>
      </c>
      <c r="BG592" s="114"/>
    </row>
    <row r="593" spans="1:59" ht="19.5" x14ac:dyDescent="0.4">
      <c r="A593" s="117"/>
      <c r="B593" s="123"/>
      <c r="C593" s="123"/>
      <c r="D593" s="123"/>
      <c r="Z593" s="115"/>
      <c r="AA593" s="115"/>
      <c r="AB593" s="115"/>
      <c r="AC593" s="115"/>
      <c r="AD593" s="115"/>
      <c r="AE593" s="17"/>
      <c r="AF593" s="13"/>
      <c r="AK593" s="117"/>
      <c r="AL593" s="123"/>
      <c r="AM593" s="123"/>
      <c r="AN593" s="123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25"/>
      <c r="BD593" s="13"/>
      <c r="BG593" s="114"/>
    </row>
    <row r="594" spans="1:59" ht="19.5" x14ac:dyDescent="0.4">
      <c r="A594" s="117"/>
      <c r="B594" s="123"/>
      <c r="C594" s="123"/>
      <c r="D594" s="123"/>
      <c r="AE594" s="26"/>
      <c r="AF594" s="13"/>
      <c r="AK594" s="117"/>
      <c r="AL594" s="123"/>
      <c r="AM594" s="123"/>
      <c r="AN594" s="123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 t="s">
        <v>151</v>
      </c>
      <c r="BC594" s="13">
        <f>SUBTOTAL(3,BC575:BC592)</f>
        <v>5</v>
      </c>
      <c r="BD594" s="13">
        <f>SUBTOTAL(3,BD575:BD592)</f>
        <v>5</v>
      </c>
      <c r="BG594" s="114"/>
    </row>
    <row r="595" spans="1:59" ht="19.5" x14ac:dyDescent="0.4">
      <c r="A595" s="117"/>
      <c r="B595" s="123"/>
      <c r="C595" s="123"/>
      <c r="D595" s="123"/>
      <c r="Y595" s="115"/>
      <c r="Z595" s="115"/>
      <c r="AA595" s="115"/>
      <c r="AB595" s="115"/>
      <c r="AC595" s="115"/>
      <c r="AD595" s="115"/>
      <c r="AE595" s="26"/>
      <c r="AF595" s="13"/>
      <c r="AK595" s="117"/>
      <c r="AL595" s="123"/>
      <c r="AM595" s="123"/>
      <c r="AN595" s="123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3"/>
      <c r="BD595" s="13"/>
      <c r="BG595" s="114"/>
    </row>
    <row r="596" spans="1:59" ht="19.5" x14ac:dyDescent="0.4">
      <c r="A596" s="117"/>
      <c r="B596" s="123"/>
      <c r="C596" s="123"/>
      <c r="D596" s="123"/>
      <c r="AE596" s="26"/>
      <c r="AF596" s="13"/>
      <c r="AK596" s="117"/>
      <c r="AL596" s="123"/>
      <c r="AM596" s="123"/>
      <c r="AN596" s="123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25">
        <v>45271</v>
      </c>
      <c r="BD596" s="13" t="s">
        <v>162</v>
      </c>
      <c r="BG596" s="114"/>
    </row>
    <row r="597" spans="1:59" ht="19.5" x14ac:dyDescent="0.4">
      <c r="A597" s="117"/>
      <c r="B597" s="123"/>
      <c r="C597" s="123"/>
      <c r="D597" s="123"/>
      <c r="AE597" s="26"/>
      <c r="AF597" s="13"/>
      <c r="AK597" s="117"/>
      <c r="AL597" s="123"/>
      <c r="AM597" s="123"/>
      <c r="AN597" s="123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25">
        <v>45271</v>
      </c>
      <c r="BD597" s="13" t="s">
        <v>163</v>
      </c>
      <c r="BG597" s="114"/>
    </row>
    <row r="598" spans="1:59" ht="19.5" x14ac:dyDescent="0.4">
      <c r="A598" s="117"/>
      <c r="B598" s="123"/>
      <c r="C598" s="123"/>
      <c r="D598" s="123"/>
      <c r="Y598" s="115"/>
      <c r="Z598" s="115"/>
      <c r="AA598" s="115"/>
      <c r="AB598" s="115"/>
      <c r="AC598" s="115"/>
      <c r="AD598" s="115"/>
      <c r="AE598" s="26"/>
      <c r="AF598" s="13"/>
      <c r="AK598" s="117"/>
      <c r="AL598" s="123"/>
      <c r="AM598" s="123"/>
      <c r="AN598" s="123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25"/>
      <c r="BD598" s="13"/>
      <c r="BG598" s="114"/>
    </row>
    <row r="599" spans="1:59" ht="19.5" x14ac:dyDescent="0.4">
      <c r="A599" s="117"/>
      <c r="B599" s="123"/>
      <c r="C599" s="123"/>
      <c r="D599" s="123"/>
      <c r="X599" s="115"/>
      <c r="Y599" s="115"/>
      <c r="Z599" s="115"/>
      <c r="AA599" s="115"/>
      <c r="AB599" s="115"/>
      <c r="AC599" s="115"/>
      <c r="AD599" s="115"/>
      <c r="AE599" s="26"/>
      <c r="AF599" s="13"/>
      <c r="AK599" s="117"/>
      <c r="AL599" s="123"/>
      <c r="AM599" s="123"/>
      <c r="AN599" s="123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25"/>
      <c r="BD599" s="13"/>
      <c r="BG599" s="114"/>
    </row>
    <row r="600" spans="1:59" ht="19.5" x14ac:dyDescent="0.4">
      <c r="A600" s="117"/>
      <c r="B600" s="123"/>
      <c r="C600" s="123"/>
      <c r="D600" s="123"/>
      <c r="X600" s="115"/>
      <c r="Y600" s="115"/>
      <c r="Z600" s="115"/>
      <c r="AA600" s="115"/>
      <c r="AB600" s="115"/>
      <c r="AC600" s="115"/>
      <c r="AD600" s="115"/>
      <c r="AE600" s="17"/>
      <c r="AF600" s="13"/>
      <c r="AK600" s="117"/>
      <c r="AL600" s="123"/>
      <c r="AM600" s="123"/>
      <c r="AN600" s="123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25"/>
      <c r="BD600" s="13"/>
      <c r="BG600" s="114"/>
    </row>
    <row r="601" spans="1:59" ht="19.5" x14ac:dyDescent="0.4">
      <c r="A601" s="117"/>
      <c r="B601" s="123"/>
      <c r="C601" s="123"/>
      <c r="D601" s="123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6"/>
      <c r="AF601" s="13"/>
      <c r="AK601" s="117"/>
      <c r="AL601" s="123"/>
      <c r="AM601" s="123"/>
      <c r="AN601" s="123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25"/>
      <c r="BD601" s="13"/>
      <c r="BG601" s="114"/>
    </row>
    <row r="602" spans="1:59" ht="19.5" x14ac:dyDescent="0.4">
      <c r="A602" s="117"/>
      <c r="B602" s="123"/>
      <c r="C602" s="123"/>
      <c r="D602" s="123"/>
      <c r="AE602" s="26"/>
      <c r="AF602" s="13"/>
      <c r="AK602" s="117"/>
      <c r="AL602" s="123"/>
      <c r="AM602" s="123"/>
      <c r="AN602" s="123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25">
        <v>45271</v>
      </c>
      <c r="BD602" s="13" t="s">
        <v>163</v>
      </c>
      <c r="BG602" s="114"/>
    </row>
    <row r="603" spans="1:59" ht="19.5" x14ac:dyDescent="0.4">
      <c r="A603" s="117"/>
      <c r="B603" s="123"/>
      <c r="C603" s="123"/>
      <c r="D603" s="123"/>
      <c r="Y603" s="115"/>
      <c r="Z603" s="115"/>
      <c r="AA603" s="115"/>
      <c r="AB603" s="115"/>
      <c r="AC603" s="115"/>
      <c r="AD603" s="115"/>
      <c r="AE603" s="26"/>
      <c r="AF603" s="13"/>
      <c r="AK603" s="117"/>
      <c r="AL603" s="123"/>
      <c r="AM603" s="123"/>
      <c r="AN603" s="123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25"/>
      <c r="BD603" s="13"/>
      <c r="BG603" s="114"/>
    </row>
    <row r="604" spans="1:59" ht="19.5" x14ac:dyDescent="0.4">
      <c r="A604" s="117"/>
      <c r="B604" s="123"/>
      <c r="C604" s="123"/>
      <c r="D604" s="123"/>
      <c r="W604" s="115"/>
      <c r="X604" s="115"/>
      <c r="Y604" s="115"/>
      <c r="Z604" s="115"/>
      <c r="AA604" s="115"/>
      <c r="AB604" s="115"/>
      <c r="AC604" s="115"/>
      <c r="AD604" s="115"/>
      <c r="AE604" s="26"/>
      <c r="AF604" s="13"/>
      <c r="AK604" s="117"/>
      <c r="AL604" s="123"/>
      <c r="AM604" s="123"/>
      <c r="AN604" s="123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25"/>
      <c r="BD604" s="13"/>
      <c r="BG604" s="114"/>
    </row>
    <row r="605" spans="1:59" ht="19.5" x14ac:dyDescent="0.4">
      <c r="A605" s="117"/>
      <c r="B605" s="123"/>
      <c r="C605" s="123"/>
      <c r="D605" s="123"/>
      <c r="W605" s="115"/>
      <c r="X605" s="115"/>
      <c r="Y605" s="115"/>
      <c r="Z605" s="115"/>
      <c r="AA605" s="115"/>
      <c r="AB605" s="115"/>
      <c r="AC605" s="115"/>
      <c r="AD605" s="115"/>
      <c r="AE605" s="17"/>
      <c r="AF605" s="13"/>
      <c r="AK605" s="117"/>
      <c r="AL605" s="123"/>
      <c r="AM605" s="123"/>
      <c r="AN605" s="123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25"/>
      <c r="BD605" s="13"/>
      <c r="BG605" s="114"/>
    </row>
    <row r="606" spans="1:59" ht="19.5" x14ac:dyDescent="0.4">
      <c r="A606" s="117"/>
      <c r="B606" s="123"/>
      <c r="C606" s="123"/>
      <c r="D606" s="123"/>
      <c r="AE606" s="26"/>
      <c r="AF606" s="13"/>
      <c r="AK606" s="117"/>
      <c r="AL606" s="123"/>
      <c r="AM606" s="123"/>
      <c r="AN606" s="123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 t="s">
        <v>165</v>
      </c>
      <c r="BC606" s="13">
        <f>SUBTOTAL(3,BC596:BC602)</f>
        <v>3</v>
      </c>
      <c r="BD606" s="13">
        <f>SUBTOTAL(3,BD596:BD602)</f>
        <v>3</v>
      </c>
      <c r="BG606" s="114"/>
    </row>
    <row r="607" spans="1:59" ht="19.5" x14ac:dyDescent="0.4">
      <c r="A607" s="117"/>
      <c r="B607" s="123"/>
      <c r="C607" s="123"/>
      <c r="D607" s="123"/>
      <c r="AE607" s="26"/>
      <c r="AF607" s="13"/>
      <c r="AK607" s="117"/>
      <c r="AL607" s="123"/>
      <c r="AM607" s="123"/>
      <c r="AN607" s="123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25">
        <v>45272</v>
      </c>
      <c r="BD607" s="13" t="s">
        <v>162</v>
      </c>
      <c r="BG607" s="114"/>
    </row>
    <row r="608" spans="1:59" ht="19.5" x14ac:dyDescent="0.4">
      <c r="A608" s="117"/>
      <c r="B608" s="123"/>
      <c r="C608" s="123"/>
      <c r="D608" s="123"/>
      <c r="Z608" s="115"/>
      <c r="AA608" s="115"/>
      <c r="AB608" s="115"/>
      <c r="AC608" s="115"/>
      <c r="AD608" s="115"/>
      <c r="AE608" s="17"/>
      <c r="AF608" s="13"/>
      <c r="AK608" s="117"/>
      <c r="AL608" s="123"/>
      <c r="AM608" s="123"/>
      <c r="AN608" s="123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25"/>
      <c r="BD608" s="13"/>
      <c r="BG608" s="114"/>
    </row>
    <row r="609" spans="1:59" ht="19.5" x14ac:dyDescent="0.4">
      <c r="A609" s="117"/>
      <c r="B609" s="123"/>
      <c r="C609" s="123"/>
      <c r="D609" s="123"/>
      <c r="AE609" s="26"/>
      <c r="AF609" s="15"/>
      <c r="AK609" s="117"/>
      <c r="AL609" s="123"/>
      <c r="AM609" s="123"/>
      <c r="AN609" s="123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25">
        <v>45272</v>
      </c>
      <c r="BD609" s="13" t="s">
        <v>162</v>
      </c>
      <c r="BG609" s="114"/>
    </row>
    <row r="610" spans="1:59" ht="19.5" x14ac:dyDescent="0.4">
      <c r="A610" s="117"/>
      <c r="B610" s="123"/>
      <c r="C610" s="123"/>
      <c r="D610" s="123"/>
      <c r="Z610" s="115"/>
      <c r="AA610" s="115"/>
      <c r="AB610" s="115"/>
      <c r="AC610" s="115"/>
      <c r="AD610" s="115"/>
      <c r="AE610" s="17"/>
      <c r="AF610" s="13"/>
      <c r="AK610" s="117"/>
      <c r="AL610" s="123"/>
      <c r="AM610" s="123"/>
      <c r="AN610" s="123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25"/>
      <c r="BD610" s="13"/>
      <c r="BG610" s="114"/>
    </row>
    <row r="611" spans="1:59" ht="19.5" x14ac:dyDescent="0.4">
      <c r="A611" s="117"/>
      <c r="B611" s="123"/>
      <c r="C611" s="123"/>
      <c r="D611" s="123"/>
      <c r="Z611" s="115"/>
      <c r="AA611" s="115"/>
      <c r="AB611" s="115"/>
      <c r="AC611" s="115"/>
      <c r="AD611" s="115"/>
      <c r="AE611" s="17"/>
      <c r="AF611" s="13"/>
      <c r="AK611" s="117"/>
      <c r="AL611" s="123"/>
      <c r="AM611" s="123"/>
      <c r="AN611" s="123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25"/>
      <c r="BD611" s="13"/>
      <c r="BG611" s="114"/>
    </row>
    <row r="612" spans="1:59" ht="19.5" x14ac:dyDescent="0.4">
      <c r="A612" s="117"/>
      <c r="B612" s="123"/>
      <c r="C612" s="123"/>
      <c r="D612" s="123"/>
      <c r="AE612" s="26"/>
      <c r="AF612" s="13"/>
      <c r="AK612" s="117"/>
      <c r="AL612" s="123"/>
      <c r="AM612" s="123"/>
      <c r="AN612" s="123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25">
        <v>45272</v>
      </c>
      <c r="BD612" s="13" t="s">
        <v>162</v>
      </c>
      <c r="BG612" s="114"/>
    </row>
    <row r="613" spans="1:59" ht="19.5" x14ac:dyDescent="0.4">
      <c r="A613" s="125"/>
      <c r="B613" s="126"/>
      <c r="C613" s="126"/>
      <c r="D613" s="126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26"/>
      <c r="AF613" s="13"/>
      <c r="AK613" s="117"/>
      <c r="AL613" s="123"/>
      <c r="AM613" s="123"/>
      <c r="AN613" s="123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25"/>
      <c r="BD613" s="13"/>
      <c r="BG613" s="114"/>
    </row>
    <row r="614" spans="1:59" ht="19.5" x14ac:dyDescent="0.4">
      <c r="A614" s="125"/>
      <c r="B614" s="126"/>
      <c r="C614" s="126"/>
      <c r="D614" s="126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26"/>
      <c r="AF614" s="13"/>
      <c r="AK614" s="117"/>
      <c r="AL614" s="123"/>
      <c r="AM614" s="123"/>
      <c r="AN614" s="123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25"/>
      <c r="BD614" s="13"/>
      <c r="BG614" s="114"/>
    </row>
    <row r="615" spans="1:59" ht="19.5" x14ac:dyDescent="0.4">
      <c r="A615" s="125"/>
      <c r="B615" s="126"/>
      <c r="C615" s="126"/>
      <c r="D615" s="126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7"/>
      <c r="AF615" s="13"/>
      <c r="AK615" s="117"/>
      <c r="AL615" s="123"/>
      <c r="AM615" s="123"/>
      <c r="AN615" s="123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25"/>
      <c r="BD615" s="13"/>
      <c r="BG615" s="114"/>
    </row>
    <row r="616" spans="1:59" ht="19.5" x14ac:dyDescent="0.4">
      <c r="A616" s="125"/>
      <c r="B616" s="126"/>
      <c r="C616" s="126"/>
      <c r="D616" s="126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26"/>
      <c r="AF616" s="13"/>
      <c r="AK616" s="117"/>
      <c r="AL616" s="123"/>
      <c r="AM616" s="123"/>
      <c r="AN616" s="123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25"/>
      <c r="BD616" s="13"/>
      <c r="BG616" s="114"/>
    </row>
    <row r="617" spans="1:59" ht="19.5" x14ac:dyDescent="0.4">
      <c r="AE617" s="26"/>
      <c r="AF617" s="13"/>
      <c r="AK617" s="117"/>
      <c r="AL617" s="123"/>
      <c r="AM617" s="123"/>
      <c r="AN617" s="123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25">
        <v>45272</v>
      </c>
      <c r="BD617" s="13" t="s">
        <v>162</v>
      </c>
      <c r="BG617" s="114"/>
    </row>
    <row r="618" spans="1:59" ht="19.5" x14ac:dyDescent="0.4">
      <c r="AE618" s="26"/>
      <c r="AF618" s="13"/>
      <c r="AK618" s="117"/>
      <c r="AL618" s="123"/>
      <c r="AM618" s="123"/>
      <c r="AN618" s="123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25"/>
      <c r="BD618" s="13"/>
      <c r="BG618" s="114"/>
    </row>
    <row r="619" spans="1:59" ht="19.5" x14ac:dyDescent="0.4"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26"/>
      <c r="AF619" s="25"/>
      <c r="AK619" s="117"/>
      <c r="AL619" s="123"/>
      <c r="AM619" s="123"/>
      <c r="AN619" s="123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25"/>
      <c r="BD619" s="13"/>
      <c r="BG619" s="114"/>
    </row>
    <row r="620" spans="1:59" ht="19.5" x14ac:dyDescent="0.4">
      <c r="AE620" s="26"/>
      <c r="AF620" s="25"/>
      <c r="AK620" s="117"/>
      <c r="AL620" s="123"/>
      <c r="AM620" s="123"/>
      <c r="AN620" s="123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25">
        <v>45272</v>
      </c>
      <c r="BD620" s="13" t="s">
        <v>162</v>
      </c>
      <c r="BG620" s="114"/>
    </row>
    <row r="621" spans="1:59" ht="19.5" x14ac:dyDescent="0.4">
      <c r="AE621" s="26"/>
      <c r="AF621" s="13"/>
      <c r="AK621" s="117"/>
      <c r="AL621" s="123"/>
      <c r="AM621" s="123"/>
      <c r="AN621" s="123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25">
        <v>45272</v>
      </c>
      <c r="BD621" s="15" t="s">
        <v>162</v>
      </c>
      <c r="BG621" s="114"/>
    </row>
    <row r="622" spans="1:59" ht="19.5" x14ac:dyDescent="0.4">
      <c r="AE622" s="26"/>
      <c r="AF622" s="13"/>
      <c r="AK622" s="117"/>
      <c r="AL622" s="123"/>
      <c r="AM622" s="123"/>
      <c r="AN622" s="123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25">
        <v>45272</v>
      </c>
      <c r="BD622" s="15" t="s">
        <v>162</v>
      </c>
      <c r="BG622" s="114"/>
    </row>
    <row r="623" spans="1:59" ht="19.5" x14ac:dyDescent="0.4"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26"/>
      <c r="AF623" s="13"/>
      <c r="AK623" s="117"/>
      <c r="AL623" s="123"/>
      <c r="AM623" s="123"/>
      <c r="AN623" s="123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25"/>
      <c r="BD623" s="15"/>
      <c r="BG623" s="114"/>
    </row>
    <row r="624" spans="1:59" ht="19.5" x14ac:dyDescent="0.4"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7"/>
      <c r="AF624" s="13"/>
      <c r="AK624" s="117"/>
      <c r="AL624" s="123"/>
      <c r="AM624" s="123"/>
      <c r="AN624" s="123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25"/>
      <c r="BD624" s="15"/>
      <c r="BG624" s="114"/>
    </row>
    <row r="625" spans="6:59" ht="19.5" x14ac:dyDescent="0.4">
      <c r="AE625" s="26"/>
      <c r="AF625" s="13"/>
      <c r="AK625" s="117"/>
      <c r="AL625" s="123"/>
      <c r="AM625" s="123"/>
      <c r="AN625" s="123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25">
        <v>45272</v>
      </c>
      <c r="BD625" s="15" t="s">
        <v>162</v>
      </c>
      <c r="BG625" s="114"/>
    </row>
    <row r="626" spans="6:59" ht="19.5" x14ac:dyDescent="0.4"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26"/>
      <c r="AF626" s="13"/>
      <c r="AK626" s="117"/>
      <c r="AL626" s="123"/>
      <c r="AM626" s="123"/>
      <c r="AN626" s="123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25"/>
      <c r="BD626" s="15"/>
      <c r="BG626" s="114"/>
    </row>
    <row r="627" spans="6:59" ht="19.5" x14ac:dyDescent="0.4"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26"/>
      <c r="AF627" s="13"/>
      <c r="AK627" s="117"/>
      <c r="AL627" s="123"/>
      <c r="AM627" s="123"/>
      <c r="AN627" s="123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25"/>
      <c r="BD627" s="15"/>
      <c r="BG627" s="114"/>
    </row>
    <row r="628" spans="6:59" ht="19.5" x14ac:dyDescent="0.4"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7"/>
      <c r="AF628" s="13"/>
      <c r="AK628" s="117"/>
      <c r="AL628" s="123"/>
      <c r="AM628" s="123"/>
      <c r="AN628" s="123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25"/>
      <c r="BD628" s="15"/>
      <c r="BG628" s="114"/>
    </row>
    <row r="629" spans="6:59" ht="19.5" x14ac:dyDescent="0.4"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26"/>
      <c r="AF629" s="13"/>
      <c r="AK629" s="117"/>
      <c r="AL629" s="123"/>
      <c r="AM629" s="123"/>
      <c r="AN629" s="123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25"/>
      <c r="BD629" s="15"/>
      <c r="BG629" s="114"/>
    </row>
    <row r="630" spans="6:59" ht="19.5" x14ac:dyDescent="0.4"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7"/>
      <c r="AF630" s="13"/>
      <c r="AK630" s="117"/>
      <c r="AL630" s="123"/>
      <c r="AM630" s="123"/>
      <c r="AN630" s="123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25"/>
      <c r="BD630" s="15"/>
      <c r="BG630" s="114"/>
    </row>
    <row r="631" spans="6:59" ht="19.5" x14ac:dyDescent="0.4"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26"/>
      <c r="AF631" s="13"/>
      <c r="AK631" s="117"/>
      <c r="AL631" s="123"/>
      <c r="AM631" s="123"/>
      <c r="AN631" s="123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25"/>
      <c r="BD631" s="15"/>
      <c r="BG631" s="114"/>
    </row>
    <row r="632" spans="6:59" ht="19.5" x14ac:dyDescent="0.4">
      <c r="AE632" s="26"/>
      <c r="AF632" s="13"/>
      <c r="AK632" s="117"/>
      <c r="AL632" s="123"/>
      <c r="AM632" s="123"/>
      <c r="AN632" s="123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25">
        <v>45272</v>
      </c>
      <c r="BD632" s="15" t="s">
        <v>162</v>
      </c>
      <c r="BG632" s="114"/>
    </row>
    <row r="633" spans="6:59" ht="19.5" x14ac:dyDescent="0.4">
      <c r="X633" s="115"/>
      <c r="Y633" s="115"/>
      <c r="Z633" s="115"/>
      <c r="AA633" s="115"/>
      <c r="AB633" s="115"/>
      <c r="AC633" s="115"/>
      <c r="AD633" s="115"/>
      <c r="AE633" s="26"/>
      <c r="AF633" s="13"/>
      <c r="AK633" s="117"/>
      <c r="AL633" s="123"/>
      <c r="AM633" s="123"/>
      <c r="AN633" s="123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25"/>
      <c r="BD633" s="15"/>
      <c r="BG633" s="114"/>
    </row>
    <row r="634" spans="6:59" ht="19.5" x14ac:dyDescent="0.4">
      <c r="X634" s="115"/>
      <c r="Y634" s="115"/>
      <c r="Z634" s="115"/>
      <c r="AA634" s="115"/>
      <c r="AB634" s="115"/>
      <c r="AC634" s="115"/>
      <c r="AD634" s="115"/>
      <c r="AE634" s="17"/>
      <c r="AF634" s="13"/>
      <c r="AK634" s="117"/>
      <c r="AL634" s="123"/>
      <c r="AM634" s="123"/>
      <c r="AN634" s="123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25"/>
      <c r="BD634" s="15"/>
      <c r="BG634" s="114"/>
    </row>
    <row r="635" spans="6:59" ht="19.5" x14ac:dyDescent="0.4"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26"/>
      <c r="AF635" s="13"/>
      <c r="AK635" s="117"/>
      <c r="AL635" s="123"/>
      <c r="AM635" s="123"/>
      <c r="AN635" s="123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25"/>
      <c r="BD635" s="15"/>
      <c r="BG635" s="114"/>
    </row>
    <row r="636" spans="6:59" ht="19.5" x14ac:dyDescent="0.4"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7"/>
      <c r="AF636" s="13"/>
      <c r="AK636" s="117"/>
      <c r="AL636" s="123"/>
      <c r="AM636" s="123"/>
      <c r="AN636" s="123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25"/>
      <c r="BD636" s="15"/>
      <c r="BG636" s="114"/>
    </row>
    <row r="637" spans="6:59" ht="19.5" x14ac:dyDescent="0.4"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26"/>
      <c r="AF637" s="25"/>
      <c r="AK637" s="117"/>
      <c r="AL637" s="123"/>
      <c r="AM637" s="123"/>
      <c r="AN637" s="123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25"/>
      <c r="BD637" s="15"/>
      <c r="BG637" s="114"/>
    </row>
    <row r="638" spans="6:59" ht="19.5" x14ac:dyDescent="0.4"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7"/>
      <c r="AF638" s="13"/>
      <c r="AK638" s="117"/>
      <c r="AL638" s="123"/>
      <c r="AM638" s="123"/>
      <c r="AN638" s="123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25"/>
      <c r="BD638" s="15"/>
      <c r="BG638" s="114"/>
    </row>
    <row r="639" spans="6:59" ht="19.5" x14ac:dyDescent="0.4"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26"/>
      <c r="AF639" s="13"/>
      <c r="AK639" s="117"/>
      <c r="AL639" s="123"/>
      <c r="AM639" s="123"/>
      <c r="AN639" s="123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25"/>
      <c r="BD639" s="15"/>
      <c r="BG639" s="114"/>
    </row>
    <row r="640" spans="6:59" ht="19.5" x14ac:dyDescent="0.4">
      <c r="AE640" s="26"/>
      <c r="AF640" s="13"/>
      <c r="AK640" s="117"/>
      <c r="AL640" s="123"/>
      <c r="AM640" s="123"/>
      <c r="AN640" s="123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25">
        <v>45272</v>
      </c>
      <c r="BD640" s="15" t="s">
        <v>162</v>
      </c>
      <c r="BG640" s="114"/>
    </row>
    <row r="641" spans="6:59" ht="19.5" x14ac:dyDescent="0.4">
      <c r="Y641" s="115"/>
      <c r="Z641" s="115"/>
      <c r="AA641" s="115"/>
      <c r="AB641" s="115"/>
      <c r="AC641" s="115"/>
      <c r="AD641" s="115"/>
      <c r="AE641" s="17"/>
      <c r="AF641" s="13"/>
      <c r="AK641" s="117"/>
      <c r="AL641" s="123"/>
      <c r="AM641" s="123"/>
      <c r="AN641" s="123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25"/>
      <c r="BD641" s="15"/>
      <c r="BG641" s="114"/>
    </row>
    <row r="642" spans="6:59" ht="19.5" x14ac:dyDescent="0.4">
      <c r="X642" s="115"/>
      <c r="Y642" s="115"/>
      <c r="Z642" s="115"/>
      <c r="AA642" s="115"/>
      <c r="AB642" s="115"/>
      <c r="AC642" s="115"/>
      <c r="AD642" s="115"/>
      <c r="AE642" s="26"/>
      <c r="AF642" s="13"/>
      <c r="AK642" s="117"/>
      <c r="AL642" s="123"/>
      <c r="AM642" s="123"/>
      <c r="AN642" s="123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25"/>
      <c r="BD642" s="15"/>
      <c r="BG642" s="114"/>
    </row>
    <row r="643" spans="6:59" ht="19.5" x14ac:dyDescent="0.4">
      <c r="X643" s="115"/>
      <c r="Y643" s="115"/>
      <c r="Z643" s="115"/>
      <c r="AA643" s="115"/>
      <c r="AB643" s="115"/>
      <c r="AC643" s="115"/>
      <c r="AD643" s="115"/>
      <c r="AE643" s="17"/>
      <c r="AF643" s="13"/>
      <c r="AK643" s="117"/>
      <c r="AL643" s="123"/>
      <c r="AM643" s="123"/>
      <c r="AN643" s="123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25"/>
      <c r="BD643" s="15"/>
      <c r="BG643" s="114"/>
    </row>
    <row r="644" spans="6:59" ht="19.5" x14ac:dyDescent="0.4">
      <c r="X644" s="115"/>
      <c r="Y644" s="115"/>
      <c r="Z644" s="115"/>
      <c r="AA644" s="115"/>
      <c r="AB644" s="115"/>
      <c r="AC644" s="115"/>
      <c r="AD644" s="115"/>
      <c r="AE644" s="17"/>
      <c r="AF644" s="13"/>
      <c r="AK644" s="117"/>
      <c r="AL644" s="123"/>
      <c r="AM644" s="123"/>
      <c r="AN644" s="123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25"/>
      <c r="BD644" s="15"/>
      <c r="BG644" s="114"/>
    </row>
    <row r="645" spans="6:59" ht="19.5" x14ac:dyDescent="0.4"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26"/>
      <c r="AF645" s="13"/>
      <c r="AK645" s="117"/>
      <c r="AL645" s="123"/>
      <c r="AM645" s="123"/>
      <c r="AN645" s="123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25"/>
      <c r="BD645" s="15"/>
      <c r="BG645" s="114"/>
    </row>
    <row r="646" spans="6:59" ht="19.5" x14ac:dyDescent="0.4"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20"/>
      <c r="AF646" s="13"/>
      <c r="AK646" s="117"/>
      <c r="AL646" s="123"/>
      <c r="AM646" s="123"/>
      <c r="AN646" s="123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25"/>
      <c r="BD646" s="15"/>
      <c r="BG646" s="114"/>
    </row>
    <row r="647" spans="6:59" ht="19.5" x14ac:dyDescent="0.4"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0"/>
      <c r="AF647" s="13"/>
      <c r="AK647" s="117"/>
      <c r="AL647" s="123"/>
      <c r="AM647" s="123"/>
      <c r="AN647" s="123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25"/>
      <c r="BD647" s="15"/>
      <c r="BG647" s="114"/>
    </row>
    <row r="648" spans="6:59" ht="19.5" x14ac:dyDescent="0.4"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25"/>
      <c r="AF648" s="15"/>
      <c r="AK648" s="117"/>
      <c r="AL648" s="123"/>
      <c r="AM648" s="123"/>
      <c r="AN648" s="123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25"/>
      <c r="BD648" s="15"/>
      <c r="BG648" s="114"/>
    </row>
    <row r="649" spans="6:59" ht="19.5" x14ac:dyDescent="0.4"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5"/>
      <c r="AF649" s="15"/>
      <c r="AK649" s="117"/>
      <c r="AL649" s="123"/>
      <c r="AM649" s="123"/>
      <c r="AN649" s="123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25"/>
      <c r="BD649" s="15"/>
      <c r="BG649" s="114"/>
    </row>
    <row r="650" spans="6:59" ht="19.5" x14ac:dyDescent="0.4"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5"/>
      <c r="AF650" s="15"/>
      <c r="AK650" s="117"/>
      <c r="AL650" s="123"/>
      <c r="AM650" s="123"/>
      <c r="AN650" s="123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25"/>
      <c r="BD650" s="15"/>
      <c r="BG650" s="114"/>
    </row>
    <row r="651" spans="6:59" ht="19.5" x14ac:dyDescent="0.4">
      <c r="AE651" s="26"/>
      <c r="AF651" s="15"/>
      <c r="AK651" s="117"/>
      <c r="AL651" s="123"/>
      <c r="AM651" s="123"/>
      <c r="AN651" s="123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25">
        <v>45272</v>
      </c>
      <c r="BD651" s="15" t="s">
        <v>162</v>
      </c>
      <c r="BG651" s="114"/>
    </row>
    <row r="652" spans="6:59" ht="19.5" x14ac:dyDescent="0.4">
      <c r="AE652" s="26"/>
      <c r="AF652" s="13"/>
      <c r="AK652" s="117"/>
      <c r="AL652" s="123"/>
      <c r="AM652" s="123"/>
      <c r="AN652" s="123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25"/>
      <c r="BD652" s="15"/>
      <c r="BG652" s="114"/>
    </row>
    <row r="653" spans="6:59" ht="19.5" x14ac:dyDescent="0.4"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26"/>
      <c r="AF653" s="13"/>
      <c r="AK653" s="117"/>
      <c r="AL653" s="123"/>
      <c r="AM653" s="123"/>
      <c r="AN653" s="123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25"/>
      <c r="BD653" s="15"/>
      <c r="BG653" s="114"/>
    </row>
    <row r="654" spans="6:59" ht="19.5" x14ac:dyDescent="0.4">
      <c r="AE654" s="26"/>
      <c r="AF654" s="13"/>
      <c r="AK654" s="117"/>
      <c r="AL654" s="123"/>
      <c r="AM654" s="123"/>
      <c r="AN654" s="123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25">
        <v>45272</v>
      </c>
      <c r="BD654" s="15" t="s">
        <v>162</v>
      </c>
      <c r="BG654" s="114"/>
    </row>
    <row r="655" spans="6:59" ht="19.5" x14ac:dyDescent="0.4">
      <c r="W655" s="115"/>
      <c r="X655" s="115"/>
      <c r="Y655" s="115"/>
      <c r="Z655" s="115"/>
      <c r="AA655" s="115"/>
      <c r="AB655" s="115"/>
      <c r="AC655" s="115"/>
      <c r="AD655" s="115"/>
      <c r="AE655" s="17"/>
      <c r="AF655" s="13"/>
      <c r="AK655" s="117"/>
      <c r="AL655" s="123"/>
      <c r="AM655" s="123"/>
      <c r="AN655" s="123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25"/>
      <c r="BD655" s="15"/>
      <c r="BG655" s="114"/>
    </row>
    <row r="656" spans="6:59" ht="19.5" x14ac:dyDescent="0.4">
      <c r="AE656" s="26"/>
      <c r="AF656" s="13"/>
      <c r="AK656" s="117"/>
      <c r="AL656" s="123"/>
      <c r="AM656" s="123"/>
      <c r="AN656" s="123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25"/>
      <c r="BD656" s="15"/>
      <c r="BG656" s="114"/>
    </row>
    <row r="657" spans="20:59" ht="19.5" x14ac:dyDescent="0.4"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26"/>
      <c r="AF657" s="13"/>
      <c r="AK657" s="117"/>
      <c r="AL657" s="123"/>
      <c r="AM657" s="123"/>
      <c r="AN657" s="123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25"/>
      <c r="BD657" s="15"/>
      <c r="BG657" s="114"/>
    </row>
    <row r="658" spans="20:59" ht="19.5" x14ac:dyDescent="0.4">
      <c r="AE658" s="26"/>
      <c r="AF658" s="13"/>
      <c r="AK658" s="117"/>
      <c r="AL658" s="123"/>
      <c r="AM658" s="123"/>
      <c r="AN658" s="123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25">
        <v>45272</v>
      </c>
      <c r="BD658" s="15" t="s">
        <v>162</v>
      </c>
      <c r="BG658" s="114"/>
    </row>
    <row r="659" spans="20:59" ht="19.5" x14ac:dyDescent="0.4">
      <c r="AE659" s="26"/>
      <c r="AF659" s="13"/>
      <c r="AK659" s="117"/>
      <c r="AL659" s="123"/>
      <c r="AM659" s="123"/>
      <c r="AN659" s="123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 t="s">
        <v>166</v>
      </c>
      <c r="BC659" s="13">
        <f>SUBTOTAL(3,BC607:BC658)</f>
        <v>13</v>
      </c>
      <c r="BD659" s="15">
        <f>SUBTOTAL(3,BD607:BD658)</f>
        <v>13</v>
      </c>
      <c r="BG659" s="114"/>
    </row>
    <row r="660" spans="20:59" ht="19.5" x14ac:dyDescent="0.4">
      <c r="W660" s="115"/>
      <c r="X660" s="115"/>
      <c r="Y660" s="115"/>
      <c r="Z660" s="115"/>
      <c r="AA660" s="115"/>
      <c r="AB660" s="115"/>
      <c r="AC660" s="115"/>
      <c r="AD660" s="115"/>
      <c r="AE660" s="17"/>
      <c r="AF660" s="13"/>
      <c r="AK660" s="117"/>
      <c r="AL660" s="123"/>
      <c r="AM660" s="123"/>
      <c r="AN660" s="123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3"/>
      <c r="BD660" s="15"/>
      <c r="BG660" s="114"/>
    </row>
    <row r="661" spans="20:59" ht="19.5" x14ac:dyDescent="0.4">
      <c r="AE661" s="26"/>
      <c r="AF661" s="13"/>
      <c r="AK661" s="117"/>
      <c r="AL661" s="123"/>
      <c r="AM661" s="123"/>
      <c r="AN661" s="123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25">
        <v>45273</v>
      </c>
      <c r="BD661" s="105" t="s">
        <v>164</v>
      </c>
      <c r="BG661" s="114"/>
    </row>
    <row r="662" spans="20:59" ht="19.5" x14ac:dyDescent="0.4">
      <c r="AE662" s="26"/>
      <c r="AF662" s="13"/>
      <c r="AK662" s="117"/>
      <c r="AL662" s="123"/>
      <c r="AM662" s="123"/>
      <c r="AN662" s="123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25">
        <v>45273</v>
      </c>
      <c r="BD662" s="15" t="s">
        <v>164</v>
      </c>
      <c r="BG662" s="114"/>
    </row>
    <row r="663" spans="20:59" ht="19.5" x14ac:dyDescent="0.4"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26"/>
      <c r="AF663" s="13"/>
      <c r="AK663" s="117"/>
      <c r="AL663" s="123"/>
      <c r="AM663" s="123"/>
      <c r="AN663" s="123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25"/>
      <c r="BD663" s="13"/>
      <c r="BG663" s="114"/>
    </row>
    <row r="664" spans="20:59" ht="19.5" x14ac:dyDescent="0.4">
      <c r="AE664" s="26"/>
      <c r="AF664" s="13"/>
      <c r="AK664" s="117"/>
      <c r="AL664" s="123"/>
      <c r="AM664" s="123"/>
      <c r="AN664" s="123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25">
        <v>45273</v>
      </c>
      <c r="BD664" s="13" t="s">
        <v>164</v>
      </c>
      <c r="BG664" s="114"/>
    </row>
    <row r="665" spans="20:59" ht="19.5" x14ac:dyDescent="0.4">
      <c r="AE665" s="26"/>
      <c r="AF665" s="13"/>
      <c r="AK665" s="117"/>
      <c r="AL665" s="123"/>
      <c r="AM665" s="123"/>
      <c r="AN665" s="123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25">
        <v>45273</v>
      </c>
      <c r="BD665" s="15" t="s">
        <v>164</v>
      </c>
      <c r="BG665" s="114"/>
    </row>
    <row r="666" spans="20:59" ht="19.5" x14ac:dyDescent="0.4">
      <c r="AE666" s="26"/>
      <c r="AF666" s="13"/>
      <c r="AK666" s="117"/>
      <c r="AL666" s="123"/>
      <c r="AM666" s="123"/>
      <c r="AN666" s="123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25">
        <v>45273</v>
      </c>
      <c r="BD666" s="15" t="s">
        <v>162</v>
      </c>
      <c r="BG666" s="114"/>
    </row>
    <row r="667" spans="20:59" ht="19.5" x14ac:dyDescent="0.4"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26"/>
      <c r="AF667" s="13"/>
      <c r="AK667" s="117"/>
      <c r="AL667" s="123"/>
      <c r="AM667" s="123"/>
      <c r="AN667" s="123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25"/>
      <c r="BD667" s="15"/>
      <c r="BG667" s="114"/>
    </row>
    <row r="668" spans="20:59" ht="19.5" x14ac:dyDescent="0.4">
      <c r="AE668" s="26"/>
      <c r="AF668" s="13"/>
      <c r="AK668" s="117"/>
      <c r="AL668" s="123"/>
      <c r="AM668" s="123"/>
      <c r="AN668" s="123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25">
        <v>45273</v>
      </c>
      <c r="BD668" s="15" t="s">
        <v>162</v>
      </c>
      <c r="BG668" s="114"/>
    </row>
    <row r="669" spans="20:59" ht="19.5" x14ac:dyDescent="0.4">
      <c r="AE669" s="26"/>
      <c r="AF669" s="13"/>
      <c r="AK669" s="117"/>
      <c r="AL669" s="123"/>
      <c r="AM669" s="123"/>
      <c r="AN669" s="123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25">
        <v>45273</v>
      </c>
      <c r="BD669" s="15" t="s">
        <v>162</v>
      </c>
      <c r="BG669" s="114"/>
    </row>
    <row r="670" spans="20:59" ht="19.5" x14ac:dyDescent="0.4">
      <c r="AE670" s="26"/>
      <c r="AF670" s="13"/>
      <c r="AK670" s="117"/>
      <c r="AL670" s="123"/>
      <c r="AM670" s="123"/>
      <c r="AN670" s="123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25">
        <v>45273</v>
      </c>
      <c r="BD670" s="15" t="s">
        <v>162</v>
      </c>
      <c r="BG670" s="114"/>
    </row>
    <row r="671" spans="20:59" ht="19.5" x14ac:dyDescent="0.4"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6"/>
      <c r="AF671" s="13"/>
      <c r="AK671" s="117"/>
      <c r="AL671" s="123"/>
      <c r="AM671" s="123"/>
      <c r="AN671" s="123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25"/>
      <c r="BD671" s="15"/>
      <c r="BG671" s="114"/>
    </row>
    <row r="672" spans="20:59" ht="19.5" x14ac:dyDescent="0.4">
      <c r="AE672" s="26"/>
      <c r="AF672" s="13"/>
      <c r="AK672" s="117"/>
      <c r="AL672" s="123"/>
      <c r="AM672" s="123"/>
      <c r="AN672" s="123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25">
        <v>45273</v>
      </c>
      <c r="BD672" s="15" t="s">
        <v>162</v>
      </c>
      <c r="BG672" s="114"/>
    </row>
    <row r="673" spans="6:59" ht="19.5" x14ac:dyDescent="0.4">
      <c r="AE673" s="26"/>
      <c r="AF673" s="13"/>
      <c r="AK673" s="117"/>
      <c r="AL673" s="123"/>
      <c r="AM673" s="123"/>
      <c r="AN673" s="123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25">
        <v>45273</v>
      </c>
      <c r="BD673" s="15" t="s">
        <v>162</v>
      </c>
      <c r="BG673" s="114"/>
    </row>
    <row r="674" spans="6:59" ht="19.5" x14ac:dyDescent="0.4">
      <c r="AE674" s="26"/>
      <c r="AF674" s="13"/>
      <c r="AK674" s="117"/>
      <c r="AL674" s="123"/>
      <c r="AM674" s="123"/>
      <c r="AN674" s="123"/>
      <c r="AO674" s="115"/>
      <c r="AP674" s="115"/>
      <c r="AQ674" s="115"/>
      <c r="AR674" s="115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25">
        <v>45273</v>
      </c>
      <c r="BD674" s="15" t="s">
        <v>162</v>
      </c>
      <c r="BG674" s="114"/>
    </row>
    <row r="675" spans="6:59" ht="19.5" x14ac:dyDescent="0.4">
      <c r="AE675" s="26"/>
      <c r="AF675" s="13"/>
      <c r="AK675" s="117"/>
      <c r="AL675" s="123"/>
      <c r="AM675" s="123"/>
      <c r="AN675" s="123"/>
      <c r="AO675" s="115"/>
      <c r="AP675" s="115"/>
      <c r="AQ675" s="115"/>
      <c r="AR675" s="115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25">
        <v>45273</v>
      </c>
      <c r="BD675" s="15" t="s">
        <v>162</v>
      </c>
      <c r="BG675" s="114"/>
    </row>
    <row r="676" spans="6:59" ht="19.5" x14ac:dyDescent="0.4">
      <c r="W676" s="115"/>
      <c r="X676" s="115"/>
      <c r="Y676" s="115"/>
      <c r="Z676" s="115"/>
      <c r="AA676" s="115"/>
      <c r="AB676" s="115"/>
      <c r="AC676" s="115"/>
      <c r="AD676" s="115"/>
      <c r="AE676" s="17"/>
      <c r="AF676" s="13"/>
      <c r="AK676" s="117"/>
      <c r="AL676" s="123"/>
      <c r="AM676" s="123"/>
      <c r="AN676" s="123"/>
      <c r="AO676" s="115"/>
      <c r="AP676" s="115"/>
      <c r="AQ676" s="115"/>
      <c r="AR676" s="115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25"/>
      <c r="BD676" s="15"/>
      <c r="BG676" s="114"/>
    </row>
    <row r="677" spans="6:59" ht="19.5" x14ac:dyDescent="0.4">
      <c r="AE677" s="26"/>
      <c r="AF677" s="13"/>
      <c r="AK677" s="117"/>
      <c r="AL677" s="123"/>
      <c r="AM677" s="123"/>
      <c r="AN677" s="123"/>
      <c r="AO677" s="115"/>
      <c r="AP677" s="115"/>
      <c r="AQ677" s="115"/>
      <c r="AR677" s="115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25">
        <v>45273</v>
      </c>
      <c r="BD677" s="15" t="s">
        <v>162</v>
      </c>
      <c r="BG677" s="114"/>
    </row>
    <row r="678" spans="6:59" ht="19.5" x14ac:dyDescent="0.4">
      <c r="W678" s="115"/>
      <c r="X678" s="115"/>
      <c r="Y678" s="115"/>
      <c r="Z678" s="115"/>
      <c r="AA678" s="115"/>
      <c r="AB678" s="115"/>
      <c r="AC678" s="115"/>
      <c r="AD678" s="115"/>
      <c r="AE678" s="17"/>
      <c r="AF678" s="13"/>
      <c r="AK678" s="117"/>
      <c r="AL678" s="123"/>
      <c r="AM678" s="123"/>
      <c r="AN678" s="123"/>
      <c r="AO678" s="115"/>
      <c r="AP678" s="115"/>
      <c r="AQ678" s="115"/>
      <c r="AR678" s="115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25"/>
      <c r="BD678" s="15"/>
      <c r="BG678" s="114"/>
    </row>
    <row r="679" spans="6:59" ht="19.5" x14ac:dyDescent="0.4">
      <c r="AE679" s="26"/>
      <c r="AF679" s="13"/>
      <c r="AK679" s="117"/>
      <c r="AL679" s="123"/>
      <c r="AM679" s="123"/>
      <c r="AN679" s="123"/>
      <c r="AO679" s="115"/>
      <c r="AP679" s="115"/>
      <c r="AQ679" s="115"/>
      <c r="AR679" s="115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25">
        <v>45273</v>
      </c>
      <c r="BD679" s="15" t="s">
        <v>162</v>
      </c>
      <c r="BG679" s="114"/>
    </row>
    <row r="680" spans="6:59" ht="19.5" x14ac:dyDescent="0.4">
      <c r="AE680" s="26"/>
      <c r="AF680" s="13"/>
      <c r="AK680" s="117"/>
      <c r="AL680" s="123"/>
      <c r="AM680" s="123"/>
      <c r="AN680" s="123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25">
        <v>45273</v>
      </c>
      <c r="BD680" s="13" t="s">
        <v>162</v>
      </c>
      <c r="BG680" s="114"/>
    </row>
    <row r="681" spans="6:59" ht="19.5" x14ac:dyDescent="0.4">
      <c r="AE681" s="26"/>
      <c r="AF681" s="13"/>
      <c r="AK681" s="117"/>
      <c r="AL681" s="123"/>
      <c r="AM681" s="123"/>
      <c r="AN681" s="123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25">
        <v>45273</v>
      </c>
      <c r="BD681" s="15" t="s">
        <v>162</v>
      </c>
      <c r="BG681" s="114"/>
    </row>
    <row r="682" spans="6:59" ht="19.5" x14ac:dyDescent="0.4">
      <c r="AE682" s="26"/>
      <c r="AF682" s="13"/>
      <c r="AK682" s="117"/>
      <c r="AL682" s="123"/>
      <c r="AM682" s="123"/>
      <c r="AN682" s="123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25">
        <v>45273</v>
      </c>
      <c r="BD682" s="15" t="s">
        <v>162</v>
      </c>
      <c r="BG682" s="114"/>
    </row>
    <row r="683" spans="6:59" ht="19.5" x14ac:dyDescent="0.4"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6"/>
      <c r="AF683" s="25"/>
      <c r="AK683" s="117"/>
      <c r="AL683" s="123"/>
      <c r="AM683" s="123"/>
      <c r="AN683" s="123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25"/>
      <c r="BD683" s="15"/>
      <c r="BG683" s="114"/>
    </row>
    <row r="684" spans="6:59" ht="19.5" x14ac:dyDescent="0.4">
      <c r="AE684" s="26"/>
      <c r="AF684" s="25"/>
      <c r="AK684" s="117"/>
      <c r="AL684" s="123"/>
      <c r="AM684" s="123"/>
      <c r="AN684" s="123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25">
        <v>45273</v>
      </c>
      <c r="BD684" s="15" t="s">
        <v>162</v>
      </c>
      <c r="BG684" s="114"/>
    </row>
    <row r="685" spans="6:59" ht="19.5" x14ac:dyDescent="0.4">
      <c r="AE685" s="26"/>
      <c r="AF685" s="13"/>
      <c r="AK685" s="117"/>
      <c r="AL685" s="123"/>
      <c r="AM685" s="123"/>
      <c r="AN685" s="123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25">
        <v>45273</v>
      </c>
      <c r="BD685" s="15" t="s">
        <v>162</v>
      </c>
      <c r="BG685" s="114"/>
    </row>
    <row r="686" spans="6:59" ht="19.5" x14ac:dyDescent="0.4"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26"/>
      <c r="AF686" s="13"/>
      <c r="AK686" s="117"/>
      <c r="AL686" s="123"/>
      <c r="AM686" s="123"/>
      <c r="AN686" s="123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25"/>
      <c r="BD686" s="15"/>
      <c r="BG686" s="114"/>
    </row>
    <row r="687" spans="6:59" ht="19.5" x14ac:dyDescent="0.4"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26"/>
      <c r="AF687" s="13"/>
      <c r="AK687" s="117"/>
      <c r="AL687" s="123"/>
      <c r="AM687" s="123"/>
      <c r="AN687" s="123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25"/>
      <c r="BD687" s="15"/>
      <c r="BG687" s="114"/>
    </row>
    <row r="688" spans="6:59" ht="19.5" x14ac:dyDescent="0.4">
      <c r="AE688" s="26"/>
      <c r="AF688" s="13"/>
      <c r="AK688" s="117"/>
      <c r="AL688" s="123"/>
      <c r="AM688" s="123"/>
      <c r="AN688" s="123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25">
        <v>45273</v>
      </c>
      <c r="BD688" s="15" t="s">
        <v>162</v>
      </c>
      <c r="BG688" s="114"/>
    </row>
    <row r="689" spans="6:59" ht="19.5" x14ac:dyDescent="0.4">
      <c r="AE689" s="26"/>
      <c r="AF689" s="13"/>
      <c r="AK689" s="117"/>
      <c r="AL689" s="123"/>
      <c r="AM689" s="123"/>
      <c r="AN689" s="123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25">
        <v>45273</v>
      </c>
      <c r="BD689" s="15" t="s">
        <v>162</v>
      </c>
      <c r="BG689" s="114"/>
    </row>
    <row r="690" spans="6:59" ht="19.5" x14ac:dyDescent="0.4">
      <c r="AE690" s="26"/>
      <c r="AF690" s="13"/>
      <c r="AK690" s="117"/>
      <c r="AL690" s="123"/>
      <c r="AM690" s="123"/>
      <c r="AN690" s="123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25">
        <v>45273</v>
      </c>
      <c r="BD690" s="13" t="s">
        <v>163</v>
      </c>
      <c r="BG690" s="114"/>
    </row>
    <row r="691" spans="6:59" ht="19.5" x14ac:dyDescent="0.4">
      <c r="AE691" s="26"/>
      <c r="AF691" s="13"/>
      <c r="AK691" s="117"/>
      <c r="AL691" s="123"/>
      <c r="AM691" s="123"/>
      <c r="AN691" s="123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25"/>
      <c r="BD691" s="13"/>
      <c r="BG691" s="114"/>
    </row>
    <row r="692" spans="6:59" ht="19.5" x14ac:dyDescent="0.4">
      <c r="AE692" s="26"/>
      <c r="AF692" s="13"/>
      <c r="AK692" s="117"/>
      <c r="AL692" s="123"/>
      <c r="AM692" s="123"/>
      <c r="AN692" s="123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 t="s">
        <v>152</v>
      </c>
      <c r="BC692" s="13">
        <f>SUBTOTAL(3,BC661:BC690)</f>
        <v>22</v>
      </c>
      <c r="BD692" s="13">
        <f>SUBTOTAL(3,BD661:BD690)</f>
        <v>22</v>
      </c>
      <c r="BG692" s="114"/>
    </row>
    <row r="693" spans="6:59" ht="19.5" x14ac:dyDescent="0.4">
      <c r="AE693" s="26"/>
      <c r="AF693" s="13"/>
      <c r="AK693" s="117"/>
      <c r="AL693" s="123"/>
      <c r="AM693" s="123"/>
      <c r="AN693" s="123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25">
        <v>45274</v>
      </c>
      <c r="BD693" s="15" t="s">
        <v>162</v>
      </c>
      <c r="BG693" s="114"/>
    </row>
    <row r="694" spans="6:59" ht="19.5" x14ac:dyDescent="0.4"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26"/>
      <c r="AF694" s="13"/>
      <c r="AK694" s="117"/>
      <c r="AL694" s="123"/>
      <c r="AM694" s="123"/>
      <c r="AN694" s="123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25"/>
      <c r="BD694" s="15"/>
      <c r="BG694" s="114"/>
    </row>
    <row r="695" spans="6:59" ht="19.5" x14ac:dyDescent="0.4"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26"/>
      <c r="AF695" s="13"/>
      <c r="AK695" s="117"/>
      <c r="AL695" s="123"/>
      <c r="AM695" s="123"/>
      <c r="AN695" s="123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115"/>
      <c r="AZ695" s="115"/>
      <c r="BA695" s="115"/>
      <c r="BB695" s="115"/>
      <c r="BC695" s="25"/>
      <c r="BD695" s="15"/>
      <c r="BG695" s="114"/>
    </row>
    <row r="696" spans="6:59" ht="19.5" x14ac:dyDescent="0.4">
      <c r="AE696" s="26"/>
      <c r="AF696" s="13"/>
      <c r="AK696" s="117"/>
      <c r="AL696" s="123"/>
      <c r="AM696" s="123"/>
      <c r="AN696" s="123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115"/>
      <c r="AY696" s="115"/>
      <c r="AZ696" s="115"/>
      <c r="BA696" s="115"/>
      <c r="BB696" s="115"/>
      <c r="BC696" s="25">
        <v>45274</v>
      </c>
      <c r="BD696" s="15" t="s">
        <v>162</v>
      </c>
      <c r="BG696" s="114"/>
    </row>
    <row r="697" spans="6:59" ht="19.5" x14ac:dyDescent="0.4"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26"/>
      <c r="AF697" s="13"/>
      <c r="AK697" s="117"/>
      <c r="AL697" s="123"/>
      <c r="AM697" s="123"/>
      <c r="AN697" s="123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115"/>
      <c r="AY697" s="115"/>
      <c r="AZ697" s="115"/>
      <c r="BA697" s="115"/>
      <c r="BB697" s="115"/>
      <c r="BC697" s="25"/>
      <c r="BD697" s="15"/>
      <c r="BG697" s="114"/>
    </row>
    <row r="698" spans="6:59" ht="19.5" x14ac:dyDescent="0.4"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26"/>
      <c r="AF698" s="13"/>
      <c r="AK698" s="117"/>
      <c r="AL698" s="123"/>
      <c r="AM698" s="123"/>
      <c r="AN698" s="123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115"/>
      <c r="AY698" s="115"/>
      <c r="AZ698" s="115"/>
      <c r="BA698" s="115"/>
      <c r="BB698" s="115"/>
      <c r="BC698" s="25"/>
      <c r="BD698" s="15"/>
      <c r="BG698" s="114"/>
    </row>
    <row r="699" spans="6:59" ht="19.5" x14ac:dyDescent="0.4"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26"/>
      <c r="AF699" s="13"/>
      <c r="AK699" s="117"/>
      <c r="AL699" s="123"/>
      <c r="AM699" s="123"/>
      <c r="AN699" s="123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115"/>
      <c r="AY699" s="115"/>
      <c r="AZ699" s="115"/>
      <c r="BA699" s="115"/>
      <c r="BB699" s="115"/>
      <c r="BC699" s="25"/>
      <c r="BD699" s="15"/>
      <c r="BG699" s="114"/>
    </row>
    <row r="700" spans="6:59" ht="19.5" x14ac:dyDescent="0.4">
      <c r="AE700" s="26"/>
      <c r="AF700" s="13"/>
      <c r="AK700" s="117"/>
      <c r="AL700" s="123"/>
      <c r="AM700" s="123"/>
      <c r="AN700" s="123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115"/>
      <c r="AY700" s="115"/>
      <c r="AZ700" s="115"/>
      <c r="BA700" s="115"/>
      <c r="BB700" s="115"/>
      <c r="BC700" s="25">
        <v>45274</v>
      </c>
      <c r="BD700" s="15" t="s">
        <v>162</v>
      </c>
      <c r="BG700" s="114"/>
    </row>
    <row r="701" spans="6:59" ht="19.5" x14ac:dyDescent="0.4"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26"/>
      <c r="AF701" s="13"/>
      <c r="AK701" s="117"/>
      <c r="AL701" s="123"/>
      <c r="AM701" s="123"/>
      <c r="AN701" s="123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25"/>
      <c r="BD701" s="15"/>
      <c r="BG701" s="114"/>
    </row>
    <row r="702" spans="6:59" ht="19.5" x14ac:dyDescent="0.4">
      <c r="AE702" s="26"/>
      <c r="AF702" s="13"/>
      <c r="AK702" s="117"/>
      <c r="AL702" s="123"/>
      <c r="AM702" s="123"/>
      <c r="AN702" s="123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25">
        <v>45274</v>
      </c>
      <c r="BD702" s="15" t="s">
        <v>162</v>
      </c>
      <c r="BG702" s="114"/>
    </row>
    <row r="703" spans="6:59" ht="19.5" x14ac:dyDescent="0.4">
      <c r="AE703" s="26"/>
      <c r="AF703" s="13"/>
      <c r="AK703" s="117"/>
      <c r="AL703" s="123"/>
      <c r="AM703" s="123"/>
      <c r="AN703" s="123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25">
        <v>45274</v>
      </c>
      <c r="BD703" s="15" t="s">
        <v>163</v>
      </c>
      <c r="BG703" s="114"/>
    </row>
    <row r="704" spans="6:59" ht="19.5" x14ac:dyDescent="0.4">
      <c r="W704" s="115"/>
      <c r="X704" s="115"/>
      <c r="Y704" s="115"/>
      <c r="Z704" s="115"/>
      <c r="AA704" s="115"/>
      <c r="AB704" s="115"/>
      <c r="AC704" s="115"/>
      <c r="AD704" s="115"/>
      <c r="AE704" s="17"/>
      <c r="AF704" s="13"/>
      <c r="AK704" s="117"/>
      <c r="AL704" s="123"/>
      <c r="AM704" s="123"/>
      <c r="AN704" s="123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25"/>
      <c r="BD704" s="15"/>
      <c r="BG704" s="114"/>
    </row>
    <row r="705" spans="20:59" ht="19.5" x14ac:dyDescent="0.4"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26"/>
      <c r="AF705" s="13"/>
      <c r="AK705" s="117"/>
      <c r="AL705" s="123"/>
      <c r="AM705" s="123"/>
      <c r="AN705" s="123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25"/>
      <c r="BD705" s="15"/>
      <c r="BG705" s="114"/>
    </row>
    <row r="706" spans="20:59" ht="19.5" x14ac:dyDescent="0.4">
      <c r="AE706" s="26"/>
      <c r="AF706" s="25"/>
      <c r="AK706" s="117"/>
      <c r="AL706" s="123"/>
      <c r="AM706" s="123"/>
      <c r="AN706" s="123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115" t="s">
        <v>167</v>
      </c>
      <c r="BC706" s="13">
        <f>SUBTOTAL(3,BC693:BC703)</f>
        <v>5</v>
      </c>
      <c r="BD706" s="15">
        <f>SUBTOTAL(3,BD693:BD703)</f>
        <v>5</v>
      </c>
      <c r="BG706" s="114"/>
    </row>
    <row r="707" spans="20:59" ht="19.5" x14ac:dyDescent="0.4"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6"/>
      <c r="AF707" s="105"/>
      <c r="AK707" s="117"/>
      <c r="AL707" s="123"/>
      <c r="AM707" s="123"/>
      <c r="AN707" s="123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3"/>
      <c r="BD707" s="15"/>
      <c r="BG707" s="114"/>
    </row>
    <row r="708" spans="20:59" ht="19.5" x14ac:dyDescent="0.4">
      <c r="AE708" s="26"/>
      <c r="AF708" s="105"/>
      <c r="AK708" s="117"/>
      <c r="AL708" s="123"/>
      <c r="AM708" s="123"/>
      <c r="AN708" s="123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3"/>
      <c r="BD708" s="15"/>
      <c r="BG708" s="114"/>
    </row>
    <row r="709" spans="20:59" ht="19.5" x14ac:dyDescent="0.4">
      <c r="W709" s="115"/>
      <c r="X709" s="115"/>
      <c r="Y709" s="115"/>
      <c r="Z709" s="115"/>
      <c r="AA709" s="115"/>
      <c r="AB709" s="115"/>
      <c r="AC709" s="115"/>
      <c r="AD709" s="115"/>
      <c r="AE709" s="17"/>
      <c r="AF709" s="15"/>
      <c r="AK709" s="117"/>
      <c r="AL709" s="123"/>
      <c r="AM709" s="123"/>
      <c r="AN709" s="123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3"/>
      <c r="BD709" s="15"/>
      <c r="BG709" s="114"/>
    </row>
    <row r="710" spans="20:59" ht="19.5" x14ac:dyDescent="0.4"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6"/>
      <c r="AF710" s="15"/>
      <c r="AK710" s="117"/>
      <c r="AL710" s="123"/>
      <c r="AM710" s="123"/>
      <c r="AN710" s="123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3"/>
      <c r="BD710" s="15"/>
      <c r="BG710" s="114"/>
    </row>
    <row r="711" spans="20:59" ht="19.5" x14ac:dyDescent="0.4"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26"/>
      <c r="AF711" s="15"/>
      <c r="AK711" s="117"/>
      <c r="AL711" s="123"/>
      <c r="AM711" s="123"/>
      <c r="AN711" s="123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3"/>
      <c r="BD711" s="15"/>
      <c r="BG711" s="114"/>
    </row>
    <row r="712" spans="20:59" ht="19.5" x14ac:dyDescent="0.4"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6"/>
      <c r="AF712" s="15"/>
      <c r="AK712" s="117"/>
      <c r="AL712" s="123"/>
      <c r="AM712" s="123"/>
      <c r="AN712" s="123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3"/>
      <c r="BD712" s="15"/>
      <c r="BG712" s="114"/>
    </row>
    <row r="713" spans="20:59" ht="19.5" x14ac:dyDescent="0.4"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26"/>
      <c r="AF713" s="15"/>
      <c r="AK713" s="117"/>
      <c r="AL713" s="123"/>
      <c r="AM713" s="123"/>
      <c r="AN713" s="123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3"/>
      <c r="BD713" s="15"/>
      <c r="BG713" s="114"/>
    </row>
    <row r="714" spans="20:59" ht="19.5" x14ac:dyDescent="0.4">
      <c r="AE714" s="26"/>
      <c r="AF714" s="15"/>
      <c r="AK714" s="117"/>
      <c r="AL714" s="123"/>
      <c r="AM714" s="123"/>
      <c r="AN714" s="123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25">
        <v>45275</v>
      </c>
      <c r="BD714" s="15" t="s">
        <v>163</v>
      </c>
      <c r="BG714" s="114"/>
    </row>
    <row r="715" spans="20:59" ht="19.5" x14ac:dyDescent="0.4">
      <c r="AE715" s="26"/>
      <c r="AF715" s="15"/>
      <c r="AK715" s="117"/>
      <c r="AL715" s="123"/>
      <c r="AM715" s="123"/>
      <c r="AN715" s="123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115" t="s">
        <v>168</v>
      </c>
      <c r="BC715" s="13">
        <f>SUBTOTAL(3,BC714:BC714)</f>
        <v>1</v>
      </c>
      <c r="BD715" s="15">
        <f>SUBTOTAL(3,BD714:BD714)</f>
        <v>1</v>
      </c>
      <c r="BG715" s="114"/>
    </row>
    <row r="716" spans="20:59" ht="19.5" x14ac:dyDescent="0.4">
      <c r="AE716" s="26"/>
      <c r="AF716" s="15"/>
      <c r="AK716" s="117"/>
      <c r="AL716" s="123"/>
      <c r="AM716" s="123"/>
      <c r="AN716" s="123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25">
        <v>45276</v>
      </c>
      <c r="BD716" s="15" t="s">
        <v>164</v>
      </c>
      <c r="BG716" s="114"/>
    </row>
    <row r="717" spans="20:59" ht="19.5" x14ac:dyDescent="0.4">
      <c r="AE717" s="26"/>
      <c r="AF717" s="15"/>
      <c r="AK717" s="117"/>
      <c r="AL717" s="123"/>
      <c r="AM717" s="123"/>
      <c r="AN717" s="123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25">
        <v>45276</v>
      </c>
      <c r="BD717" s="15" t="s">
        <v>162</v>
      </c>
      <c r="BG717" s="114"/>
    </row>
    <row r="718" spans="20:59" ht="19.5" x14ac:dyDescent="0.4">
      <c r="AE718" s="26"/>
      <c r="AF718" s="15"/>
      <c r="AK718" s="117"/>
      <c r="AL718" s="123"/>
      <c r="AM718" s="123"/>
      <c r="AN718" s="123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25">
        <v>45276</v>
      </c>
      <c r="BD718" s="15" t="s">
        <v>162</v>
      </c>
      <c r="BG718" s="114"/>
    </row>
    <row r="719" spans="20:59" ht="19.5" x14ac:dyDescent="0.4">
      <c r="AE719" s="26"/>
      <c r="AF719" s="15"/>
      <c r="AK719" s="117"/>
      <c r="AL719" s="123"/>
      <c r="AM719" s="123"/>
      <c r="AN719" s="123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25">
        <v>45276</v>
      </c>
      <c r="BD719" s="15" t="s">
        <v>162</v>
      </c>
      <c r="BG719" s="114"/>
    </row>
    <row r="720" spans="20:59" ht="19.5" x14ac:dyDescent="0.4">
      <c r="AE720" s="26"/>
      <c r="AF720" s="15"/>
      <c r="AK720" s="117"/>
      <c r="AL720" s="123"/>
      <c r="AM720" s="123"/>
      <c r="AN720" s="123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25">
        <v>45276</v>
      </c>
      <c r="BD720" s="15" t="s">
        <v>162</v>
      </c>
      <c r="BG720" s="114"/>
    </row>
    <row r="721" spans="6:59" ht="19.5" x14ac:dyDescent="0.4"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26"/>
      <c r="AF721" s="15"/>
      <c r="AK721" s="117"/>
      <c r="AL721" s="123"/>
      <c r="AM721" s="123"/>
      <c r="AN721" s="123"/>
      <c r="AO721" s="115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25"/>
      <c r="BD721" s="15"/>
      <c r="BG721" s="114"/>
    </row>
    <row r="722" spans="6:59" ht="19.5" x14ac:dyDescent="0.4">
      <c r="AE722" s="26"/>
      <c r="AF722" s="15"/>
      <c r="AK722" s="117"/>
      <c r="AL722" s="123"/>
      <c r="AM722" s="123"/>
      <c r="AN722" s="123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25">
        <v>45276</v>
      </c>
      <c r="BD722" s="15" t="s">
        <v>162</v>
      </c>
      <c r="BG722" s="114"/>
    </row>
    <row r="723" spans="6:59" ht="19.5" x14ac:dyDescent="0.4">
      <c r="AE723" s="26"/>
      <c r="AF723" s="15"/>
      <c r="AK723" s="117"/>
      <c r="AL723" s="123"/>
      <c r="AM723" s="123"/>
      <c r="AN723" s="123"/>
      <c r="AO723" s="115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25">
        <v>45276</v>
      </c>
      <c r="BD723" s="15" t="s">
        <v>162</v>
      </c>
      <c r="BG723" s="114"/>
    </row>
    <row r="724" spans="6:59" ht="19.5" x14ac:dyDescent="0.4">
      <c r="W724" s="115"/>
      <c r="X724" s="115"/>
      <c r="Y724" s="115"/>
      <c r="Z724" s="115"/>
      <c r="AA724" s="115"/>
      <c r="AB724" s="115"/>
      <c r="AC724" s="115"/>
      <c r="AD724" s="115"/>
      <c r="AE724" s="17"/>
      <c r="AF724" s="15"/>
      <c r="AK724" s="117"/>
      <c r="AL724" s="123"/>
      <c r="AM724" s="123"/>
      <c r="AN724" s="123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25"/>
      <c r="BD724" s="15"/>
      <c r="BG724" s="114"/>
    </row>
    <row r="725" spans="6:59" ht="19.5" x14ac:dyDescent="0.4"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26"/>
      <c r="AF725" s="15"/>
      <c r="AK725" s="117"/>
      <c r="AL725" s="123"/>
      <c r="AM725" s="123"/>
      <c r="AN725" s="123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115"/>
      <c r="AZ725" s="115"/>
      <c r="BA725" s="115"/>
      <c r="BB725" s="115"/>
      <c r="BC725" s="25"/>
      <c r="BD725" s="15"/>
      <c r="BG725" s="114"/>
    </row>
    <row r="726" spans="6:59" ht="19.5" x14ac:dyDescent="0.4"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26"/>
      <c r="AF726" s="15"/>
      <c r="AK726" s="117"/>
      <c r="AL726" s="123"/>
      <c r="AM726" s="123"/>
      <c r="AN726" s="123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115"/>
      <c r="AZ726" s="115"/>
      <c r="BA726" s="115"/>
      <c r="BB726" s="115"/>
      <c r="BC726" s="25"/>
      <c r="BD726" s="15"/>
      <c r="BG726" s="114"/>
    </row>
    <row r="727" spans="6:59" ht="19.5" x14ac:dyDescent="0.4"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26"/>
      <c r="AF727" s="15"/>
      <c r="AK727" s="117"/>
      <c r="AL727" s="123"/>
      <c r="AM727" s="123"/>
      <c r="AN727" s="123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25"/>
      <c r="BD727" s="15"/>
      <c r="BG727" s="114"/>
    </row>
    <row r="728" spans="6:59" ht="19.5" x14ac:dyDescent="0.4">
      <c r="AE728" s="26"/>
      <c r="AF728" s="15"/>
      <c r="AJ728" s="115"/>
      <c r="AK728" s="117"/>
      <c r="AL728" s="123"/>
      <c r="AM728" s="123"/>
      <c r="AN728" s="123"/>
      <c r="AO728" s="115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115"/>
      <c r="AZ728" s="115"/>
      <c r="BA728" s="115"/>
      <c r="BB728" s="115"/>
      <c r="BC728" s="25">
        <v>45276</v>
      </c>
      <c r="BD728" s="15" t="s">
        <v>162</v>
      </c>
      <c r="BG728" s="114"/>
    </row>
    <row r="729" spans="6:59" ht="19.5" x14ac:dyDescent="0.4">
      <c r="AE729" s="26"/>
      <c r="AF729" s="15"/>
      <c r="AJ729" s="115"/>
      <c r="AK729" s="117"/>
      <c r="AL729" s="123"/>
      <c r="AM729" s="123"/>
      <c r="AN729" s="123"/>
      <c r="AO729" s="115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115"/>
      <c r="AZ729" s="115"/>
      <c r="BA729" s="115"/>
      <c r="BB729" s="115"/>
      <c r="BC729" s="25">
        <v>45276</v>
      </c>
      <c r="BD729" s="15" t="s">
        <v>162</v>
      </c>
      <c r="BG729" s="114"/>
    </row>
    <row r="730" spans="6:59" ht="19.5" x14ac:dyDescent="0.4">
      <c r="AE730" s="26"/>
      <c r="AF730" s="15"/>
      <c r="AJ730" s="115"/>
      <c r="AK730" s="117"/>
      <c r="AL730" s="123"/>
      <c r="AM730" s="123"/>
      <c r="AN730" s="123"/>
      <c r="AO730" s="115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115"/>
      <c r="AZ730" s="115"/>
      <c r="BA730" s="115"/>
      <c r="BB730" s="115"/>
      <c r="BC730" s="25">
        <v>45276</v>
      </c>
      <c r="BD730" s="15" t="s">
        <v>162</v>
      </c>
      <c r="BG730" s="114"/>
    </row>
    <row r="731" spans="6:59" ht="19.5" x14ac:dyDescent="0.4">
      <c r="W731" s="115"/>
      <c r="X731" s="115"/>
      <c r="Y731" s="115"/>
      <c r="Z731" s="115"/>
      <c r="AA731" s="115"/>
      <c r="AB731" s="115"/>
      <c r="AC731" s="115"/>
      <c r="AD731" s="115"/>
      <c r="AE731" s="17"/>
      <c r="AF731" s="15"/>
      <c r="AJ731" s="115"/>
      <c r="AK731" s="117"/>
      <c r="AL731" s="123"/>
      <c r="AM731" s="123"/>
      <c r="AN731" s="123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25"/>
      <c r="BD731" s="15"/>
      <c r="BG731" s="114"/>
    </row>
    <row r="732" spans="6:59" ht="19.5" x14ac:dyDescent="0.4"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26"/>
      <c r="AF732" s="15"/>
      <c r="AJ732" s="115"/>
      <c r="AK732" s="117"/>
      <c r="AL732" s="123"/>
      <c r="AM732" s="123"/>
      <c r="AN732" s="123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25"/>
      <c r="BD732" s="15"/>
      <c r="BG732" s="114"/>
    </row>
    <row r="733" spans="6:59" ht="19.5" x14ac:dyDescent="0.4"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7"/>
      <c r="AF733" s="15"/>
      <c r="AJ733" s="115"/>
      <c r="AK733" s="117"/>
      <c r="AL733" s="123"/>
      <c r="AM733" s="123"/>
      <c r="AN733" s="123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25"/>
      <c r="BD733" s="15"/>
      <c r="BG733" s="114"/>
    </row>
    <row r="734" spans="6:59" ht="19.5" x14ac:dyDescent="0.4">
      <c r="AE734" s="26"/>
      <c r="AF734" s="15"/>
      <c r="AJ734" s="115"/>
      <c r="AK734" s="117"/>
      <c r="AL734" s="123"/>
      <c r="AM734" s="123"/>
      <c r="AN734" s="123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25"/>
      <c r="BD734" s="15"/>
      <c r="BG734" s="114"/>
    </row>
    <row r="735" spans="6:59" ht="19.5" x14ac:dyDescent="0.4"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26"/>
      <c r="AF735" s="15"/>
      <c r="AJ735" s="115"/>
      <c r="AK735" s="117"/>
      <c r="AL735" s="123"/>
      <c r="AM735" s="123"/>
      <c r="AN735" s="123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25"/>
      <c r="BD735" s="15"/>
      <c r="BG735" s="114"/>
    </row>
    <row r="736" spans="6:59" ht="19.5" x14ac:dyDescent="0.4">
      <c r="AE736" s="26"/>
      <c r="AF736" s="15"/>
      <c r="AJ736" s="115"/>
      <c r="AK736" s="117"/>
      <c r="AL736" s="123"/>
      <c r="AM736" s="123"/>
      <c r="AN736" s="123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25">
        <v>45276</v>
      </c>
      <c r="BD736" s="15" t="s">
        <v>162</v>
      </c>
      <c r="BG736" s="114"/>
    </row>
    <row r="737" spans="20:59" ht="19.5" x14ac:dyDescent="0.4">
      <c r="W737" s="115"/>
      <c r="X737" s="115"/>
      <c r="Y737" s="115"/>
      <c r="Z737" s="115"/>
      <c r="AA737" s="115"/>
      <c r="AB737" s="115"/>
      <c r="AC737" s="115"/>
      <c r="AD737" s="115"/>
      <c r="AE737" s="17"/>
      <c r="AF737" s="15"/>
      <c r="AJ737" s="115"/>
      <c r="AK737" s="117"/>
      <c r="AL737" s="123"/>
      <c r="AM737" s="123"/>
      <c r="AN737" s="123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25"/>
      <c r="BD737" s="15"/>
      <c r="BG737" s="114"/>
    </row>
    <row r="738" spans="20:59" ht="19.5" x14ac:dyDescent="0.4">
      <c r="AE738" s="26"/>
      <c r="AF738" s="15"/>
      <c r="AJ738" s="115"/>
      <c r="AK738" s="117"/>
      <c r="AL738" s="123"/>
      <c r="AM738" s="123"/>
      <c r="AN738" s="123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25">
        <v>45276</v>
      </c>
      <c r="BD738" s="15" t="s">
        <v>162</v>
      </c>
      <c r="BG738" s="114"/>
    </row>
    <row r="739" spans="20:59" ht="19.5" x14ac:dyDescent="0.4">
      <c r="W739" s="115"/>
      <c r="X739" s="115"/>
      <c r="Y739" s="115"/>
      <c r="Z739" s="115"/>
      <c r="AA739" s="115"/>
      <c r="AB739" s="115"/>
      <c r="AC739" s="115"/>
      <c r="AD739" s="115"/>
      <c r="AE739" s="17"/>
      <c r="AF739" s="15"/>
      <c r="AJ739" s="115"/>
      <c r="AK739" s="117"/>
      <c r="AL739" s="123"/>
      <c r="AM739" s="123"/>
      <c r="AN739" s="123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25"/>
      <c r="BD739" s="15"/>
      <c r="BG739" s="114"/>
    </row>
    <row r="740" spans="20:59" ht="19.5" x14ac:dyDescent="0.4"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26"/>
      <c r="AF740" s="15"/>
      <c r="AJ740" s="115"/>
      <c r="AK740" s="117"/>
      <c r="AL740" s="123"/>
      <c r="AM740" s="123"/>
      <c r="AN740" s="123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25"/>
      <c r="BD740" s="15"/>
      <c r="BG740" s="114"/>
    </row>
    <row r="741" spans="20:59" ht="19.5" x14ac:dyDescent="0.4"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7"/>
      <c r="AF741" s="15"/>
      <c r="AJ741" s="115"/>
      <c r="AK741" s="117"/>
      <c r="AL741" s="123"/>
      <c r="AM741" s="123"/>
      <c r="AN741" s="123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25"/>
      <c r="BD741" s="15"/>
      <c r="BG741" s="114"/>
    </row>
    <row r="742" spans="20:59" ht="19.5" x14ac:dyDescent="0.4">
      <c r="AE742" s="26"/>
      <c r="AF742" s="15"/>
      <c r="AJ742" s="115"/>
      <c r="AK742" s="117"/>
      <c r="AL742" s="123"/>
      <c r="AM742" s="123"/>
      <c r="AN742" s="123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25">
        <v>45276</v>
      </c>
      <c r="BD742" s="15" t="s">
        <v>162</v>
      </c>
      <c r="BG742" s="114"/>
    </row>
    <row r="743" spans="20:59" ht="19.5" x14ac:dyDescent="0.4">
      <c r="AE743" s="26"/>
      <c r="AF743" s="15"/>
      <c r="AJ743" s="115"/>
      <c r="AK743" s="117"/>
      <c r="AL743" s="123"/>
      <c r="AM743" s="123"/>
      <c r="AN743" s="123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25">
        <v>45276</v>
      </c>
      <c r="BD743" s="15" t="s">
        <v>162</v>
      </c>
      <c r="BG743" s="114"/>
    </row>
    <row r="744" spans="20:59" ht="19.5" x14ac:dyDescent="0.4">
      <c r="AE744" s="26"/>
      <c r="AF744" s="15"/>
      <c r="AJ744" s="115"/>
      <c r="AK744" s="117"/>
      <c r="AL744" s="123"/>
      <c r="AM744" s="123"/>
      <c r="AN744" s="123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25">
        <v>45276</v>
      </c>
      <c r="BD744" s="15" t="s">
        <v>162</v>
      </c>
      <c r="BG744" s="114"/>
    </row>
    <row r="745" spans="20:59" ht="19.5" x14ac:dyDescent="0.4">
      <c r="AE745" s="26"/>
      <c r="AF745" s="15"/>
      <c r="AJ745" s="115"/>
      <c r="AK745" s="117"/>
      <c r="AL745" s="123"/>
      <c r="AM745" s="123"/>
      <c r="AN745" s="123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25"/>
      <c r="BD745" s="15"/>
      <c r="BG745" s="114"/>
    </row>
    <row r="746" spans="20:59" ht="19.5" x14ac:dyDescent="0.4">
      <c r="W746" s="115"/>
      <c r="X746" s="115"/>
      <c r="Y746" s="115"/>
      <c r="Z746" s="115"/>
      <c r="AA746" s="115"/>
      <c r="AB746" s="115"/>
      <c r="AC746" s="115"/>
      <c r="AD746" s="115"/>
      <c r="AE746" s="17"/>
      <c r="AF746" s="15"/>
      <c r="AJ746" s="115"/>
      <c r="AK746" s="117"/>
      <c r="AL746" s="123"/>
      <c r="AM746" s="123"/>
      <c r="AN746" s="123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25"/>
      <c r="BD746" s="15"/>
      <c r="BG746" s="114"/>
    </row>
    <row r="747" spans="20:59" ht="19.5" x14ac:dyDescent="0.4">
      <c r="AE747" s="26"/>
      <c r="AF747" s="15"/>
      <c r="AJ747" s="115"/>
      <c r="AK747" s="117"/>
      <c r="AL747" s="123"/>
      <c r="AM747" s="123"/>
      <c r="AN747" s="123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25">
        <v>45276</v>
      </c>
      <c r="BD747" s="15" t="s">
        <v>162</v>
      </c>
      <c r="BG747" s="114"/>
    </row>
    <row r="748" spans="20:59" ht="19.5" x14ac:dyDescent="0.4">
      <c r="AE748" s="26"/>
      <c r="AF748" s="15"/>
      <c r="AJ748" s="115"/>
      <c r="AK748" s="117"/>
      <c r="AL748" s="123"/>
      <c r="AM748" s="123"/>
      <c r="AN748" s="123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25">
        <v>45276</v>
      </c>
      <c r="BD748" s="15" t="s">
        <v>162</v>
      </c>
      <c r="BG748" s="114"/>
    </row>
    <row r="749" spans="20:59" ht="19.5" x14ac:dyDescent="0.4">
      <c r="W749" s="115"/>
      <c r="X749" s="115"/>
      <c r="Y749" s="115"/>
      <c r="Z749" s="115"/>
      <c r="AA749" s="115"/>
      <c r="AB749" s="115"/>
      <c r="AC749" s="115"/>
      <c r="AD749" s="115"/>
      <c r="AE749" s="17"/>
      <c r="AF749" s="15"/>
      <c r="AJ749" s="115"/>
      <c r="AK749" s="117"/>
      <c r="AL749" s="123"/>
      <c r="AM749" s="123"/>
      <c r="AN749" s="123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25"/>
      <c r="BD749" s="15"/>
      <c r="BG749" s="114"/>
    </row>
    <row r="750" spans="20:59" ht="19.5" x14ac:dyDescent="0.4"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26"/>
      <c r="AF750" s="15"/>
      <c r="AJ750" s="115"/>
      <c r="AK750" s="117"/>
      <c r="AL750" s="123"/>
      <c r="AM750" s="123"/>
      <c r="AN750" s="123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25"/>
      <c r="BD750" s="15"/>
      <c r="BG750" s="114"/>
    </row>
    <row r="751" spans="20:59" ht="19.5" x14ac:dyDescent="0.4"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7"/>
      <c r="AF751" s="15"/>
      <c r="AJ751" s="115"/>
      <c r="AK751" s="117"/>
      <c r="AL751" s="123"/>
      <c r="AM751" s="123"/>
      <c r="AN751" s="123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25"/>
      <c r="BD751" s="15"/>
      <c r="BG751" s="114"/>
    </row>
    <row r="752" spans="20:59" ht="19.5" x14ac:dyDescent="0.4"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26"/>
      <c r="AF752" s="15"/>
      <c r="AJ752" s="115"/>
      <c r="AK752" s="117"/>
      <c r="AL752" s="123"/>
      <c r="AM752" s="123"/>
      <c r="AN752" s="123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25"/>
      <c r="BD752" s="15"/>
      <c r="BG752" s="114"/>
    </row>
    <row r="753" spans="6:59" ht="19.5" x14ac:dyDescent="0.4">
      <c r="AE753" s="26"/>
      <c r="AF753" s="15"/>
      <c r="AJ753" s="115"/>
      <c r="AK753" s="117"/>
      <c r="AL753" s="123"/>
      <c r="AM753" s="123"/>
      <c r="AN753" s="123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115" t="s">
        <v>169</v>
      </c>
      <c r="BC753" s="13">
        <f>SUBTOTAL(3,BC716:BC748)</f>
        <v>17</v>
      </c>
      <c r="BD753" s="15">
        <f>SUBTOTAL(3,BD716:BD748)</f>
        <v>17</v>
      </c>
      <c r="BG753" s="114"/>
    </row>
    <row r="754" spans="6:59" ht="19.5" x14ac:dyDescent="0.4"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26"/>
      <c r="AF754" s="15"/>
      <c r="AJ754" s="115"/>
      <c r="AK754" s="117"/>
      <c r="AL754" s="123"/>
      <c r="AM754" s="123"/>
      <c r="AN754" s="123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115"/>
      <c r="BA754" s="115"/>
      <c r="BB754" s="115"/>
      <c r="BC754" s="13"/>
      <c r="BD754" s="15"/>
      <c r="BG754" s="114"/>
    </row>
    <row r="755" spans="6:59" ht="19.5" x14ac:dyDescent="0.4">
      <c r="AE755" s="26"/>
      <c r="AF755" s="15"/>
      <c r="AJ755" s="115"/>
      <c r="AK755" s="117"/>
      <c r="AL755" s="123"/>
      <c r="AM755" s="123"/>
      <c r="AN755" s="123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115"/>
      <c r="BA755" s="115"/>
      <c r="BB755" s="115"/>
      <c r="BC755" s="25">
        <v>45277</v>
      </c>
      <c r="BD755" s="15" t="s">
        <v>162</v>
      </c>
      <c r="BG755" s="114"/>
    </row>
    <row r="756" spans="6:59" ht="19.5" x14ac:dyDescent="0.4">
      <c r="W756" s="115"/>
      <c r="X756" s="115"/>
      <c r="Y756" s="115"/>
      <c r="Z756" s="115"/>
      <c r="AA756" s="115"/>
      <c r="AB756" s="115"/>
      <c r="AC756" s="115"/>
      <c r="AD756" s="115"/>
      <c r="AE756" s="17"/>
      <c r="AF756" s="15"/>
      <c r="AJ756" s="115"/>
      <c r="AK756" s="117"/>
      <c r="AL756" s="123"/>
      <c r="AM756" s="123"/>
      <c r="AN756" s="123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115"/>
      <c r="BA756" s="115"/>
      <c r="BB756" s="115"/>
      <c r="BC756" s="25"/>
      <c r="BD756" s="15"/>
      <c r="BG756" s="114"/>
    </row>
    <row r="757" spans="6:59" ht="19.5" x14ac:dyDescent="0.4"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26"/>
      <c r="AF757" s="15"/>
      <c r="AJ757" s="115"/>
      <c r="AK757" s="117"/>
      <c r="AL757" s="123"/>
      <c r="AM757" s="123"/>
      <c r="AN757" s="123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115"/>
      <c r="BA757" s="115"/>
      <c r="BB757" s="115"/>
      <c r="BC757" s="25"/>
      <c r="BD757" s="15"/>
      <c r="BG757" s="114"/>
    </row>
    <row r="758" spans="6:59" ht="19.5" x14ac:dyDescent="0.4"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7"/>
      <c r="AF758" s="15"/>
      <c r="AJ758" s="115"/>
      <c r="AK758" s="117"/>
      <c r="AL758" s="123"/>
      <c r="AM758" s="123"/>
      <c r="AN758" s="123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115"/>
      <c r="BA758" s="115"/>
      <c r="BB758" s="115"/>
      <c r="BC758" s="25"/>
      <c r="BD758" s="15"/>
      <c r="BG758" s="114"/>
    </row>
    <row r="759" spans="6:59" ht="19.5" x14ac:dyDescent="0.4"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7"/>
      <c r="AF759" s="15"/>
      <c r="AJ759" s="115"/>
      <c r="AK759" s="117"/>
      <c r="AL759" s="123"/>
      <c r="AM759" s="123"/>
      <c r="AN759" s="123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115"/>
      <c r="BA759" s="115"/>
      <c r="BB759" s="115"/>
      <c r="BC759" s="25"/>
      <c r="BD759" s="15"/>
      <c r="BG759" s="114"/>
    </row>
    <row r="760" spans="6:59" ht="19.5" x14ac:dyDescent="0.4">
      <c r="AE760" s="26"/>
      <c r="AF760" s="15"/>
      <c r="AJ760" s="115"/>
      <c r="AK760" s="117"/>
      <c r="AL760" s="123"/>
      <c r="AM760" s="123"/>
      <c r="AN760" s="123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25">
        <v>45277</v>
      </c>
      <c r="BD760" s="15" t="s">
        <v>162</v>
      </c>
      <c r="BG760" s="114"/>
    </row>
    <row r="761" spans="6:59" ht="19.5" x14ac:dyDescent="0.4"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7"/>
      <c r="AF761" s="15"/>
      <c r="AJ761" s="115"/>
      <c r="AK761" s="117"/>
      <c r="AL761" s="123"/>
      <c r="AM761" s="123"/>
      <c r="AN761" s="123"/>
      <c r="AO761" s="115"/>
      <c r="AP761" s="115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31"/>
      <c r="BD761" s="13"/>
      <c r="BG761" s="114"/>
    </row>
    <row r="762" spans="6:59" ht="19.5" x14ac:dyDescent="0.4">
      <c r="AE762" s="26"/>
      <c r="AF762" s="15"/>
      <c r="AJ762" s="115"/>
      <c r="AK762" s="117"/>
      <c r="AL762" s="123"/>
      <c r="AM762" s="123"/>
      <c r="AN762" s="123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26">
        <v>45277</v>
      </c>
      <c r="BD762" s="13" t="s">
        <v>162</v>
      </c>
      <c r="BG762" s="114"/>
    </row>
    <row r="763" spans="6:59" ht="19.5" x14ac:dyDescent="0.4">
      <c r="AE763" s="26"/>
      <c r="AF763" s="15"/>
      <c r="AJ763" s="115"/>
      <c r="AK763" s="117"/>
      <c r="AL763" s="123"/>
      <c r="AM763" s="123"/>
      <c r="AN763" s="123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26">
        <v>45277</v>
      </c>
      <c r="BD763" s="15" t="s">
        <v>162</v>
      </c>
      <c r="BG763" s="114"/>
    </row>
    <row r="764" spans="6:59" ht="19.5" x14ac:dyDescent="0.4"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26"/>
      <c r="AF764" s="15"/>
      <c r="AJ764" s="115"/>
      <c r="AK764" s="117"/>
      <c r="AL764" s="123"/>
      <c r="AM764" s="123"/>
      <c r="AN764" s="123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26"/>
      <c r="BD764" s="15"/>
      <c r="BG764" s="114"/>
    </row>
    <row r="765" spans="6:59" ht="19.5" x14ac:dyDescent="0.4">
      <c r="AE765" s="26"/>
      <c r="AF765" s="15"/>
      <c r="AJ765" s="115"/>
      <c r="AK765" s="117"/>
      <c r="AL765" s="123"/>
      <c r="AM765" s="123"/>
      <c r="AN765" s="123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26">
        <v>45277</v>
      </c>
      <c r="BD765" s="15" t="s">
        <v>162</v>
      </c>
      <c r="BG765" s="114"/>
    </row>
    <row r="766" spans="6:59" ht="19.5" x14ac:dyDescent="0.4">
      <c r="AE766" s="26"/>
      <c r="AF766" s="15"/>
      <c r="AJ766" s="115"/>
      <c r="AK766" s="117"/>
      <c r="AL766" s="123"/>
      <c r="AM766" s="123"/>
      <c r="AN766" s="123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115" t="s">
        <v>160</v>
      </c>
      <c r="BC766" s="17">
        <f>SUBTOTAL(3,BC755:BC765)</f>
        <v>5</v>
      </c>
      <c r="BD766" s="15">
        <f>SUBTOTAL(3,BD755:BD765)</f>
        <v>5</v>
      </c>
      <c r="BG766" s="114"/>
    </row>
    <row r="767" spans="6:59" ht="19.5" x14ac:dyDescent="0.4"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26"/>
      <c r="AF767" s="15"/>
      <c r="AJ767" s="115"/>
      <c r="AK767" s="117"/>
      <c r="AL767" s="123"/>
      <c r="AM767" s="123"/>
      <c r="AN767" s="123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7"/>
      <c r="BD767" s="15"/>
      <c r="BG767" s="114"/>
    </row>
    <row r="768" spans="6:59" ht="19.5" x14ac:dyDescent="0.4"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26"/>
      <c r="AF768" s="15"/>
      <c r="AJ768" s="115"/>
      <c r="AK768" s="117"/>
      <c r="AL768" s="123"/>
      <c r="AM768" s="123"/>
      <c r="AN768" s="123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7"/>
      <c r="BD768" s="15"/>
      <c r="BG768" s="114"/>
    </row>
    <row r="769" spans="6:59" ht="19.5" x14ac:dyDescent="0.4">
      <c r="AE769" s="26"/>
      <c r="AF769" s="15"/>
      <c r="AJ769" s="115"/>
      <c r="AK769" s="117"/>
      <c r="AL769" s="123"/>
      <c r="AM769" s="123"/>
      <c r="AN769" s="123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26">
        <v>45278</v>
      </c>
      <c r="BD769" s="15" t="s">
        <v>164</v>
      </c>
      <c r="BG769" s="114"/>
    </row>
    <row r="770" spans="6:59" ht="19.5" x14ac:dyDescent="0.4">
      <c r="AE770" s="26"/>
      <c r="AF770" s="15"/>
      <c r="AJ770" s="115"/>
      <c r="AK770" s="117"/>
      <c r="AL770" s="123"/>
      <c r="AM770" s="123"/>
      <c r="AN770" s="123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26">
        <v>45278</v>
      </c>
      <c r="BD770" s="15" t="s">
        <v>164</v>
      </c>
      <c r="BG770" s="114"/>
    </row>
    <row r="771" spans="6:59" ht="19.5" x14ac:dyDescent="0.4"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26"/>
      <c r="AF771" s="15"/>
      <c r="AJ771" s="115"/>
      <c r="AK771" s="117"/>
      <c r="AL771" s="123"/>
      <c r="AM771" s="123"/>
      <c r="AN771" s="123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26"/>
      <c r="BD771" s="15"/>
      <c r="BG771" s="114"/>
    </row>
    <row r="772" spans="6:59" ht="19.5" x14ac:dyDescent="0.4">
      <c r="AE772" s="26"/>
      <c r="AF772" s="15"/>
      <c r="AJ772" s="115"/>
      <c r="AK772" s="117"/>
      <c r="AL772" s="123"/>
      <c r="AM772" s="123"/>
      <c r="AN772" s="123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26">
        <v>45278</v>
      </c>
      <c r="BD772" s="15" t="s">
        <v>162</v>
      </c>
      <c r="BG772" s="114"/>
    </row>
    <row r="773" spans="6:59" ht="19.5" x14ac:dyDescent="0.4"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7"/>
      <c r="AF773" s="15"/>
      <c r="AJ773" s="115"/>
      <c r="AK773" s="117"/>
      <c r="AL773" s="123"/>
      <c r="AM773" s="123"/>
      <c r="AN773" s="123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26"/>
      <c r="BD773" s="15"/>
      <c r="BG773" s="114"/>
    </row>
    <row r="774" spans="6:59" ht="19.5" x14ac:dyDescent="0.4"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26"/>
      <c r="AF774" s="15"/>
      <c r="AJ774" s="115"/>
      <c r="AK774" s="117"/>
      <c r="AL774" s="123"/>
      <c r="AM774" s="123"/>
      <c r="AN774" s="123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26"/>
      <c r="BD774" s="15"/>
      <c r="BG774" s="114"/>
    </row>
    <row r="775" spans="6:59" ht="19.5" x14ac:dyDescent="0.4"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7"/>
      <c r="AF775" s="15"/>
      <c r="AJ775" s="115"/>
      <c r="AK775" s="117"/>
      <c r="AL775" s="123"/>
      <c r="AM775" s="123"/>
      <c r="AN775" s="123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26"/>
      <c r="BD775" s="15"/>
      <c r="BG775" s="114"/>
    </row>
    <row r="776" spans="6:59" ht="19.5" x14ac:dyDescent="0.4">
      <c r="AE776" s="26"/>
      <c r="AF776" s="15"/>
      <c r="AJ776" s="115"/>
      <c r="AK776" s="117"/>
      <c r="AL776" s="123"/>
      <c r="AM776" s="123"/>
      <c r="AN776" s="123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26">
        <v>45278</v>
      </c>
      <c r="BD776" s="15" t="s">
        <v>142</v>
      </c>
      <c r="BG776" s="114"/>
    </row>
    <row r="777" spans="6:59" ht="19.5" x14ac:dyDescent="0.4">
      <c r="AE777" s="26"/>
      <c r="AF777" s="15"/>
      <c r="AJ777" s="115"/>
      <c r="AK777" s="117"/>
      <c r="AL777" s="123"/>
      <c r="AM777" s="123"/>
      <c r="AN777" s="123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26">
        <v>45278</v>
      </c>
      <c r="BD777" s="15" t="s">
        <v>162</v>
      </c>
      <c r="BG777" s="114"/>
    </row>
    <row r="778" spans="6:59" ht="19.5" x14ac:dyDescent="0.4">
      <c r="AE778" s="26"/>
      <c r="AF778" s="15"/>
      <c r="AJ778" s="115"/>
      <c r="AK778" s="117"/>
      <c r="AL778" s="123"/>
      <c r="AM778" s="123"/>
      <c r="AN778" s="123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26">
        <v>45278</v>
      </c>
      <c r="BD778" s="15" t="s">
        <v>162</v>
      </c>
      <c r="BG778" s="114"/>
    </row>
    <row r="779" spans="6:59" ht="19.5" x14ac:dyDescent="0.4"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7"/>
      <c r="AF779" s="15"/>
      <c r="AJ779" s="115"/>
      <c r="AK779" s="117"/>
      <c r="AL779" s="123"/>
      <c r="AM779" s="123"/>
      <c r="AN779" s="123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26"/>
      <c r="BD779" s="15"/>
      <c r="BG779" s="114"/>
    </row>
    <row r="780" spans="6:59" ht="19.5" x14ac:dyDescent="0.4"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26"/>
      <c r="AF780" s="15"/>
      <c r="AJ780" s="115"/>
      <c r="AK780" s="117"/>
      <c r="AL780" s="123"/>
      <c r="AM780" s="123"/>
      <c r="AN780" s="123"/>
      <c r="AO780" s="115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26"/>
      <c r="BD780" s="15"/>
      <c r="BG780" s="114"/>
    </row>
    <row r="781" spans="6:59" ht="19.5" x14ac:dyDescent="0.4"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26"/>
      <c r="AF781" s="15"/>
      <c r="AJ781" s="115"/>
      <c r="AK781" s="117"/>
      <c r="AL781" s="123"/>
      <c r="AM781" s="123"/>
      <c r="AN781" s="123"/>
      <c r="AO781" s="115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115"/>
      <c r="BC781" s="26"/>
      <c r="BD781" s="15"/>
      <c r="BG781" s="114"/>
    </row>
    <row r="782" spans="6:59" ht="19.5" x14ac:dyDescent="0.4"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7"/>
      <c r="AF782" s="15"/>
      <c r="AJ782" s="115"/>
      <c r="AK782" s="117"/>
      <c r="AL782" s="123"/>
      <c r="AM782" s="123"/>
      <c r="AN782" s="123"/>
      <c r="AO782" s="115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115"/>
      <c r="BC782" s="26"/>
      <c r="BD782" s="15"/>
      <c r="BG782" s="114"/>
    </row>
    <row r="783" spans="6:59" ht="19.5" x14ac:dyDescent="0.4"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26"/>
      <c r="AF783" s="15"/>
      <c r="AJ783" s="115"/>
      <c r="AK783" s="117"/>
      <c r="AL783" s="123"/>
      <c r="AM783" s="123"/>
      <c r="AN783" s="123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26"/>
      <c r="BD783" s="15"/>
      <c r="BG783" s="114"/>
    </row>
    <row r="784" spans="6:59" ht="19.5" x14ac:dyDescent="0.4">
      <c r="AE784" s="26"/>
      <c r="AF784" s="15"/>
      <c r="AJ784" s="115"/>
      <c r="AK784" s="117"/>
      <c r="AL784" s="123"/>
      <c r="AM784" s="123"/>
      <c r="AN784" s="123"/>
      <c r="AO784" s="115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115"/>
      <c r="BC784" s="26">
        <v>45278</v>
      </c>
      <c r="BD784" s="15" t="s">
        <v>162</v>
      </c>
      <c r="BG784" s="114"/>
    </row>
    <row r="785" spans="6:59" ht="19.5" x14ac:dyDescent="0.4"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26"/>
      <c r="AF785" s="15"/>
      <c r="AJ785" s="115"/>
      <c r="AK785" s="117"/>
      <c r="AL785" s="123"/>
      <c r="AM785" s="123"/>
      <c r="AN785" s="123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115"/>
      <c r="BC785" s="26"/>
      <c r="BD785" s="15"/>
      <c r="BG785" s="114"/>
    </row>
    <row r="786" spans="6:59" ht="19.5" x14ac:dyDescent="0.4">
      <c r="AE786" s="26"/>
      <c r="AF786" s="15"/>
      <c r="AJ786" s="115"/>
      <c r="AK786" s="117"/>
      <c r="AL786" s="123"/>
      <c r="AM786" s="123"/>
      <c r="AN786" s="123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115"/>
      <c r="BC786" s="26">
        <v>45278</v>
      </c>
      <c r="BD786" s="15" t="s">
        <v>163</v>
      </c>
      <c r="BG786" s="114"/>
    </row>
    <row r="787" spans="6:59" ht="19.5" x14ac:dyDescent="0.4">
      <c r="AE787" s="26"/>
      <c r="AF787" s="15"/>
      <c r="AJ787" s="115"/>
      <c r="AK787" s="117"/>
      <c r="AL787" s="123"/>
      <c r="AM787" s="123"/>
      <c r="AN787" s="123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26">
        <v>45278</v>
      </c>
      <c r="BD787" s="105" t="s">
        <v>163</v>
      </c>
      <c r="BG787" s="114"/>
    </row>
    <row r="788" spans="6:59" ht="19.5" x14ac:dyDescent="0.4">
      <c r="AE788" s="25"/>
      <c r="AF788" s="13"/>
      <c r="AJ788" s="115"/>
      <c r="AK788" s="117"/>
      <c r="AL788" s="123"/>
      <c r="AM788" s="123"/>
      <c r="AN788" s="123"/>
      <c r="AO788" s="115"/>
      <c r="AP788" s="115"/>
      <c r="AQ788" s="115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26">
        <v>45278</v>
      </c>
      <c r="BD788" s="15" t="s">
        <v>163</v>
      </c>
      <c r="BG788" s="114"/>
    </row>
    <row r="789" spans="6:59" ht="19.5" x14ac:dyDescent="0.4"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25"/>
      <c r="AF789" s="13"/>
      <c r="AJ789" s="115"/>
      <c r="AK789" s="117"/>
      <c r="AL789" s="123"/>
      <c r="AM789" s="123"/>
      <c r="AN789" s="123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26"/>
      <c r="BD789" s="15"/>
      <c r="BG789" s="114"/>
    </row>
    <row r="790" spans="6:59" ht="19.5" x14ac:dyDescent="0.4"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25"/>
      <c r="AF790" s="13"/>
      <c r="AJ790" s="115"/>
      <c r="AK790" s="117"/>
      <c r="AL790" s="123"/>
      <c r="AM790" s="123"/>
      <c r="AN790" s="123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26"/>
      <c r="BD790" s="15"/>
      <c r="BG790" s="114"/>
    </row>
    <row r="791" spans="6:59" ht="19.5" x14ac:dyDescent="0.4"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25"/>
      <c r="AF791" s="13"/>
      <c r="AJ791" s="115"/>
      <c r="AK791" s="117"/>
      <c r="AL791" s="123"/>
      <c r="AM791" s="123"/>
      <c r="AN791" s="123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26"/>
      <c r="BD791" s="15"/>
      <c r="BG791" s="114"/>
    </row>
    <row r="792" spans="6:59" ht="19.5" x14ac:dyDescent="0.4"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25"/>
      <c r="AF792" s="13"/>
      <c r="AJ792" s="115"/>
      <c r="AK792" s="117"/>
      <c r="AL792" s="123"/>
      <c r="AM792" s="123"/>
      <c r="AN792" s="123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26"/>
      <c r="BD792" s="15"/>
      <c r="BG792" s="114"/>
    </row>
    <row r="793" spans="6:59" ht="19.5" x14ac:dyDescent="0.4"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25"/>
      <c r="AF793" s="13"/>
      <c r="AJ793" s="115"/>
      <c r="AK793" s="117"/>
      <c r="AL793" s="123"/>
      <c r="AM793" s="123"/>
      <c r="AN793" s="123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26"/>
      <c r="BD793" s="15"/>
      <c r="BG793" s="114"/>
    </row>
    <row r="794" spans="6:59" ht="19.5" x14ac:dyDescent="0.4"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25"/>
      <c r="AF794" s="13"/>
      <c r="AJ794" s="115"/>
      <c r="AK794" s="117"/>
      <c r="AL794" s="123"/>
      <c r="AM794" s="123"/>
      <c r="AN794" s="123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26"/>
      <c r="BD794" s="15"/>
      <c r="BG794" s="114"/>
    </row>
    <row r="795" spans="6:59" ht="19.5" x14ac:dyDescent="0.4">
      <c r="AE795" s="25"/>
      <c r="AF795" s="13"/>
      <c r="AJ795" s="115"/>
      <c r="AK795" s="117"/>
      <c r="AL795" s="123"/>
      <c r="AM795" s="123"/>
      <c r="AN795" s="123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26">
        <v>45278</v>
      </c>
      <c r="BD795" s="15" t="s">
        <v>163</v>
      </c>
      <c r="BG795" s="114"/>
    </row>
    <row r="796" spans="6:59" ht="19.5" x14ac:dyDescent="0.4">
      <c r="AE796" s="25"/>
      <c r="AF796" s="13"/>
      <c r="AJ796" s="115"/>
      <c r="AK796" s="117"/>
      <c r="AL796" s="123"/>
      <c r="AM796" s="123"/>
      <c r="AN796" s="123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26"/>
      <c r="BD796" s="15"/>
      <c r="BG796" s="114"/>
    </row>
    <row r="797" spans="6:59" ht="19.5" x14ac:dyDescent="0.4"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3"/>
      <c r="AF797" s="13"/>
      <c r="AJ797" s="115"/>
      <c r="AK797" s="117"/>
      <c r="AL797" s="123"/>
      <c r="AM797" s="123"/>
      <c r="AN797" s="123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26"/>
      <c r="BD797" s="15"/>
      <c r="BG797" s="114"/>
    </row>
    <row r="798" spans="6:59" ht="19.5" x14ac:dyDescent="0.4">
      <c r="AE798" s="25"/>
      <c r="AF798" s="13"/>
      <c r="AJ798" s="115"/>
      <c r="AK798" s="117"/>
      <c r="AL798" s="123"/>
      <c r="AM798" s="123"/>
      <c r="AN798" s="123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26">
        <v>45278</v>
      </c>
      <c r="BD798" s="15" t="s">
        <v>163</v>
      </c>
      <c r="BG798" s="114"/>
    </row>
    <row r="799" spans="6:59" ht="19.5" x14ac:dyDescent="0.4"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3"/>
      <c r="AF799" s="13"/>
      <c r="AJ799" s="115"/>
      <c r="AK799" s="117"/>
      <c r="AL799" s="123"/>
      <c r="AM799" s="123"/>
      <c r="AN799" s="123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26"/>
      <c r="BD799" s="13"/>
      <c r="BG799" s="114"/>
    </row>
    <row r="800" spans="6:59" ht="19.5" x14ac:dyDescent="0.4">
      <c r="AE800" s="25"/>
      <c r="AF800" s="13"/>
      <c r="AJ800" s="115"/>
      <c r="AK800" s="117"/>
      <c r="AL800" s="123"/>
      <c r="AM800" s="123"/>
      <c r="AN800" s="123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115" t="s">
        <v>153</v>
      </c>
      <c r="BC800" s="17">
        <f>SUBTOTAL(3,BC769:BC798)</f>
        <v>12</v>
      </c>
      <c r="BD800" s="13">
        <f>SUBTOTAL(3,BD769:BD798)</f>
        <v>12</v>
      </c>
      <c r="BG800" s="114"/>
    </row>
    <row r="801" spans="22:59" ht="19.5" x14ac:dyDescent="0.4"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3"/>
      <c r="AF801" s="13"/>
      <c r="AJ801" s="115"/>
      <c r="AK801" s="117"/>
      <c r="AL801" s="123"/>
      <c r="AM801" s="123"/>
      <c r="AN801" s="123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7"/>
      <c r="BD801" s="13"/>
      <c r="BG801" s="114"/>
    </row>
    <row r="802" spans="22:59" ht="19.5" x14ac:dyDescent="0.4">
      <c r="AE802" s="25"/>
      <c r="AF802" s="13"/>
      <c r="AJ802" s="115"/>
      <c r="AK802" s="117"/>
      <c r="AL802" s="123"/>
      <c r="AM802" s="123"/>
      <c r="AN802" s="123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26">
        <v>45279</v>
      </c>
      <c r="BD802" s="25" t="s">
        <v>162</v>
      </c>
      <c r="BG802" s="114"/>
    </row>
    <row r="803" spans="22:59" ht="19.5" x14ac:dyDescent="0.4">
      <c r="AE803" s="25"/>
      <c r="AF803" s="13"/>
      <c r="AJ803" s="115"/>
      <c r="AK803" s="117"/>
      <c r="AL803" s="123"/>
      <c r="AM803" s="123"/>
      <c r="AN803" s="123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26">
        <v>45279</v>
      </c>
      <c r="BD803" s="13" t="s">
        <v>162</v>
      </c>
      <c r="BG803" s="114"/>
    </row>
    <row r="804" spans="22:59" ht="19.5" x14ac:dyDescent="0.4"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20"/>
      <c r="AF804" s="13"/>
      <c r="AJ804" s="115"/>
      <c r="AK804" s="117"/>
      <c r="AL804" s="123"/>
      <c r="AM804" s="123"/>
      <c r="AN804" s="123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26"/>
      <c r="BD804" s="13"/>
      <c r="BG804" s="114"/>
    </row>
    <row r="805" spans="22:59" ht="19.5" x14ac:dyDescent="0.4"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20"/>
      <c r="AF805" s="13"/>
      <c r="AJ805" s="115"/>
      <c r="AK805" s="117"/>
      <c r="AL805" s="123"/>
      <c r="AM805" s="123"/>
      <c r="AN805" s="123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26"/>
      <c r="BD805" s="13"/>
      <c r="BG805" s="114"/>
    </row>
    <row r="806" spans="22:59" ht="19.5" x14ac:dyDescent="0.4">
      <c r="AE806" s="26"/>
      <c r="AF806" s="13"/>
      <c r="AJ806" s="115"/>
      <c r="AK806" s="117"/>
      <c r="AL806" s="123"/>
      <c r="AM806" s="123"/>
      <c r="AN806" s="123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26">
        <v>45279</v>
      </c>
      <c r="BD806" s="13" t="s">
        <v>162</v>
      </c>
      <c r="BG806" s="114"/>
    </row>
    <row r="807" spans="22:59" ht="19.5" x14ac:dyDescent="0.4">
      <c r="AE807" s="26"/>
      <c r="AF807" s="13"/>
      <c r="AJ807" s="115"/>
      <c r="AK807" s="117"/>
      <c r="AL807" s="123"/>
      <c r="AM807" s="123"/>
      <c r="AN807" s="123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26">
        <v>45279</v>
      </c>
      <c r="BD807" s="13" t="s">
        <v>162</v>
      </c>
      <c r="BG807" s="114"/>
    </row>
    <row r="808" spans="22:59" ht="19.5" x14ac:dyDescent="0.4">
      <c r="AE808" s="129"/>
      <c r="AF808" s="13"/>
      <c r="AJ808" s="115"/>
      <c r="AK808" s="117"/>
      <c r="AL808" s="123"/>
      <c r="AM808" s="123"/>
      <c r="AN808" s="123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26"/>
      <c r="BD808" s="13"/>
      <c r="BG808" s="114"/>
    </row>
    <row r="809" spans="22:59" ht="19.5" x14ac:dyDescent="0.4">
      <c r="AE809" s="26"/>
      <c r="AF809" s="13"/>
      <c r="AJ809" s="115"/>
      <c r="AK809" s="117"/>
      <c r="AL809" s="123"/>
      <c r="AM809" s="123"/>
      <c r="AN809" s="123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26">
        <v>45279</v>
      </c>
      <c r="BD809" s="13" t="s">
        <v>162</v>
      </c>
      <c r="BG809" s="114"/>
    </row>
    <row r="810" spans="22:59" ht="19.5" x14ac:dyDescent="0.4">
      <c r="AE810" s="26"/>
      <c r="AF810" s="13"/>
      <c r="AJ810" s="115"/>
      <c r="AK810" s="117"/>
      <c r="AL810" s="123"/>
      <c r="AM810" s="123"/>
      <c r="AN810" s="123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26">
        <v>45279</v>
      </c>
      <c r="BD810" s="13" t="s">
        <v>162</v>
      </c>
      <c r="BG810" s="114"/>
    </row>
    <row r="811" spans="22:59" ht="19.5" x14ac:dyDescent="0.4">
      <c r="AE811" s="26"/>
      <c r="AF811" s="13"/>
      <c r="AJ811" s="115"/>
      <c r="AK811" s="117"/>
      <c r="AL811" s="123"/>
      <c r="AM811" s="123"/>
      <c r="AN811" s="123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115" t="s">
        <v>170</v>
      </c>
      <c r="BC811" s="17">
        <f>SUBTOTAL(3,BC802:BC810)</f>
        <v>6</v>
      </c>
      <c r="BD811" s="13">
        <f>SUBTOTAL(3,BD802:BD810)</f>
        <v>6</v>
      </c>
      <c r="BG811" s="114"/>
    </row>
    <row r="812" spans="22:59" ht="19.5" x14ac:dyDescent="0.4">
      <c r="AE812" s="129"/>
      <c r="AF812" s="13"/>
      <c r="AJ812" s="115"/>
      <c r="AK812" s="117"/>
      <c r="AL812" s="123"/>
      <c r="AM812" s="123"/>
      <c r="AN812" s="123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7"/>
      <c r="BD812" s="13"/>
      <c r="BG812" s="114"/>
    </row>
    <row r="813" spans="22:59" ht="19.5" x14ac:dyDescent="0.4">
      <c r="AE813" s="26"/>
      <c r="AF813" s="13"/>
      <c r="AJ813" s="115"/>
      <c r="AK813" s="117"/>
      <c r="AL813" s="123"/>
      <c r="AM813" s="123"/>
      <c r="AN813" s="123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26">
        <v>45280</v>
      </c>
      <c r="BD813" s="13" t="s">
        <v>162</v>
      </c>
      <c r="BG813" s="114"/>
    </row>
    <row r="814" spans="22:59" ht="19.5" x14ac:dyDescent="0.4">
      <c r="AE814" s="26"/>
      <c r="AF814" s="13"/>
      <c r="AJ814" s="115"/>
      <c r="AK814" s="116"/>
      <c r="AL814" s="123"/>
      <c r="AM814" s="123"/>
      <c r="AN814" s="123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26">
        <v>45280</v>
      </c>
      <c r="BD814" s="13" t="s">
        <v>162</v>
      </c>
      <c r="BG814" s="114"/>
    </row>
    <row r="815" spans="22:59" ht="19.5" x14ac:dyDescent="0.4">
      <c r="AE815" s="26"/>
      <c r="AF815" s="13"/>
      <c r="AJ815" s="115"/>
      <c r="AK815" s="116"/>
      <c r="AL815" s="123"/>
      <c r="AM815" s="123"/>
      <c r="AN815" s="123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26">
        <v>45280</v>
      </c>
      <c r="BD815" s="13" t="s">
        <v>162</v>
      </c>
      <c r="BG815" s="114"/>
    </row>
    <row r="816" spans="22:59" ht="19.5" x14ac:dyDescent="0.4">
      <c r="AE816" s="26"/>
      <c r="AF816" s="13"/>
      <c r="AJ816" s="115"/>
      <c r="AK816" s="116"/>
      <c r="AL816" s="123"/>
      <c r="AM816" s="123"/>
      <c r="AN816" s="123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26">
        <v>45280</v>
      </c>
      <c r="BD816" s="13" t="s">
        <v>162</v>
      </c>
      <c r="BG816" s="114"/>
    </row>
    <row r="817" spans="31:59" ht="19.5" x14ac:dyDescent="0.4">
      <c r="AE817" s="129"/>
      <c r="AF817" s="13"/>
      <c r="AJ817" s="115"/>
      <c r="AK817" s="116"/>
      <c r="AL817" s="123"/>
      <c r="AM817" s="123"/>
      <c r="AN817" s="123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26"/>
      <c r="BD817" s="13"/>
      <c r="BG817" s="114"/>
    </row>
    <row r="818" spans="31:59" ht="19.5" x14ac:dyDescent="0.4">
      <c r="AE818" s="26"/>
      <c r="AF818" s="13"/>
      <c r="AJ818" s="115"/>
      <c r="AK818" s="116"/>
      <c r="AL818" s="123"/>
      <c r="AM818" s="123"/>
      <c r="AN818" s="123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26">
        <v>45280</v>
      </c>
      <c r="BD818" s="13" t="s">
        <v>162</v>
      </c>
      <c r="BG818" s="114"/>
    </row>
    <row r="819" spans="31:59" ht="19.5" x14ac:dyDescent="0.4">
      <c r="AE819" s="130"/>
      <c r="AF819" s="119"/>
      <c r="AJ819" s="115"/>
      <c r="AK819" s="116"/>
      <c r="AL819" s="123"/>
      <c r="AM819" s="123"/>
      <c r="AN819" s="123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26"/>
      <c r="BD819" s="13"/>
      <c r="BG819" s="114"/>
    </row>
    <row r="820" spans="31:59" ht="19.5" x14ac:dyDescent="0.4">
      <c r="AE820" s="130"/>
      <c r="AF820" s="119"/>
      <c r="AJ820" s="115"/>
      <c r="AK820" s="116"/>
      <c r="AL820" s="123"/>
      <c r="AM820" s="123"/>
      <c r="AN820" s="123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26"/>
      <c r="BD820" s="13"/>
      <c r="BG820" s="114"/>
    </row>
    <row r="821" spans="31:59" ht="19.5" x14ac:dyDescent="0.4">
      <c r="AJ821" s="115"/>
      <c r="AK821" s="116"/>
      <c r="AL821" s="123"/>
      <c r="AM821" s="123"/>
      <c r="AN821" s="123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26">
        <v>45280</v>
      </c>
      <c r="BD821" s="13" t="s">
        <v>162</v>
      </c>
      <c r="BG821" s="114"/>
    </row>
    <row r="822" spans="31:59" ht="19.5" x14ac:dyDescent="0.4">
      <c r="AJ822" s="115"/>
      <c r="AK822" s="116"/>
      <c r="AL822" s="123"/>
      <c r="AM822" s="123"/>
      <c r="AN822" s="123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26">
        <v>45280</v>
      </c>
      <c r="BD822" s="13" t="s">
        <v>162</v>
      </c>
      <c r="BG822" s="114"/>
    </row>
    <row r="823" spans="31:59" ht="19.5" x14ac:dyDescent="0.4">
      <c r="AJ823" s="115"/>
      <c r="AK823" s="116"/>
      <c r="AL823" s="123"/>
      <c r="AM823" s="123"/>
      <c r="AN823" s="123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26">
        <v>45280</v>
      </c>
      <c r="BD823" s="13" t="s">
        <v>162</v>
      </c>
      <c r="BG823" s="114"/>
    </row>
    <row r="824" spans="31:59" ht="19.5" x14ac:dyDescent="0.4">
      <c r="AI824" s="115"/>
      <c r="AJ824" s="115"/>
      <c r="AK824" s="116"/>
      <c r="AL824" s="123"/>
      <c r="AM824" s="123"/>
      <c r="AN824" s="123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26">
        <v>45280</v>
      </c>
      <c r="BD824" s="13" t="s">
        <v>162</v>
      </c>
      <c r="BG824" s="114"/>
    </row>
    <row r="825" spans="31:59" ht="19.5" x14ac:dyDescent="0.4">
      <c r="AI825" s="115"/>
      <c r="AJ825" s="115"/>
      <c r="AK825" s="116"/>
      <c r="AL825" s="123"/>
      <c r="AM825" s="123"/>
      <c r="AN825" s="123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26">
        <v>45280</v>
      </c>
      <c r="BD825" s="13" t="s">
        <v>162</v>
      </c>
      <c r="BG825" s="114"/>
    </row>
    <row r="826" spans="31:59" ht="19.5" x14ac:dyDescent="0.4">
      <c r="AG826" s="115"/>
      <c r="AH826" s="115"/>
      <c r="AI826" s="115"/>
      <c r="AJ826" s="115"/>
      <c r="AK826" s="116"/>
      <c r="AL826" s="123"/>
      <c r="AM826" s="123"/>
      <c r="AN826" s="123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26">
        <v>45280</v>
      </c>
      <c r="BD826" s="13" t="s">
        <v>162</v>
      </c>
      <c r="BG826" s="114"/>
    </row>
    <row r="827" spans="31:59" x14ac:dyDescent="0.4">
      <c r="AG827" s="115"/>
      <c r="AH827" s="115"/>
      <c r="AI827" s="115"/>
      <c r="AJ827" s="115"/>
      <c r="AK827" s="115"/>
      <c r="AL827" s="122"/>
      <c r="AM827" s="122"/>
      <c r="AN827" s="122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26">
        <v>45280</v>
      </c>
      <c r="BD827" s="13" t="s">
        <v>162</v>
      </c>
      <c r="BG827" s="114"/>
    </row>
    <row r="828" spans="31:59" x14ac:dyDescent="0.4">
      <c r="AG828" s="115"/>
      <c r="AH828" s="115"/>
      <c r="AI828" s="115"/>
      <c r="AJ828" s="115"/>
      <c r="AK828" s="115"/>
      <c r="AL828" s="122"/>
      <c r="AM828" s="122"/>
      <c r="AN828" s="122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26">
        <v>45280</v>
      </c>
      <c r="BD828" s="13" t="s">
        <v>162</v>
      </c>
      <c r="BG828" s="114"/>
    </row>
    <row r="829" spans="31:59" x14ac:dyDescent="0.4">
      <c r="AG829" s="115"/>
      <c r="AH829" s="115"/>
      <c r="AI829" s="115"/>
      <c r="AJ829" s="115"/>
      <c r="AK829" s="115"/>
      <c r="AL829" s="122"/>
      <c r="AM829" s="122"/>
      <c r="AN829" s="122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115" t="s">
        <v>171</v>
      </c>
      <c r="BC829" s="17">
        <f>SUBTOTAL(3,BC813:BC828)</f>
        <v>13</v>
      </c>
      <c r="BD829" s="13">
        <f>SUBTOTAL(3,BD813:BD828)</f>
        <v>13</v>
      </c>
      <c r="BG829" s="114"/>
    </row>
    <row r="830" spans="31:59" x14ac:dyDescent="0.4">
      <c r="AG830" s="115"/>
      <c r="AH830" s="115"/>
      <c r="AI830" s="115"/>
      <c r="AJ830" s="115"/>
      <c r="AK830" s="115"/>
      <c r="AL830" s="122"/>
      <c r="AM830" s="122"/>
      <c r="AN830" s="122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26">
        <v>45283</v>
      </c>
      <c r="BD830" s="13" t="s">
        <v>162</v>
      </c>
      <c r="BG830" s="114"/>
    </row>
    <row r="831" spans="31:59" x14ac:dyDescent="0.4">
      <c r="AG831" s="115"/>
      <c r="AH831" s="115"/>
      <c r="AI831" s="115"/>
      <c r="AJ831" s="115"/>
      <c r="AK831" s="115"/>
      <c r="AL831" s="122"/>
      <c r="AM831" s="122"/>
      <c r="AN831" s="122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26">
        <v>45283</v>
      </c>
      <c r="BD831" s="13" t="s">
        <v>162</v>
      </c>
      <c r="BG831" s="114"/>
    </row>
    <row r="832" spans="31:59" x14ac:dyDescent="0.4">
      <c r="AG832" s="115"/>
      <c r="AH832" s="115"/>
      <c r="AI832" s="115"/>
      <c r="AJ832" s="115"/>
      <c r="AK832" s="115"/>
      <c r="AL832" s="122"/>
      <c r="AM832" s="122"/>
      <c r="AN832" s="122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26">
        <v>45283</v>
      </c>
      <c r="BD832" s="13" t="s">
        <v>162</v>
      </c>
      <c r="BG832" s="114"/>
    </row>
    <row r="833" spans="33:59" x14ac:dyDescent="0.4">
      <c r="AG833" s="115"/>
      <c r="AH833" s="115"/>
      <c r="AI833" s="115"/>
      <c r="AJ833" s="115"/>
      <c r="AK833" s="115"/>
      <c r="AL833" s="122"/>
      <c r="AM833" s="122"/>
      <c r="AN833" s="122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26">
        <v>45283</v>
      </c>
      <c r="BD833" s="13" t="s">
        <v>162</v>
      </c>
      <c r="BG833" s="114"/>
    </row>
    <row r="834" spans="33:59" x14ac:dyDescent="0.4">
      <c r="AG834" s="115"/>
      <c r="AH834" s="115"/>
      <c r="AI834" s="115"/>
      <c r="AJ834" s="115"/>
      <c r="AK834" s="115"/>
      <c r="AL834" s="122"/>
      <c r="AM834" s="122"/>
      <c r="AN834" s="122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26">
        <v>45283</v>
      </c>
      <c r="BD834" s="13" t="s">
        <v>162</v>
      </c>
      <c r="BG834" s="114"/>
    </row>
    <row r="835" spans="33:59" x14ac:dyDescent="0.4">
      <c r="AG835" s="115"/>
      <c r="AH835" s="115"/>
      <c r="AI835" s="115"/>
      <c r="AJ835" s="115"/>
      <c r="AK835" s="115"/>
      <c r="AL835" s="122"/>
      <c r="AM835" s="122"/>
      <c r="AN835" s="122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26">
        <v>45283</v>
      </c>
      <c r="BD835" s="13" t="s">
        <v>162</v>
      </c>
      <c r="BG835" s="114"/>
    </row>
    <row r="836" spans="33:59" x14ac:dyDescent="0.4">
      <c r="AG836" s="115"/>
      <c r="AH836" s="115"/>
      <c r="AI836" s="115"/>
      <c r="AJ836" s="115"/>
      <c r="AK836" s="115"/>
      <c r="AL836" s="122"/>
      <c r="AM836" s="122"/>
      <c r="AN836" s="122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26">
        <v>45283</v>
      </c>
      <c r="BD836" s="13" t="s">
        <v>162</v>
      </c>
      <c r="BG836" s="114"/>
    </row>
    <row r="837" spans="33:59" x14ac:dyDescent="0.4">
      <c r="AG837" s="115"/>
      <c r="AH837" s="115"/>
      <c r="AI837" s="115"/>
      <c r="AJ837" s="115"/>
      <c r="AK837" s="115"/>
      <c r="AL837" s="122"/>
      <c r="AM837" s="122"/>
      <c r="AN837" s="122"/>
      <c r="AO837" s="115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26">
        <v>45283</v>
      </c>
      <c r="BD837" s="13" t="s">
        <v>162</v>
      </c>
      <c r="BG837" s="114"/>
    </row>
    <row r="838" spans="33:59" x14ac:dyDescent="0.4">
      <c r="AG838" s="115"/>
      <c r="AH838" s="115"/>
      <c r="AI838" s="115"/>
      <c r="AJ838" s="115"/>
      <c r="AK838" s="115"/>
      <c r="AL838" s="122"/>
      <c r="AM838" s="122"/>
      <c r="AN838" s="122"/>
      <c r="AO838" s="115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26">
        <v>45283</v>
      </c>
      <c r="BD838" s="13" t="s">
        <v>162</v>
      </c>
      <c r="BG838" s="114"/>
    </row>
    <row r="839" spans="33:59" x14ac:dyDescent="0.4">
      <c r="AG839" s="115"/>
      <c r="AH839" s="115"/>
      <c r="AI839" s="115"/>
      <c r="AJ839" s="115"/>
      <c r="AK839" s="115"/>
      <c r="AL839" s="122"/>
      <c r="AM839" s="122"/>
      <c r="AN839" s="122"/>
      <c r="AO839" s="115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26">
        <v>45283</v>
      </c>
      <c r="BD839" s="13" t="s">
        <v>162</v>
      </c>
      <c r="BG839" s="114"/>
    </row>
    <row r="840" spans="33:59" x14ac:dyDescent="0.4">
      <c r="AG840" s="115"/>
      <c r="AH840" s="115"/>
      <c r="AI840" s="115"/>
      <c r="AJ840" s="115"/>
      <c r="AK840" s="115"/>
      <c r="AL840" s="122"/>
      <c r="AM840" s="122"/>
      <c r="AN840" s="122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26">
        <v>45283</v>
      </c>
      <c r="BD840" s="13" t="s">
        <v>163</v>
      </c>
      <c r="BG840" s="114"/>
    </row>
    <row r="841" spans="33:59" x14ac:dyDescent="0.4">
      <c r="AG841" s="115"/>
      <c r="AH841" s="115"/>
      <c r="AI841" s="115"/>
      <c r="AJ841" s="115"/>
      <c r="AK841" s="115"/>
      <c r="AL841" s="122"/>
      <c r="AM841" s="122"/>
      <c r="AN841" s="122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26">
        <v>45283</v>
      </c>
      <c r="BD841" s="13" t="s">
        <v>163</v>
      </c>
      <c r="BG841" s="114"/>
    </row>
    <row r="842" spans="33:59" x14ac:dyDescent="0.4">
      <c r="AG842" s="115"/>
      <c r="AH842" s="115"/>
      <c r="AI842" s="115"/>
      <c r="AJ842" s="115"/>
      <c r="AK842" s="115"/>
      <c r="AL842" s="122"/>
      <c r="AM842" s="122"/>
      <c r="AN842" s="122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26">
        <v>45283</v>
      </c>
      <c r="BD842" s="13" t="s">
        <v>163</v>
      </c>
      <c r="BG842" s="114"/>
    </row>
    <row r="843" spans="33:59" x14ac:dyDescent="0.4">
      <c r="AG843" s="115"/>
      <c r="AH843" s="115"/>
      <c r="AI843" s="115"/>
      <c r="AJ843" s="115"/>
      <c r="AK843" s="115"/>
      <c r="AL843" s="122"/>
      <c r="AM843" s="122"/>
      <c r="AN843" s="122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15" t="s">
        <v>161</v>
      </c>
      <c r="BC843" s="17">
        <f>SUBTOTAL(3,BC830:BC842)</f>
        <v>13</v>
      </c>
      <c r="BD843" s="13">
        <f>SUBTOTAL(3,BD830:BD842)</f>
        <v>13</v>
      </c>
      <c r="BG843" s="114"/>
    </row>
    <row r="844" spans="33:59" x14ac:dyDescent="0.4">
      <c r="AG844" s="115"/>
      <c r="AH844" s="115"/>
      <c r="AI844" s="115"/>
      <c r="AJ844" s="115"/>
      <c r="AK844" s="115"/>
      <c r="AL844" s="122"/>
      <c r="AM844" s="122"/>
      <c r="AN844" s="122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26">
        <v>45285</v>
      </c>
      <c r="BD844" s="13" t="s">
        <v>163</v>
      </c>
      <c r="BG844" s="114"/>
    </row>
    <row r="845" spans="33:59" x14ac:dyDescent="0.4">
      <c r="AG845" s="115"/>
      <c r="AH845" s="115"/>
      <c r="AI845" s="115"/>
      <c r="AJ845" s="115"/>
      <c r="AK845" s="115"/>
      <c r="AL845" s="122"/>
      <c r="AM845" s="122"/>
      <c r="AN845" s="122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15" t="s">
        <v>172</v>
      </c>
      <c r="BC845" s="17">
        <f>SUBTOTAL(3,BC844:BC844)</f>
        <v>1</v>
      </c>
      <c r="BD845" s="13">
        <f>SUBTOTAL(3,BD844:BD844)</f>
        <v>1</v>
      </c>
      <c r="BG845" s="114"/>
    </row>
    <row r="846" spans="33:59" x14ac:dyDescent="0.4">
      <c r="AG846" s="115"/>
      <c r="AH846" s="115"/>
      <c r="AI846" s="115"/>
      <c r="AJ846" s="115"/>
      <c r="AK846" s="115"/>
      <c r="AL846" s="122"/>
      <c r="AM846" s="122"/>
      <c r="AN846" s="122"/>
      <c r="AO846" s="115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26">
        <v>45299</v>
      </c>
      <c r="BD846" s="13" t="s">
        <v>164</v>
      </c>
      <c r="BG846" s="114"/>
    </row>
    <row r="847" spans="33:59" x14ac:dyDescent="0.4">
      <c r="AG847" s="115"/>
      <c r="AH847" s="115"/>
      <c r="AI847" s="115"/>
      <c r="AJ847" s="115"/>
      <c r="AK847" s="115"/>
      <c r="AL847" s="122"/>
      <c r="AM847" s="122"/>
      <c r="AN847" s="122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26">
        <v>45299</v>
      </c>
      <c r="BD847" s="13" t="s">
        <v>162</v>
      </c>
      <c r="BG847" s="114"/>
    </row>
    <row r="848" spans="33:59" x14ac:dyDescent="0.4">
      <c r="AG848" s="115"/>
      <c r="AH848" s="115"/>
      <c r="AI848" s="115"/>
      <c r="AJ848" s="115"/>
      <c r="AK848" s="115"/>
      <c r="AL848" s="122"/>
      <c r="AM848" s="122"/>
      <c r="AN848" s="122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26">
        <v>45299</v>
      </c>
      <c r="BD848" s="13" t="s">
        <v>162</v>
      </c>
      <c r="BG848" s="114"/>
    </row>
    <row r="849" spans="33:59" x14ac:dyDescent="0.4">
      <c r="AG849" s="115"/>
      <c r="AH849" s="115"/>
      <c r="AI849" s="115"/>
      <c r="AJ849" s="115"/>
      <c r="AK849" s="115"/>
      <c r="AL849" s="122"/>
      <c r="AM849" s="122"/>
      <c r="AN849" s="122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26">
        <v>45299</v>
      </c>
      <c r="BD849" s="15" t="s">
        <v>162</v>
      </c>
      <c r="BG849" s="114"/>
    </row>
    <row r="850" spans="33:59" x14ac:dyDescent="0.4">
      <c r="AG850" s="115"/>
      <c r="AH850" s="115"/>
      <c r="AI850" s="115"/>
      <c r="AJ850" s="115"/>
      <c r="AK850" s="115"/>
      <c r="AL850" s="122"/>
      <c r="AM850" s="122"/>
      <c r="AN850" s="122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115" t="s">
        <v>173</v>
      </c>
      <c r="BC850" s="17">
        <f>SUBTOTAL(3,BC846:BC849)</f>
        <v>4</v>
      </c>
      <c r="BD850" s="13">
        <f>SUBTOTAL(3,BD846:BD849)</f>
        <v>4</v>
      </c>
      <c r="BG850" s="114"/>
    </row>
    <row r="851" spans="33:59" x14ac:dyDescent="0.4">
      <c r="AG851" s="115"/>
      <c r="AH851" s="115"/>
      <c r="AI851" s="115"/>
      <c r="AJ851" s="115"/>
      <c r="AK851" s="115"/>
      <c r="AL851" s="122"/>
      <c r="AM851" s="122"/>
      <c r="AN851" s="122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15" t="s">
        <v>145</v>
      </c>
      <c r="BC851" s="17">
        <f>SUBTOTAL(3,BC2:BC849)</f>
        <v>136</v>
      </c>
      <c r="BD851" s="13">
        <f>SUBTOTAL(3,BD2:BD849)</f>
        <v>136</v>
      </c>
      <c r="BG851" s="114"/>
    </row>
    <row r="852" spans="33:59" x14ac:dyDescent="0.4">
      <c r="AG852" s="115"/>
      <c r="AH852" s="115"/>
      <c r="AI852" s="115"/>
      <c r="AJ852" s="115"/>
      <c r="AK852" s="115"/>
      <c r="AL852" s="122"/>
      <c r="AM852" s="122"/>
      <c r="AN852" s="122"/>
      <c r="AO852" s="115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115" t="s">
        <v>145</v>
      </c>
      <c r="BA852" s="115"/>
      <c r="BB852" s="115"/>
      <c r="BC852" s="26"/>
      <c r="BD852" s="13"/>
      <c r="BG852" s="114"/>
    </row>
    <row r="853" spans="33:59" x14ac:dyDescent="0.4">
      <c r="AG853" s="115"/>
      <c r="AH853" s="115"/>
      <c r="AI853" s="115"/>
      <c r="AJ853" s="115"/>
      <c r="AK853" s="115"/>
      <c r="AL853" s="122"/>
      <c r="AM853" s="122"/>
      <c r="AN853" s="122"/>
      <c r="AO853" s="115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7"/>
      <c r="BD853" s="13"/>
      <c r="BG853" s="114"/>
    </row>
    <row r="854" spans="33:59" x14ac:dyDescent="0.4">
      <c r="AG854" s="115"/>
      <c r="AH854" s="115"/>
      <c r="AI854" s="115"/>
      <c r="AJ854" s="115"/>
      <c r="AK854" s="115"/>
      <c r="AL854" s="122"/>
      <c r="AM854" s="122"/>
      <c r="AN854" s="122"/>
      <c r="AO854" s="115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26"/>
      <c r="BD854" s="13"/>
      <c r="BG854" s="114"/>
    </row>
    <row r="855" spans="33:59" x14ac:dyDescent="0.4">
      <c r="AG855" s="115"/>
      <c r="AH855" s="115"/>
      <c r="AI855" s="115"/>
      <c r="AJ855" s="115"/>
      <c r="AK855" s="115"/>
      <c r="AL855" s="122"/>
      <c r="AM855" s="122"/>
      <c r="AN855" s="122"/>
      <c r="AO855" s="115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7"/>
      <c r="BD855" s="13"/>
      <c r="BG855" s="114"/>
    </row>
    <row r="856" spans="33:59" x14ac:dyDescent="0.4">
      <c r="AG856" s="115"/>
      <c r="AH856" s="115"/>
      <c r="AI856" s="115"/>
      <c r="AJ856" s="115"/>
      <c r="AK856" s="115"/>
      <c r="AL856" s="122"/>
      <c r="AM856" s="122"/>
      <c r="AN856" s="122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26"/>
      <c r="BD856" s="13"/>
      <c r="BG856" s="114"/>
    </row>
    <row r="857" spans="33:59" x14ac:dyDescent="0.4">
      <c r="AG857" s="115"/>
      <c r="AH857" s="115"/>
      <c r="AI857" s="115"/>
      <c r="AJ857" s="115"/>
      <c r="AK857" s="115"/>
      <c r="AL857" s="122"/>
      <c r="AM857" s="122"/>
      <c r="AN857" s="122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26"/>
      <c r="BD857" s="13"/>
      <c r="BG857" s="114"/>
    </row>
    <row r="858" spans="33:59" x14ac:dyDescent="0.4">
      <c r="AG858" s="115"/>
      <c r="AH858" s="115"/>
      <c r="AI858" s="115"/>
      <c r="AJ858" s="115"/>
      <c r="AK858" s="115"/>
      <c r="AL858" s="122"/>
      <c r="AM858" s="122"/>
      <c r="AN858" s="122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26"/>
      <c r="BD858" s="13"/>
      <c r="BG858" s="114"/>
    </row>
    <row r="859" spans="33:59" x14ac:dyDescent="0.4">
      <c r="AG859" s="115"/>
      <c r="AH859" s="115"/>
      <c r="AI859" s="115"/>
      <c r="AJ859" s="115"/>
      <c r="AK859" s="115"/>
      <c r="AL859" s="122"/>
      <c r="AM859" s="122"/>
      <c r="AN859" s="122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7"/>
      <c r="BD859" s="13"/>
      <c r="BG859" s="114"/>
    </row>
    <row r="860" spans="33:59" x14ac:dyDescent="0.4">
      <c r="AG860" s="115"/>
      <c r="AH860" s="115"/>
      <c r="AI860" s="115"/>
      <c r="AJ860" s="115"/>
      <c r="AK860" s="115"/>
      <c r="AL860" s="122"/>
      <c r="AM860" s="122"/>
      <c r="AN860" s="122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26"/>
      <c r="BD860" s="13"/>
      <c r="BG860" s="114"/>
    </row>
    <row r="861" spans="33:59" x14ac:dyDescent="0.4">
      <c r="AG861" s="115"/>
      <c r="AH861" s="115"/>
      <c r="AI861" s="115"/>
      <c r="AJ861" s="115"/>
      <c r="AK861" s="115"/>
      <c r="AL861" s="122"/>
      <c r="AM861" s="122"/>
      <c r="AN861" s="122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7"/>
      <c r="BD861" s="13"/>
      <c r="BG861" s="114"/>
    </row>
    <row r="862" spans="33:59" x14ac:dyDescent="0.4">
      <c r="AG862" s="115"/>
      <c r="AH862" s="115"/>
      <c r="AI862" s="115"/>
      <c r="AJ862" s="115"/>
      <c r="AK862" s="115"/>
      <c r="AL862" s="122"/>
      <c r="AM862" s="122"/>
      <c r="AN862" s="122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26"/>
      <c r="BD862" s="13"/>
      <c r="BG862" s="114"/>
    </row>
    <row r="863" spans="33:59" x14ac:dyDescent="0.4">
      <c r="AG863" s="115"/>
      <c r="AH863" s="115"/>
      <c r="AI863" s="115"/>
      <c r="AJ863" s="115"/>
      <c r="AK863" s="115"/>
      <c r="AL863" s="122"/>
      <c r="AM863" s="122"/>
      <c r="AN863" s="122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7"/>
      <c r="BD863" s="13"/>
      <c r="BG863" s="114"/>
    </row>
    <row r="864" spans="33:59" x14ac:dyDescent="0.4">
      <c r="AG864" s="115"/>
      <c r="AH864" s="115"/>
      <c r="AI864" s="115"/>
      <c r="AJ864" s="115"/>
      <c r="AK864" s="115"/>
      <c r="AL864" s="122"/>
      <c r="AM864" s="122"/>
      <c r="AN864" s="122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7"/>
      <c r="BD864" s="13"/>
      <c r="BG864" s="114"/>
    </row>
    <row r="865" spans="33:59" x14ac:dyDescent="0.4">
      <c r="AG865" s="115"/>
      <c r="AH865" s="115"/>
      <c r="AI865" s="115"/>
      <c r="AJ865" s="115"/>
      <c r="AK865" s="115"/>
      <c r="AL865" s="122"/>
      <c r="AM865" s="122"/>
      <c r="AN865" s="122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7"/>
      <c r="BD865" s="13"/>
      <c r="BG865" s="114"/>
    </row>
    <row r="866" spans="33:59" x14ac:dyDescent="0.4">
      <c r="AG866" s="115"/>
      <c r="AH866" s="115"/>
      <c r="AI866" s="115"/>
      <c r="AJ866" s="115"/>
      <c r="AK866" s="115"/>
      <c r="AL866" s="122"/>
      <c r="AM866" s="122"/>
      <c r="AN866" s="122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26"/>
      <c r="BD866" s="13"/>
      <c r="BG866" s="114"/>
    </row>
    <row r="867" spans="33:59" x14ac:dyDescent="0.4">
      <c r="AG867" s="115"/>
      <c r="AH867" s="115"/>
      <c r="AI867" s="115"/>
      <c r="AJ867" s="115"/>
      <c r="AK867" s="115"/>
      <c r="AL867" s="122"/>
      <c r="AM867" s="122"/>
      <c r="AN867" s="122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7"/>
      <c r="BD867" s="13"/>
      <c r="BG867" s="114"/>
    </row>
    <row r="868" spans="33:59" x14ac:dyDescent="0.4">
      <c r="AG868" s="115"/>
      <c r="AH868" s="115"/>
      <c r="AI868" s="115"/>
      <c r="AJ868" s="115"/>
      <c r="AK868" s="115"/>
      <c r="AL868" s="122"/>
      <c r="AM868" s="122"/>
      <c r="AN868" s="122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26"/>
      <c r="BD868" s="13"/>
      <c r="BG868" s="114"/>
    </row>
    <row r="869" spans="33:59" x14ac:dyDescent="0.4">
      <c r="AG869" s="115"/>
      <c r="AH869" s="115"/>
      <c r="AI869" s="115"/>
      <c r="AJ869" s="115"/>
      <c r="AK869" s="115"/>
      <c r="AL869" s="122"/>
      <c r="AM869" s="122"/>
      <c r="AN869" s="122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7"/>
      <c r="BD869" s="13"/>
      <c r="BG869" s="114"/>
    </row>
    <row r="870" spans="33:59" x14ac:dyDescent="0.4">
      <c r="AG870" s="115"/>
      <c r="AH870" s="115"/>
      <c r="AI870" s="115"/>
      <c r="AJ870" s="115"/>
      <c r="AK870" s="115"/>
      <c r="AL870" s="122"/>
      <c r="AM870" s="122"/>
      <c r="AN870" s="122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26"/>
      <c r="BD870" s="25"/>
      <c r="BG870" s="114"/>
    </row>
    <row r="871" spans="33:59" x14ac:dyDescent="0.4">
      <c r="AG871" s="115"/>
      <c r="AH871" s="115"/>
      <c r="AI871" s="115"/>
      <c r="AJ871" s="115"/>
      <c r="AK871" s="115"/>
      <c r="AL871" s="122"/>
      <c r="AM871" s="122"/>
      <c r="AN871" s="122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7"/>
      <c r="BD871" s="13"/>
      <c r="BG871" s="114"/>
    </row>
    <row r="872" spans="33:59" x14ac:dyDescent="0.4">
      <c r="AG872" s="115"/>
      <c r="AH872" s="115"/>
      <c r="AI872" s="115"/>
      <c r="AJ872" s="115"/>
      <c r="AK872" s="115"/>
      <c r="AL872" s="122"/>
      <c r="AM872" s="122"/>
      <c r="AN872" s="122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7"/>
      <c r="BD872" s="13"/>
      <c r="BG872" s="114"/>
    </row>
    <row r="873" spans="33:59" x14ac:dyDescent="0.4">
      <c r="AG873" s="115"/>
      <c r="AH873" s="115"/>
      <c r="AI873" s="115"/>
      <c r="AJ873" s="115"/>
      <c r="AK873" s="115"/>
      <c r="AL873" s="122"/>
      <c r="AM873" s="122"/>
      <c r="AN873" s="122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26"/>
      <c r="BD873" s="15"/>
      <c r="BG873" s="114"/>
    </row>
    <row r="874" spans="33:59" x14ac:dyDescent="0.4">
      <c r="AG874" s="115"/>
      <c r="AH874" s="115"/>
      <c r="AI874" s="115"/>
      <c r="AJ874" s="115"/>
      <c r="AK874" s="115"/>
      <c r="AL874" s="122"/>
      <c r="AM874" s="122"/>
      <c r="AN874" s="122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26"/>
      <c r="BD874" s="15"/>
      <c r="BG874" s="114"/>
    </row>
    <row r="875" spans="33:59" x14ac:dyDescent="0.4">
      <c r="AG875" s="115"/>
      <c r="AH875" s="115"/>
      <c r="AI875" s="115"/>
      <c r="AJ875" s="115"/>
      <c r="AK875" s="115"/>
      <c r="AL875" s="122"/>
      <c r="AM875" s="122"/>
      <c r="AN875" s="122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26"/>
      <c r="BD875" s="15"/>
      <c r="BG875" s="114"/>
    </row>
    <row r="876" spans="33:59" x14ac:dyDescent="0.4">
      <c r="AG876" s="115"/>
      <c r="AH876" s="115"/>
      <c r="AI876" s="115"/>
      <c r="AJ876" s="115"/>
      <c r="AK876" s="115"/>
      <c r="AL876" s="122"/>
      <c r="AM876" s="122"/>
      <c r="AN876" s="122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26"/>
      <c r="BD876" s="15"/>
      <c r="BG876" s="114"/>
    </row>
    <row r="877" spans="33:59" x14ac:dyDescent="0.4">
      <c r="AG877" s="115"/>
      <c r="AH877" s="115"/>
      <c r="AI877" s="115"/>
      <c r="AJ877" s="115"/>
      <c r="AK877" s="115"/>
      <c r="AL877" s="122"/>
      <c r="AM877" s="122"/>
      <c r="AN877" s="122"/>
      <c r="AO877" s="115"/>
      <c r="AP877" s="115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26"/>
      <c r="BD877" s="15"/>
      <c r="BG877" s="114"/>
    </row>
    <row r="878" spans="33:59" x14ac:dyDescent="0.4">
      <c r="AG878" s="115"/>
      <c r="AH878" s="115"/>
      <c r="AI878" s="115"/>
      <c r="AJ878" s="115"/>
      <c r="AK878" s="115"/>
      <c r="AL878" s="122"/>
      <c r="AM878" s="122"/>
      <c r="AN878" s="122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26"/>
      <c r="BD878" s="15"/>
      <c r="BG878" s="114"/>
    </row>
    <row r="879" spans="33:59" x14ac:dyDescent="0.4">
      <c r="AG879" s="115"/>
      <c r="AH879" s="115"/>
      <c r="AI879" s="115"/>
      <c r="AJ879" s="115"/>
      <c r="AK879" s="115"/>
      <c r="AL879" s="122"/>
      <c r="AM879" s="122"/>
      <c r="AN879" s="122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26"/>
      <c r="BD879" s="15"/>
      <c r="BG879" s="114"/>
    </row>
    <row r="880" spans="33:59" x14ac:dyDescent="0.4">
      <c r="AG880" s="115"/>
      <c r="AH880" s="115"/>
      <c r="AI880" s="115"/>
      <c r="AJ880" s="115"/>
      <c r="AK880" s="115"/>
      <c r="AL880" s="122"/>
      <c r="AM880" s="122"/>
      <c r="AN880" s="122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26"/>
      <c r="BD880" s="15"/>
      <c r="BG880" s="114"/>
    </row>
    <row r="881" spans="33:59" x14ac:dyDescent="0.4">
      <c r="AG881" s="115"/>
      <c r="AH881" s="115"/>
      <c r="AI881" s="115"/>
      <c r="AJ881" s="115"/>
      <c r="AK881" s="115"/>
      <c r="AL881" s="122"/>
      <c r="AM881" s="122"/>
      <c r="AN881" s="122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7"/>
      <c r="BD881" s="15"/>
      <c r="BG881" s="114"/>
    </row>
    <row r="882" spans="33:59" x14ac:dyDescent="0.4">
      <c r="AG882" s="115"/>
      <c r="AH882" s="115"/>
      <c r="AI882" s="115"/>
      <c r="AJ882" s="115"/>
      <c r="AK882" s="115"/>
      <c r="AL882" s="122"/>
      <c r="AM882" s="122"/>
      <c r="AN882" s="122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26"/>
      <c r="BD882" s="15"/>
      <c r="BG882" s="114"/>
    </row>
    <row r="883" spans="33:59" x14ac:dyDescent="0.4">
      <c r="AG883" s="115"/>
      <c r="AH883" s="115"/>
      <c r="AI883" s="115"/>
      <c r="AJ883" s="115"/>
      <c r="AK883" s="115"/>
      <c r="AL883" s="122"/>
      <c r="AM883" s="122"/>
      <c r="AN883" s="122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26"/>
      <c r="BD883" s="13"/>
      <c r="BG883" s="114"/>
    </row>
    <row r="884" spans="33:59" x14ac:dyDescent="0.4">
      <c r="AG884" s="115"/>
      <c r="AH884" s="115"/>
      <c r="AI884" s="115"/>
      <c r="AJ884" s="115"/>
      <c r="AK884" s="115"/>
      <c r="AL884" s="122"/>
      <c r="AM884" s="122"/>
      <c r="AN884" s="122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26"/>
      <c r="BD884" s="13"/>
      <c r="BG884" s="114"/>
    </row>
    <row r="885" spans="33:59" x14ac:dyDescent="0.4">
      <c r="AG885" s="115"/>
      <c r="AH885" s="115"/>
      <c r="AI885" s="115"/>
      <c r="AJ885" s="115"/>
      <c r="AK885" s="115"/>
      <c r="AL885" s="122"/>
      <c r="AM885" s="122"/>
      <c r="AN885" s="122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26"/>
      <c r="BD885" s="13"/>
      <c r="BG885" s="114"/>
    </row>
    <row r="886" spans="33:59" x14ac:dyDescent="0.4">
      <c r="AG886" s="115"/>
      <c r="AH886" s="115"/>
      <c r="AI886" s="115"/>
      <c r="AJ886" s="115"/>
      <c r="AK886" s="115"/>
      <c r="AL886" s="122"/>
      <c r="AM886" s="122"/>
      <c r="AN886" s="122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26"/>
      <c r="BD886" s="13"/>
      <c r="BG886" s="114"/>
    </row>
    <row r="887" spans="33:59" x14ac:dyDescent="0.4">
      <c r="AG887" s="115"/>
      <c r="AH887" s="115"/>
      <c r="AI887" s="115"/>
      <c r="AJ887" s="115"/>
      <c r="AK887" s="115"/>
      <c r="AL887" s="122"/>
      <c r="AM887" s="122"/>
      <c r="AN887" s="122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26"/>
      <c r="BD887" s="13"/>
      <c r="BG887" s="114"/>
    </row>
    <row r="888" spans="33:59" x14ac:dyDescent="0.4">
      <c r="AG888" s="115"/>
      <c r="AH888" s="115"/>
      <c r="AI888" s="115"/>
      <c r="AJ888" s="115"/>
      <c r="AK888" s="115"/>
      <c r="AL888" s="122"/>
      <c r="AM888" s="122"/>
      <c r="AN888" s="122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26"/>
      <c r="BD888" s="13"/>
      <c r="BG888" s="114"/>
    </row>
    <row r="889" spans="33:59" x14ac:dyDescent="0.4">
      <c r="AG889" s="115"/>
      <c r="AH889" s="115"/>
      <c r="AI889" s="115"/>
      <c r="AJ889" s="115"/>
      <c r="AK889" s="115"/>
      <c r="AL889" s="122"/>
      <c r="AM889" s="122"/>
      <c r="AN889" s="122"/>
      <c r="AO889" s="115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26"/>
      <c r="BD889" s="13"/>
      <c r="BG889" s="114"/>
    </row>
    <row r="890" spans="33:59" x14ac:dyDescent="0.4">
      <c r="AG890" s="115"/>
      <c r="AH890" s="115"/>
      <c r="AI890" s="115"/>
      <c r="AJ890" s="115"/>
      <c r="AK890" s="115"/>
      <c r="AL890" s="122"/>
      <c r="AM890" s="122"/>
      <c r="AN890" s="122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26"/>
      <c r="BD890" s="13"/>
      <c r="BG890" s="114"/>
    </row>
    <row r="891" spans="33:59" x14ac:dyDescent="0.4">
      <c r="AG891" s="115"/>
      <c r="AH891" s="115"/>
      <c r="AI891" s="115"/>
      <c r="AJ891" s="115"/>
      <c r="AK891" s="115"/>
      <c r="AL891" s="122"/>
      <c r="AM891" s="122"/>
      <c r="AN891" s="122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26"/>
      <c r="BD891" s="13"/>
      <c r="BG891" s="114"/>
    </row>
    <row r="892" spans="33:59" x14ac:dyDescent="0.4">
      <c r="AG892" s="115"/>
      <c r="AH892" s="115"/>
      <c r="AI892" s="115"/>
      <c r="AJ892" s="115"/>
      <c r="AK892" s="115"/>
      <c r="AL892" s="122"/>
      <c r="AM892" s="122"/>
      <c r="AN892" s="122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26"/>
      <c r="BD892" s="13"/>
      <c r="BG892" s="114"/>
    </row>
    <row r="893" spans="33:59" x14ac:dyDescent="0.4">
      <c r="AG893" s="115"/>
      <c r="AH893" s="115"/>
      <c r="AI893" s="115"/>
      <c r="AJ893" s="115"/>
      <c r="AK893" s="115"/>
      <c r="AL893" s="122"/>
      <c r="AM893" s="122"/>
      <c r="AN893" s="122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26"/>
      <c r="BD893" s="13"/>
      <c r="BG893" s="114"/>
    </row>
    <row r="894" spans="33:59" x14ac:dyDescent="0.4">
      <c r="AG894" s="115"/>
      <c r="AH894" s="115"/>
      <c r="AI894" s="115"/>
      <c r="AJ894" s="115"/>
      <c r="AK894" s="115"/>
      <c r="AL894" s="122"/>
      <c r="AM894" s="122"/>
      <c r="AN894" s="122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7"/>
      <c r="BD894" s="13"/>
      <c r="BG894" s="114"/>
    </row>
    <row r="895" spans="33:59" x14ac:dyDescent="0.4">
      <c r="AG895" s="115"/>
      <c r="AH895" s="115"/>
      <c r="AI895" s="115"/>
      <c r="AJ895" s="115"/>
      <c r="AK895" s="115"/>
      <c r="AL895" s="122"/>
      <c r="AM895" s="122"/>
      <c r="AN895" s="122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26"/>
      <c r="BD895" s="13"/>
      <c r="BG895" s="114"/>
    </row>
    <row r="896" spans="33:59" x14ac:dyDescent="0.4">
      <c r="AG896" s="115"/>
      <c r="AH896" s="115"/>
      <c r="AI896" s="115"/>
      <c r="AJ896" s="115"/>
      <c r="AK896" s="115"/>
      <c r="AL896" s="122"/>
      <c r="AM896" s="122"/>
      <c r="AN896" s="122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26"/>
      <c r="BD896" s="13"/>
      <c r="BG896" s="114"/>
    </row>
    <row r="897" spans="32:59" x14ac:dyDescent="0.4">
      <c r="AG897" s="115"/>
      <c r="AH897" s="115"/>
      <c r="AI897" s="115"/>
      <c r="AJ897" s="115"/>
      <c r="AK897" s="115"/>
      <c r="AL897" s="122"/>
      <c r="AM897" s="122"/>
      <c r="AN897" s="122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26"/>
      <c r="BD897" s="13"/>
      <c r="BG897" s="114"/>
    </row>
    <row r="898" spans="32:59" x14ac:dyDescent="0.4">
      <c r="AG898" s="115"/>
      <c r="AH898" s="115"/>
      <c r="AI898" s="115"/>
      <c r="AJ898" s="115"/>
      <c r="AK898" s="115"/>
      <c r="AL898" s="122"/>
      <c r="AM898" s="122"/>
      <c r="AN898" s="122"/>
      <c r="AO898" s="115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7"/>
      <c r="BD898" s="13"/>
      <c r="BG898" s="114"/>
    </row>
    <row r="899" spans="32:59" x14ac:dyDescent="0.4">
      <c r="AG899" s="115"/>
      <c r="AH899" s="115"/>
      <c r="AI899" s="115"/>
      <c r="AJ899" s="115"/>
      <c r="AK899" s="115"/>
      <c r="AL899" s="122"/>
      <c r="AM899" s="122"/>
      <c r="AN899" s="122"/>
      <c r="AO899" s="115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26"/>
      <c r="BD899" s="13"/>
      <c r="BG899" s="114"/>
    </row>
    <row r="900" spans="32:59" x14ac:dyDescent="0.4">
      <c r="AG900" s="115"/>
      <c r="AH900" s="115"/>
      <c r="AI900" s="115"/>
      <c r="AJ900" s="115"/>
      <c r="AK900" s="115"/>
      <c r="AL900" s="122"/>
      <c r="AM900" s="122"/>
      <c r="AN900" s="122"/>
      <c r="AO900" s="115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7"/>
      <c r="BD900" s="13"/>
      <c r="BG900" s="114"/>
    </row>
    <row r="901" spans="32:59" x14ac:dyDescent="0.4">
      <c r="AG901" s="115"/>
      <c r="AH901" s="115"/>
      <c r="AI901" s="115"/>
      <c r="AJ901" s="115"/>
      <c r="AK901" s="115"/>
      <c r="AL901" s="122"/>
      <c r="AM901" s="122"/>
      <c r="AN901" s="122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26"/>
      <c r="BD901" s="13"/>
      <c r="BG901" s="114"/>
    </row>
    <row r="902" spans="32:59" x14ac:dyDescent="0.4">
      <c r="AG902" s="115"/>
      <c r="AH902" s="115"/>
      <c r="AI902" s="115"/>
      <c r="AJ902" s="115"/>
      <c r="AK902" s="115"/>
      <c r="AL902" s="122"/>
      <c r="AM902" s="122"/>
      <c r="AN902" s="122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26"/>
      <c r="BD902" s="15"/>
      <c r="BG902" s="114"/>
    </row>
    <row r="903" spans="32:59" x14ac:dyDescent="0.4">
      <c r="AG903" s="115"/>
      <c r="AH903" s="115"/>
      <c r="AI903" s="115"/>
      <c r="AJ903" s="115"/>
      <c r="AK903" s="115"/>
      <c r="AL903" s="122"/>
      <c r="AM903" s="122"/>
      <c r="AN903" s="122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17"/>
      <c r="BD903" s="15"/>
      <c r="BG903" s="114"/>
    </row>
    <row r="904" spans="32:59" x14ac:dyDescent="0.4">
      <c r="AG904" s="115"/>
      <c r="AH904" s="115"/>
      <c r="AI904" s="115"/>
      <c r="AJ904" s="115"/>
      <c r="AK904" s="115"/>
      <c r="AL904" s="122"/>
      <c r="AM904" s="122"/>
      <c r="AN904" s="122"/>
      <c r="AO904" s="115"/>
      <c r="AP904" s="115"/>
      <c r="AQ904" s="115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7"/>
      <c r="BD904" s="15"/>
      <c r="BG904" s="114"/>
    </row>
    <row r="905" spans="32:59" x14ac:dyDescent="0.4">
      <c r="AF905" s="115"/>
      <c r="AG905" s="115"/>
      <c r="AH905" s="115"/>
      <c r="AI905" s="115"/>
      <c r="AJ905" s="115"/>
      <c r="AK905" s="115"/>
      <c r="AL905" s="122"/>
      <c r="AM905" s="122"/>
      <c r="AN905" s="122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26"/>
      <c r="BD905" s="15"/>
      <c r="BG905" s="114"/>
    </row>
    <row r="906" spans="32:59" x14ac:dyDescent="0.4">
      <c r="AF906" s="115"/>
      <c r="AG906" s="115"/>
      <c r="AH906" s="115"/>
      <c r="AI906" s="115"/>
      <c r="AJ906" s="115"/>
      <c r="AK906" s="115"/>
      <c r="AL906" s="122"/>
      <c r="AM906" s="122"/>
      <c r="AN906" s="122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7"/>
      <c r="BD906" s="15"/>
      <c r="BG906" s="114"/>
    </row>
    <row r="907" spans="32:59" x14ac:dyDescent="0.4">
      <c r="AF907" s="115"/>
      <c r="AG907" s="115"/>
      <c r="AH907" s="115"/>
      <c r="AI907" s="115"/>
      <c r="AJ907" s="115"/>
      <c r="AK907" s="115"/>
      <c r="AL907" s="122"/>
      <c r="AM907" s="122"/>
      <c r="AN907" s="122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26"/>
      <c r="BD907" s="15"/>
      <c r="BG907" s="114"/>
    </row>
    <row r="908" spans="32:59" x14ac:dyDescent="0.4">
      <c r="AF908" s="115"/>
      <c r="AG908" s="115"/>
      <c r="AH908" s="115"/>
      <c r="AI908" s="115"/>
      <c r="AJ908" s="115"/>
      <c r="AK908" s="115"/>
      <c r="AL908" s="122"/>
      <c r="AM908" s="122"/>
      <c r="AN908" s="122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26"/>
      <c r="BD908" s="15"/>
      <c r="BG908" s="114"/>
    </row>
    <row r="909" spans="32:59" x14ac:dyDescent="0.4">
      <c r="AF909" s="115"/>
      <c r="AG909" s="115"/>
      <c r="AH909" s="115"/>
      <c r="AI909" s="115"/>
      <c r="AJ909" s="115"/>
      <c r="AK909" s="115"/>
      <c r="AL909" s="122"/>
      <c r="AM909" s="122"/>
      <c r="AN909" s="122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7"/>
      <c r="BD909" s="15"/>
      <c r="BG909" s="114"/>
    </row>
    <row r="910" spans="32:59" x14ac:dyDescent="0.4">
      <c r="AF910" s="115"/>
      <c r="AG910" s="115"/>
      <c r="AH910" s="115"/>
      <c r="AI910" s="115"/>
      <c r="AJ910" s="115"/>
      <c r="AK910" s="115"/>
      <c r="AL910" s="122"/>
      <c r="AM910" s="122"/>
      <c r="AN910" s="122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26"/>
      <c r="BD910" s="15"/>
      <c r="BG910" s="114"/>
    </row>
    <row r="911" spans="32:59" x14ac:dyDescent="0.4">
      <c r="AF911" s="115"/>
      <c r="AG911" s="115"/>
      <c r="AH911" s="115"/>
      <c r="AI911" s="115"/>
      <c r="AJ911" s="115"/>
      <c r="AK911" s="115"/>
      <c r="AL911" s="122"/>
      <c r="AM911" s="122"/>
      <c r="AN911" s="122"/>
      <c r="AO911" s="115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7"/>
      <c r="BD911" s="15"/>
      <c r="BG911" s="114"/>
    </row>
    <row r="912" spans="32:59" x14ac:dyDescent="0.4">
      <c r="AF912" s="115"/>
      <c r="AG912" s="115"/>
      <c r="AH912" s="115"/>
      <c r="AI912" s="115"/>
      <c r="AJ912" s="115"/>
      <c r="AK912" s="115"/>
      <c r="AL912" s="122"/>
      <c r="AM912" s="122"/>
      <c r="AN912" s="122"/>
      <c r="AO912" s="115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7"/>
      <c r="BD912" s="15"/>
      <c r="BG912" s="114"/>
    </row>
    <row r="913" spans="32:59" x14ac:dyDescent="0.4">
      <c r="AF913" s="115"/>
      <c r="AG913" s="115"/>
      <c r="AH913" s="115"/>
      <c r="AI913" s="115"/>
      <c r="AJ913" s="115"/>
      <c r="AK913" s="115"/>
      <c r="AL913" s="122"/>
      <c r="AM913" s="122"/>
      <c r="AN913" s="122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26"/>
      <c r="BD913" s="15"/>
      <c r="BG913" s="114"/>
    </row>
    <row r="914" spans="32:59" x14ac:dyDescent="0.4">
      <c r="AF914" s="115"/>
      <c r="AG914" s="115"/>
      <c r="AH914" s="115"/>
      <c r="AI914" s="115"/>
      <c r="AJ914" s="115"/>
      <c r="AK914" s="115"/>
      <c r="AL914" s="122"/>
      <c r="AM914" s="122"/>
      <c r="AN914" s="122"/>
      <c r="AO914" s="115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26"/>
      <c r="BD914" s="15"/>
      <c r="BG914" s="114"/>
    </row>
    <row r="915" spans="32:59" x14ac:dyDescent="0.4">
      <c r="AF915" s="115"/>
      <c r="AG915" s="115"/>
      <c r="AH915" s="115"/>
      <c r="AI915" s="115"/>
      <c r="AJ915" s="115"/>
      <c r="AK915" s="115"/>
      <c r="AL915" s="122"/>
      <c r="AM915" s="122"/>
      <c r="AN915" s="122"/>
      <c r="AO915" s="115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26"/>
      <c r="BD915" s="15"/>
      <c r="BG915" s="114"/>
    </row>
    <row r="916" spans="32:59" x14ac:dyDescent="0.4">
      <c r="AF916" s="115"/>
      <c r="AG916" s="115"/>
      <c r="AH916" s="115"/>
      <c r="AI916" s="115"/>
      <c r="AJ916" s="115"/>
      <c r="AK916" s="115"/>
      <c r="AL916" s="122"/>
      <c r="AM916" s="122"/>
      <c r="AN916" s="122"/>
      <c r="AO916" s="115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26"/>
      <c r="BD916" s="15"/>
      <c r="BG916" s="114"/>
    </row>
    <row r="917" spans="32:59" x14ac:dyDescent="0.4">
      <c r="AF917" s="115"/>
      <c r="AG917" s="115"/>
      <c r="AH917" s="115"/>
      <c r="AI917" s="115"/>
      <c r="AJ917" s="115"/>
      <c r="AK917" s="115"/>
      <c r="AL917" s="122"/>
      <c r="AM917" s="122"/>
      <c r="AN917" s="122"/>
      <c r="AO917" s="115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26"/>
      <c r="BD917" s="15"/>
      <c r="BG917" s="114"/>
    </row>
    <row r="918" spans="32:59" x14ac:dyDescent="0.4">
      <c r="AF918" s="115"/>
      <c r="AG918" s="115"/>
      <c r="AH918" s="115"/>
      <c r="AI918" s="115"/>
      <c r="AJ918" s="115"/>
      <c r="AK918" s="115"/>
      <c r="AL918" s="122"/>
      <c r="AM918" s="122"/>
      <c r="AN918" s="122"/>
      <c r="AO918" s="115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26"/>
      <c r="BD918" s="15"/>
      <c r="BG918" s="114"/>
    </row>
    <row r="919" spans="32:59" x14ac:dyDescent="0.4">
      <c r="AF919" s="115"/>
      <c r="AG919" s="115"/>
      <c r="AH919" s="115"/>
      <c r="AI919" s="115"/>
      <c r="AJ919" s="115"/>
      <c r="AK919" s="115"/>
      <c r="AL919" s="122"/>
      <c r="AM919" s="122"/>
      <c r="AN919" s="122"/>
      <c r="AO919" s="115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26"/>
      <c r="BD919" s="15"/>
      <c r="BG919" s="114"/>
    </row>
    <row r="920" spans="32:59" x14ac:dyDescent="0.4">
      <c r="AF920" s="115"/>
      <c r="AG920" s="115"/>
      <c r="AH920" s="115"/>
      <c r="AI920" s="115"/>
      <c r="AJ920" s="115"/>
      <c r="AK920" s="115"/>
      <c r="AL920" s="122"/>
      <c r="AM920" s="122"/>
      <c r="AN920" s="122"/>
      <c r="AO920" s="115"/>
      <c r="AP920" s="115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7"/>
      <c r="BD920" s="15"/>
      <c r="BG920" s="114"/>
    </row>
    <row r="921" spans="32:59" x14ac:dyDescent="0.4">
      <c r="AF921" s="115"/>
      <c r="AG921" s="115"/>
      <c r="AH921" s="115"/>
      <c r="AI921" s="115"/>
      <c r="AJ921" s="115"/>
      <c r="AK921" s="115"/>
      <c r="AL921" s="122"/>
      <c r="AM921" s="122"/>
      <c r="AN921" s="122"/>
      <c r="AO921" s="115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26"/>
      <c r="BD921" s="15"/>
      <c r="BG921" s="114"/>
    </row>
    <row r="922" spans="32:59" x14ac:dyDescent="0.4">
      <c r="AF922" s="115"/>
      <c r="AG922" s="115"/>
      <c r="AH922" s="115"/>
      <c r="AI922" s="115"/>
      <c r="AJ922" s="115"/>
      <c r="AK922" s="115"/>
      <c r="AL922" s="122"/>
      <c r="AM922" s="122"/>
      <c r="AN922" s="122"/>
      <c r="AO922" s="115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26"/>
      <c r="BD922" s="15"/>
      <c r="BG922" s="114"/>
    </row>
    <row r="923" spans="32:59" x14ac:dyDescent="0.4">
      <c r="AF923" s="115"/>
      <c r="AG923" s="115"/>
      <c r="AH923" s="115"/>
      <c r="AI923" s="115"/>
      <c r="AJ923" s="115"/>
      <c r="AK923" s="115"/>
      <c r="AL923" s="122"/>
      <c r="AM923" s="122"/>
      <c r="AN923" s="122"/>
      <c r="AO923" s="115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26"/>
      <c r="BD923" s="15"/>
      <c r="BG923" s="114"/>
    </row>
    <row r="924" spans="32:59" x14ac:dyDescent="0.4">
      <c r="AF924" s="115"/>
      <c r="AG924" s="115"/>
      <c r="AH924" s="115"/>
      <c r="AI924" s="115"/>
      <c r="AJ924" s="115"/>
      <c r="AK924" s="115"/>
      <c r="AL924" s="122"/>
      <c r="AM924" s="122"/>
      <c r="AN924" s="122"/>
      <c r="AO924" s="115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26"/>
      <c r="BD924" s="13"/>
      <c r="BG924" s="114"/>
    </row>
    <row r="925" spans="32:59" x14ac:dyDescent="0.4">
      <c r="AF925" s="115"/>
      <c r="AG925" s="115"/>
      <c r="AH925" s="115"/>
      <c r="AI925" s="115"/>
      <c r="AJ925" s="115"/>
      <c r="AK925" s="115"/>
      <c r="AL925" s="122"/>
      <c r="AM925" s="122"/>
      <c r="AN925" s="122"/>
      <c r="AO925" s="115"/>
      <c r="AP925" s="115"/>
      <c r="AQ925" s="115"/>
      <c r="AR925" s="115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7"/>
      <c r="BD925" s="13"/>
      <c r="BG925" s="114"/>
    </row>
    <row r="926" spans="32:59" x14ac:dyDescent="0.4">
      <c r="AF926" s="115"/>
      <c r="AG926" s="115"/>
      <c r="AH926" s="115"/>
      <c r="AI926" s="115"/>
      <c r="AJ926" s="115"/>
      <c r="AK926" s="115"/>
      <c r="AL926" s="122"/>
      <c r="AM926" s="122"/>
      <c r="AN926" s="122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26"/>
      <c r="BD926" s="13"/>
      <c r="BG926" s="114"/>
    </row>
    <row r="927" spans="32:59" x14ac:dyDescent="0.4">
      <c r="AF927" s="115"/>
      <c r="AG927" s="115"/>
      <c r="AH927" s="115"/>
      <c r="AI927" s="115"/>
      <c r="AJ927" s="115"/>
      <c r="AK927" s="115"/>
      <c r="AL927" s="122"/>
      <c r="AM927" s="122"/>
      <c r="AN927" s="122"/>
      <c r="AO927" s="115"/>
      <c r="AP927" s="115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26"/>
      <c r="BD927" s="13"/>
      <c r="BG927" s="114"/>
    </row>
    <row r="928" spans="32:59" x14ac:dyDescent="0.4">
      <c r="AF928" s="115"/>
      <c r="AG928" s="115"/>
      <c r="AH928" s="115"/>
      <c r="AI928" s="115"/>
      <c r="AJ928" s="115"/>
      <c r="AK928" s="115"/>
      <c r="AL928" s="122"/>
      <c r="AM928" s="122"/>
      <c r="AN928" s="122"/>
      <c r="AO928" s="115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26"/>
      <c r="BD928" s="13"/>
      <c r="BG928" s="114"/>
    </row>
    <row r="929" spans="5:59" x14ac:dyDescent="0.4">
      <c r="AF929" s="115"/>
      <c r="AG929" s="115"/>
      <c r="AH929" s="115"/>
      <c r="AI929" s="115"/>
      <c r="AJ929" s="115"/>
      <c r="AK929" s="115"/>
      <c r="AL929" s="122"/>
      <c r="AM929" s="122"/>
      <c r="AN929" s="122"/>
      <c r="AO929" s="115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26"/>
      <c r="BD929" s="13"/>
      <c r="BG929" s="114"/>
    </row>
    <row r="930" spans="5:59" x14ac:dyDescent="0.4">
      <c r="AF930" s="115"/>
      <c r="AG930" s="115"/>
      <c r="AH930" s="115"/>
      <c r="AI930" s="115"/>
      <c r="AJ930" s="115"/>
      <c r="AK930" s="115"/>
      <c r="AL930" s="122"/>
      <c r="AM930" s="122"/>
      <c r="AN930" s="122"/>
      <c r="AO930" s="115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26"/>
      <c r="BD930" s="13"/>
      <c r="BG930" s="114"/>
    </row>
    <row r="931" spans="5:59" x14ac:dyDescent="0.4">
      <c r="AF931" s="115"/>
      <c r="AG931" s="115"/>
      <c r="AH931" s="115"/>
      <c r="AI931" s="115"/>
      <c r="AJ931" s="115"/>
      <c r="AK931" s="115"/>
      <c r="AL931" s="122"/>
      <c r="AM931" s="122"/>
      <c r="AN931" s="122"/>
      <c r="AO931" s="115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26"/>
      <c r="BD931" s="13"/>
      <c r="BG931" s="114"/>
    </row>
    <row r="932" spans="5:59" x14ac:dyDescent="0.4">
      <c r="AF932" s="115"/>
      <c r="AG932" s="115"/>
      <c r="AH932" s="115"/>
      <c r="AI932" s="115"/>
      <c r="AJ932" s="115"/>
      <c r="AK932" s="115"/>
      <c r="AL932" s="122"/>
      <c r="AM932" s="122"/>
      <c r="AN932" s="122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7"/>
      <c r="BD932" s="13"/>
      <c r="BG932" s="114"/>
    </row>
    <row r="933" spans="5:59" x14ac:dyDescent="0.4">
      <c r="AF933" s="115"/>
      <c r="AG933" s="115"/>
      <c r="AH933" s="115"/>
      <c r="AI933" s="115"/>
      <c r="AJ933" s="115"/>
      <c r="AK933" s="115"/>
      <c r="AL933" s="122"/>
      <c r="AM933" s="122"/>
      <c r="AN933" s="122"/>
      <c r="AO933" s="115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26"/>
      <c r="BD933" s="13"/>
      <c r="BG933" s="114"/>
    </row>
    <row r="934" spans="5:59" x14ac:dyDescent="0.4">
      <c r="AF934" s="115"/>
      <c r="AG934" s="115"/>
      <c r="AH934" s="115"/>
      <c r="AI934" s="115"/>
      <c r="AJ934" s="115"/>
      <c r="AK934" s="115"/>
      <c r="AL934" s="122"/>
      <c r="AM934" s="122"/>
      <c r="AN934" s="122"/>
      <c r="AO934" s="115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26"/>
      <c r="BD934" s="13"/>
      <c r="BG934" s="114"/>
    </row>
    <row r="935" spans="5:59" x14ac:dyDescent="0.4"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22"/>
      <c r="AM935" s="122"/>
      <c r="AN935" s="122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26"/>
      <c r="BD935" s="13"/>
      <c r="BG935" s="114"/>
    </row>
    <row r="936" spans="5:59" x14ac:dyDescent="0.4"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122"/>
      <c r="AM936" s="122"/>
      <c r="AN936" s="122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26"/>
      <c r="BD936" s="13"/>
      <c r="BG936" s="114"/>
    </row>
    <row r="937" spans="5:59" x14ac:dyDescent="0.4"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22"/>
      <c r="AM937" s="122"/>
      <c r="AN937" s="122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26"/>
      <c r="BD937" s="13"/>
      <c r="BG937" s="114"/>
    </row>
    <row r="938" spans="5:59" x14ac:dyDescent="0.4"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22"/>
      <c r="AM938" s="122"/>
      <c r="AN938" s="122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26"/>
      <c r="BD938" s="13"/>
      <c r="BG938" s="114"/>
    </row>
    <row r="939" spans="5:59" x14ac:dyDescent="0.4"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22"/>
      <c r="AM939" s="122"/>
      <c r="AN939" s="122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26"/>
      <c r="BD939" s="13"/>
      <c r="BG939" s="114"/>
    </row>
    <row r="940" spans="5:59" x14ac:dyDescent="0.4"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22"/>
      <c r="AM940" s="122"/>
      <c r="AN940" s="122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26"/>
      <c r="BD940" s="13"/>
      <c r="BG940" s="114"/>
    </row>
    <row r="941" spans="5:59" x14ac:dyDescent="0.4"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22"/>
      <c r="AM941" s="122"/>
      <c r="AN941" s="122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26"/>
      <c r="BD941" s="13"/>
      <c r="BG941" s="114"/>
    </row>
    <row r="942" spans="5:59" x14ac:dyDescent="0.4"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22"/>
      <c r="AM942" s="122"/>
      <c r="AN942" s="122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26"/>
      <c r="BD942" s="13"/>
      <c r="BG942" s="114"/>
    </row>
    <row r="943" spans="5:59" x14ac:dyDescent="0.4"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22"/>
      <c r="AM943" s="122"/>
      <c r="AN943" s="122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26"/>
      <c r="BD943" s="13"/>
      <c r="BG943" s="114"/>
    </row>
    <row r="944" spans="5:59" x14ac:dyDescent="0.4"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22"/>
      <c r="AM944" s="122"/>
      <c r="AN944" s="122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26"/>
      <c r="BD944" s="13"/>
      <c r="BG944" s="114"/>
    </row>
    <row r="945" spans="3:59" x14ac:dyDescent="0.4"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22"/>
      <c r="AM945" s="122"/>
      <c r="AN945" s="122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26"/>
      <c r="BD945" s="13"/>
      <c r="BG945" s="114"/>
    </row>
    <row r="946" spans="3:59" x14ac:dyDescent="0.4"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22"/>
      <c r="AM946" s="122"/>
      <c r="AN946" s="122"/>
      <c r="AO946" s="115"/>
      <c r="AP946" s="115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26"/>
      <c r="BD946" s="13"/>
      <c r="BG946" s="114"/>
    </row>
    <row r="947" spans="3:59" x14ac:dyDescent="0.4"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22"/>
      <c r="AM947" s="122"/>
      <c r="AN947" s="122"/>
      <c r="AO947" s="115"/>
      <c r="AP947" s="115"/>
      <c r="AQ947" s="115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26"/>
      <c r="BD947" s="13"/>
      <c r="BG947" s="114"/>
    </row>
    <row r="948" spans="3:59" x14ac:dyDescent="0.4"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22"/>
      <c r="AM948" s="122"/>
      <c r="AN948" s="122"/>
      <c r="AO948" s="115"/>
      <c r="AP948" s="115"/>
      <c r="AQ948" s="115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26"/>
      <c r="BD948" s="13"/>
      <c r="BG948" s="114"/>
    </row>
    <row r="949" spans="3:59" x14ac:dyDescent="0.4"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22"/>
      <c r="AM949" s="122"/>
      <c r="AN949" s="122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26"/>
      <c r="BD949" s="13"/>
      <c r="BG949" s="114"/>
    </row>
    <row r="950" spans="3:59" x14ac:dyDescent="0.4"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22"/>
      <c r="AM950" s="122"/>
      <c r="AN950" s="122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26"/>
      <c r="BD950" s="13"/>
      <c r="BG950" s="114"/>
    </row>
    <row r="951" spans="3:59" x14ac:dyDescent="0.4"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22"/>
      <c r="AM951" s="122"/>
      <c r="AN951" s="122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7"/>
      <c r="BD951" s="13"/>
      <c r="BG951" s="114"/>
    </row>
    <row r="952" spans="3:59" x14ac:dyDescent="0.4"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22"/>
      <c r="AM952" s="122"/>
      <c r="AN952" s="122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26"/>
      <c r="BD952" s="13"/>
      <c r="BG952" s="114"/>
    </row>
    <row r="953" spans="3:59" x14ac:dyDescent="0.4"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22"/>
      <c r="AM953" s="122"/>
      <c r="AN953" s="122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26"/>
      <c r="BD953" s="13"/>
      <c r="BG953" s="114"/>
    </row>
    <row r="954" spans="3:59" x14ac:dyDescent="0.4"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22"/>
      <c r="AM954" s="122"/>
      <c r="AN954" s="122"/>
      <c r="AO954" s="115"/>
      <c r="AP954" s="115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26"/>
      <c r="BD954" s="13"/>
      <c r="BG954" s="114"/>
    </row>
    <row r="955" spans="3:59" x14ac:dyDescent="0.4"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22"/>
      <c r="AM955" s="122"/>
      <c r="AN955" s="122"/>
      <c r="AO955" s="115"/>
      <c r="AP955" s="115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26"/>
      <c r="BD955" s="15"/>
      <c r="BG955" s="114"/>
    </row>
    <row r="956" spans="3:59" x14ac:dyDescent="0.4"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22"/>
      <c r="AM956" s="122"/>
      <c r="AN956" s="122"/>
      <c r="AO956" s="115"/>
      <c r="AP956" s="115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26"/>
      <c r="BD956" s="15"/>
      <c r="BG956" s="114"/>
    </row>
    <row r="957" spans="3:59" x14ac:dyDescent="0.4"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22"/>
      <c r="AM957" s="122"/>
      <c r="AN957" s="122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26"/>
      <c r="BD957" s="15"/>
      <c r="BG957" s="114"/>
    </row>
    <row r="958" spans="3:59" x14ac:dyDescent="0.4"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22"/>
      <c r="AM958" s="122"/>
      <c r="AN958" s="122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26"/>
      <c r="BD958" s="13"/>
      <c r="BG958" s="114"/>
    </row>
    <row r="959" spans="3:59" x14ac:dyDescent="0.4"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22"/>
      <c r="AM959" s="122"/>
      <c r="AN959" s="122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26"/>
      <c r="BD959" s="13"/>
      <c r="BG959" s="114"/>
    </row>
    <row r="960" spans="3:59" x14ac:dyDescent="0.4"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22"/>
      <c r="AM960" s="122"/>
      <c r="AN960" s="122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26"/>
      <c r="BD960" s="13"/>
      <c r="BG960" s="114"/>
    </row>
    <row r="961" spans="1:59" x14ac:dyDescent="0.4"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22"/>
      <c r="AM961" s="122"/>
      <c r="AN961" s="122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7"/>
      <c r="BD961" s="13"/>
      <c r="BG961" s="114"/>
    </row>
    <row r="962" spans="1:59" x14ac:dyDescent="0.4"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22"/>
      <c r="AM962" s="122"/>
      <c r="AN962" s="122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26"/>
      <c r="BD962" s="13"/>
      <c r="BG962" s="114"/>
    </row>
    <row r="963" spans="1:59" x14ac:dyDescent="0.4"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22"/>
      <c r="AM963" s="122"/>
      <c r="AN963" s="122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26"/>
      <c r="BD963" s="25"/>
      <c r="BG963" s="114"/>
    </row>
    <row r="964" spans="1:59" x14ac:dyDescent="0.4"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22"/>
      <c r="AM964" s="122"/>
      <c r="AN964" s="122"/>
      <c r="AO964" s="115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26"/>
      <c r="BD964" s="13"/>
      <c r="BG964" s="114"/>
    </row>
    <row r="965" spans="1:59" x14ac:dyDescent="0.4"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22"/>
      <c r="AM965" s="122"/>
      <c r="AN965" s="122"/>
      <c r="AO965" s="115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26"/>
      <c r="BD965" s="13"/>
      <c r="BG965" s="114"/>
    </row>
    <row r="966" spans="1:59" x14ac:dyDescent="0.4"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22"/>
      <c r="AM966" s="122"/>
      <c r="AN966" s="122"/>
      <c r="AO966" s="115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26"/>
      <c r="BD966" s="13"/>
      <c r="BG966" s="114"/>
    </row>
    <row r="967" spans="1:59" x14ac:dyDescent="0.4"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22"/>
      <c r="AM967" s="122"/>
      <c r="AN967" s="122"/>
      <c r="AO967" s="115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26"/>
      <c r="BD967" s="13"/>
      <c r="BG967" s="114"/>
    </row>
    <row r="968" spans="1:59" x14ac:dyDescent="0.4"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22"/>
      <c r="AM968" s="122"/>
      <c r="AN968" s="122"/>
      <c r="AO968" s="115"/>
      <c r="AP968" s="115"/>
      <c r="AQ968" s="115"/>
      <c r="AR968" s="115"/>
      <c r="BC968" s="26"/>
      <c r="BD968" s="13"/>
      <c r="BG968" s="114"/>
    </row>
    <row r="969" spans="1:59" x14ac:dyDescent="0.4"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22"/>
      <c r="AM969" s="122"/>
      <c r="AN969" s="122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26"/>
      <c r="BD969" s="13"/>
      <c r="BG969" s="114"/>
    </row>
    <row r="970" spans="1:59" x14ac:dyDescent="0.4"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22"/>
      <c r="AM970" s="122"/>
      <c r="AN970" s="122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7"/>
      <c r="BD970" s="13"/>
      <c r="BG970" s="114"/>
    </row>
    <row r="971" spans="1:59" x14ac:dyDescent="0.4"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22"/>
      <c r="AM971" s="122"/>
      <c r="AN971" s="122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26"/>
      <c r="BD971" s="13"/>
      <c r="BG971" s="114"/>
    </row>
    <row r="972" spans="1:59" x14ac:dyDescent="0.4"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22"/>
      <c r="AM972" s="122"/>
      <c r="AN972" s="122"/>
      <c r="AO972" s="115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26"/>
      <c r="BD972" s="15"/>
      <c r="BG972" s="114"/>
    </row>
    <row r="973" spans="1:59" x14ac:dyDescent="0.4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22"/>
      <c r="AM973" s="122"/>
      <c r="AN973" s="122"/>
      <c r="AO973" s="115"/>
      <c r="AP973" s="115"/>
      <c r="AQ973" s="115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7"/>
      <c r="BD973" s="15"/>
      <c r="BG973" s="114"/>
    </row>
    <row r="974" spans="1:59" x14ac:dyDescent="0.4"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22"/>
      <c r="AM974" s="122"/>
      <c r="AN974" s="122"/>
      <c r="AO974" s="115"/>
      <c r="AP974" s="115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26"/>
      <c r="BD974" s="15"/>
      <c r="BG974" s="114"/>
    </row>
    <row r="975" spans="1:59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22"/>
      <c r="AM975" s="122"/>
      <c r="AN975" s="122"/>
      <c r="AO975" s="115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26"/>
      <c r="BD975" s="15"/>
      <c r="BG975" s="114"/>
    </row>
    <row r="976" spans="1:59" x14ac:dyDescent="0.4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22"/>
      <c r="AM976" s="122"/>
      <c r="AN976" s="122"/>
      <c r="AO976" s="115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7"/>
      <c r="BD976" s="13"/>
      <c r="BG976" s="114"/>
    </row>
    <row r="977" spans="1:59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22"/>
      <c r="AM977" s="122"/>
      <c r="AN977" s="122"/>
      <c r="AO977" s="115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7"/>
      <c r="BD977" s="13"/>
      <c r="BG977" s="114"/>
    </row>
    <row r="978" spans="1:59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22"/>
      <c r="AM978" s="122"/>
      <c r="AN978" s="122"/>
      <c r="AO978" s="115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26"/>
      <c r="BD978" s="13"/>
      <c r="BG978" s="114"/>
    </row>
    <row r="979" spans="1:59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22"/>
      <c r="AM979" s="122"/>
      <c r="AN979" s="122"/>
      <c r="AO979" s="115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26"/>
      <c r="BD979" s="13"/>
      <c r="BG979" s="114"/>
    </row>
    <row r="980" spans="1:59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22"/>
      <c r="AM980" s="122"/>
      <c r="AN980" s="122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7"/>
      <c r="BD980" s="13"/>
      <c r="BG980" s="114"/>
    </row>
    <row r="981" spans="1:59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22"/>
      <c r="AM981" s="122"/>
      <c r="AN981" s="122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26"/>
      <c r="BD981" s="15"/>
      <c r="BG981" s="114"/>
    </row>
    <row r="982" spans="1:59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22"/>
      <c r="AM982" s="122"/>
      <c r="AN982" s="122"/>
      <c r="AO982" s="115"/>
      <c r="AP982" s="115"/>
      <c r="AQ982" s="115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26"/>
      <c r="BD982" s="15"/>
      <c r="BG982" s="114"/>
    </row>
    <row r="983" spans="1:59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22"/>
      <c r="AM983" s="122"/>
      <c r="AN983" s="122"/>
      <c r="AO983" s="115"/>
      <c r="AP983" s="115"/>
      <c r="AQ983" s="115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26"/>
      <c r="BD983" s="15"/>
      <c r="BG983" s="114"/>
    </row>
    <row r="984" spans="1:59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22"/>
      <c r="AM984" s="122"/>
      <c r="AN984" s="122"/>
      <c r="AO984" s="115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26"/>
      <c r="BD984" s="13"/>
      <c r="BG984" s="114"/>
    </row>
    <row r="985" spans="1:59" x14ac:dyDescent="0.4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22"/>
      <c r="AM985" s="122"/>
      <c r="AN985" s="122"/>
      <c r="AO985" s="115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26"/>
      <c r="BD985" s="25"/>
      <c r="BG985" s="114"/>
    </row>
    <row r="986" spans="1:59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22"/>
      <c r="AM986" s="122"/>
      <c r="AN986" s="122"/>
      <c r="AO986" s="115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26"/>
      <c r="BD986" s="13"/>
      <c r="BG986" s="114"/>
    </row>
    <row r="987" spans="1:59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22"/>
      <c r="AM987" s="122"/>
      <c r="AN987" s="122"/>
      <c r="AO987" s="115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26"/>
      <c r="BD987" s="13"/>
      <c r="BG987" s="114"/>
    </row>
    <row r="988" spans="1:59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22"/>
      <c r="AM988" s="122"/>
      <c r="AN988" s="122"/>
      <c r="AO988" s="115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26"/>
      <c r="BD988" s="13"/>
      <c r="BG988" s="114"/>
    </row>
    <row r="989" spans="1:59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22"/>
      <c r="AM989" s="122"/>
      <c r="AN989" s="122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26"/>
      <c r="BD989" s="13"/>
      <c r="BG989" s="114"/>
    </row>
    <row r="990" spans="1:59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22"/>
      <c r="AM990" s="122"/>
      <c r="AN990" s="122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26"/>
      <c r="BD990" s="13"/>
      <c r="BG990" s="114"/>
    </row>
    <row r="991" spans="1:59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22"/>
      <c r="AM991" s="122"/>
      <c r="AN991" s="122"/>
      <c r="AO991" s="115"/>
      <c r="AP991" s="115"/>
      <c r="AQ991" s="115"/>
      <c r="AR991" s="115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26"/>
      <c r="BD991" s="13"/>
      <c r="BG991" s="114"/>
    </row>
    <row r="992" spans="1:59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22"/>
      <c r="AM992" s="122"/>
      <c r="AN992" s="122"/>
      <c r="AO992" s="115"/>
      <c r="AP992" s="115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26"/>
      <c r="BD992" s="13"/>
      <c r="BG992" s="114"/>
    </row>
    <row r="993" spans="1:59" x14ac:dyDescent="0.4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22"/>
      <c r="AM993" s="122"/>
      <c r="AN993" s="122"/>
      <c r="AO993" s="115"/>
      <c r="AP993" s="115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26"/>
      <c r="BD993" s="13"/>
      <c r="BG993" s="114"/>
    </row>
    <row r="994" spans="1:59" x14ac:dyDescent="0.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22"/>
      <c r="AM994" s="122"/>
      <c r="AN994" s="122"/>
      <c r="AO994" s="115"/>
      <c r="AP994" s="115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26"/>
      <c r="BD994" s="13"/>
      <c r="BG994" s="114"/>
    </row>
    <row r="995" spans="1:59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22"/>
      <c r="AM995" s="122"/>
      <c r="AN995" s="122"/>
      <c r="AO995" s="115"/>
      <c r="AP995" s="115"/>
      <c r="AQ995" s="115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26"/>
      <c r="BD995" s="13"/>
      <c r="BG995" s="114"/>
    </row>
    <row r="996" spans="1:59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22"/>
      <c r="AM996" s="122"/>
      <c r="AN996" s="122"/>
      <c r="AO996" s="115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26"/>
      <c r="BD996" s="15"/>
      <c r="BG996" s="114"/>
    </row>
    <row r="997" spans="1:59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22"/>
      <c r="AM997" s="122"/>
      <c r="AN997" s="122"/>
      <c r="AO997" s="115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26"/>
      <c r="BD997" s="15"/>
      <c r="BG997" s="114"/>
    </row>
    <row r="998" spans="1:59" x14ac:dyDescent="0.4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22"/>
      <c r="AM998" s="122"/>
      <c r="AN998" s="122"/>
      <c r="AO998" s="115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26"/>
      <c r="BD998" s="15"/>
      <c r="BG998" s="114"/>
    </row>
    <row r="999" spans="1:59" x14ac:dyDescent="0.4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22"/>
      <c r="AM999" s="122"/>
      <c r="AN999" s="122"/>
      <c r="AO999" s="115"/>
      <c r="AP999" s="115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26"/>
      <c r="BD999" s="15"/>
      <c r="BG999" s="114"/>
    </row>
    <row r="1000" spans="1:59" x14ac:dyDescent="0.4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22"/>
      <c r="AM1000" s="122"/>
      <c r="AN1000" s="122"/>
      <c r="AO1000" s="115"/>
      <c r="AP1000" s="115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26"/>
      <c r="BD1000" s="13"/>
      <c r="BG1000" s="114"/>
    </row>
    <row r="1001" spans="1:59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22"/>
      <c r="AM1001" s="122"/>
      <c r="AN1001" s="122"/>
      <c r="AO1001" s="115"/>
      <c r="AP1001" s="115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26"/>
      <c r="BD1001" s="15"/>
      <c r="BG1001" s="114"/>
    </row>
    <row r="1002" spans="1:59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22"/>
      <c r="AM1002" s="122"/>
      <c r="AN1002" s="122"/>
      <c r="AO1002" s="115"/>
      <c r="AP1002" s="115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26"/>
      <c r="BD1002" s="15"/>
      <c r="BG1002" s="114"/>
    </row>
    <row r="1003" spans="1:59" x14ac:dyDescent="0.4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22"/>
      <c r="AM1003" s="122"/>
      <c r="AN1003" s="122"/>
      <c r="AO1003" s="115"/>
      <c r="AP1003" s="115"/>
      <c r="AQ1003" s="115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26"/>
      <c r="BD1003" s="15"/>
      <c r="BG1003" s="114"/>
    </row>
    <row r="1004" spans="1:59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22"/>
      <c r="AM1004" s="122"/>
      <c r="AN1004" s="122"/>
      <c r="AO1004" s="115"/>
      <c r="AP1004" s="115"/>
      <c r="AQ1004" s="115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26"/>
      <c r="BD1004" s="15"/>
      <c r="BG1004" s="114"/>
    </row>
    <row r="1005" spans="1:59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22"/>
      <c r="AM1005" s="122"/>
      <c r="AN1005" s="122"/>
      <c r="AO1005" s="115"/>
      <c r="AP1005" s="115"/>
      <c r="AQ1005" s="115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26"/>
      <c r="BD1005" s="15"/>
      <c r="BG1005" s="114"/>
    </row>
    <row r="1006" spans="1:59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22"/>
      <c r="AM1006" s="122"/>
      <c r="AN1006" s="122"/>
      <c r="AO1006" s="115"/>
      <c r="AP1006" s="115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26"/>
      <c r="BD1006" s="105"/>
      <c r="BG1006" s="114"/>
    </row>
    <row r="1007" spans="1:59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22"/>
      <c r="AM1007" s="122"/>
      <c r="AN1007" s="122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7"/>
      <c r="BD1007" s="15"/>
      <c r="BG1007" s="114"/>
    </row>
    <row r="1008" spans="1:59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22"/>
      <c r="AM1008" s="122"/>
      <c r="AN1008" s="122"/>
      <c r="AO1008" s="115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26"/>
      <c r="BD1008" s="15"/>
      <c r="BG1008" s="114"/>
    </row>
    <row r="1009" spans="1:59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22"/>
      <c r="AM1009" s="122"/>
      <c r="AN1009" s="122"/>
      <c r="AO1009" s="115"/>
      <c r="AP1009" s="115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26"/>
      <c r="BD1009" s="15"/>
      <c r="BG1009" s="114"/>
    </row>
    <row r="1010" spans="1:59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22"/>
      <c r="AM1010" s="122"/>
      <c r="AN1010" s="122"/>
      <c r="AO1010" s="115"/>
      <c r="AP1010" s="115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26"/>
      <c r="BD1010" s="105"/>
      <c r="BG1010" s="114"/>
    </row>
    <row r="1011" spans="1:59" x14ac:dyDescent="0.4">
      <c r="BC1011" s="26"/>
      <c r="BD1011" s="15"/>
      <c r="BG1011" s="114"/>
    </row>
    <row r="1012" spans="1:59" x14ac:dyDescent="0.4">
      <c r="AM1012" s="122"/>
      <c r="AN1012" s="122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26"/>
      <c r="BD1012" s="15"/>
      <c r="BG1012" s="114"/>
    </row>
    <row r="1013" spans="1:59" x14ac:dyDescent="0.4">
      <c r="AI1013" s="115"/>
      <c r="AJ1013" s="115"/>
      <c r="AK1013" s="115"/>
      <c r="AL1013" s="122"/>
      <c r="AM1013" s="122"/>
      <c r="AN1013" s="122"/>
      <c r="AO1013" s="115"/>
      <c r="AP1013" s="115"/>
      <c r="AQ1013" s="115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26"/>
      <c r="BD1013" s="15"/>
      <c r="BG1013" s="114"/>
    </row>
    <row r="1014" spans="1:59" x14ac:dyDescent="0.4"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22"/>
      <c r="AM1014" s="122"/>
      <c r="AN1014" s="122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26"/>
      <c r="BD1014" s="15"/>
      <c r="BG1014" s="114"/>
    </row>
    <row r="1015" spans="1:59" x14ac:dyDescent="0.4"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22"/>
      <c r="AM1015" s="122"/>
      <c r="AN1015" s="122"/>
      <c r="AO1015" s="115"/>
      <c r="AP1015" s="115"/>
      <c r="AQ1015" s="115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7"/>
      <c r="BD1015" s="15"/>
      <c r="BG1015" s="114"/>
    </row>
    <row r="1016" spans="1:59" x14ac:dyDescent="0.4"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22"/>
      <c r="AM1016" s="122"/>
      <c r="AN1016" s="122"/>
      <c r="AO1016" s="115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26"/>
      <c r="BD1016" s="15"/>
      <c r="BG1016" s="114"/>
    </row>
    <row r="1017" spans="1:59" x14ac:dyDescent="0.4"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22"/>
      <c r="AM1017" s="122"/>
      <c r="AN1017" s="122"/>
      <c r="AO1017" s="115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26"/>
      <c r="BD1017" s="15"/>
      <c r="BG1017" s="114"/>
    </row>
    <row r="1018" spans="1:59" x14ac:dyDescent="0.4"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22"/>
      <c r="AM1018" s="122"/>
      <c r="AN1018" s="122"/>
      <c r="AO1018" s="115"/>
      <c r="AP1018" s="115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26"/>
      <c r="BD1018" s="15"/>
      <c r="BG1018" s="114"/>
    </row>
    <row r="1019" spans="1:59" x14ac:dyDescent="0.4"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22"/>
      <c r="AM1019" s="122"/>
      <c r="AN1019" s="122"/>
      <c r="AO1019" s="115"/>
      <c r="AP1019" s="115"/>
      <c r="AQ1019" s="115"/>
      <c r="AR1019" s="115"/>
      <c r="AS1019" s="115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26"/>
      <c r="BD1019" s="15"/>
      <c r="BG1019" s="114"/>
    </row>
    <row r="1020" spans="1:59" x14ac:dyDescent="0.4"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22"/>
      <c r="AM1020" s="122"/>
      <c r="AN1020" s="122"/>
      <c r="AO1020" s="115"/>
      <c r="AP1020" s="115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26"/>
      <c r="BD1020" s="15"/>
      <c r="BG1020" s="114"/>
    </row>
    <row r="1021" spans="1:59" x14ac:dyDescent="0.4"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22"/>
      <c r="AM1021" s="122"/>
      <c r="AN1021" s="122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26"/>
      <c r="BD1021" s="15"/>
      <c r="BG1021" s="114"/>
    </row>
    <row r="1022" spans="1:59" x14ac:dyDescent="0.4"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22"/>
      <c r="AM1022" s="122"/>
      <c r="AN1022" s="122"/>
      <c r="AO1022" s="115"/>
      <c r="AP1022" s="115"/>
      <c r="AQ1022" s="115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26"/>
      <c r="BD1022" s="15"/>
      <c r="BG1022" s="114"/>
    </row>
    <row r="1023" spans="1:59" x14ac:dyDescent="0.4"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22"/>
      <c r="AM1023" s="122"/>
      <c r="AN1023" s="122"/>
      <c r="AO1023" s="115"/>
      <c r="AP1023" s="115"/>
      <c r="AQ1023" s="115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7"/>
      <c r="BD1023" s="15"/>
      <c r="BG1023" s="114"/>
    </row>
    <row r="1024" spans="1:59" x14ac:dyDescent="0.4"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22"/>
      <c r="AM1024" s="122"/>
      <c r="AN1024" s="122"/>
      <c r="AO1024" s="115"/>
      <c r="AP1024" s="115"/>
      <c r="AQ1024" s="115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26"/>
      <c r="BD1024" s="15"/>
      <c r="BG1024" s="114"/>
    </row>
    <row r="1025" spans="2:59" x14ac:dyDescent="0.4"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22"/>
      <c r="AM1025" s="122"/>
      <c r="AN1025" s="122"/>
      <c r="AO1025" s="115"/>
      <c r="AP1025" s="115"/>
      <c r="AQ1025" s="115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26"/>
      <c r="BD1025" s="15"/>
      <c r="BG1025" s="114"/>
    </row>
    <row r="1026" spans="2:59" x14ac:dyDescent="0.4"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22"/>
      <c r="AM1026" s="122"/>
      <c r="AN1026" s="122"/>
      <c r="AO1026" s="115"/>
      <c r="AP1026" s="115"/>
      <c r="AQ1026" s="115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26"/>
      <c r="BD1026" s="15"/>
      <c r="BG1026" s="114"/>
    </row>
    <row r="1027" spans="2:59" x14ac:dyDescent="0.4"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22"/>
      <c r="AM1027" s="122"/>
      <c r="AN1027" s="122"/>
      <c r="AO1027" s="115"/>
      <c r="AP1027" s="115"/>
      <c r="AQ1027" s="115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26"/>
      <c r="BD1027" s="15"/>
      <c r="BG1027" s="114"/>
    </row>
    <row r="1028" spans="2:59" x14ac:dyDescent="0.4"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22"/>
      <c r="AM1028" s="122"/>
      <c r="AN1028" s="122"/>
      <c r="AO1028" s="115"/>
      <c r="AP1028" s="115"/>
      <c r="AQ1028" s="115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26"/>
      <c r="BD1028" s="15"/>
      <c r="BG1028" s="114"/>
    </row>
    <row r="1029" spans="2:59" x14ac:dyDescent="0.4"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22"/>
      <c r="AM1029" s="122"/>
      <c r="AN1029" s="122"/>
      <c r="AO1029" s="115"/>
      <c r="AP1029" s="115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26"/>
      <c r="BD1029" s="15"/>
      <c r="BG1029" s="114"/>
    </row>
    <row r="1030" spans="2:59" x14ac:dyDescent="0.4"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22"/>
      <c r="AM1030" s="122"/>
      <c r="AN1030" s="122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26"/>
      <c r="BD1030" s="15"/>
      <c r="BG1030" s="114"/>
    </row>
    <row r="1031" spans="2:59" x14ac:dyDescent="0.4"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22"/>
      <c r="AM1031" s="122"/>
      <c r="AN1031" s="122"/>
      <c r="AO1031" s="115"/>
      <c r="AP1031" s="115"/>
      <c r="AQ1031" s="115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7"/>
      <c r="BD1031" s="15"/>
      <c r="BG1031" s="114"/>
    </row>
    <row r="1032" spans="2:59" x14ac:dyDescent="0.4"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22"/>
      <c r="AM1032" s="122"/>
      <c r="AN1032" s="122"/>
      <c r="AO1032" s="115"/>
      <c r="AP1032" s="115"/>
      <c r="AQ1032" s="115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115"/>
      <c r="BB1032" s="115"/>
      <c r="BC1032" s="26"/>
      <c r="BD1032" s="15"/>
      <c r="BG1032" s="114"/>
    </row>
    <row r="1033" spans="2:59" x14ac:dyDescent="0.4"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22"/>
      <c r="AM1033" s="122"/>
      <c r="AN1033" s="122"/>
      <c r="AO1033" s="115"/>
      <c r="AP1033" s="115"/>
      <c r="AQ1033" s="115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26"/>
      <c r="BD1033" s="15"/>
      <c r="BG1033" s="114"/>
    </row>
    <row r="1034" spans="2:59" x14ac:dyDescent="0.4"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22"/>
      <c r="AM1034" s="122"/>
      <c r="AN1034" s="122"/>
      <c r="AO1034" s="115"/>
      <c r="AP1034" s="115"/>
      <c r="AQ1034" s="115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26"/>
      <c r="BD1034" s="15"/>
      <c r="BG1034" s="114"/>
    </row>
    <row r="1035" spans="2:59" x14ac:dyDescent="0.4"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22"/>
      <c r="AM1035" s="122"/>
      <c r="AN1035" s="122"/>
      <c r="AO1035" s="115"/>
      <c r="AP1035" s="115"/>
      <c r="AQ1035" s="115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26"/>
      <c r="BD1035" s="15"/>
      <c r="BG1035" s="114"/>
    </row>
    <row r="1036" spans="2:59" x14ac:dyDescent="0.4"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22"/>
      <c r="AM1036" s="122"/>
      <c r="AN1036" s="122"/>
      <c r="AO1036" s="115"/>
      <c r="AP1036" s="115"/>
      <c r="AQ1036" s="115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26"/>
      <c r="BD1036" s="15"/>
      <c r="BG1036" s="114"/>
    </row>
    <row r="1037" spans="2:59" x14ac:dyDescent="0.4"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22"/>
      <c r="AM1037" s="122"/>
      <c r="AN1037" s="122"/>
      <c r="AO1037" s="115"/>
      <c r="AP1037" s="115"/>
      <c r="AQ1037" s="115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26"/>
      <c r="BD1037" s="15"/>
      <c r="BG1037" s="114"/>
    </row>
    <row r="1038" spans="2:59" x14ac:dyDescent="0.4"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22"/>
      <c r="AM1038" s="122"/>
      <c r="AN1038" s="122"/>
      <c r="AO1038" s="115"/>
      <c r="AP1038" s="115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26"/>
      <c r="BD1038" s="15"/>
      <c r="BG1038" s="114"/>
    </row>
    <row r="1039" spans="2:59" x14ac:dyDescent="0.4"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22"/>
      <c r="AM1039" s="122"/>
      <c r="AN1039" s="122"/>
      <c r="AO1039" s="115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26"/>
      <c r="BD1039" s="15"/>
      <c r="BG1039" s="114"/>
    </row>
    <row r="1040" spans="2:59" x14ac:dyDescent="0.4"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22"/>
      <c r="AM1040" s="122"/>
      <c r="AN1040" s="122"/>
      <c r="AO1040" s="115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7"/>
      <c r="BD1040" s="15"/>
      <c r="BG1040" s="114"/>
    </row>
    <row r="1041" spans="1:59" x14ac:dyDescent="0.4"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22"/>
      <c r="AM1041" s="122"/>
      <c r="AN1041" s="122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26"/>
      <c r="BD1041" s="15"/>
      <c r="BG1041" s="114"/>
    </row>
    <row r="1042" spans="1:59" x14ac:dyDescent="0.4"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22"/>
      <c r="AM1042" s="122"/>
      <c r="AN1042" s="122"/>
      <c r="AO1042" s="115"/>
      <c r="AP1042" s="115"/>
      <c r="AQ1042" s="115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7"/>
      <c r="BD1042" s="15"/>
      <c r="BG1042" s="114"/>
    </row>
    <row r="1043" spans="1:59" x14ac:dyDescent="0.4"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22"/>
      <c r="AM1043" s="122"/>
      <c r="AN1043" s="122"/>
      <c r="AO1043" s="115"/>
      <c r="AP1043" s="115"/>
      <c r="AQ1043" s="115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26"/>
      <c r="BD1043" s="15"/>
      <c r="BG1043" s="114"/>
    </row>
    <row r="1044" spans="1:59" x14ac:dyDescent="0.4"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22"/>
      <c r="AM1044" s="122"/>
      <c r="AN1044" s="122"/>
      <c r="AO1044" s="115"/>
      <c r="AP1044" s="115"/>
      <c r="AQ1044" s="115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7"/>
      <c r="BD1044" s="15"/>
      <c r="BG1044" s="114"/>
    </row>
    <row r="1045" spans="1:59" x14ac:dyDescent="0.4"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22"/>
      <c r="AM1045" s="122"/>
      <c r="AN1045" s="122"/>
      <c r="AO1045" s="115"/>
      <c r="AP1045" s="115"/>
      <c r="AQ1045" s="115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26"/>
      <c r="BD1045" s="15"/>
      <c r="BG1045" s="114"/>
    </row>
    <row r="1046" spans="1:59" x14ac:dyDescent="0.4"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22"/>
      <c r="AM1046" s="122"/>
      <c r="AN1046" s="122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26"/>
      <c r="BD1046" s="15"/>
      <c r="BG1046" s="114"/>
    </row>
    <row r="1047" spans="1:59" x14ac:dyDescent="0.4"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22"/>
      <c r="AM1047" s="122"/>
      <c r="AN1047" s="122"/>
      <c r="AO1047" s="115"/>
      <c r="AP1047" s="115"/>
      <c r="AQ1047" s="115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7"/>
      <c r="BD1047" s="15"/>
      <c r="BG1047" s="114"/>
    </row>
    <row r="1048" spans="1:59" x14ac:dyDescent="0.4"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22"/>
      <c r="AM1048" s="122"/>
      <c r="AN1048" s="122"/>
      <c r="AO1048" s="115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115"/>
      <c r="AZ1048" s="115"/>
      <c r="BA1048" s="115"/>
      <c r="BB1048" s="115"/>
      <c r="BC1048" s="26"/>
      <c r="BD1048" s="15"/>
      <c r="BG1048" s="114"/>
    </row>
    <row r="1049" spans="1:59" x14ac:dyDescent="0.4"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22"/>
      <c r="AM1049" s="122"/>
      <c r="AN1049" s="122"/>
      <c r="AO1049" s="115"/>
      <c r="AP1049" s="115"/>
      <c r="AQ1049" s="115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26"/>
      <c r="BD1049" s="15"/>
      <c r="BG1049" s="114"/>
    </row>
    <row r="1050" spans="1:59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22"/>
      <c r="AM1050" s="122"/>
      <c r="AN1050" s="122"/>
      <c r="AO1050" s="115"/>
      <c r="AP1050" s="115"/>
      <c r="AQ1050" s="115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26"/>
      <c r="BD1050" s="105"/>
      <c r="BG1050" s="114"/>
    </row>
    <row r="1051" spans="1:59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22"/>
      <c r="AM1051" s="122"/>
      <c r="AN1051" s="122"/>
      <c r="AO1051" s="115"/>
      <c r="AP1051" s="115"/>
      <c r="AQ1051" s="115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7"/>
      <c r="BD1051" s="15"/>
      <c r="BG1051" s="114"/>
    </row>
    <row r="1052" spans="1:59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22"/>
      <c r="AM1052" s="122"/>
      <c r="AN1052" s="122"/>
      <c r="AO1052" s="115"/>
      <c r="AP1052" s="115"/>
      <c r="AQ1052" s="115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7"/>
      <c r="BD1052" s="15"/>
      <c r="BG1052" s="114"/>
    </row>
    <row r="1053" spans="1:59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22"/>
      <c r="AM1053" s="122"/>
      <c r="AN1053" s="122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26"/>
      <c r="BD1053" s="15"/>
      <c r="BG1053" s="114"/>
    </row>
    <row r="1054" spans="1:59" x14ac:dyDescent="0.4">
      <c r="A1054" s="115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22"/>
      <c r="AM1054" s="122"/>
      <c r="AN1054" s="122"/>
      <c r="AO1054" s="115"/>
      <c r="AP1054" s="115"/>
      <c r="AQ1054" s="115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26"/>
      <c r="BD1054" s="15"/>
      <c r="BG1054" s="114"/>
    </row>
    <row r="1055" spans="1:59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22"/>
      <c r="AM1055" s="122"/>
      <c r="AN1055" s="122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26"/>
      <c r="BD1055" s="15"/>
      <c r="BG1055" s="114"/>
    </row>
    <row r="1056" spans="1:59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22"/>
      <c r="AM1056" s="122"/>
      <c r="AN1056" s="122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26"/>
      <c r="BD1056" s="15"/>
      <c r="BG1056" s="114"/>
    </row>
    <row r="1057" spans="1:59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22"/>
      <c r="AM1057" s="122"/>
      <c r="AN1057" s="122"/>
      <c r="AO1057" s="115"/>
      <c r="AP1057" s="115"/>
      <c r="AQ1057" s="115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26"/>
      <c r="BD1057" s="15"/>
      <c r="BG1057" s="114"/>
    </row>
    <row r="1058" spans="1:59" x14ac:dyDescent="0.4">
      <c r="A1058" s="115"/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22"/>
      <c r="AM1058" s="122"/>
      <c r="AN1058" s="122"/>
      <c r="AO1058" s="115"/>
      <c r="AP1058" s="115"/>
      <c r="AQ1058" s="115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26"/>
      <c r="BD1058" s="15"/>
      <c r="BG1058" s="114"/>
    </row>
    <row r="1059" spans="1:59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22"/>
      <c r="AM1059" s="122"/>
      <c r="AN1059" s="122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26"/>
      <c r="BD1059" s="15"/>
      <c r="BG1059" s="114"/>
    </row>
    <row r="1060" spans="1:59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22"/>
      <c r="AM1060" s="122"/>
      <c r="AN1060" s="122"/>
      <c r="AO1060" s="115"/>
      <c r="AP1060" s="115"/>
      <c r="AQ1060" s="115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26"/>
      <c r="BD1060" s="15"/>
      <c r="BG1060" s="114"/>
    </row>
    <row r="1061" spans="1:59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22"/>
      <c r="AM1061" s="122"/>
      <c r="AN1061" s="122"/>
      <c r="AO1061" s="115"/>
      <c r="AP1061" s="115"/>
      <c r="AQ1061" s="115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26"/>
      <c r="BD1061" s="105"/>
      <c r="BG1061" s="114"/>
    </row>
    <row r="1062" spans="1:59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22"/>
      <c r="AM1062" s="122"/>
      <c r="AN1062" s="122"/>
      <c r="AO1062" s="115"/>
      <c r="AP1062" s="115"/>
      <c r="AQ1062" s="115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26"/>
      <c r="BD1062" s="15"/>
      <c r="BG1062" s="114"/>
    </row>
    <row r="1063" spans="1:59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22"/>
      <c r="AM1063" s="122"/>
      <c r="AN1063" s="122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26"/>
      <c r="BD1063" s="15"/>
      <c r="BG1063" s="114"/>
    </row>
    <row r="1064" spans="1:59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22"/>
      <c r="AM1064" s="122"/>
      <c r="AN1064" s="122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26"/>
      <c r="BD1064" s="13"/>
      <c r="BG1064" s="114"/>
    </row>
    <row r="1065" spans="1:59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22"/>
      <c r="AM1065" s="122"/>
      <c r="AN1065" s="122"/>
      <c r="AO1065" s="115"/>
      <c r="AP1065" s="115"/>
      <c r="AQ1065" s="115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7"/>
      <c r="BD1065" s="13"/>
      <c r="BG1065" s="114"/>
    </row>
    <row r="1066" spans="1:59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22"/>
      <c r="AM1066" s="122"/>
      <c r="AN1066" s="122"/>
      <c r="AO1066" s="115"/>
      <c r="AP1066" s="115"/>
      <c r="AQ1066" s="115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26"/>
      <c r="BD1066" s="13"/>
      <c r="BG1066" s="114"/>
    </row>
    <row r="1067" spans="1:59" x14ac:dyDescent="0.4">
      <c r="A1067" s="115"/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22"/>
      <c r="AM1067" s="122"/>
      <c r="AN1067" s="122"/>
      <c r="AO1067" s="115"/>
      <c r="AP1067" s="115"/>
      <c r="AQ1067" s="115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26"/>
      <c r="BD1067" s="13"/>
      <c r="BG1067" s="114"/>
    </row>
    <row r="1068" spans="1:59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22"/>
      <c r="AM1068" s="122"/>
      <c r="AN1068" s="122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26"/>
      <c r="BD1068" s="13"/>
      <c r="BG1068" s="114"/>
    </row>
    <row r="1069" spans="1:59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22"/>
      <c r="AM1069" s="122"/>
      <c r="AN1069" s="122"/>
      <c r="AO1069" s="115"/>
      <c r="AP1069" s="115"/>
      <c r="AQ1069" s="115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26"/>
      <c r="BD1069" s="13"/>
      <c r="BG1069" s="114"/>
    </row>
    <row r="1070" spans="1:59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22"/>
      <c r="AM1070" s="122"/>
      <c r="AN1070" s="122"/>
      <c r="AO1070" s="115"/>
      <c r="AP1070" s="115"/>
      <c r="AQ1070" s="115"/>
      <c r="AR1070" s="115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26"/>
      <c r="BD1070" s="13"/>
      <c r="BG1070" s="114"/>
    </row>
    <row r="1071" spans="1:59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22"/>
      <c r="AM1071" s="122"/>
      <c r="AN1071" s="122"/>
      <c r="AO1071" s="115"/>
      <c r="AP1071" s="115"/>
      <c r="AQ1071" s="115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26"/>
      <c r="BD1071" s="13"/>
      <c r="BG1071" s="114"/>
    </row>
    <row r="1072" spans="1:59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22"/>
      <c r="AM1072" s="122"/>
      <c r="AN1072" s="122"/>
      <c r="AO1072" s="115"/>
      <c r="AP1072" s="115"/>
      <c r="AQ1072" s="115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7"/>
      <c r="BD1072" s="13"/>
      <c r="BG1072" s="114"/>
    </row>
    <row r="1073" spans="1:59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22"/>
      <c r="AM1073" s="122"/>
      <c r="AN1073" s="122"/>
      <c r="AO1073" s="115"/>
      <c r="AP1073" s="115"/>
      <c r="AQ1073" s="115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26"/>
      <c r="BD1073" s="13"/>
      <c r="BG1073" s="114"/>
    </row>
    <row r="1074" spans="1:59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22"/>
      <c r="AM1074" s="122"/>
      <c r="AN1074" s="122"/>
      <c r="AO1074" s="115"/>
      <c r="AP1074" s="115"/>
      <c r="AQ1074" s="115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26"/>
      <c r="BD1074" s="13"/>
      <c r="BG1074" s="114"/>
    </row>
    <row r="1075" spans="1:59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22"/>
      <c r="AM1075" s="122"/>
      <c r="AN1075" s="122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26"/>
      <c r="BD1075" s="13"/>
      <c r="BG1075" s="114"/>
    </row>
    <row r="1076" spans="1:59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22"/>
      <c r="AM1076" s="122"/>
      <c r="AN1076" s="122"/>
      <c r="AO1076" s="115"/>
      <c r="AP1076" s="115"/>
      <c r="AQ1076" s="115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26"/>
      <c r="BD1076" s="13"/>
      <c r="BG1076" s="114"/>
    </row>
    <row r="1077" spans="1:59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22"/>
      <c r="AM1077" s="122"/>
      <c r="AN1077" s="122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26"/>
      <c r="BD1077" s="25"/>
      <c r="BG1077" s="114"/>
    </row>
    <row r="1078" spans="1:59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22"/>
      <c r="AM1078" s="122"/>
      <c r="AN1078" s="122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7"/>
      <c r="BD1078" s="13"/>
      <c r="BG1078" s="114"/>
    </row>
    <row r="1079" spans="1:59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22"/>
      <c r="AM1079" s="122"/>
      <c r="AN1079" s="122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26"/>
      <c r="BD1079" s="15"/>
      <c r="BG1079" s="114"/>
    </row>
    <row r="1080" spans="1:59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22"/>
      <c r="AM1080" s="122"/>
      <c r="AN1080" s="122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26"/>
      <c r="BD1080" s="15"/>
      <c r="BG1080" s="114"/>
    </row>
    <row r="1081" spans="1:59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22"/>
      <c r="AM1081" s="122"/>
      <c r="AN1081" s="122"/>
      <c r="AO1081" s="115"/>
      <c r="AP1081" s="115"/>
      <c r="AQ1081" s="115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7"/>
      <c r="BD1081" s="15"/>
      <c r="BG1081" s="114"/>
    </row>
    <row r="1082" spans="1:59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22"/>
      <c r="AM1082" s="122"/>
      <c r="AN1082" s="122"/>
      <c r="AO1082" s="115"/>
      <c r="AP1082" s="115"/>
      <c r="AQ1082" s="115"/>
      <c r="AR1082" s="115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26"/>
      <c r="BD1082" s="15"/>
      <c r="BG1082" s="114"/>
    </row>
    <row r="1083" spans="1:59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22"/>
      <c r="AM1083" s="122"/>
      <c r="AN1083" s="122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26"/>
      <c r="BD1083" s="15"/>
      <c r="BG1083" s="114"/>
    </row>
    <row r="1084" spans="1:59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22"/>
      <c r="AM1084" s="122"/>
      <c r="AN1084" s="122"/>
      <c r="AO1084" s="115"/>
      <c r="AP1084" s="115"/>
      <c r="AQ1084" s="115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26"/>
      <c r="BD1084" s="13"/>
      <c r="BG1084" s="114"/>
    </row>
    <row r="1085" spans="1:59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22"/>
      <c r="AM1085" s="122"/>
      <c r="AN1085" s="122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26"/>
      <c r="BD1085" s="13"/>
      <c r="BG1085" s="114"/>
    </row>
    <row r="1086" spans="1:59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22"/>
      <c r="AM1086" s="122"/>
      <c r="AN1086" s="122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26"/>
      <c r="BD1086" s="13"/>
      <c r="BG1086" s="114"/>
    </row>
    <row r="1087" spans="1:59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22"/>
      <c r="AM1087" s="122"/>
      <c r="AN1087" s="122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26"/>
      <c r="BD1087" s="13"/>
      <c r="BG1087" s="114"/>
    </row>
    <row r="1088" spans="1:59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22"/>
      <c r="AM1088" s="122"/>
      <c r="AN1088" s="122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26"/>
      <c r="BD1088" s="13"/>
      <c r="BG1088" s="114"/>
    </row>
    <row r="1089" spans="1:60" x14ac:dyDescent="0.4">
      <c r="A1089" s="115"/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22"/>
      <c r="AM1089" s="122"/>
      <c r="AN1089" s="122"/>
      <c r="AO1089" s="115"/>
      <c r="AP1089" s="115"/>
      <c r="AQ1089" s="115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26"/>
      <c r="BD1089" s="13"/>
      <c r="BG1089" s="114"/>
    </row>
    <row r="1090" spans="1:60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22"/>
      <c r="AM1090" s="122"/>
      <c r="AN1090" s="122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26"/>
      <c r="BD1090" s="13"/>
      <c r="BG1090" s="114"/>
    </row>
    <row r="1091" spans="1:60" x14ac:dyDescent="0.4">
      <c r="A1091" s="115"/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22"/>
      <c r="AM1091" s="122"/>
      <c r="AN1091" s="122"/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115"/>
      <c r="AZ1091" s="115"/>
      <c r="BA1091" s="115"/>
      <c r="BB1091" s="115"/>
      <c r="BC1091" s="26"/>
      <c r="BD1091" s="13"/>
      <c r="BG1091" s="114"/>
    </row>
    <row r="1092" spans="1:60" x14ac:dyDescent="0.4">
      <c r="A1092" s="115"/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22"/>
      <c r="AM1092" s="122"/>
      <c r="AN1092" s="122"/>
      <c r="AO1092" s="115"/>
      <c r="AP1092" s="115"/>
      <c r="AQ1092" s="115"/>
      <c r="AR1092" s="115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7"/>
      <c r="BD1092" s="13"/>
      <c r="BG1092" s="114"/>
    </row>
    <row r="1093" spans="1:60" x14ac:dyDescent="0.4">
      <c r="A1093" s="115"/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22"/>
      <c r="AM1093" s="122"/>
      <c r="AN1093" s="122"/>
      <c r="AO1093" s="115"/>
      <c r="AP1093" s="115"/>
      <c r="AQ1093" s="115"/>
      <c r="AR1093" s="115"/>
      <c r="AS1093" s="115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26"/>
      <c r="BD1093" s="13"/>
      <c r="BG1093" s="114"/>
    </row>
    <row r="1094" spans="1:60" x14ac:dyDescent="0.4">
      <c r="A1094" s="115"/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22"/>
      <c r="AM1094" s="122"/>
      <c r="AN1094" s="122"/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7"/>
      <c r="BD1094" s="13"/>
      <c r="BG1094" s="114"/>
    </row>
    <row r="1095" spans="1:60" x14ac:dyDescent="0.4">
      <c r="A1095" s="115"/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22"/>
      <c r="AM1095" s="122"/>
      <c r="AN1095" s="122"/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26"/>
      <c r="BD1095" s="13"/>
      <c r="BG1095" s="114"/>
    </row>
    <row r="1096" spans="1:60" x14ac:dyDescent="0.4">
      <c r="A1096" s="115"/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22"/>
      <c r="AM1096" s="122"/>
      <c r="AN1096" s="122"/>
      <c r="AO1096" s="115"/>
      <c r="AP1096" s="115"/>
      <c r="AQ1096" s="115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26"/>
      <c r="BD1096" s="13"/>
      <c r="BG1096" s="114"/>
    </row>
    <row r="1097" spans="1:60" x14ac:dyDescent="0.4">
      <c r="A1097" s="115"/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22"/>
      <c r="AM1097" s="122"/>
      <c r="AN1097" s="122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26"/>
      <c r="BD1097" s="13"/>
      <c r="BG1097" s="114"/>
    </row>
    <row r="1098" spans="1:60" x14ac:dyDescent="0.4">
      <c r="A1098" s="115"/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22"/>
      <c r="AM1098" s="122"/>
      <c r="AN1098" s="122"/>
      <c r="AO1098" s="115"/>
      <c r="AP1098" s="115"/>
      <c r="AQ1098" s="115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26"/>
      <c r="BD1098" s="15"/>
      <c r="BG1098" s="114"/>
    </row>
    <row r="1099" spans="1:60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22"/>
      <c r="AM1099" s="122"/>
      <c r="AN1099" s="122"/>
      <c r="AO1099" s="115"/>
      <c r="AP1099" s="115"/>
      <c r="AQ1099" s="115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26"/>
      <c r="BD1099" s="15"/>
      <c r="BG1099" s="114"/>
    </row>
    <row r="1100" spans="1:60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22"/>
      <c r="AM1100" s="122"/>
      <c r="AN1100" s="122"/>
      <c r="AO1100" s="115"/>
      <c r="AP1100" s="115"/>
      <c r="AQ1100" s="115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26"/>
      <c r="BD1100" s="15"/>
      <c r="BG1100" s="114"/>
    </row>
    <row r="1101" spans="1:60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22"/>
      <c r="AM1101" s="122"/>
      <c r="AN1101" s="122"/>
      <c r="AO1101" s="115"/>
      <c r="AP1101" s="115"/>
      <c r="AQ1101" s="115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26"/>
      <c r="BD1101" s="13"/>
      <c r="BG1101" s="114"/>
    </row>
    <row r="1102" spans="1:60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22"/>
      <c r="AM1102" s="122"/>
      <c r="AN1102" s="122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26"/>
      <c r="BD1102" s="15"/>
      <c r="BG1102" s="114"/>
    </row>
    <row r="1103" spans="1:60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22"/>
      <c r="AM1103" s="122"/>
      <c r="AN1103" s="122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26"/>
      <c r="BD1103" s="15"/>
      <c r="BG1103" s="114"/>
      <c r="BH1103" s="120"/>
    </row>
    <row r="1104" spans="1:60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22"/>
      <c r="AM1104" s="122"/>
      <c r="AN1104" s="122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26"/>
      <c r="BD1104" s="15"/>
      <c r="BG1104" s="114"/>
      <c r="BH1104" s="120"/>
    </row>
    <row r="1105" spans="1:60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22"/>
      <c r="AM1105" s="122"/>
      <c r="AN1105" s="122"/>
      <c r="AO1105" s="115"/>
      <c r="AP1105" s="115"/>
      <c r="AQ1105" s="115"/>
      <c r="AR1105" s="115"/>
      <c r="AS1105" s="115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26"/>
      <c r="BD1105" s="15"/>
      <c r="BG1105" s="114"/>
      <c r="BH1105" s="120"/>
    </row>
    <row r="1106" spans="1:60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22"/>
      <c r="AM1106" s="122"/>
      <c r="AN1106" s="122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26"/>
      <c r="BD1106" s="15"/>
      <c r="BG1106" s="114"/>
      <c r="BH1106" s="120"/>
    </row>
    <row r="1107" spans="1:60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22"/>
      <c r="AM1107" s="122"/>
      <c r="AN1107" s="122"/>
      <c r="AO1107" s="115"/>
      <c r="AP1107" s="115"/>
      <c r="AQ1107" s="115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26"/>
      <c r="BD1107" s="15"/>
      <c r="BG1107" s="114"/>
      <c r="BH1107" s="120"/>
    </row>
    <row r="1108" spans="1:60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22"/>
      <c r="AM1108" s="122"/>
      <c r="AN1108" s="122"/>
      <c r="AO1108" s="115"/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26"/>
      <c r="BD1108" s="15"/>
      <c r="BG1108" s="114"/>
      <c r="BH1108" s="120"/>
    </row>
    <row r="1109" spans="1:60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22"/>
      <c r="AM1109" s="122"/>
      <c r="AN1109" s="122"/>
      <c r="AO1109" s="115"/>
      <c r="AP1109" s="115"/>
      <c r="AQ1109" s="115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26"/>
      <c r="BD1109" s="15"/>
      <c r="BG1109" s="114"/>
      <c r="BH1109" s="120"/>
    </row>
    <row r="1110" spans="1:60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22"/>
      <c r="AM1110" s="122"/>
      <c r="AN1110" s="122"/>
      <c r="AO1110" s="115"/>
      <c r="AP1110" s="115"/>
      <c r="AQ1110" s="115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7"/>
      <c r="BD1110" s="15"/>
      <c r="BG1110" s="114"/>
      <c r="BH1110" s="120"/>
    </row>
    <row r="1111" spans="1:60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22"/>
      <c r="AM1111" s="122"/>
      <c r="AN1111" s="122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26"/>
      <c r="BD1111" s="15"/>
      <c r="BG1111" s="114"/>
      <c r="BH1111" s="120"/>
    </row>
    <row r="1112" spans="1:60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22"/>
      <c r="AM1112" s="122"/>
      <c r="AN1112" s="122"/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26"/>
      <c r="BD1112" s="15"/>
      <c r="BG1112" s="114"/>
    </row>
    <row r="1113" spans="1:60" x14ac:dyDescent="0.4">
      <c r="BC1113" s="26"/>
      <c r="BD1113" s="15"/>
      <c r="BG1113" s="114"/>
    </row>
    <row r="1114" spans="1:60" x14ac:dyDescent="0.4">
      <c r="AP1114" s="115"/>
      <c r="AQ1114" s="115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7"/>
      <c r="BD1114" s="15"/>
      <c r="BG1114" s="114"/>
    </row>
    <row r="1115" spans="1:60" x14ac:dyDescent="0.4"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7"/>
      <c r="BD1115" s="15"/>
      <c r="BG1115" s="114"/>
    </row>
    <row r="1116" spans="1:60" x14ac:dyDescent="0.4">
      <c r="AN1116" s="122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7"/>
      <c r="BD1116" s="15"/>
      <c r="BG1116" s="114"/>
    </row>
    <row r="1117" spans="1:60" x14ac:dyDescent="0.4">
      <c r="AI1117" s="115"/>
      <c r="AJ1117" s="115"/>
      <c r="AK1117" s="115"/>
      <c r="AL1117" s="122"/>
      <c r="AM1117" s="122"/>
      <c r="AN1117" s="122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26"/>
      <c r="BD1117" s="15"/>
      <c r="BG1117" s="114"/>
    </row>
    <row r="1118" spans="1:60" x14ac:dyDescent="0.4">
      <c r="AI1118" s="115"/>
      <c r="AJ1118" s="115"/>
      <c r="AK1118" s="115"/>
      <c r="AL1118" s="122"/>
      <c r="AM1118" s="122"/>
      <c r="AN1118" s="122"/>
      <c r="AO1118" s="115"/>
      <c r="AP1118" s="115"/>
      <c r="AQ1118" s="115"/>
      <c r="AR1118" s="115"/>
      <c r="AS1118" s="115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7"/>
      <c r="BD1118" s="15"/>
      <c r="BG1118" s="114"/>
    </row>
    <row r="1119" spans="1:60" x14ac:dyDescent="0.4">
      <c r="AH1119" s="115"/>
      <c r="AI1119" s="115"/>
      <c r="AJ1119" s="115"/>
      <c r="AK1119" s="115"/>
      <c r="AL1119" s="122"/>
      <c r="AM1119" s="122"/>
      <c r="AN1119" s="122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26"/>
      <c r="BD1119" s="15"/>
      <c r="BG1119" s="114"/>
    </row>
    <row r="1120" spans="1:60" x14ac:dyDescent="0.4">
      <c r="AH1120" s="115"/>
      <c r="AI1120" s="115"/>
      <c r="AJ1120" s="115"/>
      <c r="AK1120" s="115"/>
      <c r="AL1120" s="122"/>
      <c r="AM1120" s="122"/>
      <c r="AN1120" s="122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7"/>
      <c r="BD1120" s="15"/>
      <c r="BG1120" s="114"/>
    </row>
    <row r="1121" spans="4:63" x14ac:dyDescent="0.4">
      <c r="AH1121" s="115"/>
      <c r="AI1121" s="115"/>
      <c r="AJ1121" s="115"/>
      <c r="AK1121" s="115"/>
      <c r="AL1121" s="122"/>
      <c r="AM1121" s="122"/>
      <c r="AN1121" s="122"/>
      <c r="AO1121" s="115"/>
      <c r="AP1121" s="115"/>
      <c r="AQ1121" s="115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7"/>
      <c r="BD1121" s="15"/>
      <c r="BG1121" s="114"/>
    </row>
    <row r="1122" spans="4:63" x14ac:dyDescent="0.4">
      <c r="AH1122" s="115"/>
      <c r="AI1122" s="115"/>
      <c r="AJ1122" s="115"/>
      <c r="AK1122" s="115"/>
      <c r="AL1122" s="122"/>
      <c r="AM1122" s="122"/>
      <c r="AN1122" s="122"/>
      <c r="AO1122" s="115"/>
      <c r="AP1122" s="115"/>
      <c r="AQ1122" s="115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7"/>
      <c r="BD1122" s="15"/>
      <c r="BG1122" s="114"/>
    </row>
    <row r="1123" spans="4:63" x14ac:dyDescent="0.4">
      <c r="AH1123" s="115"/>
      <c r="AI1123" s="115"/>
      <c r="AJ1123" s="115"/>
      <c r="AK1123" s="115"/>
      <c r="AL1123" s="122"/>
      <c r="AM1123" s="122"/>
      <c r="AN1123" s="122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26"/>
      <c r="BD1123" s="15"/>
      <c r="BG1123" s="114"/>
    </row>
    <row r="1124" spans="4:63" x14ac:dyDescent="0.4">
      <c r="AH1124" s="115"/>
      <c r="AI1124" s="115"/>
      <c r="AJ1124" s="115"/>
      <c r="AK1124" s="115"/>
      <c r="AL1124" s="122"/>
      <c r="AM1124" s="122"/>
      <c r="AN1124" s="122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7"/>
      <c r="BD1124" s="15"/>
      <c r="BG1124" s="114"/>
    </row>
    <row r="1125" spans="4:63" ht="19.5" x14ac:dyDescent="0.4">
      <c r="BC1125" s="26"/>
      <c r="BD1125" s="15"/>
      <c r="BH1125" s="116"/>
      <c r="BI1125" s="116"/>
      <c r="BJ1125" s="116"/>
      <c r="BK1125" s="116"/>
    </row>
    <row r="1126" spans="4:63" ht="19.5" x14ac:dyDescent="0.4">
      <c r="AM1126" s="122"/>
      <c r="AN1126" s="122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7"/>
      <c r="BD1126" s="15"/>
      <c r="BH1126" s="117"/>
      <c r="BI1126" s="116"/>
      <c r="BJ1126" s="116"/>
      <c r="BK1126" s="116"/>
    </row>
    <row r="1127" spans="4:63" ht="19.5" x14ac:dyDescent="0.4">
      <c r="AE1127" s="115"/>
      <c r="AF1127" s="115"/>
      <c r="AG1127" s="115"/>
      <c r="AH1127" s="115"/>
      <c r="AI1127" s="115"/>
      <c r="AJ1127" s="115"/>
      <c r="AK1127" s="115"/>
      <c r="AL1127" s="122"/>
      <c r="AM1127" s="122"/>
      <c r="AN1127" s="122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26"/>
      <c r="BD1127" s="15"/>
      <c r="BH1127" s="117"/>
      <c r="BI1127" s="116"/>
      <c r="BJ1127" s="116"/>
      <c r="BK1127" s="116"/>
    </row>
    <row r="1128" spans="4:63" ht="19.5" x14ac:dyDescent="0.4"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22"/>
      <c r="AM1128" s="122"/>
      <c r="AN1128" s="122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26"/>
      <c r="BD1128" s="13"/>
      <c r="BH1128" s="117"/>
      <c r="BI1128" s="116"/>
      <c r="BJ1128" s="116"/>
      <c r="BK1128" s="116"/>
    </row>
    <row r="1129" spans="4:63" ht="19.5" x14ac:dyDescent="0.4"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22"/>
      <c r="AM1129" s="122"/>
      <c r="AN1129" s="122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26"/>
      <c r="BD1129" s="15"/>
      <c r="BH1129" s="117"/>
      <c r="BI1129" s="116"/>
      <c r="BJ1129" s="116"/>
      <c r="BK1129" s="116"/>
    </row>
    <row r="1130" spans="4:63" ht="19.5" x14ac:dyDescent="0.4"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22"/>
      <c r="AM1130" s="122"/>
      <c r="AN1130" s="122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7"/>
      <c r="BD1130" s="15"/>
      <c r="BH1130" s="117"/>
      <c r="BI1130" s="116"/>
      <c r="BJ1130" s="116"/>
      <c r="BK1130" s="116"/>
    </row>
    <row r="1131" spans="4:63" ht="19.5" x14ac:dyDescent="0.4"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22"/>
      <c r="AM1131" s="122"/>
      <c r="AN1131" s="122"/>
      <c r="AO1131" s="115"/>
      <c r="AP1131" s="115"/>
      <c r="AQ1131" s="115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26"/>
      <c r="BD1131" s="15"/>
      <c r="BH1131" s="117"/>
      <c r="BI1131" s="116"/>
      <c r="BJ1131" s="116"/>
      <c r="BK1131" s="116"/>
    </row>
    <row r="1132" spans="4:63" ht="19.5" x14ac:dyDescent="0.4"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22"/>
      <c r="AM1132" s="122"/>
      <c r="AN1132" s="122"/>
      <c r="AO1132" s="115"/>
      <c r="AP1132" s="115"/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26"/>
      <c r="BD1132" s="15"/>
      <c r="BH1132" s="117"/>
      <c r="BI1132" s="116"/>
      <c r="BJ1132" s="116"/>
      <c r="BK1132" s="116"/>
    </row>
    <row r="1133" spans="4:63" ht="19.5" x14ac:dyDescent="0.4"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22"/>
      <c r="AM1133" s="122"/>
      <c r="AN1133" s="122"/>
      <c r="AO1133" s="115"/>
      <c r="AP1133" s="115"/>
      <c r="AQ1133" s="115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7"/>
      <c r="BD1133" s="15"/>
      <c r="BH1133" s="117"/>
      <c r="BI1133" s="116"/>
      <c r="BJ1133" s="116"/>
      <c r="BK1133" s="116"/>
    </row>
    <row r="1134" spans="4:63" ht="19.5" x14ac:dyDescent="0.4"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22"/>
      <c r="AM1134" s="122"/>
      <c r="AN1134" s="122"/>
      <c r="AO1134" s="115"/>
      <c r="AP1134" s="115"/>
      <c r="AQ1134" s="115"/>
      <c r="AR1134" s="115"/>
      <c r="AS1134" s="115"/>
      <c r="AT1134" s="115"/>
      <c r="AU1134" s="115"/>
      <c r="AV1134" s="115"/>
      <c r="AW1134" s="115"/>
      <c r="AX1134" s="115"/>
      <c r="AY1134" s="115"/>
      <c r="AZ1134" s="115"/>
      <c r="BA1134" s="115"/>
      <c r="BB1134" s="115"/>
      <c r="BC1134" s="26"/>
      <c r="BD1134" s="15"/>
      <c r="BH1134" s="117"/>
      <c r="BI1134" s="116"/>
      <c r="BJ1134" s="116"/>
      <c r="BK1134" s="116"/>
    </row>
    <row r="1135" spans="4:63" ht="19.5" x14ac:dyDescent="0.4">
      <c r="BC1135" s="26"/>
      <c r="BD1135" s="15"/>
      <c r="BH1135" s="117"/>
      <c r="BI1135" s="116"/>
      <c r="BJ1135" s="116"/>
      <c r="BK1135" s="116"/>
    </row>
    <row r="1136" spans="4:63" ht="19.5" x14ac:dyDescent="0.4">
      <c r="AM1136" s="122"/>
      <c r="AN1136" s="122"/>
      <c r="AO1136" s="115"/>
      <c r="AP1136" s="115"/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7"/>
      <c r="BD1136" s="15"/>
      <c r="BH1136" s="117"/>
      <c r="BI1136" s="116"/>
      <c r="BJ1136" s="116"/>
      <c r="BK1136" s="116"/>
    </row>
    <row r="1137" spans="1:63" ht="19.5" x14ac:dyDescent="0.4">
      <c r="AJ1137" s="115"/>
      <c r="AK1137" s="115"/>
      <c r="AL1137" s="122"/>
      <c r="AM1137" s="122"/>
      <c r="AN1137" s="122"/>
      <c r="AO1137" s="115"/>
      <c r="AP1137" s="115"/>
      <c r="AQ1137" s="115"/>
      <c r="AR1137" s="115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26"/>
      <c r="BD1137" s="15"/>
      <c r="BH1137" s="117"/>
      <c r="BI1137" s="116"/>
      <c r="BJ1137" s="116"/>
      <c r="BK1137" s="116"/>
    </row>
    <row r="1138" spans="1:63" ht="19.5" x14ac:dyDescent="0.4">
      <c r="AJ1138" s="115"/>
      <c r="AK1138" s="115"/>
      <c r="AL1138" s="122"/>
      <c r="AM1138" s="122"/>
      <c r="AN1138" s="122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7"/>
      <c r="BD1138" s="15"/>
      <c r="BH1138" s="117"/>
      <c r="BI1138" s="116"/>
      <c r="BJ1138" s="116"/>
      <c r="BK1138" s="116"/>
    </row>
    <row r="1139" spans="1:63" ht="19.5" x14ac:dyDescent="0.4">
      <c r="AI1139" s="115"/>
      <c r="AJ1139" s="115"/>
      <c r="AK1139" s="115"/>
      <c r="AL1139" s="122"/>
      <c r="AM1139" s="122"/>
      <c r="AN1139" s="122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26"/>
      <c r="BD1139" s="15"/>
      <c r="BH1139" s="117"/>
      <c r="BI1139" s="116"/>
      <c r="BJ1139" s="116"/>
      <c r="BK1139" s="116"/>
    </row>
    <row r="1140" spans="1:63" ht="19.5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22"/>
      <c r="AM1140" s="122"/>
      <c r="AN1140" s="122"/>
      <c r="AO1140" s="115"/>
      <c r="AP1140" s="115"/>
      <c r="AQ1140" s="115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26"/>
      <c r="BD1140" s="15"/>
      <c r="BH1140" s="117"/>
      <c r="BI1140" s="116"/>
      <c r="BJ1140" s="116"/>
      <c r="BK1140" s="116"/>
    </row>
    <row r="1141" spans="1:63" ht="19.5" x14ac:dyDescent="0.4">
      <c r="A1141" s="115"/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22"/>
      <c r="AM1141" s="122"/>
      <c r="AN1141" s="122"/>
      <c r="AO1141" s="115"/>
      <c r="AP1141" s="115"/>
      <c r="AQ1141" s="115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26"/>
      <c r="BD1141" s="15"/>
      <c r="BH1141" s="117"/>
      <c r="BI1141" s="116"/>
      <c r="BJ1141" s="116"/>
      <c r="BK1141" s="116"/>
    </row>
    <row r="1142" spans="1:63" ht="19.5" x14ac:dyDescent="0.4">
      <c r="A1142" s="115"/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22"/>
      <c r="AM1142" s="122"/>
      <c r="AN1142" s="122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26"/>
      <c r="BD1142" s="15"/>
      <c r="BH1142" s="117"/>
      <c r="BI1142" s="116"/>
      <c r="BJ1142" s="116"/>
      <c r="BK1142" s="116"/>
    </row>
    <row r="1143" spans="1:63" ht="19.5" x14ac:dyDescent="0.4">
      <c r="A1143" s="115"/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22"/>
      <c r="AM1143" s="122"/>
      <c r="AN1143" s="122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26"/>
      <c r="BD1143" s="105"/>
      <c r="BH1143" s="117"/>
      <c r="BI1143" s="116"/>
      <c r="BJ1143" s="116"/>
      <c r="BK1143" s="116"/>
    </row>
    <row r="1144" spans="1:63" ht="19.5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22"/>
      <c r="AM1144" s="122"/>
      <c r="AN1144" s="122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26"/>
      <c r="BD1144" s="105"/>
      <c r="BH1144" s="117"/>
      <c r="BI1144" s="116"/>
      <c r="BJ1144" s="116"/>
      <c r="BK1144" s="116"/>
    </row>
    <row r="1145" spans="1:63" ht="19.5" x14ac:dyDescent="0.4">
      <c r="BC1145" s="26"/>
      <c r="BD1145" s="13"/>
      <c r="BH1145" s="117"/>
      <c r="BI1145" s="116"/>
      <c r="BJ1145" s="116"/>
      <c r="BK1145" s="116"/>
    </row>
    <row r="1146" spans="1:63" ht="19.5" x14ac:dyDescent="0.4">
      <c r="AJ1146" s="115"/>
      <c r="AK1146" s="115"/>
      <c r="AL1146" s="122"/>
      <c r="AM1146" s="122"/>
      <c r="AN1146" s="122"/>
      <c r="AO1146" s="115"/>
      <c r="AP1146" s="115"/>
      <c r="AQ1146" s="115"/>
      <c r="AR1146" s="115"/>
      <c r="AS1146" s="115"/>
      <c r="AT1146" s="115"/>
      <c r="AU1146" s="115"/>
      <c r="AV1146" s="115"/>
      <c r="AW1146" s="115"/>
      <c r="AX1146" s="115"/>
      <c r="AY1146" s="115"/>
      <c r="AZ1146" s="115"/>
      <c r="BA1146" s="115"/>
      <c r="BB1146" s="115"/>
      <c r="BC1146" s="26"/>
      <c r="BD1146" s="13"/>
      <c r="BH1146" s="117"/>
      <c r="BI1146" s="116"/>
      <c r="BJ1146" s="116"/>
      <c r="BK1146" s="116"/>
    </row>
    <row r="1147" spans="1:63" ht="19.5" x14ac:dyDescent="0.4">
      <c r="AE1147" s="115"/>
      <c r="AF1147" s="115"/>
      <c r="AG1147" s="115"/>
      <c r="AH1147" s="115"/>
      <c r="AI1147" s="115"/>
      <c r="AJ1147" s="115"/>
      <c r="AK1147" s="115"/>
      <c r="AL1147" s="122"/>
      <c r="AM1147" s="122"/>
      <c r="AN1147" s="122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26"/>
      <c r="BD1147" s="13"/>
      <c r="BH1147" s="117"/>
      <c r="BI1147" s="116"/>
      <c r="BJ1147" s="116"/>
      <c r="BK1147" s="116"/>
    </row>
    <row r="1148" spans="1:63" ht="19.5" x14ac:dyDescent="0.4">
      <c r="BC1148" s="26"/>
      <c r="BD1148" s="13"/>
      <c r="BH1148" s="117"/>
      <c r="BI1148" s="116"/>
      <c r="BJ1148" s="116"/>
      <c r="BK1148" s="116"/>
    </row>
    <row r="1149" spans="1:63" ht="19.5" x14ac:dyDescent="0.4"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22"/>
      <c r="AM1149" s="122"/>
      <c r="AN1149" s="122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26"/>
      <c r="BD1149" s="13"/>
      <c r="BH1149" s="117"/>
      <c r="BI1149" s="116"/>
      <c r="BJ1149" s="116"/>
      <c r="BK1149" s="116"/>
    </row>
    <row r="1150" spans="1:63" ht="19.5" x14ac:dyDescent="0.4"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22"/>
      <c r="AM1150" s="122"/>
      <c r="AN1150" s="122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26"/>
      <c r="BD1150" s="13"/>
      <c r="BH1150" s="117"/>
      <c r="BI1150" s="116"/>
      <c r="BJ1150" s="116"/>
      <c r="BK1150" s="116"/>
    </row>
    <row r="1151" spans="1:63" ht="19.5" x14ac:dyDescent="0.4"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22"/>
      <c r="AM1151" s="122"/>
      <c r="AN1151" s="122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26"/>
      <c r="BD1151" s="13"/>
      <c r="BH1151" s="117"/>
      <c r="BI1151" s="116"/>
      <c r="BJ1151" s="116"/>
      <c r="BK1151" s="116"/>
    </row>
    <row r="1152" spans="1:63" ht="19.5" x14ac:dyDescent="0.4"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22"/>
      <c r="AM1152" s="122"/>
      <c r="AN1152" s="122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26"/>
      <c r="BD1152" s="13"/>
      <c r="BH1152" s="117"/>
      <c r="BI1152" s="116"/>
      <c r="BJ1152" s="116"/>
      <c r="BK1152" s="116"/>
    </row>
    <row r="1153" spans="1:63" ht="19.5" x14ac:dyDescent="0.4"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22"/>
      <c r="AM1153" s="122"/>
      <c r="AN1153" s="122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26"/>
      <c r="BD1153" s="13"/>
      <c r="BH1153" s="117"/>
      <c r="BI1153" s="116"/>
      <c r="BJ1153" s="116"/>
      <c r="BK1153" s="116"/>
    </row>
    <row r="1154" spans="1:63" ht="19.5" x14ac:dyDescent="0.4"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22"/>
      <c r="AM1154" s="122"/>
      <c r="AN1154" s="122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26"/>
      <c r="BD1154" s="13"/>
      <c r="BH1154" s="117"/>
      <c r="BI1154" s="116"/>
      <c r="BJ1154" s="116"/>
      <c r="BK1154" s="116"/>
    </row>
    <row r="1155" spans="1:63" ht="19.5" x14ac:dyDescent="0.4"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22"/>
      <c r="AM1155" s="122"/>
      <c r="AN1155" s="122"/>
      <c r="AO1155" s="115"/>
      <c r="AP1155" s="115"/>
      <c r="AQ1155" s="115"/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26"/>
      <c r="BD1155" s="13"/>
      <c r="BH1155" s="117"/>
      <c r="BI1155" s="116"/>
      <c r="BJ1155" s="116"/>
      <c r="BK1155" s="116"/>
    </row>
    <row r="1156" spans="1:63" ht="19.5" x14ac:dyDescent="0.4"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22"/>
      <c r="AM1156" s="122"/>
      <c r="AN1156" s="122"/>
      <c r="AO1156" s="115"/>
      <c r="AP1156" s="115"/>
      <c r="AQ1156" s="115"/>
      <c r="AR1156" s="115"/>
      <c r="AS1156" s="115"/>
      <c r="AT1156" s="115"/>
      <c r="AU1156" s="115"/>
      <c r="AV1156" s="115"/>
      <c r="AW1156" s="115"/>
      <c r="AX1156" s="115"/>
      <c r="AY1156" s="115"/>
      <c r="AZ1156" s="115"/>
      <c r="BA1156" s="115"/>
      <c r="BB1156" s="115"/>
      <c r="BC1156" s="26"/>
      <c r="BD1156" s="13"/>
      <c r="BH1156" s="117"/>
      <c r="BI1156" s="116"/>
      <c r="BJ1156" s="116"/>
      <c r="BK1156" s="116"/>
    </row>
    <row r="1157" spans="1:63" ht="19.5" x14ac:dyDescent="0.4">
      <c r="BC1157" s="26"/>
      <c r="BD1157" s="15"/>
      <c r="BH1157" s="117"/>
      <c r="BI1157" s="116"/>
      <c r="BJ1157" s="116"/>
      <c r="BK1157" s="116"/>
    </row>
    <row r="1158" spans="1:63" ht="19.5" x14ac:dyDescent="0.4"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22"/>
      <c r="AM1158" s="122"/>
      <c r="AN1158" s="122"/>
      <c r="AO1158" s="115"/>
      <c r="AP1158" s="115"/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26"/>
      <c r="BD1158" s="15"/>
      <c r="BH1158" s="117"/>
      <c r="BI1158" s="116"/>
      <c r="BJ1158" s="116"/>
      <c r="BK1158" s="116"/>
    </row>
    <row r="1159" spans="1:63" ht="19.5" x14ac:dyDescent="0.4"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22"/>
      <c r="AM1159" s="122"/>
      <c r="AN1159" s="122"/>
      <c r="AO1159" s="115"/>
      <c r="AP1159" s="115"/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7"/>
      <c r="BD1159" s="15"/>
      <c r="BH1159" s="117"/>
      <c r="BI1159" s="116"/>
      <c r="BJ1159" s="116"/>
      <c r="BK1159" s="116"/>
    </row>
    <row r="1160" spans="1:63" ht="19.5" x14ac:dyDescent="0.4">
      <c r="BC1160" s="26"/>
      <c r="BD1160" s="15"/>
      <c r="BH1160" s="117"/>
      <c r="BI1160" s="116"/>
      <c r="BJ1160" s="116"/>
      <c r="BK1160" s="116"/>
    </row>
    <row r="1161" spans="1:63" ht="19.5" x14ac:dyDescent="0.4">
      <c r="BC1161" s="26"/>
      <c r="BD1161" s="13"/>
      <c r="BH1161" s="117"/>
      <c r="BI1161" s="116"/>
      <c r="BJ1161" s="116"/>
      <c r="BK1161" s="116"/>
    </row>
    <row r="1162" spans="1:63" ht="19.5" x14ac:dyDescent="0.4">
      <c r="AI1162" s="115"/>
      <c r="AJ1162" s="115"/>
      <c r="AK1162" s="115"/>
      <c r="AL1162" s="122"/>
      <c r="AM1162" s="122"/>
      <c r="AN1162" s="122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26"/>
      <c r="BD1162" s="13"/>
      <c r="BH1162" s="117"/>
      <c r="BI1162" s="116"/>
      <c r="BJ1162" s="116"/>
      <c r="BK1162" s="116"/>
    </row>
    <row r="1163" spans="1:63" ht="19.5" x14ac:dyDescent="0.4"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22"/>
      <c r="AM1163" s="122"/>
      <c r="AN1163" s="122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26"/>
      <c r="BD1163" s="13"/>
      <c r="BH1163" s="117"/>
      <c r="BI1163" s="116"/>
      <c r="BJ1163" s="116"/>
      <c r="BK1163" s="116"/>
    </row>
    <row r="1164" spans="1:63" ht="19.5" x14ac:dyDescent="0.4"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22"/>
      <c r="AM1164" s="122"/>
      <c r="AN1164" s="122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7"/>
      <c r="BD1164" s="13"/>
      <c r="BH1164" s="117"/>
      <c r="BI1164" s="116"/>
      <c r="BJ1164" s="116"/>
      <c r="BK1164" s="116"/>
    </row>
    <row r="1165" spans="1:63" ht="19.5" x14ac:dyDescent="0.4"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22"/>
      <c r="AM1165" s="122"/>
      <c r="AN1165" s="122"/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26"/>
      <c r="BD1165" s="25"/>
      <c r="BH1165" s="117"/>
      <c r="BI1165" s="116"/>
      <c r="BJ1165" s="116"/>
      <c r="BK1165" s="116"/>
    </row>
    <row r="1166" spans="1:63" ht="19.5" x14ac:dyDescent="0.4"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22"/>
      <c r="AM1166" s="122"/>
      <c r="AN1166" s="122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115"/>
      <c r="BB1166" s="115"/>
      <c r="BC1166" s="17"/>
      <c r="BD1166" s="13"/>
      <c r="BH1166" s="117"/>
      <c r="BI1166" s="116"/>
      <c r="BJ1166" s="116"/>
      <c r="BK1166" s="116"/>
    </row>
    <row r="1167" spans="1:63" ht="19.5" x14ac:dyDescent="0.4"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22"/>
      <c r="AM1167" s="122"/>
      <c r="AN1167" s="122"/>
      <c r="AO1167" s="115"/>
      <c r="AP1167" s="115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26"/>
      <c r="BD1167" s="13"/>
      <c r="BH1167" s="117"/>
      <c r="BI1167" s="116"/>
      <c r="BJ1167" s="116"/>
      <c r="BK1167" s="116"/>
    </row>
    <row r="1168" spans="1:63" ht="19.5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22"/>
      <c r="AM1168" s="122"/>
      <c r="AN1168" s="122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26"/>
      <c r="BD1168" s="13"/>
      <c r="BH1168" s="117"/>
      <c r="BI1168" s="116"/>
      <c r="BJ1168" s="116"/>
      <c r="BK1168" s="116"/>
    </row>
    <row r="1169" spans="1:63" ht="19.5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22"/>
      <c r="AM1169" s="122"/>
      <c r="AN1169" s="122"/>
      <c r="AO1169" s="115"/>
      <c r="AP1169" s="115"/>
      <c r="AQ1169" s="115"/>
      <c r="AR1169" s="115"/>
      <c r="AS1169" s="115"/>
      <c r="AT1169" s="115"/>
      <c r="AU1169" s="115"/>
      <c r="AV1169" s="115"/>
      <c r="AW1169" s="115"/>
      <c r="AX1169" s="115"/>
      <c r="AY1169" s="115"/>
      <c r="AZ1169" s="115"/>
      <c r="BA1169" s="115"/>
      <c r="BB1169" s="115"/>
      <c r="BC1169" s="26"/>
      <c r="BD1169" s="13"/>
      <c r="BH1169" s="117"/>
      <c r="BI1169" s="116"/>
      <c r="BJ1169" s="116"/>
      <c r="BK1169" s="116"/>
    </row>
    <row r="1170" spans="1:63" ht="19.5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22"/>
      <c r="AM1170" s="122"/>
      <c r="AN1170" s="122"/>
      <c r="AO1170" s="115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26"/>
      <c r="BD1170" s="13"/>
      <c r="BH1170" s="117"/>
      <c r="BI1170" s="116"/>
      <c r="BJ1170" s="116"/>
      <c r="BK1170" s="116"/>
    </row>
    <row r="1171" spans="1:63" ht="19.5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22"/>
      <c r="AM1171" s="122"/>
      <c r="AN1171" s="122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26"/>
      <c r="BD1171" s="13"/>
      <c r="BH1171" s="117"/>
      <c r="BI1171" s="116"/>
      <c r="BJ1171" s="116"/>
      <c r="BK1171" s="116"/>
    </row>
    <row r="1172" spans="1:63" ht="19.5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22"/>
      <c r="AM1172" s="122"/>
      <c r="AN1172" s="122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26"/>
      <c r="BD1172" s="13"/>
      <c r="BH1172" s="117"/>
      <c r="BI1172" s="116"/>
      <c r="BJ1172" s="116"/>
      <c r="BK1172" s="116"/>
    </row>
    <row r="1173" spans="1:63" ht="19.5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22"/>
      <c r="AM1173" s="122"/>
      <c r="AN1173" s="122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26"/>
      <c r="BD1173" s="13"/>
      <c r="BH1173" s="117"/>
      <c r="BI1173" s="116"/>
      <c r="BJ1173" s="116"/>
      <c r="BK1173" s="116"/>
    </row>
    <row r="1174" spans="1:63" ht="19.5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22"/>
      <c r="AM1174" s="122"/>
      <c r="AN1174" s="122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26"/>
      <c r="BD1174" s="13"/>
      <c r="BH1174" s="117"/>
      <c r="BI1174" s="116"/>
      <c r="BJ1174" s="116"/>
      <c r="BK1174" s="116"/>
    </row>
    <row r="1175" spans="1:63" ht="19.5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22"/>
      <c r="AM1175" s="122"/>
      <c r="AN1175" s="122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26"/>
      <c r="BD1175" s="15"/>
      <c r="BH1175" s="117"/>
      <c r="BI1175" s="116"/>
      <c r="BJ1175" s="116"/>
      <c r="BK1175" s="116"/>
    </row>
    <row r="1176" spans="1:63" ht="19.5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22"/>
      <c r="AM1176" s="122"/>
      <c r="AN1176" s="122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26"/>
      <c r="BD1176" s="15"/>
      <c r="BH1176" s="117"/>
      <c r="BI1176" s="116"/>
      <c r="BJ1176" s="116"/>
      <c r="BK1176" s="116"/>
    </row>
    <row r="1177" spans="1:63" ht="19.5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22"/>
      <c r="AM1177" s="122"/>
      <c r="AN1177" s="122"/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26"/>
      <c r="BD1177" s="15"/>
      <c r="BH1177" s="117"/>
      <c r="BI1177" s="116"/>
      <c r="BJ1177" s="116"/>
      <c r="BK1177" s="116"/>
    </row>
    <row r="1178" spans="1:63" ht="19.5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22"/>
      <c r="AM1178" s="122"/>
      <c r="AN1178" s="122"/>
      <c r="AO1178" s="115"/>
      <c r="AP1178" s="115"/>
      <c r="AQ1178" s="115"/>
      <c r="AR1178" s="115"/>
      <c r="AS1178" s="115"/>
      <c r="AT1178" s="115"/>
      <c r="AU1178" s="115"/>
      <c r="AV1178" s="115"/>
      <c r="AW1178" s="115"/>
      <c r="AX1178" s="115"/>
      <c r="AY1178" s="115"/>
      <c r="AZ1178" s="115"/>
      <c r="BA1178" s="115"/>
      <c r="BB1178" s="115"/>
      <c r="BC1178" s="26"/>
      <c r="BD1178" s="15"/>
      <c r="BH1178" s="117"/>
      <c r="BI1178" s="116"/>
      <c r="BJ1178" s="116"/>
      <c r="BK1178" s="116"/>
    </row>
    <row r="1179" spans="1:63" ht="19.5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22"/>
      <c r="AM1179" s="122"/>
      <c r="AN1179" s="122"/>
      <c r="AO1179" s="115"/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26"/>
      <c r="BD1179" s="25"/>
      <c r="BH1179" s="117"/>
      <c r="BI1179" s="116"/>
      <c r="BJ1179" s="116"/>
      <c r="BK1179" s="116"/>
    </row>
    <row r="1180" spans="1:63" ht="19.5" x14ac:dyDescent="0.4">
      <c r="BC1180" s="26"/>
      <c r="BD1180" s="15"/>
      <c r="BH1180" s="117"/>
      <c r="BI1180" s="116"/>
      <c r="BJ1180" s="116"/>
      <c r="BK1180" s="116"/>
    </row>
    <row r="1181" spans="1:63" ht="19.5" x14ac:dyDescent="0.4">
      <c r="AK1181" s="115"/>
      <c r="AL1181" s="122"/>
      <c r="AM1181" s="122"/>
      <c r="AN1181" s="122"/>
      <c r="AO1181" s="115"/>
      <c r="AP1181" s="115"/>
      <c r="AQ1181" s="115"/>
      <c r="AR1181" s="115"/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26"/>
      <c r="BD1181" s="15"/>
      <c r="BH1181" s="117"/>
      <c r="BI1181" s="116"/>
      <c r="BJ1181" s="116"/>
      <c r="BK1181" s="116"/>
    </row>
    <row r="1182" spans="1:63" ht="19.5" x14ac:dyDescent="0.4">
      <c r="AI1182" s="115"/>
      <c r="AJ1182" s="115"/>
      <c r="AK1182" s="115"/>
      <c r="AL1182" s="122"/>
      <c r="AM1182" s="122"/>
      <c r="AN1182" s="122"/>
      <c r="AO1182" s="115"/>
      <c r="AP1182" s="115"/>
      <c r="AQ1182" s="115"/>
      <c r="AR1182" s="115"/>
      <c r="AS1182" s="115"/>
      <c r="AT1182" s="115"/>
      <c r="AU1182" s="115"/>
      <c r="AV1182" s="115"/>
      <c r="AW1182" s="115"/>
      <c r="AX1182" s="115"/>
      <c r="AY1182" s="115"/>
      <c r="AZ1182" s="115"/>
      <c r="BA1182" s="115"/>
      <c r="BB1182" s="115"/>
      <c r="BC1182" s="26"/>
      <c r="BD1182" s="15"/>
      <c r="BH1182" s="117"/>
      <c r="BI1182" s="116"/>
      <c r="BJ1182" s="116"/>
      <c r="BK1182" s="116"/>
    </row>
    <row r="1183" spans="1:63" ht="19.5" x14ac:dyDescent="0.4">
      <c r="AI1183" s="115"/>
      <c r="AJ1183" s="115"/>
      <c r="AK1183" s="115"/>
      <c r="AL1183" s="122"/>
      <c r="AM1183" s="122"/>
      <c r="AN1183" s="122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7"/>
      <c r="BD1183" s="15"/>
      <c r="BH1183" s="117"/>
      <c r="BI1183" s="116"/>
      <c r="BJ1183" s="116"/>
      <c r="BK1183" s="116"/>
    </row>
    <row r="1184" spans="1:63" ht="19.5" x14ac:dyDescent="0.4">
      <c r="AF1184" s="115"/>
      <c r="AG1184" s="115"/>
      <c r="AH1184" s="115"/>
      <c r="AI1184" s="115"/>
      <c r="AJ1184" s="115"/>
      <c r="AK1184" s="115"/>
      <c r="AL1184" s="122"/>
      <c r="AM1184" s="122"/>
      <c r="AN1184" s="122"/>
      <c r="AO1184" s="115"/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26"/>
      <c r="BD1184" s="15"/>
      <c r="BH1184" s="117"/>
      <c r="BI1184" s="116"/>
      <c r="BJ1184" s="116"/>
      <c r="BK1184" s="116"/>
    </row>
    <row r="1185" spans="1:63" ht="19.5" x14ac:dyDescent="0.4">
      <c r="AF1185" s="115"/>
      <c r="AG1185" s="115"/>
      <c r="AH1185" s="115"/>
      <c r="AI1185" s="115"/>
      <c r="AJ1185" s="115"/>
      <c r="AK1185" s="115"/>
      <c r="AL1185" s="122"/>
      <c r="AM1185" s="122"/>
      <c r="AN1185" s="122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7"/>
      <c r="BD1185" s="15"/>
      <c r="BH1185" s="117"/>
      <c r="BI1185" s="116"/>
      <c r="BJ1185" s="116"/>
      <c r="BK1185" s="116"/>
    </row>
    <row r="1186" spans="1:63" ht="19.5" x14ac:dyDescent="0.4">
      <c r="AF1186" s="115"/>
      <c r="AG1186" s="115"/>
      <c r="AH1186" s="115"/>
      <c r="AI1186" s="115"/>
      <c r="AJ1186" s="115"/>
      <c r="AK1186" s="115"/>
      <c r="AL1186" s="122"/>
      <c r="AM1186" s="122"/>
      <c r="AN1186" s="122"/>
      <c r="AO1186" s="115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26"/>
      <c r="BD1186" s="15"/>
      <c r="BH1186" s="117"/>
      <c r="BI1186" s="116"/>
      <c r="BJ1186" s="116"/>
      <c r="BK1186" s="116"/>
    </row>
    <row r="1187" spans="1:63" ht="19.5" x14ac:dyDescent="0.4">
      <c r="AF1187" s="115"/>
      <c r="AG1187" s="115"/>
      <c r="AH1187" s="115"/>
      <c r="AI1187" s="115"/>
      <c r="AJ1187" s="115"/>
      <c r="AK1187" s="115"/>
      <c r="AL1187" s="122"/>
      <c r="AM1187" s="122"/>
      <c r="AN1187" s="122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7"/>
      <c r="BD1187" s="13"/>
      <c r="BH1187" s="117"/>
      <c r="BI1187" s="116"/>
      <c r="BJ1187" s="116"/>
      <c r="BK1187" s="116"/>
    </row>
    <row r="1188" spans="1:63" ht="19.5" x14ac:dyDescent="0.4">
      <c r="AF1188" s="115"/>
      <c r="AG1188" s="115"/>
      <c r="AH1188" s="115"/>
      <c r="AI1188" s="115"/>
      <c r="AJ1188" s="115"/>
      <c r="AK1188" s="115"/>
      <c r="AL1188" s="122"/>
      <c r="AM1188" s="122"/>
      <c r="AN1188" s="122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7"/>
      <c r="BD1188" s="13"/>
      <c r="BH1188" s="117"/>
      <c r="BI1188" s="116"/>
      <c r="BJ1188" s="116"/>
      <c r="BK1188" s="116"/>
    </row>
    <row r="1189" spans="1:63" ht="19.5" x14ac:dyDescent="0.4">
      <c r="BC1189" s="26"/>
      <c r="BD1189" s="13"/>
      <c r="BH1189" s="117"/>
      <c r="BI1189" s="116"/>
      <c r="BJ1189" s="116"/>
      <c r="BK1189" s="116"/>
    </row>
    <row r="1190" spans="1:63" ht="19.5" x14ac:dyDescent="0.4">
      <c r="AK1190" s="115"/>
      <c r="AL1190" s="122"/>
      <c r="AM1190" s="122"/>
      <c r="AN1190" s="122"/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7"/>
      <c r="BD1190" s="13"/>
      <c r="BH1190" s="117"/>
      <c r="BI1190" s="116"/>
      <c r="BJ1190" s="116"/>
      <c r="BK1190" s="116"/>
    </row>
    <row r="1191" spans="1:63" ht="19.5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22"/>
      <c r="AM1191" s="122"/>
      <c r="AN1191" s="122"/>
      <c r="AO1191" s="115"/>
      <c r="AP1191" s="115"/>
      <c r="AQ1191" s="115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26"/>
      <c r="BD1191" s="13"/>
      <c r="BH1191" s="117"/>
      <c r="BI1191" s="116"/>
      <c r="BJ1191" s="116"/>
      <c r="BK1191" s="116"/>
    </row>
    <row r="1192" spans="1:63" ht="19.5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22"/>
      <c r="AM1192" s="122"/>
      <c r="AN1192" s="122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26"/>
      <c r="BD1192" s="13"/>
      <c r="BH1192" s="117"/>
      <c r="BI1192" s="116"/>
      <c r="BJ1192" s="116"/>
      <c r="BK1192" s="116"/>
    </row>
    <row r="1193" spans="1:63" ht="19.5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22"/>
      <c r="AM1193" s="122"/>
      <c r="AN1193" s="122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26"/>
      <c r="BD1193" s="13"/>
      <c r="BH1193" s="117"/>
      <c r="BI1193" s="116"/>
      <c r="BJ1193" s="116"/>
      <c r="BK1193" s="116"/>
    </row>
    <row r="1194" spans="1:63" ht="19.5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22"/>
      <c r="AM1194" s="122"/>
      <c r="AN1194" s="122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26"/>
      <c r="BD1194" s="13"/>
      <c r="BH1194" s="117"/>
      <c r="BI1194" s="116"/>
      <c r="BJ1194" s="116"/>
      <c r="BK1194" s="116"/>
    </row>
    <row r="1195" spans="1:63" ht="19.5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22"/>
      <c r="AM1195" s="122"/>
      <c r="AN1195" s="122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7"/>
      <c r="BD1195" s="13"/>
      <c r="BH1195" s="117"/>
      <c r="BI1195" s="116"/>
      <c r="BJ1195" s="116"/>
      <c r="BK1195" s="116"/>
    </row>
    <row r="1196" spans="1:63" ht="19.5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22"/>
      <c r="AM1196" s="122"/>
      <c r="AN1196" s="122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26"/>
      <c r="BD1196" s="13"/>
      <c r="BH1196" s="117"/>
      <c r="BI1196" s="116"/>
      <c r="BJ1196" s="116"/>
      <c r="BK1196" s="116"/>
    </row>
    <row r="1197" spans="1:63" ht="19.5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22"/>
      <c r="AM1197" s="122"/>
      <c r="AN1197" s="122"/>
      <c r="AO1197" s="115"/>
      <c r="AP1197" s="115"/>
      <c r="AQ1197" s="115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26"/>
      <c r="BD1197" s="15"/>
      <c r="BH1197" s="117"/>
      <c r="BI1197" s="116"/>
      <c r="BJ1197" s="116"/>
      <c r="BK1197" s="116"/>
    </row>
    <row r="1198" spans="1:63" ht="19.5" x14ac:dyDescent="0.4">
      <c r="BC1198" s="26"/>
      <c r="BD1198" s="15"/>
      <c r="BH1198" s="117"/>
      <c r="BI1198" s="116"/>
      <c r="BJ1198" s="116"/>
      <c r="BK1198" s="116"/>
    </row>
    <row r="1199" spans="1:63" ht="19.5" x14ac:dyDescent="0.4">
      <c r="AJ1199" s="115"/>
      <c r="AK1199" s="115"/>
      <c r="AL1199" s="122"/>
      <c r="AM1199" s="122"/>
      <c r="AN1199" s="122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26"/>
      <c r="BD1199" s="13"/>
      <c r="BH1199" s="117"/>
      <c r="BI1199" s="116"/>
      <c r="BJ1199" s="116"/>
      <c r="BK1199" s="116"/>
    </row>
    <row r="1200" spans="1:63" ht="19.5" x14ac:dyDescent="0.4">
      <c r="AH1200" s="115"/>
      <c r="AI1200" s="115"/>
      <c r="AJ1200" s="115"/>
      <c r="AK1200" s="115"/>
      <c r="AL1200" s="122"/>
      <c r="AM1200" s="122"/>
      <c r="AN1200" s="122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26"/>
      <c r="BD1200" s="15"/>
      <c r="BH1200" s="117"/>
      <c r="BI1200" s="116"/>
      <c r="BJ1200" s="116"/>
      <c r="BK1200" s="116"/>
    </row>
    <row r="1201" spans="1:63" ht="19.5" x14ac:dyDescent="0.4">
      <c r="AH1201" s="115"/>
      <c r="AI1201" s="115"/>
      <c r="AJ1201" s="115"/>
      <c r="AK1201" s="115"/>
      <c r="AL1201" s="122"/>
      <c r="AM1201" s="122"/>
      <c r="AN1201" s="122"/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115"/>
      <c r="AY1201" s="115"/>
      <c r="AZ1201" s="115"/>
      <c r="BA1201" s="115"/>
      <c r="BB1201" s="115"/>
      <c r="BC1201" s="26"/>
      <c r="BD1201" s="15"/>
      <c r="BH1201" s="117"/>
      <c r="BI1201" s="116"/>
      <c r="BJ1201" s="116"/>
      <c r="BK1201" s="116"/>
    </row>
    <row r="1202" spans="1:63" ht="19.5" x14ac:dyDescent="0.4">
      <c r="AH1202" s="115"/>
      <c r="AI1202" s="115"/>
      <c r="AJ1202" s="115"/>
      <c r="AK1202" s="115"/>
      <c r="AL1202" s="122"/>
      <c r="AM1202" s="122"/>
      <c r="AN1202" s="122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7"/>
      <c r="BD1202" s="15"/>
      <c r="BH1202" s="117"/>
      <c r="BI1202" s="116"/>
      <c r="BJ1202" s="116"/>
      <c r="BK1202" s="116"/>
    </row>
    <row r="1203" spans="1:63" ht="19.5" x14ac:dyDescent="0.4">
      <c r="AG1203" s="115"/>
      <c r="AH1203" s="115"/>
      <c r="AI1203" s="115"/>
      <c r="AJ1203" s="115"/>
      <c r="AK1203" s="115"/>
      <c r="AL1203" s="122"/>
      <c r="AM1203" s="122"/>
      <c r="AN1203" s="122"/>
      <c r="AO1203" s="115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26"/>
      <c r="BD1203" s="15"/>
      <c r="BH1203" s="117"/>
      <c r="BI1203" s="116"/>
      <c r="BJ1203" s="116"/>
      <c r="BK1203" s="116"/>
    </row>
    <row r="1204" spans="1:63" ht="19.5" x14ac:dyDescent="0.4">
      <c r="AG1204" s="115"/>
      <c r="AH1204" s="115"/>
      <c r="AI1204" s="115"/>
      <c r="AJ1204" s="115"/>
      <c r="AK1204" s="115"/>
      <c r="AL1204" s="122"/>
      <c r="AM1204" s="122"/>
      <c r="AN1204" s="122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26"/>
      <c r="BD1204" s="15"/>
      <c r="BH1204" s="117"/>
      <c r="BI1204" s="116"/>
      <c r="BJ1204" s="116"/>
      <c r="BK1204" s="116"/>
    </row>
    <row r="1205" spans="1:63" ht="19.5" x14ac:dyDescent="0.4">
      <c r="AG1205" s="115"/>
      <c r="AH1205" s="115"/>
      <c r="AI1205" s="115"/>
      <c r="AJ1205" s="115"/>
      <c r="AK1205" s="115"/>
      <c r="AL1205" s="122"/>
      <c r="AM1205" s="122"/>
      <c r="AN1205" s="122"/>
      <c r="AO1205" s="115"/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26"/>
      <c r="BD1205" s="105"/>
      <c r="BH1205" s="117"/>
      <c r="BI1205" s="116"/>
      <c r="BJ1205" s="116"/>
      <c r="BK1205" s="116"/>
    </row>
    <row r="1206" spans="1:63" ht="19.5" x14ac:dyDescent="0.4">
      <c r="AG1206" s="115"/>
      <c r="AH1206" s="115"/>
      <c r="AI1206" s="115"/>
      <c r="AJ1206" s="115"/>
      <c r="AK1206" s="115"/>
      <c r="AL1206" s="122"/>
      <c r="AM1206" s="122"/>
      <c r="AN1206" s="122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7"/>
      <c r="BD1206" s="15"/>
      <c r="BH1206" s="117"/>
      <c r="BI1206" s="116"/>
      <c r="BJ1206" s="116"/>
      <c r="BK1206" s="116"/>
    </row>
    <row r="1207" spans="1:63" ht="19.5" x14ac:dyDescent="0.4">
      <c r="AG1207" s="115"/>
      <c r="AH1207" s="115"/>
      <c r="AI1207" s="115"/>
      <c r="AJ1207" s="115"/>
      <c r="AK1207" s="115"/>
      <c r="AL1207" s="122"/>
      <c r="AM1207" s="122"/>
      <c r="AN1207" s="122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26"/>
      <c r="BD1207" s="15"/>
      <c r="BH1207" s="117"/>
      <c r="BI1207" s="116"/>
      <c r="BJ1207" s="116"/>
      <c r="BK1207" s="116"/>
    </row>
    <row r="1208" spans="1:63" ht="19.5" x14ac:dyDescent="0.4">
      <c r="AG1208" s="115"/>
      <c r="AH1208" s="115"/>
      <c r="AI1208" s="115"/>
      <c r="AJ1208" s="115"/>
      <c r="AK1208" s="115"/>
      <c r="AL1208" s="122"/>
      <c r="AM1208" s="122"/>
      <c r="AN1208" s="122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7"/>
      <c r="BD1208" s="15"/>
      <c r="BH1208" s="117"/>
      <c r="BI1208" s="116"/>
      <c r="BJ1208" s="116"/>
      <c r="BK1208" s="116"/>
    </row>
    <row r="1209" spans="1:63" ht="19.5" x14ac:dyDescent="0.4"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22"/>
      <c r="AM1209" s="122"/>
      <c r="AN1209" s="122"/>
      <c r="AO1209" s="115"/>
      <c r="AP1209" s="115"/>
      <c r="AQ1209" s="115"/>
      <c r="AR1209" s="115"/>
      <c r="AS1209" s="115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26"/>
      <c r="BD1209" s="15"/>
      <c r="BH1209" s="117"/>
      <c r="BI1209" s="116"/>
      <c r="BJ1209" s="116"/>
      <c r="BK1209" s="116"/>
    </row>
    <row r="1210" spans="1:63" ht="19.5" x14ac:dyDescent="0.4"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22"/>
      <c r="AM1210" s="122"/>
      <c r="AN1210" s="122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17"/>
      <c r="BD1210" s="15"/>
      <c r="BH1210" s="117"/>
      <c r="BI1210" s="116"/>
      <c r="BJ1210" s="116"/>
      <c r="BK1210" s="116"/>
    </row>
    <row r="1211" spans="1:63" ht="19.5" x14ac:dyDescent="0.4"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22"/>
      <c r="AM1211" s="122"/>
      <c r="AN1211" s="122"/>
      <c r="AO1211" s="115"/>
      <c r="AP1211" s="115"/>
      <c r="AQ1211" s="115"/>
      <c r="AR1211" s="115"/>
      <c r="AS1211" s="115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26"/>
      <c r="BD1211" s="15"/>
      <c r="BH1211" s="117"/>
      <c r="BI1211" s="116"/>
      <c r="BJ1211" s="116"/>
      <c r="BK1211" s="116"/>
    </row>
    <row r="1212" spans="1:63" ht="19.5" x14ac:dyDescent="0.4"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22"/>
      <c r="AM1212" s="122"/>
      <c r="AN1212" s="122"/>
      <c r="AO1212" s="115"/>
      <c r="AP1212" s="115"/>
      <c r="AQ1212" s="115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7"/>
      <c r="BD1212" s="15"/>
      <c r="BH1212" s="117"/>
      <c r="BI1212" s="116"/>
      <c r="BJ1212" s="116"/>
      <c r="BK1212" s="116"/>
    </row>
    <row r="1213" spans="1:63" ht="19.5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22"/>
      <c r="AM1213" s="122"/>
      <c r="AN1213" s="122"/>
      <c r="AO1213" s="115"/>
      <c r="AP1213" s="115"/>
      <c r="AQ1213" s="115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26"/>
      <c r="BD1213" s="15"/>
      <c r="BH1213" s="117"/>
      <c r="BI1213" s="116"/>
      <c r="BJ1213" s="116"/>
      <c r="BK1213" s="116"/>
    </row>
    <row r="1214" spans="1:63" ht="19.5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22"/>
      <c r="AM1214" s="122"/>
      <c r="AN1214" s="122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26"/>
      <c r="BD1214" s="15"/>
      <c r="BH1214" s="117"/>
      <c r="BI1214" s="116"/>
      <c r="BJ1214" s="116"/>
      <c r="BK1214" s="116"/>
    </row>
    <row r="1215" spans="1:63" ht="19.5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22"/>
      <c r="AM1215" s="122"/>
      <c r="AN1215" s="122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26"/>
      <c r="BD1215" s="15"/>
      <c r="BH1215" s="117"/>
      <c r="BI1215" s="116"/>
      <c r="BJ1215" s="116"/>
      <c r="BK1215" s="116"/>
    </row>
    <row r="1216" spans="1:63" ht="19.5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22"/>
      <c r="AM1216" s="122"/>
      <c r="AN1216" s="122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26"/>
      <c r="BD1216" s="15"/>
      <c r="BH1216" s="117"/>
      <c r="BI1216" s="116"/>
      <c r="BJ1216" s="116"/>
      <c r="BK1216" s="116"/>
    </row>
    <row r="1217" spans="1:63" ht="19.5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22"/>
      <c r="AM1217" s="122"/>
      <c r="AN1217" s="122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26"/>
      <c r="BD1217" s="15"/>
      <c r="BH1217" s="117"/>
      <c r="BI1217" s="116"/>
      <c r="BJ1217" s="116"/>
      <c r="BK1217" s="116"/>
    </row>
    <row r="1218" spans="1:63" ht="19.5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22"/>
      <c r="AM1218" s="122"/>
      <c r="AN1218" s="122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26"/>
      <c r="BD1218" s="15"/>
      <c r="BH1218" s="117"/>
      <c r="BI1218" s="116"/>
      <c r="BJ1218" s="116"/>
      <c r="BK1218" s="116"/>
    </row>
    <row r="1219" spans="1:63" ht="19.5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22"/>
      <c r="AM1219" s="122"/>
      <c r="AN1219" s="122"/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15"/>
      <c r="AY1219" s="115"/>
      <c r="AZ1219" s="115"/>
      <c r="BA1219" s="115"/>
      <c r="BB1219" s="115"/>
      <c r="BC1219" s="17"/>
      <c r="BD1219" s="15"/>
      <c r="BH1219" s="117"/>
      <c r="BI1219" s="116"/>
      <c r="BJ1219" s="116"/>
      <c r="BK1219" s="116"/>
    </row>
    <row r="1220" spans="1:63" ht="19.5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22"/>
      <c r="AM1220" s="122"/>
      <c r="AN1220" s="122"/>
      <c r="AO1220" s="115"/>
      <c r="AP1220" s="115"/>
      <c r="AQ1220" s="115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26"/>
      <c r="BD1220" s="15"/>
      <c r="BH1220" s="117"/>
      <c r="BI1220" s="116"/>
      <c r="BJ1220" s="116"/>
      <c r="BK1220" s="116"/>
    </row>
    <row r="1221" spans="1:63" ht="19.5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22"/>
      <c r="AM1221" s="122"/>
      <c r="AN1221" s="122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7"/>
      <c r="BD1221" s="15"/>
      <c r="BH1221" s="117"/>
      <c r="BI1221" s="116"/>
      <c r="BJ1221" s="116"/>
      <c r="BK1221" s="116"/>
    </row>
    <row r="1222" spans="1:63" ht="19.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22"/>
      <c r="AM1222" s="122"/>
      <c r="AN1222" s="122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26"/>
      <c r="BD1222" s="15"/>
      <c r="BH1222" s="117"/>
      <c r="BI1222" s="116"/>
      <c r="BJ1222" s="116"/>
      <c r="BK1222" s="116"/>
    </row>
    <row r="1223" spans="1:63" ht="19.5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22"/>
      <c r="AM1223" s="122"/>
      <c r="AN1223" s="122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20"/>
      <c r="BD1223" s="15"/>
      <c r="BH1223" s="117"/>
      <c r="BI1223" s="116"/>
      <c r="BJ1223" s="116"/>
      <c r="BK1223" s="116"/>
    </row>
    <row r="1224" spans="1:63" ht="19.5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22"/>
      <c r="AM1224" s="122"/>
      <c r="AN1224" s="122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20"/>
      <c r="BD1224" s="15"/>
      <c r="BH1224" s="117"/>
      <c r="BI1224" s="116"/>
      <c r="BJ1224" s="116"/>
      <c r="BK1224" s="116"/>
    </row>
    <row r="1225" spans="1:63" ht="19.5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22"/>
      <c r="AM1225" s="122"/>
      <c r="AN1225" s="122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20"/>
      <c r="BD1225" s="15"/>
      <c r="BH1225" s="117"/>
      <c r="BI1225" s="116"/>
      <c r="BJ1225" s="116"/>
      <c r="BK1225" s="116"/>
    </row>
    <row r="1226" spans="1:63" ht="19.5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22"/>
      <c r="AM1226" s="122"/>
      <c r="AN1226" s="122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20"/>
      <c r="BD1226" s="15"/>
      <c r="BH1226" s="117"/>
      <c r="BI1226" s="116"/>
      <c r="BJ1226" s="116"/>
      <c r="BK1226" s="116"/>
    </row>
    <row r="1227" spans="1:63" ht="19.5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22"/>
      <c r="AM1227" s="122"/>
      <c r="AN1227" s="122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25"/>
      <c r="BD1227" s="15"/>
      <c r="BH1227" s="117"/>
      <c r="BI1227" s="116"/>
      <c r="BJ1227" s="116"/>
      <c r="BK1227" s="116"/>
    </row>
    <row r="1228" spans="1:63" ht="19.5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22"/>
      <c r="AM1228" s="122"/>
      <c r="AN1228" s="122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3"/>
      <c r="BD1228" s="15"/>
      <c r="BH1228" s="117"/>
      <c r="BI1228" s="116"/>
      <c r="BJ1228" s="116"/>
      <c r="BK1228" s="116"/>
    </row>
    <row r="1229" spans="1:63" ht="19.5" x14ac:dyDescent="0.4">
      <c r="BC1229" s="25"/>
      <c r="BD1229" s="15"/>
      <c r="BH1229" s="117"/>
      <c r="BI1229" s="116"/>
      <c r="BJ1229" s="116"/>
      <c r="BK1229" s="116"/>
    </row>
    <row r="1230" spans="1:63" ht="19.5" x14ac:dyDescent="0.4">
      <c r="AI1230" s="115"/>
      <c r="AJ1230" s="115"/>
      <c r="AK1230" s="115"/>
      <c r="AL1230" s="122"/>
      <c r="AM1230" s="122"/>
      <c r="AN1230" s="122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3"/>
      <c r="BD1230" s="15"/>
      <c r="BH1230" s="117"/>
      <c r="BI1230" s="116"/>
      <c r="BJ1230" s="116"/>
      <c r="BK1230" s="116"/>
    </row>
    <row r="1231" spans="1:63" ht="19.5" x14ac:dyDescent="0.4"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22"/>
      <c r="AM1231" s="122"/>
      <c r="AN1231" s="122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25"/>
      <c r="BD1231" s="15"/>
      <c r="BH1231" s="117"/>
      <c r="BI1231" s="116"/>
      <c r="BJ1231" s="116"/>
      <c r="BK1231" s="116"/>
    </row>
    <row r="1232" spans="1:63" ht="19.5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22"/>
      <c r="AM1232" s="122"/>
      <c r="AN1232" s="122"/>
      <c r="AO1232" s="115"/>
      <c r="AP1232" s="115"/>
      <c r="AQ1232" s="115"/>
      <c r="AR1232" s="115"/>
      <c r="AS1232" s="115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25"/>
      <c r="BD1232" s="15"/>
      <c r="BH1232" s="117"/>
      <c r="BI1232" s="116"/>
      <c r="BJ1232" s="116"/>
      <c r="BK1232" s="116"/>
    </row>
    <row r="1233" spans="1:63" ht="19.5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22"/>
      <c r="AM1233" s="122"/>
      <c r="AN1233" s="122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3"/>
      <c r="BD1233" s="15"/>
      <c r="BH1233" s="117"/>
      <c r="BI1233" s="116"/>
      <c r="BJ1233" s="116"/>
      <c r="BK1233" s="116"/>
    </row>
    <row r="1234" spans="1:63" ht="19.5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22"/>
      <c r="AM1234" s="122"/>
      <c r="AN1234" s="122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25"/>
      <c r="BD1234" s="15"/>
      <c r="BH1234" s="117"/>
      <c r="BI1234" s="116"/>
      <c r="BJ1234" s="116"/>
      <c r="BK1234" s="116"/>
    </row>
    <row r="1235" spans="1:63" ht="19.5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22"/>
      <c r="AM1235" s="122"/>
      <c r="AN1235" s="122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3"/>
      <c r="BD1235" s="15"/>
      <c r="BH1235" s="117"/>
      <c r="BI1235" s="116"/>
      <c r="BJ1235" s="116"/>
      <c r="BK1235" s="116"/>
    </row>
    <row r="1236" spans="1:63" ht="19.5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22"/>
      <c r="AM1236" s="122"/>
      <c r="AN1236" s="122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25"/>
      <c r="BD1236" s="15"/>
      <c r="BH1236" s="117"/>
      <c r="BI1236" s="116"/>
      <c r="BJ1236" s="116"/>
      <c r="BK1236" s="116"/>
    </row>
    <row r="1237" spans="1:63" ht="19.5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22"/>
      <c r="AM1237" s="122"/>
      <c r="AN1237" s="122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26"/>
      <c r="BD1237" s="15"/>
      <c r="BH1237" s="117"/>
      <c r="BI1237" s="116"/>
      <c r="BJ1237" s="116"/>
      <c r="BK1237" s="116"/>
    </row>
    <row r="1238" spans="1:63" ht="19.5" x14ac:dyDescent="0.4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22"/>
      <c r="AM1238" s="122"/>
      <c r="AN1238" s="122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7"/>
      <c r="BD1238" s="13"/>
      <c r="BH1238" s="117"/>
      <c r="BI1238" s="116"/>
      <c r="BJ1238" s="116"/>
      <c r="BK1238" s="116"/>
    </row>
    <row r="1239" spans="1:63" ht="19.5" x14ac:dyDescent="0.4">
      <c r="A1239" s="115"/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22"/>
      <c r="AM1239" s="122"/>
      <c r="AN1239" s="122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26"/>
      <c r="BD1239" s="13"/>
      <c r="BH1239" s="117"/>
      <c r="BI1239" s="116"/>
      <c r="BJ1239" s="116"/>
      <c r="BK1239" s="116"/>
    </row>
    <row r="1240" spans="1:63" ht="19.5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22"/>
      <c r="AM1240" s="122"/>
      <c r="AN1240" s="122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7"/>
      <c r="BD1240" s="13"/>
      <c r="BH1240" s="117"/>
      <c r="BI1240" s="116"/>
      <c r="BJ1240" s="116"/>
      <c r="BK1240" s="116"/>
    </row>
    <row r="1241" spans="1:63" ht="19.5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22"/>
      <c r="AM1241" s="122"/>
      <c r="AN1241" s="122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26"/>
      <c r="BD1241" s="15"/>
      <c r="BH1241" s="117"/>
      <c r="BI1241" s="116"/>
      <c r="BJ1241" s="116"/>
      <c r="BK1241" s="116"/>
    </row>
    <row r="1242" spans="1:63" ht="19.5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22"/>
      <c r="AM1242" s="122"/>
      <c r="AN1242" s="122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7"/>
      <c r="BD1242" s="15"/>
      <c r="BH1242" s="117"/>
      <c r="BI1242" s="116"/>
      <c r="BJ1242" s="116"/>
      <c r="BK1242" s="116"/>
    </row>
    <row r="1243" spans="1:63" ht="19.5" x14ac:dyDescent="0.4">
      <c r="BC1243" s="26"/>
      <c r="BD1243" s="105"/>
      <c r="BH1243" s="117"/>
      <c r="BI1243" s="116"/>
      <c r="BJ1243" s="116"/>
      <c r="BK1243" s="116"/>
    </row>
    <row r="1244" spans="1:63" ht="19.5" x14ac:dyDescent="0.4">
      <c r="AI1244" s="115"/>
      <c r="AJ1244" s="115"/>
      <c r="AK1244" s="115"/>
      <c r="AL1244" s="122"/>
      <c r="AM1244" s="122"/>
      <c r="AN1244" s="122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7"/>
      <c r="BD1244" s="15"/>
      <c r="BH1244" s="117"/>
      <c r="BI1244" s="116"/>
      <c r="BJ1244" s="116"/>
      <c r="BK1244" s="116"/>
    </row>
    <row r="1245" spans="1:63" ht="19.5" x14ac:dyDescent="0.4">
      <c r="AF1245" s="115"/>
      <c r="AG1245" s="115"/>
      <c r="AH1245" s="115"/>
      <c r="AI1245" s="115"/>
      <c r="AJ1245" s="115"/>
      <c r="AK1245" s="115"/>
      <c r="AL1245" s="122"/>
      <c r="AM1245" s="122"/>
      <c r="AN1245" s="122"/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26"/>
      <c r="BD1245" s="15"/>
      <c r="BH1245" s="117"/>
      <c r="BI1245" s="116"/>
      <c r="BJ1245" s="116"/>
      <c r="BK1245" s="116"/>
    </row>
    <row r="1246" spans="1:63" ht="19.5" x14ac:dyDescent="0.4">
      <c r="AF1246" s="115"/>
      <c r="AG1246" s="115"/>
      <c r="AH1246" s="115"/>
      <c r="AI1246" s="115"/>
      <c r="AJ1246" s="115"/>
      <c r="AK1246" s="115"/>
      <c r="AL1246" s="122"/>
      <c r="AM1246" s="122"/>
      <c r="AN1246" s="122"/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7"/>
      <c r="BD1246" s="15"/>
      <c r="BH1246" s="117"/>
      <c r="BI1246" s="116"/>
      <c r="BJ1246" s="116"/>
      <c r="BK1246" s="116"/>
    </row>
    <row r="1247" spans="1:63" ht="19.5" x14ac:dyDescent="0.4"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22"/>
      <c r="AM1247" s="122"/>
      <c r="AN1247" s="122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26"/>
      <c r="BD1247" s="15"/>
      <c r="BH1247" s="117"/>
      <c r="BI1247" s="116"/>
      <c r="BJ1247" s="116"/>
      <c r="BK1247" s="116"/>
    </row>
    <row r="1248" spans="1:63" ht="19.5" x14ac:dyDescent="0.4"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22"/>
      <c r="AM1248" s="122"/>
      <c r="AN1248" s="122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7"/>
      <c r="BD1248" s="15"/>
      <c r="BH1248" s="117"/>
      <c r="BI1248" s="116"/>
      <c r="BJ1248" s="116"/>
      <c r="BK1248" s="116"/>
    </row>
    <row r="1249" spans="1:63" ht="19.5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22"/>
      <c r="AM1249" s="122"/>
      <c r="AN1249" s="122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26"/>
      <c r="BD1249" s="15"/>
      <c r="BH1249" s="117"/>
      <c r="BI1249" s="116"/>
      <c r="BJ1249" s="116"/>
      <c r="BK1249" s="116"/>
    </row>
    <row r="1250" spans="1:63" ht="19.5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22"/>
      <c r="AM1250" s="122"/>
      <c r="AN1250" s="122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26"/>
      <c r="BD1250" s="15"/>
      <c r="BH1250" s="117"/>
      <c r="BI1250" s="116"/>
      <c r="BJ1250" s="116"/>
      <c r="BK1250" s="116"/>
    </row>
    <row r="1251" spans="1:63" ht="19.5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22"/>
      <c r="AM1251" s="122"/>
      <c r="AN1251" s="122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7"/>
      <c r="BD1251" s="15"/>
      <c r="BH1251" s="117"/>
      <c r="BI1251" s="116"/>
      <c r="BJ1251" s="116"/>
      <c r="BK1251" s="116"/>
    </row>
    <row r="1252" spans="1:63" ht="19.5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22"/>
      <c r="AM1252" s="122"/>
      <c r="AN1252" s="122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26"/>
      <c r="BD1252" s="15"/>
      <c r="BH1252" s="117"/>
      <c r="BI1252" s="116"/>
      <c r="BJ1252" s="116"/>
      <c r="BK1252" s="116"/>
    </row>
    <row r="1253" spans="1:63" ht="19.5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22"/>
      <c r="AM1253" s="122"/>
      <c r="AN1253" s="122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7"/>
      <c r="BD1253" s="15"/>
      <c r="BH1253" s="117"/>
      <c r="BI1253" s="116"/>
      <c r="BJ1253" s="116"/>
      <c r="BK1253" s="116"/>
    </row>
    <row r="1254" spans="1:63" ht="19.5" x14ac:dyDescent="0.4">
      <c r="BC1254" s="26"/>
      <c r="BD1254" s="15"/>
      <c r="BH1254" s="117"/>
      <c r="BI1254" s="116"/>
      <c r="BJ1254" s="116"/>
      <c r="BK1254" s="116"/>
    </row>
    <row r="1255" spans="1:63" ht="19.5" x14ac:dyDescent="0.4">
      <c r="AI1255" s="115"/>
      <c r="AJ1255" s="115"/>
      <c r="AK1255" s="115"/>
      <c r="AL1255" s="122"/>
      <c r="AM1255" s="122"/>
      <c r="AN1255" s="122"/>
      <c r="AO1255" s="115"/>
      <c r="AP1255" s="115"/>
      <c r="AQ1255" s="115"/>
      <c r="AR1255" s="115"/>
      <c r="AS1255" s="115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17"/>
      <c r="BD1255" s="15"/>
      <c r="BH1255" s="117"/>
      <c r="BI1255" s="116"/>
      <c r="BJ1255" s="116"/>
      <c r="BK1255" s="116"/>
    </row>
    <row r="1256" spans="1:63" ht="19.5" x14ac:dyDescent="0.4">
      <c r="BC1256" s="26"/>
      <c r="BD1256" s="15"/>
      <c r="BH1256" s="117"/>
      <c r="BI1256" s="116"/>
      <c r="BJ1256" s="116"/>
      <c r="BK1256" s="116"/>
    </row>
    <row r="1257" spans="1:63" ht="19.5" x14ac:dyDescent="0.4">
      <c r="AI1257" s="115"/>
      <c r="AJ1257" s="115"/>
      <c r="AK1257" s="115"/>
      <c r="AL1257" s="122"/>
      <c r="AM1257" s="122"/>
      <c r="AN1257" s="122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7"/>
      <c r="BD1257" s="15"/>
      <c r="BH1257" s="117"/>
      <c r="BI1257" s="116"/>
      <c r="BJ1257" s="116"/>
      <c r="BK1257" s="116"/>
    </row>
    <row r="1258" spans="1:63" ht="19.5" x14ac:dyDescent="0.4">
      <c r="BC1258" s="26"/>
      <c r="BD1258" s="15"/>
      <c r="BH1258" s="117"/>
      <c r="BI1258" s="116"/>
      <c r="BJ1258" s="116"/>
      <c r="BK1258" s="116"/>
    </row>
    <row r="1259" spans="1:63" ht="19.5" x14ac:dyDescent="0.4">
      <c r="AI1259" s="115"/>
      <c r="AJ1259" s="115"/>
      <c r="AK1259" s="115"/>
      <c r="AL1259" s="122"/>
      <c r="AM1259" s="122"/>
      <c r="AN1259" s="122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7"/>
      <c r="BD1259" s="15"/>
      <c r="BH1259" s="117"/>
      <c r="BI1259" s="116"/>
      <c r="BJ1259" s="116"/>
      <c r="BK1259" s="116"/>
    </row>
    <row r="1260" spans="1:63" ht="19.5" x14ac:dyDescent="0.4"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22"/>
      <c r="AM1260" s="122"/>
      <c r="AN1260" s="122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15"/>
      <c r="AZ1260" s="115"/>
      <c r="BA1260" s="115"/>
      <c r="BB1260" s="115"/>
      <c r="BC1260" s="26"/>
      <c r="BD1260" s="15"/>
      <c r="BH1260" s="117"/>
      <c r="BI1260" s="116"/>
      <c r="BJ1260" s="116"/>
      <c r="BK1260" s="116"/>
    </row>
    <row r="1261" spans="1:63" ht="19.5" x14ac:dyDescent="0.4"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22"/>
      <c r="AM1261" s="122"/>
      <c r="AN1261" s="122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7"/>
      <c r="BD1261" s="15"/>
      <c r="BH1261" s="117"/>
      <c r="BI1261" s="116"/>
      <c r="BJ1261" s="116"/>
      <c r="BK1261" s="116"/>
    </row>
    <row r="1262" spans="1:63" ht="19.5" x14ac:dyDescent="0.4"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22"/>
      <c r="AM1262" s="122"/>
      <c r="AN1262" s="122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26"/>
      <c r="BD1262" s="15"/>
      <c r="BH1262" s="117"/>
      <c r="BI1262" s="116"/>
      <c r="BJ1262" s="116"/>
      <c r="BK1262" s="116"/>
    </row>
    <row r="1263" spans="1:63" ht="19.5" x14ac:dyDescent="0.4">
      <c r="BC1263" s="26"/>
      <c r="BD1263" s="15"/>
      <c r="BH1263" s="117"/>
      <c r="BI1263" s="116"/>
      <c r="BJ1263" s="116"/>
      <c r="BK1263" s="116"/>
    </row>
    <row r="1264" spans="1:63" ht="19.5" x14ac:dyDescent="0.4">
      <c r="AI1264" s="115"/>
      <c r="AJ1264" s="115"/>
      <c r="AK1264" s="115"/>
      <c r="AL1264" s="122"/>
      <c r="AM1264" s="122"/>
      <c r="AN1264" s="122"/>
      <c r="AO1264" s="115"/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17"/>
      <c r="BD1264" s="15"/>
      <c r="BH1264" s="117"/>
      <c r="BI1264" s="116"/>
      <c r="BJ1264" s="116"/>
      <c r="BK1264" s="116"/>
    </row>
    <row r="1265" spans="1:63" ht="19.5" x14ac:dyDescent="0.4">
      <c r="AG1265" s="115"/>
      <c r="AH1265" s="115"/>
      <c r="AI1265" s="115"/>
      <c r="AJ1265" s="115"/>
      <c r="AK1265" s="115"/>
      <c r="AL1265" s="122"/>
      <c r="AM1265" s="122"/>
      <c r="AN1265" s="122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26"/>
      <c r="BD1265" s="15"/>
      <c r="BH1265" s="117"/>
      <c r="BI1265" s="116"/>
      <c r="BJ1265" s="116"/>
      <c r="BK1265" s="116"/>
    </row>
    <row r="1266" spans="1:63" ht="19.5" x14ac:dyDescent="0.4">
      <c r="AG1266" s="115"/>
      <c r="AH1266" s="115"/>
      <c r="AI1266" s="115"/>
      <c r="AJ1266" s="115"/>
      <c r="AK1266" s="115"/>
      <c r="AL1266" s="122"/>
      <c r="AM1266" s="122"/>
      <c r="AN1266" s="122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7"/>
      <c r="BD1266" s="13"/>
      <c r="BH1266" s="117"/>
      <c r="BI1266" s="116"/>
      <c r="BJ1266" s="116"/>
      <c r="BK1266" s="116"/>
    </row>
    <row r="1267" spans="1:63" ht="19.5" x14ac:dyDescent="0.4">
      <c r="AF1267" s="115"/>
      <c r="AG1267" s="115"/>
      <c r="AH1267" s="115"/>
      <c r="AI1267" s="115"/>
      <c r="AJ1267" s="115"/>
      <c r="AK1267" s="115"/>
      <c r="AL1267" s="122"/>
      <c r="AM1267" s="122"/>
      <c r="AN1267" s="122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26"/>
      <c r="BD1267" s="13"/>
      <c r="BH1267" s="117"/>
      <c r="BI1267" s="116"/>
      <c r="BJ1267" s="116"/>
      <c r="BK1267" s="116"/>
    </row>
    <row r="1268" spans="1:63" ht="19.5" x14ac:dyDescent="0.4">
      <c r="AF1268" s="115"/>
      <c r="AG1268" s="115"/>
      <c r="AH1268" s="115"/>
      <c r="AI1268" s="115"/>
      <c r="AJ1268" s="115"/>
      <c r="AK1268" s="115"/>
      <c r="AL1268" s="122"/>
      <c r="AM1268" s="122"/>
      <c r="AN1268" s="122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7"/>
      <c r="BD1268" s="13"/>
      <c r="BH1268" s="117"/>
      <c r="BI1268" s="116"/>
      <c r="BJ1268" s="116"/>
      <c r="BK1268" s="116"/>
    </row>
    <row r="1269" spans="1:63" ht="19.5" x14ac:dyDescent="0.4"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22"/>
      <c r="AM1269" s="122"/>
      <c r="AN1269" s="122"/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26"/>
      <c r="BD1269" s="15"/>
      <c r="BH1269" s="117"/>
      <c r="BI1269" s="116"/>
      <c r="BJ1269" s="116"/>
      <c r="BK1269" s="116"/>
    </row>
    <row r="1270" spans="1:63" ht="19.5" x14ac:dyDescent="0.4"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22"/>
      <c r="AM1270" s="122"/>
      <c r="AN1270" s="122"/>
      <c r="AO1270" s="115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7"/>
      <c r="BD1270" s="15"/>
      <c r="BH1270" s="117"/>
      <c r="BI1270" s="116"/>
      <c r="BJ1270" s="116"/>
      <c r="BK1270" s="116"/>
    </row>
    <row r="1271" spans="1:63" ht="19.5" x14ac:dyDescent="0.4"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22"/>
      <c r="AM1271" s="122"/>
      <c r="AN1271" s="122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26"/>
      <c r="BD1271" s="105"/>
      <c r="BH1271" s="117"/>
      <c r="BI1271" s="116"/>
      <c r="BJ1271" s="116"/>
      <c r="BK1271" s="116"/>
    </row>
    <row r="1272" spans="1:63" ht="19.5" x14ac:dyDescent="0.4"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22"/>
      <c r="AM1272" s="122"/>
      <c r="AN1272" s="122"/>
      <c r="AO1272" s="115"/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7"/>
      <c r="BD1272" s="15"/>
      <c r="BH1272" s="117"/>
      <c r="BI1272" s="116"/>
      <c r="BJ1272" s="116"/>
      <c r="BK1272" s="116"/>
    </row>
    <row r="1273" spans="1:63" ht="19.5" x14ac:dyDescent="0.4"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22"/>
      <c r="AM1273" s="122"/>
      <c r="AN1273" s="122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26"/>
      <c r="BD1273" s="15"/>
      <c r="BH1273" s="117"/>
      <c r="BI1273" s="116"/>
      <c r="BJ1273" s="116"/>
      <c r="BK1273" s="116"/>
    </row>
    <row r="1274" spans="1:63" ht="19.5" x14ac:dyDescent="0.4"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22"/>
      <c r="AM1274" s="122"/>
      <c r="AN1274" s="122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26"/>
      <c r="BD1274" s="15"/>
      <c r="BH1274" s="117"/>
      <c r="BI1274" s="116"/>
      <c r="BJ1274" s="116"/>
      <c r="BK1274" s="116"/>
    </row>
    <row r="1275" spans="1:63" ht="19.5" x14ac:dyDescent="0.4">
      <c r="BC1275" s="26"/>
      <c r="BD1275" s="15"/>
      <c r="BH1275" s="117"/>
      <c r="BI1275" s="116"/>
      <c r="BJ1275" s="116"/>
      <c r="BK1275" s="116"/>
    </row>
    <row r="1276" spans="1:63" ht="19.5" x14ac:dyDescent="0.4">
      <c r="AH1276" s="115"/>
      <c r="AI1276" s="115"/>
      <c r="AJ1276" s="115"/>
      <c r="AK1276" s="115"/>
      <c r="AL1276" s="122"/>
      <c r="AM1276" s="122"/>
      <c r="AN1276" s="122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26"/>
      <c r="BD1276" s="15"/>
      <c r="BH1276" s="117"/>
      <c r="BI1276" s="116"/>
      <c r="BJ1276" s="116"/>
      <c r="BK1276" s="116"/>
    </row>
    <row r="1277" spans="1:63" ht="19.5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22"/>
      <c r="AM1277" s="122"/>
      <c r="AN1277" s="122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115"/>
      <c r="BB1277" s="115"/>
      <c r="BC1277" s="26"/>
      <c r="BD1277" s="15"/>
      <c r="BH1277" s="117"/>
      <c r="BI1277" s="116"/>
      <c r="BJ1277" s="116"/>
      <c r="BK1277" s="116"/>
    </row>
    <row r="1278" spans="1:63" ht="19.5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22"/>
      <c r="AM1278" s="122"/>
      <c r="AN1278" s="122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15"/>
      <c r="BA1278" s="115"/>
      <c r="BB1278" s="115"/>
      <c r="BC1278" s="26"/>
      <c r="BD1278" s="15"/>
      <c r="BH1278" s="117"/>
      <c r="BI1278" s="116"/>
      <c r="BJ1278" s="116"/>
      <c r="BK1278" s="116"/>
    </row>
    <row r="1279" spans="1:63" ht="19.5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22"/>
      <c r="AM1279" s="122"/>
      <c r="AN1279" s="122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115"/>
      <c r="AZ1279" s="115"/>
      <c r="BA1279" s="115"/>
      <c r="BB1279" s="115"/>
      <c r="BC1279" s="17"/>
      <c r="BD1279" s="15"/>
      <c r="BH1279" s="117"/>
      <c r="BI1279" s="116"/>
      <c r="BJ1279" s="116"/>
      <c r="BK1279" s="116"/>
    </row>
    <row r="1280" spans="1:63" ht="19.5" x14ac:dyDescent="0.4">
      <c r="BC1280" s="26"/>
      <c r="BD1280" s="15"/>
      <c r="BH1280" s="117"/>
      <c r="BI1280" s="116"/>
      <c r="BJ1280" s="116"/>
      <c r="BK1280" s="116"/>
    </row>
    <row r="1281" spans="1:63" ht="19.5" x14ac:dyDescent="0.4">
      <c r="AI1281" s="115"/>
      <c r="AJ1281" s="115"/>
      <c r="AK1281" s="115"/>
      <c r="AL1281" s="122"/>
      <c r="AM1281" s="122"/>
      <c r="AN1281" s="122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7"/>
      <c r="BD1281" s="15"/>
      <c r="BH1281" s="117"/>
      <c r="BI1281" s="116"/>
      <c r="BJ1281" s="116"/>
      <c r="BK1281" s="116"/>
    </row>
    <row r="1282" spans="1:63" ht="19.5" x14ac:dyDescent="0.4">
      <c r="AH1282" s="115"/>
      <c r="AI1282" s="115"/>
      <c r="AJ1282" s="115"/>
      <c r="AK1282" s="115"/>
      <c r="AL1282" s="122"/>
      <c r="AM1282" s="122"/>
      <c r="AN1282" s="122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26"/>
      <c r="BD1282" s="15"/>
      <c r="BH1282" s="117"/>
      <c r="BI1282" s="116"/>
      <c r="BJ1282" s="116"/>
      <c r="BK1282" s="116"/>
    </row>
    <row r="1283" spans="1:63" ht="19.5" x14ac:dyDescent="0.4"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22"/>
      <c r="AM1283" s="122"/>
      <c r="AN1283" s="122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26"/>
      <c r="BD1283" s="15"/>
      <c r="BH1283" s="117"/>
      <c r="BI1283" s="116"/>
      <c r="BJ1283" s="116"/>
      <c r="BK1283" s="116"/>
    </row>
    <row r="1284" spans="1:63" ht="19.5" x14ac:dyDescent="0.4"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22"/>
      <c r="AM1284" s="122"/>
      <c r="AN1284" s="122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26"/>
      <c r="BD1284" s="15"/>
      <c r="BH1284" s="117"/>
      <c r="BI1284" s="116"/>
      <c r="BJ1284" s="116"/>
      <c r="BK1284" s="116"/>
    </row>
    <row r="1285" spans="1:63" ht="19.5" x14ac:dyDescent="0.4"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22"/>
      <c r="AM1285" s="122"/>
      <c r="AN1285" s="122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26"/>
      <c r="BD1285" s="15"/>
      <c r="BH1285" s="117"/>
      <c r="BI1285" s="116"/>
      <c r="BJ1285" s="116"/>
      <c r="BK1285" s="116"/>
    </row>
    <row r="1286" spans="1:63" ht="19.5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22"/>
      <c r="AM1286" s="122"/>
      <c r="AN1286" s="122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26"/>
      <c r="BD1286" s="15"/>
      <c r="BH1286" s="117"/>
      <c r="BI1286" s="116"/>
      <c r="BJ1286" s="116"/>
      <c r="BK1286" s="116"/>
    </row>
    <row r="1287" spans="1:63" ht="19.5" x14ac:dyDescent="0.4">
      <c r="A1287" s="115"/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22"/>
      <c r="AM1287" s="122"/>
      <c r="AN1287" s="122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115"/>
      <c r="BC1287" s="26"/>
      <c r="BD1287" s="15"/>
      <c r="BH1287" s="117"/>
      <c r="BI1287" s="116"/>
      <c r="BJ1287" s="116"/>
      <c r="BK1287" s="116"/>
    </row>
    <row r="1288" spans="1:63" ht="19.5" x14ac:dyDescent="0.4">
      <c r="A1288" s="115"/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22"/>
      <c r="AM1288" s="122"/>
      <c r="AN1288" s="122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7"/>
      <c r="BD1288" s="15"/>
      <c r="BH1288" s="117"/>
      <c r="BI1288" s="116"/>
      <c r="BJ1288" s="116"/>
      <c r="BK1288" s="116"/>
    </row>
    <row r="1289" spans="1:63" ht="19.5" x14ac:dyDescent="0.4">
      <c r="BC1289" s="26"/>
      <c r="BD1289" s="15"/>
      <c r="BH1289" s="117"/>
      <c r="BI1289" s="116"/>
      <c r="BJ1289" s="116"/>
      <c r="BK1289" s="116"/>
    </row>
    <row r="1290" spans="1:63" ht="19.5" x14ac:dyDescent="0.4">
      <c r="AI1290" s="115"/>
      <c r="AJ1290" s="115"/>
      <c r="AK1290" s="115"/>
      <c r="AL1290" s="122"/>
      <c r="AM1290" s="122"/>
      <c r="AN1290" s="122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7"/>
      <c r="BD1290" s="13"/>
      <c r="BH1290" s="117"/>
      <c r="BI1290" s="116"/>
      <c r="BJ1290" s="116"/>
      <c r="BK1290" s="116"/>
    </row>
    <row r="1291" spans="1:63" ht="19.5" x14ac:dyDescent="0.4">
      <c r="AI1291" s="115"/>
      <c r="AJ1291" s="115"/>
      <c r="AK1291" s="115"/>
      <c r="AL1291" s="122"/>
      <c r="AM1291" s="122"/>
      <c r="AN1291" s="122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115"/>
      <c r="BB1291" s="115"/>
      <c r="BC1291" s="17"/>
      <c r="BD1291" s="13"/>
      <c r="BH1291" s="117"/>
      <c r="BI1291" s="116"/>
      <c r="BJ1291" s="116"/>
      <c r="BK1291" s="116"/>
    </row>
    <row r="1292" spans="1:63" ht="19.5" x14ac:dyDescent="0.4">
      <c r="BC1292" s="26"/>
      <c r="BD1292" s="13"/>
      <c r="BH1292" s="117"/>
      <c r="BI1292" s="116"/>
      <c r="BJ1292" s="116"/>
      <c r="BK1292" s="116"/>
    </row>
    <row r="1293" spans="1:63" ht="19.5" x14ac:dyDescent="0.4">
      <c r="BC1293" s="26"/>
      <c r="BD1293" s="13"/>
      <c r="BH1293" s="116"/>
      <c r="BI1293" s="116"/>
      <c r="BJ1293" s="116"/>
      <c r="BK1293" s="116"/>
    </row>
    <row r="1294" spans="1:63" ht="19.5" x14ac:dyDescent="0.4"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22"/>
      <c r="AM1294" s="122"/>
      <c r="AN1294" s="122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26"/>
      <c r="BD1294" s="13"/>
      <c r="BH1294" s="118"/>
      <c r="BI1294" s="118"/>
      <c r="BJ1294" s="118"/>
      <c r="BK1294" s="118"/>
    </row>
    <row r="1295" spans="1:63" ht="19.5" x14ac:dyDescent="0.4"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22"/>
      <c r="AM1295" s="122"/>
      <c r="AN1295" s="122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26"/>
      <c r="BD1295" s="13"/>
      <c r="BH1295" s="118"/>
      <c r="BI1295" s="118"/>
      <c r="BJ1295" s="118"/>
      <c r="BK1295" s="118"/>
    </row>
    <row r="1296" spans="1:63" ht="19.5" x14ac:dyDescent="0.4"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22"/>
      <c r="AM1296" s="122"/>
      <c r="AN1296" s="122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26"/>
      <c r="BD1296" s="13"/>
      <c r="BH1296" s="118"/>
      <c r="BI1296" s="118"/>
      <c r="BJ1296" s="118"/>
      <c r="BK1296" s="118"/>
    </row>
    <row r="1297" spans="1:63" ht="19.5" x14ac:dyDescent="0.4"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22"/>
      <c r="AM1297" s="122"/>
      <c r="AN1297" s="122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26"/>
      <c r="BD1297" s="15"/>
      <c r="BH1297" s="118"/>
      <c r="BI1297" s="118"/>
      <c r="BJ1297" s="118"/>
      <c r="BK1297" s="118"/>
    </row>
    <row r="1298" spans="1:63" ht="19.5" x14ac:dyDescent="0.4"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22"/>
      <c r="AM1298" s="122"/>
      <c r="AN1298" s="122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26"/>
      <c r="BD1298" s="15"/>
      <c r="BH1298" s="118"/>
      <c r="BI1298" s="118"/>
      <c r="BJ1298" s="118"/>
      <c r="BK1298" s="118"/>
    </row>
    <row r="1299" spans="1:63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22"/>
      <c r="AM1299" s="122"/>
      <c r="AN1299" s="122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26"/>
      <c r="BD1299" s="15"/>
      <c r="BH1299" s="118"/>
      <c r="BI1299" s="118"/>
      <c r="BJ1299" s="118"/>
      <c r="BK1299" s="118"/>
    </row>
    <row r="1300" spans="1:63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22"/>
      <c r="AM1300" s="122"/>
      <c r="AN1300" s="122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26"/>
      <c r="BD1300" s="15"/>
      <c r="BH1300" s="118"/>
      <c r="BI1300" s="118"/>
      <c r="BJ1300" s="118"/>
      <c r="BK1300" s="118"/>
    </row>
    <row r="1301" spans="1:63" ht="20.25" customHeight="1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22"/>
      <c r="AM1301" s="122"/>
      <c r="AN1301" s="122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115"/>
      <c r="BB1301" s="115"/>
      <c r="BC1301" s="26"/>
      <c r="BD1301" s="15"/>
      <c r="BH1301" s="118"/>
      <c r="BI1301" s="118"/>
      <c r="BJ1301" s="118"/>
      <c r="BK1301" s="118"/>
    </row>
    <row r="1302" spans="1:63" x14ac:dyDescent="0.4">
      <c r="BC1302" s="26"/>
      <c r="BD1302" s="15"/>
    </row>
    <row r="1303" spans="1:63" x14ac:dyDescent="0.4">
      <c r="BC1303" s="26"/>
      <c r="BD1303" s="13"/>
    </row>
    <row r="1304" spans="1:63" x14ac:dyDescent="0.4">
      <c r="AG1304" s="115"/>
      <c r="AH1304" s="115"/>
      <c r="AI1304" s="115"/>
      <c r="AJ1304" s="115"/>
      <c r="AK1304" s="115"/>
      <c r="AL1304" s="122"/>
      <c r="AM1304" s="122"/>
      <c r="AN1304" s="122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26"/>
      <c r="BD1304" s="13"/>
    </row>
    <row r="1305" spans="1:63" x14ac:dyDescent="0.4">
      <c r="AG1305" s="115"/>
      <c r="AH1305" s="115"/>
      <c r="AI1305" s="115"/>
      <c r="AJ1305" s="115"/>
      <c r="AK1305" s="115"/>
      <c r="AL1305" s="122"/>
      <c r="AM1305" s="122"/>
      <c r="AN1305" s="122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115"/>
      <c r="BB1305" s="115"/>
      <c r="BC1305" s="17"/>
      <c r="BD1305" s="13"/>
    </row>
    <row r="1306" spans="1:63" x14ac:dyDescent="0.4"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22"/>
      <c r="AM1306" s="122"/>
      <c r="AN1306" s="122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26"/>
      <c r="BD1306" s="13"/>
    </row>
    <row r="1307" spans="1:63" x14ac:dyDescent="0.4"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22"/>
      <c r="AM1307" s="122"/>
      <c r="AN1307" s="122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26"/>
      <c r="BD1307" s="13"/>
    </row>
    <row r="1308" spans="1:63" x14ac:dyDescent="0.4">
      <c r="BC1308" s="26"/>
      <c r="BD1308" s="13"/>
    </row>
    <row r="1309" spans="1:63" x14ac:dyDescent="0.4"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22"/>
      <c r="AM1309" s="122"/>
      <c r="AN1309" s="122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115"/>
      <c r="BC1309" s="26"/>
      <c r="BD1309" s="13"/>
    </row>
    <row r="1310" spans="1:63" x14ac:dyDescent="0.4"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22"/>
      <c r="AM1310" s="122"/>
      <c r="AN1310" s="122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15"/>
      <c r="BB1310" s="115"/>
      <c r="BC1310" s="26"/>
      <c r="BD1310" s="13"/>
    </row>
    <row r="1311" spans="1:63" x14ac:dyDescent="0.4">
      <c r="BC1311" s="26"/>
      <c r="BD1311" s="13"/>
    </row>
    <row r="1312" spans="1:63" x14ac:dyDescent="0.4"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22"/>
      <c r="AM1312" s="122"/>
      <c r="AN1312" s="122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26"/>
      <c r="BD1312" s="13"/>
    </row>
    <row r="1313" spans="1:56" x14ac:dyDescent="0.4">
      <c r="BC1313" s="26"/>
      <c r="BD1313" s="13"/>
    </row>
    <row r="1314" spans="1:56" x14ac:dyDescent="0.4">
      <c r="AF1314" s="115"/>
      <c r="AG1314" s="115"/>
      <c r="AH1314" s="115"/>
      <c r="AI1314" s="115"/>
      <c r="AJ1314" s="115"/>
      <c r="AK1314" s="115"/>
      <c r="AL1314" s="122"/>
      <c r="AM1314" s="122"/>
      <c r="AN1314" s="122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26"/>
      <c r="BD1314" s="13"/>
    </row>
    <row r="1315" spans="1:56" x14ac:dyDescent="0.4">
      <c r="BC1315" s="26"/>
      <c r="BD1315" s="13"/>
    </row>
    <row r="1316" spans="1:56" x14ac:dyDescent="0.4"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22"/>
      <c r="AM1316" s="122"/>
      <c r="AN1316" s="122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26"/>
      <c r="BD1316" s="15"/>
    </row>
    <row r="1317" spans="1:56" x14ac:dyDescent="0.4"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22"/>
      <c r="AM1317" s="122"/>
      <c r="AN1317" s="122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26"/>
      <c r="BD1317" s="15"/>
    </row>
    <row r="1318" spans="1:56" x14ac:dyDescent="0.4"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22"/>
      <c r="AM1318" s="122"/>
      <c r="AN1318" s="122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26"/>
      <c r="BD1318" s="15"/>
    </row>
    <row r="1319" spans="1:56" x14ac:dyDescent="0.4">
      <c r="BC1319" s="26"/>
      <c r="BD1319" s="13"/>
    </row>
    <row r="1320" spans="1:56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22"/>
      <c r="AM1320" s="122"/>
      <c r="AN1320" s="122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26"/>
      <c r="BD1320" s="15"/>
    </row>
    <row r="1321" spans="1:56" x14ac:dyDescent="0.4">
      <c r="BC1321" s="26"/>
      <c r="BD1321" s="15"/>
    </row>
    <row r="1322" spans="1:56" x14ac:dyDescent="0.4">
      <c r="BC1322" s="26"/>
      <c r="BD1322" s="15"/>
    </row>
    <row r="1323" spans="1:56" x14ac:dyDescent="0.4"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22"/>
      <c r="AM1323" s="122"/>
      <c r="AN1323" s="122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15"/>
      <c r="BA1323" s="115"/>
      <c r="BB1323" s="115"/>
      <c r="BC1323" s="26"/>
      <c r="BD1323" s="15"/>
    </row>
    <row r="1324" spans="1:56" x14ac:dyDescent="0.4"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22"/>
      <c r="AM1324" s="122"/>
      <c r="AN1324" s="122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26"/>
      <c r="BD1324" s="15"/>
    </row>
    <row r="1325" spans="1:56" x14ac:dyDescent="0.4">
      <c r="BC1325" s="26"/>
      <c r="BD1325" s="15"/>
    </row>
    <row r="1326" spans="1:56" x14ac:dyDescent="0.4">
      <c r="AE1326" s="115"/>
      <c r="AF1326" s="115"/>
      <c r="AG1326" s="115"/>
      <c r="AH1326" s="115"/>
      <c r="AI1326" s="115"/>
      <c r="AJ1326" s="115"/>
      <c r="AK1326" s="115"/>
      <c r="AL1326" s="122"/>
      <c r="AM1326" s="122"/>
      <c r="AN1326" s="122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26"/>
      <c r="BD1326" s="15"/>
    </row>
    <row r="1327" spans="1:56" x14ac:dyDescent="0.4"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22"/>
      <c r="AM1327" s="122"/>
      <c r="AN1327" s="122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26"/>
      <c r="BD1327" s="15"/>
    </row>
    <row r="1328" spans="1:56" x14ac:dyDescent="0.4"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22"/>
      <c r="AM1328" s="122"/>
      <c r="AN1328" s="122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26"/>
      <c r="BD1328" s="15"/>
    </row>
    <row r="1329" spans="1:56" x14ac:dyDescent="0.4"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22"/>
      <c r="AM1329" s="122"/>
      <c r="AN1329" s="122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26"/>
      <c r="BD1329" s="15"/>
    </row>
    <row r="1330" spans="1:56" x14ac:dyDescent="0.4"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22"/>
      <c r="AM1330" s="122"/>
      <c r="AN1330" s="122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26"/>
      <c r="BD1330" s="15"/>
    </row>
    <row r="1331" spans="1:56" x14ac:dyDescent="0.4">
      <c r="BC1331" s="26"/>
      <c r="BD1331" s="15"/>
    </row>
    <row r="1332" spans="1:56" x14ac:dyDescent="0.4">
      <c r="AH1332" s="115"/>
      <c r="AI1332" s="115"/>
      <c r="AJ1332" s="115"/>
      <c r="AK1332" s="115"/>
      <c r="AL1332" s="122"/>
      <c r="AM1332" s="122"/>
      <c r="AN1332" s="122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7"/>
      <c r="BD1332" s="15"/>
    </row>
    <row r="1333" spans="1:56" x14ac:dyDescent="0.4">
      <c r="BC1333" s="26"/>
      <c r="BD1333" s="15"/>
    </row>
    <row r="1334" spans="1:56" x14ac:dyDescent="0.4">
      <c r="AF1334" s="115"/>
      <c r="AG1334" s="115"/>
      <c r="AH1334" s="115"/>
      <c r="AI1334" s="115"/>
      <c r="AJ1334" s="115"/>
      <c r="AK1334" s="115"/>
      <c r="AL1334" s="122"/>
      <c r="AM1334" s="122"/>
      <c r="AN1334" s="122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26"/>
      <c r="BD1334" s="15"/>
    </row>
    <row r="1335" spans="1:56" x14ac:dyDescent="0.4">
      <c r="BC1335" s="26"/>
      <c r="BD1335" s="15"/>
    </row>
    <row r="1336" spans="1:56" x14ac:dyDescent="0.4">
      <c r="BC1336" s="26"/>
      <c r="BD1336" s="15"/>
    </row>
    <row r="1337" spans="1:56" x14ac:dyDescent="0.4"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22"/>
      <c r="AM1337" s="122"/>
      <c r="AN1337" s="122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26"/>
      <c r="BD1337" s="15"/>
    </row>
    <row r="1338" spans="1:56" x14ac:dyDescent="0.4"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22"/>
      <c r="AM1338" s="122"/>
      <c r="AN1338" s="122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26"/>
      <c r="BD1338" s="15"/>
    </row>
    <row r="1339" spans="1:56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22"/>
      <c r="AM1339" s="122"/>
      <c r="AN1339" s="122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26"/>
      <c r="BD1339" s="15"/>
    </row>
    <row r="1340" spans="1:56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22"/>
      <c r="AM1340" s="122"/>
      <c r="AN1340" s="122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26"/>
      <c r="BD1340" s="15"/>
    </row>
    <row r="1341" spans="1:56" x14ac:dyDescent="0.4">
      <c r="BC1341" s="26"/>
      <c r="BD1341" s="15"/>
    </row>
    <row r="1342" spans="1:56" x14ac:dyDescent="0.4">
      <c r="AH1342" s="115"/>
      <c r="AI1342" s="115"/>
      <c r="AJ1342" s="115"/>
      <c r="AK1342" s="115"/>
      <c r="AL1342" s="122"/>
      <c r="AM1342" s="122"/>
      <c r="AN1342" s="122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7"/>
      <c r="BD1342" s="15"/>
    </row>
    <row r="1343" spans="1:56" x14ac:dyDescent="0.4">
      <c r="BC1343" s="26"/>
      <c r="BD1343" s="15"/>
    </row>
    <row r="1344" spans="1:56" x14ac:dyDescent="0.4"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22"/>
      <c r="AM1344" s="122"/>
      <c r="AN1344" s="122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26"/>
      <c r="BD1344" s="15"/>
    </row>
    <row r="1345" spans="3:56" x14ac:dyDescent="0.4"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22"/>
      <c r="AM1345" s="122"/>
      <c r="AN1345" s="122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26"/>
      <c r="BD1345" s="15"/>
    </row>
    <row r="1346" spans="3:56" x14ac:dyDescent="0.4"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22"/>
      <c r="AM1346" s="122"/>
      <c r="AN1346" s="122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7"/>
      <c r="BD1346" s="15"/>
    </row>
    <row r="1347" spans="3:56" x14ac:dyDescent="0.4">
      <c r="BC1347" s="26"/>
      <c r="BD1347" s="15"/>
    </row>
    <row r="1348" spans="3:56" x14ac:dyDescent="0.4"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22"/>
      <c r="AM1348" s="122"/>
      <c r="AN1348" s="122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26"/>
      <c r="BD1348" s="15"/>
    </row>
    <row r="1349" spans="3:56" x14ac:dyDescent="0.4"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22"/>
      <c r="AM1349" s="122"/>
      <c r="AN1349" s="122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7"/>
      <c r="BD1349" s="15"/>
    </row>
    <row r="1350" spans="3:56" x14ac:dyDescent="0.4">
      <c r="BC1350" s="26"/>
      <c r="BD1350" s="15"/>
    </row>
    <row r="1351" spans="3:56" x14ac:dyDescent="0.4">
      <c r="AH1351" s="115"/>
      <c r="AI1351" s="115"/>
      <c r="AJ1351" s="115"/>
      <c r="AK1351" s="115"/>
      <c r="AL1351" s="122"/>
      <c r="AM1351" s="122"/>
      <c r="AN1351" s="122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7"/>
      <c r="BD1351" s="15"/>
    </row>
    <row r="1352" spans="3:56" x14ac:dyDescent="0.4"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22"/>
      <c r="AM1352" s="122"/>
      <c r="AN1352" s="122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26"/>
      <c r="BD1352" s="15"/>
    </row>
    <row r="1353" spans="3:56" x14ac:dyDescent="0.4"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22"/>
      <c r="AM1353" s="122"/>
      <c r="AN1353" s="122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7"/>
      <c r="BD1353" s="15"/>
    </row>
    <row r="1354" spans="3:56" x14ac:dyDescent="0.4">
      <c r="BC1354" s="26"/>
      <c r="BD1354" s="15"/>
    </row>
    <row r="1355" spans="3:56" x14ac:dyDescent="0.4">
      <c r="BC1355" s="26"/>
      <c r="BD1355" s="15"/>
    </row>
    <row r="1356" spans="3:56" x14ac:dyDescent="0.4">
      <c r="AG1356" s="115"/>
      <c r="AH1356" s="115"/>
      <c r="AI1356" s="115"/>
      <c r="AJ1356" s="115"/>
      <c r="AK1356" s="115"/>
      <c r="AL1356" s="122"/>
      <c r="AM1356" s="122"/>
      <c r="AN1356" s="122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26"/>
      <c r="BD1356" s="15"/>
    </row>
    <row r="1357" spans="3:56" x14ac:dyDescent="0.4">
      <c r="AE1357" s="115"/>
      <c r="AF1357" s="115"/>
      <c r="AG1357" s="115"/>
      <c r="AH1357" s="115"/>
      <c r="AI1357" s="115"/>
      <c r="AJ1357" s="115"/>
      <c r="AK1357" s="115"/>
      <c r="AL1357" s="122"/>
      <c r="AM1357" s="122"/>
      <c r="AN1357" s="122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26"/>
      <c r="BD1357" s="15"/>
    </row>
    <row r="1358" spans="3:56" x14ac:dyDescent="0.4">
      <c r="AE1358" s="115"/>
      <c r="AF1358" s="115"/>
      <c r="AG1358" s="115"/>
      <c r="AH1358" s="115"/>
      <c r="AI1358" s="115"/>
      <c r="AJ1358" s="115"/>
      <c r="AK1358" s="115"/>
      <c r="AL1358" s="122"/>
      <c r="AM1358" s="122"/>
      <c r="AN1358" s="122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26"/>
      <c r="BD1358" s="15"/>
    </row>
    <row r="1359" spans="3:56" x14ac:dyDescent="0.4"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22"/>
      <c r="AM1359" s="122"/>
      <c r="AN1359" s="122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26"/>
      <c r="BD1359" s="15"/>
    </row>
    <row r="1360" spans="3:56" x14ac:dyDescent="0.4"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22"/>
      <c r="AM1360" s="122"/>
      <c r="AN1360" s="122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26"/>
      <c r="BD1360" s="15"/>
    </row>
    <row r="1361" spans="3:56" x14ac:dyDescent="0.4">
      <c r="BC1361" s="26"/>
      <c r="BD1361" s="15"/>
    </row>
    <row r="1362" spans="3:56" x14ac:dyDescent="0.4">
      <c r="AG1362" s="115"/>
      <c r="AH1362" s="115"/>
      <c r="AI1362" s="115"/>
      <c r="AJ1362" s="115"/>
      <c r="AK1362" s="115"/>
      <c r="AL1362" s="122"/>
      <c r="AM1362" s="122"/>
      <c r="AN1362" s="122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26"/>
      <c r="BD1362" s="15"/>
    </row>
    <row r="1363" spans="3:56" x14ac:dyDescent="0.4">
      <c r="BC1363" s="26"/>
      <c r="BD1363" s="15"/>
    </row>
    <row r="1364" spans="3:56" x14ac:dyDescent="0.4">
      <c r="AH1364" s="115"/>
      <c r="AI1364" s="115"/>
      <c r="AJ1364" s="115"/>
      <c r="AK1364" s="115"/>
      <c r="AL1364" s="122"/>
      <c r="AM1364" s="122"/>
      <c r="AN1364" s="122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7"/>
      <c r="BD1364" s="15"/>
    </row>
    <row r="1365" spans="3:56" x14ac:dyDescent="0.4">
      <c r="AG1365" s="115"/>
      <c r="AH1365" s="115"/>
      <c r="AI1365" s="115"/>
      <c r="AJ1365" s="115"/>
      <c r="AK1365" s="115"/>
      <c r="AL1365" s="122"/>
      <c r="AM1365" s="122"/>
      <c r="AN1365" s="122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26"/>
      <c r="BD1365" s="15"/>
    </row>
    <row r="1366" spans="3:56" x14ac:dyDescent="0.4"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22"/>
      <c r="AM1366" s="122"/>
      <c r="AN1366" s="122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26"/>
      <c r="BD1366" s="15"/>
    </row>
    <row r="1367" spans="3:56" x14ac:dyDescent="0.4"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22"/>
      <c r="AM1367" s="122"/>
      <c r="AN1367" s="122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7"/>
      <c r="BD1367" s="15"/>
    </row>
    <row r="1368" spans="3:56" x14ac:dyDescent="0.4">
      <c r="BC1368" s="26"/>
      <c r="BD1368" s="15"/>
    </row>
    <row r="1369" spans="3:56" x14ac:dyDescent="0.4">
      <c r="AH1369" s="115"/>
      <c r="AI1369" s="115"/>
      <c r="AJ1369" s="115"/>
      <c r="AK1369" s="115"/>
      <c r="AL1369" s="122"/>
      <c r="AM1369" s="122"/>
      <c r="AN1369" s="122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7"/>
      <c r="BD1369" s="15"/>
    </row>
    <row r="1370" spans="3:56" x14ac:dyDescent="0.4">
      <c r="AG1370" s="115"/>
      <c r="AH1370" s="115"/>
      <c r="AI1370" s="115"/>
      <c r="AJ1370" s="115"/>
      <c r="AK1370" s="115"/>
      <c r="AL1370" s="122"/>
      <c r="AM1370" s="122"/>
      <c r="AN1370" s="122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26"/>
      <c r="BD1370" s="15"/>
    </row>
    <row r="1371" spans="3:56" x14ac:dyDescent="0.4">
      <c r="AG1371" s="115"/>
      <c r="AH1371" s="115"/>
      <c r="AI1371" s="115"/>
      <c r="AJ1371" s="115"/>
      <c r="AK1371" s="115"/>
      <c r="AL1371" s="122"/>
      <c r="AM1371" s="122"/>
      <c r="AN1371" s="122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7"/>
      <c r="BD1371" s="15"/>
    </row>
    <row r="1372" spans="3:56" x14ac:dyDescent="0.4">
      <c r="AG1372" s="115"/>
      <c r="AH1372" s="115"/>
      <c r="AI1372" s="115"/>
      <c r="AJ1372" s="115"/>
      <c r="AK1372" s="115"/>
      <c r="AL1372" s="122"/>
      <c r="AM1372" s="122"/>
      <c r="AN1372" s="122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7"/>
      <c r="BD1372" s="15"/>
    </row>
    <row r="1373" spans="3:56" x14ac:dyDescent="0.4"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22"/>
      <c r="AM1373" s="122"/>
      <c r="AN1373" s="122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15"/>
      <c r="BA1373" s="115"/>
      <c r="BB1373" s="115"/>
      <c r="BC1373" s="26"/>
      <c r="BD1373" s="15"/>
    </row>
    <row r="1374" spans="3:56" x14ac:dyDescent="0.4"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22"/>
      <c r="AM1374" s="122"/>
      <c r="AN1374" s="122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26"/>
      <c r="BD1374" s="15"/>
    </row>
    <row r="1375" spans="3:56" x14ac:dyDescent="0.4"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22"/>
      <c r="AM1375" s="122"/>
      <c r="AN1375" s="122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26"/>
      <c r="BD1375" s="15"/>
    </row>
    <row r="1376" spans="3:56" x14ac:dyDescent="0.4"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22"/>
      <c r="AM1376" s="122"/>
      <c r="AN1376" s="122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26"/>
      <c r="BD1376" s="15"/>
    </row>
    <row r="1377" spans="3:56" x14ac:dyDescent="0.4"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22"/>
      <c r="AM1377" s="122"/>
      <c r="AN1377" s="122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26"/>
      <c r="BD1377" s="15"/>
    </row>
    <row r="1378" spans="3:56" x14ac:dyDescent="0.4"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22"/>
      <c r="AM1378" s="122"/>
      <c r="AN1378" s="122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7"/>
      <c r="BD1378" s="15"/>
    </row>
    <row r="1379" spans="3:56" x14ac:dyDescent="0.4">
      <c r="BC1379" s="26"/>
      <c r="BD1379" s="15"/>
    </row>
    <row r="1380" spans="3:56" x14ac:dyDescent="0.4">
      <c r="AG1380" s="115"/>
      <c r="AH1380" s="115"/>
      <c r="AI1380" s="115"/>
      <c r="AJ1380" s="115"/>
      <c r="AK1380" s="115"/>
      <c r="AL1380" s="122"/>
      <c r="AM1380" s="122"/>
      <c r="AN1380" s="122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7"/>
      <c r="BD1380" s="13"/>
    </row>
    <row r="1381" spans="3:56" x14ac:dyDescent="0.4">
      <c r="AG1381" s="115"/>
      <c r="AH1381" s="115"/>
      <c r="AI1381" s="115"/>
      <c r="AJ1381" s="115"/>
      <c r="AK1381" s="115"/>
      <c r="AL1381" s="122"/>
      <c r="AM1381" s="122"/>
      <c r="AN1381" s="122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7"/>
      <c r="BD1381" s="13"/>
    </row>
    <row r="1382" spans="3:56" x14ac:dyDescent="0.4">
      <c r="AE1382" s="115"/>
      <c r="AF1382" s="115"/>
      <c r="AG1382" s="115"/>
      <c r="AH1382" s="115"/>
      <c r="AI1382" s="115"/>
      <c r="AJ1382" s="115"/>
      <c r="AK1382" s="115"/>
      <c r="AL1382" s="122"/>
      <c r="AM1382" s="122"/>
      <c r="AN1382" s="122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15"/>
      <c r="BB1382" s="115"/>
      <c r="BC1382" s="26"/>
      <c r="BD1382" s="13"/>
    </row>
    <row r="1383" spans="3:56" x14ac:dyDescent="0.4">
      <c r="AE1383" s="115"/>
      <c r="AF1383" s="115"/>
      <c r="AG1383" s="115"/>
      <c r="AH1383" s="115"/>
      <c r="AI1383" s="115"/>
      <c r="AJ1383" s="115"/>
      <c r="AK1383" s="115"/>
      <c r="AL1383" s="122"/>
      <c r="AM1383" s="122"/>
      <c r="AN1383" s="122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7"/>
      <c r="BD1383" s="13"/>
    </row>
    <row r="1384" spans="3:56" x14ac:dyDescent="0.4">
      <c r="BC1384" s="26"/>
      <c r="BD1384" s="13"/>
    </row>
    <row r="1385" spans="3:56" x14ac:dyDescent="0.4">
      <c r="AF1385" s="115"/>
      <c r="AG1385" s="115"/>
      <c r="AH1385" s="115"/>
      <c r="AI1385" s="115"/>
      <c r="AJ1385" s="115"/>
      <c r="AK1385" s="115"/>
      <c r="AL1385" s="122"/>
      <c r="AM1385" s="122"/>
      <c r="AN1385" s="122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7"/>
      <c r="BD1385" s="13"/>
    </row>
    <row r="1386" spans="3:56" x14ac:dyDescent="0.4">
      <c r="BC1386" s="26"/>
      <c r="BD1386" s="13"/>
    </row>
    <row r="1387" spans="3:56" x14ac:dyDescent="0.4">
      <c r="BC1387" s="26"/>
      <c r="BD1387" s="13"/>
    </row>
    <row r="1388" spans="3:56" x14ac:dyDescent="0.4"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22"/>
      <c r="AM1388" s="122"/>
      <c r="AN1388" s="122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26"/>
      <c r="BD1388" s="13"/>
    </row>
    <row r="1389" spans="3:56" x14ac:dyDescent="0.4"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22"/>
      <c r="AM1389" s="122"/>
      <c r="AN1389" s="122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26"/>
      <c r="BD1389" s="13"/>
    </row>
    <row r="1390" spans="3:56" x14ac:dyDescent="0.4">
      <c r="BC1390" s="26"/>
      <c r="BD1390" s="13"/>
    </row>
    <row r="1391" spans="3:56" x14ac:dyDescent="0.4">
      <c r="BC1391" s="26"/>
      <c r="BD1391" s="13"/>
    </row>
    <row r="1392" spans="3:56" x14ac:dyDescent="0.4"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22"/>
      <c r="AM1392" s="122"/>
      <c r="AN1392" s="122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26"/>
      <c r="BD1392" s="13"/>
    </row>
    <row r="1393" spans="2:56" x14ac:dyDescent="0.4">
      <c r="BC1393" s="26"/>
      <c r="BD1393" s="105"/>
    </row>
    <row r="1394" spans="2:56" x14ac:dyDescent="0.4"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22"/>
      <c r="AM1394" s="122"/>
      <c r="AN1394" s="122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26"/>
      <c r="BD1394" s="15"/>
    </row>
    <row r="1395" spans="2:56" x14ac:dyDescent="0.4"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22"/>
      <c r="AM1395" s="122"/>
      <c r="AN1395" s="122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7"/>
      <c r="BD1395" s="15"/>
    </row>
    <row r="1396" spans="2:56" x14ac:dyDescent="0.4">
      <c r="BC1396" s="26"/>
      <c r="BD1396" s="15"/>
    </row>
    <row r="1397" spans="2:56" x14ac:dyDescent="0.4"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22"/>
      <c r="AM1397" s="122"/>
      <c r="AN1397" s="122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26"/>
      <c r="BD1397" s="15"/>
    </row>
    <row r="1398" spans="2:56" x14ac:dyDescent="0.4"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22"/>
      <c r="AM1398" s="122"/>
      <c r="AN1398" s="122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26"/>
      <c r="BD1398" s="15"/>
    </row>
    <row r="1399" spans="2:56" x14ac:dyDescent="0.4"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22"/>
      <c r="AM1399" s="122"/>
      <c r="AN1399" s="122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26"/>
      <c r="BD1399" s="13"/>
    </row>
    <row r="1400" spans="2:56" x14ac:dyDescent="0.4">
      <c r="BC1400" s="26"/>
      <c r="BD1400" s="15"/>
    </row>
    <row r="1401" spans="2:56" x14ac:dyDescent="0.4"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22"/>
      <c r="AM1401" s="122"/>
      <c r="AN1401" s="122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26"/>
      <c r="BD1401" s="15"/>
    </row>
    <row r="1402" spans="2:56" x14ac:dyDescent="0.4"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22"/>
      <c r="AM1402" s="122"/>
      <c r="AN1402" s="122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26"/>
      <c r="BD1402" s="15"/>
    </row>
    <row r="1403" spans="2:56" x14ac:dyDescent="0.4"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22"/>
      <c r="AM1403" s="122"/>
      <c r="AN1403" s="122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26"/>
      <c r="BD1403" s="15"/>
    </row>
    <row r="1404" spans="2:56" x14ac:dyDescent="0.4"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22"/>
      <c r="AM1404" s="122"/>
      <c r="AN1404" s="122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26"/>
      <c r="BD1404" s="15"/>
    </row>
    <row r="1405" spans="2:56" x14ac:dyDescent="0.4"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22"/>
      <c r="AM1405" s="122"/>
      <c r="AN1405" s="122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26"/>
      <c r="BD1405" s="15"/>
    </row>
    <row r="1406" spans="2:56" x14ac:dyDescent="0.4"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22"/>
      <c r="AM1406" s="122"/>
      <c r="AN1406" s="122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26"/>
      <c r="BD1406" s="15"/>
    </row>
    <row r="1407" spans="2:56" ht="19.5" customHeight="1" x14ac:dyDescent="0.4"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22"/>
      <c r="AM1407" s="122"/>
      <c r="AN1407" s="122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26"/>
      <c r="BD1407" s="15"/>
    </row>
    <row r="1408" spans="2:56" ht="19.5" customHeight="1" x14ac:dyDescent="0.4"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22"/>
      <c r="AM1408" s="122"/>
      <c r="AN1408" s="122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26"/>
      <c r="BD1408" s="15"/>
    </row>
    <row r="1409" spans="1:56" x14ac:dyDescent="0.4">
      <c r="BC1409" s="26"/>
      <c r="BD1409" s="15"/>
    </row>
    <row r="1410" spans="1:56" x14ac:dyDescent="0.4"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22"/>
      <c r="AM1410" s="122"/>
      <c r="AN1410" s="122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26"/>
      <c r="BD1410" s="15"/>
    </row>
    <row r="1411" spans="1:56" x14ac:dyDescent="0.4"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22"/>
      <c r="AM1411" s="122"/>
      <c r="AN1411" s="122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26"/>
      <c r="BD1411" s="15"/>
    </row>
    <row r="1412" spans="1:56" x14ac:dyDescent="0.4"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22"/>
      <c r="AM1412" s="122"/>
      <c r="AN1412" s="122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7"/>
      <c r="BD1412" s="15"/>
    </row>
    <row r="1413" spans="1:56" x14ac:dyDescent="0.4">
      <c r="BC1413" s="26"/>
      <c r="BD1413" s="15"/>
    </row>
    <row r="1414" spans="1:56" x14ac:dyDescent="0.4">
      <c r="AF1414" s="115"/>
      <c r="AG1414" s="115"/>
      <c r="AH1414" s="115"/>
      <c r="AI1414" s="115"/>
      <c r="AJ1414" s="115"/>
      <c r="AK1414" s="115"/>
      <c r="AL1414" s="122"/>
      <c r="AM1414" s="122"/>
      <c r="AN1414" s="122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7"/>
      <c r="BD1414" s="15"/>
    </row>
    <row r="1415" spans="1:56" x14ac:dyDescent="0.4"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22"/>
      <c r="AM1415" s="122"/>
      <c r="AN1415" s="122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26"/>
      <c r="BD1415" s="15"/>
    </row>
    <row r="1416" spans="1:56" x14ac:dyDescent="0.4">
      <c r="BC1416" s="26"/>
      <c r="BD1416" s="15"/>
    </row>
    <row r="1417" spans="1:56" x14ac:dyDescent="0.4">
      <c r="BC1417" s="26"/>
      <c r="BD1417" s="15"/>
    </row>
    <row r="1418" spans="1:56" x14ac:dyDescent="0.4">
      <c r="AE1418" s="115"/>
      <c r="AF1418" s="115"/>
      <c r="AG1418" s="115"/>
      <c r="AH1418" s="115"/>
      <c r="AI1418" s="115"/>
      <c r="AJ1418" s="115"/>
      <c r="AK1418" s="115"/>
      <c r="AL1418" s="122"/>
      <c r="AM1418" s="122"/>
      <c r="AN1418" s="122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26"/>
      <c r="BD1418" s="15"/>
    </row>
    <row r="1419" spans="1:56" x14ac:dyDescent="0.4">
      <c r="BC1419" s="26"/>
      <c r="BD1419" s="15"/>
    </row>
    <row r="1420" spans="1:56" x14ac:dyDescent="0.4">
      <c r="AF1420" s="115"/>
      <c r="AG1420" s="115"/>
      <c r="AH1420" s="115"/>
      <c r="AI1420" s="115"/>
      <c r="AJ1420" s="115"/>
      <c r="AK1420" s="115"/>
      <c r="AL1420" s="122"/>
      <c r="AM1420" s="122"/>
      <c r="AN1420" s="122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7"/>
      <c r="BD1420" s="15"/>
    </row>
    <row r="1421" spans="1:56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22"/>
      <c r="AM1421" s="122"/>
      <c r="AN1421" s="122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26"/>
      <c r="BD1421" s="15"/>
    </row>
    <row r="1422" spans="1:56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22"/>
      <c r="AM1422" s="122"/>
      <c r="AN1422" s="122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7"/>
      <c r="BD1422" s="13"/>
    </row>
    <row r="1423" spans="1:56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22"/>
      <c r="AM1423" s="122"/>
      <c r="AN1423" s="122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7"/>
      <c r="BD1423" s="13"/>
    </row>
    <row r="1424" spans="1:56" x14ac:dyDescent="0.4">
      <c r="BC1424" s="26"/>
      <c r="BD1424" s="13"/>
    </row>
    <row r="1425" spans="1:56" x14ac:dyDescent="0.4"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22"/>
      <c r="AM1425" s="122"/>
      <c r="AN1425" s="122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26"/>
      <c r="BD1425" s="15"/>
    </row>
    <row r="1426" spans="1:56" x14ac:dyDescent="0.4"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22"/>
      <c r="AM1426" s="122"/>
      <c r="AN1426" s="122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26"/>
      <c r="BD1426" s="15"/>
    </row>
    <row r="1427" spans="1:56" x14ac:dyDescent="0.4">
      <c r="BC1427" s="26"/>
      <c r="BD1427" s="15"/>
    </row>
    <row r="1428" spans="1:56" x14ac:dyDescent="0.4"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22"/>
      <c r="AM1428" s="122"/>
      <c r="AN1428" s="122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26"/>
      <c r="BD1428" s="15"/>
    </row>
    <row r="1429" spans="1:56" x14ac:dyDescent="0.4"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22"/>
      <c r="AM1429" s="122"/>
      <c r="AN1429" s="122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26"/>
      <c r="BD1429" s="15"/>
    </row>
    <row r="1430" spans="1:56" x14ac:dyDescent="0.4"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22"/>
      <c r="AM1430" s="122"/>
      <c r="AN1430" s="122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26"/>
      <c r="BD1430" s="15"/>
    </row>
    <row r="1431" spans="1:56" x14ac:dyDescent="0.4"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22"/>
      <c r="AM1431" s="122"/>
      <c r="AN1431" s="122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26"/>
      <c r="BD1431" s="15"/>
    </row>
    <row r="1432" spans="1:56" x14ac:dyDescent="0.4">
      <c r="BC1432" s="26"/>
      <c r="BD1432" s="15"/>
    </row>
    <row r="1433" spans="1:56" x14ac:dyDescent="0.4"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22"/>
      <c r="AM1433" s="122"/>
      <c r="AN1433" s="122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26"/>
      <c r="BD1433" s="15"/>
    </row>
    <row r="1434" spans="1:56" x14ac:dyDescent="0.4">
      <c r="BC1434" s="26"/>
      <c r="BD1434" s="15"/>
    </row>
    <row r="1435" spans="1:56" x14ac:dyDescent="0.4"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22"/>
      <c r="AM1435" s="122"/>
      <c r="AN1435" s="122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26"/>
      <c r="BD1435" s="15"/>
    </row>
    <row r="1436" spans="1:56" x14ac:dyDescent="0.4"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22"/>
      <c r="AM1436" s="122"/>
      <c r="AN1436" s="122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26"/>
      <c r="BD1436" s="15"/>
    </row>
    <row r="1437" spans="1:56" x14ac:dyDescent="0.4"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22"/>
      <c r="AM1437" s="122"/>
      <c r="AN1437" s="122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7"/>
      <c r="BD1437" s="15"/>
    </row>
    <row r="1438" spans="1:56" x14ac:dyDescent="0.4">
      <c r="BC1438" s="26"/>
      <c r="BD1438" s="15"/>
    </row>
    <row r="1439" spans="1:56" x14ac:dyDescent="0.4">
      <c r="BC1439" s="26"/>
      <c r="BD1439" s="15"/>
    </row>
    <row r="1440" spans="1:56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22"/>
      <c r="AM1440" s="122"/>
      <c r="AN1440" s="122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26"/>
      <c r="BD1440" s="15"/>
    </row>
    <row r="1441" spans="1:56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22"/>
      <c r="AM1441" s="122"/>
      <c r="AN1441" s="122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7"/>
      <c r="BD1441" s="15"/>
    </row>
    <row r="1442" spans="1:56" x14ac:dyDescent="0.4">
      <c r="BC1442" s="26"/>
      <c r="BD1442" s="15"/>
    </row>
    <row r="1443" spans="1:56" ht="17.25" customHeight="1" x14ac:dyDescent="0.4"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22"/>
      <c r="AM1443" s="122"/>
      <c r="AN1443" s="122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26"/>
      <c r="BD1443" s="15"/>
    </row>
    <row r="1444" spans="1:56" x14ac:dyDescent="0.4">
      <c r="BC1444" s="26"/>
      <c r="BD1444" s="15"/>
    </row>
    <row r="1445" spans="1:56" x14ac:dyDescent="0.4">
      <c r="AE1445" s="115"/>
      <c r="AF1445" s="115"/>
      <c r="AG1445" s="115"/>
      <c r="AH1445" s="115"/>
      <c r="AI1445" s="115"/>
      <c r="AJ1445" s="115"/>
      <c r="AK1445" s="115"/>
      <c r="AL1445" s="122"/>
      <c r="AM1445" s="122"/>
      <c r="AN1445" s="122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7"/>
      <c r="BD1445" s="15"/>
    </row>
    <row r="1446" spans="1:56" ht="16.5" customHeight="1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22"/>
      <c r="AM1446" s="122"/>
      <c r="AN1446" s="122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26"/>
      <c r="BD1446" s="15"/>
    </row>
    <row r="1447" spans="1:56" ht="22.5" customHeight="1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22"/>
      <c r="AM1447" s="122"/>
      <c r="AN1447" s="122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26"/>
      <c r="BD1447" s="15"/>
    </row>
    <row r="1448" spans="1:56" x14ac:dyDescent="0.4">
      <c r="BC1448" s="26"/>
      <c r="BD1448" s="15"/>
    </row>
    <row r="1449" spans="1:56" x14ac:dyDescent="0.4">
      <c r="BC1449" s="26"/>
      <c r="BD1449" s="105"/>
    </row>
    <row r="1450" spans="1:56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22"/>
      <c r="AM1450" s="122"/>
      <c r="AN1450" s="122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26"/>
      <c r="BD1450" s="15"/>
    </row>
    <row r="1451" spans="1:56" x14ac:dyDescent="0.4">
      <c r="BC1451" s="26"/>
      <c r="BD1451" s="15"/>
    </row>
    <row r="1452" spans="1:56" x14ac:dyDescent="0.4">
      <c r="BC1452" s="26"/>
      <c r="BD1452" s="15"/>
    </row>
    <row r="1453" spans="1:56" x14ac:dyDescent="0.4">
      <c r="BC1453" s="26"/>
      <c r="BD1453" s="15"/>
    </row>
    <row r="1454" spans="1:56" x14ac:dyDescent="0.4">
      <c r="BC1454" s="26"/>
      <c r="BD1454" s="15"/>
    </row>
    <row r="1455" spans="1:56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22"/>
      <c r="AM1455" s="122"/>
      <c r="AN1455" s="122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26"/>
      <c r="BD1455" s="15"/>
    </row>
    <row r="1456" spans="1:56" x14ac:dyDescent="0.4">
      <c r="BC1456" s="26"/>
      <c r="BD1456" s="15"/>
    </row>
    <row r="1457" spans="1:56" x14ac:dyDescent="0.4">
      <c r="BC1457" s="26"/>
      <c r="BD1457" s="15"/>
    </row>
    <row r="1458" spans="1:56" x14ac:dyDescent="0.4">
      <c r="BC1458" s="26"/>
      <c r="BD1458" s="15"/>
    </row>
    <row r="1459" spans="1:56" x14ac:dyDescent="0.4">
      <c r="BC1459" s="26"/>
      <c r="BD1459" s="15"/>
    </row>
    <row r="1460" spans="1:56" ht="18.75" customHeight="1" x14ac:dyDescent="0.4"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22"/>
      <c r="AM1460" s="122"/>
      <c r="AN1460" s="122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26"/>
      <c r="BD1460" s="15"/>
    </row>
    <row r="1461" spans="1:56" x14ac:dyDescent="0.4">
      <c r="BC1461" s="26"/>
      <c r="BD1461" s="15"/>
    </row>
    <row r="1462" spans="1:56" x14ac:dyDescent="0.4">
      <c r="BC1462" s="26"/>
      <c r="BD1462" s="15"/>
    </row>
    <row r="1463" spans="1:56" x14ac:dyDescent="0.4"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22"/>
      <c r="AM1463" s="122"/>
      <c r="AN1463" s="122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26"/>
      <c r="BD1463" s="15"/>
    </row>
    <row r="1464" spans="1:56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22"/>
      <c r="AM1464" s="122"/>
      <c r="AN1464" s="122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26"/>
      <c r="BD1464" s="15"/>
    </row>
    <row r="1465" spans="1:56" x14ac:dyDescent="0.4">
      <c r="BC1465" s="26"/>
      <c r="BD1465" s="15"/>
    </row>
    <row r="1466" spans="1:56" x14ac:dyDescent="0.4">
      <c r="AE1466" s="115"/>
      <c r="AF1466" s="115"/>
      <c r="AG1466" s="115"/>
      <c r="AH1466" s="115"/>
      <c r="AI1466" s="115"/>
      <c r="AJ1466" s="115"/>
      <c r="AK1466" s="115"/>
      <c r="AL1466" s="122"/>
      <c r="AM1466" s="122"/>
      <c r="AN1466" s="122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7"/>
      <c r="BD1466" s="15"/>
    </row>
    <row r="1467" spans="1:56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22"/>
      <c r="AM1467" s="122"/>
      <c r="AN1467" s="122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26"/>
      <c r="BD1467" s="15"/>
    </row>
    <row r="1468" spans="1:56" x14ac:dyDescent="0.4">
      <c r="BC1468" s="26"/>
      <c r="BD1468" s="15"/>
    </row>
    <row r="1469" spans="1:56" x14ac:dyDescent="0.4">
      <c r="AE1469" s="115"/>
      <c r="AF1469" s="115"/>
      <c r="AG1469" s="115"/>
      <c r="AH1469" s="115"/>
      <c r="AI1469" s="115"/>
      <c r="AJ1469" s="115"/>
      <c r="AK1469" s="115"/>
      <c r="AL1469" s="122"/>
      <c r="AM1469" s="122"/>
      <c r="AN1469" s="122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7"/>
      <c r="BD1469" s="15"/>
    </row>
    <row r="1470" spans="1:56" x14ac:dyDescent="0.4">
      <c r="BC1470" s="26"/>
      <c r="BD1470" s="15"/>
    </row>
    <row r="1471" spans="1:56" x14ac:dyDescent="0.4"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22"/>
      <c r="AM1471" s="122"/>
      <c r="AN1471" s="122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26"/>
      <c r="BD1471" s="15"/>
    </row>
    <row r="1472" spans="1:56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22"/>
      <c r="AM1472" s="122"/>
      <c r="AN1472" s="122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26"/>
      <c r="BD1472" s="15"/>
    </row>
    <row r="1473" spans="1:56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22"/>
      <c r="AM1473" s="122"/>
      <c r="AN1473" s="122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26"/>
      <c r="BD1473" s="15"/>
    </row>
    <row r="1474" spans="1:56" x14ac:dyDescent="0.4">
      <c r="BC1474" s="26"/>
      <c r="BD1474" s="15"/>
    </row>
    <row r="1475" spans="1:56" x14ac:dyDescent="0.4"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22"/>
      <c r="AM1475" s="122"/>
      <c r="AN1475" s="122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26"/>
      <c r="BD1475" s="15"/>
    </row>
    <row r="1476" spans="1:56" x14ac:dyDescent="0.4">
      <c r="BC1476" s="26"/>
      <c r="BD1476" s="15"/>
    </row>
    <row r="1477" spans="1:56" x14ac:dyDescent="0.4"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22"/>
      <c r="AM1477" s="122"/>
      <c r="AN1477" s="122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26"/>
      <c r="BD1477" s="15"/>
    </row>
    <row r="1478" spans="1:56" x14ac:dyDescent="0.4">
      <c r="BC1478" s="26"/>
      <c r="BD1478" s="15"/>
    </row>
    <row r="1479" spans="1:56" x14ac:dyDescent="0.4">
      <c r="BC1479" s="26"/>
      <c r="BD1479" s="15"/>
    </row>
    <row r="1480" spans="1:56" x14ac:dyDescent="0.4">
      <c r="BC1480" s="26"/>
      <c r="BD1480" s="15"/>
    </row>
    <row r="1481" spans="1:56" x14ac:dyDescent="0.4">
      <c r="BC1481" s="26"/>
      <c r="BD1481" s="15"/>
    </row>
    <row r="1482" spans="1:56" x14ac:dyDescent="0.4">
      <c r="BC1482" s="26"/>
      <c r="BD1482" s="15"/>
    </row>
    <row r="1483" spans="1:56" x14ac:dyDescent="0.4">
      <c r="BC1483" s="26"/>
      <c r="BD1483" s="15"/>
    </row>
    <row r="1484" spans="1:56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22"/>
      <c r="AM1484" s="122"/>
      <c r="AN1484" s="122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26"/>
      <c r="BD1484" s="15"/>
    </row>
    <row r="1485" spans="1:56" x14ac:dyDescent="0.4">
      <c r="BC1485" s="26"/>
      <c r="BD1485" s="15"/>
    </row>
    <row r="1486" spans="1:56" x14ac:dyDescent="0.4">
      <c r="BC1486" s="26"/>
      <c r="BD1486" s="15"/>
    </row>
    <row r="1487" spans="1:56" x14ac:dyDescent="0.4">
      <c r="BC1487" s="26"/>
      <c r="BD1487" s="15"/>
    </row>
    <row r="1488" spans="1:56" x14ac:dyDescent="0.4">
      <c r="BC1488" s="26"/>
      <c r="BD1488" s="15"/>
    </row>
    <row r="1489" spans="1:56" x14ac:dyDescent="0.4">
      <c r="BC1489" s="26"/>
      <c r="BD1489" s="15"/>
    </row>
    <row r="1490" spans="1:56" x14ac:dyDescent="0.4">
      <c r="AE1490" s="115"/>
      <c r="AF1490" s="115"/>
      <c r="AG1490" s="115"/>
      <c r="AH1490" s="115"/>
      <c r="AI1490" s="115"/>
      <c r="AJ1490" s="115"/>
      <c r="AK1490" s="115"/>
      <c r="AL1490" s="122"/>
      <c r="AM1490" s="122"/>
      <c r="AN1490" s="122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7"/>
      <c r="BD1490" s="15"/>
    </row>
    <row r="1491" spans="1:56" x14ac:dyDescent="0.4">
      <c r="AE1491" s="115"/>
      <c r="AF1491" s="115"/>
      <c r="AG1491" s="115"/>
      <c r="AH1491" s="115"/>
      <c r="AI1491" s="115"/>
      <c r="AJ1491" s="115"/>
      <c r="AK1491" s="115"/>
      <c r="AL1491" s="122"/>
      <c r="AM1491" s="122"/>
      <c r="AN1491" s="122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7"/>
      <c r="BD1491" s="15"/>
    </row>
    <row r="1492" spans="1:56" x14ac:dyDescent="0.4">
      <c r="BC1492" s="26"/>
      <c r="BD1492" s="15"/>
    </row>
    <row r="1493" spans="1:56" x14ac:dyDescent="0.4">
      <c r="BC1493" s="26"/>
      <c r="BD1493" s="15"/>
    </row>
    <row r="1494" spans="1:56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22"/>
      <c r="AM1494" s="122"/>
      <c r="AN1494" s="122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26"/>
      <c r="BD1494" s="15"/>
    </row>
    <row r="1495" spans="1:56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22"/>
      <c r="AM1495" s="122"/>
      <c r="AN1495" s="122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26"/>
      <c r="BD1495" s="13"/>
    </row>
    <row r="1496" spans="1:56" x14ac:dyDescent="0.4">
      <c r="BC1496" s="26"/>
      <c r="BD1496" s="15"/>
    </row>
    <row r="1497" spans="1:56" x14ac:dyDescent="0.4"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22"/>
      <c r="AM1497" s="122"/>
      <c r="AN1497" s="122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26"/>
      <c r="BD1497" s="15"/>
    </row>
    <row r="1498" spans="1:56" x14ac:dyDescent="0.4">
      <c r="BC1498" s="26"/>
      <c r="BD1498" s="15"/>
    </row>
    <row r="1499" spans="1:56" x14ac:dyDescent="0.4">
      <c r="BC1499" s="26"/>
      <c r="BD1499" s="15"/>
    </row>
    <row r="1500" spans="1:56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22"/>
      <c r="AM1500" s="122"/>
      <c r="AN1500" s="122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26"/>
      <c r="BD1500" s="15"/>
    </row>
    <row r="1501" spans="1:56" x14ac:dyDescent="0.4">
      <c r="BC1501" s="26"/>
      <c r="BD1501" s="13"/>
    </row>
    <row r="1502" spans="1:56" x14ac:dyDescent="0.4">
      <c r="BC1502" s="26"/>
      <c r="BD1502" s="13"/>
    </row>
    <row r="1503" spans="1:56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22"/>
      <c r="AM1503" s="122"/>
      <c r="AN1503" s="122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26"/>
      <c r="BD1503" s="13"/>
    </row>
    <row r="1504" spans="1:56" x14ac:dyDescent="0.4">
      <c r="BC1504" s="26"/>
      <c r="BD1504" s="13"/>
    </row>
    <row r="1505" spans="1:56" x14ac:dyDescent="0.4">
      <c r="BC1505" s="26"/>
      <c r="BD1505" s="13"/>
    </row>
    <row r="1506" spans="1:56" x14ac:dyDescent="0.4">
      <c r="BC1506" s="26"/>
      <c r="BD1506" s="13"/>
    </row>
    <row r="1507" spans="1:56" x14ac:dyDescent="0.4">
      <c r="BC1507" s="26"/>
      <c r="BD1507" s="13"/>
    </row>
    <row r="1508" spans="1:56" x14ac:dyDescent="0.4">
      <c r="BC1508" s="26"/>
      <c r="BD1508" s="13"/>
    </row>
    <row r="1509" spans="1:56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22"/>
      <c r="AM1509" s="122"/>
      <c r="AN1509" s="122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26"/>
      <c r="BD1509" s="25"/>
    </row>
    <row r="1510" spans="1:56" x14ac:dyDescent="0.4">
      <c r="BC1510" s="26"/>
      <c r="BD1510" s="13"/>
    </row>
    <row r="1511" spans="1:56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22"/>
      <c r="AM1511" s="122"/>
      <c r="AN1511" s="122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26"/>
      <c r="BD1511" s="13"/>
    </row>
    <row r="1512" spans="1:56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22"/>
      <c r="AM1512" s="122"/>
      <c r="AN1512" s="122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26"/>
      <c r="BD1512" s="13"/>
    </row>
    <row r="1513" spans="1:56" x14ac:dyDescent="0.4">
      <c r="BC1513" s="26"/>
      <c r="BD1513" s="15"/>
    </row>
    <row r="1514" spans="1:56" x14ac:dyDescent="0.4">
      <c r="BC1514" s="26"/>
      <c r="BD1514" s="15"/>
    </row>
    <row r="1515" spans="1:56" x14ac:dyDescent="0.4">
      <c r="BC1515" s="26"/>
      <c r="BD1515" s="15"/>
    </row>
    <row r="1516" spans="1:56" x14ac:dyDescent="0.4">
      <c r="BC1516" s="26"/>
      <c r="BD1516" s="13"/>
    </row>
    <row r="1517" spans="1:56" x14ac:dyDescent="0.4">
      <c r="BC1517" s="26"/>
      <c r="BD1517" s="15"/>
    </row>
    <row r="1518" spans="1:56" x14ac:dyDescent="0.4"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22"/>
      <c r="AM1518" s="122"/>
      <c r="AN1518" s="122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7"/>
      <c r="BD1518" s="15"/>
    </row>
    <row r="1519" spans="1:56" x14ac:dyDescent="0.4">
      <c r="BC1519" s="26"/>
      <c r="BD1519" s="15"/>
    </row>
    <row r="1520" spans="1:56" x14ac:dyDescent="0.4"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22"/>
      <c r="AM1520" s="122"/>
      <c r="AN1520" s="122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7"/>
      <c r="BD1520" s="15"/>
    </row>
    <row r="1521" spans="2:56" x14ac:dyDescent="0.4">
      <c r="BC1521" s="26"/>
      <c r="BD1521" s="15"/>
    </row>
    <row r="1522" spans="2:56" x14ac:dyDescent="0.4">
      <c r="BC1522" s="26"/>
      <c r="BD1522" s="15"/>
    </row>
    <row r="1523" spans="2:56" x14ac:dyDescent="0.4"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22"/>
      <c r="AM1523" s="122"/>
      <c r="AN1523" s="122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7"/>
      <c r="BD1523" s="15"/>
    </row>
    <row r="1524" spans="2:56" x14ac:dyDescent="0.4">
      <c r="BC1524" s="26"/>
      <c r="BD1524" s="15"/>
    </row>
    <row r="1525" spans="2:56" x14ac:dyDescent="0.4">
      <c r="BC1525" s="26"/>
      <c r="BD1525" s="15"/>
    </row>
    <row r="1526" spans="2:56" x14ac:dyDescent="0.4">
      <c r="BC1526" s="26"/>
      <c r="BD1526" s="105"/>
    </row>
    <row r="1527" spans="2:56" x14ac:dyDescent="0.4">
      <c r="BC1527" s="26"/>
      <c r="BD1527" s="15"/>
    </row>
    <row r="1528" spans="2:56" x14ac:dyDescent="0.4">
      <c r="BC1528" s="26"/>
      <c r="BD1528" s="15"/>
    </row>
    <row r="1529" spans="2:56" x14ac:dyDescent="0.4">
      <c r="BC1529" s="26"/>
      <c r="BD1529" s="15"/>
    </row>
    <row r="1530" spans="2:56" x14ac:dyDescent="0.4">
      <c r="BC1530" s="26"/>
      <c r="BD1530" s="15"/>
    </row>
    <row r="1531" spans="2:56" x14ac:dyDescent="0.4">
      <c r="BC1531" s="26"/>
      <c r="BD1531" s="15"/>
    </row>
    <row r="1532" spans="2:56" x14ac:dyDescent="0.4"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22"/>
      <c r="AM1532" s="122"/>
      <c r="AN1532" s="122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9"/>
      <c r="BD1532" s="119"/>
    </row>
    <row r="1533" spans="2:56" x14ac:dyDescent="0.4"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22"/>
      <c r="AM1533" s="122"/>
      <c r="AN1533" s="122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9"/>
      <c r="BD1533" s="119"/>
    </row>
  </sheetData>
  <sortState xmlns:xlrd2="http://schemas.microsoft.com/office/spreadsheetml/2017/richdata2" ref="T2:U146">
    <sortCondition ref="T2:T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2025-06-12T06:24:31Z</cp:lastPrinted>
  <dcterms:created xsi:type="dcterms:W3CDTF">2020-05-08T06:29:04Z</dcterms:created>
  <dcterms:modified xsi:type="dcterms:W3CDTF">2025-06-25T01:48:08Z</dcterms:modified>
</cp:coreProperties>
</file>