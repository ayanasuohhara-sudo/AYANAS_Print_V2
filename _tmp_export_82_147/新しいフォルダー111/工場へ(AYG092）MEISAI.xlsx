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ECA5293A-710E-416C-864B-87FBDEF4B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D24" i="3"/>
  <c r="C24" i="3"/>
  <c r="B24" i="3"/>
  <c r="M129" i="3"/>
  <c r="L129" i="3"/>
  <c r="M127" i="3"/>
  <c r="L127" i="3"/>
  <c r="M125" i="3"/>
  <c r="L125" i="3"/>
  <c r="M122" i="3"/>
  <c r="L122" i="3"/>
  <c r="M118" i="3"/>
  <c r="L118" i="3"/>
  <c r="M108" i="3"/>
  <c r="L108" i="3"/>
  <c r="M98" i="3"/>
  <c r="L98" i="3"/>
  <c r="M90" i="3"/>
  <c r="L90" i="3"/>
  <c r="M82" i="3"/>
  <c r="L82" i="3"/>
  <c r="M79" i="3"/>
  <c r="L79" i="3"/>
  <c r="M74" i="3"/>
  <c r="L74" i="3"/>
  <c r="M56" i="3"/>
  <c r="L56" i="3"/>
  <c r="M40" i="3"/>
  <c r="L40" i="3"/>
  <c r="M32" i="3"/>
  <c r="L32" i="3"/>
  <c r="M29" i="3"/>
  <c r="L29" i="3"/>
  <c r="M23" i="3"/>
  <c r="L23" i="3"/>
  <c r="M19" i="3"/>
  <c r="L19" i="3"/>
  <c r="M13" i="3"/>
  <c r="M130" i="3" s="1"/>
  <c r="L13" i="3"/>
  <c r="M10" i="3"/>
  <c r="L10" i="3"/>
  <c r="M8" i="3"/>
  <c r="L8" i="3"/>
  <c r="M4" i="3"/>
  <c r="L4" i="3"/>
  <c r="L130" i="3" s="1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K333" i="3"/>
  <c r="AJ333" i="3"/>
  <c r="AK328" i="3"/>
  <c r="AJ328" i="3"/>
  <c r="AK326" i="3"/>
  <c r="AJ326" i="3"/>
  <c r="AK312" i="3"/>
  <c r="AJ312" i="3"/>
  <c r="AK294" i="3"/>
  <c r="AJ294" i="3"/>
  <c r="AK283" i="3"/>
  <c r="AJ283" i="3"/>
  <c r="AK249" i="3"/>
  <c r="AJ249" i="3"/>
  <c r="AK236" i="3"/>
  <c r="AJ236" i="3"/>
  <c r="AK198" i="3"/>
  <c r="AJ198" i="3"/>
  <c r="AK189" i="3"/>
  <c r="AJ189" i="3"/>
  <c r="AK175" i="3"/>
  <c r="AJ175" i="3"/>
  <c r="AK142" i="3"/>
  <c r="AJ142" i="3"/>
  <c r="AK102" i="3"/>
  <c r="AJ102" i="3"/>
  <c r="AK95" i="3"/>
  <c r="AJ95" i="3"/>
  <c r="AK80" i="3"/>
  <c r="AJ80" i="3"/>
  <c r="AK75" i="3"/>
  <c r="AJ75" i="3"/>
  <c r="AK65" i="3"/>
  <c r="AJ65" i="3"/>
  <c r="AK60" i="3"/>
  <c r="AJ60" i="3"/>
  <c r="AK52" i="3"/>
  <c r="AJ52" i="3"/>
  <c r="AK44" i="3"/>
  <c r="AJ44" i="3"/>
  <c r="AK41" i="3"/>
  <c r="AJ41" i="3"/>
  <c r="AK21" i="3"/>
  <c r="AJ21" i="3"/>
  <c r="B61" i="1"/>
  <c r="A241" i="1"/>
  <c r="A151" i="1"/>
  <c r="AB43" i="1"/>
  <c r="AJ334" i="3" l="1"/>
  <c r="AK33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<sst xmlns="http://schemas.openxmlformats.org/spreadsheetml/2006/main" count="2268" uniqueCount="332">
  <si>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</si>
  <si>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</si>
  <si>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</si>
  <si>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</si>
  <si>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</si>
  <si>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</si>
  <si>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</si>
  <si>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</si>
  <si>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</si>
  <si>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</si>
  <si>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</si>
  <si>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</si>
  <si>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</si>
  <si>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</si>
  <si>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</si>
  <si>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</si>
  <si>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</si>
  <si>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</si>
  <si>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</si>
  <si>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</si>
  <si>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</si>
  <si>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</si>
  <si>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</si>
  <si>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</si>
  <si>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</si>
  <si>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</si>
  <si>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</si>
  <si>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</si>
  <si>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</si>
  <si>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</si>
  <si>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</si>
  <si>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</si>
  <si>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</si>
  <si>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</si>
  <si>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</si>
  <si>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</si>
  <si>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</si>
  <si>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</si>
  <si>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</si>
  <si>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</si>
  <si>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</si>
  <si>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</si>
  <si>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</si>
  <si>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</si>
  <si>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</si>
  <si>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</si>
  <si>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</si>
  <si>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</si>
  <si>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</si>
  <si>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</si>
  <si>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</si>
  <si>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</si>
  <si>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</si>
  <si>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</si>
  <si>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</si>
  <si>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</si>
  <si>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</si>
  <si>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</si>
  <si>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</si>
  <si>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</si>
  <si>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</si>
  <si>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</si>
  <si>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</si>
  <si>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</si>
  <si>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</si>
  <si>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</si>
  <si>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</si>
  <si>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</si>
  <si>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</si>
  <si>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</si>
  <si>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</si>
  <si>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</si>
  <si>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</si>
  <si>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</si>
  <si>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</si>
  <si>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</si>
  <si>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</si>
  <si>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</si>
  <si>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</si>
  <si>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</si>
  <si>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</si>
  <si>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</si>
  <si>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</si>
  <si>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</si>
  <si>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</si>
  <si>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</si>
  <si>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</si>
  <si>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</si>
  <si>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</si>
  <si>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</si>
  <si>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</si>
  <si>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</si>
  <si>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</si>
  <si>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</si>
  <si>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</si>
  <si>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</si>
  <si>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</si>
  <si>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</si>
  <si>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</si>
  <si>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</si>
  <si>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</si>
  <si>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</si>
  <si>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</si>
  <si>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</si>
  <si>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</si>
  <si>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</si>
  <si>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</si>
  <si>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</si>
  <si>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</si>
  <si>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</si>
  <si>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</si>
  <si>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</si>
  <si>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</si>
  <si>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</si>
  <si>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</si>
  <si>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</si>
  <si>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</si>
  <si>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</si>
  <si>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</si>
  <si>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</si>
  <si>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</si>
  <si>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</si>
  <si>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</si>
  <si>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</si>
  <si>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</si>
  <si>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</si>
  <si>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</si>
  <si>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</si>
  <si>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</si>
  <si>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</si>
  <si>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</si>
  <si>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</si>
  <si>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</si>
  <si>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</si>
  <si>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</si>
  <si>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</si>
  <si>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</si>
  <si>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</si>
  <si>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</si>
  <si>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</si>
  <si>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</si>
  <si>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</si>
  <si>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</si>
  <si>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</si>
  <si>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</si>
  <si>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</si>
  <si>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</si>
  <si>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</si>
  <si>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</si>
  <si>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</si>
  <si>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</si>
  <si>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</si>
  <si>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</si>
  <si>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</si>
  <si>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</si>
  <si>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</si>
  <si>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</si>
  <si>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</si>
  <si>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</si>
  <si>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</si>
  <si>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</si>
  <si>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</si>
  <si>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</si>
  <si>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</si>
  <si>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</si>
  <si>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</si>
  <si>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</si>
  <si>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</si>
  <si>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</si>
  <si>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</si>
  <si>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</si>
  <si>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</si>
  <si>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</si>
  <si>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</si>
  <si>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</si>
  <si>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</si>
  <si>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</si>
  <si>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2024/11/10 個数</t>
  </si>
  <si>
    <t>2024/11/12 個数</t>
  </si>
  <si>
    <t>2024/11/14 個数</t>
  </si>
  <si>
    <t>2024/11/16 個数</t>
  </si>
  <si>
    <t>2024/11/18 個数</t>
  </si>
  <si>
    <t>2024/11/20 個数</t>
  </si>
  <si>
    <t>2024/11/30 個数</t>
  </si>
  <si>
    <t>AYG091</t>
    <phoneticPr fontId="1"/>
  </si>
  <si>
    <t>2024/11/19 個数</t>
  </si>
  <si>
    <t>2024/11/23 個数</t>
  </si>
  <si>
    <t>2024/11/24 個数</t>
  </si>
  <si>
    <t>2024/11/25 個数</t>
  </si>
  <si>
    <t>2024/11/28 個数</t>
  </si>
  <si>
    <t>2024/12/2 個数</t>
  </si>
  <si>
    <t>2024/12/3 個数</t>
  </si>
  <si>
    <t>2024/12/4 個数</t>
  </si>
  <si>
    <t>2024/12/8 個数</t>
  </si>
  <si>
    <t>AYG092</t>
    <phoneticPr fontId="1"/>
  </si>
  <si>
    <t>06100441</t>
    <phoneticPr fontId="1"/>
  </si>
  <si>
    <t>A505</t>
    <phoneticPr fontId="1"/>
  </si>
  <si>
    <t>S</t>
    <phoneticPr fontId="1"/>
  </si>
  <si>
    <t>M032</t>
    <phoneticPr fontId="1"/>
  </si>
  <si>
    <t>06100443</t>
    <phoneticPr fontId="1"/>
  </si>
  <si>
    <t>06100572</t>
    <phoneticPr fontId="1"/>
  </si>
  <si>
    <t>M064</t>
    <phoneticPr fontId="1"/>
  </si>
  <si>
    <t>A623</t>
    <phoneticPr fontId="1"/>
  </si>
  <si>
    <t>06100573</t>
    <phoneticPr fontId="1"/>
  </si>
  <si>
    <t>06100574</t>
    <phoneticPr fontId="1"/>
  </si>
  <si>
    <t>A632</t>
    <phoneticPr fontId="1"/>
  </si>
  <si>
    <t>A318</t>
    <phoneticPr fontId="1"/>
  </si>
  <si>
    <t>06100582</t>
    <phoneticPr fontId="1"/>
  </si>
  <si>
    <t>06100589</t>
    <phoneticPr fontId="1"/>
  </si>
  <si>
    <t>06100590</t>
    <phoneticPr fontId="1"/>
  </si>
  <si>
    <t>06100591</t>
    <phoneticPr fontId="1"/>
  </si>
  <si>
    <t>M028</t>
    <phoneticPr fontId="1"/>
  </si>
  <si>
    <t>06100598</t>
    <phoneticPr fontId="1"/>
  </si>
  <si>
    <t>06100604</t>
    <phoneticPr fontId="1"/>
  </si>
  <si>
    <t>A330</t>
    <phoneticPr fontId="1"/>
  </si>
  <si>
    <t>06100605</t>
    <phoneticPr fontId="1"/>
  </si>
  <si>
    <t>06100606</t>
    <phoneticPr fontId="1"/>
  </si>
  <si>
    <t>A545</t>
    <phoneticPr fontId="1"/>
  </si>
  <si>
    <t>06100607</t>
    <phoneticPr fontId="1"/>
  </si>
  <si>
    <t>06100618</t>
    <phoneticPr fontId="1"/>
  </si>
  <si>
    <t>06100562</t>
    <phoneticPr fontId="1"/>
  </si>
  <si>
    <t>A700</t>
    <phoneticPr fontId="1"/>
  </si>
  <si>
    <t>06100563</t>
  </si>
  <si>
    <t>06100564</t>
  </si>
  <si>
    <t>06100608</t>
    <phoneticPr fontId="1"/>
  </si>
  <si>
    <t>06100609</t>
  </si>
  <si>
    <t>06100613</t>
    <phoneticPr fontId="1"/>
  </si>
  <si>
    <t>06100614</t>
  </si>
  <si>
    <t>06100615</t>
  </si>
  <si>
    <t>06100616</t>
  </si>
  <si>
    <t>06100617</t>
  </si>
  <si>
    <t>06100583</t>
    <phoneticPr fontId="1"/>
  </si>
  <si>
    <t>06100584</t>
  </si>
  <si>
    <t>06100585</t>
  </si>
  <si>
    <t>06100586</t>
  </si>
  <si>
    <t>06100587</t>
  </si>
  <si>
    <t>06100588</t>
    <phoneticPr fontId="1"/>
  </si>
  <si>
    <t>E</t>
    <phoneticPr fontId="1"/>
  </si>
  <si>
    <t>06100610</t>
    <phoneticPr fontId="1"/>
  </si>
  <si>
    <t>06100611</t>
    <phoneticPr fontId="1"/>
  </si>
  <si>
    <t>06100612</t>
    <phoneticPr fontId="1"/>
  </si>
  <si>
    <t>06100501</t>
    <phoneticPr fontId="1"/>
  </si>
  <si>
    <t>06100502</t>
    <phoneticPr fontId="1"/>
  </si>
  <si>
    <t>06100503</t>
    <phoneticPr fontId="1"/>
  </si>
  <si>
    <t>06100504</t>
    <phoneticPr fontId="1"/>
  </si>
  <si>
    <t>06100505</t>
    <phoneticPr fontId="1"/>
  </si>
  <si>
    <t>A335</t>
    <phoneticPr fontId="1"/>
  </si>
  <si>
    <t>06100651</t>
    <phoneticPr fontId="1"/>
  </si>
  <si>
    <t>06100652</t>
    <phoneticPr fontId="1"/>
  </si>
  <si>
    <t>06100653</t>
    <phoneticPr fontId="1"/>
  </si>
  <si>
    <t>06100654</t>
    <phoneticPr fontId="1"/>
  </si>
  <si>
    <t>06100655</t>
    <phoneticPr fontId="1"/>
  </si>
  <si>
    <t>06100656</t>
    <phoneticPr fontId="1"/>
  </si>
  <si>
    <t>06100657</t>
    <phoneticPr fontId="1"/>
  </si>
  <si>
    <t>06100658</t>
    <phoneticPr fontId="1"/>
  </si>
  <si>
    <t>06100659</t>
    <phoneticPr fontId="1"/>
  </si>
  <si>
    <t>06100660</t>
    <phoneticPr fontId="1"/>
  </si>
  <si>
    <t>06100332</t>
    <phoneticPr fontId="1"/>
  </si>
  <si>
    <t>M025</t>
    <phoneticPr fontId="1"/>
  </si>
  <si>
    <t>A913</t>
    <phoneticPr fontId="1"/>
  </si>
  <si>
    <t>06100541</t>
    <phoneticPr fontId="1"/>
  </si>
  <si>
    <t>06100579</t>
    <phoneticPr fontId="1"/>
  </si>
  <si>
    <t>06100592</t>
    <phoneticPr fontId="1"/>
  </si>
  <si>
    <t>06100643</t>
    <phoneticPr fontId="1"/>
  </si>
  <si>
    <t>A997</t>
    <phoneticPr fontId="1"/>
  </si>
  <si>
    <t>06100644</t>
    <phoneticPr fontId="1"/>
  </si>
  <si>
    <t>06100645</t>
    <phoneticPr fontId="1"/>
  </si>
  <si>
    <t>06100646</t>
    <phoneticPr fontId="1"/>
  </si>
  <si>
    <t>06100647</t>
  </si>
  <si>
    <t>06100648</t>
  </si>
  <si>
    <t>06100663</t>
    <phoneticPr fontId="1"/>
  </si>
  <si>
    <t>A156</t>
    <phoneticPr fontId="1"/>
  </si>
  <si>
    <t>06100664</t>
    <phoneticPr fontId="1"/>
  </si>
  <si>
    <t>06100668</t>
    <phoneticPr fontId="1"/>
  </si>
  <si>
    <t>A307</t>
    <phoneticPr fontId="1"/>
  </si>
  <si>
    <t>P</t>
    <phoneticPr fontId="1"/>
  </si>
  <si>
    <t>06100669</t>
    <phoneticPr fontId="1"/>
  </si>
  <si>
    <t>06100670</t>
    <phoneticPr fontId="1"/>
  </si>
  <si>
    <t>06100530</t>
    <phoneticPr fontId="1"/>
  </si>
  <si>
    <t>06100534</t>
    <phoneticPr fontId="1"/>
  </si>
  <si>
    <t>06100535</t>
    <phoneticPr fontId="1"/>
  </si>
  <si>
    <t>06100536</t>
    <phoneticPr fontId="1"/>
  </si>
  <si>
    <t>06100537</t>
    <phoneticPr fontId="1"/>
  </si>
  <si>
    <t>06100540</t>
    <phoneticPr fontId="1"/>
  </si>
  <si>
    <t>06100544</t>
    <phoneticPr fontId="1"/>
  </si>
  <si>
    <t>A336</t>
    <phoneticPr fontId="1"/>
  </si>
  <si>
    <t>06100545</t>
    <phoneticPr fontId="1"/>
  </si>
  <si>
    <t>06100546</t>
    <phoneticPr fontId="1"/>
  </si>
  <si>
    <t>06100547</t>
    <phoneticPr fontId="1"/>
  </si>
  <si>
    <t>06100548</t>
    <phoneticPr fontId="1"/>
  </si>
  <si>
    <t>A128</t>
    <phoneticPr fontId="1"/>
  </si>
  <si>
    <t>06100565</t>
    <phoneticPr fontId="1"/>
  </si>
  <si>
    <t>06100566</t>
    <phoneticPr fontId="1"/>
  </si>
  <si>
    <t>A120</t>
    <phoneticPr fontId="1"/>
  </si>
  <si>
    <t>06100567</t>
    <phoneticPr fontId="1"/>
  </si>
  <si>
    <t>06100549</t>
    <phoneticPr fontId="1"/>
  </si>
  <si>
    <t>06100550</t>
    <phoneticPr fontId="1"/>
  </si>
  <si>
    <t>06100551</t>
    <phoneticPr fontId="1"/>
  </si>
  <si>
    <t>06100552</t>
    <phoneticPr fontId="1"/>
  </si>
  <si>
    <t>06100341</t>
    <phoneticPr fontId="1"/>
  </si>
  <si>
    <t>M074</t>
    <phoneticPr fontId="1"/>
  </si>
  <si>
    <t>06100361</t>
    <phoneticPr fontId="1"/>
  </si>
  <si>
    <t>06100403</t>
    <phoneticPr fontId="1"/>
  </si>
  <si>
    <t>06100442</t>
    <phoneticPr fontId="1"/>
  </si>
  <si>
    <t>06100444</t>
    <phoneticPr fontId="1"/>
  </si>
  <si>
    <t>06100445</t>
    <phoneticPr fontId="1"/>
  </si>
  <si>
    <t>06100450</t>
    <phoneticPr fontId="1"/>
  </si>
  <si>
    <t>06100459</t>
    <phoneticPr fontId="1"/>
  </si>
  <si>
    <t>06100460</t>
    <phoneticPr fontId="1"/>
  </si>
  <si>
    <t>06100461</t>
    <phoneticPr fontId="1"/>
  </si>
  <si>
    <t>06100462</t>
    <phoneticPr fontId="1"/>
  </si>
  <si>
    <t>06100464</t>
    <phoneticPr fontId="1"/>
  </si>
  <si>
    <t>06100465</t>
    <phoneticPr fontId="1"/>
  </si>
  <si>
    <t>06100538</t>
    <phoneticPr fontId="1"/>
  </si>
  <si>
    <t>06100539</t>
    <phoneticPr fontId="1"/>
  </si>
  <si>
    <t>06100661</t>
    <phoneticPr fontId="1"/>
  </si>
  <si>
    <t>06100662</t>
    <phoneticPr fontId="1"/>
  </si>
  <si>
    <t>06100666</t>
    <phoneticPr fontId="1"/>
  </si>
  <si>
    <t>06100667</t>
    <phoneticPr fontId="1"/>
  </si>
  <si>
    <t>06100673</t>
    <phoneticPr fontId="1"/>
  </si>
  <si>
    <t>A199</t>
    <phoneticPr fontId="1"/>
  </si>
  <si>
    <t>06100674</t>
    <phoneticPr fontId="1"/>
  </si>
  <si>
    <t>06100675</t>
    <phoneticPr fontId="1"/>
  </si>
  <si>
    <t>06100703</t>
    <phoneticPr fontId="1"/>
  </si>
  <si>
    <t>06100707</t>
    <phoneticPr fontId="1"/>
  </si>
  <si>
    <t>A550</t>
    <phoneticPr fontId="1"/>
  </si>
  <si>
    <t>06100708</t>
    <phoneticPr fontId="1"/>
  </si>
  <si>
    <t>2024/11/27 個数</t>
  </si>
  <si>
    <t>2024/12/1 個数</t>
  </si>
  <si>
    <t>2024/12/7 個数</t>
  </si>
  <si>
    <t>2024/12/14 個数</t>
  </si>
  <si>
    <t>2024/12/24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</si>
</sst>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5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4" sqref="F4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194</v>
      </c>
      <c r="B1" s="24">
        <v>45596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5" t="s">
        <v>105</v>
      </c>
      <c r="Y2" s="14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2">
        <v>1</v>
      </c>
      <c r="B3" s="132">
        <v>22</v>
      </c>
      <c r="C3" s="85" t="s">
        <v>278</v>
      </c>
      <c r="D3" s="109" t="s">
        <v>217</v>
      </c>
      <c r="E3" s="15" t="s">
        <v>37</v>
      </c>
      <c r="F3" s="14"/>
      <c r="G3" s="12" t="s">
        <v>197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45620</v>
      </c>
      <c r="U3" s="13" t="s">
        <v>146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3"/>
      <c r="B4" s="133"/>
      <c r="C4" s="85" t="s">
        <v>279</v>
      </c>
      <c r="D4" s="109" t="s">
        <v>264</v>
      </c>
      <c r="E4" s="15" t="s">
        <v>37</v>
      </c>
      <c r="F4" s="16"/>
      <c r="G4" s="12" t="s">
        <v>197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45608</v>
      </c>
      <c r="U4" s="13" t="s">
        <v>147</v>
      </c>
      <c r="V4">
        <v>2</v>
      </c>
      <c r="X4" s="51" t="s">
        <v>107</v>
      </c>
      <c r="Y4" s="52">
        <f>COUNTIF(U3:U27,"R")</f>
        <v>6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3"/>
      <c r="B5" s="133"/>
      <c r="C5" s="85" t="s">
        <v>280</v>
      </c>
      <c r="D5" s="109" t="s">
        <v>264</v>
      </c>
      <c r="E5" s="15" t="s">
        <v>36</v>
      </c>
      <c r="F5" s="16"/>
      <c r="G5" s="12" t="s">
        <v>197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45620</v>
      </c>
      <c r="U5" s="13" t="s">
        <v>146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3"/>
      <c r="B6" s="133"/>
      <c r="C6" s="85" t="s">
        <v>281</v>
      </c>
      <c r="D6" s="109" t="s">
        <v>264</v>
      </c>
      <c r="E6" s="15" t="s">
        <v>36</v>
      </c>
      <c r="F6" s="16"/>
      <c r="G6" s="12" t="s">
        <v>197</v>
      </c>
      <c r="H6" s="15"/>
      <c r="I6" s="13"/>
      <c r="J6" s="13"/>
      <c r="K6" s="15"/>
      <c r="L6" s="17"/>
      <c r="M6" s="17">
        <v>1</v>
      </c>
      <c r="N6" s="13">
        <v>1</v>
      </c>
      <c r="O6" s="17"/>
      <c r="P6" s="17"/>
      <c r="Q6" s="17">
        <v>1</v>
      </c>
      <c r="R6" s="17"/>
      <c r="S6" s="15"/>
      <c r="T6" s="25">
        <v>45620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3"/>
      <c r="B7" s="133"/>
      <c r="C7" s="85" t="s">
        <v>282</v>
      </c>
      <c r="D7" s="109" t="s">
        <v>264</v>
      </c>
      <c r="E7" s="15" t="s">
        <v>36</v>
      </c>
      <c r="F7" s="16"/>
      <c r="G7" s="12" t="s">
        <v>197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>
        <v>1</v>
      </c>
      <c r="R7" s="17"/>
      <c r="S7" s="15"/>
      <c r="T7" s="25">
        <v>45620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3"/>
      <c r="B8" s="133"/>
      <c r="C8" s="85" t="s">
        <v>283</v>
      </c>
      <c r="D8" s="109" t="s">
        <v>259</v>
      </c>
      <c r="E8" s="15" t="s">
        <v>36</v>
      </c>
      <c r="F8" s="16"/>
      <c r="G8" s="12" t="s">
        <v>197</v>
      </c>
      <c r="H8" s="13"/>
      <c r="I8" s="13"/>
      <c r="J8" s="15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45650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3"/>
      <c r="B9" s="133"/>
      <c r="C9" s="85" t="s">
        <v>284</v>
      </c>
      <c r="D9" s="109" t="s">
        <v>285</v>
      </c>
      <c r="E9" s="15" t="s">
        <v>36</v>
      </c>
      <c r="F9" s="16"/>
      <c r="G9" s="12" t="s">
        <v>197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45619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3"/>
      <c r="B10" s="133"/>
      <c r="C10" s="85" t="s">
        <v>286</v>
      </c>
      <c r="D10" s="109" t="s">
        <v>246</v>
      </c>
      <c r="E10" s="15" t="s">
        <v>40</v>
      </c>
      <c r="F10" s="16"/>
      <c r="G10" s="12" t="s">
        <v>197</v>
      </c>
      <c r="H10" s="15"/>
      <c r="I10" s="13"/>
      <c r="J10" s="15"/>
      <c r="K10" s="15"/>
      <c r="L10" s="17"/>
      <c r="M10" s="17"/>
      <c r="N10" s="13"/>
      <c r="O10" s="17"/>
      <c r="P10" s="17">
        <v>1</v>
      </c>
      <c r="Q10" s="17">
        <v>1</v>
      </c>
      <c r="R10" s="17"/>
      <c r="S10" s="15"/>
      <c r="T10" s="25">
        <v>45621</v>
      </c>
      <c r="U10" s="13" t="s">
        <v>148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3"/>
      <c r="B11" s="133"/>
      <c r="C11" s="85" t="s">
        <v>287</v>
      </c>
      <c r="D11" s="109" t="s">
        <v>246</v>
      </c>
      <c r="E11" s="15" t="s">
        <v>39</v>
      </c>
      <c r="F11" s="16"/>
      <c r="G11" s="12" t="s">
        <v>197</v>
      </c>
      <c r="H11" s="15"/>
      <c r="I11" s="13"/>
      <c r="J11" s="15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45621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3"/>
      <c r="B12" s="133"/>
      <c r="C12" s="85" t="s">
        <v>288</v>
      </c>
      <c r="D12" s="109" t="s">
        <v>246</v>
      </c>
      <c r="E12" s="15" t="s">
        <v>39</v>
      </c>
      <c r="F12" s="16"/>
      <c r="G12" s="12" t="s">
        <v>197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45621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3"/>
      <c r="B13" s="133"/>
      <c r="C13" s="85" t="s">
        <v>289</v>
      </c>
      <c r="D13" s="109" t="s">
        <v>246</v>
      </c>
      <c r="E13" s="15" t="s">
        <v>37</v>
      </c>
      <c r="F13" s="16"/>
      <c r="G13" s="12" t="s">
        <v>197</v>
      </c>
      <c r="H13" s="15"/>
      <c r="I13" s="15"/>
      <c r="J13" s="15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45621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3"/>
      <c r="B14" s="133"/>
      <c r="C14" s="85" t="s">
        <v>291</v>
      </c>
      <c r="D14" s="109" t="s">
        <v>290</v>
      </c>
      <c r="E14" s="15" t="s">
        <v>36</v>
      </c>
      <c r="F14" s="16"/>
      <c r="G14" s="12" t="s">
        <v>197</v>
      </c>
      <c r="H14" s="15"/>
      <c r="I14" s="15"/>
      <c r="J14" s="15"/>
      <c r="K14" s="15"/>
      <c r="L14" s="17"/>
      <c r="M14" s="17">
        <v>1</v>
      </c>
      <c r="N14" s="17">
        <v>1</v>
      </c>
      <c r="O14" s="17"/>
      <c r="P14" s="17"/>
      <c r="Q14" s="17"/>
      <c r="R14" s="17"/>
      <c r="S14" s="15"/>
      <c r="T14" s="25">
        <v>45623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3"/>
      <c r="B15" s="133"/>
      <c r="C15" s="85" t="s">
        <v>292</v>
      </c>
      <c r="D15" s="109" t="s">
        <v>293</v>
      </c>
      <c r="E15" s="15" t="s">
        <v>36</v>
      </c>
      <c r="F15" s="16"/>
      <c r="G15" s="12" t="s">
        <v>197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/>
      <c r="R15" s="17"/>
      <c r="S15" s="15"/>
      <c r="T15" s="25">
        <v>45623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3"/>
      <c r="B16" s="133"/>
      <c r="C16" s="85" t="s">
        <v>294</v>
      </c>
      <c r="D16" s="109" t="s">
        <v>293</v>
      </c>
      <c r="E16" s="15" t="s">
        <v>37</v>
      </c>
      <c r="F16" s="16"/>
      <c r="G16" s="12" t="s">
        <v>197</v>
      </c>
      <c r="H16" s="15"/>
      <c r="I16" s="15"/>
      <c r="J16" s="15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45623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3"/>
      <c r="B17" s="133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5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3"/>
      <c r="B18" s="133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3"/>
      <c r="B19" s="133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3"/>
      <c r="B20" s="13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3"/>
      <c r="B21" s="13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3"/>
      <c r="B22" s="13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3"/>
      <c r="B23" s="13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3"/>
      <c r="B24" s="13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3"/>
      <c r="B25" s="13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218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3"/>
      <c r="B26" s="13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4"/>
      <c r="B27" s="13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107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14</v>
      </c>
      <c r="D28" s="112"/>
      <c r="E28" s="29"/>
      <c r="F28" s="29" t="s">
        <v>34</v>
      </c>
      <c r="G28" s="29">
        <f>COUNTIF(G3:G27,"S")</f>
        <v>14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7</v>
      </c>
      <c r="K28" s="29">
        <f t="shared" si="0"/>
        <v>7</v>
      </c>
      <c r="L28" s="29">
        <f t="shared" si="0"/>
        <v>0</v>
      </c>
      <c r="M28" s="29">
        <f t="shared" si="0"/>
        <v>6</v>
      </c>
      <c r="N28" s="29">
        <f t="shared" si="0"/>
        <v>6</v>
      </c>
      <c r="O28" s="29">
        <f t="shared" si="0"/>
        <v>0</v>
      </c>
      <c r="P28" s="29">
        <f t="shared" si="0"/>
        <v>1</v>
      </c>
      <c r="Q28" s="29">
        <f t="shared" si="0"/>
        <v>5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37" t="s">
        <v>104</v>
      </c>
      <c r="AB28" s="13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32</v>
      </c>
      <c r="T29" s="29"/>
      <c r="U29" s="29"/>
      <c r="X29" t="s">
        <v>136</v>
      </c>
      <c r="AA29" s="139"/>
      <c r="AB29" s="140"/>
      <c r="AC29" s="153">
        <f>SUM(AC28:AE28)</f>
        <v>0</v>
      </c>
      <c r="AD29" s="154"/>
      <c r="AE29" s="15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AYG092</v>
      </c>
      <c r="B31" s="24">
        <f>B1</f>
        <v>45596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5" t="s">
        <v>119</v>
      </c>
      <c r="Y32" s="141"/>
      <c r="AA32" s="148" t="s">
        <v>47</v>
      </c>
      <c r="AB32" s="149"/>
    </row>
    <row r="33" spans="1:29" ht="19.5" thickTop="1" x14ac:dyDescent="0.4">
      <c r="A33" s="142">
        <v>2</v>
      </c>
      <c r="B33" s="132">
        <v>15.6</v>
      </c>
      <c r="C33" s="85" t="s">
        <v>295</v>
      </c>
      <c r="D33" s="109" t="s">
        <v>221</v>
      </c>
      <c r="E33" s="109" t="s">
        <v>59</v>
      </c>
      <c r="F33" s="16"/>
      <c r="G33" s="12" t="s">
        <v>197</v>
      </c>
      <c r="H33" s="15" t="s">
        <v>237</v>
      </c>
      <c r="I33" s="15"/>
      <c r="J33" s="15">
        <v>2</v>
      </c>
      <c r="K33" s="15"/>
      <c r="L33" s="17"/>
      <c r="M33" s="17"/>
      <c r="N33" s="17"/>
      <c r="O33" s="17"/>
      <c r="P33" s="17"/>
      <c r="Q33" s="17"/>
      <c r="R33" s="17"/>
      <c r="S33" s="15"/>
      <c r="T33" s="25">
        <v>45627</v>
      </c>
      <c r="U33" s="13" t="s">
        <v>142</v>
      </c>
      <c r="V33">
        <v>1</v>
      </c>
      <c r="X33" s="51" t="s">
        <v>106</v>
      </c>
      <c r="Y33" s="52">
        <f>COUNTIF(U33:U57,"K")</f>
        <v>4</v>
      </c>
      <c r="AA33" s="31" t="s">
        <v>46</v>
      </c>
      <c r="AB33" s="32">
        <f>J28+J178+J148+J118+J208+J238+J268+J298+J328+J358</f>
        <v>72</v>
      </c>
    </row>
    <row r="34" spans="1:29" x14ac:dyDescent="0.4">
      <c r="A34" s="143"/>
      <c r="B34" s="133"/>
      <c r="C34" s="85" t="s">
        <v>296</v>
      </c>
      <c r="D34" s="109" t="s">
        <v>221</v>
      </c>
      <c r="E34" s="109" t="s">
        <v>59</v>
      </c>
      <c r="F34" s="16"/>
      <c r="G34" s="12" t="s">
        <v>197</v>
      </c>
      <c r="H34" s="15" t="s">
        <v>237</v>
      </c>
      <c r="I34" s="13"/>
      <c r="J34" s="15">
        <v>2</v>
      </c>
      <c r="K34" s="15"/>
      <c r="L34" s="17"/>
      <c r="M34" s="17"/>
      <c r="N34" s="17"/>
      <c r="O34" s="17"/>
      <c r="P34" s="17"/>
      <c r="Q34" s="17"/>
      <c r="R34" s="17"/>
      <c r="S34" s="15"/>
      <c r="T34" s="25">
        <v>45627</v>
      </c>
      <c r="U34" s="13" t="s">
        <v>146</v>
      </c>
      <c r="V34">
        <v>2</v>
      </c>
      <c r="X34" s="51" t="s">
        <v>107</v>
      </c>
      <c r="Y34" s="52">
        <f>COUNTIF(U33:U57,"R")</f>
        <v>0</v>
      </c>
      <c r="AA34" s="31" t="s">
        <v>48</v>
      </c>
      <c r="AB34" s="32">
        <f>K28+K178+K148+K118+K208+K238+K268+K298+K328+K358</f>
        <v>37</v>
      </c>
    </row>
    <row r="35" spans="1:29" ht="19.5" thickBot="1" x14ac:dyDescent="0.45">
      <c r="A35" s="143"/>
      <c r="B35" s="133"/>
      <c r="C35" s="85" t="s">
        <v>297</v>
      </c>
      <c r="D35" s="109" t="s">
        <v>221</v>
      </c>
      <c r="E35" s="109" t="s">
        <v>59</v>
      </c>
      <c r="F35" s="16"/>
      <c r="G35" s="12" t="s">
        <v>197</v>
      </c>
      <c r="H35" s="13" t="s">
        <v>237</v>
      </c>
      <c r="I35" s="13"/>
      <c r="J35" s="15">
        <v>2</v>
      </c>
      <c r="K35" s="15"/>
      <c r="L35" s="17"/>
      <c r="M35" s="17"/>
      <c r="N35" s="17"/>
      <c r="O35" s="17"/>
      <c r="P35" s="17"/>
      <c r="Q35" s="17"/>
      <c r="R35" s="17"/>
      <c r="S35" s="15"/>
      <c r="T35" s="25">
        <v>45623</v>
      </c>
      <c r="U35" s="13" t="s">
        <v>146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14</v>
      </c>
    </row>
    <row r="36" spans="1:29" x14ac:dyDescent="0.4">
      <c r="A36" s="143"/>
      <c r="B36" s="133"/>
      <c r="C36" s="85" t="s">
        <v>298</v>
      </c>
      <c r="D36" s="109" t="s">
        <v>221</v>
      </c>
      <c r="E36" s="109" t="s">
        <v>59</v>
      </c>
      <c r="F36" s="16"/>
      <c r="G36" s="12" t="s">
        <v>197</v>
      </c>
      <c r="H36" s="15" t="s">
        <v>237</v>
      </c>
      <c r="I36" s="13"/>
      <c r="J36" s="13">
        <v>2</v>
      </c>
      <c r="K36" s="15"/>
      <c r="L36" s="17"/>
      <c r="M36" s="17"/>
      <c r="N36" s="17"/>
      <c r="O36" s="17"/>
      <c r="P36" s="17"/>
      <c r="Q36" s="17"/>
      <c r="R36" s="17"/>
      <c r="S36" s="15"/>
      <c r="T36" s="25">
        <v>45627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11</v>
      </c>
    </row>
    <row r="37" spans="1:29" x14ac:dyDescent="0.4">
      <c r="A37" s="143"/>
      <c r="B37" s="133"/>
      <c r="C37" s="85"/>
      <c r="D37" s="109"/>
      <c r="E37" s="109"/>
      <c r="F37" s="16"/>
      <c r="G37" s="12"/>
      <c r="H37" s="15"/>
      <c r="I37" s="15"/>
      <c r="J37" s="15"/>
      <c r="K37" s="15"/>
      <c r="L37" s="17"/>
      <c r="M37" s="17"/>
      <c r="N37" s="17"/>
      <c r="O37" s="17"/>
      <c r="P37" s="17"/>
      <c r="Q37" s="17"/>
      <c r="R37" s="17"/>
      <c r="S37" s="15"/>
      <c r="T37" s="25"/>
      <c r="U37" s="13"/>
      <c r="V37">
        <v>5</v>
      </c>
      <c r="AA37" s="31" t="s">
        <v>51</v>
      </c>
      <c r="AB37" s="32">
        <f>N28+N178+N148+N118+N208+N238+N268+N298+N328+N358</f>
        <v>12</v>
      </c>
    </row>
    <row r="38" spans="1:29" x14ac:dyDescent="0.4">
      <c r="A38" s="143"/>
      <c r="B38" s="133"/>
      <c r="C38" s="85"/>
      <c r="D38" s="109"/>
      <c r="E38" s="109"/>
      <c r="F38" s="16"/>
      <c r="G38" s="12"/>
      <c r="H38" s="13"/>
      <c r="I38" s="15"/>
      <c r="J38" s="15"/>
      <c r="K38" s="15"/>
      <c r="L38" s="17"/>
      <c r="M38" s="17"/>
      <c r="N38" s="17"/>
      <c r="O38" s="17"/>
      <c r="P38" s="17"/>
      <c r="Q38" s="17"/>
      <c r="R38" s="17"/>
      <c r="S38" s="15"/>
      <c r="T38" s="25"/>
      <c r="U38" s="13"/>
      <c r="V38">
        <v>6</v>
      </c>
      <c r="AA38" s="31" t="s">
        <v>52</v>
      </c>
      <c r="AB38" s="32">
        <f>O28+O178+O148+O118+O208+O238+O268+O298+O328+O358</f>
        <v>8</v>
      </c>
    </row>
    <row r="39" spans="1:29" x14ac:dyDescent="0.4">
      <c r="A39" s="143"/>
      <c r="B39" s="133"/>
      <c r="C39" s="85"/>
      <c r="D39" s="109"/>
      <c r="E39" s="109"/>
      <c r="F39" s="16"/>
      <c r="G39" s="12"/>
      <c r="H39" s="15"/>
      <c r="I39" s="15"/>
      <c r="J39" s="15"/>
      <c r="K39" s="15"/>
      <c r="L39" s="17"/>
      <c r="M39" s="17"/>
      <c r="N39" s="17"/>
      <c r="O39" s="17"/>
      <c r="P39" s="17"/>
      <c r="Q39" s="17"/>
      <c r="R39" s="17"/>
      <c r="S39" s="15"/>
      <c r="T39" s="25"/>
      <c r="U39" s="13"/>
      <c r="V39">
        <v>7</v>
      </c>
      <c r="AA39" s="31" t="s">
        <v>53</v>
      </c>
      <c r="AB39" s="32">
        <f>P28+P178+P148+P118+P208+P238+P268+P298+P328+P358</f>
        <v>8</v>
      </c>
    </row>
    <row r="40" spans="1:29" x14ac:dyDescent="0.4">
      <c r="A40" s="143"/>
      <c r="B40" s="133"/>
      <c r="C40" s="85"/>
      <c r="D40" s="109"/>
      <c r="E40" s="109"/>
      <c r="F40" s="16"/>
      <c r="G40" s="12"/>
      <c r="H40" s="15"/>
      <c r="I40" s="15"/>
      <c r="J40" s="15"/>
      <c r="K40" s="15"/>
      <c r="L40" s="17"/>
      <c r="M40" s="17"/>
      <c r="N40" s="17"/>
      <c r="O40" s="17"/>
      <c r="P40" s="17"/>
      <c r="Q40" s="17"/>
      <c r="R40" s="17"/>
      <c r="S40" s="15"/>
      <c r="T40" s="25"/>
      <c r="U40" s="13"/>
      <c r="V40">
        <v>8</v>
      </c>
      <c r="AA40" s="31" t="s">
        <v>54</v>
      </c>
      <c r="AB40" s="32">
        <f>Q28+Q178+Q148+Q118+Q208+Q238+Q268+Q298+Q328+Q358</f>
        <v>11</v>
      </c>
    </row>
    <row r="41" spans="1:29" x14ac:dyDescent="0.4">
      <c r="A41" s="143"/>
      <c r="B41" s="133"/>
      <c r="C41" s="85"/>
      <c r="D41" s="109"/>
      <c r="E41" s="109"/>
      <c r="F41" s="16"/>
      <c r="G41" s="12"/>
      <c r="H41" s="15"/>
      <c r="I41" s="15"/>
      <c r="J41" s="15"/>
      <c r="K41" s="15"/>
      <c r="L41" s="17"/>
      <c r="M41" s="17"/>
      <c r="N41" s="17"/>
      <c r="O41" s="17"/>
      <c r="P41" s="17"/>
      <c r="Q41" s="17"/>
      <c r="R41" s="17"/>
      <c r="S41" s="15"/>
      <c r="T41" s="25"/>
      <c r="U41" s="13"/>
      <c r="V41">
        <v>9</v>
      </c>
      <c r="AA41" s="31" t="s">
        <v>55</v>
      </c>
      <c r="AB41" s="32">
        <f>R28+R178+R148+R118+R208+R238+R268+R298+R328+R358</f>
        <v>5</v>
      </c>
      <c r="AC41" t="s">
        <v>123</v>
      </c>
    </row>
    <row r="42" spans="1:29" ht="19.5" thickBot="1" x14ac:dyDescent="0.45">
      <c r="A42" s="143"/>
      <c r="B42" s="133"/>
      <c r="C42" s="85"/>
      <c r="D42" s="109"/>
      <c r="E42" s="109"/>
      <c r="F42" s="16"/>
      <c r="G42" s="12"/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/>
      <c r="U42" s="13"/>
      <c r="V42">
        <v>10</v>
      </c>
      <c r="AA42" s="33" t="s">
        <v>56</v>
      </c>
      <c r="AB42" s="34">
        <f>S28+S178+S148+S118+S208+S238+S268+S298+S328+S358</f>
        <v>2</v>
      </c>
      <c r="AC42" s="73">
        <f>SUM(AB33:AB42)</f>
        <v>180</v>
      </c>
    </row>
    <row r="43" spans="1:29" ht="19.5" thickBot="1" x14ac:dyDescent="0.45">
      <c r="A43" s="143"/>
      <c r="B43" s="133"/>
      <c r="C43" s="85"/>
      <c r="D43" s="109"/>
      <c r="E43" s="109"/>
      <c r="F43" s="16"/>
      <c r="G43" s="12"/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/>
      <c r="U43" s="13"/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3"/>
      <c r="B44" s="133"/>
      <c r="C44" s="85"/>
      <c r="D44" s="109"/>
      <c r="E44" s="109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10</v>
      </c>
    </row>
    <row r="45" spans="1:29" x14ac:dyDescent="0.4">
      <c r="A45" s="143"/>
      <c r="B45" s="133"/>
      <c r="C45" s="85"/>
      <c r="D45" s="109"/>
      <c r="E45" s="109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43"/>
      <c r="B46" s="133"/>
      <c r="C46" s="85"/>
      <c r="D46" s="109"/>
      <c r="E46" s="109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3"/>
      <c r="B47" s="133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3"/>
      <c r="B48" s="133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43"/>
      <c r="B49" s="133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105</v>
      </c>
    </row>
    <row r="50" spans="1:28" ht="19.5" thickBot="1" x14ac:dyDescent="0.45">
      <c r="A50" s="143"/>
      <c r="B50" s="133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43"/>
      <c r="B51" s="133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3"/>
      <c r="B52" s="13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0">
        <v>76</v>
      </c>
    </row>
    <row r="53" spans="1:28" ht="19.5" thickBot="1" x14ac:dyDescent="0.45">
      <c r="A53" s="143"/>
      <c r="B53" s="13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1"/>
    </row>
    <row r="54" spans="1:28" ht="19.5" thickBot="1" x14ac:dyDescent="0.45">
      <c r="A54" s="143"/>
      <c r="B54" s="13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3"/>
      <c r="B55" s="13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5" t="s">
        <v>73</v>
      </c>
      <c r="AB55" s="45"/>
    </row>
    <row r="56" spans="1:28" ht="19.5" thickBot="1" x14ac:dyDescent="0.45">
      <c r="A56" s="143"/>
      <c r="B56" s="13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6"/>
      <c r="AB56" s="46"/>
    </row>
    <row r="57" spans="1:28" ht="19.5" thickBot="1" x14ac:dyDescent="0.45">
      <c r="A57" s="144"/>
      <c r="B57" s="13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5"/>
      <c r="AB57" s="45">
        <v>7</v>
      </c>
    </row>
    <row r="58" spans="1:28" ht="19.5" thickBot="1" x14ac:dyDescent="0.45">
      <c r="A58" s="27"/>
      <c r="B58" s="28"/>
      <c r="C58" s="88">
        <f>COUNTA(C33:C57)</f>
        <v>4</v>
      </c>
      <c r="D58" s="112"/>
      <c r="E58" s="29"/>
      <c r="F58" s="29" t="s">
        <v>34</v>
      </c>
      <c r="G58" s="29">
        <f>COUNTIF(G33:G57,"S")</f>
        <v>4</v>
      </c>
      <c r="H58" s="29">
        <f>COUNTIF(H33:H57,"E")</f>
        <v>4</v>
      </c>
      <c r="I58" s="29">
        <f>SUM(I33:I57)</f>
        <v>0</v>
      </c>
      <c r="J58" s="29">
        <f t="shared" ref="J58:S58" si="1">SUM(J33:J57)</f>
        <v>8</v>
      </c>
      <c r="K58" s="29">
        <f t="shared" si="1"/>
        <v>0</v>
      </c>
      <c r="L58" s="29">
        <f t="shared" si="1"/>
        <v>0</v>
      </c>
      <c r="M58" s="29">
        <f t="shared" si="1"/>
        <v>0</v>
      </c>
      <c r="N58" s="29">
        <f t="shared" si="1"/>
        <v>0</v>
      </c>
      <c r="O58" s="29">
        <f t="shared" si="1"/>
        <v>0</v>
      </c>
      <c r="P58" s="29">
        <f t="shared" si="1"/>
        <v>0</v>
      </c>
      <c r="Q58" s="29">
        <f t="shared" si="1"/>
        <v>0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3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AYG092</v>
      </c>
      <c r="B61" s="24">
        <f>B1</f>
        <v>45596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5" t="s">
        <v>118</v>
      </c>
      <c r="Y62" s="141"/>
    </row>
    <row r="63" spans="1:28" ht="20.25" thickTop="1" thickBot="1" x14ac:dyDescent="0.45">
      <c r="A63" s="142">
        <v>3</v>
      </c>
      <c r="B63" s="145">
        <v>23</v>
      </c>
      <c r="C63" s="85" t="s">
        <v>299</v>
      </c>
      <c r="D63" s="109" t="s">
        <v>300</v>
      </c>
      <c r="E63" s="15" t="s">
        <v>36</v>
      </c>
      <c r="F63" s="14"/>
      <c r="G63" s="12" t="s">
        <v>197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45612</v>
      </c>
      <c r="U63" s="13" t="s">
        <v>146</v>
      </c>
      <c r="V63">
        <v>1</v>
      </c>
      <c r="X63" s="51" t="s">
        <v>106</v>
      </c>
      <c r="Y63" s="52">
        <f>COUNTIF(U63:U87,"K")</f>
        <v>7</v>
      </c>
      <c r="AA63" s="59" t="s">
        <v>120</v>
      </c>
      <c r="AB63" s="60" t="s">
        <v>121</v>
      </c>
    </row>
    <row r="64" spans="1:28" x14ac:dyDescent="0.4">
      <c r="A64" s="143"/>
      <c r="B64" s="146"/>
      <c r="C64" s="85" t="s">
        <v>301</v>
      </c>
      <c r="D64" s="109" t="s">
        <v>206</v>
      </c>
      <c r="E64" s="15" t="s">
        <v>74</v>
      </c>
      <c r="F64" s="16"/>
      <c r="G64" s="12" t="s">
        <v>197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45634</v>
      </c>
      <c r="U64" s="13" t="s">
        <v>146</v>
      </c>
      <c r="V64">
        <v>2</v>
      </c>
      <c r="X64" s="51" t="s">
        <v>107</v>
      </c>
      <c r="Y64" s="52">
        <f>COUNTIF(U63:U87,"R")</f>
        <v>7</v>
      </c>
      <c r="AA64" s="47" t="s">
        <v>81</v>
      </c>
      <c r="AB64" s="48" t="s">
        <v>60</v>
      </c>
    </row>
    <row r="65" spans="1:28" ht="19.5" thickBot="1" x14ac:dyDescent="0.45">
      <c r="A65" s="143"/>
      <c r="B65" s="146"/>
      <c r="C65" s="85" t="s">
        <v>302</v>
      </c>
      <c r="D65" s="109">
        <v>1180</v>
      </c>
      <c r="E65" s="15" t="s">
        <v>74</v>
      </c>
      <c r="F65" s="16"/>
      <c r="G65" s="12" t="s">
        <v>197</v>
      </c>
      <c r="H65" s="15"/>
      <c r="I65" s="15"/>
      <c r="J65" s="13">
        <v>1</v>
      </c>
      <c r="K65" s="15">
        <v>1</v>
      </c>
      <c r="L65" s="13"/>
      <c r="M65" s="17"/>
      <c r="N65" s="17"/>
      <c r="O65" s="17"/>
      <c r="P65" s="17"/>
      <c r="Q65" s="17"/>
      <c r="R65" s="17"/>
      <c r="S65" s="15"/>
      <c r="T65" s="25">
        <v>45614</v>
      </c>
      <c r="U65" s="13" t="s">
        <v>146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43"/>
      <c r="B66" s="146"/>
      <c r="C66" s="85" t="s">
        <v>303</v>
      </c>
      <c r="D66" s="109" t="s">
        <v>198</v>
      </c>
      <c r="E66" s="15" t="s">
        <v>37</v>
      </c>
      <c r="F66" s="16"/>
      <c r="G66" s="12" t="s">
        <v>197</v>
      </c>
      <c r="H66" s="13"/>
      <c r="I66" s="15"/>
      <c r="J66" s="13"/>
      <c r="K66" s="15"/>
      <c r="L66" s="13"/>
      <c r="M66" s="17">
        <v>1</v>
      </c>
      <c r="N66" s="17">
        <v>1</v>
      </c>
      <c r="O66" s="17"/>
      <c r="P66" s="17"/>
      <c r="Q66" s="17">
        <v>1</v>
      </c>
      <c r="R66" s="17"/>
      <c r="S66" s="15"/>
      <c r="T66" s="25">
        <v>45615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43"/>
      <c r="B67" s="146"/>
      <c r="C67" s="85" t="s">
        <v>304</v>
      </c>
      <c r="D67" s="109" t="s">
        <v>198</v>
      </c>
      <c r="E67" s="15" t="s">
        <v>36</v>
      </c>
      <c r="F67" s="16"/>
      <c r="G67" s="12" t="s">
        <v>197</v>
      </c>
      <c r="H67" s="15"/>
      <c r="I67" s="15"/>
      <c r="J67" s="13"/>
      <c r="K67" s="15"/>
      <c r="L67" s="13"/>
      <c r="M67" s="17">
        <v>1</v>
      </c>
      <c r="N67" s="17">
        <v>1</v>
      </c>
      <c r="O67" s="17"/>
      <c r="P67" s="17"/>
      <c r="Q67" s="17">
        <v>1</v>
      </c>
      <c r="R67" s="17"/>
      <c r="S67" s="15"/>
      <c r="T67" s="25">
        <v>45614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43"/>
      <c r="B68" s="146"/>
      <c r="C68" s="85" t="s">
        <v>305</v>
      </c>
      <c r="D68" s="109" t="s">
        <v>198</v>
      </c>
      <c r="E68" s="15" t="s">
        <v>36</v>
      </c>
      <c r="F68" s="16"/>
      <c r="G68" s="12" t="s">
        <v>197</v>
      </c>
      <c r="H68" s="15"/>
      <c r="I68" s="15"/>
      <c r="J68" s="13"/>
      <c r="K68" s="15"/>
      <c r="L68" s="13"/>
      <c r="M68" s="17">
        <v>1</v>
      </c>
      <c r="N68" s="17">
        <v>1</v>
      </c>
      <c r="O68" s="17"/>
      <c r="P68" s="17"/>
      <c r="Q68" s="17"/>
      <c r="R68" s="17"/>
      <c r="S68" s="15"/>
      <c r="T68" s="25">
        <v>45616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43"/>
      <c r="B69" s="146"/>
      <c r="C69" s="85" t="s">
        <v>306</v>
      </c>
      <c r="D69" s="109" t="s">
        <v>259</v>
      </c>
      <c r="E69" s="15" t="s">
        <v>38</v>
      </c>
      <c r="F69" s="16"/>
      <c r="G69" s="12" t="s">
        <v>197</v>
      </c>
      <c r="H69" s="15"/>
      <c r="I69" s="15"/>
      <c r="J69" s="13">
        <v>1</v>
      </c>
      <c r="K69" s="15">
        <v>1</v>
      </c>
      <c r="L69" s="13"/>
      <c r="M69" s="17"/>
      <c r="N69" s="17"/>
      <c r="O69" s="17"/>
      <c r="P69" s="17"/>
      <c r="Q69" s="17"/>
      <c r="R69" s="17"/>
      <c r="S69" s="15"/>
      <c r="T69" s="25">
        <v>45615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3"/>
      <c r="B70" s="146"/>
      <c r="C70" s="85" t="s">
        <v>307</v>
      </c>
      <c r="D70" s="109" t="s">
        <v>221</v>
      </c>
      <c r="E70" s="15" t="s">
        <v>60</v>
      </c>
      <c r="F70" s="16"/>
      <c r="G70" s="12" t="s">
        <v>197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45623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3"/>
      <c r="B71" s="146"/>
      <c r="C71" s="85" t="s">
        <v>308</v>
      </c>
      <c r="D71" s="109" t="s">
        <v>221</v>
      </c>
      <c r="E71" s="15" t="s">
        <v>60</v>
      </c>
      <c r="F71" s="16"/>
      <c r="G71" s="12" t="s">
        <v>197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45623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3"/>
      <c r="B72" s="146"/>
      <c r="C72" s="85" t="s">
        <v>309</v>
      </c>
      <c r="D72" s="109" t="s">
        <v>221</v>
      </c>
      <c r="E72" s="15" t="s">
        <v>60</v>
      </c>
      <c r="F72" s="16"/>
      <c r="G72" s="12" t="s">
        <v>197</v>
      </c>
      <c r="H72" s="15"/>
      <c r="I72" s="15"/>
      <c r="J72" s="13">
        <v>1</v>
      </c>
      <c r="K72" s="15">
        <v>1</v>
      </c>
      <c r="L72" s="13"/>
      <c r="M72" s="17"/>
      <c r="N72" s="17"/>
      <c r="O72" s="17"/>
      <c r="P72" s="17"/>
      <c r="Q72" s="17"/>
      <c r="R72" s="17"/>
      <c r="S72" s="15"/>
      <c r="T72" s="25">
        <v>45623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3"/>
      <c r="B73" s="146"/>
      <c r="C73" s="85" t="s">
        <v>310</v>
      </c>
      <c r="D73" s="109" t="s">
        <v>198</v>
      </c>
      <c r="E73" s="15" t="s">
        <v>36</v>
      </c>
      <c r="F73" s="16"/>
      <c r="G73" s="15" t="s">
        <v>197</v>
      </c>
      <c r="H73" s="15"/>
      <c r="I73" s="15"/>
      <c r="J73" s="15"/>
      <c r="K73" s="15"/>
      <c r="L73" s="17"/>
      <c r="M73" s="17">
        <v>1</v>
      </c>
      <c r="N73" s="17">
        <v>1</v>
      </c>
      <c r="O73" s="17"/>
      <c r="P73" s="17"/>
      <c r="Q73" s="17">
        <v>1</v>
      </c>
      <c r="R73" s="17"/>
      <c r="S73" s="15"/>
      <c r="T73" s="25">
        <v>45616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43"/>
      <c r="B74" s="146"/>
      <c r="C74" s="85" t="s">
        <v>311</v>
      </c>
      <c r="D74" s="109" t="s">
        <v>198</v>
      </c>
      <c r="E74" s="15" t="s">
        <v>36</v>
      </c>
      <c r="F74" s="16"/>
      <c r="G74" s="15" t="s">
        <v>197</v>
      </c>
      <c r="H74" s="15"/>
      <c r="I74" s="15"/>
      <c r="J74" s="15"/>
      <c r="K74" s="15"/>
      <c r="L74" s="17"/>
      <c r="M74" s="17">
        <v>1</v>
      </c>
      <c r="N74" s="17">
        <v>1</v>
      </c>
      <c r="O74" s="17"/>
      <c r="P74" s="17"/>
      <c r="Q74" s="17"/>
      <c r="R74" s="17"/>
      <c r="S74" s="15"/>
      <c r="T74" s="25">
        <v>45614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43"/>
      <c r="B75" s="146"/>
      <c r="C75" s="85" t="s">
        <v>312</v>
      </c>
      <c r="D75" s="109" t="s">
        <v>198</v>
      </c>
      <c r="E75" s="15" t="s">
        <v>36</v>
      </c>
      <c r="F75" s="16"/>
      <c r="G75" s="15" t="s">
        <v>197</v>
      </c>
      <c r="H75" s="15"/>
      <c r="I75" s="15"/>
      <c r="J75" s="15"/>
      <c r="K75" s="15"/>
      <c r="L75" s="17"/>
      <c r="M75" s="17">
        <v>1</v>
      </c>
      <c r="N75" s="17">
        <v>1</v>
      </c>
      <c r="O75" s="17"/>
      <c r="P75" s="17"/>
      <c r="Q75" s="17">
        <v>1</v>
      </c>
      <c r="R75" s="17"/>
      <c r="S75" s="15"/>
      <c r="T75" s="25">
        <v>45614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43"/>
      <c r="B76" s="146"/>
      <c r="C76" s="85" t="s">
        <v>313</v>
      </c>
      <c r="D76" s="109" t="s">
        <v>198</v>
      </c>
      <c r="E76" s="15" t="s">
        <v>40</v>
      </c>
      <c r="F76" s="16"/>
      <c r="G76" s="15" t="s">
        <v>197</v>
      </c>
      <c r="H76" s="15"/>
      <c r="I76" s="15"/>
      <c r="J76" s="15"/>
      <c r="K76" s="15"/>
      <c r="L76" s="17"/>
      <c r="M76" s="17"/>
      <c r="N76" s="17"/>
      <c r="O76" s="17">
        <v>1</v>
      </c>
      <c r="P76" s="17">
        <v>1</v>
      </c>
      <c r="Q76" s="17">
        <v>1</v>
      </c>
      <c r="R76" s="17">
        <v>1</v>
      </c>
      <c r="S76" s="15"/>
      <c r="T76" s="25">
        <v>45608</v>
      </c>
      <c r="U76" s="15" t="s">
        <v>148</v>
      </c>
      <c r="V76">
        <v>14</v>
      </c>
      <c r="AA76" s="49" t="s">
        <v>93</v>
      </c>
      <c r="AB76" s="50" t="s">
        <v>57</v>
      </c>
    </row>
    <row r="77" spans="1:28" x14ac:dyDescent="0.4">
      <c r="A77" s="143"/>
      <c r="B77" s="146"/>
      <c r="C77" s="85" t="s">
        <v>314</v>
      </c>
      <c r="D77" s="109" t="s">
        <v>198</v>
      </c>
      <c r="E77" s="15" t="s">
        <v>37</v>
      </c>
      <c r="F77" s="16"/>
      <c r="G77" s="15" t="s">
        <v>197</v>
      </c>
      <c r="H77" s="15"/>
      <c r="I77" s="15"/>
      <c r="J77" s="15"/>
      <c r="K77" s="15"/>
      <c r="L77" s="17"/>
      <c r="M77" s="17">
        <v>1</v>
      </c>
      <c r="N77" s="17">
        <v>1</v>
      </c>
      <c r="O77" s="17"/>
      <c r="P77" s="17"/>
      <c r="Q77" s="17">
        <v>1</v>
      </c>
      <c r="R77" s="17"/>
      <c r="S77" s="15"/>
      <c r="T77" s="25">
        <v>45608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43"/>
      <c r="B78" s="146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3"/>
      <c r="B79" s="146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3"/>
      <c r="B80" s="146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3"/>
      <c r="B81" s="14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3"/>
      <c r="B82" s="14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3"/>
      <c r="B83" s="14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3"/>
      <c r="B84" s="14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3"/>
      <c r="B85" s="14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3"/>
      <c r="B86" s="14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4"/>
      <c r="B87" s="14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7</v>
      </c>
      <c r="L88" s="29">
        <f t="shared" si="2"/>
        <v>0</v>
      </c>
      <c r="M88" s="29">
        <f t="shared" si="2"/>
        <v>7</v>
      </c>
      <c r="N88" s="29">
        <f t="shared" si="2"/>
        <v>7</v>
      </c>
      <c r="O88" s="29">
        <f t="shared" si="2"/>
        <v>1</v>
      </c>
      <c r="P88" s="29">
        <f t="shared" si="2"/>
        <v>1</v>
      </c>
      <c r="Q88" s="29">
        <f t="shared" si="2"/>
        <v>6</v>
      </c>
      <c r="R88" s="29">
        <f t="shared" si="2"/>
        <v>1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30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AYG092</v>
      </c>
      <c r="B91" s="24">
        <f>B1</f>
        <v>45596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5" t="s">
        <v>117</v>
      </c>
      <c r="Y92" s="141"/>
    </row>
    <row r="93" spans="1:28" ht="20.25" thickTop="1" thickBot="1" x14ac:dyDescent="0.45">
      <c r="A93" s="142">
        <v>4</v>
      </c>
      <c r="B93" s="132">
        <v>27</v>
      </c>
      <c r="C93" s="85" t="s">
        <v>195</v>
      </c>
      <c r="D93" s="109" t="s">
        <v>196</v>
      </c>
      <c r="E93" s="15" t="s">
        <v>36</v>
      </c>
      <c r="F93" s="14"/>
      <c r="G93" s="12" t="s">
        <v>197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45610</v>
      </c>
      <c r="U93" s="13" t="s">
        <v>146</v>
      </c>
      <c r="V93">
        <v>1</v>
      </c>
      <c r="X93" s="51" t="s">
        <v>106</v>
      </c>
      <c r="Y93" s="52">
        <f>COUNTIF(U93:U117,"K")</f>
        <v>10</v>
      </c>
      <c r="AA93" s="59" t="s">
        <v>120</v>
      </c>
      <c r="AB93" s="60" t="s">
        <v>121</v>
      </c>
    </row>
    <row r="94" spans="1:28" x14ac:dyDescent="0.4">
      <c r="A94" s="143"/>
      <c r="B94" s="133"/>
      <c r="C94" s="85" t="s">
        <v>199</v>
      </c>
      <c r="D94" s="109" t="s">
        <v>198</v>
      </c>
      <c r="E94" s="15" t="s">
        <v>37</v>
      </c>
      <c r="F94" s="16"/>
      <c r="G94" s="12" t="s">
        <v>197</v>
      </c>
      <c r="H94" s="15"/>
      <c r="I94" s="15"/>
      <c r="J94" s="15"/>
      <c r="K94" s="15"/>
      <c r="L94" s="17"/>
      <c r="M94" s="17">
        <v>1</v>
      </c>
      <c r="N94" s="17">
        <v>1</v>
      </c>
      <c r="O94" s="17"/>
      <c r="P94" s="17"/>
      <c r="Q94" s="17">
        <v>1</v>
      </c>
      <c r="R94" s="17"/>
      <c r="S94" s="15"/>
      <c r="T94" s="25">
        <v>45614</v>
      </c>
      <c r="U94" s="15" t="s">
        <v>147</v>
      </c>
      <c r="V94">
        <v>2</v>
      </c>
      <c r="X94" s="51" t="s">
        <v>107</v>
      </c>
      <c r="Y94" s="52">
        <f>COUNTIF(U93:U117,"R")</f>
        <v>5</v>
      </c>
      <c r="AA94" s="47" t="s">
        <v>81</v>
      </c>
      <c r="AB94" s="48" t="s">
        <v>60</v>
      </c>
    </row>
    <row r="95" spans="1:28" ht="19.5" thickBot="1" x14ac:dyDescent="0.45">
      <c r="A95" s="143"/>
      <c r="B95" s="133"/>
      <c r="C95" s="85" t="s">
        <v>200</v>
      </c>
      <c r="D95" s="109" t="s">
        <v>201</v>
      </c>
      <c r="E95" s="15" t="s">
        <v>44</v>
      </c>
      <c r="F95" s="16"/>
      <c r="G95" s="12" t="s">
        <v>197</v>
      </c>
      <c r="H95" s="15"/>
      <c r="I95" s="15"/>
      <c r="J95" s="15">
        <v>1</v>
      </c>
      <c r="K95" s="15">
        <v>1</v>
      </c>
      <c r="L95" s="17"/>
      <c r="M95" s="17"/>
      <c r="N95" s="17"/>
      <c r="O95" s="17"/>
      <c r="P95" s="17"/>
      <c r="Q95" s="17"/>
      <c r="R95" s="17"/>
      <c r="S95" s="15"/>
      <c r="T95" s="25">
        <v>45612</v>
      </c>
      <c r="U95" s="15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3"/>
      <c r="B96" s="133"/>
      <c r="C96" s="85" t="s">
        <v>203</v>
      </c>
      <c r="D96" s="109" t="s">
        <v>205</v>
      </c>
      <c r="E96" s="15" t="s">
        <v>38</v>
      </c>
      <c r="F96" s="16"/>
      <c r="G96" s="12" t="s">
        <v>197</v>
      </c>
      <c r="H96" s="15"/>
      <c r="I96" s="15"/>
      <c r="J96" s="15">
        <v>1</v>
      </c>
      <c r="K96" s="15">
        <v>1</v>
      </c>
      <c r="L96" s="17"/>
      <c r="M96" s="17"/>
      <c r="N96" s="17"/>
      <c r="O96" s="17"/>
      <c r="P96" s="17"/>
      <c r="Q96" s="17"/>
      <c r="R96" s="17"/>
      <c r="S96" s="15"/>
      <c r="T96" s="25">
        <v>45606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3"/>
      <c r="B97" s="133"/>
      <c r="C97" s="85" t="s">
        <v>204</v>
      </c>
      <c r="D97" s="109" t="s">
        <v>205</v>
      </c>
      <c r="E97" s="15" t="s">
        <v>38</v>
      </c>
      <c r="F97" s="16"/>
      <c r="G97" s="12" t="s">
        <v>197</v>
      </c>
      <c r="H97" s="15"/>
      <c r="I97" s="15"/>
      <c r="J97" s="15">
        <v>1</v>
      </c>
      <c r="K97" s="15">
        <v>1</v>
      </c>
      <c r="L97" s="17"/>
      <c r="M97" s="17"/>
      <c r="N97" s="17"/>
      <c r="O97" s="17"/>
      <c r="P97" s="17"/>
      <c r="Q97" s="17"/>
      <c r="R97" s="17"/>
      <c r="S97" s="15"/>
      <c r="T97" s="25">
        <v>45606</v>
      </c>
      <c r="U97" s="15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3"/>
      <c r="B98" s="133"/>
      <c r="C98" s="85" t="s">
        <v>207</v>
      </c>
      <c r="D98" s="109" t="s">
        <v>206</v>
      </c>
      <c r="E98" s="15" t="s">
        <v>38</v>
      </c>
      <c r="F98" s="16"/>
      <c r="G98" s="12" t="s">
        <v>197</v>
      </c>
      <c r="H98" s="13"/>
      <c r="I98" s="15"/>
      <c r="J98" s="15">
        <v>1</v>
      </c>
      <c r="K98" s="15">
        <v>1</v>
      </c>
      <c r="L98" s="17"/>
      <c r="M98" s="17"/>
      <c r="N98" s="17"/>
      <c r="O98" s="17"/>
      <c r="P98" s="17"/>
      <c r="Q98" s="17"/>
      <c r="R98" s="17"/>
      <c r="S98" s="15"/>
      <c r="T98" s="25">
        <v>45624</v>
      </c>
      <c r="U98" s="15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3"/>
      <c r="B99" s="133"/>
      <c r="C99" s="85" t="s">
        <v>208</v>
      </c>
      <c r="D99" s="109" t="s">
        <v>198</v>
      </c>
      <c r="E99" s="15" t="s">
        <v>36</v>
      </c>
      <c r="F99" s="16"/>
      <c r="G99" s="12" t="s">
        <v>197</v>
      </c>
      <c r="H99" s="15"/>
      <c r="I99" s="15"/>
      <c r="J99" s="15"/>
      <c r="K99" s="15"/>
      <c r="L99" s="17"/>
      <c r="M99" s="17"/>
      <c r="N99" s="17">
        <v>1</v>
      </c>
      <c r="O99" s="17"/>
      <c r="P99" s="17"/>
      <c r="Q99" s="17"/>
      <c r="R99" s="17"/>
      <c r="S99" s="15"/>
      <c r="T99" s="25">
        <v>45619</v>
      </c>
      <c r="U99" s="15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43"/>
      <c r="B100" s="133"/>
      <c r="C100" s="85" t="s">
        <v>209</v>
      </c>
      <c r="D100" s="109" t="s">
        <v>198</v>
      </c>
      <c r="E100" s="15" t="s">
        <v>36</v>
      </c>
      <c r="F100" s="16"/>
      <c r="G100" s="12" t="s">
        <v>197</v>
      </c>
      <c r="H100" s="15"/>
      <c r="I100" s="15"/>
      <c r="J100" s="15"/>
      <c r="K100" s="15"/>
      <c r="L100" s="17"/>
      <c r="M100" s="17">
        <v>1</v>
      </c>
      <c r="N100" s="17">
        <v>1</v>
      </c>
      <c r="O100" s="17"/>
      <c r="P100" s="17"/>
      <c r="Q100" s="17">
        <v>1</v>
      </c>
      <c r="R100" s="17"/>
      <c r="S100" s="15"/>
      <c r="T100" s="25">
        <v>45623</v>
      </c>
      <c r="U100" s="15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43"/>
      <c r="B101" s="133"/>
      <c r="C101" s="85" t="s">
        <v>210</v>
      </c>
      <c r="D101" s="109" t="s">
        <v>211</v>
      </c>
      <c r="E101" s="15" t="s">
        <v>44</v>
      </c>
      <c r="F101" s="16"/>
      <c r="G101" s="12" t="s">
        <v>197</v>
      </c>
      <c r="H101" s="15"/>
      <c r="I101" s="15"/>
      <c r="J101" s="15"/>
      <c r="K101" s="15"/>
      <c r="L101" s="17"/>
      <c r="M101" s="17">
        <v>1</v>
      </c>
      <c r="N101" s="17"/>
      <c r="O101" s="17"/>
      <c r="P101" s="17"/>
      <c r="Q101" s="17">
        <v>1</v>
      </c>
      <c r="R101" s="17"/>
      <c r="S101" s="15"/>
      <c r="T101" s="25">
        <v>45623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3"/>
      <c r="B102" s="133"/>
      <c r="C102" s="85" t="s">
        <v>212</v>
      </c>
      <c r="D102" s="109" t="s">
        <v>202</v>
      </c>
      <c r="E102" s="15" t="s">
        <v>60</v>
      </c>
      <c r="F102" s="16"/>
      <c r="G102" s="12" t="s">
        <v>197</v>
      </c>
      <c r="H102" s="15"/>
      <c r="I102" s="15"/>
      <c r="J102" s="15">
        <v>1</v>
      </c>
      <c r="K102" s="15">
        <v>1</v>
      </c>
      <c r="L102" s="17">
        <v>1</v>
      </c>
      <c r="M102" s="17"/>
      <c r="N102" s="17"/>
      <c r="O102" s="17"/>
      <c r="P102" s="17"/>
      <c r="Q102" s="17"/>
      <c r="R102" s="17"/>
      <c r="S102" s="15"/>
      <c r="T102" s="25">
        <v>45626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3"/>
      <c r="B103" s="133"/>
      <c r="C103" s="85" t="s">
        <v>213</v>
      </c>
      <c r="D103" s="109" t="s">
        <v>214</v>
      </c>
      <c r="E103" s="15" t="s">
        <v>60</v>
      </c>
      <c r="F103" s="16"/>
      <c r="G103" s="12" t="s">
        <v>197</v>
      </c>
      <c r="H103" s="15"/>
      <c r="I103" s="15"/>
      <c r="J103" s="15">
        <v>1</v>
      </c>
      <c r="K103" s="15">
        <v>1</v>
      </c>
      <c r="L103" s="17">
        <v>1</v>
      </c>
      <c r="M103" s="17"/>
      <c r="N103" s="17"/>
      <c r="O103" s="17"/>
      <c r="P103" s="17"/>
      <c r="Q103" s="17"/>
      <c r="R103" s="17"/>
      <c r="S103" s="15"/>
      <c r="T103" s="25">
        <v>45623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3"/>
      <c r="B104" s="133"/>
      <c r="C104" s="85" t="s">
        <v>215</v>
      </c>
      <c r="D104" s="109" t="s">
        <v>214</v>
      </c>
      <c r="E104" s="15" t="s">
        <v>60</v>
      </c>
      <c r="F104" s="16"/>
      <c r="G104" s="12" t="s">
        <v>197</v>
      </c>
      <c r="H104" s="15"/>
      <c r="I104" s="15"/>
      <c r="J104" s="15">
        <v>1</v>
      </c>
      <c r="K104" s="15"/>
      <c r="L104" s="17">
        <v>1</v>
      </c>
      <c r="M104" s="17"/>
      <c r="N104" s="17"/>
      <c r="O104" s="17"/>
      <c r="P104" s="17"/>
      <c r="Q104" s="17"/>
      <c r="R104" s="17"/>
      <c r="S104" s="15"/>
      <c r="T104" s="25">
        <v>45630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3"/>
      <c r="B105" s="133"/>
      <c r="C105" s="85" t="s">
        <v>216</v>
      </c>
      <c r="D105" s="109" t="s">
        <v>214</v>
      </c>
      <c r="E105" s="15" t="s">
        <v>74</v>
      </c>
      <c r="F105" s="16"/>
      <c r="G105" s="12" t="s">
        <v>197</v>
      </c>
      <c r="H105" s="15"/>
      <c r="I105" s="15"/>
      <c r="J105" s="15">
        <v>1</v>
      </c>
      <c r="K105" s="15">
        <v>1</v>
      </c>
      <c r="L105" s="17"/>
      <c r="M105" s="17"/>
      <c r="N105" s="17"/>
      <c r="O105" s="17"/>
      <c r="P105" s="17"/>
      <c r="Q105" s="17"/>
      <c r="R105" s="17"/>
      <c r="S105" s="15"/>
      <c r="T105" s="25">
        <v>45630</v>
      </c>
      <c r="U105" s="15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43"/>
      <c r="B106" s="133"/>
      <c r="C106" s="85" t="s">
        <v>218</v>
      </c>
      <c r="D106" s="109" t="s">
        <v>217</v>
      </c>
      <c r="E106" s="15" t="s">
        <v>39</v>
      </c>
      <c r="F106" s="16"/>
      <c r="G106" s="12" t="s">
        <v>197</v>
      </c>
      <c r="H106" s="15"/>
      <c r="I106" s="15"/>
      <c r="J106" s="15">
        <v>1</v>
      </c>
      <c r="K106" s="15">
        <v>1</v>
      </c>
      <c r="L106" s="17"/>
      <c r="M106" s="17"/>
      <c r="N106" s="17"/>
      <c r="O106" s="17"/>
      <c r="P106" s="17"/>
      <c r="Q106" s="17"/>
      <c r="R106" s="17"/>
      <c r="S106" s="15"/>
      <c r="T106" s="25">
        <v>45634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43"/>
      <c r="B107" s="133"/>
      <c r="C107" s="85" t="s">
        <v>219</v>
      </c>
      <c r="D107" s="109" t="s">
        <v>211</v>
      </c>
      <c r="E107" s="15" t="s">
        <v>44</v>
      </c>
      <c r="F107" s="16"/>
      <c r="G107" s="15" t="s">
        <v>197</v>
      </c>
      <c r="H107" s="15"/>
      <c r="I107" s="15"/>
      <c r="J107" s="15"/>
      <c r="K107" s="15"/>
      <c r="L107" s="17"/>
      <c r="M107" s="17">
        <v>1</v>
      </c>
      <c r="N107" s="17"/>
      <c r="O107" s="17"/>
      <c r="P107" s="17"/>
      <c r="Q107" s="17">
        <v>1</v>
      </c>
      <c r="R107" s="17"/>
      <c r="S107" s="15"/>
      <c r="T107" s="25">
        <v>45623</v>
      </c>
      <c r="U107" s="15" t="s">
        <v>147</v>
      </c>
      <c r="V107">
        <v>15</v>
      </c>
      <c r="AA107" s="49" t="s">
        <v>94</v>
      </c>
      <c r="AB107" s="50" t="s">
        <v>41</v>
      </c>
    </row>
    <row r="108" spans="1:28" x14ac:dyDescent="0.4">
      <c r="A108" s="143"/>
      <c r="B108" s="133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3"/>
      <c r="B109" s="133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3"/>
      <c r="B110" s="13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3"/>
      <c r="B111" s="13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3"/>
      <c r="B112" s="13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3"/>
      <c r="B113" s="13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3"/>
      <c r="B114" s="13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3"/>
      <c r="B115" s="13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43"/>
      <c r="B116" s="13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4"/>
      <c r="B117" s="13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10</v>
      </c>
      <c r="K118" s="29">
        <f t="shared" ref="K118" si="4">SUM(K93:K117)</f>
        <v>9</v>
      </c>
      <c r="L118" s="29">
        <f t="shared" ref="L118" si="5">SUM(L93:L117)</f>
        <v>3</v>
      </c>
      <c r="M118" s="29">
        <f t="shared" ref="M118" si="6">SUM(M93:M117)</f>
        <v>4</v>
      </c>
      <c r="N118" s="29">
        <f t="shared" ref="N118" si="7">SUM(N93:N117)</f>
        <v>3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4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33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AYG092</v>
      </c>
      <c r="B121" s="24">
        <f>B1</f>
        <v>45596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5" t="s">
        <v>116</v>
      </c>
      <c r="Y122" s="141"/>
    </row>
    <row r="123" spans="1:28" ht="20.25" thickTop="1" thickBot="1" x14ac:dyDescent="0.45">
      <c r="A123" s="142">
        <v>5</v>
      </c>
      <c r="B123" s="132">
        <v>22.4</v>
      </c>
      <c r="C123" s="85" t="s">
        <v>220</v>
      </c>
      <c r="D123" s="106" t="s">
        <v>221</v>
      </c>
      <c r="E123" s="106" t="s">
        <v>39</v>
      </c>
      <c r="F123" s="14"/>
      <c r="G123" s="12" t="s">
        <v>197</v>
      </c>
      <c r="H123" s="13"/>
      <c r="I123" s="13"/>
      <c r="J123" s="13">
        <v>1</v>
      </c>
      <c r="K123" s="13"/>
      <c r="L123" s="13">
        <v>1</v>
      </c>
      <c r="M123" s="13"/>
      <c r="N123" s="13"/>
      <c r="O123" s="13"/>
      <c r="P123" s="13"/>
      <c r="Q123" s="13"/>
      <c r="R123" s="13"/>
      <c r="S123" s="13"/>
      <c r="T123" s="25">
        <v>45623</v>
      </c>
      <c r="U123" s="13" t="s">
        <v>146</v>
      </c>
      <c r="V123">
        <v>1</v>
      </c>
      <c r="X123" s="51" t="s">
        <v>106</v>
      </c>
      <c r="Y123" s="52">
        <f>COUNTIF(U123:U147,"K")</f>
        <v>10</v>
      </c>
      <c r="AA123" s="59" t="s">
        <v>120</v>
      </c>
      <c r="AB123" s="60" t="s">
        <v>121</v>
      </c>
    </row>
    <row r="124" spans="1:28" x14ac:dyDescent="0.4">
      <c r="A124" s="143"/>
      <c r="B124" s="133"/>
      <c r="C124" s="85" t="s">
        <v>222</v>
      </c>
      <c r="D124" s="106" t="s">
        <v>221</v>
      </c>
      <c r="E124" s="106" t="s">
        <v>39</v>
      </c>
      <c r="F124" s="16"/>
      <c r="G124" s="12" t="s">
        <v>197</v>
      </c>
      <c r="H124" s="15"/>
      <c r="I124" s="15"/>
      <c r="J124" s="13">
        <v>1</v>
      </c>
      <c r="K124" s="15"/>
      <c r="L124" s="13">
        <v>1</v>
      </c>
      <c r="M124" s="17"/>
      <c r="N124" s="17"/>
      <c r="O124" s="17"/>
      <c r="P124" s="17"/>
      <c r="Q124" s="17"/>
      <c r="R124" s="17"/>
      <c r="S124" s="15"/>
      <c r="T124" s="25">
        <v>45623</v>
      </c>
      <c r="U124" s="13" t="s">
        <v>146</v>
      </c>
      <c r="V124">
        <v>2</v>
      </c>
      <c r="X124" s="51" t="s">
        <v>107</v>
      </c>
      <c r="Y124" s="52">
        <f>COUNTIF(U123:U147,"R")</f>
        <v>0</v>
      </c>
      <c r="AA124" s="47" t="s">
        <v>81</v>
      </c>
      <c r="AB124" s="48" t="s">
        <v>60</v>
      </c>
    </row>
    <row r="125" spans="1:28" ht="19.5" thickBot="1" x14ac:dyDescent="0.45">
      <c r="A125" s="143"/>
      <c r="B125" s="133"/>
      <c r="C125" s="85" t="s">
        <v>223</v>
      </c>
      <c r="D125" s="106" t="s">
        <v>221</v>
      </c>
      <c r="E125" s="106" t="s">
        <v>39</v>
      </c>
      <c r="F125" s="16"/>
      <c r="G125" s="12" t="s">
        <v>197</v>
      </c>
      <c r="H125" s="13"/>
      <c r="I125" s="15"/>
      <c r="J125" s="13">
        <v>1</v>
      </c>
      <c r="K125" s="15"/>
      <c r="L125" s="13">
        <v>1</v>
      </c>
      <c r="M125" s="17"/>
      <c r="N125" s="17"/>
      <c r="O125" s="17"/>
      <c r="P125" s="17"/>
      <c r="Q125" s="17"/>
      <c r="R125" s="17"/>
      <c r="S125" s="15"/>
      <c r="T125" s="25">
        <v>45623</v>
      </c>
      <c r="U125" s="13" t="s">
        <v>146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43"/>
      <c r="B126" s="133"/>
      <c r="C126" s="85" t="s">
        <v>224</v>
      </c>
      <c r="D126" s="106" t="s">
        <v>221</v>
      </c>
      <c r="E126" s="106" t="s">
        <v>39</v>
      </c>
      <c r="F126" s="16"/>
      <c r="G126" s="12" t="s">
        <v>197</v>
      </c>
      <c r="H126" s="15"/>
      <c r="I126" s="15"/>
      <c r="J126" s="13">
        <v>1</v>
      </c>
      <c r="K126" s="15"/>
      <c r="L126" s="13">
        <v>1</v>
      </c>
      <c r="M126" s="17"/>
      <c r="N126" s="17"/>
      <c r="O126" s="17"/>
      <c r="P126" s="17"/>
      <c r="Q126" s="17"/>
      <c r="R126" s="17"/>
      <c r="S126" s="15"/>
      <c r="T126" s="25">
        <v>45628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3"/>
      <c r="B127" s="133"/>
      <c r="C127" s="85" t="s">
        <v>225</v>
      </c>
      <c r="D127" s="106" t="s">
        <v>221</v>
      </c>
      <c r="E127" s="106" t="s">
        <v>39</v>
      </c>
      <c r="F127" s="16"/>
      <c r="G127" s="12" t="s">
        <v>197</v>
      </c>
      <c r="H127" s="15"/>
      <c r="I127" s="15"/>
      <c r="J127" s="13">
        <v>1</v>
      </c>
      <c r="K127" s="15"/>
      <c r="L127" s="13">
        <v>1</v>
      </c>
      <c r="M127" s="17"/>
      <c r="N127" s="17"/>
      <c r="O127" s="17"/>
      <c r="P127" s="17"/>
      <c r="Q127" s="17"/>
      <c r="R127" s="17"/>
      <c r="S127" s="15"/>
      <c r="T127" s="25">
        <v>45628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43"/>
      <c r="B128" s="133"/>
      <c r="C128" s="85" t="s">
        <v>226</v>
      </c>
      <c r="D128" s="106" t="s">
        <v>221</v>
      </c>
      <c r="E128" s="106" t="s">
        <v>39</v>
      </c>
      <c r="F128" s="16"/>
      <c r="G128" s="12" t="s">
        <v>197</v>
      </c>
      <c r="H128" s="13"/>
      <c r="I128" s="15"/>
      <c r="J128" s="13">
        <v>1</v>
      </c>
      <c r="K128" s="15"/>
      <c r="L128" s="13">
        <v>1</v>
      </c>
      <c r="M128" s="17"/>
      <c r="N128" s="17"/>
      <c r="O128" s="17"/>
      <c r="P128" s="17"/>
      <c r="Q128" s="17"/>
      <c r="R128" s="17"/>
      <c r="S128" s="15"/>
      <c r="T128" s="25">
        <v>45628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3"/>
      <c r="B129" s="133"/>
      <c r="C129" s="85" t="s">
        <v>227</v>
      </c>
      <c r="D129" s="106" t="s">
        <v>221</v>
      </c>
      <c r="E129" s="106" t="s">
        <v>39</v>
      </c>
      <c r="F129" s="16"/>
      <c r="G129" s="12" t="s">
        <v>197</v>
      </c>
      <c r="H129" s="15"/>
      <c r="I129" s="15"/>
      <c r="J129" s="13">
        <v>1</v>
      </c>
      <c r="K129" s="15"/>
      <c r="L129" s="13">
        <v>1</v>
      </c>
      <c r="M129" s="17"/>
      <c r="N129" s="17"/>
      <c r="O129" s="17"/>
      <c r="P129" s="17"/>
      <c r="Q129" s="17"/>
      <c r="R129" s="17"/>
      <c r="S129" s="15"/>
      <c r="T129" s="25">
        <v>45628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3"/>
      <c r="B130" s="133"/>
      <c r="C130" s="85" t="s">
        <v>228</v>
      </c>
      <c r="D130" s="106" t="s">
        <v>221</v>
      </c>
      <c r="E130" s="106" t="s">
        <v>39</v>
      </c>
      <c r="F130" s="16"/>
      <c r="G130" s="12" t="s">
        <v>197</v>
      </c>
      <c r="H130" s="15"/>
      <c r="I130" s="15"/>
      <c r="J130" s="13">
        <v>1</v>
      </c>
      <c r="K130" s="15"/>
      <c r="L130" s="13">
        <v>1</v>
      </c>
      <c r="M130" s="17"/>
      <c r="N130" s="17"/>
      <c r="O130" s="17"/>
      <c r="P130" s="17"/>
      <c r="Q130" s="17"/>
      <c r="R130" s="17"/>
      <c r="S130" s="15"/>
      <c r="T130" s="25">
        <v>45628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3"/>
      <c r="B131" s="133"/>
      <c r="C131" s="85" t="s">
        <v>229</v>
      </c>
      <c r="D131" s="106" t="s">
        <v>221</v>
      </c>
      <c r="E131" s="106" t="s">
        <v>39</v>
      </c>
      <c r="F131" s="16"/>
      <c r="G131" s="12" t="s">
        <v>197</v>
      </c>
      <c r="H131" s="15"/>
      <c r="I131" s="15"/>
      <c r="J131" s="13">
        <v>1</v>
      </c>
      <c r="K131" s="15"/>
      <c r="L131" s="13">
        <v>1</v>
      </c>
      <c r="M131" s="17"/>
      <c r="N131" s="17"/>
      <c r="O131" s="17"/>
      <c r="P131" s="17"/>
      <c r="Q131" s="17"/>
      <c r="R131" s="17"/>
      <c r="S131" s="15"/>
      <c r="T131" s="25">
        <v>45628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3"/>
      <c r="B132" s="133"/>
      <c r="C132" s="85" t="s">
        <v>230</v>
      </c>
      <c r="D132" s="106" t="s">
        <v>221</v>
      </c>
      <c r="E132" s="106" t="s">
        <v>39</v>
      </c>
      <c r="F132" s="106"/>
      <c r="G132" s="12" t="s">
        <v>197</v>
      </c>
      <c r="H132" s="15"/>
      <c r="I132" s="15"/>
      <c r="J132" s="13">
        <v>1</v>
      </c>
      <c r="K132" s="15"/>
      <c r="L132" s="13">
        <v>1</v>
      </c>
      <c r="M132" s="17"/>
      <c r="N132" s="17"/>
      <c r="O132" s="17"/>
      <c r="P132" s="17"/>
      <c r="Q132" s="17"/>
      <c r="R132" s="17"/>
      <c r="S132" s="15"/>
      <c r="T132" s="25">
        <v>45628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3"/>
      <c r="B133" s="133"/>
      <c r="C133" s="85"/>
      <c r="D133" s="106"/>
      <c r="E133" s="106"/>
      <c r="F133" s="16"/>
      <c r="G133" s="12"/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43"/>
      <c r="B134" s="133"/>
      <c r="C134" s="85"/>
      <c r="D134" s="106"/>
      <c r="E134" s="106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43"/>
      <c r="B135" s="133"/>
      <c r="C135" s="85"/>
      <c r="D135" s="106"/>
      <c r="E135" s="106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43"/>
      <c r="B136" s="133"/>
      <c r="C136" s="85"/>
      <c r="D136" s="106"/>
      <c r="E136" s="106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43"/>
      <c r="B137" s="133"/>
      <c r="C137" s="85"/>
      <c r="D137" s="106"/>
      <c r="E137" s="106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43"/>
      <c r="B138" s="133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3"/>
      <c r="B139" s="133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3"/>
      <c r="B140" s="133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3"/>
      <c r="B141" s="13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3"/>
      <c r="B142" s="13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3"/>
      <c r="B143" s="13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3"/>
      <c r="B144" s="13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3"/>
      <c r="B145" s="13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3"/>
      <c r="B146" s="13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4"/>
      <c r="B147" s="13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10</v>
      </c>
      <c r="D148" s="112"/>
      <c r="E148" s="29"/>
      <c r="F148" s="29" t="s">
        <v>34</v>
      </c>
      <c r="G148" s="29">
        <f>COUNTIF(G123:G147,"S")</f>
        <v>10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10</v>
      </c>
      <c r="K148" s="29">
        <f t="shared" ref="K148" si="14">SUM(K123:K147)</f>
        <v>0</v>
      </c>
      <c r="L148" s="29">
        <f t="shared" ref="L148" si="15">SUM(L123:L147)</f>
        <v>10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20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AYG092</v>
      </c>
      <c r="B151" s="24">
        <f>B1</f>
        <v>45596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5" t="s">
        <v>115</v>
      </c>
      <c r="Y152" s="141"/>
    </row>
    <row r="153" spans="1:28" ht="20.25" thickTop="1" thickBot="1" x14ac:dyDescent="0.45">
      <c r="A153" s="142">
        <v>6</v>
      </c>
      <c r="B153" s="145">
        <v>20.2</v>
      </c>
      <c r="C153" s="85" t="s">
        <v>231</v>
      </c>
      <c r="D153" s="106" t="s">
        <v>221</v>
      </c>
      <c r="E153" s="15" t="s">
        <v>59</v>
      </c>
      <c r="F153" s="14"/>
      <c r="G153" s="12" t="s">
        <v>197</v>
      </c>
      <c r="H153" s="13"/>
      <c r="I153" s="13"/>
      <c r="J153" s="13">
        <v>2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25">
        <v>45629</v>
      </c>
      <c r="U153" s="13" t="s">
        <v>146</v>
      </c>
      <c r="V153">
        <v>1</v>
      </c>
      <c r="X153" s="51" t="s">
        <v>106</v>
      </c>
      <c r="Y153" s="52">
        <f>COUNTIF(U153:U177,"K")</f>
        <v>5</v>
      </c>
      <c r="AA153" s="59" t="s">
        <v>120</v>
      </c>
      <c r="AB153" s="60" t="s">
        <v>121</v>
      </c>
    </row>
    <row r="154" spans="1:28" x14ac:dyDescent="0.4">
      <c r="A154" s="143"/>
      <c r="B154" s="146"/>
      <c r="C154" s="85" t="s">
        <v>232</v>
      </c>
      <c r="D154" s="106" t="s">
        <v>221</v>
      </c>
      <c r="E154" s="15" t="s">
        <v>59</v>
      </c>
      <c r="F154" s="16"/>
      <c r="G154" s="15" t="s">
        <v>197</v>
      </c>
      <c r="H154" s="15"/>
      <c r="I154" s="15"/>
      <c r="J154" s="15">
        <v>2</v>
      </c>
      <c r="K154" s="15"/>
      <c r="L154" s="17"/>
      <c r="M154" s="17"/>
      <c r="N154" s="17"/>
      <c r="O154" s="17"/>
      <c r="P154" s="17"/>
      <c r="Q154" s="17"/>
      <c r="R154" s="17"/>
      <c r="S154" s="15"/>
      <c r="T154" s="25">
        <v>45629</v>
      </c>
      <c r="U154" s="13" t="s">
        <v>146</v>
      </c>
      <c r="V154">
        <v>2</v>
      </c>
      <c r="X154" s="51" t="s">
        <v>107</v>
      </c>
      <c r="Y154" s="52">
        <f>COUNTIF(U153:U177,"R")</f>
        <v>0</v>
      </c>
      <c r="AA154" s="47" t="s">
        <v>81</v>
      </c>
      <c r="AB154" s="48" t="s">
        <v>60</v>
      </c>
    </row>
    <row r="155" spans="1:28" ht="19.5" thickBot="1" x14ac:dyDescent="0.45">
      <c r="A155" s="143"/>
      <c r="B155" s="146"/>
      <c r="C155" s="85" t="s">
        <v>233</v>
      </c>
      <c r="D155" s="106" t="s">
        <v>221</v>
      </c>
      <c r="E155" s="15" t="s">
        <v>59</v>
      </c>
      <c r="F155" s="16"/>
      <c r="G155" s="15" t="s">
        <v>197</v>
      </c>
      <c r="H155" s="13"/>
      <c r="I155" s="15"/>
      <c r="J155" s="15">
        <v>2</v>
      </c>
      <c r="K155" s="15"/>
      <c r="L155" s="17"/>
      <c r="M155" s="17"/>
      <c r="N155" s="17"/>
      <c r="O155" s="17"/>
      <c r="P155" s="17"/>
      <c r="Q155" s="17"/>
      <c r="R155" s="17"/>
      <c r="S155" s="15"/>
      <c r="T155" s="25">
        <v>45627</v>
      </c>
      <c r="U155" s="13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43"/>
      <c r="B156" s="146"/>
      <c r="C156" s="85" t="s">
        <v>234</v>
      </c>
      <c r="D156" s="106" t="s">
        <v>221</v>
      </c>
      <c r="E156" s="15" t="s">
        <v>59</v>
      </c>
      <c r="F156" s="16"/>
      <c r="G156" s="15" t="s">
        <v>197</v>
      </c>
      <c r="H156" s="15"/>
      <c r="I156" s="15"/>
      <c r="J156" s="15">
        <v>2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5">
        <v>45629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3"/>
      <c r="B157" s="146"/>
      <c r="C157" s="85" t="s">
        <v>235</v>
      </c>
      <c r="D157" s="106" t="s">
        <v>221</v>
      </c>
      <c r="E157" s="15" t="s">
        <v>59</v>
      </c>
      <c r="F157" s="16"/>
      <c r="G157" s="15" t="s">
        <v>197</v>
      </c>
      <c r="H157" s="15"/>
      <c r="I157" s="15"/>
      <c r="J157" s="15">
        <v>2</v>
      </c>
      <c r="K157" s="15"/>
      <c r="L157" s="17"/>
      <c r="M157" s="17"/>
      <c r="N157" s="17"/>
      <c r="O157" s="17"/>
      <c r="P157" s="17"/>
      <c r="Q157" s="17"/>
      <c r="R157" s="17"/>
      <c r="S157" s="15"/>
      <c r="T157" s="25">
        <v>45629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3"/>
      <c r="B158" s="146"/>
      <c r="C158" s="85"/>
      <c r="D158" s="106"/>
      <c r="E158" s="15"/>
      <c r="F158" s="16"/>
      <c r="G158" s="13"/>
      <c r="H158" s="13"/>
      <c r="I158" s="15"/>
      <c r="J158" s="15"/>
      <c r="K158" s="15"/>
      <c r="L158" s="17"/>
      <c r="M158" s="17"/>
      <c r="N158" s="17"/>
      <c r="O158" s="17"/>
      <c r="P158" s="17"/>
      <c r="Q158" s="17"/>
      <c r="R158" s="17"/>
      <c r="S158" s="15"/>
      <c r="T158" s="25"/>
      <c r="U158" s="15"/>
      <c r="V158">
        <v>6</v>
      </c>
      <c r="AA158" s="49" t="s">
        <v>85</v>
      </c>
      <c r="AB158" s="50" t="s">
        <v>43</v>
      </c>
    </row>
    <row r="159" spans="1:28" x14ac:dyDescent="0.4">
      <c r="A159" s="143"/>
      <c r="B159" s="146"/>
      <c r="C159" s="85"/>
      <c r="D159" s="106"/>
      <c r="E159" s="15"/>
      <c r="F159" s="16"/>
      <c r="G159" s="15"/>
      <c r="H159" s="15"/>
      <c r="I159" s="15"/>
      <c r="J159" s="15"/>
      <c r="K159" s="15"/>
      <c r="L159" s="17"/>
      <c r="M159" s="17"/>
      <c r="N159" s="17"/>
      <c r="O159" s="17"/>
      <c r="P159" s="17"/>
      <c r="Q159" s="17"/>
      <c r="R159" s="17"/>
      <c r="S159" s="15"/>
      <c r="T159" s="25"/>
      <c r="U159" s="15"/>
      <c r="V159">
        <v>7</v>
      </c>
      <c r="AA159" s="49" t="s">
        <v>86</v>
      </c>
      <c r="AB159" s="50" t="s">
        <v>45</v>
      </c>
    </row>
    <row r="160" spans="1:28" x14ac:dyDescent="0.4">
      <c r="A160" s="143"/>
      <c r="B160" s="146"/>
      <c r="C160" s="85"/>
      <c r="D160" s="106"/>
      <c r="E160" s="15"/>
      <c r="F160" s="16"/>
      <c r="G160" s="15"/>
      <c r="H160" s="15"/>
      <c r="I160" s="15"/>
      <c r="J160" s="15"/>
      <c r="K160" s="15"/>
      <c r="L160" s="17"/>
      <c r="M160" s="17"/>
      <c r="N160" s="17"/>
      <c r="O160" s="17"/>
      <c r="P160" s="17"/>
      <c r="Q160" s="17"/>
      <c r="R160" s="17"/>
      <c r="S160" s="15"/>
      <c r="T160" s="25"/>
      <c r="U160" s="15"/>
      <c r="V160">
        <v>8</v>
      </c>
      <c r="AA160" s="49" t="s">
        <v>87</v>
      </c>
      <c r="AB160" s="50" t="s">
        <v>37</v>
      </c>
    </row>
    <row r="161" spans="1:28" x14ac:dyDescent="0.4">
      <c r="A161" s="143"/>
      <c r="B161" s="146"/>
      <c r="C161" s="85"/>
      <c r="D161" s="106"/>
      <c r="E161" s="15"/>
      <c r="F161" s="16"/>
      <c r="G161" s="15"/>
      <c r="H161" s="15"/>
      <c r="I161" s="15"/>
      <c r="J161" s="15"/>
      <c r="K161" s="15"/>
      <c r="L161" s="17"/>
      <c r="M161" s="17"/>
      <c r="N161" s="17"/>
      <c r="O161" s="17"/>
      <c r="P161" s="17"/>
      <c r="Q161" s="17"/>
      <c r="R161" s="17"/>
      <c r="S161" s="15"/>
      <c r="T161" s="25"/>
      <c r="U161" s="15"/>
      <c r="V161">
        <v>9</v>
      </c>
      <c r="AA161" s="49" t="s">
        <v>88</v>
      </c>
      <c r="AB161" s="50" t="s">
        <v>74</v>
      </c>
    </row>
    <row r="162" spans="1:28" x14ac:dyDescent="0.4">
      <c r="A162" s="143"/>
      <c r="B162" s="146"/>
      <c r="C162" s="85"/>
      <c r="D162" s="106"/>
      <c r="E162" s="15"/>
      <c r="F162" s="16"/>
      <c r="G162" s="15"/>
      <c r="H162" s="15"/>
      <c r="I162" s="15"/>
      <c r="J162" s="15"/>
      <c r="K162" s="15"/>
      <c r="L162" s="17"/>
      <c r="M162" s="17"/>
      <c r="N162" s="17"/>
      <c r="O162" s="17"/>
      <c r="P162" s="17"/>
      <c r="Q162" s="17"/>
      <c r="R162" s="17"/>
      <c r="S162" s="15"/>
      <c r="T162" s="25"/>
      <c r="U162" s="15"/>
      <c r="V162">
        <v>10</v>
      </c>
      <c r="AA162" s="49" t="s">
        <v>89</v>
      </c>
      <c r="AB162" s="50" t="s">
        <v>36</v>
      </c>
    </row>
    <row r="163" spans="1:28" x14ac:dyDescent="0.4">
      <c r="A163" s="143"/>
      <c r="B163" s="146"/>
      <c r="C163" s="85"/>
      <c r="D163" s="106"/>
      <c r="E163" s="15"/>
      <c r="F163" s="16"/>
      <c r="G163" s="15"/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5"/>
      <c r="U163" s="15"/>
      <c r="V163">
        <v>11</v>
      </c>
      <c r="AA163" s="49" t="s">
        <v>90</v>
      </c>
      <c r="AB163" s="50" t="s">
        <v>58</v>
      </c>
    </row>
    <row r="164" spans="1:28" x14ac:dyDescent="0.4">
      <c r="A164" s="143"/>
      <c r="B164" s="146"/>
      <c r="C164" s="85"/>
      <c r="D164" s="106"/>
      <c r="E164" s="15"/>
      <c r="F164" s="16"/>
      <c r="G164" s="15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/>
      <c r="U164" s="15"/>
      <c r="V164">
        <v>12</v>
      </c>
      <c r="AA164" s="49" t="s">
        <v>91</v>
      </c>
      <c r="AB164" s="50" t="s">
        <v>75</v>
      </c>
    </row>
    <row r="165" spans="1:28" x14ac:dyDescent="0.4">
      <c r="A165" s="143"/>
      <c r="B165" s="146"/>
      <c r="C165" s="85"/>
      <c r="D165" s="106"/>
      <c r="E165" s="15"/>
      <c r="F165" s="16"/>
      <c r="G165" s="15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/>
      <c r="U165" s="105"/>
      <c r="V165">
        <v>13</v>
      </c>
      <c r="AA165" s="49" t="s">
        <v>92</v>
      </c>
      <c r="AB165" s="50" t="s">
        <v>40</v>
      </c>
    </row>
    <row r="166" spans="1:28" x14ac:dyDescent="0.4">
      <c r="A166" s="143"/>
      <c r="B166" s="146"/>
      <c r="C166" s="85"/>
      <c r="D166" s="106"/>
      <c r="E166" s="15"/>
      <c r="F166" s="16"/>
      <c r="G166" s="15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5"/>
      <c r="V166">
        <v>14</v>
      </c>
      <c r="AA166" s="49" t="s">
        <v>93</v>
      </c>
      <c r="AB166" s="50" t="s">
        <v>57</v>
      </c>
    </row>
    <row r="167" spans="1:28" x14ac:dyDescent="0.4">
      <c r="A167" s="143"/>
      <c r="B167" s="146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43"/>
      <c r="B168" s="146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43"/>
      <c r="B169" s="14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3"/>
      <c r="B170" s="14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3"/>
      <c r="B171" s="14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3"/>
      <c r="B172" s="14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3"/>
      <c r="B173" s="14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3"/>
      <c r="B174" s="14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3"/>
      <c r="B175" s="14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3"/>
      <c r="B176" s="14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4"/>
      <c r="B177" s="14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5</v>
      </c>
      <c r="D178" s="112"/>
      <c r="E178" s="29"/>
      <c r="F178" s="29" t="s">
        <v>34</v>
      </c>
      <c r="G178" s="29">
        <f>COUNTIF(G153:G177,"S")</f>
        <v>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10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0</v>
      </c>
      <c r="N178" s="29">
        <f t="shared" ref="N178" si="27">SUM(N153:N177)</f>
        <v>0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10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5" t="s">
        <v>114</v>
      </c>
      <c r="Y182" s="141"/>
    </row>
    <row r="183" spans="1:28" ht="20.25" thickTop="1" thickBot="1" x14ac:dyDescent="0.45">
      <c r="A183" s="142">
        <v>7</v>
      </c>
      <c r="B183" s="145">
        <v>23.2</v>
      </c>
      <c r="C183" s="85" t="s">
        <v>236</v>
      </c>
      <c r="D183" s="110" t="s">
        <v>221</v>
      </c>
      <c r="E183" s="18" t="s">
        <v>59</v>
      </c>
      <c r="F183" s="16"/>
      <c r="G183" s="18" t="s">
        <v>197</v>
      </c>
      <c r="H183" s="15" t="s">
        <v>237</v>
      </c>
      <c r="I183" s="15"/>
      <c r="J183" s="18">
        <v>2</v>
      </c>
      <c r="K183" s="15"/>
      <c r="L183" s="19"/>
      <c r="M183" s="19"/>
      <c r="N183" s="19"/>
      <c r="O183" s="19"/>
      <c r="P183" s="19"/>
      <c r="Q183" s="19"/>
      <c r="R183" s="19"/>
      <c r="S183" s="15"/>
      <c r="T183" s="25">
        <v>45627</v>
      </c>
      <c r="U183" s="15" t="s">
        <v>146</v>
      </c>
      <c r="V183">
        <v>1</v>
      </c>
      <c r="X183" s="51" t="s">
        <v>106</v>
      </c>
      <c r="Y183" s="52">
        <f>COUNTIF(U183:U207,"K")</f>
        <v>4</v>
      </c>
      <c r="AA183" s="59" t="s">
        <v>120</v>
      </c>
      <c r="AB183" s="60" t="s">
        <v>121</v>
      </c>
    </row>
    <row r="184" spans="1:28" x14ac:dyDescent="0.4">
      <c r="A184" s="143"/>
      <c r="B184" s="146"/>
      <c r="C184" s="85" t="s">
        <v>238</v>
      </c>
      <c r="D184" s="110" t="s">
        <v>221</v>
      </c>
      <c r="E184" s="15" t="s">
        <v>59</v>
      </c>
      <c r="F184" s="16"/>
      <c r="G184" s="18" t="s">
        <v>197</v>
      </c>
      <c r="H184" s="15" t="s">
        <v>237</v>
      </c>
      <c r="I184" s="15"/>
      <c r="J184" s="18">
        <v>2</v>
      </c>
      <c r="K184" s="15"/>
      <c r="L184" s="19"/>
      <c r="M184" s="19"/>
      <c r="N184" s="19"/>
      <c r="O184" s="19"/>
      <c r="P184" s="19"/>
      <c r="Q184" s="19"/>
      <c r="R184" s="19"/>
      <c r="S184" s="15"/>
      <c r="T184" s="25">
        <v>45630</v>
      </c>
      <c r="U184" s="15" t="s">
        <v>146</v>
      </c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43"/>
      <c r="B185" s="146"/>
      <c r="C185" s="85" t="s">
        <v>239</v>
      </c>
      <c r="D185" s="110" t="s">
        <v>221</v>
      </c>
      <c r="E185" s="15" t="s">
        <v>59</v>
      </c>
      <c r="F185" s="16"/>
      <c r="G185" s="18" t="s">
        <v>197</v>
      </c>
      <c r="H185" s="15" t="s">
        <v>237</v>
      </c>
      <c r="I185" s="15"/>
      <c r="J185" s="15">
        <v>2</v>
      </c>
      <c r="K185" s="15"/>
      <c r="L185" s="17"/>
      <c r="M185" s="17"/>
      <c r="N185" s="17"/>
      <c r="O185" s="17"/>
      <c r="P185" s="17"/>
      <c r="Q185" s="17"/>
      <c r="R185" s="17"/>
      <c r="S185" s="15"/>
      <c r="T185" s="25">
        <v>45630</v>
      </c>
      <c r="U185" s="15" t="s">
        <v>146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3"/>
      <c r="B186" s="146"/>
      <c r="C186" s="85" t="s">
        <v>240</v>
      </c>
      <c r="D186" s="110" t="s">
        <v>221</v>
      </c>
      <c r="E186" s="15" t="s">
        <v>59</v>
      </c>
      <c r="F186" s="16"/>
      <c r="G186" s="18" t="s">
        <v>197</v>
      </c>
      <c r="H186" s="15" t="s">
        <v>237</v>
      </c>
      <c r="I186" s="15"/>
      <c r="J186" s="15">
        <v>2</v>
      </c>
      <c r="K186" s="15"/>
      <c r="L186" s="17"/>
      <c r="M186" s="17"/>
      <c r="N186" s="17"/>
      <c r="O186" s="17"/>
      <c r="P186" s="17"/>
      <c r="Q186" s="17"/>
      <c r="R186" s="17"/>
      <c r="S186" s="15"/>
      <c r="T186" s="25">
        <v>45630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3"/>
      <c r="B187" s="146"/>
      <c r="C187" s="85"/>
      <c r="D187" s="106"/>
      <c r="E187" s="13"/>
      <c r="F187" s="16"/>
      <c r="G187" s="18"/>
      <c r="H187" s="15"/>
      <c r="I187" s="15"/>
      <c r="J187" s="15"/>
      <c r="K187" s="15"/>
      <c r="L187" s="17"/>
      <c r="M187" s="17"/>
      <c r="N187" s="17"/>
      <c r="O187" s="17"/>
      <c r="P187" s="17"/>
      <c r="Q187" s="17"/>
      <c r="R187" s="17"/>
      <c r="S187" s="15"/>
      <c r="T187" s="25"/>
      <c r="U187" s="25"/>
      <c r="V187">
        <v>5</v>
      </c>
      <c r="AA187" s="49" t="s">
        <v>84</v>
      </c>
      <c r="AB187" s="50" t="s">
        <v>44</v>
      </c>
    </row>
    <row r="188" spans="1:28" x14ac:dyDescent="0.4">
      <c r="A188" s="143"/>
      <c r="B188" s="146"/>
      <c r="C188" s="85"/>
      <c r="D188" s="106"/>
      <c r="E188" s="13"/>
      <c r="F188" s="16"/>
      <c r="G188" s="18"/>
      <c r="H188" s="13"/>
      <c r="I188" s="15"/>
      <c r="J188" s="15"/>
      <c r="K188" s="15"/>
      <c r="L188" s="17"/>
      <c r="M188" s="17"/>
      <c r="N188" s="17"/>
      <c r="O188" s="17"/>
      <c r="P188" s="17"/>
      <c r="Q188" s="17"/>
      <c r="R188" s="17"/>
      <c r="S188" s="15"/>
      <c r="T188" s="25"/>
      <c r="U188" s="25"/>
      <c r="V188">
        <v>6</v>
      </c>
      <c r="AA188" s="49" t="s">
        <v>85</v>
      </c>
      <c r="AB188" s="50" t="s">
        <v>43</v>
      </c>
    </row>
    <row r="189" spans="1:28" x14ac:dyDescent="0.4">
      <c r="A189" s="143"/>
      <c r="B189" s="146"/>
      <c r="C189" s="85"/>
      <c r="D189" s="106"/>
      <c r="E189" s="13"/>
      <c r="F189" s="16"/>
      <c r="G189" s="18"/>
      <c r="H189" s="15"/>
      <c r="I189" s="15"/>
      <c r="J189" s="15"/>
      <c r="K189" s="15"/>
      <c r="L189" s="17"/>
      <c r="M189" s="17"/>
      <c r="N189" s="17"/>
      <c r="O189" s="17"/>
      <c r="P189" s="17"/>
      <c r="Q189" s="17"/>
      <c r="R189" s="17"/>
      <c r="S189" s="15"/>
      <c r="T189" s="25"/>
      <c r="U189" s="25"/>
      <c r="V189">
        <v>7</v>
      </c>
      <c r="AA189" s="49" t="s">
        <v>86</v>
      </c>
      <c r="AB189" s="50" t="s">
        <v>45</v>
      </c>
    </row>
    <row r="190" spans="1:28" x14ac:dyDescent="0.4">
      <c r="A190" s="143"/>
      <c r="B190" s="146"/>
      <c r="C190" s="85"/>
      <c r="D190" s="106"/>
      <c r="E190" s="13"/>
      <c r="F190" s="16"/>
      <c r="G190" s="18"/>
      <c r="H190" s="15"/>
      <c r="I190" s="15"/>
      <c r="J190" s="15"/>
      <c r="K190" s="15"/>
      <c r="L190" s="17"/>
      <c r="M190" s="17"/>
      <c r="N190" s="17"/>
      <c r="O190" s="17"/>
      <c r="P190" s="17"/>
      <c r="Q190" s="17"/>
      <c r="R190" s="17"/>
      <c r="S190" s="15"/>
      <c r="T190" s="25"/>
      <c r="U190" s="25"/>
      <c r="V190">
        <v>8</v>
      </c>
      <c r="AA190" s="49" t="s">
        <v>87</v>
      </c>
      <c r="AB190" s="50" t="s">
        <v>37</v>
      </c>
    </row>
    <row r="191" spans="1:28" x14ac:dyDescent="0.4">
      <c r="A191" s="143"/>
      <c r="B191" s="146"/>
      <c r="C191" s="85"/>
      <c r="D191" s="106"/>
      <c r="E191" s="13"/>
      <c r="F191" s="16"/>
      <c r="G191" s="18"/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/>
      <c r="U191" s="25"/>
      <c r="V191">
        <v>9</v>
      </c>
      <c r="AA191" s="49" t="s">
        <v>88</v>
      </c>
      <c r="AB191" s="50" t="s">
        <v>74</v>
      </c>
    </row>
    <row r="192" spans="1:28" x14ac:dyDescent="0.4">
      <c r="A192" s="143"/>
      <c r="B192" s="146"/>
      <c r="C192" s="85"/>
      <c r="D192" s="106"/>
      <c r="E192" s="13"/>
      <c r="F192" s="16"/>
      <c r="G192" s="18"/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43"/>
      <c r="B193" s="146"/>
      <c r="C193" s="85"/>
      <c r="D193" s="106"/>
      <c r="E193" s="13"/>
      <c r="F193" s="16"/>
      <c r="G193" s="18"/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43"/>
      <c r="B194" s="146"/>
      <c r="C194" s="85"/>
      <c r="D194" s="106"/>
      <c r="E194" s="13"/>
      <c r="F194" s="16"/>
      <c r="G194" s="18"/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43"/>
      <c r="B195" s="146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3"/>
      <c r="B196" s="146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3"/>
      <c r="B197" s="146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3"/>
      <c r="B198" s="146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3"/>
      <c r="B199" s="146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3"/>
      <c r="B200" s="14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3"/>
      <c r="B201" s="14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3"/>
      <c r="B202" s="14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3"/>
      <c r="B203" s="14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3"/>
      <c r="B204" s="14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3"/>
      <c r="B205" s="14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3"/>
      <c r="B206" s="14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4"/>
      <c r="B207" s="14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4</v>
      </c>
      <c r="D208" s="112"/>
      <c r="E208" s="29"/>
      <c r="F208" s="29" t="s">
        <v>34</v>
      </c>
      <c r="G208" s="29">
        <f>COUNTIF(G183:G207,"S")</f>
        <v>4</v>
      </c>
      <c r="H208" s="29">
        <f>COUNTIF(H183:H207,"E")</f>
        <v>4</v>
      </c>
      <c r="I208" s="29">
        <f>SUM(I183:I207)</f>
        <v>0</v>
      </c>
      <c r="J208" s="29">
        <f t="shared" ref="J208" si="33">SUM(J183:J207)</f>
        <v>8</v>
      </c>
      <c r="K208" s="29">
        <f t="shared" ref="K208" si="34">SUM(K183:K207)</f>
        <v>0</v>
      </c>
      <c r="L208" s="29">
        <f t="shared" ref="L208" si="35">SUM(L183:L207)</f>
        <v>0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0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8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AYG092</v>
      </c>
      <c r="B211" s="24">
        <f>B1</f>
        <v>45596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5" t="s">
        <v>113</v>
      </c>
      <c r="Y212" s="141"/>
    </row>
    <row r="213" spans="1:28" ht="20.25" thickTop="1" thickBot="1" x14ac:dyDescent="0.45">
      <c r="A213" s="142">
        <v>8</v>
      </c>
      <c r="B213" s="145">
        <v>24.2</v>
      </c>
      <c r="C213" s="85" t="s">
        <v>241</v>
      </c>
      <c r="D213" s="106" t="s">
        <v>198</v>
      </c>
      <c r="E213" s="15" t="s">
        <v>75</v>
      </c>
      <c r="F213" s="16"/>
      <c r="G213" s="15" t="s">
        <v>197</v>
      </c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45615</v>
      </c>
      <c r="U213" s="15" t="s">
        <v>147</v>
      </c>
      <c r="V213">
        <v>1</v>
      </c>
      <c r="X213" s="51" t="s">
        <v>106</v>
      </c>
      <c r="Y213" s="52">
        <f>COUNTIF(U213:U237,"K")</f>
        <v>10</v>
      </c>
      <c r="AA213" s="59" t="s">
        <v>120</v>
      </c>
      <c r="AB213" s="60" t="s">
        <v>121</v>
      </c>
    </row>
    <row r="214" spans="1:28" x14ac:dyDescent="0.4">
      <c r="A214" s="143"/>
      <c r="B214" s="146"/>
      <c r="C214" s="85" t="s">
        <v>242</v>
      </c>
      <c r="D214" s="106" t="s">
        <v>198</v>
      </c>
      <c r="E214" s="15" t="s">
        <v>36</v>
      </c>
      <c r="F214" s="16"/>
      <c r="G214" s="15" t="s">
        <v>197</v>
      </c>
      <c r="H214" s="15"/>
      <c r="I214" s="15"/>
      <c r="J214" s="15">
        <v>1</v>
      </c>
      <c r="K214" s="15">
        <v>1</v>
      </c>
      <c r="L214" s="17"/>
      <c r="M214" s="17"/>
      <c r="N214" s="17"/>
      <c r="O214" s="17"/>
      <c r="P214" s="17"/>
      <c r="Q214" s="17"/>
      <c r="R214" s="17"/>
      <c r="S214" s="15"/>
      <c r="T214" s="25">
        <v>45621</v>
      </c>
      <c r="U214" s="15" t="s">
        <v>142</v>
      </c>
      <c r="V214">
        <v>2</v>
      </c>
      <c r="X214" s="51" t="s">
        <v>107</v>
      </c>
      <c r="Y214" s="52">
        <f>COUNTIF(U213:U237,"R")</f>
        <v>2</v>
      </c>
      <c r="AA214" s="47" t="s">
        <v>81</v>
      </c>
      <c r="AB214" s="48" t="s">
        <v>60</v>
      </c>
    </row>
    <row r="215" spans="1:28" ht="19.5" thickBot="1" x14ac:dyDescent="0.45">
      <c r="A215" s="143"/>
      <c r="B215" s="146"/>
      <c r="C215" s="85" t="s">
        <v>243</v>
      </c>
      <c r="D215" s="106" t="s">
        <v>198</v>
      </c>
      <c r="E215" s="15" t="s">
        <v>36</v>
      </c>
      <c r="F215" s="16"/>
      <c r="G215" s="15" t="s">
        <v>197</v>
      </c>
      <c r="H215" s="15"/>
      <c r="I215" s="15"/>
      <c r="J215" s="15">
        <v>1</v>
      </c>
      <c r="K215" s="15">
        <v>1</v>
      </c>
      <c r="L215" s="17"/>
      <c r="M215" s="17"/>
      <c r="N215" s="17"/>
      <c r="O215" s="17"/>
      <c r="P215" s="17"/>
      <c r="Q215" s="17"/>
      <c r="R215" s="17"/>
      <c r="S215" s="15"/>
      <c r="T215" s="25">
        <v>45616</v>
      </c>
      <c r="U215" s="15" t="s">
        <v>146</v>
      </c>
      <c r="V215">
        <v>3</v>
      </c>
      <c r="X215" s="53" t="s">
        <v>108</v>
      </c>
      <c r="Y215" s="54">
        <f>COUNTIF(U213:U237,"J")</f>
        <v>3</v>
      </c>
      <c r="AA215" s="49" t="s">
        <v>82</v>
      </c>
      <c r="AB215" s="50" t="s">
        <v>39</v>
      </c>
    </row>
    <row r="216" spans="1:28" x14ac:dyDescent="0.4">
      <c r="A216" s="143"/>
      <c r="B216" s="146"/>
      <c r="C216" s="85" t="s">
        <v>244</v>
      </c>
      <c r="D216" s="106" t="s">
        <v>198</v>
      </c>
      <c r="E216" s="15" t="s">
        <v>37</v>
      </c>
      <c r="F216" s="16"/>
      <c r="G216" s="15" t="s">
        <v>197</v>
      </c>
      <c r="H216" s="15"/>
      <c r="I216" s="15"/>
      <c r="J216" s="15">
        <v>1</v>
      </c>
      <c r="K216" s="15">
        <v>1</v>
      </c>
      <c r="L216" s="19"/>
      <c r="M216" s="19"/>
      <c r="N216" s="19"/>
      <c r="O216" s="19"/>
      <c r="P216" s="19"/>
      <c r="Q216" s="19"/>
      <c r="R216" s="19"/>
      <c r="S216" s="15"/>
      <c r="T216" s="25">
        <v>45616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3"/>
      <c r="B217" s="146"/>
      <c r="C217" s="85" t="s">
        <v>245</v>
      </c>
      <c r="D217" s="106" t="s">
        <v>198</v>
      </c>
      <c r="E217" s="15" t="s">
        <v>75</v>
      </c>
      <c r="F217" s="16"/>
      <c r="G217" s="15" t="s">
        <v>197</v>
      </c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>
        <v>1</v>
      </c>
      <c r="T217" s="25">
        <v>45616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3"/>
      <c r="B218" s="146"/>
      <c r="C218" s="85" t="s">
        <v>247</v>
      </c>
      <c r="D218" s="106" t="s">
        <v>246</v>
      </c>
      <c r="E218" s="15" t="s">
        <v>74</v>
      </c>
      <c r="F218" s="16"/>
      <c r="G218" s="15" t="s">
        <v>197</v>
      </c>
      <c r="H218" s="15"/>
      <c r="I218" s="15"/>
      <c r="J218" s="18">
        <v>1</v>
      </c>
      <c r="K218" s="15">
        <v>1</v>
      </c>
      <c r="L218" s="19"/>
      <c r="M218" s="19"/>
      <c r="N218" s="19"/>
      <c r="O218" s="19"/>
      <c r="P218" s="19"/>
      <c r="Q218" s="19"/>
      <c r="R218" s="19"/>
      <c r="S218" s="15"/>
      <c r="T218" s="25">
        <v>45621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3"/>
      <c r="B219" s="146"/>
      <c r="C219" s="85" t="s">
        <v>248</v>
      </c>
      <c r="D219" s="106" t="s">
        <v>246</v>
      </c>
      <c r="E219" s="15" t="s">
        <v>38</v>
      </c>
      <c r="F219" s="16"/>
      <c r="G219" s="15" t="s">
        <v>197</v>
      </c>
      <c r="H219" s="15"/>
      <c r="I219" s="15"/>
      <c r="J219" s="18">
        <v>1</v>
      </c>
      <c r="K219" s="15">
        <v>1</v>
      </c>
      <c r="L219" s="19"/>
      <c r="M219" s="19"/>
      <c r="N219" s="19"/>
      <c r="O219" s="19"/>
      <c r="P219" s="19"/>
      <c r="Q219" s="19"/>
      <c r="R219" s="19"/>
      <c r="S219" s="15"/>
      <c r="T219" s="25">
        <v>45621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3"/>
      <c r="B220" s="146"/>
      <c r="C220" s="85" t="s">
        <v>249</v>
      </c>
      <c r="D220" s="106" t="s">
        <v>246</v>
      </c>
      <c r="E220" s="15" t="s">
        <v>37</v>
      </c>
      <c r="F220" s="16"/>
      <c r="G220" s="15" t="s">
        <v>197</v>
      </c>
      <c r="H220" s="15"/>
      <c r="I220" s="15"/>
      <c r="J220" s="18">
        <v>1</v>
      </c>
      <c r="K220" s="15">
        <v>1</v>
      </c>
      <c r="L220" s="19"/>
      <c r="M220" s="19"/>
      <c r="N220" s="19"/>
      <c r="O220" s="19"/>
      <c r="P220" s="19"/>
      <c r="Q220" s="19"/>
      <c r="R220" s="19"/>
      <c r="S220" s="15"/>
      <c r="T220" s="25">
        <v>45621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3"/>
      <c r="B221" s="146"/>
      <c r="C221" s="85" t="s">
        <v>250</v>
      </c>
      <c r="D221" s="106" t="s">
        <v>246</v>
      </c>
      <c r="E221" s="15" t="s">
        <v>39</v>
      </c>
      <c r="F221" s="16"/>
      <c r="G221" s="15" t="s">
        <v>197</v>
      </c>
      <c r="H221" s="15"/>
      <c r="I221" s="15"/>
      <c r="J221" s="18">
        <v>1</v>
      </c>
      <c r="K221" s="15">
        <v>1</v>
      </c>
      <c r="L221" s="19"/>
      <c r="M221" s="19"/>
      <c r="N221" s="19"/>
      <c r="O221" s="19"/>
      <c r="P221" s="19"/>
      <c r="Q221" s="19"/>
      <c r="R221" s="19"/>
      <c r="S221" s="15"/>
      <c r="T221" s="25">
        <v>45621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3"/>
      <c r="B222" s="146"/>
      <c r="C222" s="85" t="s">
        <v>251</v>
      </c>
      <c r="D222" s="106" t="s">
        <v>246</v>
      </c>
      <c r="E222" s="15" t="s">
        <v>133</v>
      </c>
      <c r="F222" s="16"/>
      <c r="G222" s="15" t="s">
        <v>197</v>
      </c>
      <c r="H222" s="15"/>
      <c r="I222" s="15"/>
      <c r="J222" s="15"/>
      <c r="K222" s="15"/>
      <c r="L222" s="17"/>
      <c r="M222" s="17"/>
      <c r="N222" s="17"/>
      <c r="O222" s="17">
        <v>1</v>
      </c>
      <c r="P222" s="17">
        <v>1</v>
      </c>
      <c r="Q222" s="17"/>
      <c r="R222" s="17"/>
      <c r="S222" s="15"/>
      <c r="T222" s="25">
        <v>45621</v>
      </c>
      <c r="U222" s="15" t="s">
        <v>148</v>
      </c>
      <c r="V222">
        <v>10</v>
      </c>
      <c r="AA222" s="49" t="s">
        <v>89</v>
      </c>
      <c r="AB222" s="50" t="s">
        <v>36</v>
      </c>
    </row>
    <row r="223" spans="1:28" x14ac:dyDescent="0.4">
      <c r="A223" s="143"/>
      <c r="B223" s="146"/>
      <c r="C223" s="85" t="s">
        <v>252</v>
      </c>
      <c r="D223" s="106" t="s">
        <v>246</v>
      </c>
      <c r="E223" s="15" t="s">
        <v>40</v>
      </c>
      <c r="F223" s="16"/>
      <c r="G223" s="15" t="s">
        <v>197</v>
      </c>
      <c r="H223" s="15"/>
      <c r="I223" s="15"/>
      <c r="J223" s="15"/>
      <c r="K223" s="15"/>
      <c r="L223" s="17"/>
      <c r="M223" s="17"/>
      <c r="N223" s="17"/>
      <c r="O223" s="17">
        <v>1</v>
      </c>
      <c r="P223" s="17">
        <v>1</v>
      </c>
      <c r="Q223" s="17"/>
      <c r="R223" s="17">
        <v>1</v>
      </c>
      <c r="S223" s="15"/>
      <c r="T223" s="25">
        <v>45621</v>
      </c>
      <c r="U223" s="15" t="s">
        <v>148</v>
      </c>
      <c r="V223">
        <v>11</v>
      </c>
      <c r="AA223" s="49" t="s">
        <v>90</v>
      </c>
      <c r="AB223" s="50" t="s">
        <v>58</v>
      </c>
    </row>
    <row r="224" spans="1:28" x14ac:dyDescent="0.4">
      <c r="A224" s="143"/>
      <c r="B224" s="146"/>
      <c r="C224" s="85" t="s">
        <v>253</v>
      </c>
      <c r="D224" s="106" t="s">
        <v>246</v>
      </c>
      <c r="E224" s="15" t="s">
        <v>36</v>
      </c>
      <c r="F224" s="16"/>
      <c r="G224" s="15" t="s">
        <v>197</v>
      </c>
      <c r="H224" s="15"/>
      <c r="I224" s="15"/>
      <c r="J224" s="15"/>
      <c r="K224" s="15"/>
      <c r="L224" s="17"/>
      <c r="M224" s="17"/>
      <c r="N224" s="17"/>
      <c r="O224" s="17">
        <v>1</v>
      </c>
      <c r="P224" s="17">
        <v>1</v>
      </c>
      <c r="Q224" s="17"/>
      <c r="R224" s="17">
        <v>1</v>
      </c>
      <c r="S224" s="15"/>
      <c r="T224" s="25">
        <v>45621</v>
      </c>
      <c r="U224" s="15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43"/>
      <c r="B225" s="146"/>
      <c r="C225" s="85" t="s">
        <v>254</v>
      </c>
      <c r="D225" s="106" t="s">
        <v>246</v>
      </c>
      <c r="E225" s="13" t="s">
        <v>40</v>
      </c>
      <c r="F225" s="16"/>
      <c r="G225" s="15" t="s">
        <v>197</v>
      </c>
      <c r="H225" s="15"/>
      <c r="I225" s="15"/>
      <c r="J225" s="15">
        <v>1</v>
      </c>
      <c r="K225" s="15"/>
      <c r="L225" s="17"/>
      <c r="M225" s="17"/>
      <c r="N225" s="17"/>
      <c r="O225" s="17">
        <v>1</v>
      </c>
      <c r="P225" s="17">
        <v>1</v>
      </c>
      <c r="Q225" s="17"/>
      <c r="R225" s="17"/>
      <c r="S225" s="15"/>
      <c r="T225" s="25">
        <v>45621</v>
      </c>
      <c r="U225" s="15" t="s">
        <v>148</v>
      </c>
      <c r="V225">
        <v>13</v>
      </c>
      <c r="AA225" s="49" t="s">
        <v>92</v>
      </c>
      <c r="AB225" s="50" t="s">
        <v>40</v>
      </c>
    </row>
    <row r="226" spans="1:28" x14ac:dyDescent="0.4">
      <c r="A226" s="143"/>
      <c r="B226" s="146"/>
      <c r="C226" s="85" t="s">
        <v>255</v>
      </c>
      <c r="D226" s="106" t="s">
        <v>246</v>
      </c>
      <c r="E226" s="13" t="s">
        <v>41</v>
      </c>
      <c r="F226" s="16"/>
      <c r="G226" s="15" t="s">
        <v>197</v>
      </c>
      <c r="H226" s="15"/>
      <c r="I226" s="15"/>
      <c r="J226" s="15">
        <v>1</v>
      </c>
      <c r="K226" s="15">
        <v>1</v>
      </c>
      <c r="L226" s="17"/>
      <c r="M226" s="17"/>
      <c r="N226" s="17"/>
      <c r="O226" s="17"/>
      <c r="P226" s="17"/>
      <c r="Q226" s="17"/>
      <c r="R226" s="17"/>
      <c r="S226" s="15"/>
      <c r="T226" s="25">
        <v>45621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43"/>
      <c r="B227" s="146"/>
      <c r="C227" s="85" t="s">
        <v>256</v>
      </c>
      <c r="D227" s="109" t="s">
        <v>246</v>
      </c>
      <c r="E227" s="15" t="s">
        <v>38</v>
      </c>
      <c r="F227" s="16"/>
      <c r="G227" s="15" t="s">
        <v>197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6">
        <v>45621</v>
      </c>
      <c r="U227" s="15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43"/>
      <c r="B228" s="146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43"/>
      <c r="B229" s="146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43"/>
      <c r="B230" s="146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3"/>
      <c r="B231" s="146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3"/>
      <c r="B232" s="146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3"/>
      <c r="B233" s="14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3"/>
      <c r="B234" s="14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3"/>
      <c r="B235" s="14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3"/>
      <c r="B236" s="14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4"/>
      <c r="B237" s="14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10</v>
      </c>
      <c r="K238" s="29">
        <f t="shared" ref="K238" si="44">SUM(K213:K237)</f>
        <v>9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4</v>
      </c>
      <c r="P238" s="29">
        <f t="shared" ref="P238" si="49">SUM(P213:P237)</f>
        <v>4</v>
      </c>
      <c r="Q238" s="29">
        <f t="shared" ref="Q238" si="50">SUM(Q213:Q237)</f>
        <v>0</v>
      </c>
      <c r="R238" s="29">
        <f t="shared" ref="R238" si="51">SUM(R213:R237)</f>
        <v>2</v>
      </c>
      <c r="S238" s="29">
        <f t="shared" ref="S238" si="52">SUM(S213:S237)</f>
        <v>1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AYG092</v>
      </c>
      <c r="B241" s="24">
        <f>B1</f>
        <v>45596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2" t="s">
        <v>112</v>
      </c>
      <c r="Y242" s="152"/>
    </row>
    <row r="243" spans="1:28" ht="20.25" thickTop="1" thickBot="1" x14ac:dyDescent="0.45">
      <c r="A243" s="142">
        <v>9</v>
      </c>
      <c r="B243" s="145">
        <v>22.2</v>
      </c>
      <c r="C243" s="85" t="s">
        <v>257</v>
      </c>
      <c r="D243" s="109" t="s">
        <v>258</v>
      </c>
      <c r="E243" s="13" t="s">
        <v>41</v>
      </c>
      <c r="F243" s="14"/>
      <c r="G243" s="12" t="s">
        <v>197</v>
      </c>
      <c r="H243" s="13"/>
      <c r="I243" s="13"/>
      <c r="J243" s="13"/>
      <c r="K243" s="13"/>
      <c r="L243" s="13"/>
      <c r="M243" s="13"/>
      <c r="N243" s="13">
        <v>1</v>
      </c>
      <c r="O243" s="13"/>
      <c r="P243" s="13"/>
      <c r="Q243" s="13"/>
      <c r="R243" s="13"/>
      <c r="S243" s="13"/>
      <c r="T243" s="26">
        <v>45623</v>
      </c>
      <c r="U243" s="13" t="s">
        <v>147</v>
      </c>
      <c r="V243">
        <v>1</v>
      </c>
      <c r="X243" t="s">
        <v>106</v>
      </c>
      <c r="Y243">
        <f>COUNTIF(U243:U267,"K")</f>
        <v>10</v>
      </c>
      <c r="AA243" s="59" t="s">
        <v>120</v>
      </c>
      <c r="AB243" s="60" t="s">
        <v>121</v>
      </c>
    </row>
    <row r="244" spans="1:28" x14ac:dyDescent="0.4">
      <c r="A244" s="143"/>
      <c r="B244" s="146"/>
      <c r="C244" s="85" t="s">
        <v>260</v>
      </c>
      <c r="D244" s="109" t="s">
        <v>259</v>
      </c>
      <c r="E244" s="13" t="s">
        <v>36</v>
      </c>
      <c r="F244" s="16"/>
      <c r="G244" s="12" t="s">
        <v>197</v>
      </c>
      <c r="H244" s="15"/>
      <c r="I244" s="15"/>
      <c r="J244" s="15"/>
      <c r="K244" s="15">
        <v>1</v>
      </c>
      <c r="L244" s="17"/>
      <c r="M244" s="17"/>
      <c r="N244" s="17"/>
      <c r="O244" s="17"/>
      <c r="P244" s="17"/>
      <c r="Q244" s="17"/>
      <c r="R244" s="17"/>
      <c r="S244" s="15"/>
      <c r="T244" s="26">
        <v>45620</v>
      </c>
      <c r="U244" s="13" t="s">
        <v>147</v>
      </c>
      <c r="V244">
        <v>2</v>
      </c>
      <c r="X244" t="s">
        <v>107</v>
      </c>
      <c r="Y244">
        <f>COUNTIF(U243:U267,"R")</f>
        <v>3</v>
      </c>
      <c r="AA244" s="47" t="s">
        <v>81</v>
      </c>
      <c r="AB244" s="48" t="s">
        <v>60</v>
      </c>
    </row>
    <row r="245" spans="1:28" x14ac:dyDescent="0.4">
      <c r="A245" s="143"/>
      <c r="B245" s="146"/>
      <c r="C245" s="85" t="s">
        <v>261</v>
      </c>
      <c r="D245" s="109" t="s">
        <v>206</v>
      </c>
      <c r="E245" s="13" t="s">
        <v>74</v>
      </c>
      <c r="F245" s="16"/>
      <c r="G245" s="12" t="s">
        <v>197</v>
      </c>
      <c r="H245" s="15"/>
      <c r="I245" s="15"/>
      <c r="J245" s="15">
        <v>1</v>
      </c>
      <c r="K245" s="15">
        <v>1</v>
      </c>
      <c r="L245" s="17"/>
      <c r="M245" s="17"/>
      <c r="N245" s="17"/>
      <c r="O245" s="17"/>
      <c r="P245" s="17"/>
      <c r="Q245" s="17"/>
      <c r="R245" s="17"/>
      <c r="S245" s="15"/>
      <c r="T245" s="26">
        <v>45624</v>
      </c>
      <c r="U245" s="13" t="s">
        <v>146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43"/>
      <c r="B246" s="146"/>
      <c r="C246" s="85" t="s">
        <v>262</v>
      </c>
      <c r="D246" s="109" t="s">
        <v>196</v>
      </c>
      <c r="E246" s="13" t="s">
        <v>36</v>
      </c>
      <c r="F246" s="16"/>
      <c r="G246" s="12" t="s">
        <v>197</v>
      </c>
      <c r="H246" s="15"/>
      <c r="I246" s="15"/>
      <c r="J246" s="15">
        <v>1</v>
      </c>
      <c r="K246" s="15">
        <v>1</v>
      </c>
      <c r="L246" s="17"/>
      <c r="M246" s="17"/>
      <c r="N246" s="17"/>
      <c r="O246" s="17"/>
      <c r="P246" s="17"/>
      <c r="Q246" s="17"/>
      <c r="R246" s="17"/>
      <c r="S246" s="15"/>
      <c r="T246" s="26">
        <v>45623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3"/>
      <c r="B247" s="146"/>
      <c r="C247" s="85" t="s">
        <v>263</v>
      </c>
      <c r="D247" s="109" t="s">
        <v>264</v>
      </c>
      <c r="E247" s="13" t="s">
        <v>74</v>
      </c>
      <c r="F247" s="16"/>
      <c r="G247" s="12" t="s">
        <v>197</v>
      </c>
      <c r="H247" s="15"/>
      <c r="I247" s="15"/>
      <c r="J247" s="15">
        <v>1</v>
      </c>
      <c r="K247" s="15">
        <v>1</v>
      </c>
      <c r="L247" s="17"/>
      <c r="M247" s="17"/>
      <c r="N247" s="17"/>
      <c r="O247" s="17"/>
      <c r="P247" s="17"/>
      <c r="Q247" s="17"/>
      <c r="R247" s="17"/>
      <c r="S247" s="15"/>
      <c r="T247" s="26">
        <v>45630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3"/>
      <c r="B248" s="146"/>
      <c r="C248" s="85" t="s">
        <v>265</v>
      </c>
      <c r="D248" s="109" t="s">
        <v>264</v>
      </c>
      <c r="E248" s="13" t="s">
        <v>36</v>
      </c>
      <c r="F248" s="16"/>
      <c r="G248" s="12" t="s">
        <v>197</v>
      </c>
      <c r="H248" s="13"/>
      <c r="I248" s="15"/>
      <c r="J248" s="15">
        <v>1</v>
      </c>
      <c r="K248" s="15">
        <v>1</v>
      </c>
      <c r="L248" s="17"/>
      <c r="M248" s="17"/>
      <c r="N248" s="17">
        <v>1</v>
      </c>
      <c r="O248" s="17"/>
      <c r="P248" s="17"/>
      <c r="Q248" s="17"/>
      <c r="R248" s="17"/>
      <c r="S248" s="15"/>
      <c r="T248" s="26">
        <v>45640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43"/>
      <c r="B249" s="146"/>
      <c r="C249" s="85" t="s">
        <v>266</v>
      </c>
      <c r="D249" s="109" t="s">
        <v>264</v>
      </c>
      <c r="E249" s="13" t="s">
        <v>40</v>
      </c>
      <c r="F249" s="16"/>
      <c r="G249" s="12" t="s">
        <v>197</v>
      </c>
      <c r="H249" s="15"/>
      <c r="I249" s="15"/>
      <c r="J249" s="15"/>
      <c r="K249" s="15"/>
      <c r="L249" s="17"/>
      <c r="M249" s="17"/>
      <c r="N249" s="17"/>
      <c r="O249" s="17">
        <v>1</v>
      </c>
      <c r="P249" s="17">
        <v>1</v>
      </c>
      <c r="Q249" s="17">
        <v>1</v>
      </c>
      <c r="R249" s="17">
        <v>1</v>
      </c>
      <c r="S249" s="15"/>
      <c r="T249" s="26">
        <v>45630</v>
      </c>
      <c r="U249" s="13" t="s">
        <v>148</v>
      </c>
      <c r="V249">
        <v>7</v>
      </c>
      <c r="AA249" s="49" t="s">
        <v>86</v>
      </c>
      <c r="AB249" s="50" t="s">
        <v>45</v>
      </c>
    </row>
    <row r="250" spans="1:28" x14ac:dyDescent="0.4">
      <c r="A250" s="143"/>
      <c r="B250" s="146"/>
      <c r="C250" s="85" t="s">
        <v>267</v>
      </c>
      <c r="D250" s="109" t="s">
        <v>221</v>
      </c>
      <c r="E250" s="13" t="s">
        <v>39</v>
      </c>
      <c r="F250" s="16"/>
      <c r="G250" s="12" t="s">
        <v>197</v>
      </c>
      <c r="H250" s="15"/>
      <c r="I250" s="15"/>
      <c r="J250" s="15">
        <v>1</v>
      </c>
      <c r="K250" s="15"/>
      <c r="L250" s="17">
        <v>1</v>
      </c>
      <c r="M250" s="17"/>
      <c r="N250" s="17"/>
      <c r="O250" s="17"/>
      <c r="P250" s="17"/>
      <c r="Q250" s="17"/>
      <c r="R250" s="17"/>
      <c r="S250" s="15"/>
      <c r="T250" s="26">
        <v>45629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3"/>
      <c r="B251" s="146"/>
      <c r="C251" s="85" t="s">
        <v>268</v>
      </c>
      <c r="D251" s="109" t="s">
        <v>221</v>
      </c>
      <c r="E251" s="13" t="s">
        <v>42</v>
      </c>
      <c r="F251" s="16"/>
      <c r="G251" s="12" t="s">
        <v>197</v>
      </c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>
        <v>1</v>
      </c>
      <c r="T251" s="26">
        <v>45629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43"/>
      <c r="B252" s="146"/>
      <c r="C252" s="85" t="s">
        <v>269</v>
      </c>
      <c r="D252" s="109" t="s">
        <v>221</v>
      </c>
      <c r="E252" s="13" t="s">
        <v>41</v>
      </c>
      <c r="F252" s="16"/>
      <c r="G252" s="12" t="s">
        <v>197</v>
      </c>
      <c r="H252" s="15"/>
      <c r="I252" s="15"/>
      <c r="J252" s="15">
        <v>1</v>
      </c>
      <c r="K252" s="15"/>
      <c r="L252" s="17"/>
      <c r="M252" s="17"/>
      <c r="N252" s="17"/>
      <c r="O252" s="17"/>
      <c r="P252" s="17"/>
      <c r="Q252" s="17"/>
      <c r="R252" s="17"/>
      <c r="S252" s="15"/>
      <c r="T252" s="26">
        <v>45629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43"/>
      <c r="B253" s="146"/>
      <c r="C253" s="85" t="s">
        <v>270</v>
      </c>
      <c r="D253" s="109" t="s">
        <v>271</v>
      </c>
      <c r="E253" s="13" t="s">
        <v>60</v>
      </c>
      <c r="F253" s="16"/>
      <c r="G253" s="12" t="s">
        <v>197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6">
        <v>45633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3"/>
      <c r="B254" s="146"/>
      <c r="C254" s="85" t="s">
        <v>272</v>
      </c>
      <c r="D254" s="109" t="s">
        <v>259</v>
      </c>
      <c r="E254" s="13" t="s">
        <v>38</v>
      </c>
      <c r="F254" s="16"/>
      <c r="G254" s="12" t="s">
        <v>197</v>
      </c>
      <c r="H254" s="15"/>
      <c r="I254" s="15"/>
      <c r="J254" s="15">
        <v>1</v>
      </c>
      <c r="K254" s="15">
        <v>1</v>
      </c>
      <c r="L254" s="17"/>
      <c r="M254" s="17"/>
      <c r="N254" s="17"/>
      <c r="O254" s="17"/>
      <c r="P254" s="17"/>
      <c r="Q254" s="17"/>
      <c r="R254" s="17"/>
      <c r="S254" s="15"/>
      <c r="T254" s="26">
        <v>45627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43"/>
      <c r="B255" s="146"/>
      <c r="C255" s="85" t="s">
        <v>273</v>
      </c>
      <c r="D255" s="109" t="s">
        <v>274</v>
      </c>
      <c r="E255" s="13" t="s">
        <v>39</v>
      </c>
      <c r="F255" s="16"/>
      <c r="G255" s="12" t="s">
        <v>197</v>
      </c>
      <c r="H255" s="15"/>
      <c r="I255" s="15"/>
      <c r="J255" s="15">
        <v>1</v>
      </c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6">
        <v>45633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43"/>
      <c r="B256" s="146"/>
      <c r="C256" s="85" t="s">
        <v>276</v>
      </c>
      <c r="D256" s="109" t="s">
        <v>274</v>
      </c>
      <c r="E256" s="13" t="s">
        <v>133</v>
      </c>
      <c r="F256" s="16"/>
      <c r="G256" s="15" t="s">
        <v>275</v>
      </c>
      <c r="H256" s="15"/>
      <c r="I256" s="15"/>
      <c r="J256" s="15"/>
      <c r="K256" s="15"/>
      <c r="L256" s="17"/>
      <c r="M256" s="17"/>
      <c r="N256" s="17"/>
      <c r="O256" s="17">
        <v>1</v>
      </c>
      <c r="P256" s="17">
        <v>1</v>
      </c>
      <c r="Q256" s="17"/>
      <c r="R256" s="17">
        <v>1</v>
      </c>
      <c r="S256" s="15"/>
      <c r="T256" s="26">
        <v>45633</v>
      </c>
      <c r="U256" s="13" t="s">
        <v>148</v>
      </c>
      <c r="V256">
        <v>14</v>
      </c>
      <c r="AA256" s="49" t="s">
        <v>93</v>
      </c>
      <c r="AB256" s="50" t="s">
        <v>57</v>
      </c>
    </row>
    <row r="257" spans="1:28" x14ac:dyDescent="0.4">
      <c r="A257" s="143"/>
      <c r="B257" s="146"/>
      <c r="C257" s="85" t="s">
        <v>277</v>
      </c>
      <c r="D257" s="109" t="s">
        <v>258</v>
      </c>
      <c r="E257" s="13" t="s">
        <v>44</v>
      </c>
      <c r="F257" s="16"/>
      <c r="G257" s="15" t="s">
        <v>197</v>
      </c>
      <c r="H257" s="15"/>
      <c r="I257" s="15"/>
      <c r="J257" s="15">
        <v>1</v>
      </c>
      <c r="K257" s="15">
        <v>1</v>
      </c>
      <c r="L257" s="17"/>
      <c r="M257" s="17"/>
      <c r="N257" s="17"/>
      <c r="O257" s="17"/>
      <c r="P257" s="17"/>
      <c r="Q257" s="17"/>
      <c r="R257" s="17"/>
      <c r="S257" s="15"/>
      <c r="T257" s="26">
        <v>45623</v>
      </c>
      <c r="U257" s="13" t="s">
        <v>146</v>
      </c>
      <c r="V257">
        <v>15</v>
      </c>
      <c r="AA257" s="49" t="s">
        <v>94</v>
      </c>
      <c r="AB257" s="50" t="s">
        <v>41</v>
      </c>
    </row>
    <row r="258" spans="1:28" x14ac:dyDescent="0.4">
      <c r="A258" s="143"/>
      <c r="B258" s="146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3"/>
      <c r="B259" s="146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3"/>
      <c r="B260" s="146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3"/>
      <c r="B261" s="14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3"/>
      <c r="B262" s="14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3"/>
      <c r="B263" s="14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3"/>
      <c r="B264" s="14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3"/>
      <c r="B265" s="14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3"/>
      <c r="B266" s="14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4"/>
      <c r="B267" s="14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15</v>
      </c>
      <c r="D268" s="112"/>
      <c r="E268" s="29"/>
      <c r="F268" s="29" t="s">
        <v>34</v>
      </c>
      <c r="G268" s="29">
        <f>COUNTIF(G243:G267,"S")</f>
        <v>14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10</v>
      </c>
      <c r="K268" s="29">
        <f t="shared" ref="K268" si="54">SUM(K243:K267)</f>
        <v>9</v>
      </c>
      <c r="L268" s="29">
        <f t="shared" ref="L268" si="55">SUM(L243:L267)</f>
        <v>1</v>
      </c>
      <c r="M268" s="29">
        <f t="shared" ref="M268" si="56">SUM(M243:M267)</f>
        <v>0</v>
      </c>
      <c r="N268" s="29">
        <f t="shared" ref="N268" si="57">SUM(N243:N267)</f>
        <v>2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1</v>
      </c>
      <c r="R268" s="29">
        <f t="shared" ref="R268" si="61">SUM(R243:R267)</f>
        <v>2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1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AYG092</v>
      </c>
      <c r="B271" s="24">
        <f>B1</f>
        <v>45596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5" t="s">
        <v>111</v>
      </c>
      <c r="Y272" s="141"/>
    </row>
    <row r="273" spans="1:28" ht="20.25" thickTop="1" thickBot="1" x14ac:dyDescent="0.45">
      <c r="A273" s="142">
        <v>10</v>
      </c>
      <c r="B273" s="145">
        <v>21</v>
      </c>
      <c r="C273" s="85" t="s">
        <v>315</v>
      </c>
      <c r="D273" s="109" t="s">
        <v>221</v>
      </c>
      <c r="E273" s="13" t="s">
        <v>59</v>
      </c>
      <c r="F273" s="14"/>
      <c r="G273" s="12" t="s">
        <v>197</v>
      </c>
      <c r="H273" s="13" t="s">
        <v>237</v>
      </c>
      <c r="I273" s="13"/>
      <c r="J273" s="13">
        <v>2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45630</v>
      </c>
      <c r="U273" s="13" t="s">
        <v>146</v>
      </c>
      <c r="V273">
        <v>1</v>
      </c>
      <c r="X273" s="51" t="s">
        <v>106</v>
      </c>
      <c r="Y273" s="52">
        <f>COUNTIF(U273:U297,"K")</f>
        <v>5</v>
      </c>
      <c r="AA273" s="59" t="s">
        <v>120</v>
      </c>
      <c r="AB273" s="60" t="s">
        <v>121</v>
      </c>
    </row>
    <row r="274" spans="1:28" x14ac:dyDescent="0.4">
      <c r="A274" s="143"/>
      <c r="B274" s="146"/>
      <c r="C274" s="85" t="s">
        <v>316</v>
      </c>
      <c r="D274" s="109" t="s">
        <v>221</v>
      </c>
      <c r="E274" s="13" t="s">
        <v>59</v>
      </c>
      <c r="F274" s="16"/>
      <c r="G274" s="12" t="s">
        <v>197</v>
      </c>
      <c r="H274" s="15" t="s">
        <v>237</v>
      </c>
      <c r="I274" s="15"/>
      <c r="J274" s="15">
        <v>2</v>
      </c>
      <c r="K274" s="15"/>
      <c r="L274" s="17"/>
      <c r="M274" s="17"/>
      <c r="N274" s="17"/>
      <c r="O274" s="17"/>
      <c r="P274" s="17"/>
      <c r="Q274" s="17"/>
      <c r="R274" s="17"/>
      <c r="S274" s="15"/>
      <c r="T274" s="26">
        <v>45630</v>
      </c>
      <c r="U274" s="13" t="s">
        <v>146</v>
      </c>
      <c r="V274">
        <v>2</v>
      </c>
      <c r="X274" s="51" t="s">
        <v>107</v>
      </c>
      <c r="Y274" s="52">
        <f>COUNTIF(U273:U297,"R")</f>
        <v>3</v>
      </c>
      <c r="AA274" s="47" t="s">
        <v>81</v>
      </c>
      <c r="AB274" s="48" t="s">
        <v>60</v>
      </c>
    </row>
    <row r="275" spans="1:28" ht="19.5" thickBot="1" x14ac:dyDescent="0.45">
      <c r="A275" s="143"/>
      <c r="B275" s="146"/>
      <c r="C275" s="85" t="s">
        <v>317</v>
      </c>
      <c r="D275" s="109" t="s">
        <v>274</v>
      </c>
      <c r="E275" s="13" t="s">
        <v>38</v>
      </c>
      <c r="F275" s="16"/>
      <c r="G275" s="12" t="s">
        <v>197</v>
      </c>
      <c r="H275" s="15"/>
      <c r="I275" s="15"/>
      <c r="J275" s="15">
        <v>1</v>
      </c>
      <c r="K275" s="15">
        <v>1</v>
      </c>
      <c r="L275" s="17"/>
      <c r="M275" s="17"/>
      <c r="N275" s="17"/>
      <c r="O275" s="17"/>
      <c r="P275" s="17"/>
      <c r="Q275" s="17"/>
      <c r="R275" s="17"/>
      <c r="S275" s="15"/>
      <c r="T275" s="26">
        <v>45620</v>
      </c>
      <c r="U275" s="13" t="s">
        <v>146</v>
      </c>
      <c r="V275">
        <v>3</v>
      </c>
      <c r="X275" s="53" t="s">
        <v>108</v>
      </c>
      <c r="Y275" s="54">
        <f>COUNTIF(U273:U297,"J")</f>
        <v>2</v>
      </c>
      <c r="AA275" s="49" t="s">
        <v>82</v>
      </c>
      <c r="AB275" s="50" t="s">
        <v>39</v>
      </c>
    </row>
    <row r="276" spans="1:28" x14ac:dyDescent="0.4">
      <c r="A276" s="143"/>
      <c r="B276" s="146"/>
      <c r="C276" s="85" t="s">
        <v>318</v>
      </c>
      <c r="D276" s="109" t="s">
        <v>274</v>
      </c>
      <c r="E276" s="13" t="s">
        <v>40</v>
      </c>
      <c r="F276" s="16"/>
      <c r="G276" s="12" t="s">
        <v>197</v>
      </c>
      <c r="H276" s="15"/>
      <c r="I276" s="15"/>
      <c r="J276" s="15"/>
      <c r="K276" s="15"/>
      <c r="L276" s="17"/>
      <c r="M276" s="17"/>
      <c r="N276" s="17"/>
      <c r="O276" s="17">
        <v>1</v>
      </c>
      <c r="P276" s="17">
        <v>1</v>
      </c>
      <c r="Q276" s="17">
        <v>1</v>
      </c>
      <c r="R276" s="17">
        <v>1</v>
      </c>
      <c r="S276" s="15"/>
      <c r="T276" s="26">
        <v>45620</v>
      </c>
      <c r="U276" s="13" t="s">
        <v>148</v>
      </c>
      <c r="V276">
        <v>4</v>
      </c>
      <c r="AA276" s="49" t="s">
        <v>83</v>
      </c>
      <c r="AB276" s="50" t="s">
        <v>38</v>
      </c>
    </row>
    <row r="277" spans="1:28" x14ac:dyDescent="0.4">
      <c r="A277" s="143"/>
      <c r="B277" s="146"/>
      <c r="C277" s="85" t="s">
        <v>319</v>
      </c>
      <c r="D277" s="109" t="s">
        <v>320</v>
      </c>
      <c r="E277" s="13" t="s">
        <v>58</v>
      </c>
      <c r="F277" s="16"/>
      <c r="G277" s="12" t="s">
        <v>197</v>
      </c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>
        <v>45629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43"/>
      <c r="B278" s="146"/>
      <c r="C278" s="85" t="s">
        <v>321</v>
      </c>
      <c r="D278" s="109" t="s">
        <v>320</v>
      </c>
      <c r="E278" s="13" t="s">
        <v>37</v>
      </c>
      <c r="F278" s="16"/>
      <c r="G278" s="12" t="s">
        <v>197</v>
      </c>
      <c r="H278" s="13"/>
      <c r="I278" s="15"/>
      <c r="J278" s="15">
        <v>1</v>
      </c>
      <c r="K278" s="15">
        <v>1</v>
      </c>
      <c r="L278" s="17"/>
      <c r="M278" s="17"/>
      <c r="N278" s="17"/>
      <c r="O278" s="17"/>
      <c r="P278" s="17"/>
      <c r="Q278" s="17"/>
      <c r="R278" s="17"/>
      <c r="S278" s="15"/>
      <c r="T278" s="26">
        <v>45629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3"/>
      <c r="B279" s="146"/>
      <c r="C279" s="85" t="s">
        <v>322</v>
      </c>
      <c r="D279" s="109" t="s">
        <v>320</v>
      </c>
      <c r="E279" s="13" t="s">
        <v>58</v>
      </c>
      <c r="F279" s="16"/>
      <c r="G279" s="12" t="s">
        <v>197</v>
      </c>
      <c r="H279" s="15" t="s">
        <v>147</v>
      </c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>
        <v>45626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43"/>
      <c r="B280" s="146"/>
      <c r="C280" s="85" t="s">
        <v>323</v>
      </c>
      <c r="D280" s="109" t="s">
        <v>198</v>
      </c>
      <c r="E280" s="13" t="s">
        <v>36</v>
      </c>
      <c r="F280" s="16"/>
      <c r="G280" s="12" t="s">
        <v>197</v>
      </c>
      <c r="H280" s="15"/>
      <c r="I280" s="15"/>
      <c r="J280" s="15"/>
      <c r="K280" s="15"/>
      <c r="L280" s="17"/>
      <c r="M280" s="17">
        <v>1</v>
      </c>
      <c r="N280" s="17">
        <v>1</v>
      </c>
      <c r="O280" s="17"/>
      <c r="P280" s="17"/>
      <c r="Q280" s="17"/>
      <c r="R280" s="17"/>
      <c r="S280" s="15"/>
      <c r="T280" s="26">
        <v>45624</v>
      </c>
      <c r="U280" s="13" t="s">
        <v>147</v>
      </c>
      <c r="V280">
        <v>8</v>
      </c>
      <c r="AA280" s="49" t="s">
        <v>87</v>
      </c>
      <c r="AB280" s="50" t="s">
        <v>37</v>
      </c>
    </row>
    <row r="281" spans="1:28" x14ac:dyDescent="0.4">
      <c r="A281" s="143"/>
      <c r="B281" s="146"/>
      <c r="C281" s="85" t="s">
        <v>324</v>
      </c>
      <c r="D281" s="109" t="s">
        <v>325</v>
      </c>
      <c r="E281" s="13" t="s">
        <v>40</v>
      </c>
      <c r="F281" s="16"/>
      <c r="G281" s="12" t="s">
        <v>275</v>
      </c>
      <c r="H281" s="15"/>
      <c r="I281" s="15"/>
      <c r="J281" s="15"/>
      <c r="K281" s="15"/>
      <c r="L281" s="17"/>
      <c r="M281" s="17"/>
      <c r="N281" s="17"/>
      <c r="O281" s="17">
        <v>1</v>
      </c>
      <c r="P281" s="17"/>
      <c r="Q281" s="17"/>
      <c r="R281" s="17"/>
      <c r="S281" s="15"/>
      <c r="T281" s="26">
        <v>45624</v>
      </c>
      <c r="U281" s="13" t="s">
        <v>148</v>
      </c>
      <c r="V281">
        <v>9</v>
      </c>
      <c r="AA281" s="49" t="s">
        <v>88</v>
      </c>
      <c r="AB281" s="50" t="s">
        <v>74</v>
      </c>
    </row>
    <row r="282" spans="1:28" x14ac:dyDescent="0.4">
      <c r="A282" s="143"/>
      <c r="B282" s="146"/>
      <c r="C282" s="85" t="s">
        <v>326</v>
      </c>
      <c r="D282" s="109" t="s">
        <v>325</v>
      </c>
      <c r="E282" s="13" t="s">
        <v>44</v>
      </c>
      <c r="F282" s="16"/>
      <c r="G282" s="12" t="s">
        <v>197</v>
      </c>
      <c r="H282" s="15"/>
      <c r="I282" s="15"/>
      <c r="J282" s="15">
        <v>1</v>
      </c>
      <c r="K282" s="15">
        <v>1</v>
      </c>
      <c r="L282" s="17"/>
      <c r="M282" s="17"/>
      <c r="N282" s="17"/>
      <c r="O282" s="17"/>
      <c r="P282" s="17"/>
      <c r="Q282" s="17"/>
      <c r="R282" s="17"/>
      <c r="S282" s="15"/>
      <c r="T282" s="26">
        <v>45627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43"/>
      <c r="B283" s="146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3"/>
      <c r="B284" s="146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3"/>
      <c r="B285" s="146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3"/>
      <c r="B286" s="146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3"/>
      <c r="B287" s="146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3"/>
      <c r="B288" s="146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3"/>
      <c r="B289" s="146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3"/>
      <c r="B290" s="14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3"/>
      <c r="B291" s="14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3"/>
      <c r="B292" s="14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3"/>
      <c r="B293" s="14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3"/>
      <c r="B294" s="14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3"/>
      <c r="B295" s="14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3"/>
      <c r="B296" s="14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4"/>
      <c r="B297" s="14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10</v>
      </c>
      <c r="D298" s="112"/>
      <c r="E298" s="29"/>
      <c r="F298" s="29" t="s">
        <v>34</v>
      </c>
      <c r="G298" s="29">
        <f>COUNTIF(G273:G297,"S")</f>
        <v>9</v>
      </c>
      <c r="H298" s="29">
        <f>COUNTIF(H273:H297,"E")</f>
        <v>2</v>
      </c>
      <c r="I298" s="29">
        <f>SUM(I273:I297)</f>
        <v>0</v>
      </c>
      <c r="J298" s="29">
        <f t="shared" ref="J298" si="63">SUM(J273:J297)</f>
        <v>7</v>
      </c>
      <c r="K298" s="29">
        <f t="shared" ref="K298" si="64">SUM(K273:K297)</f>
        <v>3</v>
      </c>
      <c r="L298" s="29">
        <f t="shared" ref="L298" si="65">SUM(L273:L297)</f>
        <v>0</v>
      </c>
      <c r="M298" s="29">
        <f t="shared" ref="M298" si="66">SUM(M273:M297)</f>
        <v>1</v>
      </c>
      <c r="N298" s="29">
        <f t="shared" ref="N298" si="67">SUM(N273:N297)</f>
        <v>1</v>
      </c>
      <c r="O298" s="29">
        <f t="shared" ref="O298" si="68">SUM(O273:O297)</f>
        <v>2</v>
      </c>
      <c r="P298" s="29">
        <f t="shared" ref="P298" si="69">SUM(P273:P297)</f>
        <v>1</v>
      </c>
      <c r="Q298" s="29">
        <f t="shared" ref="Q298" si="70">SUM(Q273:Q297)</f>
        <v>1</v>
      </c>
      <c r="R298" s="29">
        <f t="shared" ref="R298" si="71">SUM(R273:R297)</f>
        <v>1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1</v>
      </c>
      <c r="H299" s="29">
        <f>COUNTIF(H273:H297,"R")</f>
        <v>1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17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AYG092</v>
      </c>
      <c r="B301" s="24">
        <f>B1</f>
        <v>45596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5" t="s">
        <v>110</v>
      </c>
      <c r="Y302" s="141"/>
    </row>
    <row r="303" spans="1:28" ht="20.25" thickTop="1" thickBot="1" x14ac:dyDescent="0.45">
      <c r="A303" s="142">
        <v>11</v>
      </c>
      <c r="B303" s="145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3"/>
      <c r="B304" s="146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3"/>
      <c r="B305" s="146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3"/>
      <c r="B306" s="146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3"/>
      <c r="B307" s="146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3"/>
      <c r="B308" s="146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3"/>
      <c r="B309" s="146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3"/>
      <c r="B310" s="146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3"/>
      <c r="B311" s="146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3"/>
      <c r="B312" s="146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3"/>
      <c r="B313" s="146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3"/>
      <c r="B314" s="146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3"/>
      <c r="B315" s="146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3"/>
      <c r="B316" s="146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3"/>
      <c r="B317" s="146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3"/>
      <c r="B318" s="146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3"/>
      <c r="B319" s="146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3"/>
      <c r="B320" s="146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3"/>
      <c r="B321" s="14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3"/>
      <c r="B322" s="14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3"/>
      <c r="B323" s="14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3"/>
      <c r="B324" s="14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3"/>
      <c r="B325" s="14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3"/>
      <c r="B326" s="14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4"/>
      <c r="B327" s="14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AYG092</v>
      </c>
      <c r="B331" s="24">
        <f>B151</f>
        <v>45596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5" t="s">
        <v>109</v>
      </c>
      <c r="Y332" s="141"/>
    </row>
    <row r="333" spans="1:28" ht="20.25" thickTop="1" thickBot="1" x14ac:dyDescent="0.45">
      <c r="A333" s="142">
        <v>12</v>
      </c>
      <c r="B333" s="145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3"/>
      <c r="B334" s="146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3"/>
      <c r="B335" s="146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3"/>
      <c r="B336" s="146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3"/>
      <c r="B337" s="146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3"/>
      <c r="B338" s="146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3"/>
      <c r="B339" s="146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3"/>
      <c r="B340" s="146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3"/>
      <c r="B341" s="146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3"/>
      <c r="B342" s="146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3"/>
      <c r="B343" s="146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3"/>
      <c r="B344" s="146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3"/>
      <c r="B345" s="146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3"/>
      <c r="B346" s="14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3"/>
      <c r="B347" s="14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3"/>
      <c r="B348" s="14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3"/>
      <c r="B349" s="14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3"/>
      <c r="B350" s="14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3"/>
      <c r="B351" s="14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3"/>
      <c r="B352" s="14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3"/>
      <c r="B353" s="14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3"/>
      <c r="B354" s="14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3"/>
      <c r="B355" s="14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3"/>
      <c r="B356" s="14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4"/>
      <c r="B357" s="14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5" t="s">
        <v>138</v>
      </c>
      <c r="Y362" s="141"/>
    </row>
    <row r="363" spans="1:28" ht="19.5" thickTop="1" x14ac:dyDescent="0.4">
      <c r="A363" s="142">
        <v>13</v>
      </c>
      <c r="B363" s="14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3"/>
      <c r="B364" s="14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3"/>
      <c r="B365" s="14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3"/>
      <c r="B366" s="14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3"/>
      <c r="B367" s="14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3"/>
      <c r="B368" s="14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3"/>
      <c r="B369" s="14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3"/>
      <c r="B370" s="14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3"/>
      <c r="B371" s="14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3"/>
      <c r="B372" s="14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3"/>
      <c r="B373" s="14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3"/>
      <c r="B374" s="14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3"/>
      <c r="B375" s="14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3"/>
      <c r="B376" s="14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3"/>
      <c r="B377" s="14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3"/>
      <c r="B378" s="14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3"/>
      <c r="B379" s="14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3"/>
      <c r="B380" s="14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3"/>
      <c r="B381" s="14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3"/>
      <c r="B382" s="14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3"/>
      <c r="B383" s="14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3"/>
      <c r="B384" s="14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3"/>
      <c r="B385" s="14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3"/>
      <c r="B386" s="14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4"/>
      <c r="B387" s="14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5" t="s">
        <v>139</v>
      </c>
      <c r="Y392" s="141"/>
    </row>
    <row r="393" spans="1:25" ht="19.5" thickTop="1" x14ac:dyDescent="0.4">
      <c r="A393" s="142">
        <v>14</v>
      </c>
      <c r="B393" s="14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3"/>
      <c r="B394" s="14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3"/>
      <c r="B395" s="14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3"/>
      <c r="B396" s="14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3"/>
      <c r="B397" s="14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3"/>
      <c r="B398" s="14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3"/>
      <c r="B399" s="14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3"/>
      <c r="B400" s="14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3"/>
      <c r="B401" s="14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3"/>
      <c r="B402" s="14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3"/>
      <c r="B403" s="14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3"/>
      <c r="B404" s="14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3"/>
      <c r="B405" s="14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3"/>
      <c r="B406" s="14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3"/>
      <c r="B407" s="14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3"/>
      <c r="B408" s="14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3"/>
      <c r="B409" s="14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3"/>
      <c r="B410" s="14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3"/>
      <c r="B411" s="14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3"/>
      <c r="B412" s="14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3"/>
      <c r="B413" s="14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3"/>
      <c r="B414" s="14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3"/>
      <c r="B415" s="14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3"/>
      <c r="B416" s="14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4"/>
      <c r="B417" s="14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5" t="s">
        <v>140</v>
      </c>
      <c r="Y422" s="141"/>
    </row>
    <row r="423" spans="1:25" ht="19.5" thickTop="1" x14ac:dyDescent="0.4">
      <c r="A423" s="142">
        <v>15</v>
      </c>
      <c r="B423" s="14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3"/>
      <c r="B424" s="14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3"/>
      <c r="B425" s="14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3"/>
      <c r="B426" s="14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3"/>
      <c r="B427" s="14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3"/>
      <c r="B428" s="14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3"/>
      <c r="B429" s="14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3"/>
      <c r="B430" s="14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3"/>
      <c r="B431" s="14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3"/>
      <c r="B432" s="14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3"/>
      <c r="B433" s="14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3"/>
      <c r="B434" s="14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3"/>
      <c r="B435" s="14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3"/>
      <c r="B436" s="14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3"/>
      <c r="B437" s="14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3"/>
      <c r="B438" s="14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3"/>
      <c r="B439" s="14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3"/>
      <c r="B440" s="14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3"/>
      <c r="B441" s="14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3"/>
      <c r="B442" s="14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3"/>
      <c r="B443" s="14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3"/>
      <c r="B444" s="14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3"/>
      <c r="B445" s="14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3"/>
      <c r="B446" s="14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4"/>
      <c r="B447" s="14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5" t="s">
        <v>105</v>
      </c>
      <c r="Y451" s="141"/>
    </row>
    <row r="452" spans="1:25" ht="19.5" thickTop="1" x14ac:dyDescent="0.4">
      <c r="A452" s="142">
        <v>16</v>
      </c>
      <c r="B452" s="13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3"/>
      <c r="B453" s="13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3"/>
      <c r="B454" s="13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3"/>
      <c r="B455" s="13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3"/>
      <c r="B456" s="13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3"/>
      <c r="B457" s="13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3"/>
      <c r="B458" s="13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3"/>
      <c r="B459" s="13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3"/>
      <c r="B460" s="13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3"/>
      <c r="B461" s="13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3"/>
      <c r="B462" s="13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3"/>
      <c r="B463" s="13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3"/>
      <c r="B464" s="13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3"/>
      <c r="B465" s="13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3"/>
      <c r="B466" s="13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3"/>
      <c r="B467" s="13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3"/>
      <c r="B468" s="13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3"/>
      <c r="B469" s="13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3"/>
      <c r="B470" s="13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3"/>
      <c r="B471" s="13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3"/>
      <c r="B472" s="13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3"/>
      <c r="B473" s="13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3"/>
      <c r="B474" s="13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3"/>
      <c r="B475" s="13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4"/>
      <c r="B476" s="13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6" t="s">
        <v>47</v>
      </c>
      <c r="C26" s="15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7"/>
      <c r="C27" s="157"/>
      <c r="D27" s="158">
        <f>SUM(D26:F26)</f>
        <v>116</v>
      </c>
      <c r="E27" s="158"/>
      <c r="F27" s="15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R1016"/>
  <sheetViews>
    <sheetView zoomScaleNormal="100" workbookViewId="0">
      <selection sqref="A1:D25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17" width="16.625" customWidth="1"/>
    <col min="18" max="18" width="11" customWidth="1"/>
    <col min="19" max="19" width="10.5" style="121" customWidth="1"/>
    <col min="20" max="20" width="10.25" style="121" customWidth="1"/>
    <col min="21" max="21" width="10.875" style="121" customWidth="1"/>
    <col min="22" max="35" width="16.625" customWidth="1"/>
    <col min="36" max="36" width="20.5" customWidth="1"/>
    <col min="41" max="41" width="12.375" customWidth="1"/>
    <col min="42" max="42" width="11.25" customWidth="1"/>
    <col min="43" max="43" width="10.5" customWidth="1"/>
    <col min="44" max="44" width="10.25" customWidth="1"/>
  </cols>
  <sheetData>
    <row r="1" spans="1:40" x14ac:dyDescent="0.4">
      <c r="A1" s="120" t="s">
        <v>184</v>
      </c>
      <c r="B1" s="121"/>
      <c r="C1" s="121"/>
      <c r="D1" s="121"/>
      <c r="L1" t="s">
        <v>143</v>
      </c>
      <c r="M1" t="s">
        <v>144</v>
      </c>
      <c r="R1" s="120"/>
      <c r="AJ1" t="s">
        <v>143</v>
      </c>
      <c r="AK1" t="s">
        <v>144</v>
      </c>
    </row>
    <row r="2" spans="1:40" ht="19.5" x14ac:dyDescent="0.4">
      <c r="A2" s="116"/>
      <c r="B2" s="123" t="s">
        <v>146</v>
      </c>
      <c r="C2" s="123" t="s">
        <v>147</v>
      </c>
      <c r="D2" s="123" t="s">
        <v>148</v>
      </c>
      <c r="L2" s="25">
        <v>45606</v>
      </c>
      <c r="M2" s="13" t="s">
        <v>146</v>
      </c>
      <c r="R2" s="116"/>
      <c r="S2" s="123"/>
      <c r="T2" s="123"/>
      <c r="U2" s="123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25">
        <v>45258</v>
      </c>
      <c r="AK2" s="13" t="s">
        <v>162</v>
      </c>
      <c r="AN2" s="114"/>
    </row>
    <row r="3" spans="1:40" ht="19.5" x14ac:dyDescent="0.4">
      <c r="A3" s="117">
        <v>45606</v>
      </c>
      <c r="B3" s="123">
        <v>2</v>
      </c>
      <c r="C3" s="123"/>
      <c r="D3" s="123"/>
      <c r="J3" s="115"/>
      <c r="K3" s="115"/>
      <c r="L3" s="25">
        <v>45606</v>
      </c>
      <c r="M3" s="13" t="s">
        <v>146</v>
      </c>
      <c r="R3" s="116"/>
      <c r="S3" s="123"/>
      <c r="T3" s="123"/>
      <c r="U3" s="123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25"/>
      <c r="AK3" s="13"/>
      <c r="AN3" s="114"/>
    </row>
    <row r="4" spans="1:40" ht="19.5" x14ac:dyDescent="0.4">
      <c r="A4" s="117">
        <v>45608</v>
      </c>
      <c r="B4" s="123"/>
      <c r="C4" s="123">
        <v>2</v>
      </c>
      <c r="D4" s="123">
        <v>1</v>
      </c>
      <c r="J4" s="115"/>
      <c r="K4" s="115" t="s">
        <v>177</v>
      </c>
      <c r="L4" s="13">
        <f>SUBTOTAL(3,L2:L3)</f>
        <v>2</v>
      </c>
      <c r="M4" s="13">
        <f>SUBTOTAL(3,M2:M3)</f>
        <v>2</v>
      </c>
      <c r="R4" s="116"/>
      <c r="S4" s="123"/>
      <c r="T4" s="123"/>
      <c r="U4" s="123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25"/>
      <c r="AK4" s="13"/>
      <c r="AN4" s="114"/>
    </row>
    <row r="5" spans="1:40" ht="19.5" x14ac:dyDescent="0.4">
      <c r="A5" s="117">
        <v>45610</v>
      </c>
      <c r="B5" s="123">
        <v>1</v>
      </c>
      <c r="C5" s="123"/>
      <c r="D5" s="123"/>
      <c r="I5" s="115"/>
      <c r="J5" s="115"/>
      <c r="K5" s="115"/>
      <c r="L5" s="25">
        <v>45608</v>
      </c>
      <c r="M5" s="13" t="s">
        <v>147</v>
      </c>
      <c r="R5" s="116"/>
      <c r="S5" s="123"/>
      <c r="T5" s="123"/>
      <c r="U5" s="123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25"/>
      <c r="AK5" s="13"/>
      <c r="AN5" s="114"/>
    </row>
    <row r="6" spans="1:40" ht="19.5" x14ac:dyDescent="0.4">
      <c r="A6" s="117">
        <v>45612</v>
      </c>
      <c r="B6" s="123">
        <v>2</v>
      </c>
      <c r="C6" s="123"/>
      <c r="D6" s="123"/>
      <c r="I6" s="115"/>
      <c r="J6" s="115"/>
      <c r="K6" s="115"/>
      <c r="L6" s="25">
        <v>45608</v>
      </c>
      <c r="M6" s="13" t="s">
        <v>148</v>
      </c>
      <c r="R6" s="116"/>
      <c r="S6" s="123"/>
      <c r="T6" s="123"/>
      <c r="U6" s="123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25"/>
      <c r="AK6" s="13"/>
      <c r="AN6" s="114"/>
    </row>
    <row r="7" spans="1:40" ht="19.5" x14ac:dyDescent="0.4">
      <c r="A7" s="117">
        <v>45614</v>
      </c>
      <c r="B7" s="123">
        <v>1</v>
      </c>
      <c r="C7" s="123">
        <v>4</v>
      </c>
      <c r="D7" s="123"/>
      <c r="G7" s="115"/>
      <c r="H7" s="115"/>
      <c r="I7" s="115"/>
      <c r="J7" s="115"/>
      <c r="K7" s="115"/>
      <c r="L7" s="25">
        <v>45608</v>
      </c>
      <c r="M7" s="13" t="s">
        <v>147</v>
      </c>
      <c r="R7" s="116"/>
      <c r="S7" s="123"/>
      <c r="T7" s="123"/>
      <c r="U7" s="123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25"/>
      <c r="AK7" s="13"/>
      <c r="AN7" s="114"/>
    </row>
    <row r="8" spans="1:40" ht="19.5" x14ac:dyDescent="0.4">
      <c r="A8" s="117">
        <v>45615</v>
      </c>
      <c r="B8" s="123">
        <v>1</v>
      </c>
      <c r="C8" s="123">
        <v>2</v>
      </c>
      <c r="D8" s="123"/>
      <c r="G8" s="115"/>
      <c r="H8" s="115"/>
      <c r="I8" s="115"/>
      <c r="J8" s="115"/>
      <c r="K8" s="115" t="s">
        <v>178</v>
      </c>
      <c r="L8" s="13">
        <f>SUBTOTAL(3,L5:L7)</f>
        <v>3</v>
      </c>
      <c r="M8" s="13">
        <f>SUBTOTAL(3,M5:M7)</f>
        <v>3</v>
      </c>
      <c r="R8" s="116"/>
      <c r="S8" s="123"/>
      <c r="T8" s="123"/>
      <c r="U8" s="123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25"/>
      <c r="AK8" s="13"/>
      <c r="AN8" s="114"/>
    </row>
    <row r="9" spans="1:40" ht="19.5" x14ac:dyDescent="0.4">
      <c r="A9" s="117">
        <v>45616</v>
      </c>
      <c r="B9" s="123">
        <v>3</v>
      </c>
      <c r="C9" s="123">
        <v>2</v>
      </c>
      <c r="D9" s="123"/>
      <c r="G9" s="115"/>
      <c r="H9" s="115"/>
      <c r="I9" s="115"/>
      <c r="J9" s="115"/>
      <c r="K9" s="115"/>
      <c r="L9" s="25">
        <v>45610</v>
      </c>
      <c r="M9" s="13" t="s">
        <v>146</v>
      </c>
      <c r="R9" s="116"/>
      <c r="S9" s="123"/>
      <c r="T9" s="123"/>
      <c r="U9" s="123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25"/>
      <c r="AK9" s="13"/>
      <c r="AN9" s="114"/>
    </row>
    <row r="10" spans="1:40" ht="19.5" x14ac:dyDescent="0.4">
      <c r="A10" s="117">
        <v>45619</v>
      </c>
      <c r="B10" s="123">
        <v>1</v>
      </c>
      <c r="C10" s="123">
        <v>1</v>
      </c>
      <c r="D10" s="123"/>
      <c r="G10" s="115"/>
      <c r="H10" s="115"/>
      <c r="I10" s="115"/>
      <c r="J10" s="115"/>
      <c r="K10" s="115" t="s">
        <v>179</v>
      </c>
      <c r="L10" s="13">
        <f>SUBTOTAL(3,L9:L9)</f>
        <v>1</v>
      </c>
      <c r="M10" s="13">
        <f>SUBTOTAL(3,M9:M9)</f>
        <v>1</v>
      </c>
      <c r="R10" s="116"/>
      <c r="S10" s="123"/>
      <c r="T10" s="123"/>
      <c r="U10" s="123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25"/>
      <c r="AK10" s="13"/>
      <c r="AN10" s="114"/>
    </row>
    <row r="11" spans="1:40" ht="19.5" x14ac:dyDescent="0.4">
      <c r="A11" s="117">
        <v>45620</v>
      </c>
      <c r="B11" s="123">
        <v>3</v>
      </c>
      <c r="C11" s="123">
        <v>3</v>
      </c>
      <c r="D11" s="123">
        <v>1</v>
      </c>
      <c r="L11" s="25">
        <v>45612</v>
      </c>
      <c r="M11" s="13" t="s">
        <v>146</v>
      </c>
      <c r="R11" s="116"/>
      <c r="S11" s="123"/>
      <c r="T11" s="123"/>
      <c r="U11" s="123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25"/>
      <c r="AK11" s="13"/>
      <c r="AN11" s="114"/>
    </row>
    <row r="12" spans="1:40" ht="19.5" x14ac:dyDescent="0.4">
      <c r="A12" s="117">
        <v>45621</v>
      </c>
      <c r="B12" s="123">
        <v>10</v>
      </c>
      <c r="C12" s="123">
        <v>1</v>
      </c>
      <c r="D12" s="123">
        <v>4</v>
      </c>
      <c r="I12" s="115"/>
      <c r="J12" s="115"/>
      <c r="K12" s="115"/>
      <c r="L12" s="25">
        <v>45612</v>
      </c>
      <c r="M12" s="13" t="s">
        <v>146</v>
      </c>
      <c r="R12" s="116"/>
      <c r="S12" s="123"/>
      <c r="T12" s="123"/>
      <c r="U12" s="123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25"/>
      <c r="AK12" s="13"/>
      <c r="AN12" s="114"/>
    </row>
    <row r="13" spans="1:40" ht="19.5" x14ac:dyDescent="0.4">
      <c r="A13" s="117">
        <v>1127</v>
      </c>
      <c r="B13" s="123">
        <v>10</v>
      </c>
      <c r="C13" s="123">
        <v>7</v>
      </c>
      <c r="D13" s="123"/>
      <c r="I13" s="115"/>
      <c r="J13" s="115"/>
      <c r="K13" s="115" t="s">
        <v>180</v>
      </c>
      <c r="L13" s="13">
        <f>SUBTOTAL(3,L11:L12)</f>
        <v>2</v>
      </c>
      <c r="M13" s="13">
        <f>SUBTOTAL(3,M11:M12)</f>
        <v>2</v>
      </c>
      <c r="R13" s="116"/>
      <c r="S13" s="123"/>
      <c r="T13" s="123"/>
      <c r="U13" s="123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25"/>
      <c r="AK13" s="13"/>
      <c r="AN13" s="114"/>
    </row>
    <row r="14" spans="1:40" ht="19.5" x14ac:dyDescent="0.4">
      <c r="A14" s="117">
        <v>45624</v>
      </c>
      <c r="B14" s="123">
        <v>2</v>
      </c>
      <c r="C14" s="123">
        <v>1</v>
      </c>
      <c r="D14" s="123">
        <v>1</v>
      </c>
      <c r="I14" s="115"/>
      <c r="J14" s="115"/>
      <c r="K14" s="115"/>
      <c r="L14" s="25">
        <v>45614</v>
      </c>
      <c r="M14" s="13" t="s">
        <v>146</v>
      </c>
      <c r="R14" s="116"/>
      <c r="S14" s="123"/>
      <c r="T14" s="123"/>
      <c r="U14" s="123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25"/>
      <c r="AK14" s="13"/>
      <c r="AN14" s="114"/>
    </row>
    <row r="15" spans="1:40" ht="19.5" x14ac:dyDescent="0.4">
      <c r="A15" s="117">
        <v>45626</v>
      </c>
      <c r="B15" s="123">
        <v>1</v>
      </c>
      <c r="C15" s="123">
        <v>1</v>
      </c>
      <c r="D15" s="123"/>
      <c r="F15" s="115"/>
      <c r="G15" s="115"/>
      <c r="H15" s="115"/>
      <c r="I15" s="115"/>
      <c r="J15" s="115"/>
      <c r="K15" s="115"/>
      <c r="L15" s="25">
        <v>45614</v>
      </c>
      <c r="M15" s="13" t="s">
        <v>147</v>
      </c>
      <c r="R15" s="116"/>
      <c r="S15" s="123"/>
      <c r="T15" s="123"/>
      <c r="U15" s="123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25"/>
      <c r="AK15" s="13"/>
      <c r="AN15" s="114"/>
    </row>
    <row r="16" spans="1:40" ht="19.5" x14ac:dyDescent="0.4">
      <c r="A16" s="117">
        <v>45627</v>
      </c>
      <c r="B16" s="123">
        <v>7</v>
      </c>
      <c r="C16" s="123"/>
      <c r="D16" s="123"/>
      <c r="F16" s="115"/>
      <c r="G16" s="115"/>
      <c r="H16" s="115"/>
      <c r="I16" s="115"/>
      <c r="J16" s="115"/>
      <c r="K16" s="115"/>
      <c r="L16" s="25">
        <v>45614</v>
      </c>
      <c r="M16" s="13" t="s">
        <v>147</v>
      </c>
      <c r="R16" s="116"/>
      <c r="S16" s="123"/>
      <c r="T16" s="123"/>
      <c r="U16" s="123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25"/>
      <c r="AK16" s="13"/>
      <c r="AN16" s="114"/>
    </row>
    <row r="17" spans="1:40" ht="19.5" x14ac:dyDescent="0.4">
      <c r="A17" s="117">
        <v>45628</v>
      </c>
      <c r="B17" s="123">
        <v>7</v>
      </c>
      <c r="C17" s="123"/>
      <c r="D17" s="123"/>
      <c r="F17" s="115"/>
      <c r="G17" s="115"/>
      <c r="H17" s="115"/>
      <c r="I17" s="115"/>
      <c r="J17" s="115"/>
      <c r="K17" s="115"/>
      <c r="L17" s="25">
        <v>45614</v>
      </c>
      <c r="M17" s="13" t="s">
        <v>147</v>
      </c>
      <c r="R17" s="116"/>
      <c r="S17" s="123"/>
      <c r="T17" s="123"/>
      <c r="U17" s="123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25"/>
      <c r="AK17" s="13"/>
      <c r="AN17" s="114"/>
    </row>
    <row r="18" spans="1:40" ht="19.5" x14ac:dyDescent="0.4">
      <c r="A18" s="117">
        <v>45629</v>
      </c>
      <c r="B18" s="123">
        <v>8</v>
      </c>
      <c r="C18" s="123">
        <v>1</v>
      </c>
      <c r="D18" s="123"/>
      <c r="F18" s="115"/>
      <c r="G18" s="115"/>
      <c r="H18" s="115"/>
      <c r="I18" s="115"/>
      <c r="J18" s="115"/>
      <c r="K18" s="115"/>
      <c r="L18" s="25">
        <v>45614</v>
      </c>
      <c r="M18" s="13" t="s">
        <v>147</v>
      </c>
      <c r="R18" s="116"/>
      <c r="S18" s="123"/>
      <c r="T18" s="123"/>
      <c r="U18" s="123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25"/>
      <c r="AK18" s="13"/>
      <c r="AN18" s="114"/>
    </row>
    <row r="19" spans="1:40" ht="19.5" x14ac:dyDescent="0.4">
      <c r="A19" s="117">
        <v>45630</v>
      </c>
      <c r="B19" s="123">
        <v>8</v>
      </c>
      <c r="C19" s="123"/>
      <c r="D19" s="123">
        <v>1</v>
      </c>
      <c r="F19" s="115"/>
      <c r="G19" s="115"/>
      <c r="H19" s="115"/>
      <c r="I19" s="115"/>
      <c r="J19" s="115"/>
      <c r="K19" s="115" t="s">
        <v>181</v>
      </c>
      <c r="L19" s="13">
        <f>SUBTOTAL(3,L14:L18)</f>
        <v>5</v>
      </c>
      <c r="M19" s="13">
        <f>SUBTOTAL(3,M14:M18)</f>
        <v>5</v>
      </c>
      <c r="R19" s="116"/>
      <c r="S19" s="123"/>
      <c r="T19" s="123"/>
      <c r="U19" s="123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25"/>
      <c r="AK19" s="13"/>
      <c r="AN19" s="114"/>
    </row>
    <row r="20" spans="1:40" ht="19.5" x14ac:dyDescent="0.4">
      <c r="A20" s="117">
        <v>45633</v>
      </c>
      <c r="B20" s="123">
        <v>2</v>
      </c>
      <c r="C20" s="123"/>
      <c r="D20" s="123">
        <v>1</v>
      </c>
      <c r="F20" s="115"/>
      <c r="G20" s="115"/>
      <c r="H20" s="115"/>
      <c r="I20" s="115"/>
      <c r="J20" s="115"/>
      <c r="K20" s="115"/>
      <c r="L20" s="25">
        <v>45615</v>
      </c>
      <c r="M20" s="13" t="s">
        <v>147</v>
      </c>
      <c r="R20" s="116"/>
      <c r="S20" s="123"/>
      <c r="T20" s="123"/>
      <c r="U20" s="123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25"/>
      <c r="AK20" s="13"/>
      <c r="AN20" s="114"/>
    </row>
    <row r="21" spans="1:40" ht="19.5" x14ac:dyDescent="0.4">
      <c r="A21" s="117">
        <v>45634</v>
      </c>
      <c r="B21" s="123">
        <v>2</v>
      </c>
      <c r="C21" s="123"/>
      <c r="D21" s="123"/>
      <c r="L21" s="25">
        <v>45615</v>
      </c>
      <c r="M21" s="13" t="s">
        <v>146</v>
      </c>
      <c r="R21" s="117"/>
      <c r="S21" s="123"/>
      <c r="T21" s="123"/>
      <c r="U21" s="123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 t="s">
        <v>149</v>
      </c>
      <c r="AJ21" s="13">
        <f>SUBTOTAL(3,AJ2:AJ2)</f>
        <v>1</v>
      </c>
      <c r="AK21" s="13">
        <f>SUBTOTAL(3,AK2:AK2)</f>
        <v>1</v>
      </c>
      <c r="AN21" s="114"/>
    </row>
    <row r="22" spans="1:40" ht="19.5" x14ac:dyDescent="0.4">
      <c r="A22" s="117">
        <v>45640</v>
      </c>
      <c r="B22" s="123"/>
      <c r="C22" s="123">
        <v>1</v>
      </c>
      <c r="D22" s="123"/>
      <c r="G22" s="115"/>
      <c r="H22" s="115"/>
      <c r="I22" s="115"/>
      <c r="J22" s="115"/>
      <c r="K22" s="115"/>
      <c r="L22" s="25">
        <v>45615</v>
      </c>
      <c r="M22" s="13" t="s">
        <v>147</v>
      </c>
      <c r="R22" s="117"/>
      <c r="S22" s="123"/>
      <c r="T22" s="123"/>
      <c r="U22" s="123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3"/>
      <c r="AK22" s="13"/>
      <c r="AN22" s="114"/>
    </row>
    <row r="23" spans="1:40" ht="19.5" x14ac:dyDescent="0.4">
      <c r="A23" s="117">
        <v>45650</v>
      </c>
      <c r="B23" s="123">
        <v>1</v>
      </c>
      <c r="C23" s="123"/>
      <c r="D23" s="123"/>
      <c r="G23" s="115"/>
      <c r="H23" s="115"/>
      <c r="I23" s="115"/>
      <c r="J23" s="115"/>
      <c r="K23" s="115" t="s">
        <v>185</v>
      </c>
      <c r="L23" s="13">
        <f>SUBTOTAL(3,L20:L22)</f>
        <v>3</v>
      </c>
      <c r="M23" s="13">
        <f>SUBTOTAL(3,M20:M22)</f>
        <v>3</v>
      </c>
      <c r="R23" s="117"/>
      <c r="S23" s="123"/>
      <c r="T23" s="123"/>
      <c r="U23" s="123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3"/>
      <c r="AK23" s="13"/>
      <c r="AN23" s="114"/>
    </row>
    <row r="24" spans="1:40" ht="19.5" x14ac:dyDescent="0.4">
      <c r="A24" s="117"/>
      <c r="B24" s="123">
        <f>SUM(B3:B23)</f>
        <v>72</v>
      </c>
      <c r="C24" s="123">
        <f>SUM(C3:C23)</f>
        <v>26</v>
      </c>
      <c r="D24" s="123">
        <f>SUM(D3:D23)</f>
        <v>9</v>
      </c>
      <c r="G24" s="115"/>
      <c r="H24" s="115"/>
      <c r="I24" s="115"/>
      <c r="J24" s="115"/>
      <c r="K24" s="115"/>
      <c r="L24" s="25">
        <v>45616</v>
      </c>
      <c r="M24" s="13" t="s">
        <v>147</v>
      </c>
      <c r="R24" s="117"/>
      <c r="S24" s="123"/>
      <c r="T24" s="123"/>
      <c r="U24" s="123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3"/>
      <c r="AK24" s="13"/>
      <c r="AN24" s="114"/>
    </row>
    <row r="25" spans="1:40" ht="19.5" x14ac:dyDescent="0.4">
      <c r="A25" s="117"/>
      <c r="B25" s="123"/>
      <c r="C25" s="123"/>
      <c r="D25" s="123">
        <f>SUM(B24:D24)</f>
        <v>107</v>
      </c>
      <c r="L25" s="25">
        <v>45616</v>
      </c>
      <c r="M25" s="13" t="s">
        <v>147</v>
      </c>
      <c r="R25" s="117"/>
      <c r="S25" s="123"/>
      <c r="T25" s="123"/>
      <c r="U25" s="123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3"/>
      <c r="AK25" s="13"/>
      <c r="AN25" s="114"/>
    </row>
    <row r="26" spans="1:40" ht="19.5" x14ac:dyDescent="0.4">
      <c r="A26" s="117"/>
      <c r="B26" s="123"/>
      <c r="C26" s="123"/>
      <c r="D26" s="123"/>
      <c r="G26" s="115"/>
      <c r="H26" s="115"/>
      <c r="I26" s="115"/>
      <c r="J26" s="115"/>
      <c r="K26" s="115"/>
      <c r="L26" s="25">
        <v>45616</v>
      </c>
      <c r="M26" s="13" t="s">
        <v>146</v>
      </c>
      <c r="R26" s="117"/>
      <c r="S26" s="123"/>
      <c r="T26" s="123"/>
      <c r="U26" s="123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3"/>
      <c r="AK26" s="13"/>
      <c r="AN26" s="114"/>
    </row>
    <row r="27" spans="1:40" ht="19.5" x14ac:dyDescent="0.4">
      <c r="A27" s="117"/>
      <c r="B27" s="123"/>
      <c r="C27" s="123"/>
      <c r="D27" s="123"/>
      <c r="G27" s="115"/>
      <c r="H27" s="115"/>
      <c r="I27" s="115"/>
      <c r="J27" s="115"/>
      <c r="K27" s="115"/>
      <c r="L27" s="25">
        <v>45616</v>
      </c>
      <c r="M27" s="13" t="s">
        <v>146</v>
      </c>
      <c r="R27" s="117"/>
      <c r="S27" s="123"/>
      <c r="T27" s="123"/>
      <c r="U27" s="123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3"/>
      <c r="AK27" s="13"/>
      <c r="AN27" s="114"/>
    </row>
    <row r="28" spans="1:40" ht="19.5" x14ac:dyDescent="0.4">
      <c r="A28" s="117"/>
      <c r="B28" s="123"/>
      <c r="C28" s="123"/>
      <c r="D28" s="123"/>
      <c r="G28" s="115"/>
      <c r="H28" s="115"/>
      <c r="I28" s="115"/>
      <c r="J28" s="115"/>
      <c r="K28" s="115"/>
      <c r="L28" s="25">
        <v>45616</v>
      </c>
      <c r="M28" s="13" t="s">
        <v>146</v>
      </c>
      <c r="R28" s="117"/>
      <c r="S28" s="123"/>
      <c r="T28" s="123"/>
      <c r="U28" s="123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3"/>
      <c r="AK28" s="13"/>
      <c r="AN28" s="114"/>
    </row>
    <row r="29" spans="1:40" ht="19.5" x14ac:dyDescent="0.4">
      <c r="A29" s="117"/>
      <c r="B29" s="123"/>
      <c r="C29" s="123"/>
      <c r="D29" s="123"/>
      <c r="G29" s="115"/>
      <c r="H29" s="115"/>
      <c r="I29" s="115"/>
      <c r="J29" s="115"/>
      <c r="K29" s="115" t="s">
        <v>182</v>
      </c>
      <c r="L29" s="13">
        <f>SUBTOTAL(3,L24:L28)</f>
        <v>5</v>
      </c>
      <c r="M29" s="13">
        <f>SUBTOTAL(3,M24:M28)</f>
        <v>5</v>
      </c>
      <c r="R29" s="117"/>
      <c r="S29" s="123"/>
      <c r="T29" s="123"/>
      <c r="U29" s="123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3"/>
      <c r="AK29" s="13"/>
      <c r="AN29" s="114"/>
    </row>
    <row r="30" spans="1:40" ht="19.5" x14ac:dyDescent="0.4">
      <c r="A30" s="117"/>
      <c r="B30" s="123"/>
      <c r="C30" s="123"/>
      <c r="D30" s="123"/>
      <c r="G30" s="115"/>
      <c r="H30" s="115"/>
      <c r="I30" s="115"/>
      <c r="J30" s="115"/>
      <c r="K30" s="115"/>
      <c r="L30" s="25">
        <v>45619</v>
      </c>
      <c r="M30" s="13" t="s">
        <v>146</v>
      </c>
      <c r="R30" s="117"/>
      <c r="S30" s="123"/>
      <c r="T30" s="123"/>
      <c r="U30" s="123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3"/>
      <c r="AK30" s="13"/>
      <c r="AN30" s="114"/>
    </row>
    <row r="31" spans="1:40" ht="19.5" x14ac:dyDescent="0.4">
      <c r="A31" s="117"/>
      <c r="B31" s="123"/>
      <c r="C31" s="123"/>
      <c r="D31" s="123"/>
      <c r="F31" s="115"/>
      <c r="G31" s="115"/>
      <c r="H31" s="115"/>
      <c r="I31" s="115"/>
      <c r="J31" s="115"/>
      <c r="K31" s="115"/>
      <c r="L31" s="25">
        <v>45619</v>
      </c>
      <c r="M31" s="13" t="s">
        <v>147</v>
      </c>
      <c r="R31" s="117"/>
      <c r="S31" s="123"/>
      <c r="T31" s="123"/>
      <c r="U31" s="123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3"/>
      <c r="AK31" s="13"/>
      <c r="AN31" s="114"/>
    </row>
    <row r="32" spans="1:40" ht="19.5" x14ac:dyDescent="0.4">
      <c r="A32" s="117"/>
      <c r="B32" s="123"/>
      <c r="C32" s="123"/>
      <c r="D32" s="123"/>
      <c r="F32" s="115"/>
      <c r="G32" s="115"/>
      <c r="H32" s="115"/>
      <c r="I32" s="115"/>
      <c r="J32" s="115"/>
      <c r="K32" s="115" t="s">
        <v>186</v>
      </c>
      <c r="L32" s="13">
        <f>SUBTOTAL(3,L30:L31)</f>
        <v>2</v>
      </c>
      <c r="M32" s="13">
        <f>SUBTOTAL(3,M30:M31)</f>
        <v>2</v>
      </c>
      <c r="R32" s="117"/>
      <c r="S32" s="123"/>
      <c r="T32" s="123"/>
      <c r="U32" s="123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3"/>
      <c r="AK32" s="13"/>
      <c r="AN32" s="114"/>
    </row>
    <row r="33" spans="1:40" ht="19.5" x14ac:dyDescent="0.4">
      <c r="A33" s="117"/>
      <c r="B33" s="123"/>
      <c r="C33" s="123"/>
      <c r="D33" s="123"/>
      <c r="F33" s="115"/>
      <c r="G33" s="115"/>
      <c r="H33" s="115"/>
      <c r="I33" s="115"/>
      <c r="J33" s="115"/>
      <c r="K33" s="115"/>
      <c r="L33" s="25">
        <v>45620</v>
      </c>
      <c r="M33" s="13" t="s">
        <v>146</v>
      </c>
      <c r="R33" s="117"/>
      <c r="S33" s="123"/>
      <c r="T33" s="123"/>
      <c r="U33" s="123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3"/>
      <c r="AK33" s="13"/>
      <c r="AN33" s="114"/>
    </row>
    <row r="34" spans="1:40" ht="19.5" x14ac:dyDescent="0.4">
      <c r="A34" s="117"/>
      <c r="B34" s="123"/>
      <c r="C34" s="123"/>
      <c r="D34" s="123"/>
      <c r="F34" s="115"/>
      <c r="G34" s="115"/>
      <c r="H34" s="115"/>
      <c r="I34" s="115"/>
      <c r="J34" s="115"/>
      <c r="K34" s="115"/>
      <c r="L34" s="25">
        <v>45620</v>
      </c>
      <c r="M34" s="13" t="s">
        <v>146</v>
      </c>
      <c r="R34" s="117"/>
      <c r="S34" s="123"/>
      <c r="T34" s="123"/>
      <c r="U34" s="123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3"/>
      <c r="AK34" s="13"/>
      <c r="AN34" s="114"/>
    </row>
    <row r="35" spans="1:40" ht="19.5" x14ac:dyDescent="0.4">
      <c r="A35" s="117"/>
      <c r="B35" s="123"/>
      <c r="C35" s="123"/>
      <c r="D35" s="123"/>
      <c r="F35" s="115"/>
      <c r="G35" s="115"/>
      <c r="H35" s="115"/>
      <c r="I35" s="115"/>
      <c r="J35" s="115"/>
      <c r="K35" s="115"/>
      <c r="L35" s="25">
        <v>45620</v>
      </c>
      <c r="M35" s="13" t="s">
        <v>147</v>
      </c>
      <c r="R35" s="117"/>
      <c r="S35" s="123"/>
      <c r="T35" s="123"/>
      <c r="U35" s="123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3"/>
      <c r="AK35" s="13"/>
      <c r="AN35" s="114"/>
    </row>
    <row r="36" spans="1:40" ht="19.5" x14ac:dyDescent="0.4">
      <c r="A36" s="117"/>
      <c r="B36" s="123"/>
      <c r="C36" s="123"/>
      <c r="D36" s="123"/>
      <c r="F36" s="115"/>
      <c r="G36" s="115"/>
      <c r="H36" s="115"/>
      <c r="I36" s="115"/>
      <c r="J36" s="115"/>
      <c r="K36" s="115"/>
      <c r="L36" s="25">
        <v>45620</v>
      </c>
      <c r="M36" s="13" t="s">
        <v>147</v>
      </c>
      <c r="R36" s="117"/>
      <c r="S36" s="123"/>
      <c r="T36" s="123"/>
      <c r="U36" s="123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3"/>
      <c r="AK36" s="13"/>
      <c r="AN36" s="114"/>
    </row>
    <row r="37" spans="1:40" ht="19.5" x14ac:dyDescent="0.4">
      <c r="A37" s="117"/>
      <c r="B37" s="123"/>
      <c r="C37" s="123"/>
      <c r="D37" s="123"/>
      <c r="L37" s="25">
        <v>45620</v>
      </c>
      <c r="M37" s="13" t="s">
        <v>147</v>
      </c>
      <c r="R37" s="117"/>
      <c r="S37" s="123"/>
      <c r="T37" s="123"/>
      <c r="U37" s="123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25">
        <v>45263</v>
      </c>
      <c r="AK37" s="13" t="s">
        <v>162</v>
      </c>
      <c r="AN37" s="114"/>
    </row>
    <row r="38" spans="1:40" ht="19.5" x14ac:dyDescent="0.4">
      <c r="A38" s="117"/>
      <c r="B38" s="123"/>
      <c r="C38" s="123"/>
      <c r="D38" s="123"/>
      <c r="G38" s="115"/>
      <c r="H38" s="115"/>
      <c r="I38" s="115"/>
      <c r="J38" s="115"/>
      <c r="K38" s="115"/>
      <c r="L38" s="25">
        <v>45620</v>
      </c>
      <c r="M38" s="15" t="s">
        <v>146</v>
      </c>
      <c r="R38" s="117"/>
      <c r="S38" s="123"/>
      <c r="T38" s="123"/>
      <c r="U38" s="123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25"/>
      <c r="AK38" s="13"/>
      <c r="AN38" s="114"/>
    </row>
    <row r="39" spans="1:40" ht="19.5" x14ac:dyDescent="0.4">
      <c r="A39" s="117"/>
      <c r="B39" s="123"/>
      <c r="C39" s="123"/>
      <c r="D39" s="123"/>
      <c r="G39" s="115"/>
      <c r="H39" s="115"/>
      <c r="I39" s="115"/>
      <c r="J39" s="115"/>
      <c r="K39" s="115"/>
      <c r="L39" s="25">
        <v>45620</v>
      </c>
      <c r="M39" s="15" t="s">
        <v>148</v>
      </c>
      <c r="R39" s="117"/>
      <c r="S39" s="123"/>
      <c r="T39" s="123"/>
      <c r="U39" s="123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25"/>
      <c r="AK39" s="13"/>
      <c r="AN39" s="114"/>
    </row>
    <row r="40" spans="1:40" ht="19.5" x14ac:dyDescent="0.4">
      <c r="A40" s="117"/>
      <c r="B40" s="123"/>
      <c r="C40" s="123"/>
      <c r="D40" s="123"/>
      <c r="G40" s="115"/>
      <c r="H40" s="115"/>
      <c r="I40" s="115"/>
      <c r="J40" s="115"/>
      <c r="K40" s="115" t="s">
        <v>187</v>
      </c>
      <c r="L40" s="13">
        <f>SUBTOTAL(3,L33:L39)</f>
        <v>7</v>
      </c>
      <c r="M40" s="15">
        <f>SUBTOTAL(3,M33:M39)</f>
        <v>7</v>
      </c>
      <c r="R40" s="117"/>
      <c r="S40" s="123"/>
      <c r="T40" s="123"/>
      <c r="U40" s="123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25"/>
      <c r="AK40" s="13"/>
      <c r="AN40" s="114"/>
    </row>
    <row r="41" spans="1:40" ht="19.5" x14ac:dyDescent="0.4">
      <c r="A41" s="117"/>
      <c r="B41" s="123"/>
      <c r="C41" s="123"/>
      <c r="D41" s="123"/>
      <c r="L41" s="25">
        <v>45621</v>
      </c>
      <c r="M41" s="15" t="s">
        <v>146</v>
      </c>
      <c r="R41" s="117"/>
      <c r="S41" s="123"/>
      <c r="T41" s="123"/>
      <c r="U41" s="123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 t="s">
        <v>150</v>
      </c>
      <c r="AJ41" s="13">
        <f>SUBTOTAL(3,AJ37:AJ37)</f>
        <v>1</v>
      </c>
      <c r="AK41" s="13">
        <f>SUBTOTAL(3,AK37:AK37)</f>
        <v>1</v>
      </c>
      <c r="AN41" s="114"/>
    </row>
    <row r="42" spans="1:40" ht="19.5" x14ac:dyDescent="0.4">
      <c r="A42" s="117"/>
      <c r="B42" s="123"/>
      <c r="C42" s="123"/>
      <c r="D42" s="123"/>
      <c r="G42" s="115"/>
      <c r="H42" s="115"/>
      <c r="I42" s="115"/>
      <c r="J42" s="115"/>
      <c r="K42" s="115"/>
      <c r="L42" s="25">
        <v>45621</v>
      </c>
      <c r="M42" s="15" t="s">
        <v>148</v>
      </c>
      <c r="R42" s="117"/>
      <c r="S42" s="123"/>
      <c r="T42" s="123"/>
      <c r="U42" s="123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3"/>
      <c r="AK42" s="13"/>
      <c r="AN42" s="114"/>
    </row>
    <row r="43" spans="1:40" ht="19.5" x14ac:dyDescent="0.4">
      <c r="A43" s="117"/>
      <c r="B43" s="123"/>
      <c r="C43" s="123"/>
      <c r="D43" s="123"/>
      <c r="L43" s="25">
        <v>45621</v>
      </c>
      <c r="M43" s="15" t="s">
        <v>146</v>
      </c>
      <c r="R43" s="117"/>
      <c r="S43" s="123"/>
      <c r="T43" s="123"/>
      <c r="U43" s="123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25">
        <v>45264</v>
      </c>
      <c r="AK43" s="13" t="s">
        <v>162</v>
      </c>
      <c r="AN43" s="114"/>
    </row>
    <row r="44" spans="1:40" ht="19.5" x14ac:dyDescent="0.4">
      <c r="A44" s="117"/>
      <c r="B44" s="123"/>
      <c r="C44" s="123"/>
      <c r="D44" s="123"/>
      <c r="L44" s="25">
        <v>45621</v>
      </c>
      <c r="M44" s="13" t="s">
        <v>146</v>
      </c>
      <c r="R44" s="117"/>
      <c r="S44" s="123"/>
      <c r="T44" s="123"/>
      <c r="U44" s="123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 t="s">
        <v>154</v>
      </c>
      <c r="AJ44" s="13">
        <f>SUBTOTAL(3,AJ43:AJ43)</f>
        <v>1</v>
      </c>
      <c r="AK44" s="13">
        <f>SUBTOTAL(3,AK43:AK43)</f>
        <v>1</v>
      </c>
      <c r="AN44" s="114"/>
    </row>
    <row r="45" spans="1:40" ht="19.5" x14ac:dyDescent="0.4">
      <c r="A45" s="117"/>
      <c r="B45" s="123"/>
      <c r="C45" s="123"/>
      <c r="D45" s="123"/>
      <c r="L45" s="25">
        <v>45621</v>
      </c>
      <c r="M45" s="15" t="s">
        <v>146</v>
      </c>
      <c r="R45" s="117"/>
      <c r="S45" s="123"/>
      <c r="T45" s="123"/>
      <c r="U45" s="123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25">
        <v>45265</v>
      </c>
      <c r="AK45" s="13" t="s">
        <v>162</v>
      </c>
      <c r="AN45" s="114"/>
    </row>
    <row r="46" spans="1:40" ht="19.5" x14ac:dyDescent="0.4">
      <c r="A46" s="117"/>
      <c r="B46" s="123"/>
      <c r="C46" s="123"/>
      <c r="D46" s="123"/>
      <c r="L46" s="25">
        <v>45621</v>
      </c>
      <c r="M46" s="15" t="s">
        <v>142</v>
      </c>
      <c r="R46" s="117"/>
      <c r="S46" s="123"/>
      <c r="T46" s="123"/>
      <c r="U46" s="123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25">
        <v>45265</v>
      </c>
      <c r="AK46" s="25" t="s">
        <v>162</v>
      </c>
      <c r="AN46" s="114"/>
    </row>
    <row r="47" spans="1:40" ht="19.5" x14ac:dyDescent="0.4">
      <c r="A47" s="117"/>
      <c r="B47" s="123"/>
      <c r="C47" s="123"/>
      <c r="D47" s="123"/>
      <c r="H47" s="115"/>
      <c r="I47" s="115"/>
      <c r="J47" s="115"/>
      <c r="K47" s="115"/>
      <c r="L47" s="25">
        <v>45621</v>
      </c>
      <c r="M47" s="15" t="s">
        <v>146</v>
      </c>
      <c r="R47" s="117"/>
      <c r="S47" s="123"/>
      <c r="T47" s="123"/>
      <c r="U47" s="123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25"/>
      <c r="AK47" s="25"/>
      <c r="AN47" s="114"/>
    </row>
    <row r="48" spans="1:40" ht="19.5" x14ac:dyDescent="0.4">
      <c r="A48" s="117"/>
      <c r="B48" s="123"/>
      <c r="C48" s="123"/>
      <c r="D48" s="123"/>
      <c r="L48" s="25">
        <v>45621</v>
      </c>
      <c r="M48" s="15" t="s">
        <v>146</v>
      </c>
      <c r="R48" s="117"/>
      <c r="S48" s="123"/>
      <c r="T48" s="123"/>
      <c r="U48" s="123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25">
        <v>45265</v>
      </c>
      <c r="AK48" s="13" t="s">
        <v>162</v>
      </c>
      <c r="AN48" s="114"/>
    </row>
    <row r="49" spans="1:40" ht="19.5" x14ac:dyDescent="0.4">
      <c r="A49" s="117"/>
      <c r="B49" s="123"/>
      <c r="C49" s="123"/>
      <c r="D49" s="123"/>
      <c r="L49" s="25">
        <v>45621</v>
      </c>
      <c r="M49" s="15" t="s">
        <v>146</v>
      </c>
      <c r="R49" s="117"/>
      <c r="S49" s="123"/>
      <c r="T49" s="123"/>
      <c r="U49" s="123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25">
        <v>45265</v>
      </c>
      <c r="AK49" s="13" t="s">
        <v>162</v>
      </c>
      <c r="AN49" s="114"/>
    </row>
    <row r="50" spans="1:40" ht="19.5" x14ac:dyDescent="0.4">
      <c r="A50" s="117"/>
      <c r="B50" s="123"/>
      <c r="C50" s="123"/>
      <c r="D50" s="123"/>
      <c r="G50" s="115"/>
      <c r="H50" s="115"/>
      <c r="I50" s="115"/>
      <c r="J50" s="115"/>
      <c r="K50" s="115"/>
      <c r="L50" s="25">
        <v>45621</v>
      </c>
      <c r="M50" s="15" t="s">
        <v>148</v>
      </c>
      <c r="R50" s="117"/>
      <c r="S50" s="123"/>
      <c r="T50" s="123"/>
      <c r="U50" s="123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25"/>
      <c r="AK50" s="13"/>
      <c r="AN50" s="114"/>
    </row>
    <row r="51" spans="1:40" ht="19.5" x14ac:dyDescent="0.4">
      <c r="A51" s="117"/>
      <c r="B51" s="123"/>
      <c r="C51" s="123"/>
      <c r="D51" s="123"/>
      <c r="L51" s="25">
        <v>45621</v>
      </c>
      <c r="M51" s="15" t="s">
        <v>148</v>
      </c>
      <c r="R51" s="117"/>
      <c r="S51" s="123"/>
      <c r="T51" s="123"/>
      <c r="U51" s="123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25">
        <v>45265</v>
      </c>
      <c r="AK51" s="13" t="s">
        <v>163</v>
      </c>
      <c r="AN51" s="114"/>
    </row>
    <row r="52" spans="1:40" ht="19.5" x14ac:dyDescent="0.4">
      <c r="A52" s="117"/>
      <c r="B52" s="123"/>
      <c r="C52" s="123"/>
      <c r="D52" s="123"/>
      <c r="L52" s="25">
        <v>45621</v>
      </c>
      <c r="M52" s="15" t="s">
        <v>147</v>
      </c>
      <c r="R52" s="117"/>
      <c r="S52" s="123"/>
      <c r="T52" s="123"/>
      <c r="U52" s="123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 t="s">
        <v>155</v>
      </c>
      <c r="AJ52" s="13">
        <f>SUBTOTAL(3,AJ45:AJ51)</f>
        <v>5</v>
      </c>
      <c r="AK52" s="13">
        <f>SUBTOTAL(3,AK45:AK51)</f>
        <v>5</v>
      </c>
      <c r="AN52" s="114"/>
    </row>
    <row r="53" spans="1:40" ht="19.5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25">
        <v>45621</v>
      </c>
      <c r="M53" s="15" t="s">
        <v>148</v>
      </c>
      <c r="R53" s="117"/>
      <c r="S53" s="123"/>
      <c r="T53" s="123"/>
      <c r="U53" s="123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3"/>
      <c r="AK53" s="13"/>
      <c r="AN53" s="114"/>
    </row>
    <row r="54" spans="1:40" ht="19.5" x14ac:dyDescent="0.4">
      <c r="A54" s="117"/>
      <c r="B54" s="123"/>
      <c r="C54" s="123"/>
      <c r="D54" s="123"/>
      <c r="F54" s="115"/>
      <c r="G54" s="115"/>
      <c r="H54" s="115"/>
      <c r="I54" s="115"/>
      <c r="J54" s="115"/>
      <c r="K54" s="115"/>
      <c r="L54" s="25">
        <v>45621</v>
      </c>
      <c r="M54" s="15" t="s">
        <v>146</v>
      </c>
      <c r="R54" s="117"/>
      <c r="S54" s="123"/>
      <c r="T54" s="123"/>
      <c r="U54" s="123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3"/>
      <c r="AK54" s="13"/>
      <c r="AN54" s="114"/>
    </row>
    <row r="55" spans="1:40" ht="19.5" x14ac:dyDescent="0.4">
      <c r="A55" s="117"/>
      <c r="B55" s="123"/>
      <c r="C55" s="123"/>
      <c r="D55" s="123"/>
      <c r="F55" s="115"/>
      <c r="G55" s="115"/>
      <c r="H55" s="115"/>
      <c r="I55" s="115"/>
      <c r="J55" s="115"/>
      <c r="K55" s="115"/>
      <c r="L55" s="25">
        <v>45621</v>
      </c>
      <c r="M55" s="15" t="s">
        <v>146</v>
      </c>
      <c r="R55" s="117"/>
      <c r="S55" s="123"/>
      <c r="T55" s="123"/>
      <c r="U55" s="123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3"/>
      <c r="AK55" s="13"/>
      <c r="AN55" s="114"/>
    </row>
    <row r="56" spans="1:40" ht="19.5" x14ac:dyDescent="0.4">
      <c r="A56" s="117"/>
      <c r="B56" s="123"/>
      <c r="C56" s="123"/>
      <c r="D56" s="123"/>
      <c r="F56" s="115"/>
      <c r="G56" s="115"/>
      <c r="H56" s="115"/>
      <c r="I56" s="115"/>
      <c r="J56" s="115"/>
      <c r="K56" s="115" t="s">
        <v>188</v>
      </c>
      <c r="L56" s="13">
        <f>SUBTOTAL(3,L41:L55)</f>
        <v>15</v>
      </c>
      <c r="M56" s="15">
        <f>SUBTOTAL(3,M41:M55)</f>
        <v>15</v>
      </c>
      <c r="R56" s="117"/>
      <c r="S56" s="123"/>
      <c r="T56" s="123"/>
      <c r="U56" s="123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3"/>
      <c r="AK56" s="13"/>
      <c r="AN56" s="114"/>
    </row>
    <row r="57" spans="1:40" ht="19.5" x14ac:dyDescent="0.4">
      <c r="A57" s="117"/>
      <c r="B57" s="123"/>
      <c r="C57" s="123"/>
      <c r="D57" s="123"/>
      <c r="F57" s="115"/>
      <c r="G57" s="115"/>
      <c r="H57" s="115"/>
      <c r="I57" s="115"/>
      <c r="J57" s="115"/>
      <c r="K57" s="115"/>
      <c r="L57" s="25">
        <v>45623</v>
      </c>
      <c r="M57" s="15" t="s">
        <v>147</v>
      </c>
      <c r="R57" s="117"/>
      <c r="S57" s="123"/>
      <c r="T57" s="123"/>
      <c r="U57" s="123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3"/>
      <c r="AK57" s="13"/>
      <c r="AN57" s="114"/>
    </row>
    <row r="58" spans="1:40" ht="19.5" x14ac:dyDescent="0.4">
      <c r="A58" s="117"/>
      <c r="B58" s="123"/>
      <c r="C58" s="123"/>
      <c r="D58" s="123"/>
      <c r="L58" s="25">
        <v>45623</v>
      </c>
      <c r="M58" s="15" t="s">
        <v>147</v>
      </c>
      <c r="R58" s="117"/>
      <c r="S58" s="123"/>
      <c r="T58" s="123"/>
      <c r="U58" s="123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25">
        <v>45266</v>
      </c>
      <c r="AK58" s="25" t="s">
        <v>162</v>
      </c>
      <c r="AN58" s="114"/>
    </row>
    <row r="59" spans="1:40" ht="19.5" x14ac:dyDescent="0.4">
      <c r="A59" s="117"/>
      <c r="B59" s="123"/>
      <c r="C59" s="123"/>
      <c r="D59" s="123"/>
      <c r="I59" s="115"/>
      <c r="J59" s="115"/>
      <c r="K59" s="115"/>
      <c r="L59" s="25">
        <v>45623</v>
      </c>
      <c r="M59" s="15" t="s">
        <v>147</v>
      </c>
      <c r="R59" s="117"/>
      <c r="S59" s="123"/>
      <c r="T59" s="123"/>
      <c r="U59" s="123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25"/>
      <c r="AK59" s="25"/>
      <c r="AN59" s="114"/>
    </row>
    <row r="60" spans="1:40" ht="19.5" x14ac:dyDescent="0.4">
      <c r="A60" s="117"/>
      <c r="B60" s="123"/>
      <c r="C60" s="123"/>
      <c r="D60" s="123"/>
      <c r="L60" s="25">
        <v>45623</v>
      </c>
      <c r="M60" s="13" t="s">
        <v>146</v>
      </c>
      <c r="R60" s="117"/>
      <c r="S60" s="123"/>
      <c r="T60" s="123"/>
      <c r="U60" s="123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 t="s">
        <v>156</v>
      </c>
      <c r="AJ60" s="13">
        <f>SUBTOTAL(3,AJ58:AJ58)</f>
        <v>1</v>
      </c>
      <c r="AK60" s="13">
        <f>SUBTOTAL(3,AK58:AK58)</f>
        <v>1</v>
      </c>
      <c r="AN60" s="114"/>
    </row>
    <row r="61" spans="1:40" ht="19.5" x14ac:dyDescent="0.4">
      <c r="A61" s="117"/>
      <c r="B61" s="123"/>
      <c r="C61" s="123"/>
      <c r="D61" s="123"/>
      <c r="H61" s="115"/>
      <c r="I61" s="115"/>
      <c r="J61" s="115"/>
      <c r="K61" s="115"/>
      <c r="L61" s="25">
        <v>45623</v>
      </c>
      <c r="M61" s="13" t="s">
        <v>146</v>
      </c>
      <c r="R61" s="117"/>
      <c r="S61" s="123"/>
      <c r="T61" s="123"/>
      <c r="U61" s="123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3"/>
      <c r="AK61" s="13"/>
      <c r="AN61" s="114"/>
    </row>
    <row r="62" spans="1:40" ht="19.5" x14ac:dyDescent="0.4">
      <c r="A62" s="117"/>
      <c r="B62" s="123"/>
      <c r="C62" s="123"/>
      <c r="D62" s="123"/>
      <c r="L62" s="25">
        <v>45623</v>
      </c>
      <c r="M62" s="13" t="s">
        <v>146</v>
      </c>
      <c r="R62" s="117"/>
      <c r="S62" s="123"/>
      <c r="T62" s="123"/>
      <c r="U62" s="123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25">
        <v>45267</v>
      </c>
      <c r="AK62" s="13" t="s">
        <v>142</v>
      </c>
      <c r="AN62" s="114"/>
    </row>
    <row r="63" spans="1:40" ht="19.5" x14ac:dyDescent="0.4">
      <c r="A63" s="117"/>
      <c r="B63" s="123"/>
      <c r="C63" s="123"/>
      <c r="D63" s="123"/>
      <c r="J63" s="115"/>
      <c r="K63" s="115"/>
      <c r="L63" s="25">
        <v>45623</v>
      </c>
      <c r="M63" s="13" t="s">
        <v>146</v>
      </c>
      <c r="R63" s="117"/>
      <c r="S63" s="123"/>
      <c r="T63" s="123"/>
      <c r="U63" s="123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25"/>
      <c r="AK63" s="13"/>
      <c r="AN63" s="114"/>
    </row>
    <row r="64" spans="1:40" ht="19.5" x14ac:dyDescent="0.4">
      <c r="A64" s="117"/>
      <c r="B64" s="123"/>
      <c r="C64" s="123"/>
      <c r="D64" s="123"/>
      <c r="I64" s="115"/>
      <c r="J64" s="115"/>
      <c r="K64" s="115"/>
      <c r="L64" s="25">
        <v>45623</v>
      </c>
      <c r="M64" s="13" t="s">
        <v>147</v>
      </c>
      <c r="R64" s="117"/>
      <c r="S64" s="123"/>
      <c r="T64" s="123"/>
      <c r="U64" s="123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25"/>
      <c r="AK64" s="13"/>
      <c r="AN64" s="114"/>
    </row>
    <row r="65" spans="1:40" ht="19.5" x14ac:dyDescent="0.4">
      <c r="A65" s="117"/>
      <c r="B65" s="123"/>
      <c r="C65" s="123"/>
      <c r="D65" s="123"/>
      <c r="L65" s="25">
        <v>45623</v>
      </c>
      <c r="M65" s="13" t="s">
        <v>147</v>
      </c>
      <c r="R65" s="117"/>
      <c r="S65" s="123"/>
      <c r="T65" s="123"/>
      <c r="U65" s="123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 t="s">
        <v>157</v>
      </c>
      <c r="AJ65" s="13">
        <f>SUBTOTAL(3,AJ62:AJ62)</f>
        <v>1</v>
      </c>
      <c r="AK65" s="13">
        <f>SUBTOTAL(3,AK62:AK62)</f>
        <v>1</v>
      </c>
      <c r="AN65" s="114"/>
    </row>
    <row r="66" spans="1:40" ht="19.5" x14ac:dyDescent="0.4">
      <c r="A66" s="117"/>
      <c r="B66" s="123"/>
      <c r="C66" s="123"/>
      <c r="D66" s="123"/>
      <c r="J66" s="115"/>
      <c r="K66" s="115"/>
      <c r="L66" s="25">
        <v>45623</v>
      </c>
      <c r="M66" s="13" t="s">
        <v>146</v>
      </c>
      <c r="R66" s="117"/>
      <c r="S66" s="123"/>
      <c r="T66" s="123"/>
      <c r="U66" s="123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3"/>
      <c r="AK66" s="13"/>
      <c r="AN66" s="114"/>
    </row>
    <row r="67" spans="1:40" ht="19.5" x14ac:dyDescent="0.4">
      <c r="A67" s="117"/>
      <c r="B67" s="123"/>
      <c r="C67" s="123"/>
      <c r="D67" s="123"/>
      <c r="I67" s="115"/>
      <c r="J67" s="115"/>
      <c r="K67" s="115"/>
      <c r="L67" s="25">
        <v>45623</v>
      </c>
      <c r="M67" s="13" t="s">
        <v>147</v>
      </c>
      <c r="R67" s="117"/>
      <c r="S67" s="123"/>
      <c r="T67" s="123"/>
      <c r="U67" s="123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3"/>
      <c r="AK67" s="13"/>
      <c r="AN67" s="114"/>
    </row>
    <row r="68" spans="1:40" ht="19.5" x14ac:dyDescent="0.4">
      <c r="A68" s="117"/>
      <c r="B68" s="123"/>
      <c r="C68" s="123"/>
      <c r="D68" s="123"/>
      <c r="L68" s="25">
        <v>45623</v>
      </c>
      <c r="M68" s="13" t="s">
        <v>146</v>
      </c>
      <c r="R68" s="117"/>
      <c r="S68" s="123"/>
      <c r="T68" s="123"/>
      <c r="U68" s="123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25">
        <v>45268</v>
      </c>
      <c r="AK68" s="13" t="s">
        <v>162</v>
      </c>
      <c r="AN68" s="114"/>
    </row>
    <row r="69" spans="1:40" ht="19.5" x14ac:dyDescent="0.4">
      <c r="A69" s="117"/>
      <c r="B69" s="123"/>
      <c r="C69" s="123"/>
      <c r="D69" s="123"/>
      <c r="J69" s="115"/>
      <c r="K69" s="115"/>
      <c r="L69" s="25">
        <v>45623</v>
      </c>
      <c r="M69" s="13" t="s">
        <v>146</v>
      </c>
      <c r="R69" s="117"/>
      <c r="S69" s="123"/>
      <c r="T69" s="123"/>
      <c r="U69" s="123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25"/>
      <c r="AK69" s="13"/>
      <c r="AN69" s="114"/>
    </row>
    <row r="70" spans="1:40" ht="19.5" x14ac:dyDescent="0.4">
      <c r="A70" s="117"/>
      <c r="B70" s="123"/>
      <c r="C70" s="123"/>
      <c r="D70" s="123"/>
      <c r="L70" s="25">
        <v>45623</v>
      </c>
      <c r="M70" s="13" t="s">
        <v>146</v>
      </c>
      <c r="R70" s="117"/>
      <c r="S70" s="123"/>
      <c r="T70" s="123"/>
      <c r="U70" s="123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25">
        <v>45268</v>
      </c>
      <c r="AK70" s="13" t="s">
        <v>162</v>
      </c>
      <c r="AN70" s="114"/>
    </row>
    <row r="71" spans="1:40" ht="19.5" x14ac:dyDescent="0.4">
      <c r="A71" s="117"/>
      <c r="B71" s="123"/>
      <c r="C71" s="123"/>
      <c r="D71" s="123"/>
      <c r="L71" s="25">
        <v>45623</v>
      </c>
      <c r="M71" s="13" t="s">
        <v>147</v>
      </c>
      <c r="R71" s="117"/>
      <c r="S71" s="123"/>
      <c r="T71" s="123"/>
      <c r="U71" s="123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25">
        <v>45268</v>
      </c>
      <c r="AK71" s="13" t="s">
        <v>163</v>
      </c>
      <c r="AN71" s="114"/>
    </row>
    <row r="72" spans="1:40" ht="19.5" x14ac:dyDescent="0.4">
      <c r="A72" s="117"/>
      <c r="B72" s="123"/>
      <c r="C72" s="123"/>
      <c r="D72" s="123"/>
      <c r="I72" s="115"/>
      <c r="J72" s="115"/>
      <c r="K72" s="115"/>
      <c r="L72" s="25">
        <v>45623</v>
      </c>
      <c r="M72" s="13" t="s">
        <v>146</v>
      </c>
      <c r="R72" s="117"/>
      <c r="S72" s="123"/>
      <c r="T72" s="123"/>
      <c r="U72" s="123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25"/>
      <c r="AK72" s="13"/>
      <c r="AN72" s="114"/>
    </row>
    <row r="73" spans="1:40" ht="19.5" x14ac:dyDescent="0.4">
      <c r="A73" s="117"/>
      <c r="B73" s="123"/>
      <c r="C73" s="123"/>
      <c r="D73" s="123"/>
      <c r="L73" s="25">
        <v>45623</v>
      </c>
      <c r="M73" s="13" t="s">
        <v>146</v>
      </c>
      <c r="R73" s="117"/>
      <c r="S73" s="123"/>
      <c r="T73" s="123"/>
      <c r="U73" s="123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25">
        <v>45268</v>
      </c>
      <c r="AK73" s="13" t="s">
        <v>163</v>
      </c>
      <c r="AN73" s="114"/>
    </row>
    <row r="74" spans="1:40" ht="19.5" x14ac:dyDescent="0.4">
      <c r="A74" s="117"/>
      <c r="B74" s="123"/>
      <c r="C74" s="123"/>
      <c r="D74" s="123"/>
      <c r="K74" s="115" t="s">
        <v>327</v>
      </c>
      <c r="L74" s="13">
        <f>SUBTOTAL(3,L57:L73)</f>
        <v>17</v>
      </c>
      <c r="M74" s="13">
        <f>SUBTOTAL(3,M57:M73)</f>
        <v>17</v>
      </c>
      <c r="R74" s="117"/>
      <c r="S74" s="123"/>
      <c r="T74" s="123"/>
      <c r="U74" s="123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25"/>
      <c r="AK74" s="13"/>
      <c r="AN74" s="114"/>
    </row>
    <row r="75" spans="1:40" ht="19.5" x14ac:dyDescent="0.4">
      <c r="A75" s="117"/>
      <c r="B75" s="123"/>
      <c r="C75" s="123"/>
      <c r="D75" s="123"/>
      <c r="L75" s="25">
        <v>45624</v>
      </c>
      <c r="M75" s="13" t="s">
        <v>146</v>
      </c>
      <c r="R75" s="117"/>
      <c r="S75" s="123"/>
      <c r="T75" s="123"/>
      <c r="U75" s="123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 t="s">
        <v>158</v>
      </c>
      <c r="AJ75" s="13">
        <f>SUBTOTAL(3,AJ68:AJ73)</f>
        <v>4</v>
      </c>
      <c r="AK75" s="13">
        <f>SUBTOTAL(3,AK68:AK73)</f>
        <v>4</v>
      </c>
      <c r="AN75" s="114"/>
    </row>
    <row r="76" spans="1:40" ht="19.5" x14ac:dyDescent="0.4">
      <c r="A76" s="117"/>
      <c r="B76" s="123"/>
      <c r="C76" s="123"/>
      <c r="D76" s="123"/>
      <c r="L76" s="25">
        <v>45624</v>
      </c>
      <c r="M76" s="15" t="s">
        <v>146</v>
      </c>
      <c r="R76" s="117"/>
      <c r="S76" s="123"/>
      <c r="T76" s="123"/>
      <c r="U76" s="123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25">
        <v>45269</v>
      </c>
      <c r="AK76" s="13" t="s">
        <v>163</v>
      </c>
      <c r="AN76" s="114"/>
    </row>
    <row r="77" spans="1:40" ht="19.5" x14ac:dyDescent="0.4">
      <c r="A77" s="117"/>
      <c r="B77" s="123"/>
      <c r="C77" s="123"/>
      <c r="D77" s="123"/>
      <c r="H77" s="115"/>
      <c r="I77" s="115"/>
      <c r="J77" s="115"/>
      <c r="K77" s="115"/>
      <c r="L77" s="25">
        <v>45624</v>
      </c>
      <c r="M77" s="15" t="s">
        <v>147</v>
      </c>
      <c r="R77" s="117"/>
      <c r="S77" s="123"/>
      <c r="T77" s="123"/>
      <c r="U77" s="123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25"/>
      <c r="AK77" s="13"/>
      <c r="AN77" s="114"/>
    </row>
    <row r="78" spans="1:40" ht="19.5" x14ac:dyDescent="0.4">
      <c r="A78" s="117"/>
      <c r="B78" s="123"/>
      <c r="C78" s="123"/>
      <c r="D78" s="123"/>
      <c r="L78" s="25">
        <v>45624</v>
      </c>
      <c r="M78" s="15" t="s">
        <v>148</v>
      </c>
      <c r="R78" s="117"/>
      <c r="S78" s="123"/>
      <c r="T78" s="123"/>
      <c r="U78" s="123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25">
        <v>45269</v>
      </c>
      <c r="AK78" s="13" t="s">
        <v>163</v>
      </c>
      <c r="AN78" s="114"/>
    </row>
    <row r="79" spans="1:40" ht="19.5" x14ac:dyDescent="0.4">
      <c r="A79" s="117"/>
      <c r="B79" s="123"/>
      <c r="C79" s="123"/>
      <c r="D79" s="123"/>
      <c r="K79" s="115" t="s">
        <v>189</v>
      </c>
      <c r="L79" s="13">
        <f>SUBTOTAL(3,L75:L78)</f>
        <v>4</v>
      </c>
      <c r="M79" s="13">
        <f>SUBTOTAL(3,M75:M78)</f>
        <v>4</v>
      </c>
      <c r="R79" s="117"/>
      <c r="S79" s="123"/>
      <c r="T79" s="123"/>
      <c r="U79" s="123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25"/>
      <c r="AK79" s="13"/>
      <c r="AN79" s="114"/>
    </row>
    <row r="80" spans="1:40" ht="19.5" x14ac:dyDescent="0.4">
      <c r="A80" s="117"/>
      <c r="B80" s="123"/>
      <c r="C80" s="123"/>
      <c r="D80" s="123"/>
      <c r="L80" s="25">
        <v>45626</v>
      </c>
      <c r="M80" s="13" t="s">
        <v>146</v>
      </c>
      <c r="R80" s="117"/>
      <c r="S80" s="123"/>
      <c r="T80" s="123"/>
      <c r="U80" s="123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 t="s">
        <v>159</v>
      </c>
      <c r="AJ80" s="13">
        <f>SUBTOTAL(3,AJ76:AJ78)</f>
        <v>2</v>
      </c>
      <c r="AK80" s="13">
        <f>SUBTOTAL(3,AK76:AK78)</f>
        <v>2</v>
      </c>
      <c r="AN80" s="114"/>
    </row>
    <row r="81" spans="1:40" ht="19.5" x14ac:dyDescent="0.4">
      <c r="A81" s="117"/>
      <c r="B81" s="123"/>
      <c r="C81" s="123"/>
      <c r="D81" s="123"/>
      <c r="G81" s="115"/>
      <c r="H81" s="115"/>
      <c r="I81" s="115"/>
      <c r="J81" s="115"/>
      <c r="K81" s="115"/>
      <c r="L81" s="25">
        <v>45626</v>
      </c>
      <c r="M81" s="15" t="s">
        <v>147</v>
      </c>
      <c r="R81" s="117"/>
      <c r="S81" s="123"/>
      <c r="T81" s="123"/>
      <c r="U81" s="123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3"/>
      <c r="AK81" s="13"/>
      <c r="AN81" s="114"/>
    </row>
    <row r="82" spans="1:40" ht="19.5" x14ac:dyDescent="0.4">
      <c r="A82" s="117"/>
      <c r="B82" s="123"/>
      <c r="C82" s="123"/>
      <c r="D82" s="123"/>
      <c r="G82" s="115"/>
      <c r="H82" s="115"/>
      <c r="I82" s="115"/>
      <c r="J82" s="115"/>
      <c r="K82" s="115" t="s">
        <v>183</v>
      </c>
      <c r="L82" s="13">
        <f>SUBTOTAL(3,L80:L81)</f>
        <v>2</v>
      </c>
      <c r="M82" s="15">
        <f>SUBTOTAL(3,M80:M81)</f>
        <v>2</v>
      </c>
      <c r="R82" s="117"/>
      <c r="S82" s="123"/>
      <c r="T82" s="123"/>
      <c r="U82" s="123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3"/>
      <c r="AK82" s="13"/>
      <c r="AN82" s="114"/>
    </row>
    <row r="83" spans="1:40" ht="19.5" x14ac:dyDescent="0.4">
      <c r="A83" s="117"/>
      <c r="B83" s="123"/>
      <c r="C83" s="123"/>
      <c r="D83" s="123"/>
      <c r="F83" s="115"/>
      <c r="G83" s="115"/>
      <c r="H83" s="115"/>
      <c r="I83" s="115"/>
      <c r="J83" s="115"/>
      <c r="K83" s="115"/>
      <c r="L83" s="25">
        <v>45627</v>
      </c>
      <c r="M83" s="15" t="s">
        <v>142</v>
      </c>
      <c r="R83" s="117"/>
      <c r="S83" s="123"/>
      <c r="T83" s="123"/>
      <c r="U83" s="123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3"/>
      <c r="AK83" s="13"/>
      <c r="AN83" s="114"/>
    </row>
    <row r="84" spans="1:40" ht="19.5" x14ac:dyDescent="0.4">
      <c r="A84" s="117"/>
      <c r="B84" s="123"/>
      <c r="C84" s="123"/>
      <c r="D84" s="123"/>
      <c r="L84" s="25">
        <v>45627</v>
      </c>
      <c r="M84" s="15" t="s">
        <v>146</v>
      </c>
      <c r="R84" s="117"/>
      <c r="S84" s="123"/>
      <c r="T84" s="123"/>
      <c r="U84" s="123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25">
        <v>45270</v>
      </c>
      <c r="AK84" s="13" t="s">
        <v>164</v>
      </c>
      <c r="AN84" s="114"/>
    </row>
    <row r="85" spans="1:40" ht="19.5" x14ac:dyDescent="0.4">
      <c r="A85" s="117"/>
      <c r="B85" s="123"/>
      <c r="C85" s="123"/>
      <c r="D85" s="123"/>
      <c r="L85" s="25">
        <v>45627</v>
      </c>
      <c r="M85" s="15" t="s">
        <v>146</v>
      </c>
      <c r="R85" s="117"/>
      <c r="S85" s="123"/>
      <c r="T85" s="123"/>
      <c r="U85" s="123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25"/>
      <c r="AK85" s="13"/>
      <c r="AN85" s="114"/>
    </row>
    <row r="86" spans="1:40" ht="19.5" x14ac:dyDescent="0.4">
      <c r="A86" s="117"/>
      <c r="B86" s="123"/>
      <c r="C86" s="123"/>
      <c r="D86" s="123"/>
      <c r="J86" s="115"/>
      <c r="K86" s="115"/>
      <c r="L86" s="25">
        <v>45627</v>
      </c>
      <c r="M86" s="15" t="s">
        <v>146</v>
      </c>
      <c r="R86" s="117"/>
      <c r="S86" s="123"/>
      <c r="T86" s="123"/>
      <c r="U86" s="123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25"/>
      <c r="AK86" s="13"/>
      <c r="AN86" s="114"/>
    </row>
    <row r="87" spans="1:40" ht="19.5" x14ac:dyDescent="0.4">
      <c r="A87" s="117"/>
      <c r="B87" s="123"/>
      <c r="C87" s="123"/>
      <c r="D87" s="123"/>
      <c r="L87" s="25">
        <v>45627</v>
      </c>
      <c r="M87" s="15" t="s">
        <v>146</v>
      </c>
      <c r="R87" s="117"/>
      <c r="S87" s="123"/>
      <c r="T87" s="123"/>
      <c r="U87" s="123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25">
        <v>45270</v>
      </c>
      <c r="AK87" s="13" t="s">
        <v>164</v>
      </c>
      <c r="AN87" s="114"/>
    </row>
    <row r="88" spans="1:40" ht="19.5" x14ac:dyDescent="0.4">
      <c r="A88" s="117"/>
      <c r="B88" s="123"/>
      <c r="C88" s="123"/>
      <c r="D88" s="123"/>
      <c r="F88" s="115"/>
      <c r="G88" s="115"/>
      <c r="H88" s="115"/>
      <c r="I88" s="115"/>
      <c r="J88" s="115"/>
      <c r="K88" s="115"/>
      <c r="L88" s="25">
        <v>45627</v>
      </c>
      <c r="M88" s="15" t="s">
        <v>146</v>
      </c>
      <c r="R88" s="117"/>
      <c r="S88" s="123"/>
      <c r="T88" s="123"/>
      <c r="U88" s="123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25"/>
      <c r="AK88" s="13"/>
      <c r="AN88" s="114"/>
    </row>
    <row r="89" spans="1:40" ht="19.5" x14ac:dyDescent="0.4">
      <c r="A89" s="117"/>
      <c r="B89" s="123"/>
      <c r="C89" s="123"/>
      <c r="D89" s="123"/>
      <c r="L89" s="25">
        <v>45627</v>
      </c>
      <c r="M89" s="15" t="s">
        <v>146</v>
      </c>
      <c r="R89" s="117"/>
      <c r="S89" s="123"/>
      <c r="T89" s="123"/>
      <c r="U89" s="123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25">
        <v>45270</v>
      </c>
      <c r="AK89" s="13" t="s">
        <v>162</v>
      </c>
      <c r="AN89" s="114"/>
    </row>
    <row r="90" spans="1:40" ht="19.5" x14ac:dyDescent="0.4">
      <c r="A90" s="117"/>
      <c r="B90" s="123"/>
      <c r="C90" s="123"/>
      <c r="D90" s="123"/>
      <c r="K90" s="115" t="s">
        <v>328</v>
      </c>
      <c r="L90" s="13">
        <f>SUBTOTAL(3,L83:L89)</f>
        <v>7</v>
      </c>
      <c r="M90" s="15">
        <f>SUBTOTAL(3,M83:M89)</f>
        <v>7</v>
      </c>
      <c r="R90" s="117"/>
      <c r="S90" s="123"/>
      <c r="T90" s="123"/>
      <c r="U90" s="123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25"/>
      <c r="AK90" s="13"/>
      <c r="AN90" s="114"/>
    </row>
    <row r="91" spans="1:40" ht="19.5" x14ac:dyDescent="0.4">
      <c r="A91" s="117"/>
      <c r="B91" s="123"/>
      <c r="C91" s="123"/>
      <c r="D91" s="123"/>
      <c r="L91" s="25">
        <v>45628</v>
      </c>
      <c r="M91" s="15" t="s">
        <v>146</v>
      </c>
      <c r="R91" s="117"/>
      <c r="S91" s="123"/>
      <c r="T91" s="123"/>
      <c r="U91" s="123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25">
        <v>45270</v>
      </c>
      <c r="AK91" s="13" t="s">
        <v>162</v>
      </c>
      <c r="AN91" s="114"/>
    </row>
    <row r="92" spans="1:40" ht="19.5" x14ac:dyDescent="0.4">
      <c r="A92" s="117"/>
      <c r="B92" s="123"/>
      <c r="C92" s="123"/>
      <c r="D92" s="123"/>
      <c r="G92" s="115"/>
      <c r="H92" s="115"/>
      <c r="I92" s="115"/>
      <c r="J92" s="115"/>
      <c r="K92" s="115"/>
      <c r="L92" s="25">
        <v>45628</v>
      </c>
      <c r="M92" s="15" t="s">
        <v>146</v>
      </c>
      <c r="R92" s="117"/>
      <c r="S92" s="123"/>
      <c r="T92" s="123"/>
      <c r="U92" s="123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25"/>
      <c r="AK92" s="13"/>
      <c r="AN92" s="114"/>
    </row>
    <row r="93" spans="1:40" ht="19.5" x14ac:dyDescent="0.4">
      <c r="A93" s="117"/>
      <c r="B93" s="123"/>
      <c r="C93" s="123"/>
      <c r="D93" s="123"/>
      <c r="L93" s="25">
        <v>45628</v>
      </c>
      <c r="M93" s="15" t="s">
        <v>146</v>
      </c>
      <c r="R93" s="117"/>
      <c r="S93" s="123"/>
      <c r="T93" s="123"/>
      <c r="U93" s="123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25"/>
      <c r="AK93" s="13"/>
      <c r="AN93" s="114"/>
    </row>
    <row r="94" spans="1:40" ht="19.5" x14ac:dyDescent="0.4">
      <c r="A94" s="117"/>
      <c r="B94" s="123"/>
      <c r="C94" s="123"/>
      <c r="D94" s="123"/>
      <c r="L94" s="25">
        <v>45628</v>
      </c>
      <c r="M94" s="15" t="s">
        <v>146</v>
      </c>
      <c r="R94" s="117"/>
      <c r="S94" s="123"/>
      <c r="T94" s="123"/>
      <c r="U94" s="123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25">
        <v>45270</v>
      </c>
      <c r="AK94" s="13" t="s">
        <v>163</v>
      </c>
      <c r="AN94" s="114"/>
    </row>
    <row r="95" spans="1:40" ht="19.5" x14ac:dyDescent="0.4">
      <c r="A95" s="117"/>
      <c r="B95" s="123"/>
      <c r="C95" s="123"/>
      <c r="D95" s="123"/>
      <c r="L95" s="25">
        <v>45628</v>
      </c>
      <c r="M95" s="15" t="s">
        <v>146</v>
      </c>
      <c r="R95" s="117"/>
      <c r="S95" s="123"/>
      <c r="T95" s="123"/>
      <c r="U95" s="123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 t="s">
        <v>151</v>
      </c>
      <c r="AJ95" s="13">
        <f>SUBTOTAL(3,AJ84:AJ94)</f>
        <v>5</v>
      </c>
      <c r="AK95" s="13">
        <f>SUBTOTAL(3,AK84:AK94)</f>
        <v>5</v>
      </c>
      <c r="AN95" s="114"/>
    </row>
    <row r="96" spans="1:40" ht="19.5" x14ac:dyDescent="0.4">
      <c r="A96" s="117"/>
      <c r="B96" s="123"/>
      <c r="C96" s="123"/>
      <c r="D96" s="123"/>
      <c r="L96" s="25">
        <v>45628</v>
      </c>
      <c r="M96" s="15" t="s">
        <v>146</v>
      </c>
      <c r="R96" s="117"/>
      <c r="S96" s="123"/>
      <c r="T96" s="123"/>
      <c r="U96" s="123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25">
        <v>45271</v>
      </c>
      <c r="AK96" s="13" t="s">
        <v>162</v>
      </c>
      <c r="AN96" s="114"/>
    </row>
    <row r="97" spans="1:40" ht="19.5" x14ac:dyDescent="0.4">
      <c r="A97" s="117"/>
      <c r="B97" s="123"/>
      <c r="C97" s="123"/>
      <c r="D97" s="123"/>
      <c r="L97" s="26">
        <v>45628</v>
      </c>
      <c r="M97" s="15" t="s">
        <v>146</v>
      </c>
      <c r="R97" s="117"/>
      <c r="S97" s="123"/>
      <c r="T97" s="123"/>
      <c r="U97" s="123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25">
        <v>45271</v>
      </c>
      <c r="AK97" s="13" t="s">
        <v>163</v>
      </c>
      <c r="AN97" s="114"/>
    </row>
    <row r="98" spans="1:40" ht="19.5" x14ac:dyDescent="0.4">
      <c r="A98" s="117"/>
      <c r="B98" s="123"/>
      <c r="C98" s="123"/>
      <c r="D98" s="123"/>
      <c r="K98" s="115" t="s">
        <v>190</v>
      </c>
      <c r="L98" s="17">
        <f>SUBTOTAL(3,L91:L97)</f>
        <v>7</v>
      </c>
      <c r="M98" s="13">
        <f>SUBTOTAL(3,M91:M97)</f>
        <v>7</v>
      </c>
      <c r="R98" s="117"/>
      <c r="S98" s="123"/>
      <c r="T98" s="123"/>
      <c r="U98" s="123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25"/>
      <c r="AK98" s="13"/>
      <c r="AN98" s="114"/>
    </row>
    <row r="99" spans="1:40" ht="19.5" x14ac:dyDescent="0.4">
      <c r="A99" s="117"/>
      <c r="B99" s="123"/>
      <c r="C99" s="123"/>
      <c r="D99" s="123"/>
      <c r="I99" s="115"/>
      <c r="J99" s="115"/>
      <c r="K99" s="115"/>
      <c r="L99" s="26">
        <v>45629</v>
      </c>
      <c r="M99" s="13" t="s">
        <v>146</v>
      </c>
      <c r="R99" s="117"/>
      <c r="S99" s="123"/>
      <c r="T99" s="123"/>
      <c r="U99" s="123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25"/>
      <c r="AK99" s="13"/>
      <c r="AN99" s="114"/>
    </row>
    <row r="100" spans="1:40" ht="19.5" x14ac:dyDescent="0.4">
      <c r="A100" s="117"/>
      <c r="B100" s="123"/>
      <c r="C100" s="123"/>
      <c r="D100" s="123"/>
      <c r="L100" s="26">
        <v>45629</v>
      </c>
      <c r="M100" s="13" t="s">
        <v>146</v>
      </c>
      <c r="R100" s="117"/>
      <c r="S100" s="123"/>
      <c r="T100" s="123"/>
      <c r="U100" s="123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25">
        <v>45271</v>
      </c>
      <c r="AK100" s="13" t="s">
        <v>163</v>
      </c>
      <c r="AN100" s="114"/>
    </row>
    <row r="101" spans="1:40" ht="19.5" x14ac:dyDescent="0.4">
      <c r="A101" s="117"/>
      <c r="B101" s="123"/>
      <c r="C101" s="123"/>
      <c r="D101" s="123"/>
      <c r="J101" s="115"/>
      <c r="K101" s="115"/>
      <c r="L101" s="26">
        <v>45629</v>
      </c>
      <c r="M101" s="13" t="s">
        <v>146</v>
      </c>
      <c r="R101" s="117"/>
      <c r="S101" s="123"/>
      <c r="T101" s="123"/>
      <c r="U101" s="123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25"/>
      <c r="AK101" s="13"/>
      <c r="AN101" s="114"/>
    </row>
    <row r="102" spans="1:40" ht="19.5" x14ac:dyDescent="0.4">
      <c r="A102" s="117"/>
      <c r="B102" s="123"/>
      <c r="C102" s="123"/>
      <c r="D102" s="123"/>
      <c r="L102" s="26">
        <v>45629</v>
      </c>
      <c r="M102" s="13" t="s">
        <v>146</v>
      </c>
      <c r="R102" s="117"/>
      <c r="S102" s="123"/>
      <c r="T102" s="123"/>
      <c r="U102" s="123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 t="s">
        <v>165</v>
      </c>
      <c r="AJ102" s="13">
        <f>SUBTOTAL(3,AJ96:AJ100)</f>
        <v>3</v>
      </c>
      <c r="AK102" s="13">
        <f>SUBTOTAL(3,AK96:AK100)</f>
        <v>3</v>
      </c>
      <c r="AN102" s="114"/>
    </row>
    <row r="103" spans="1:40" ht="19.5" x14ac:dyDescent="0.4">
      <c r="A103" s="117"/>
      <c r="B103" s="123"/>
      <c r="C103" s="123"/>
      <c r="D103" s="123"/>
      <c r="L103" s="26">
        <v>45629</v>
      </c>
      <c r="M103" s="13" t="s">
        <v>146</v>
      </c>
      <c r="R103" s="117"/>
      <c r="S103" s="123"/>
      <c r="T103" s="123"/>
      <c r="U103" s="123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25">
        <v>45272</v>
      </c>
      <c r="AK103" s="13" t="s">
        <v>162</v>
      </c>
      <c r="AN103" s="114"/>
    </row>
    <row r="104" spans="1:40" ht="19.5" x14ac:dyDescent="0.4">
      <c r="A104" s="117"/>
      <c r="B104" s="123"/>
      <c r="C104" s="123"/>
      <c r="D104" s="123"/>
      <c r="L104" s="26">
        <v>45629</v>
      </c>
      <c r="M104" s="13" t="s">
        <v>146</v>
      </c>
      <c r="R104" s="117"/>
      <c r="S104" s="123"/>
      <c r="T104" s="123"/>
      <c r="U104" s="123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25">
        <v>45272</v>
      </c>
      <c r="AK104" s="13" t="s">
        <v>162</v>
      </c>
      <c r="AN104" s="114"/>
    </row>
    <row r="105" spans="1:40" ht="19.5" x14ac:dyDescent="0.4">
      <c r="A105" s="117"/>
      <c r="B105" s="123"/>
      <c r="C105" s="123"/>
      <c r="D105" s="123"/>
      <c r="L105" s="26">
        <v>45629</v>
      </c>
      <c r="M105" s="13" t="s">
        <v>146</v>
      </c>
      <c r="R105" s="117"/>
      <c r="S105" s="123"/>
      <c r="T105" s="123"/>
      <c r="U105" s="123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25">
        <v>45272</v>
      </c>
      <c r="AK105" s="13" t="s">
        <v>162</v>
      </c>
      <c r="AN105" s="114"/>
    </row>
    <row r="106" spans="1:40" ht="19.5" x14ac:dyDescent="0.4">
      <c r="A106" s="125"/>
      <c r="B106" s="126"/>
      <c r="C106" s="126"/>
      <c r="D106" s="126"/>
      <c r="F106" s="115"/>
      <c r="G106" s="115"/>
      <c r="H106" s="115"/>
      <c r="I106" s="115"/>
      <c r="J106" s="115"/>
      <c r="K106" s="115"/>
      <c r="L106" s="26">
        <v>45629</v>
      </c>
      <c r="M106" s="13" t="s">
        <v>147</v>
      </c>
      <c r="R106" s="117"/>
      <c r="S106" s="123"/>
      <c r="T106" s="123"/>
      <c r="U106" s="123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25"/>
      <c r="AK106" s="13"/>
      <c r="AN106" s="114"/>
    </row>
    <row r="107" spans="1:40" ht="19.5" x14ac:dyDescent="0.4">
      <c r="A107" s="125"/>
      <c r="B107" s="126"/>
      <c r="C107" s="126"/>
      <c r="D107" s="126"/>
      <c r="F107" s="115"/>
      <c r="G107" s="115"/>
      <c r="H107" s="115"/>
      <c r="I107" s="115"/>
      <c r="J107" s="115"/>
      <c r="K107" s="115"/>
      <c r="L107" s="26">
        <v>45629</v>
      </c>
      <c r="M107" s="13" t="s">
        <v>146</v>
      </c>
      <c r="R107" s="117"/>
      <c r="S107" s="123"/>
      <c r="T107" s="123"/>
      <c r="U107" s="123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25"/>
      <c r="AK107" s="13"/>
      <c r="AN107" s="114"/>
    </row>
    <row r="108" spans="1:40" ht="19.5" x14ac:dyDescent="0.4">
      <c r="A108" s="125"/>
      <c r="B108" s="126"/>
      <c r="C108" s="126"/>
      <c r="D108" s="126"/>
      <c r="F108" s="115"/>
      <c r="G108" s="115"/>
      <c r="H108" s="115"/>
      <c r="I108" s="115"/>
      <c r="J108" s="115"/>
      <c r="K108" s="115" t="s">
        <v>191</v>
      </c>
      <c r="L108" s="17">
        <f>SUBTOTAL(3,L99:L107)</f>
        <v>9</v>
      </c>
      <c r="M108" s="13">
        <f>SUBTOTAL(3,M99:M107)</f>
        <v>9</v>
      </c>
      <c r="R108" s="117"/>
      <c r="S108" s="123"/>
      <c r="T108" s="123"/>
      <c r="U108" s="123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25"/>
      <c r="AK108" s="13"/>
      <c r="AN108" s="114"/>
    </row>
    <row r="109" spans="1:40" ht="19.5" x14ac:dyDescent="0.4">
      <c r="L109" s="26">
        <v>45630</v>
      </c>
      <c r="M109" s="13" t="s">
        <v>146</v>
      </c>
      <c r="R109" s="117"/>
      <c r="S109" s="123"/>
      <c r="T109" s="123"/>
      <c r="U109" s="123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25">
        <v>45272</v>
      </c>
      <c r="AK109" s="13" t="s">
        <v>162</v>
      </c>
      <c r="AN109" s="114"/>
    </row>
    <row r="110" spans="1:40" ht="19.5" x14ac:dyDescent="0.4">
      <c r="L110" s="26">
        <v>45630</v>
      </c>
      <c r="M110" s="13" t="s">
        <v>146</v>
      </c>
      <c r="R110" s="117"/>
      <c r="S110" s="123"/>
      <c r="T110" s="123"/>
      <c r="U110" s="123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25"/>
      <c r="AK110" s="13"/>
      <c r="AN110" s="114"/>
    </row>
    <row r="111" spans="1:40" ht="19.5" x14ac:dyDescent="0.4">
      <c r="H111" s="115"/>
      <c r="I111" s="115"/>
      <c r="J111" s="115"/>
      <c r="K111" s="115"/>
      <c r="L111" s="26">
        <v>45630</v>
      </c>
      <c r="M111" s="13" t="s">
        <v>146</v>
      </c>
      <c r="R111" s="117"/>
      <c r="S111" s="123"/>
      <c r="T111" s="123"/>
      <c r="U111" s="123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25"/>
      <c r="AK111" s="13"/>
      <c r="AN111" s="114"/>
    </row>
    <row r="112" spans="1:40" ht="19.5" x14ac:dyDescent="0.4">
      <c r="L112" s="26">
        <v>45630</v>
      </c>
      <c r="M112" s="13" t="s">
        <v>146</v>
      </c>
      <c r="R112" s="117"/>
      <c r="S112" s="123"/>
      <c r="T112" s="123"/>
      <c r="U112" s="123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25">
        <v>45272</v>
      </c>
      <c r="AK112" s="13" t="s">
        <v>162</v>
      </c>
      <c r="AN112" s="114"/>
    </row>
    <row r="113" spans="6:40" ht="19.5" x14ac:dyDescent="0.4">
      <c r="L113" s="26">
        <v>45630</v>
      </c>
      <c r="M113" s="25" t="s">
        <v>146</v>
      </c>
      <c r="R113" s="117"/>
      <c r="S113" s="123"/>
      <c r="T113" s="123"/>
      <c r="U113" s="123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25">
        <v>45272</v>
      </c>
      <c r="AK113" s="15" t="s">
        <v>162</v>
      </c>
      <c r="AN113" s="114"/>
    </row>
    <row r="114" spans="6:40" ht="19.5" x14ac:dyDescent="0.4">
      <c r="L114" s="26">
        <v>45630</v>
      </c>
      <c r="M114" s="13" t="s">
        <v>146</v>
      </c>
      <c r="R114" s="117"/>
      <c r="S114" s="123"/>
      <c r="T114" s="123"/>
      <c r="U114" s="123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25">
        <v>45272</v>
      </c>
      <c r="AK114" s="15" t="s">
        <v>162</v>
      </c>
      <c r="AN114" s="114"/>
    </row>
    <row r="115" spans="6:40" ht="19.5" x14ac:dyDescent="0.4">
      <c r="H115" s="115"/>
      <c r="I115" s="115"/>
      <c r="J115" s="115"/>
      <c r="K115" s="115"/>
      <c r="L115" s="26">
        <v>45630</v>
      </c>
      <c r="M115" s="13" t="s">
        <v>148</v>
      </c>
      <c r="R115" s="117"/>
      <c r="S115" s="123"/>
      <c r="T115" s="123"/>
      <c r="U115" s="123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25"/>
      <c r="AK115" s="15"/>
      <c r="AN115" s="114"/>
    </row>
    <row r="116" spans="6:40" ht="19.5" x14ac:dyDescent="0.4">
      <c r="L116" s="26">
        <v>45630</v>
      </c>
      <c r="M116" s="13" t="s">
        <v>146</v>
      </c>
      <c r="R116" s="117"/>
      <c r="S116" s="123"/>
      <c r="T116" s="123"/>
      <c r="U116" s="123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25">
        <v>45272</v>
      </c>
      <c r="AK116" s="15" t="s">
        <v>162</v>
      </c>
      <c r="AN116" s="114"/>
    </row>
    <row r="117" spans="6:40" ht="19.5" x14ac:dyDescent="0.4">
      <c r="F117" s="115"/>
      <c r="G117" s="115"/>
      <c r="H117" s="115"/>
      <c r="I117" s="115"/>
      <c r="J117" s="115"/>
      <c r="K117" s="115"/>
      <c r="L117" s="26">
        <v>45630</v>
      </c>
      <c r="M117" s="13" t="s">
        <v>146</v>
      </c>
      <c r="R117" s="117"/>
      <c r="S117" s="123"/>
      <c r="T117" s="123"/>
      <c r="U117" s="123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25"/>
      <c r="AK117" s="15"/>
      <c r="AN117" s="114"/>
    </row>
    <row r="118" spans="6:40" ht="19.5" x14ac:dyDescent="0.4">
      <c r="F118" s="115"/>
      <c r="G118" s="115"/>
      <c r="H118" s="115"/>
      <c r="I118" s="115"/>
      <c r="J118" s="115"/>
      <c r="K118" s="115" t="s">
        <v>192</v>
      </c>
      <c r="L118" s="17">
        <f>SUBTOTAL(3,L109:L117)</f>
        <v>9</v>
      </c>
      <c r="M118" s="13">
        <f>SUBTOTAL(3,M109:M117)</f>
        <v>9</v>
      </c>
      <c r="R118" s="117"/>
      <c r="S118" s="123"/>
      <c r="T118" s="123"/>
      <c r="U118" s="123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25"/>
      <c r="AK118" s="15"/>
      <c r="AN118" s="114"/>
    </row>
    <row r="119" spans="6:40" ht="19.5" x14ac:dyDescent="0.4">
      <c r="F119" s="115"/>
      <c r="G119" s="115"/>
      <c r="H119" s="115"/>
      <c r="I119" s="115"/>
      <c r="J119" s="115"/>
      <c r="K119" s="115"/>
      <c r="L119" s="26">
        <v>45633</v>
      </c>
      <c r="M119" s="13" t="s">
        <v>146</v>
      </c>
      <c r="R119" s="117"/>
      <c r="S119" s="123"/>
      <c r="T119" s="123"/>
      <c r="U119" s="123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25"/>
      <c r="AK119" s="15"/>
      <c r="AN119" s="114"/>
    </row>
    <row r="120" spans="6:40" ht="19.5" x14ac:dyDescent="0.4">
      <c r="F120" s="115"/>
      <c r="G120" s="115"/>
      <c r="H120" s="115"/>
      <c r="I120" s="115"/>
      <c r="J120" s="115"/>
      <c r="K120" s="115"/>
      <c r="L120" s="26">
        <v>45633</v>
      </c>
      <c r="M120" s="13" t="s">
        <v>146</v>
      </c>
      <c r="R120" s="117"/>
      <c r="S120" s="123"/>
      <c r="T120" s="123"/>
      <c r="U120" s="123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25"/>
      <c r="AK120" s="15"/>
      <c r="AN120" s="114"/>
    </row>
    <row r="121" spans="6:40" ht="19.5" x14ac:dyDescent="0.4">
      <c r="L121" s="26">
        <v>45633</v>
      </c>
      <c r="M121" s="13" t="s">
        <v>148</v>
      </c>
      <c r="R121" s="117"/>
      <c r="S121" s="123"/>
      <c r="T121" s="123"/>
      <c r="U121" s="123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25">
        <v>45272</v>
      </c>
      <c r="AK121" s="15" t="s">
        <v>162</v>
      </c>
      <c r="AN121" s="114"/>
    </row>
    <row r="122" spans="6:40" ht="19.5" x14ac:dyDescent="0.4">
      <c r="K122" s="115" t="s">
        <v>329</v>
      </c>
      <c r="L122" s="17">
        <f>SUBTOTAL(3,L119:L121)</f>
        <v>3</v>
      </c>
      <c r="M122" s="13">
        <f>SUBTOTAL(3,M119:M121)</f>
        <v>3</v>
      </c>
      <c r="R122" s="117"/>
      <c r="S122" s="123"/>
      <c r="T122" s="123"/>
      <c r="U122" s="123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25"/>
      <c r="AK122" s="15"/>
      <c r="AN122" s="114"/>
    </row>
    <row r="123" spans="6:40" ht="19.5" x14ac:dyDescent="0.4">
      <c r="F123" s="115"/>
      <c r="G123" s="115"/>
      <c r="H123" s="115"/>
      <c r="I123" s="115"/>
      <c r="J123" s="115"/>
      <c r="K123" s="115"/>
      <c r="L123" s="26">
        <v>45634</v>
      </c>
      <c r="M123" s="13" t="s">
        <v>146</v>
      </c>
      <c r="R123" s="117"/>
      <c r="S123" s="123"/>
      <c r="T123" s="123"/>
      <c r="U123" s="123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25"/>
      <c r="AK123" s="15"/>
      <c r="AN123" s="114"/>
    </row>
    <row r="124" spans="6:40" ht="19.5" x14ac:dyDescent="0.4">
      <c r="F124" s="115"/>
      <c r="G124" s="115"/>
      <c r="H124" s="115"/>
      <c r="I124" s="115"/>
      <c r="J124" s="115"/>
      <c r="K124" s="115"/>
      <c r="L124" s="26">
        <v>45634</v>
      </c>
      <c r="M124" s="13" t="s">
        <v>146</v>
      </c>
      <c r="R124" s="117"/>
      <c r="S124" s="123"/>
      <c r="T124" s="123"/>
      <c r="U124" s="123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25"/>
      <c r="AK124" s="15"/>
      <c r="AN124" s="114"/>
    </row>
    <row r="125" spans="6:40" ht="19.5" x14ac:dyDescent="0.4">
      <c r="F125" s="115"/>
      <c r="G125" s="115"/>
      <c r="H125" s="115"/>
      <c r="I125" s="115"/>
      <c r="J125" s="115"/>
      <c r="K125" s="115" t="s">
        <v>193</v>
      </c>
      <c r="L125" s="17">
        <f>SUBTOTAL(3,L123:L124)</f>
        <v>2</v>
      </c>
      <c r="M125" s="13">
        <f>SUBTOTAL(3,M123:M124)</f>
        <v>2</v>
      </c>
      <c r="R125" s="117"/>
      <c r="S125" s="123"/>
      <c r="T125" s="123"/>
      <c r="U125" s="123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25"/>
      <c r="AK125" s="15"/>
      <c r="AN125" s="114"/>
    </row>
    <row r="126" spans="6:40" ht="19.5" x14ac:dyDescent="0.4">
      <c r="L126" s="26">
        <v>45640</v>
      </c>
      <c r="M126" s="13" t="s">
        <v>147</v>
      </c>
      <c r="R126" s="117"/>
      <c r="S126" s="123"/>
      <c r="T126" s="123"/>
      <c r="U126" s="123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25">
        <v>45272</v>
      </c>
      <c r="AK126" s="15" t="s">
        <v>162</v>
      </c>
      <c r="AN126" s="114"/>
    </row>
    <row r="127" spans="6:40" ht="19.5" x14ac:dyDescent="0.4">
      <c r="K127" s="115" t="s">
        <v>330</v>
      </c>
      <c r="L127" s="17">
        <f>SUBTOTAL(3,L126:L126)</f>
        <v>1</v>
      </c>
      <c r="M127" s="13">
        <f>SUBTOTAL(3,M126:M126)</f>
        <v>1</v>
      </c>
      <c r="R127" s="117"/>
      <c r="S127" s="123"/>
      <c r="T127" s="123"/>
      <c r="U127" s="123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25"/>
      <c r="AK127" s="15"/>
      <c r="AN127" s="114"/>
    </row>
    <row r="128" spans="6:40" ht="19.5" x14ac:dyDescent="0.4">
      <c r="H128" s="115"/>
      <c r="I128" s="115"/>
      <c r="J128" s="115"/>
      <c r="K128" s="115"/>
      <c r="L128" s="26">
        <v>45650</v>
      </c>
      <c r="M128" s="13" t="s">
        <v>146</v>
      </c>
      <c r="R128" s="117"/>
      <c r="S128" s="123"/>
      <c r="T128" s="123"/>
      <c r="U128" s="123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25"/>
      <c r="AK128" s="15"/>
      <c r="AN128" s="114"/>
    </row>
    <row r="129" spans="6:40" ht="19.5" x14ac:dyDescent="0.4">
      <c r="H129" s="115"/>
      <c r="I129" s="115"/>
      <c r="J129" s="115"/>
      <c r="K129" s="115" t="s">
        <v>331</v>
      </c>
      <c r="L129" s="20">
        <f>SUBTOTAL(3,L128:L128)</f>
        <v>1</v>
      </c>
      <c r="M129" s="13">
        <f>SUBTOTAL(3,M128:M128)</f>
        <v>1</v>
      </c>
      <c r="R129" s="117"/>
      <c r="S129" s="123"/>
      <c r="T129" s="123"/>
      <c r="U129" s="123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25"/>
      <c r="AK129" s="15"/>
      <c r="AN129" s="114"/>
    </row>
    <row r="130" spans="6:40" ht="19.5" x14ac:dyDescent="0.4">
      <c r="H130" s="115"/>
      <c r="I130" s="115"/>
      <c r="J130" s="115"/>
      <c r="K130" s="115" t="s">
        <v>145</v>
      </c>
      <c r="L130" s="20">
        <f>SUBTOTAL(3,L2:L128)</f>
        <v>107</v>
      </c>
      <c r="M130" s="13">
        <f>SUBTOTAL(3,M2:M128)</f>
        <v>107</v>
      </c>
      <c r="R130" s="117"/>
      <c r="S130" s="123"/>
      <c r="T130" s="123"/>
      <c r="U130" s="123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25"/>
      <c r="AK130" s="15"/>
      <c r="AN130" s="114"/>
    </row>
    <row r="131" spans="6:40" ht="19.5" x14ac:dyDescent="0.4">
      <c r="H131" s="115"/>
      <c r="I131" s="115"/>
      <c r="J131" s="115"/>
      <c r="K131" s="115"/>
      <c r="L131" s="25"/>
      <c r="M131" s="15"/>
      <c r="R131" s="117"/>
      <c r="S131" s="123"/>
      <c r="T131" s="123"/>
      <c r="U131" s="123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25"/>
      <c r="AK131" s="15"/>
      <c r="AN131" s="114"/>
    </row>
    <row r="132" spans="6:40" ht="19.5" x14ac:dyDescent="0.4">
      <c r="F132" s="115"/>
      <c r="G132" s="115"/>
      <c r="H132" s="115"/>
      <c r="I132" s="115"/>
      <c r="J132" s="115"/>
      <c r="K132" s="115"/>
      <c r="L132" s="25"/>
      <c r="M132" s="15"/>
      <c r="R132" s="117"/>
      <c r="S132" s="123"/>
      <c r="T132" s="123"/>
      <c r="U132" s="123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25"/>
      <c r="AK132" s="15"/>
      <c r="AN132" s="114"/>
    </row>
    <row r="133" spans="6:40" ht="19.5" x14ac:dyDescent="0.4">
      <c r="F133" s="115"/>
      <c r="G133" s="115"/>
      <c r="H133" s="115"/>
      <c r="I133" s="115"/>
      <c r="J133" s="115"/>
      <c r="K133" s="115"/>
      <c r="L133" s="25"/>
      <c r="M133" s="15"/>
      <c r="R133" s="117"/>
      <c r="S133" s="123"/>
      <c r="T133" s="123"/>
      <c r="U133" s="123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25"/>
      <c r="AK133" s="15"/>
      <c r="AN133" s="114"/>
    </row>
    <row r="134" spans="6:40" ht="19.5" x14ac:dyDescent="0.4">
      <c r="L134" s="26"/>
      <c r="M134" s="15"/>
      <c r="R134" s="117"/>
      <c r="S134" s="123"/>
      <c r="T134" s="123"/>
      <c r="U134" s="123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25">
        <v>45272</v>
      </c>
      <c r="AK134" s="15" t="s">
        <v>162</v>
      </c>
      <c r="AN134" s="114"/>
    </row>
    <row r="135" spans="6:40" ht="19.5" x14ac:dyDescent="0.4">
      <c r="L135" s="26"/>
      <c r="M135" s="13"/>
      <c r="R135" s="117"/>
      <c r="S135" s="123"/>
      <c r="T135" s="123"/>
      <c r="U135" s="123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25"/>
      <c r="AK135" s="15"/>
      <c r="AN135" s="114"/>
    </row>
    <row r="136" spans="6:40" ht="19.5" x14ac:dyDescent="0.4">
      <c r="G136" s="115"/>
      <c r="H136" s="115"/>
      <c r="I136" s="115"/>
      <c r="J136" s="115"/>
      <c r="K136" s="115"/>
      <c r="L136" s="26"/>
      <c r="M136" s="13"/>
      <c r="R136" s="117"/>
      <c r="S136" s="123"/>
      <c r="T136" s="123"/>
      <c r="U136" s="123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25"/>
      <c r="AK136" s="15"/>
      <c r="AN136" s="114"/>
    </row>
    <row r="137" spans="6:40" ht="19.5" x14ac:dyDescent="0.4">
      <c r="L137" s="26"/>
      <c r="M137" s="13"/>
      <c r="R137" s="117"/>
      <c r="S137" s="123"/>
      <c r="T137" s="123"/>
      <c r="U137" s="123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25">
        <v>45272</v>
      </c>
      <c r="AK137" s="15" t="s">
        <v>162</v>
      </c>
      <c r="AN137" s="114"/>
    </row>
    <row r="138" spans="6:40" ht="19.5" x14ac:dyDescent="0.4">
      <c r="J138" s="115"/>
      <c r="K138" s="115"/>
      <c r="L138" s="17"/>
      <c r="M138" s="13"/>
      <c r="R138" s="117"/>
      <c r="S138" s="123"/>
      <c r="T138" s="123"/>
      <c r="U138" s="123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25"/>
      <c r="AK138" s="15"/>
      <c r="AN138" s="114"/>
    </row>
    <row r="139" spans="6:40" ht="19.5" x14ac:dyDescent="0.4">
      <c r="L139" s="26"/>
      <c r="M139" s="13"/>
      <c r="R139" s="117"/>
      <c r="S139" s="123"/>
      <c r="T139" s="123"/>
      <c r="U139" s="123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25"/>
      <c r="AK139" s="15"/>
      <c r="AN139" s="114"/>
    </row>
    <row r="140" spans="6:40" ht="19.5" x14ac:dyDescent="0.4">
      <c r="H140" s="115"/>
      <c r="I140" s="115"/>
      <c r="J140" s="115"/>
      <c r="K140" s="115"/>
      <c r="L140" s="26"/>
      <c r="M140" s="13"/>
      <c r="R140" s="117"/>
      <c r="S140" s="123"/>
      <c r="T140" s="123"/>
      <c r="U140" s="123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25"/>
      <c r="AK140" s="15"/>
      <c r="AN140" s="114"/>
    </row>
    <row r="141" spans="6:40" ht="19.5" x14ac:dyDescent="0.4">
      <c r="L141" s="26"/>
      <c r="M141" s="13"/>
      <c r="R141" s="117"/>
      <c r="S141" s="123"/>
      <c r="T141" s="123"/>
      <c r="U141" s="123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25">
        <v>45272</v>
      </c>
      <c r="AK141" s="15" t="s">
        <v>162</v>
      </c>
      <c r="AN141" s="114"/>
    </row>
    <row r="142" spans="6:40" ht="19.5" x14ac:dyDescent="0.4">
      <c r="L142" s="26"/>
      <c r="M142" s="13"/>
      <c r="R142" s="117"/>
      <c r="S142" s="123"/>
      <c r="T142" s="123"/>
      <c r="U142" s="123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 t="s">
        <v>166</v>
      </c>
      <c r="AJ142" s="13">
        <f>SUBTOTAL(3,AJ103:AJ141)</f>
        <v>13</v>
      </c>
      <c r="AK142" s="15">
        <f>SUBTOTAL(3,AK103:AK141)</f>
        <v>13</v>
      </c>
      <c r="AN142" s="114"/>
    </row>
    <row r="143" spans="6:40" ht="19.5" x14ac:dyDescent="0.4">
      <c r="J143" s="115"/>
      <c r="K143" s="115"/>
      <c r="L143" s="17"/>
      <c r="M143" s="13"/>
      <c r="R143" s="117"/>
      <c r="S143" s="123"/>
      <c r="T143" s="123"/>
      <c r="U143" s="123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3"/>
      <c r="AK143" s="15"/>
      <c r="AN143" s="114"/>
    </row>
    <row r="144" spans="6:40" ht="19.5" x14ac:dyDescent="0.4">
      <c r="L144" s="26"/>
      <c r="M144" s="13"/>
      <c r="R144" s="117"/>
      <c r="S144" s="123"/>
      <c r="T144" s="123"/>
      <c r="U144" s="123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25">
        <v>45273</v>
      </c>
      <c r="AK144" s="105" t="s">
        <v>164</v>
      </c>
      <c r="AN144" s="114"/>
    </row>
    <row r="145" spans="7:40" ht="19.5" x14ac:dyDescent="0.4">
      <c r="L145" s="26"/>
      <c r="M145" s="13"/>
      <c r="R145" s="117"/>
      <c r="S145" s="123"/>
      <c r="T145" s="123"/>
      <c r="U145" s="123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25">
        <v>45273</v>
      </c>
      <c r="AK145" s="15" t="s">
        <v>164</v>
      </c>
      <c r="AN145" s="114"/>
    </row>
    <row r="146" spans="7:40" ht="19.5" x14ac:dyDescent="0.4">
      <c r="G146" s="115"/>
      <c r="H146" s="115"/>
      <c r="I146" s="115"/>
      <c r="J146" s="115"/>
      <c r="K146" s="115"/>
      <c r="L146" s="26"/>
      <c r="M146" s="13"/>
      <c r="R146" s="117"/>
      <c r="S146" s="123"/>
      <c r="T146" s="123"/>
      <c r="U146" s="123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25"/>
      <c r="AK146" s="13"/>
      <c r="AN146" s="114"/>
    </row>
    <row r="147" spans="7:40" ht="19.5" x14ac:dyDescent="0.4">
      <c r="L147" s="26"/>
      <c r="M147" s="13"/>
      <c r="R147" s="117"/>
      <c r="S147" s="123"/>
      <c r="T147" s="123"/>
      <c r="U147" s="123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25">
        <v>45273</v>
      </c>
      <c r="AK147" s="13" t="s">
        <v>164</v>
      </c>
      <c r="AN147" s="114"/>
    </row>
    <row r="148" spans="7:40" ht="19.5" x14ac:dyDescent="0.4">
      <c r="L148" s="26"/>
      <c r="M148" s="13"/>
      <c r="R148" s="117"/>
      <c r="S148" s="123"/>
      <c r="T148" s="123"/>
      <c r="U148" s="123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25">
        <v>45273</v>
      </c>
      <c r="AK148" s="15" t="s">
        <v>164</v>
      </c>
      <c r="AN148" s="114"/>
    </row>
    <row r="149" spans="7:40" ht="19.5" x14ac:dyDescent="0.4">
      <c r="L149" s="26"/>
      <c r="M149" s="13"/>
      <c r="R149" s="117"/>
      <c r="S149" s="123"/>
      <c r="T149" s="123"/>
      <c r="U149" s="123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25">
        <v>45273</v>
      </c>
      <c r="AK149" s="15" t="s">
        <v>162</v>
      </c>
      <c r="AN149" s="114"/>
    </row>
    <row r="150" spans="7:40" ht="19.5" x14ac:dyDescent="0.4">
      <c r="I150" s="115"/>
      <c r="J150" s="115"/>
      <c r="K150" s="115"/>
      <c r="L150" s="26"/>
      <c r="M150" s="13"/>
      <c r="R150" s="117"/>
      <c r="S150" s="123"/>
      <c r="T150" s="123"/>
      <c r="U150" s="123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25"/>
      <c r="AK150" s="15"/>
      <c r="AN150" s="114"/>
    </row>
    <row r="151" spans="7:40" ht="19.5" x14ac:dyDescent="0.4">
      <c r="L151" s="26"/>
      <c r="M151" s="13"/>
      <c r="R151" s="117"/>
      <c r="S151" s="123"/>
      <c r="T151" s="123"/>
      <c r="U151" s="123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25">
        <v>45273</v>
      </c>
      <c r="AK151" s="15" t="s">
        <v>162</v>
      </c>
      <c r="AN151" s="114"/>
    </row>
    <row r="152" spans="7:40" ht="19.5" x14ac:dyDescent="0.4">
      <c r="L152" s="26"/>
      <c r="M152" s="13"/>
      <c r="R152" s="117"/>
      <c r="S152" s="123"/>
      <c r="T152" s="123"/>
      <c r="U152" s="123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25">
        <v>45273</v>
      </c>
      <c r="AK152" s="15" t="s">
        <v>162</v>
      </c>
      <c r="AN152" s="114"/>
    </row>
    <row r="153" spans="7:40" ht="19.5" x14ac:dyDescent="0.4">
      <c r="L153" s="26"/>
      <c r="M153" s="13"/>
      <c r="R153" s="117"/>
      <c r="S153" s="123"/>
      <c r="T153" s="123"/>
      <c r="U153" s="123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25">
        <v>45273</v>
      </c>
      <c r="AK153" s="15" t="s">
        <v>162</v>
      </c>
      <c r="AN153" s="114"/>
    </row>
    <row r="154" spans="7:40" ht="19.5" x14ac:dyDescent="0.4">
      <c r="H154" s="115"/>
      <c r="I154" s="115"/>
      <c r="J154" s="115"/>
      <c r="K154" s="115"/>
      <c r="L154" s="26"/>
      <c r="M154" s="13"/>
      <c r="R154" s="117"/>
      <c r="S154" s="123"/>
      <c r="T154" s="123"/>
      <c r="U154" s="123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25"/>
      <c r="AK154" s="15"/>
      <c r="AN154" s="114"/>
    </row>
    <row r="155" spans="7:40" ht="19.5" x14ac:dyDescent="0.4">
      <c r="L155" s="26"/>
      <c r="M155" s="13"/>
      <c r="R155" s="117"/>
      <c r="S155" s="123"/>
      <c r="T155" s="123"/>
      <c r="U155" s="123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25">
        <v>45273</v>
      </c>
      <c r="AK155" s="15" t="s">
        <v>162</v>
      </c>
      <c r="AN155" s="114"/>
    </row>
    <row r="156" spans="7:40" ht="19.5" x14ac:dyDescent="0.4">
      <c r="L156" s="26"/>
      <c r="M156" s="13"/>
      <c r="R156" s="117"/>
      <c r="S156" s="123"/>
      <c r="T156" s="123"/>
      <c r="U156" s="123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25">
        <v>45273</v>
      </c>
      <c r="AK156" s="15" t="s">
        <v>162</v>
      </c>
      <c r="AN156" s="114"/>
    </row>
    <row r="157" spans="7:40" ht="19.5" x14ac:dyDescent="0.4">
      <c r="L157" s="26"/>
      <c r="M157" s="13"/>
      <c r="R157" s="117"/>
      <c r="S157" s="123"/>
      <c r="T157" s="123"/>
      <c r="U157" s="123"/>
      <c r="V157" s="115"/>
      <c r="W157" s="115"/>
      <c r="X157" s="115"/>
      <c r="Y157" s="115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25">
        <v>45273</v>
      </c>
      <c r="AK157" s="15" t="s">
        <v>162</v>
      </c>
      <c r="AN157" s="114"/>
    </row>
    <row r="158" spans="7:40" ht="19.5" x14ac:dyDescent="0.4">
      <c r="L158" s="26"/>
      <c r="M158" s="13"/>
      <c r="R158" s="117"/>
      <c r="S158" s="123"/>
      <c r="T158" s="123"/>
      <c r="U158" s="123"/>
      <c r="V158" s="115"/>
      <c r="W158" s="115"/>
      <c r="X158" s="115"/>
      <c r="Y158" s="115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25">
        <v>45273</v>
      </c>
      <c r="AK158" s="15" t="s">
        <v>162</v>
      </c>
      <c r="AN158" s="114"/>
    </row>
    <row r="159" spans="7:40" ht="19.5" x14ac:dyDescent="0.4">
      <c r="J159" s="115"/>
      <c r="K159" s="115"/>
      <c r="L159" s="17"/>
      <c r="M159" s="13"/>
      <c r="R159" s="117"/>
      <c r="S159" s="123"/>
      <c r="T159" s="123"/>
      <c r="U159" s="123"/>
      <c r="V159" s="115"/>
      <c r="W159" s="115"/>
      <c r="X159" s="115"/>
      <c r="Y159" s="115"/>
      <c r="Z159" s="124"/>
      <c r="AA159" s="124"/>
      <c r="AB159" s="124"/>
      <c r="AC159" s="124"/>
      <c r="AD159" s="124"/>
      <c r="AE159" s="124"/>
      <c r="AF159" s="124"/>
      <c r="AG159" s="124"/>
      <c r="AH159" s="124"/>
      <c r="AI159" s="124"/>
      <c r="AJ159" s="25"/>
      <c r="AK159" s="15"/>
      <c r="AN159" s="114"/>
    </row>
    <row r="160" spans="7:40" ht="19.5" x14ac:dyDescent="0.4">
      <c r="L160" s="26"/>
      <c r="M160" s="13"/>
      <c r="R160" s="117"/>
      <c r="S160" s="123"/>
      <c r="T160" s="123"/>
      <c r="U160" s="123"/>
      <c r="V160" s="115"/>
      <c r="W160" s="115"/>
      <c r="X160" s="115"/>
      <c r="Y160" s="115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25">
        <v>45273</v>
      </c>
      <c r="AK160" s="15" t="s">
        <v>162</v>
      </c>
      <c r="AN160" s="114"/>
    </row>
    <row r="161" spans="6:40" ht="19.5" x14ac:dyDescent="0.4">
      <c r="J161" s="115"/>
      <c r="K161" s="115"/>
      <c r="L161" s="17"/>
      <c r="M161" s="13"/>
      <c r="R161" s="117"/>
      <c r="S161" s="123"/>
      <c r="T161" s="123"/>
      <c r="U161" s="123"/>
      <c r="V161" s="115"/>
      <c r="W161" s="115"/>
      <c r="X161" s="115"/>
      <c r="Y161" s="115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25"/>
      <c r="AK161" s="15"/>
      <c r="AN161" s="114"/>
    </row>
    <row r="162" spans="6:40" ht="19.5" x14ac:dyDescent="0.4">
      <c r="L162" s="26"/>
      <c r="M162" s="13"/>
      <c r="R162" s="117"/>
      <c r="S162" s="123"/>
      <c r="T162" s="123"/>
      <c r="U162" s="123"/>
      <c r="V162" s="115"/>
      <c r="W162" s="115"/>
      <c r="X162" s="115"/>
      <c r="Y162" s="115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25">
        <v>45273</v>
      </c>
      <c r="AK162" s="15" t="s">
        <v>162</v>
      </c>
      <c r="AN162" s="114"/>
    </row>
    <row r="163" spans="6:40" ht="19.5" x14ac:dyDescent="0.4">
      <c r="L163" s="26"/>
      <c r="M163" s="13"/>
      <c r="R163" s="117"/>
      <c r="S163" s="123"/>
      <c r="T163" s="123"/>
      <c r="U163" s="123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25">
        <v>45273</v>
      </c>
      <c r="AK163" s="13" t="s">
        <v>162</v>
      </c>
      <c r="AN163" s="114"/>
    </row>
    <row r="164" spans="6:40" ht="19.5" x14ac:dyDescent="0.4">
      <c r="L164" s="26"/>
      <c r="M164" s="13"/>
      <c r="R164" s="117"/>
      <c r="S164" s="123"/>
      <c r="T164" s="123"/>
      <c r="U164" s="123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25">
        <v>45273</v>
      </c>
      <c r="AK164" s="15" t="s">
        <v>162</v>
      </c>
      <c r="AN164" s="114"/>
    </row>
    <row r="165" spans="6:40" ht="19.5" x14ac:dyDescent="0.4">
      <c r="L165" s="26"/>
      <c r="M165" s="13"/>
      <c r="R165" s="117"/>
      <c r="S165" s="123"/>
      <c r="T165" s="123"/>
      <c r="U165" s="123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25">
        <v>45273</v>
      </c>
      <c r="AK165" s="15" t="s">
        <v>162</v>
      </c>
      <c r="AN165" s="114"/>
    </row>
    <row r="166" spans="6:40" ht="19.5" x14ac:dyDescent="0.4">
      <c r="G166" s="115"/>
      <c r="H166" s="115"/>
      <c r="I166" s="115"/>
      <c r="J166" s="115"/>
      <c r="K166" s="115"/>
      <c r="L166" s="26"/>
      <c r="M166" s="25"/>
      <c r="R166" s="117"/>
      <c r="S166" s="123"/>
      <c r="T166" s="123"/>
      <c r="U166" s="123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25"/>
      <c r="AK166" s="15"/>
      <c r="AN166" s="114"/>
    </row>
    <row r="167" spans="6:40" ht="19.5" x14ac:dyDescent="0.4">
      <c r="L167" s="26"/>
      <c r="M167" s="25"/>
      <c r="R167" s="117"/>
      <c r="S167" s="123"/>
      <c r="T167" s="123"/>
      <c r="U167" s="123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25">
        <v>45273</v>
      </c>
      <c r="AK167" s="15" t="s">
        <v>162</v>
      </c>
      <c r="AN167" s="114"/>
    </row>
    <row r="168" spans="6:40" ht="19.5" x14ac:dyDescent="0.4">
      <c r="L168" s="26"/>
      <c r="M168" s="13"/>
      <c r="R168" s="117"/>
      <c r="S168" s="123"/>
      <c r="T168" s="123"/>
      <c r="U168" s="123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25">
        <v>45273</v>
      </c>
      <c r="AK168" s="15" t="s">
        <v>162</v>
      </c>
      <c r="AN168" s="114"/>
    </row>
    <row r="169" spans="6:40" ht="19.5" x14ac:dyDescent="0.4">
      <c r="F169" s="115"/>
      <c r="G169" s="115"/>
      <c r="H169" s="115"/>
      <c r="I169" s="115"/>
      <c r="J169" s="115"/>
      <c r="K169" s="115"/>
      <c r="L169" s="26"/>
      <c r="M169" s="13"/>
      <c r="R169" s="117"/>
      <c r="S169" s="123"/>
      <c r="T169" s="123"/>
      <c r="U169" s="123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25"/>
      <c r="AK169" s="15"/>
      <c r="AN169" s="114"/>
    </row>
    <row r="170" spans="6:40" ht="19.5" x14ac:dyDescent="0.4">
      <c r="F170" s="115"/>
      <c r="G170" s="115"/>
      <c r="H170" s="115"/>
      <c r="I170" s="115"/>
      <c r="J170" s="115"/>
      <c r="K170" s="115"/>
      <c r="L170" s="26"/>
      <c r="M170" s="13"/>
      <c r="R170" s="117"/>
      <c r="S170" s="123"/>
      <c r="T170" s="123"/>
      <c r="U170" s="123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25"/>
      <c r="AK170" s="15"/>
      <c r="AN170" s="114"/>
    </row>
    <row r="171" spans="6:40" ht="19.5" x14ac:dyDescent="0.4">
      <c r="L171" s="26"/>
      <c r="M171" s="13"/>
      <c r="R171" s="117"/>
      <c r="S171" s="123"/>
      <c r="T171" s="123"/>
      <c r="U171" s="123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15"/>
      <c r="AJ171" s="25">
        <v>45273</v>
      </c>
      <c r="AK171" s="15" t="s">
        <v>162</v>
      </c>
      <c r="AN171" s="114"/>
    </row>
    <row r="172" spans="6:40" ht="19.5" x14ac:dyDescent="0.4">
      <c r="L172" s="26"/>
      <c r="M172" s="13"/>
      <c r="R172" s="117"/>
      <c r="S172" s="123"/>
      <c r="T172" s="123"/>
      <c r="U172" s="123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25">
        <v>45273</v>
      </c>
      <c r="AK172" s="15" t="s">
        <v>162</v>
      </c>
      <c r="AN172" s="114"/>
    </row>
    <row r="173" spans="6:40" ht="19.5" x14ac:dyDescent="0.4">
      <c r="L173" s="26"/>
      <c r="M173" s="13"/>
      <c r="R173" s="117"/>
      <c r="S173" s="123"/>
      <c r="T173" s="123"/>
      <c r="U173" s="123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25">
        <v>45273</v>
      </c>
      <c r="AK173" s="13" t="s">
        <v>163</v>
      </c>
      <c r="AN173" s="114"/>
    </row>
    <row r="174" spans="6:40" ht="19.5" x14ac:dyDescent="0.4">
      <c r="L174" s="26"/>
      <c r="M174" s="13"/>
      <c r="R174" s="117"/>
      <c r="S174" s="123"/>
      <c r="T174" s="123"/>
      <c r="U174" s="123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25"/>
      <c r="AK174" s="13"/>
      <c r="AN174" s="114"/>
    </row>
    <row r="175" spans="6:40" ht="19.5" x14ac:dyDescent="0.4">
      <c r="L175" s="26"/>
      <c r="M175" s="13"/>
      <c r="R175" s="117"/>
      <c r="S175" s="123"/>
      <c r="T175" s="123"/>
      <c r="U175" s="123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 t="s">
        <v>152</v>
      </c>
      <c r="AJ175" s="13">
        <f>SUBTOTAL(3,AJ144:AJ173)</f>
        <v>22</v>
      </c>
      <c r="AK175" s="13">
        <f>SUBTOTAL(3,AK144:AK173)</f>
        <v>22</v>
      </c>
      <c r="AN175" s="114"/>
    </row>
    <row r="176" spans="6:40" ht="19.5" x14ac:dyDescent="0.4">
      <c r="L176" s="26"/>
      <c r="M176" s="13"/>
      <c r="R176" s="117"/>
      <c r="S176" s="123"/>
      <c r="T176" s="123"/>
      <c r="U176" s="123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25">
        <v>45274</v>
      </c>
      <c r="AK176" s="15" t="s">
        <v>162</v>
      </c>
      <c r="AN176" s="114"/>
    </row>
    <row r="177" spans="6:40" ht="19.5" x14ac:dyDescent="0.4">
      <c r="H177" s="115"/>
      <c r="I177" s="115"/>
      <c r="J177" s="115"/>
      <c r="K177" s="115"/>
      <c r="L177" s="26"/>
      <c r="M177" s="13"/>
      <c r="R177" s="117"/>
      <c r="S177" s="123"/>
      <c r="T177" s="123"/>
      <c r="U177" s="123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25"/>
      <c r="AK177" s="15"/>
      <c r="AN177" s="114"/>
    </row>
    <row r="178" spans="6:40" ht="19.5" x14ac:dyDescent="0.4">
      <c r="H178" s="115"/>
      <c r="I178" s="115"/>
      <c r="J178" s="115"/>
      <c r="K178" s="115"/>
      <c r="L178" s="26"/>
      <c r="M178" s="13"/>
      <c r="R178" s="117"/>
      <c r="S178" s="123"/>
      <c r="T178" s="123"/>
      <c r="U178" s="123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25"/>
      <c r="AK178" s="15"/>
      <c r="AN178" s="114"/>
    </row>
    <row r="179" spans="6:40" ht="19.5" x14ac:dyDescent="0.4">
      <c r="L179" s="26"/>
      <c r="M179" s="13"/>
      <c r="R179" s="117"/>
      <c r="S179" s="123"/>
      <c r="T179" s="123"/>
      <c r="U179" s="123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25">
        <v>45274</v>
      </c>
      <c r="AK179" s="15" t="s">
        <v>162</v>
      </c>
      <c r="AN179" s="114"/>
    </row>
    <row r="180" spans="6:40" ht="19.5" x14ac:dyDescent="0.4">
      <c r="I180" s="115"/>
      <c r="J180" s="115"/>
      <c r="K180" s="115"/>
      <c r="L180" s="26"/>
      <c r="M180" s="13"/>
      <c r="R180" s="117"/>
      <c r="S180" s="123"/>
      <c r="T180" s="123"/>
      <c r="U180" s="123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25"/>
      <c r="AK180" s="15"/>
      <c r="AN180" s="114"/>
    </row>
    <row r="181" spans="6:40" ht="19.5" x14ac:dyDescent="0.4">
      <c r="H181" s="115"/>
      <c r="I181" s="115"/>
      <c r="J181" s="115"/>
      <c r="K181" s="115"/>
      <c r="L181" s="26"/>
      <c r="M181" s="13"/>
      <c r="R181" s="117"/>
      <c r="S181" s="123"/>
      <c r="T181" s="123"/>
      <c r="U181" s="123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25"/>
      <c r="AK181" s="15"/>
      <c r="AN181" s="114"/>
    </row>
    <row r="182" spans="6:40" ht="19.5" x14ac:dyDescent="0.4">
      <c r="F182" s="115"/>
      <c r="G182" s="115"/>
      <c r="H182" s="115"/>
      <c r="I182" s="115"/>
      <c r="J182" s="115"/>
      <c r="K182" s="115"/>
      <c r="L182" s="26"/>
      <c r="M182" s="13"/>
      <c r="R182" s="117"/>
      <c r="S182" s="123"/>
      <c r="T182" s="123"/>
      <c r="U182" s="123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25"/>
      <c r="AK182" s="15"/>
      <c r="AN182" s="114"/>
    </row>
    <row r="183" spans="6:40" ht="19.5" x14ac:dyDescent="0.4">
      <c r="L183" s="26"/>
      <c r="M183" s="13"/>
      <c r="R183" s="117"/>
      <c r="S183" s="123"/>
      <c r="T183" s="123"/>
      <c r="U183" s="123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25">
        <v>45274</v>
      </c>
      <c r="AK183" s="15" t="s">
        <v>162</v>
      </c>
      <c r="AN183" s="114"/>
    </row>
    <row r="184" spans="6:40" ht="19.5" x14ac:dyDescent="0.4">
      <c r="G184" s="115"/>
      <c r="H184" s="115"/>
      <c r="I184" s="115"/>
      <c r="J184" s="115"/>
      <c r="K184" s="115"/>
      <c r="L184" s="26"/>
      <c r="M184" s="13"/>
      <c r="R184" s="117"/>
      <c r="S184" s="123"/>
      <c r="T184" s="123"/>
      <c r="U184" s="123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25"/>
      <c r="AK184" s="15"/>
      <c r="AN184" s="114"/>
    </row>
    <row r="185" spans="6:40" ht="19.5" x14ac:dyDescent="0.4">
      <c r="L185" s="26"/>
      <c r="M185" s="13"/>
      <c r="R185" s="117"/>
      <c r="S185" s="123"/>
      <c r="T185" s="123"/>
      <c r="U185" s="123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25">
        <v>45274</v>
      </c>
      <c r="AK185" s="15" t="s">
        <v>162</v>
      </c>
      <c r="AN185" s="114"/>
    </row>
    <row r="186" spans="6:40" ht="19.5" x14ac:dyDescent="0.4">
      <c r="L186" s="26"/>
      <c r="M186" s="13"/>
      <c r="R186" s="117"/>
      <c r="S186" s="123"/>
      <c r="T186" s="123"/>
      <c r="U186" s="123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25">
        <v>45274</v>
      </c>
      <c r="AK186" s="15" t="s">
        <v>163</v>
      </c>
      <c r="AN186" s="114"/>
    </row>
    <row r="187" spans="6:40" ht="19.5" x14ac:dyDescent="0.4">
      <c r="J187" s="115"/>
      <c r="K187" s="115"/>
      <c r="L187" s="17"/>
      <c r="M187" s="13"/>
      <c r="R187" s="117"/>
      <c r="S187" s="123"/>
      <c r="T187" s="123"/>
      <c r="U187" s="123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25"/>
      <c r="AK187" s="15"/>
      <c r="AN187" s="114"/>
    </row>
    <row r="188" spans="6:40" ht="19.5" x14ac:dyDescent="0.4">
      <c r="H188" s="115"/>
      <c r="I188" s="115"/>
      <c r="J188" s="115"/>
      <c r="K188" s="115"/>
      <c r="L188" s="26"/>
      <c r="M188" s="13"/>
      <c r="R188" s="117"/>
      <c r="S188" s="123"/>
      <c r="T188" s="123"/>
      <c r="U188" s="123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25"/>
      <c r="AK188" s="15"/>
      <c r="AN188" s="114"/>
    </row>
    <row r="189" spans="6:40" ht="19.5" x14ac:dyDescent="0.4">
      <c r="L189" s="26"/>
      <c r="M189" s="25"/>
      <c r="R189" s="117"/>
      <c r="S189" s="123"/>
      <c r="T189" s="123"/>
      <c r="U189" s="123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 t="s">
        <v>167</v>
      </c>
      <c r="AJ189" s="13">
        <f>SUBTOTAL(3,AJ176:AJ186)</f>
        <v>5</v>
      </c>
      <c r="AK189" s="15">
        <f>SUBTOTAL(3,AK176:AK186)</f>
        <v>5</v>
      </c>
      <c r="AN189" s="114"/>
    </row>
    <row r="190" spans="6:40" ht="19.5" x14ac:dyDescent="0.4">
      <c r="H190" s="115"/>
      <c r="I190" s="115"/>
      <c r="J190" s="115"/>
      <c r="K190" s="115"/>
      <c r="L190" s="26"/>
      <c r="M190" s="105"/>
      <c r="R190" s="117"/>
      <c r="S190" s="123"/>
      <c r="T190" s="123"/>
      <c r="U190" s="123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3"/>
      <c r="AK190" s="15"/>
      <c r="AN190" s="114"/>
    </row>
    <row r="191" spans="6:40" ht="19.5" x14ac:dyDescent="0.4">
      <c r="L191" s="26"/>
      <c r="M191" s="105"/>
      <c r="R191" s="117"/>
      <c r="S191" s="123"/>
      <c r="T191" s="123"/>
      <c r="U191" s="123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3"/>
      <c r="AK191" s="15"/>
      <c r="AN191" s="114"/>
    </row>
    <row r="192" spans="6:40" ht="19.5" x14ac:dyDescent="0.4">
      <c r="J192" s="115"/>
      <c r="K192" s="115"/>
      <c r="L192" s="17"/>
      <c r="M192" s="15"/>
      <c r="R192" s="117"/>
      <c r="S192" s="123"/>
      <c r="T192" s="123"/>
      <c r="U192" s="123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3"/>
      <c r="AK192" s="15"/>
      <c r="AN192" s="114"/>
    </row>
    <row r="193" spans="6:40" ht="19.5" x14ac:dyDescent="0.4">
      <c r="H193" s="115"/>
      <c r="I193" s="115"/>
      <c r="J193" s="115"/>
      <c r="K193" s="115"/>
      <c r="L193" s="26"/>
      <c r="M193" s="15"/>
      <c r="R193" s="117"/>
      <c r="S193" s="123"/>
      <c r="T193" s="123"/>
      <c r="U193" s="123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3"/>
      <c r="AK193" s="15"/>
      <c r="AN193" s="114"/>
    </row>
    <row r="194" spans="6:40" ht="19.5" x14ac:dyDescent="0.4">
      <c r="H194" s="115"/>
      <c r="I194" s="115"/>
      <c r="J194" s="115"/>
      <c r="K194" s="115"/>
      <c r="L194" s="26"/>
      <c r="M194" s="15"/>
      <c r="R194" s="117"/>
      <c r="S194" s="123"/>
      <c r="T194" s="123"/>
      <c r="U194" s="123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3"/>
      <c r="AK194" s="15"/>
      <c r="AN194" s="114"/>
    </row>
    <row r="195" spans="6:40" ht="19.5" x14ac:dyDescent="0.4">
      <c r="H195" s="115"/>
      <c r="I195" s="115"/>
      <c r="J195" s="115"/>
      <c r="K195" s="115"/>
      <c r="L195" s="26"/>
      <c r="M195" s="15"/>
      <c r="R195" s="117"/>
      <c r="S195" s="123"/>
      <c r="T195" s="123"/>
      <c r="U195" s="123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3"/>
      <c r="AK195" s="15"/>
      <c r="AN195" s="114"/>
    </row>
    <row r="196" spans="6:40" ht="19.5" x14ac:dyDescent="0.4">
      <c r="G196" s="115"/>
      <c r="H196" s="115"/>
      <c r="I196" s="115"/>
      <c r="J196" s="115"/>
      <c r="K196" s="115"/>
      <c r="L196" s="26"/>
      <c r="M196" s="15"/>
      <c r="R196" s="117"/>
      <c r="S196" s="123"/>
      <c r="T196" s="123"/>
      <c r="U196" s="123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3"/>
      <c r="AK196" s="15"/>
      <c r="AN196" s="114"/>
    </row>
    <row r="197" spans="6:40" ht="19.5" x14ac:dyDescent="0.4">
      <c r="L197" s="26"/>
      <c r="M197" s="15"/>
      <c r="R197" s="117"/>
      <c r="S197" s="123"/>
      <c r="T197" s="123"/>
      <c r="U197" s="123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25">
        <v>45275</v>
      </c>
      <c r="AK197" s="15" t="s">
        <v>163</v>
      </c>
      <c r="AN197" s="114"/>
    </row>
    <row r="198" spans="6:40" ht="19.5" x14ac:dyDescent="0.4">
      <c r="L198" s="26"/>
      <c r="M198" s="15"/>
      <c r="R198" s="117"/>
      <c r="S198" s="123"/>
      <c r="T198" s="123"/>
      <c r="U198" s="123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 t="s">
        <v>168</v>
      </c>
      <c r="AJ198" s="13">
        <f>SUBTOTAL(3,AJ197:AJ197)</f>
        <v>1</v>
      </c>
      <c r="AK198" s="15">
        <f>SUBTOTAL(3,AK197:AK197)</f>
        <v>1</v>
      </c>
      <c r="AN198" s="114"/>
    </row>
    <row r="199" spans="6:40" ht="19.5" x14ac:dyDescent="0.4">
      <c r="L199" s="26"/>
      <c r="M199" s="15"/>
      <c r="R199" s="117"/>
      <c r="S199" s="123"/>
      <c r="T199" s="123"/>
      <c r="U199" s="123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25">
        <v>45276</v>
      </c>
      <c r="AK199" s="15" t="s">
        <v>164</v>
      </c>
      <c r="AN199" s="114"/>
    </row>
    <row r="200" spans="6:40" ht="19.5" x14ac:dyDescent="0.4">
      <c r="L200" s="26"/>
      <c r="M200" s="15"/>
      <c r="R200" s="117"/>
      <c r="S200" s="123"/>
      <c r="T200" s="123"/>
      <c r="U200" s="123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25">
        <v>45276</v>
      </c>
      <c r="AK200" s="15" t="s">
        <v>162</v>
      </c>
      <c r="AN200" s="114"/>
    </row>
    <row r="201" spans="6:40" ht="19.5" x14ac:dyDescent="0.4">
      <c r="L201" s="26"/>
      <c r="M201" s="15"/>
      <c r="R201" s="117"/>
      <c r="S201" s="123"/>
      <c r="T201" s="123"/>
      <c r="U201" s="123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25">
        <v>45276</v>
      </c>
      <c r="AK201" s="15" t="s">
        <v>162</v>
      </c>
      <c r="AN201" s="114"/>
    </row>
    <row r="202" spans="6:40" ht="19.5" x14ac:dyDescent="0.4">
      <c r="L202" s="26"/>
      <c r="M202" s="15"/>
      <c r="R202" s="117"/>
      <c r="S202" s="123"/>
      <c r="T202" s="123"/>
      <c r="U202" s="123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25">
        <v>45276</v>
      </c>
      <c r="AK202" s="15" t="s">
        <v>162</v>
      </c>
      <c r="AN202" s="114"/>
    </row>
    <row r="203" spans="6:40" ht="19.5" x14ac:dyDescent="0.4">
      <c r="L203" s="26"/>
      <c r="M203" s="15"/>
      <c r="R203" s="117"/>
      <c r="S203" s="123"/>
      <c r="T203" s="123"/>
      <c r="U203" s="123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25">
        <v>45276</v>
      </c>
      <c r="AK203" s="15" t="s">
        <v>162</v>
      </c>
      <c r="AN203" s="114"/>
    </row>
    <row r="204" spans="6:40" ht="19.5" x14ac:dyDescent="0.4">
      <c r="F204" s="115"/>
      <c r="G204" s="115"/>
      <c r="H204" s="115"/>
      <c r="I204" s="115"/>
      <c r="J204" s="115"/>
      <c r="K204" s="115"/>
      <c r="L204" s="26"/>
      <c r="M204" s="15"/>
      <c r="R204" s="117"/>
      <c r="S204" s="123"/>
      <c r="T204" s="123"/>
      <c r="U204" s="123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25"/>
      <c r="AK204" s="15"/>
      <c r="AN204" s="114"/>
    </row>
    <row r="205" spans="6:40" ht="19.5" x14ac:dyDescent="0.4">
      <c r="L205" s="26"/>
      <c r="M205" s="15"/>
      <c r="R205" s="117"/>
      <c r="S205" s="123"/>
      <c r="T205" s="123"/>
      <c r="U205" s="123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25">
        <v>45276</v>
      </c>
      <c r="AK205" s="15" t="s">
        <v>162</v>
      </c>
      <c r="AN205" s="114"/>
    </row>
    <row r="206" spans="6:40" ht="19.5" x14ac:dyDescent="0.4">
      <c r="L206" s="26"/>
      <c r="M206" s="15"/>
      <c r="R206" s="117"/>
      <c r="S206" s="123"/>
      <c r="T206" s="123"/>
      <c r="U206" s="123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25">
        <v>45276</v>
      </c>
      <c r="AK206" s="15" t="s">
        <v>162</v>
      </c>
      <c r="AN206" s="114"/>
    </row>
    <row r="207" spans="6:40" ht="19.5" x14ac:dyDescent="0.4">
      <c r="J207" s="115"/>
      <c r="K207" s="115"/>
      <c r="L207" s="17"/>
      <c r="M207" s="15"/>
      <c r="R207" s="117"/>
      <c r="S207" s="123"/>
      <c r="T207" s="123"/>
      <c r="U207" s="123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25"/>
      <c r="AK207" s="15"/>
      <c r="AN207" s="114"/>
    </row>
    <row r="208" spans="6:40" ht="19.5" x14ac:dyDescent="0.4">
      <c r="F208" s="115"/>
      <c r="G208" s="115"/>
      <c r="H208" s="115"/>
      <c r="I208" s="115"/>
      <c r="J208" s="115"/>
      <c r="K208" s="115"/>
      <c r="L208" s="26"/>
      <c r="M208" s="15"/>
      <c r="R208" s="117"/>
      <c r="S208" s="123"/>
      <c r="T208" s="123"/>
      <c r="U208" s="123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25"/>
      <c r="AK208" s="15"/>
      <c r="AN208" s="114"/>
    </row>
    <row r="209" spans="6:40" ht="19.5" x14ac:dyDescent="0.4">
      <c r="F209" s="115"/>
      <c r="G209" s="115"/>
      <c r="H209" s="115"/>
      <c r="I209" s="115"/>
      <c r="J209" s="115"/>
      <c r="K209" s="115"/>
      <c r="L209" s="26"/>
      <c r="M209" s="15"/>
      <c r="R209" s="117"/>
      <c r="S209" s="123"/>
      <c r="T209" s="123"/>
      <c r="U209" s="123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25"/>
      <c r="AK209" s="15"/>
      <c r="AN209" s="114"/>
    </row>
    <row r="210" spans="6:40" ht="19.5" x14ac:dyDescent="0.4">
      <c r="F210" s="115"/>
      <c r="G210" s="115"/>
      <c r="H210" s="115"/>
      <c r="I210" s="115"/>
      <c r="J210" s="115"/>
      <c r="K210" s="115"/>
      <c r="L210" s="26"/>
      <c r="M210" s="15"/>
      <c r="R210" s="117"/>
      <c r="S210" s="123"/>
      <c r="T210" s="123"/>
      <c r="U210" s="123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25"/>
      <c r="AK210" s="15"/>
      <c r="AN210" s="114"/>
    </row>
    <row r="211" spans="6:40" ht="19.5" x14ac:dyDescent="0.4">
      <c r="L211" s="26"/>
      <c r="M211" s="15"/>
      <c r="Q211" s="115"/>
      <c r="R211" s="117"/>
      <c r="S211" s="123"/>
      <c r="T211" s="123"/>
      <c r="U211" s="123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25">
        <v>45276</v>
      </c>
      <c r="AK211" s="15" t="s">
        <v>162</v>
      </c>
      <c r="AN211" s="114"/>
    </row>
    <row r="212" spans="6:40" ht="19.5" x14ac:dyDescent="0.4">
      <c r="L212" s="26"/>
      <c r="M212" s="15"/>
      <c r="Q212" s="115"/>
      <c r="R212" s="117"/>
      <c r="S212" s="123"/>
      <c r="T212" s="123"/>
      <c r="U212" s="123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25">
        <v>45276</v>
      </c>
      <c r="AK212" s="15" t="s">
        <v>162</v>
      </c>
      <c r="AN212" s="114"/>
    </row>
    <row r="213" spans="6:40" ht="19.5" x14ac:dyDescent="0.4">
      <c r="L213" s="26"/>
      <c r="M213" s="15"/>
      <c r="Q213" s="115"/>
      <c r="R213" s="117"/>
      <c r="S213" s="123"/>
      <c r="T213" s="123"/>
      <c r="U213" s="123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25">
        <v>45276</v>
      </c>
      <c r="AK213" s="15" t="s">
        <v>162</v>
      </c>
      <c r="AN213" s="114"/>
    </row>
    <row r="214" spans="6:40" ht="19.5" x14ac:dyDescent="0.4">
      <c r="J214" s="115"/>
      <c r="K214" s="115"/>
      <c r="L214" s="17"/>
      <c r="M214" s="15"/>
      <c r="Q214" s="115"/>
      <c r="R214" s="117"/>
      <c r="S214" s="123"/>
      <c r="T214" s="123"/>
      <c r="U214" s="123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25"/>
      <c r="AK214" s="15"/>
      <c r="AN214" s="114"/>
    </row>
    <row r="215" spans="6:40" ht="19.5" x14ac:dyDescent="0.4">
      <c r="G215" s="115"/>
      <c r="H215" s="115"/>
      <c r="I215" s="115"/>
      <c r="J215" s="115"/>
      <c r="K215" s="115"/>
      <c r="L215" s="26"/>
      <c r="M215" s="15"/>
      <c r="Q215" s="115"/>
      <c r="R215" s="117"/>
      <c r="S215" s="123"/>
      <c r="T215" s="123"/>
      <c r="U215" s="123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25"/>
      <c r="AK215" s="15"/>
      <c r="AN215" s="114"/>
    </row>
    <row r="216" spans="6:40" ht="19.5" x14ac:dyDescent="0.4">
      <c r="G216" s="115"/>
      <c r="H216" s="115"/>
      <c r="I216" s="115"/>
      <c r="J216" s="115"/>
      <c r="K216" s="115"/>
      <c r="L216" s="17"/>
      <c r="M216" s="15"/>
      <c r="Q216" s="115"/>
      <c r="R216" s="117"/>
      <c r="S216" s="123"/>
      <c r="T216" s="123"/>
      <c r="U216" s="123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25"/>
      <c r="AK216" s="15"/>
      <c r="AN216" s="114"/>
    </row>
    <row r="217" spans="6:40" ht="19.5" x14ac:dyDescent="0.4">
      <c r="L217" s="26"/>
      <c r="M217" s="15"/>
      <c r="Q217" s="115"/>
      <c r="R217" s="117"/>
      <c r="S217" s="123"/>
      <c r="T217" s="123"/>
      <c r="U217" s="123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25"/>
      <c r="AK217" s="15"/>
      <c r="AN217" s="114"/>
    </row>
    <row r="218" spans="6:40" ht="19.5" x14ac:dyDescent="0.4">
      <c r="F218" s="115"/>
      <c r="G218" s="115"/>
      <c r="H218" s="115"/>
      <c r="I218" s="115"/>
      <c r="J218" s="115"/>
      <c r="K218" s="115"/>
      <c r="L218" s="26"/>
      <c r="M218" s="15"/>
      <c r="Q218" s="115"/>
      <c r="R218" s="117"/>
      <c r="S218" s="123"/>
      <c r="T218" s="123"/>
      <c r="U218" s="123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25"/>
      <c r="AK218" s="15"/>
      <c r="AN218" s="114"/>
    </row>
    <row r="219" spans="6:40" ht="19.5" x14ac:dyDescent="0.4">
      <c r="L219" s="26"/>
      <c r="M219" s="15"/>
      <c r="Q219" s="115"/>
      <c r="R219" s="117"/>
      <c r="S219" s="123"/>
      <c r="T219" s="123"/>
      <c r="U219" s="123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25">
        <v>45276</v>
      </c>
      <c r="AK219" s="15" t="s">
        <v>162</v>
      </c>
      <c r="AN219" s="114"/>
    </row>
    <row r="220" spans="6:40" ht="19.5" x14ac:dyDescent="0.4">
      <c r="J220" s="115"/>
      <c r="K220" s="115"/>
      <c r="L220" s="17"/>
      <c r="M220" s="15"/>
      <c r="Q220" s="115"/>
      <c r="R220" s="117"/>
      <c r="S220" s="123"/>
      <c r="T220" s="123"/>
      <c r="U220" s="123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25"/>
      <c r="AK220" s="15"/>
      <c r="AN220" s="114"/>
    </row>
    <row r="221" spans="6:40" ht="19.5" x14ac:dyDescent="0.4">
      <c r="L221" s="26"/>
      <c r="M221" s="15"/>
      <c r="Q221" s="115"/>
      <c r="R221" s="117"/>
      <c r="S221" s="123"/>
      <c r="T221" s="123"/>
      <c r="U221" s="123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25">
        <v>45276</v>
      </c>
      <c r="AK221" s="15" t="s">
        <v>162</v>
      </c>
      <c r="AN221" s="114"/>
    </row>
    <row r="222" spans="6:40" ht="19.5" x14ac:dyDescent="0.4">
      <c r="J222" s="115"/>
      <c r="K222" s="115"/>
      <c r="L222" s="17"/>
      <c r="M222" s="15"/>
      <c r="Q222" s="115"/>
      <c r="R222" s="117"/>
      <c r="S222" s="123"/>
      <c r="T222" s="123"/>
      <c r="U222" s="123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25"/>
      <c r="AK222" s="15"/>
      <c r="AN222" s="114"/>
    </row>
    <row r="223" spans="6:40" ht="19.5" x14ac:dyDescent="0.4">
      <c r="I223" s="115"/>
      <c r="J223" s="115"/>
      <c r="K223" s="115"/>
      <c r="L223" s="26"/>
      <c r="M223" s="15"/>
      <c r="Q223" s="115"/>
      <c r="R223" s="117"/>
      <c r="S223" s="123"/>
      <c r="T223" s="123"/>
      <c r="U223" s="123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25"/>
      <c r="AK223" s="15"/>
      <c r="AN223" s="114"/>
    </row>
    <row r="224" spans="6:40" ht="19.5" x14ac:dyDescent="0.4">
      <c r="I224" s="115"/>
      <c r="J224" s="115"/>
      <c r="K224" s="115"/>
      <c r="L224" s="17"/>
      <c r="M224" s="15"/>
      <c r="Q224" s="115"/>
      <c r="R224" s="117"/>
      <c r="S224" s="123"/>
      <c r="T224" s="123"/>
      <c r="U224" s="123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25"/>
      <c r="AK224" s="15"/>
      <c r="AN224" s="114"/>
    </row>
    <row r="225" spans="7:40" ht="19.5" x14ac:dyDescent="0.4">
      <c r="L225" s="26"/>
      <c r="M225" s="15"/>
      <c r="Q225" s="115"/>
      <c r="R225" s="117"/>
      <c r="S225" s="123"/>
      <c r="T225" s="123"/>
      <c r="U225" s="123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25">
        <v>45276</v>
      </c>
      <c r="AK225" s="15" t="s">
        <v>162</v>
      </c>
      <c r="AN225" s="114"/>
    </row>
    <row r="226" spans="7:40" ht="19.5" x14ac:dyDescent="0.4">
      <c r="L226" s="26"/>
      <c r="M226" s="15"/>
      <c r="Q226" s="115"/>
      <c r="R226" s="117"/>
      <c r="S226" s="123"/>
      <c r="T226" s="123"/>
      <c r="U226" s="123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25">
        <v>45276</v>
      </c>
      <c r="AK226" s="15" t="s">
        <v>162</v>
      </c>
      <c r="AN226" s="114"/>
    </row>
    <row r="227" spans="7:40" ht="19.5" x14ac:dyDescent="0.4">
      <c r="L227" s="26"/>
      <c r="M227" s="15"/>
      <c r="Q227" s="115"/>
      <c r="R227" s="117"/>
      <c r="S227" s="123"/>
      <c r="T227" s="123"/>
      <c r="U227" s="123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25">
        <v>45276</v>
      </c>
      <c r="AK227" s="15" t="s">
        <v>162</v>
      </c>
      <c r="AN227" s="114"/>
    </row>
    <row r="228" spans="7:40" ht="19.5" x14ac:dyDescent="0.4">
      <c r="L228" s="26"/>
      <c r="M228" s="15"/>
      <c r="Q228" s="115"/>
      <c r="R228" s="117"/>
      <c r="S228" s="123"/>
      <c r="T228" s="123"/>
      <c r="U228" s="123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25"/>
      <c r="AK228" s="15"/>
      <c r="AN228" s="114"/>
    </row>
    <row r="229" spans="7:40" ht="19.5" x14ac:dyDescent="0.4">
      <c r="J229" s="115"/>
      <c r="K229" s="115"/>
      <c r="L229" s="17"/>
      <c r="M229" s="15"/>
      <c r="Q229" s="115"/>
      <c r="R229" s="117"/>
      <c r="S229" s="123"/>
      <c r="T229" s="123"/>
      <c r="U229" s="123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25"/>
      <c r="AK229" s="15"/>
      <c r="AN229" s="114"/>
    </row>
    <row r="230" spans="7:40" ht="19.5" x14ac:dyDescent="0.4">
      <c r="L230" s="26"/>
      <c r="M230" s="15"/>
      <c r="Q230" s="115"/>
      <c r="R230" s="117"/>
      <c r="S230" s="123"/>
      <c r="T230" s="123"/>
      <c r="U230" s="123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25">
        <v>45276</v>
      </c>
      <c r="AK230" s="15" t="s">
        <v>162</v>
      </c>
      <c r="AN230" s="114"/>
    </row>
    <row r="231" spans="7:40" ht="19.5" x14ac:dyDescent="0.4">
      <c r="L231" s="26"/>
      <c r="M231" s="15"/>
      <c r="Q231" s="115"/>
      <c r="R231" s="117"/>
      <c r="S231" s="123"/>
      <c r="T231" s="123"/>
      <c r="U231" s="123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25">
        <v>45276</v>
      </c>
      <c r="AK231" s="15" t="s">
        <v>162</v>
      </c>
      <c r="AN231" s="114"/>
    </row>
    <row r="232" spans="7:40" ht="19.5" x14ac:dyDescent="0.4">
      <c r="J232" s="115"/>
      <c r="K232" s="115"/>
      <c r="L232" s="17"/>
      <c r="M232" s="15"/>
      <c r="Q232" s="115"/>
      <c r="R232" s="117"/>
      <c r="S232" s="123"/>
      <c r="T232" s="123"/>
      <c r="U232" s="123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25"/>
      <c r="AK232" s="15"/>
      <c r="AN232" s="114"/>
    </row>
    <row r="233" spans="7:40" ht="19.5" x14ac:dyDescent="0.4">
      <c r="G233" s="115"/>
      <c r="H233" s="115"/>
      <c r="I233" s="115"/>
      <c r="J233" s="115"/>
      <c r="K233" s="115"/>
      <c r="L233" s="26"/>
      <c r="M233" s="15"/>
      <c r="Q233" s="115"/>
      <c r="R233" s="117"/>
      <c r="S233" s="123"/>
      <c r="T233" s="123"/>
      <c r="U233" s="123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25"/>
      <c r="AK233" s="15"/>
      <c r="AN233" s="114"/>
    </row>
    <row r="234" spans="7:40" ht="19.5" x14ac:dyDescent="0.4">
      <c r="G234" s="115"/>
      <c r="H234" s="115"/>
      <c r="I234" s="115"/>
      <c r="J234" s="115"/>
      <c r="K234" s="115"/>
      <c r="L234" s="17"/>
      <c r="M234" s="15"/>
      <c r="Q234" s="115"/>
      <c r="R234" s="117"/>
      <c r="S234" s="123"/>
      <c r="T234" s="123"/>
      <c r="U234" s="123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25"/>
      <c r="AK234" s="15"/>
      <c r="AN234" s="114"/>
    </row>
    <row r="235" spans="7:40" ht="19.5" x14ac:dyDescent="0.4">
      <c r="G235" s="115"/>
      <c r="H235" s="115"/>
      <c r="I235" s="115"/>
      <c r="J235" s="115"/>
      <c r="K235" s="115"/>
      <c r="L235" s="26"/>
      <c r="M235" s="15"/>
      <c r="Q235" s="115"/>
      <c r="R235" s="117"/>
      <c r="S235" s="123"/>
      <c r="T235" s="123"/>
      <c r="U235" s="123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25"/>
      <c r="AK235" s="15"/>
      <c r="AN235" s="114"/>
    </row>
    <row r="236" spans="7:40" ht="19.5" x14ac:dyDescent="0.4">
      <c r="L236" s="26"/>
      <c r="M236" s="15"/>
      <c r="Q236" s="115"/>
      <c r="R236" s="117"/>
      <c r="S236" s="123"/>
      <c r="T236" s="123"/>
      <c r="U236" s="123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 t="s">
        <v>169</v>
      </c>
      <c r="AJ236" s="13">
        <f>SUBTOTAL(3,AJ199:AJ231)</f>
        <v>17</v>
      </c>
      <c r="AK236" s="15">
        <f>SUBTOTAL(3,AK199:AK231)</f>
        <v>17</v>
      </c>
      <c r="AN236" s="114"/>
    </row>
    <row r="237" spans="7:40" ht="19.5" x14ac:dyDescent="0.4">
      <c r="G237" s="115"/>
      <c r="H237" s="115"/>
      <c r="I237" s="115"/>
      <c r="J237" s="115"/>
      <c r="K237" s="115"/>
      <c r="L237" s="26"/>
      <c r="M237" s="15"/>
      <c r="Q237" s="115"/>
      <c r="R237" s="117"/>
      <c r="S237" s="123"/>
      <c r="T237" s="123"/>
      <c r="U237" s="123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3"/>
      <c r="AK237" s="15"/>
      <c r="AN237" s="114"/>
    </row>
    <row r="238" spans="7:40" ht="19.5" x14ac:dyDescent="0.4">
      <c r="L238" s="26"/>
      <c r="M238" s="15"/>
      <c r="Q238" s="115"/>
      <c r="R238" s="117"/>
      <c r="S238" s="123"/>
      <c r="T238" s="123"/>
      <c r="U238" s="123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25">
        <v>45277</v>
      </c>
      <c r="AK238" s="15" t="s">
        <v>162</v>
      </c>
      <c r="AN238" s="114"/>
    </row>
    <row r="239" spans="7:40" ht="19.5" x14ac:dyDescent="0.4">
      <c r="J239" s="115"/>
      <c r="K239" s="115"/>
      <c r="L239" s="17"/>
      <c r="M239" s="15"/>
      <c r="Q239" s="115"/>
      <c r="R239" s="117"/>
      <c r="S239" s="123"/>
      <c r="T239" s="123"/>
      <c r="U239" s="123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25"/>
      <c r="AK239" s="15"/>
      <c r="AN239" s="114"/>
    </row>
    <row r="240" spans="7:40" ht="19.5" x14ac:dyDescent="0.4">
      <c r="G240" s="115"/>
      <c r="H240" s="115"/>
      <c r="I240" s="115"/>
      <c r="J240" s="115"/>
      <c r="K240" s="115"/>
      <c r="L240" s="26"/>
      <c r="M240" s="15"/>
      <c r="Q240" s="115"/>
      <c r="R240" s="117"/>
      <c r="S240" s="123"/>
      <c r="T240" s="123"/>
      <c r="U240" s="123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25"/>
      <c r="AK240" s="15"/>
      <c r="AN240" s="114"/>
    </row>
    <row r="241" spans="6:40" ht="19.5" x14ac:dyDescent="0.4">
      <c r="G241" s="115"/>
      <c r="H241" s="115"/>
      <c r="I241" s="115"/>
      <c r="J241" s="115"/>
      <c r="K241" s="115"/>
      <c r="L241" s="17"/>
      <c r="M241" s="15"/>
      <c r="Q241" s="115"/>
      <c r="R241" s="117"/>
      <c r="S241" s="123"/>
      <c r="T241" s="123"/>
      <c r="U241" s="123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25"/>
      <c r="AK241" s="15"/>
      <c r="AN241" s="114"/>
    </row>
    <row r="242" spans="6:40" ht="19.5" x14ac:dyDescent="0.4">
      <c r="G242" s="115"/>
      <c r="H242" s="115"/>
      <c r="I242" s="115"/>
      <c r="J242" s="115"/>
      <c r="K242" s="115"/>
      <c r="L242" s="17"/>
      <c r="M242" s="15"/>
      <c r="Q242" s="115"/>
      <c r="R242" s="117"/>
      <c r="S242" s="123"/>
      <c r="T242" s="123"/>
      <c r="U242" s="123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25"/>
      <c r="AK242" s="15"/>
      <c r="AN242" s="114"/>
    </row>
    <row r="243" spans="6:40" ht="19.5" x14ac:dyDescent="0.4">
      <c r="L243" s="26"/>
      <c r="M243" s="15"/>
      <c r="Q243" s="115"/>
      <c r="R243" s="117"/>
      <c r="S243" s="123"/>
      <c r="T243" s="123"/>
      <c r="U243" s="123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25">
        <v>45277</v>
      </c>
      <c r="AK243" s="15" t="s">
        <v>162</v>
      </c>
      <c r="AN243" s="114"/>
    </row>
    <row r="244" spans="6:40" ht="19.5" x14ac:dyDescent="0.4">
      <c r="I244" s="115"/>
      <c r="J244" s="115"/>
      <c r="K244" s="115"/>
      <c r="L244" s="17"/>
      <c r="M244" s="15"/>
      <c r="Q244" s="115"/>
      <c r="R244" s="117"/>
      <c r="S244" s="123"/>
      <c r="T244" s="123"/>
      <c r="U244" s="123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31"/>
      <c r="AK244" s="13"/>
      <c r="AN244" s="114"/>
    </row>
    <row r="245" spans="6:40" ht="19.5" x14ac:dyDescent="0.4">
      <c r="L245" s="26"/>
      <c r="M245" s="15"/>
      <c r="Q245" s="115"/>
      <c r="R245" s="117"/>
      <c r="S245" s="123"/>
      <c r="T245" s="123"/>
      <c r="U245" s="123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26">
        <v>45277</v>
      </c>
      <c r="AK245" s="13" t="s">
        <v>162</v>
      </c>
      <c r="AN245" s="114"/>
    </row>
    <row r="246" spans="6:40" ht="19.5" x14ac:dyDescent="0.4">
      <c r="L246" s="26"/>
      <c r="M246" s="15"/>
      <c r="Q246" s="115"/>
      <c r="R246" s="117"/>
      <c r="S246" s="123"/>
      <c r="T246" s="123"/>
      <c r="U246" s="123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26">
        <v>45277</v>
      </c>
      <c r="AK246" s="15" t="s">
        <v>162</v>
      </c>
      <c r="AN246" s="114"/>
    </row>
    <row r="247" spans="6:40" ht="19.5" x14ac:dyDescent="0.4">
      <c r="F247" s="115"/>
      <c r="G247" s="115"/>
      <c r="H247" s="115"/>
      <c r="I247" s="115"/>
      <c r="J247" s="115"/>
      <c r="K247" s="115"/>
      <c r="L247" s="26"/>
      <c r="M247" s="15"/>
      <c r="Q247" s="115"/>
      <c r="R247" s="117"/>
      <c r="S247" s="123"/>
      <c r="T247" s="123"/>
      <c r="U247" s="123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26"/>
      <c r="AK247" s="15"/>
      <c r="AN247" s="114"/>
    </row>
    <row r="248" spans="6:40" ht="19.5" x14ac:dyDescent="0.4">
      <c r="L248" s="26"/>
      <c r="M248" s="15"/>
      <c r="Q248" s="115"/>
      <c r="R248" s="117"/>
      <c r="S248" s="123"/>
      <c r="T248" s="123"/>
      <c r="U248" s="123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26">
        <v>45277</v>
      </c>
      <c r="AK248" s="15" t="s">
        <v>162</v>
      </c>
      <c r="AN248" s="114"/>
    </row>
    <row r="249" spans="6:40" ht="19.5" x14ac:dyDescent="0.4">
      <c r="L249" s="26"/>
      <c r="M249" s="15"/>
      <c r="Q249" s="115"/>
      <c r="R249" s="117"/>
      <c r="S249" s="123"/>
      <c r="T249" s="123"/>
      <c r="U249" s="123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 t="s">
        <v>160</v>
      </c>
      <c r="AJ249" s="17">
        <f>SUBTOTAL(3,AJ238:AJ248)</f>
        <v>5</v>
      </c>
      <c r="AK249" s="15">
        <f>SUBTOTAL(3,AK238:AK248)</f>
        <v>5</v>
      </c>
      <c r="AN249" s="114"/>
    </row>
    <row r="250" spans="6:40" ht="19.5" x14ac:dyDescent="0.4">
      <c r="F250" s="115"/>
      <c r="G250" s="115"/>
      <c r="H250" s="115"/>
      <c r="I250" s="115"/>
      <c r="J250" s="115"/>
      <c r="K250" s="115"/>
      <c r="L250" s="26"/>
      <c r="M250" s="15"/>
      <c r="Q250" s="115"/>
      <c r="R250" s="117"/>
      <c r="S250" s="123"/>
      <c r="T250" s="123"/>
      <c r="U250" s="123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7"/>
      <c r="AK250" s="15"/>
      <c r="AN250" s="114"/>
    </row>
    <row r="251" spans="6:40" ht="19.5" x14ac:dyDescent="0.4">
      <c r="F251" s="115"/>
      <c r="G251" s="115"/>
      <c r="H251" s="115"/>
      <c r="I251" s="115"/>
      <c r="J251" s="115"/>
      <c r="K251" s="115"/>
      <c r="L251" s="26"/>
      <c r="M251" s="15"/>
      <c r="Q251" s="115"/>
      <c r="R251" s="117"/>
      <c r="S251" s="123"/>
      <c r="T251" s="123"/>
      <c r="U251" s="123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7"/>
      <c r="AK251" s="15"/>
      <c r="AN251" s="114"/>
    </row>
    <row r="252" spans="6:40" ht="19.5" x14ac:dyDescent="0.4">
      <c r="L252" s="26"/>
      <c r="M252" s="15"/>
      <c r="Q252" s="115"/>
      <c r="R252" s="117"/>
      <c r="S252" s="123"/>
      <c r="T252" s="123"/>
      <c r="U252" s="123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26">
        <v>45278</v>
      </c>
      <c r="AK252" s="15" t="s">
        <v>164</v>
      </c>
      <c r="AN252" s="114"/>
    </row>
    <row r="253" spans="6:40" ht="19.5" x14ac:dyDescent="0.4">
      <c r="L253" s="26"/>
      <c r="M253" s="15"/>
      <c r="Q253" s="115"/>
      <c r="R253" s="117"/>
      <c r="S253" s="123"/>
      <c r="T253" s="123"/>
      <c r="U253" s="123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26">
        <v>45278</v>
      </c>
      <c r="AK253" s="15" t="s">
        <v>164</v>
      </c>
      <c r="AN253" s="114"/>
    </row>
    <row r="254" spans="6:40" ht="19.5" x14ac:dyDescent="0.4">
      <c r="G254" s="115"/>
      <c r="H254" s="115"/>
      <c r="I254" s="115"/>
      <c r="J254" s="115"/>
      <c r="K254" s="115"/>
      <c r="L254" s="26"/>
      <c r="M254" s="15"/>
      <c r="Q254" s="115"/>
      <c r="R254" s="117"/>
      <c r="S254" s="123"/>
      <c r="T254" s="123"/>
      <c r="U254" s="123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26"/>
      <c r="AK254" s="15"/>
      <c r="AN254" s="114"/>
    </row>
    <row r="255" spans="6:40" ht="19.5" x14ac:dyDescent="0.4">
      <c r="L255" s="26"/>
      <c r="M255" s="15"/>
      <c r="Q255" s="115"/>
      <c r="R255" s="117"/>
      <c r="S255" s="123"/>
      <c r="T255" s="123"/>
      <c r="U255" s="123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26">
        <v>45278</v>
      </c>
      <c r="AK255" s="15" t="s">
        <v>162</v>
      </c>
      <c r="AN255" s="114"/>
    </row>
    <row r="256" spans="6:40" ht="19.5" x14ac:dyDescent="0.4">
      <c r="I256" s="115"/>
      <c r="J256" s="115"/>
      <c r="K256" s="115"/>
      <c r="L256" s="17"/>
      <c r="M256" s="15"/>
      <c r="Q256" s="115"/>
      <c r="R256" s="117"/>
      <c r="S256" s="123"/>
      <c r="T256" s="123"/>
      <c r="U256" s="123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26"/>
      <c r="AK256" s="15"/>
      <c r="AN256" s="114"/>
    </row>
    <row r="257" spans="6:40" ht="19.5" x14ac:dyDescent="0.4">
      <c r="G257" s="115"/>
      <c r="H257" s="115"/>
      <c r="I257" s="115"/>
      <c r="J257" s="115"/>
      <c r="K257" s="115"/>
      <c r="L257" s="26"/>
      <c r="M257" s="15"/>
      <c r="Q257" s="115"/>
      <c r="R257" s="117"/>
      <c r="S257" s="123"/>
      <c r="T257" s="123"/>
      <c r="U257" s="123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26"/>
      <c r="AK257" s="15"/>
      <c r="AN257" s="114"/>
    </row>
    <row r="258" spans="6:40" ht="19.5" x14ac:dyDescent="0.4">
      <c r="G258" s="115"/>
      <c r="H258" s="115"/>
      <c r="I258" s="115"/>
      <c r="J258" s="115"/>
      <c r="K258" s="115"/>
      <c r="L258" s="17"/>
      <c r="M258" s="15"/>
      <c r="Q258" s="115"/>
      <c r="R258" s="117"/>
      <c r="S258" s="123"/>
      <c r="T258" s="123"/>
      <c r="U258" s="123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26"/>
      <c r="AK258" s="15"/>
      <c r="AN258" s="114"/>
    </row>
    <row r="259" spans="6:40" ht="19.5" x14ac:dyDescent="0.4">
      <c r="L259" s="26"/>
      <c r="M259" s="15"/>
      <c r="Q259" s="115"/>
      <c r="R259" s="117"/>
      <c r="S259" s="123"/>
      <c r="T259" s="123"/>
      <c r="U259" s="123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26">
        <v>45278</v>
      </c>
      <c r="AK259" s="15" t="s">
        <v>142</v>
      </c>
      <c r="AN259" s="114"/>
    </row>
    <row r="260" spans="6:40" ht="19.5" x14ac:dyDescent="0.4">
      <c r="L260" s="26"/>
      <c r="M260" s="15"/>
      <c r="Q260" s="115"/>
      <c r="R260" s="117"/>
      <c r="S260" s="123"/>
      <c r="T260" s="123"/>
      <c r="U260" s="123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26">
        <v>45278</v>
      </c>
      <c r="AK260" s="15" t="s">
        <v>162</v>
      </c>
      <c r="AN260" s="114"/>
    </row>
    <row r="261" spans="6:40" ht="19.5" x14ac:dyDescent="0.4">
      <c r="L261" s="26"/>
      <c r="M261" s="15"/>
      <c r="Q261" s="115"/>
      <c r="R261" s="117"/>
      <c r="S261" s="123"/>
      <c r="T261" s="123"/>
      <c r="U261" s="123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26">
        <v>45278</v>
      </c>
      <c r="AK261" s="15" t="s">
        <v>162</v>
      </c>
      <c r="AN261" s="114"/>
    </row>
    <row r="262" spans="6:40" ht="19.5" x14ac:dyDescent="0.4">
      <c r="I262" s="115"/>
      <c r="J262" s="115"/>
      <c r="K262" s="115"/>
      <c r="L262" s="17"/>
      <c r="M262" s="15"/>
      <c r="Q262" s="115"/>
      <c r="R262" s="117"/>
      <c r="S262" s="123"/>
      <c r="T262" s="123"/>
      <c r="U262" s="123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26"/>
      <c r="AK262" s="15"/>
      <c r="AN262" s="114"/>
    </row>
    <row r="263" spans="6:40" ht="19.5" x14ac:dyDescent="0.4">
      <c r="G263" s="115"/>
      <c r="H263" s="115"/>
      <c r="I263" s="115"/>
      <c r="J263" s="115"/>
      <c r="K263" s="115"/>
      <c r="L263" s="26"/>
      <c r="M263" s="15"/>
      <c r="Q263" s="115"/>
      <c r="R263" s="117"/>
      <c r="S263" s="123"/>
      <c r="T263" s="123"/>
      <c r="U263" s="123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26"/>
      <c r="AK263" s="15"/>
      <c r="AN263" s="114"/>
    </row>
    <row r="264" spans="6:40" ht="19.5" x14ac:dyDescent="0.4">
      <c r="F264" s="115"/>
      <c r="G264" s="115"/>
      <c r="H264" s="115"/>
      <c r="I264" s="115"/>
      <c r="J264" s="115"/>
      <c r="K264" s="115"/>
      <c r="L264" s="26"/>
      <c r="M264" s="15"/>
      <c r="Q264" s="115"/>
      <c r="R264" s="117"/>
      <c r="S264" s="123"/>
      <c r="T264" s="123"/>
      <c r="U264" s="123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26"/>
      <c r="AK264" s="15"/>
      <c r="AN264" s="114"/>
    </row>
    <row r="265" spans="6:40" ht="19.5" x14ac:dyDescent="0.4">
      <c r="F265" s="115"/>
      <c r="G265" s="115"/>
      <c r="H265" s="115"/>
      <c r="I265" s="115"/>
      <c r="J265" s="115"/>
      <c r="K265" s="115"/>
      <c r="L265" s="17"/>
      <c r="M265" s="15"/>
      <c r="Q265" s="115"/>
      <c r="R265" s="117"/>
      <c r="S265" s="123"/>
      <c r="T265" s="123"/>
      <c r="U265" s="123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26"/>
      <c r="AK265" s="15"/>
      <c r="AN265" s="114"/>
    </row>
    <row r="266" spans="6:40" ht="19.5" x14ac:dyDescent="0.4">
      <c r="F266" s="115"/>
      <c r="G266" s="115"/>
      <c r="H266" s="115"/>
      <c r="I266" s="115"/>
      <c r="J266" s="115"/>
      <c r="K266" s="115"/>
      <c r="L266" s="26"/>
      <c r="M266" s="15"/>
      <c r="Q266" s="115"/>
      <c r="R266" s="117"/>
      <c r="S266" s="123"/>
      <c r="T266" s="123"/>
      <c r="U266" s="123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26"/>
      <c r="AK266" s="15"/>
      <c r="AN266" s="114"/>
    </row>
    <row r="267" spans="6:40" ht="19.5" x14ac:dyDescent="0.4">
      <c r="L267" s="26"/>
      <c r="M267" s="15"/>
      <c r="Q267" s="115"/>
      <c r="R267" s="117"/>
      <c r="S267" s="123"/>
      <c r="T267" s="123"/>
      <c r="U267" s="123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26">
        <v>45278</v>
      </c>
      <c r="AK267" s="15" t="s">
        <v>162</v>
      </c>
      <c r="AN267" s="114"/>
    </row>
    <row r="268" spans="6:40" ht="19.5" x14ac:dyDescent="0.4">
      <c r="G268" s="115"/>
      <c r="H268" s="115"/>
      <c r="I268" s="115"/>
      <c r="J268" s="115"/>
      <c r="K268" s="115"/>
      <c r="L268" s="26"/>
      <c r="M268" s="15"/>
      <c r="Q268" s="115"/>
      <c r="R268" s="117"/>
      <c r="S268" s="123"/>
      <c r="T268" s="123"/>
      <c r="U268" s="123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26"/>
      <c r="AK268" s="15"/>
      <c r="AN268" s="114"/>
    </row>
    <row r="269" spans="6:40" ht="19.5" x14ac:dyDescent="0.4">
      <c r="L269" s="26"/>
      <c r="M269" s="15"/>
      <c r="Q269" s="115"/>
      <c r="R269" s="117"/>
      <c r="S269" s="123"/>
      <c r="T269" s="123"/>
      <c r="U269" s="123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26">
        <v>45278</v>
      </c>
      <c r="AK269" s="15" t="s">
        <v>163</v>
      </c>
      <c r="AN269" s="114"/>
    </row>
    <row r="270" spans="6:40" ht="19.5" x14ac:dyDescent="0.4">
      <c r="L270" s="26"/>
      <c r="M270" s="15"/>
      <c r="Q270" s="115"/>
      <c r="R270" s="117"/>
      <c r="S270" s="123"/>
      <c r="T270" s="123"/>
      <c r="U270" s="123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26">
        <v>45278</v>
      </c>
      <c r="AK270" s="105" t="s">
        <v>163</v>
      </c>
      <c r="AN270" s="114"/>
    </row>
    <row r="271" spans="6:40" ht="19.5" x14ac:dyDescent="0.4">
      <c r="L271" s="25"/>
      <c r="M271" s="13"/>
      <c r="Q271" s="115"/>
      <c r="R271" s="117"/>
      <c r="S271" s="123"/>
      <c r="T271" s="123"/>
      <c r="U271" s="123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26">
        <v>45278</v>
      </c>
      <c r="AK271" s="15" t="s">
        <v>163</v>
      </c>
      <c r="AN271" s="114"/>
    </row>
    <row r="272" spans="6:40" ht="19.5" x14ac:dyDescent="0.4">
      <c r="F272" s="115"/>
      <c r="G272" s="115"/>
      <c r="H272" s="115"/>
      <c r="I272" s="115"/>
      <c r="J272" s="115"/>
      <c r="K272" s="115"/>
      <c r="L272" s="25"/>
      <c r="M272" s="13"/>
      <c r="Q272" s="115"/>
      <c r="R272" s="117"/>
      <c r="S272" s="123"/>
      <c r="T272" s="123"/>
      <c r="U272" s="123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26"/>
      <c r="AK272" s="15"/>
      <c r="AN272" s="114"/>
    </row>
    <row r="273" spans="6:40" ht="19.5" x14ac:dyDescent="0.4">
      <c r="F273" s="115"/>
      <c r="G273" s="115"/>
      <c r="H273" s="115"/>
      <c r="I273" s="115"/>
      <c r="J273" s="115"/>
      <c r="K273" s="115"/>
      <c r="L273" s="25"/>
      <c r="M273" s="13"/>
      <c r="Q273" s="115"/>
      <c r="R273" s="117"/>
      <c r="S273" s="123"/>
      <c r="T273" s="123"/>
      <c r="U273" s="123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26"/>
      <c r="AK273" s="15"/>
      <c r="AN273" s="114"/>
    </row>
    <row r="274" spans="6:40" ht="19.5" x14ac:dyDescent="0.4">
      <c r="F274" s="115"/>
      <c r="G274" s="115"/>
      <c r="H274" s="115"/>
      <c r="I274" s="115"/>
      <c r="J274" s="115"/>
      <c r="K274" s="115"/>
      <c r="L274" s="25"/>
      <c r="M274" s="13"/>
      <c r="Q274" s="115"/>
      <c r="R274" s="117"/>
      <c r="S274" s="123"/>
      <c r="T274" s="123"/>
      <c r="U274" s="123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26"/>
      <c r="AK274" s="15"/>
      <c r="AN274" s="114"/>
    </row>
    <row r="275" spans="6:40" ht="19.5" x14ac:dyDescent="0.4">
      <c r="F275" s="115"/>
      <c r="G275" s="115"/>
      <c r="H275" s="115"/>
      <c r="I275" s="115"/>
      <c r="J275" s="115"/>
      <c r="K275" s="115"/>
      <c r="L275" s="25"/>
      <c r="M275" s="13"/>
      <c r="Q275" s="115"/>
      <c r="R275" s="117"/>
      <c r="S275" s="123"/>
      <c r="T275" s="123"/>
      <c r="U275" s="123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26"/>
      <c r="AK275" s="15"/>
      <c r="AN275" s="114"/>
    </row>
    <row r="276" spans="6:40" ht="19.5" x14ac:dyDescent="0.4">
      <c r="F276" s="115"/>
      <c r="G276" s="115"/>
      <c r="H276" s="115"/>
      <c r="I276" s="115"/>
      <c r="J276" s="115"/>
      <c r="K276" s="115"/>
      <c r="L276" s="25"/>
      <c r="M276" s="13"/>
      <c r="Q276" s="115"/>
      <c r="R276" s="117"/>
      <c r="S276" s="123"/>
      <c r="T276" s="123"/>
      <c r="U276" s="123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26"/>
      <c r="AK276" s="15"/>
      <c r="AN276" s="114"/>
    </row>
    <row r="277" spans="6:40" ht="19.5" x14ac:dyDescent="0.4">
      <c r="F277" s="115"/>
      <c r="G277" s="115"/>
      <c r="H277" s="115"/>
      <c r="I277" s="115"/>
      <c r="J277" s="115"/>
      <c r="K277" s="115"/>
      <c r="L277" s="25"/>
      <c r="M277" s="13"/>
      <c r="Q277" s="115"/>
      <c r="R277" s="117"/>
      <c r="S277" s="123"/>
      <c r="T277" s="123"/>
      <c r="U277" s="123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26"/>
      <c r="AK277" s="15"/>
      <c r="AN277" s="114"/>
    </row>
    <row r="278" spans="6:40" ht="19.5" x14ac:dyDescent="0.4">
      <c r="L278" s="25"/>
      <c r="M278" s="13"/>
      <c r="Q278" s="115"/>
      <c r="R278" s="117"/>
      <c r="S278" s="123"/>
      <c r="T278" s="123"/>
      <c r="U278" s="123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26">
        <v>45278</v>
      </c>
      <c r="AK278" s="15" t="s">
        <v>163</v>
      </c>
      <c r="AN278" s="114"/>
    </row>
    <row r="279" spans="6:40" ht="19.5" x14ac:dyDescent="0.4">
      <c r="L279" s="25"/>
      <c r="M279" s="13"/>
      <c r="Q279" s="115"/>
      <c r="R279" s="117"/>
      <c r="S279" s="123"/>
      <c r="T279" s="123"/>
      <c r="U279" s="123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26"/>
      <c r="AK279" s="15"/>
      <c r="AN279" s="114"/>
    </row>
    <row r="280" spans="6:40" ht="19.5" x14ac:dyDescent="0.4">
      <c r="I280" s="115"/>
      <c r="J280" s="115"/>
      <c r="K280" s="115"/>
      <c r="L280" s="13"/>
      <c r="M280" s="13"/>
      <c r="Q280" s="115"/>
      <c r="R280" s="117"/>
      <c r="S280" s="123"/>
      <c r="T280" s="123"/>
      <c r="U280" s="123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26"/>
      <c r="AK280" s="15"/>
      <c r="AN280" s="114"/>
    </row>
    <row r="281" spans="6:40" ht="19.5" x14ac:dyDescent="0.4">
      <c r="L281" s="25"/>
      <c r="M281" s="13"/>
      <c r="Q281" s="115"/>
      <c r="R281" s="117"/>
      <c r="S281" s="123"/>
      <c r="T281" s="123"/>
      <c r="U281" s="123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26">
        <v>45278</v>
      </c>
      <c r="AK281" s="15" t="s">
        <v>163</v>
      </c>
      <c r="AN281" s="114"/>
    </row>
    <row r="282" spans="6:40" ht="19.5" x14ac:dyDescent="0.4">
      <c r="I282" s="115"/>
      <c r="J282" s="115"/>
      <c r="K282" s="115"/>
      <c r="L282" s="13"/>
      <c r="M282" s="13"/>
      <c r="Q282" s="115"/>
      <c r="R282" s="117"/>
      <c r="S282" s="123"/>
      <c r="T282" s="123"/>
      <c r="U282" s="123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26"/>
      <c r="AK282" s="13"/>
      <c r="AN282" s="114"/>
    </row>
    <row r="283" spans="6:40" ht="19.5" x14ac:dyDescent="0.4">
      <c r="L283" s="25"/>
      <c r="M283" s="13"/>
      <c r="Q283" s="115"/>
      <c r="R283" s="117"/>
      <c r="S283" s="123"/>
      <c r="T283" s="123"/>
      <c r="U283" s="123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 t="s">
        <v>153</v>
      </c>
      <c r="AJ283" s="17">
        <f>SUBTOTAL(3,AJ252:AJ281)</f>
        <v>12</v>
      </c>
      <c r="AK283" s="13">
        <f>SUBTOTAL(3,AK252:AK281)</f>
        <v>12</v>
      </c>
      <c r="AN283" s="114"/>
    </row>
    <row r="284" spans="6:40" ht="19.5" x14ac:dyDescent="0.4">
      <c r="I284" s="115"/>
      <c r="J284" s="115"/>
      <c r="K284" s="115"/>
      <c r="L284" s="13"/>
      <c r="M284" s="13"/>
      <c r="Q284" s="115"/>
      <c r="R284" s="117"/>
      <c r="S284" s="123"/>
      <c r="T284" s="123"/>
      <c r="U284" s="123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7"/>
      <c r="AK284" s="13"/>
      <c r="AN284" s="114"/>
    </row>
    <row r="285" spans="6:40" ht="19.5" x14ac:dyDescent="0.4">
      <c r="L285" s="25"/>
      <c r="M285" s="13"/>
      <c r="Q285" s="115"/>
      <c r="R285" s="117"/>
      <c r="S285" s="123"/>
      <c r="T285" s="123"/>
      <c r="U285" s="123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26">
        <v>45279</v>
      </c>
      <c r="AK285" s="25" t="s">
        <v>162</v>
      </c>
      <c r="AN285" s="114"/>
    </row>
    <row r="286" spans="6:40" ht="19.5" x14ac:dyDescent="0.4">
      <c r="L286" s="25"/>
      <c r="M286" s="13"/>
      <c r="Q286" s="115"/>
      <c r="R286" s="117"/>
      <c r="S286" s="123"/>
      <c r="T286" s="123"/>
      <c r="U286" s="123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26">
        <v>45279</v>
      </c>
      <c r="AK286" s="13" t="s">
        <v>162</v>
      </c>
      <c r="AN286" s="114"/>
    </row>
    <row r="287" spans="6:40" ht="19.5" x14ac:dyDescent="0.4">
      <c r="I287" s="115"/>
      <c r="J287" s="115"/>
      <c r="K287" s="115"/>
      <c r="L287" s="20"/>
      <c r="M287" s="13"/>
      <c r="Q287" s="115"/>
      <c r="R287" s="117"/>
      <c r="S287" s="123"/>
      <c r="T287" s="123"/>
      <c r="U287" s="123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26"/>
      <c r="AK287" s="13"/>
      <c r="AN287" s="114"/>
    </row>
    <row r="288" spans="6:40" ht="19.5" x14ac:dyDescent="0.4">
      <c r="I288" s="115"/>
      <c r="J288" s="115"/>
      <c r="K288" s="115"/>
      <c r="L288" s="20"/>
      <c r="M288" s="13"/>
      <c r="Q288" s="115"/>
      <c r="R288" s="117"/>
      <c r="S288" s="123"/>
      <c r="T288" s="123"/>
      <c r="U288" s="123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26"/>
      <c r="AK288" s="13"/>
      <c r="AN288" s="114"/>
    </row>
    <row r="289" spans="12:40" ht="19.5" x14ac:dyDescent="0.4">
      <c r="L289" s="26"/>
      <c r="M289" s="13"/>
      <c r="Q289" s="115"/>
      <c r="R289" s="117"/>
      <c r="S289" s="123"/>
      <c r="T289" s="123"/>
      <c r="U289" s="123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26">
        <v>45279</v>
      </c>
      <c r="AK289" s="13" t="s">
        <v>162</v>
      </c>
      <c r="AN289" s="114"/>
    </row>
    <row r="290" spans="12:40" ht="19.5" x14ac:dyDescent="0.4">
      <c r="L290" s="26"/>
      <c r="M290" s="13"/>
      <c r="Q290" s="115"/>
      <c r="R290" s="117"/>
      <c r="S290" s="123"/>
      <c r="T290" s="123"/>
      <c r="U290" s="123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26">
        <v>45279</v>
      </c>
      <c r="AK290" s="13" t="s">
        <v>162</v>
      </c>
      <c r="AN290" s="114"/>
    </row>
    <row r="291" spans="12:40" ht="19.5" x14ac:dyDescent="0.4">
      <c r="L291" s="129"/>
      <c r="M291" s="13"/>
      <c r="Q291" s="115"/>
      <c r="R291" s="117"/>
      <c r="S291" s="123"/>
      <c r="T291" s="123"/>
      <c r="U291" s="123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26"/>
      <c r="AK291" s="13"/>
      <c r="AN291" s="114"/>
    </row>
    <row r="292" spans="12:40" ht="19.5" x14ac:dyDescent="0.4">
      <c r="L292" s="26"/>
      <c r="M292" s="13"/>
      <c r="Q292" s="115"/>
      <c r="R292" s="117"/>
      <c r="S292" s="123"/>
      <c r="T292" s="123"/>
      <c r="U292" s="123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26">
        <v>45279</v>
      </c>
      <c r="AK292" s="13" t="s">
        <v>162</v>
      </c>
      <c r="AN292" s="114"/>
    </row>
    <row r="293" spans="12:40" ht="19.5" x14ac:dyDescent="0.4">
      <c r="L293" s="26"/>
      <c r="M293" s="13"/>
      <c r="Q293" s="115"/>
      <c r="R293" s="117"/>
      <c r="S293" s="123"/>
      <c r="T293" s="123"/>
      <c r="U293" s="123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26">
        <v>45279</v>
      </c>
      <c r="AK293" s="13" t="s">
        <v>162</v>
      </c>
      <c r="AN293" s="114"/>
    </row>
    <row r="294" spans="12:40" ht="19.5" x14ac:dyDescent="0.4">
      <c r="L294" s="26"/>
      <c r="M294" s="13"/>
      <c r="Q294" s="115"/>
      <c r="R294" s="117"/>
      <c r="S294" s="123"/>
      <c r="T294" s="123"/>
      <c r="U294" s="123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 t="s">
        <v>170</v>
      </c>
      <c r="AJ294" s="17">
        <f>SUBTOTAL(3,AJ285:AJ293)</f>
        <v>6</v>
      </c>
      <c r="AK294" s="13">
        <f>SUBTOTAL(3,AK285:AK293)</f>
        <v>6</v>
      </c>
      <c r="AN294" s="114"/>
    </row>
    <row r="295" spans="12:40" ht="19.5" x14ac:dyDescent="0.4">
      <c r="L295" s="129"/>
      <c r="M295" s="13"/>
      <c r="Q295" s="115"/>
      <c r="R295" s="117"/>
      <c r="S295" s="123"/>
      <c r="T295" s="123"/>
      <c r="U295" s="123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7"/>
      <c r="AK295" s="13"/>
      <c r="AN295" s="114"/>
    </row>
    <row r="296" spans="12:40" ht="19.5" x14ac:dyDescent="0.4">
      <c r="L296" s="26"/>
      <c r="M296" s="13"/>
      <c r="Q296" s="115"/>
      <c r="R296" s="117"/>
      <c r="S296" s="123"/>
      <c r="T296" s="123"/>
      <c r="U296" s="123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26">
        <v>45280</v>
      </c>
      <c r="AK296" s="13" t="s">
        <v>162</v>
      </c>
      <c r="AN296" s="114"/>
    </row>
    <row r="297" spans="12:40" ht="19.5" x14ac:dyDescent="0.4">
      <c r="L297" s="26"/>
      <c r="M297" s="13"/>
      <c r="Q297" s="115"/>
      <c r="R297" s="116"/>
      <c r="S297" s="123"/>
      <c r="T297" s="123"/>
      <c r="U297" s="123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26">
        <v>45280</v>
      </c>
      <c r="AK297" s="13" t="s">
        <v>162</v>
      </c>
      <c r="AN297" s="114"/>
    </row>
    <row r="298" spans="12:40" ht="19.5" x14ac:dyDescent="0.4">
      <c r="L298" s="26"/>
      <c r="M298" s="13"/>
      <c r="Q298" s="115"/>
      <c r="R298" s="116"/>
      <c r="S298" s="123"/>
      <c r="T298" s="123"/>
      <c r="U298" s="123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26">
        <v>45280</v>
      </c>
      <c r="AK298" s="13" t="s">
        <v>162</v>
      </c>
      <c r="AN298" s="114"/>
    </row>
    <row r="299" spans="12:40" ht="19.5" x14ac:dyDescent="0.4">
      <c r="L299" s="26"/>
      <c r="M299" s="13"/>
      <c r="Q299" s="115"/>
      <c r="R299" s="116"/>
      <c r="S299" s="123"/>
      <c r="T299" s="123"/>
      <c r="U299" s="123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26">
        <v>45280</v>
      </c>
      <c r="AK299" s="13" t="s">
        <v>162</v>
      </c>
      <c r="AN299" s="114"/>
    </row>
    <row r="300" spans="12:40" ht="19.5" x14ac:dyDescent="0.4">
      <c r="L300" s="129"/>
      <c r="M300" s="13"/>
      <c r="Q300" s="115"/>
      <c r="R300" s="116"/>
      <c r="S300" s="123"/>
      <c r="T300" s="123"/>
      <c r="U300" s="123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26"/>
      <c r="AK300" s="13"/>
      <c r="AN300" s="114"/>
    </row>
    <row r="301" spans="12:40" ht="19.5" x14ac:dyDescent="0.4">
      <c r="L301" s="26"/>
      <c r="M301" s="13"/>
      <c r="Q301" s="115"/>
      <c r="R301" s="116"/>
      <c r="S301" s="123"/>
      <c r="T301" s="123"/>
      <c r="U301" s="123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26">
        <v>45280</v>
      </c>
      <c r="AK301" s="13" t="s">
        <v>162</v>
      </c>
      <c r="AN301" s="114"/>
    </row>
    <row r="302" spans="12:40" ht="19.5" x14ac:dyDescent="0.4">
      <c r="L302" s="130"/>
      <c r="M302" s="119"/>
      <c r="Q302" s="115"/>
      <c r="R302" s="116"/>
      <c r="S302" s="123"/>
      <c r="T302" s="123"/>
      <c r="U302" s="123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26"/>
      <c r="AK302" s="13"/>
      <c r="AN302" s="114"/>
    </row>
    <row r="303" spans="12:40" ht="19.5" x14ac:dyDescent="0.4">
      <c r="L303" s="130"/>
      <c r="M303" s="119"/>
      <c r="Q303" s="115"/>
      <c r="R303" s="116"/>
      <c r="S303" s="123"/>
      <c r="T303" s="123"/>
      <c r="U303" s="123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26"/>
      <c r="AK303" s="13"/>
      <c r="AN303" s="114"/>
    </row>
    <row r="304" spans="12:40" ht="19.5" x14ac:dyDescent="0.4">
      <c r="Q304" s="115"/>
      <c r="R304" s="116"/>
      <c r="S304" s="123"/>
      <c r="T304" s="123"/>
      <c r="U304" s="123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26">
        <v>45280</v>
      </c>
      <c r="AK304" s="13" t="s">
        <v>162</v>
      </c>
      <c r="AN304" s="114"/>
    </row>
    <row r="305" spans="14:40" ht="19.5" x14ac:dyDescent="0.4">
      <c r="Q305" s="115"/>
      <c r="R305" s="116"/>
      <c r="S305" s="123"/>
      <c r="T305" s="123"/>
      <c r="U305" s="123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26">
        <v>45280</v>
      </c>
      <c r="AK305" s="13" t="s">
        <v>162</v>
      </c>
      <c r="AN305" s="114"/>
    </row>
    <row r="306" spans="14:40" ht="19.5" x14ac:dyDescent="0.4">
      <c r="Q306" s="115"/>
      <c r="R306" s="116"/>
      <c r="S306" s="123"/>
      <c r="T306" s="123"/>
      <c r="U306" s="12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26">
        <v>45280</v>
      </c>
      <c r="AK306" s="13" t="s">
        <v>162</v>
      </c>
      <c r="AN306" s="114"/>
    </row>
    <row r="307" spans="14:40" ht="19.5" x14ac:dyDescent="0.4">
      <c r="P307" s="115"/>
      <c r="Q307" s="115"/>
      <c r="R307" s="116"/>
      <c r="S307" s="123"/>
      <c r="T307" s="123"/>
      <c r="U307" s="123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26">
        <v>45280</v>
      </c>
      <c r="AK307" s="13" t="s">
        <v>162</v>
      </c>
      <c r="AN307" s="114"/>
    </row>
    <row r="308" spans="14:40" ht="19.5" x14ac:dyDescent="0.4">
      <c r="P308" s="115"/>
      <c r="Q308" s="115"/>
      <c r="R308" s="116"/>
      <c r="S308" s="123"/>
      <c r="T308" s="123"/>
      <c r="U308" s="123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26">
        <v>45280</v>
      </c>
      <c r="AK308" s="13" t="s">
        <v>162</v>
      </c>
      <c r="AN308" s="114"/>
    </row>
    <row r="309" spans="14:40" ht="19.5" x14ac:dyDescent="0.4">
      <c r="N309" s="115"/>
      <c r="O309" s="115"/>
      <c r="P309" s="115"/>
      <c r="Q309" s="115"/>
      <c r="R309" s="116"/>
      <c r="S309" s="123"/>
      <c r="T309" s="123"/>
      <c r="U309" s="123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26">
        <v>45280</v>
      </c>
      <c r="AK309" s="13" t="s">
        <v>162</v>
      </c>
      <c r="AN309" s="114"/>
    </row>
    <row r="310" spans="14:40" x14ac:dyDescent="0.4">
      <c r="N310" s="115"/>
      <c r="O310" s="115"/>
      <c r="P310" s="115"/>
      <c r="Q310" s="115"/>
      <c r="R310" s="115"/>
      <c r="S310" s="122"/>
      <c r="T310" s="122"/>
      <c r="U310" s="122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26">
        <v>45280</v>
      </c>
      <c r="AK310" s="13" t="s">
        <v>162</v>
      </c>
      <c r="AN310" s="114"/>
    </row>
    <row r="311" spans="14:40" x14ac:dyDescent="0.4">
      <c r="N311" s="115"/>
      <c r="O311" s="115"/>
      <c r="P311" s="115"/>
      <c r="Q311" s="115"/>
      <c r="R311" s="115"/>
      <c r="S311" s="122"/>
      <c r="T311" s="122"/>
      <c r="U311" s="122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26">
        <v>45280</v>
      </c>
      <c r="AK311" s="13" t="s">
        <v>162</v>
      </c>
      <c r="AN311" s="114"/>
    </row>
    <row r="312" spans="14:40" x14ac:dyDescent="0.4">
      <c r="N312" s="115"/>
      <c r="O312" s="115"/>
      <c r="P312" s="115"/>
      <c r="Q312" s="115"/>
      <c r="R312" s="115"/>
      <c r="S312" s="122"/>
      <c r="T312" s="122"/>
      <c r="U312" s="122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 t="s">
        <v>171</v>
      </c>
      <c r="AJ312" s="17">
        <f>SUBTOTAL(3,AJ296:AJ311)</f>
        <v>13</v>
      </c>
      <c r="AK312" s="13">
        <f>SUBTOTAL(3,AK296:AK311)</f>
        <v>13</v>
      </c>
      <c r="AN312" s="114"/>
    </row>
    <row r="313" spans="14:40" x14ac:dyDescent="0.4">
      <c r="N313" s="115"/>
      <c r="O313" s="115"/>
      <c r="P313" s="115"/>
      <c r="Q313" s="115"/>
      <c r="R313" s="115"/>
      <c r="S313" s="122"/>
      <c r="T313" s="122"/>
      <c r="U313" s="122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26">
        <v>45283</v>
      </c>
      <c r="AK313" s="13" t="s">
        <v>162</v>
      </c>
      <c r="AN313" s="114"/>
    </row>
    <row r="314" spans="14:40" x14ac:dyDescent="0.4">
      <c r="N314" s="115"/>
      <c r="O314" s="115"/>
      <c r="P314" s="115"/>
      <c r="Q314" s="115"/>
      <c r="R314" s="115"/>
      <c r="S314" s="122"/>
      <c r="T314" s="122"/>
      <c r="U314" s="122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26">
        <v>45283</v>
      </c>
      <c r="AK314" s="13" t="s">
        <v>162</v>
      </c>
      <c r="AN314" s="114"/>
    </row>
    <row r="315" spans="14:40" x14ac:dyDescent="0.4">
      <c r="N315" s="115"/>
      <c r="O315" s="115"/>
      <c r="P315" s="115"/>
      <c r="Q315" s="115"/>
      <c r="R315" s="115"/>
      <c r="S315" s="122"/>
      <c r="T315" s="122"/>
      <c r="U315" s="122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26">
        <v>45283</v>
      </c>
      <c r="AK315" s="13" t="s">
        <v>162</v>
      </c>
      <c r="AN315" s="114"/>
    </row>
    <row r="316" spans="14:40" x14ac:dyDescent="0.4">
      <c r="N316" s="115"/>
      <c r="O316" s="115"/>
      <c r="P316" s="115"/>
      <c r="Q316" s="115"/>
      <c r="R316" s="115"/>
      <c r="S316" s="122"/>
      <c r="T316" s="122"/>
      <c r="U316" s="122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26">
        <v>45283</v>
      </c>
      <c r="AK316" s="13" t="s">
        <v>162</v>
      </c>
      <c r="AN316" s="114"/>
    </row>
    <row r="317" spans="14:40" x14ac:dyDescent="0.4">
      <c r="N317" s="115"/>
      <c r="O317" s="115"/>
      <c r="P317" s="115"/>
      <c r="Q317" s="115"/>
      <c r="R317" s="115"/>
      <c r="S317" s="122"/>
      <c r="T317" s="122"/>
      <c r="U317" s="122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26">
        <v>45283</v>
      </c>
      <c r="AK317" s="13" t="s">
        <v>162</v>
      </c>
      <c r="AN317" s="114"/>
    </row>
    <row r="318" spans="14:40" x14ac:dyDescent="0.4">
      <c r="N318" s="115"/>
      <c r="O318" s="115"/>
      <c r="P318" s="115"/>
      <c r="Q318" s="115"/>
      <c r="R318" s="115"/>
      <c r="S318" s="122"/>
      <c r="T318" s="122"/>
      <c r="U318" s="122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26">
        <v>45283</v>
      </c>
      <c r="AK318" s="13" t="s">
        <v>162</v>
      </c>
      <c r="AN318" s="114"/>
    </row>
    <row r="319" spans="14:40" x14ac:dyDescent="0.4">
      <c r="N319" s="115"/>
      <c r="O319" s="115"/>
      <c r="P319" s="115"/>
      <c r="Q319" s="115"/>
      <c r="R319" s="115"/>
      <c r="S319" s="122"/>
      <c r="T319" s="122"/>
      <c r="U319" s="122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26">
        <v>45283</v>
      </c>
      <c r="AK319" s="13" t="s">
        <v>162</v>
      </c>
      <c r="AN319" s="114"/>
    </row>
    <row r="320" spans="14:40" x14ac:dyDescent="0.4">
      <c r="N320" s="115"/>
      <c r="O320" s="115"/>
      <c r="P320" s="115"/>
      <c r="Q320" s="115"/>
      <c r="R320" s="115"/>
      <c r="S320" s="122"/>
      <c r="T320" s="122"/>
      <c r="U320" s="122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26">
        <v>45283</v>
      </c>
      <c r="AK320" s="13" t="s">
        <v>162</v>
      </c>
      <c r="AN320" s="114"/>
    </row>
    <row r="321" spans="14:40" x14ac:dyDescent="0.4">
      <c r="N321" s="115"/>
      <c r="O321" s="115"/>
      <c r="P321" s="115"/>
      <c r="Q321" s="115"/>
      <c r="R321" s="115"/>
      <c r="S321" s="122"/>
      <c r="T321" s="122"/>
      <c r="U321" s="122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26">
        <v>45283</v>
      </c>
      <c r="AK321" s="13" t="s">
        <v>162</v>
      </c>
      <c r="AN321" s="114"/>
    </row>
    <row r="322" spans="14:40" x14ac:dyDescent="0.4">
      <c r="N322" s="115"/>
      <c r="O322" s="115"/>
      <c r="P322" s="115"/>
      <c r="Q322" s="115"/>
      <c r="R322" s="115"/>
      <c r="S322" s="122"/>
      <c r="T322" s="122"/>
      <c r="U322" s="122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26">
        <v>45283</v>
      </c>
      <c r="AK322" s="13" t="s">
        <v>162</v>
      </c>
      <c r="AN322" s="114"/>
    </row>
    <row r="323" spans="14:40" x14ac:dyDescent="0.4">
      <c r="N323" s="115"/>
      <c r="O323" s="115"/>
      <c r="P323" s="115"/>
      <c r="Q323" s="115"/>
      <c r="R323" s="115"/>
      <c r="S323" s="122"/>
      <c r="T323" s="122"/>
      <c r="U323" s="122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26">
        <v>45283</v>
      </c>
      <c r="AK323" s="13" t="s">
        <v>163</v>
      </c>
      <c r="AN323" s="114"/>
    </row>
    <row r="324" spans="14:40" x14ac:dyDescent="0.4">
      <c r="N324" s="115"/>
      <c r="O324" s="115"/>
      <c r="P324" s="115"/>
      <c r="Q324" s="115"/>
      <c r="R324" s="115"/>
      <c r="S324" s="122"/>
      <c r="T324" s="122"/>
      <c r="U324" s="122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26">
        <v>45283</v>
      </c>
      <c r="AK324" s="13" t="s">
        <v>163</v>
      </c>
      <c r="AN324" s="114"/>
    </row>
    <row r="325" spans="14:40" x14ac:dyDescent="0.4">
      <c r="N325" s="115"/>
      <c r="O325" s="115"/>
      <c r="P325" s="115"/>
      <c r="Q325" s="115"/>
      <c r="R325" s="115"/>
      <c r="S325" s="122"/>
      <c r="T325" s="122"/>
      <c r="U325" s="122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26">
        <v>45283</v>
      </c>
      <c r="AK325" s="13" t="s">
        <v>163</v>
      </c>
      <c r="AN325" s="114"/>
    </row>
    <row r="326" spans="14:40" x14ac:dyDescent="0.4">
      <c r="N326" s="115"/>
      <c r="O326" s="115"/>
      <c r="P326" s="115"/>
      <c r="Q326" s="115"/>
      <c r="R326" s="115"/>
      <c r="S326" s="122"/>
      <c r="T326" s="122"/>
      <c r="U326" s="122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 t="s">
        <v>161</v>
      </c>
      <c r="AJ326" s="17">
        <f>SUBTOTAL(3,AJ313:AJ325)</f>
        <v>13</v>
      </c>
      <c r="AK326" s="13">
        <f>SUBTOTAL(3,AK313:AK325)</f>
        <v>13</v>
      </c>
      <c r="AN326" s="114"/>
    </row>
    <row r="327" spans="14:40" x14ac:dyDescent="0.4">
      <c r="N327" s="115"/>
      <c r="O327" s="115"/>
      <c r="P327" s="115"/>
      <c r="Q327" s="115"/>
      <c r="R327" s="115"/>
      <c r="S327" s="122"/>
      <c r="T327" s="122"/>
      <c r="U327" s="122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26">
        <v>45285</v>
      </c>
      <c r="AK327" s="13" t="s">
        <v>163</v>
      </c>
      <c r="AN327" s="114"/>
    </row>
    <row r="328" spans="14:40" x14ac:dyDescent="0.4">
      <c r="N328" s="115"/>
      <c r="O328" s="115"/>
      <c r="P328" s="115"/>
      <c r="Q328" s="115"/>
      <c r="R328" s="115"/>
      <c r="S328" s="122"/>
      <c r="T328" s="122"/>
      <c r="U328" s="122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 t="s">
        <v>172</v>
      </c>
      <c r="AJ328" s="17">
        <f>SUBTOTAL(3,AJ327:AJ327)</f>
        <v>1</v>
      </c>
      <c r="AK328" s="13">
        <f>SUBTOTAL(3,AK327:AK327)</f>
        <v>1</v>
      </c>
      <c r="AN328" s="114"/>
    </row>
    <row r="329" spans="14:40" x14ac:dyDescent="0.4">
      <c r="N329" s="115"/>
      <c r="O329" s="115"/>
      <c r="P329" s="115"/>
      <c r="Q329" s="115"/>
      <c r="R329" s="115"/>
      <c r="S329" s="122"/>
      <c r="T329" s="122"/>
      <c r="U329" s="122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26">
        <v>45299</v>
      </c>
      <c r="AK329" s="13" t="s">
        <v>164</v>
      </c>
      <c r="AN329" s="114"/>
    </row>
    <row r="330" spans="14:40" x14ac:dyDescent="0.4">
      <c r="N330" s="115"/>
      <c r="O330" s="115"/>
      <c r="P330" s="115"/>
      <c r="Q330" s="115"/>
      <c r="R330" s="115"/>
      <c r="S330" s="122"/>
      <c r="T330" s="122"/>
      <c r="U330" s="122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26">
        <v>45299</v>
      </c>
      <c r="AK330" s="13" t="s">
        <v>162</v>
      </c>
      <c r="AN330" s="114"/>
    </row>
    <row r="331" spans="14:40" x14ac:dyDescent="0.4">
      <c r="N331" s="115"/>
      <c r="O331" s="115"/>
      <c r="P331" s="115"/>
      <c r="Q331" s="115"/>
      <c r="R331" s="115"/>
      <c r="S331" s="122"/>
      <c r="T331" s="122"/>
      <c r="U331" s="122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26">
        <v>45299</v>
      </c>
      <c r="AK331" s="13" t="s">
        <v>162</v>
      </c>
      <c r="AN331" s="114"/>
    </row>
    <row r="332" spans="14:40" x14ac:dyDescent="0.4">
      <c r="N332" s="115"/>
      <c r="O332" s="115"/>
      <c r="P332" s="115"/>
      <c r="Q332" s="115"/>
      <c r="R332" s="115"/>
      <c r="S332" s="122"/>
      <c r="T332" s="122"/>
      <c r="U332" s="122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26">
        <v>45299</v>
      </c>
      <c r="AK332" s="15" t="s">
        <v>162</v>
      </c>
      <c r="AN332" s="114"/>
    </row>
    <row r="333" spans="14:40" x14ac:dyDescent="0.4">
      <c r="N333" s="115"/>
      <c r="O333" s="115"/>
      <c r="P333" s="115"/>
      <c r="Q333" s="115"/>
      <c r="R333" s="115"/>
      <c r="S333" s="122"/>
      <c r="T333" s="122"/>
      <c r="U333" s="122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 t="s">
        <v>173</v>
      </c>
      <c r="AJ333" s="17">
        <f>SUBTOTAL(3,AJ329:AJ332)</f>
        <v>4</v>
      </c>
      <c r="AK333" s="13">
        <f>SUBTOTAL(3,AK329:AK332)</f>
        <v>4</v>
      </c>
      <c r="AN333" s="114"/>
    </row>
    <row r="334" spans="14:40" x14ac:dyDescent="0.4">
      <c r="N334" s="115"/>
      <c r="O334" s="115"/>
      <c r="P334" s="115"/>
      <c r="Q334" s="115"/>
      <c r="R334" s="115"/>
      <c r="S334" s="122"/>
      <c r="T334" s="122"/>
      <c r="U334" s="122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 t="s">
        <v>145</v>
      </c>
      <c r="AJ334" s="17">
        <f>SUBTOTAL(3,AJ2:AJ332)</f>
        <v>136</v>
      </c>
      <c r="AK334" s="13">
        <f>SUBTOTAL(3,AK2:AK332)</f>
        <v>136</v>
      </c>
      <c r="AN334" s="114"/>
    </row>
    <row r="335" spans="14:40" x14ac:dyDescent="0.4">
      <c r="N335" s="115"/>
      <c r="O335" s="115"/>
      <c r="P335" s="115"/>
      <c r="Q335" s="115"/>
      <c r="R335" s="115"/>
      <c r="S335" s="122"/>
      <c r="T335" s="122"/>
      <c r="U335" s="122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 t="s">
        <v>145</v>
      </c>
      <c r="AH335" s="115"/>
      <c r="AI335" s="115"/>
      <c r="AJ335" s="26"/>
      <c r="AK335" s="13"/>
      <c r="AN335" s="114"/>
    </row>
    <row r="336" spans="14:40" x14ac:dyDescent="0.4">
      <c r="N336" s="115"/>
      <c r="O336" s="115"/>
      <c r="P336" s="115"/>
      <c r="Q336" s="115"/>
      <c r="R336" s="115"/>
      <c r="S336" s="122"/>
      <c r="T336" s="122"/>
      <c r="U336" s="122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7"/>
      <c r="AK336" s="13"/>
      <c r="AN336" s="114"/>
    </row>
    <row r="337" spans="14:40" x14ac:dyDescent="0.4">
      <c r="N337" s="115"/>
      <c r="O337" s="115"/>
      <c r="P337" s="115"/>
      <c r="Q337" s="115"/>
      <c r="R337" s="115"/>
      <c r="S337" s="122"/>
      <c r="T337" s="122"/>
      <c r="U337" s="122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26"/>
      <c r="AK337" s="13"/>
      <c r="AN337" s="114"/>
    </row>
    <row r="338" spans="14:40" x14ac:dyDescent="0.4">
      <c r="N338" s="115"/>
      <c r="O338" s="115"/>
      <c r="P338" s="115"/>
      <c r="Q338" s="115"/>
      <c r="R338" s="115"/>
      <c r="S338" s="122"/>
      <c r="T338" s="122"/>
      <c r="U338" s="122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7"/>
      <c r="AK338" s="13"/>
      <c r="AN338" s="114"/>
    </row>
    <row r="339" spans="14:40" x14ac:dyDescent="0.4">
      <c r="N339" s="115"/>
      <c r="O339" s="115"/>
      <c r="P339" s="115"/>
      <c r="Q339" s="115"/>
      <c r="R339" s="115"/>
      <c r="S339" s="122"/>
      <c r="T339" s="122"/>
      <c r="U339" s="122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26"/>
      <c r="AK339" s="13"/>
      <c r="AN339" s="114"/>
    </row>
    <row r="340" spans="14:40" x14ac:dyDescent="0.4">
      <c r="N340" s="115"/>
      <c r="O340" s="115"/>
      <c r="P340" s="115"/>
      <c r="Q340" s="115"/>
      <c r="R340" s="115"/>
      <c r="S340" s="122"/>
      <c r="T340" s="122"/>
      <c r="U340" s="122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26"/>
      <c r="AK340" s="13"/>
      <c r="AN340" s="114"/>
    </row>
    <row r="341" spans="14:40" x14ac:dyDescent="0.4">
      <c r="N341" s="115"/>
      <c r="O341" s="115"/>
      <c r="P341" s="115"/>
      <c r="Q341" s="115"/>
      <c r="R341" s="115"/>
      <c r="S341" s="122"/>
      <c r="T341" s="122"/>
      <c r="U341" s="122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26"/>
      <c r="AK341" s="13"/>
      <c r="AN341" s="114"/>
    </row>
    <row r="342" spans="14:40" x14ac:dyDescent="0.4">
      <c r="N342" s="115"/>
      <c r="O342" s="115"/>
      <c r="P342" s="115"/>
      <c r="Q342" s="115"/>
      <c r="R342" s="115"/>
      <c r="S342" s="122"/>
      <c r="T342" s="122"/>
      <c r="U342" s="122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7"/>
      <c r="AK342" s="13"/>
      <c r="AN342" s="114"/>
    </row>
    <row r="343" spans="14:40" x14ac:dyDescent="0.4">
      <c r="N343" s="115"/>
      <c r="O343" s="115"/>
      <c r="P343" s="115"/>
      <c r="Q343" s="115"/>
      <c r="R343" s="115"/>
      <c r="S343" s="122"/>
      <c r="T343" s="122"/>
      <c r="U343" s="122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26"/>
      <c r="AK343" s="13"/>
      <c r="AN343" s="114"/>
    </row>
    <row r="344" spans="14:40" x14ac:dyDescent="0.4">
      <c r="N344" s="115"/>
      <c r="O344" s="115"/>
      <c r="P344" s="115"/>
      <c r="Q344" s="115"/>
      <c r="R344" s="115"/>
      <c r="S344" s="122"/>
      <c r="T344" s="122"/>
      <c r="U344" s="122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7"/>
      <c r="AK344" s="13"/>
      <c r="AN344" s="114"/>
    </row>
    <row r="345" spans="14:40" x14ac:dyDescent="0.4">
      <c r="N345" s="115"/>
      <c r="O345" s="115"/>
      <c r="P345" s="115"/>
      <c r="Q345" s="115"/>
      <c r="R345" s="115"/>
      <c r="S345" s="122"/>
      <c r="T345" s="122"/>
      <c r="U345" s="122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26"/>
      <c r="AK345" s="13"/>
      <c r="AN345" s="114"/>
    </row>
    <row r="346" spans="14:40" x14ac:dyDescent="0.4">
      <c r="N346" s="115"/>
      <c r="O346" s="115"/>
      <c r="P346" s="115"/>
      <c r="Q346" s="115"/>
      <c r="R346" s="115"/>
      <c r="S346" s="122"/>
      <c r="T346" s="122"/>
      <c r="U346" s="122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7"/>
      <c r="AK346" s="13"/>
      <c r="AN346" s="114"/>
    </row>
    <row r="347" spans="14:40" x14ac:dyDescent="0.4">
      <c r="N347" s="115"/>
      <c r="O347" s="115"/>
      <c r="P347" s="115"/>
      <c r="Q347" s="115"/>
      <c r="R347" s="115"/>
      <c r="S347" s="122"/>
      <c r="T347" s="122"/>
      <c r="U347" s="122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7"/>
      <c r="AK347" s="13"/>
      <c r="AN347" s="114"/>
    </row>
    <row r="348" spans="14:40" x14ac:dyDescent="0.4">
      <c r="N348" s="115"/>
      <c r="O348" s="115"/>
      <c r="P348" s="115"/>
      <c r="Q348" s="115"/>
      <c r="R348" s="115"/>
      <c r="S348" s="122"/>
      <c r="T348" s="122"/>
      <c r="U348" s="122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7"/>
      <c r="AK348" s="13"/>
      <c r="AN348" s="114"/>
    </row>
    <row r="349" spans="14:40" x14ac:dyDescent="0.4">
      <c r="N349" s="115"/>
      <c r="O349" s="115"/>
      <c r="P349" s="115"/>
      <c r="Q349" s="115"/>
      <c r="R349" s="115"/>
      <c r="S349" s="122"/>
      <c r="T349" s="122"/>
      <c r="U349" s="122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26"/>
      <c r="AK349" s="13"/>
      <c r="AN349" s="114"/>
    </row>
    <row r="350" spans="14:40" x14ac:dyDescent="0.4">
      <c r="N350" s="115"/>
      <c r="O350" s="115"/>
      <c r="P350" s="115"/>
      <c r="Q350" s="115"/>
      <c r="R350" s="115"/>
      <c r="S350" s="122"/>
      <c r="T350" s="122"/>
      <c r="U350" s="122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7"/>
      <c r="AK350" s="13"/>
      <c r="AN350" s="114"/>
    </row>
    <row r="351" spans="14:40" x14ac:dyDescent="0.4">
      <c r="N351" s="115"/>
      <c r="O351" s="115"/>
      <c r="P351" s="115"/>
      <c r="Q351" s="115"/>
      <c r="R351" s="115"/>
      <c r="S351" s="122"/>
      <c r="T351" s="122"/>
      <c r="U351" s="122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26"/>
      <c r="AK351" s="13"/>
      <c r="AN351" s="114"/>
    </row>
    <row r="352" spans="14:40" x14ac:dyDescent="0.4">
      <c r="N352" s="115"/>
      <c r="O352" s="115"/>
      <c r="P352" s="115"/>
      <c r="Q352" s="115"/>
      <c r="R352" s="115"/>
      <c r="S352" s="122"/>
      <c r="T352" s="122"/>
      <c r="U352" s="122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7"/>
      <c r="AK352" s="13"/>
      <c r="AN352" s="114"/>
    </row>
    <row r="353" spans="14:40" x14ac:dyDescent="0.4">
      <c r="N353" s="115"/>
      <c r="O353" s="115"/>
      <c r="P353" s="115"/>
      <c r="Q353" s="115"/>
      <c r="R353" s="115"/>
      <c r="S353" s="122"/>
      <c r="T353" s="122"/>
      <c r="U353" s="122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26"/>
      <c r="AK353" s="25"/>
      <c r="AN353" s="114"/>
    </row>
    <row r="354" spans="14:40" x14ac:dyDescent="0.4">
      <c r="N354" s="115"/>
      <c r="O354" s="115"/>
      <c r="P354" s="115"/>
      <c r="Q354" s="115"/>
      <c r="R354" s="115"/>
      <c r="S354" s="122"/>
      <c r="T354" s="122"/>
      <c r="U354" s="122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7"/>
      <c r="AK354" s="13"/>
      <c r="AN354" s="114"/>
    </row>
    <row r="355" spans="14:40" x14ac:dyDescent="0.4">
      <c r="N355" s="115"/>
      <c r="O355" s="115"/>
      <c r="P355" s="115"/>
      <c r="Q355" s="115"/>
      <c r="R355" s="115"/>
      <c r="S355" s="122"/>
      <c r="T355" s="122"/>
      <c r="U355" s="122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7"/>
      <c r="AK355" s="13"/>
      <c r="AN355" s="114"/>
    </row>
    <row r="356" spans="14:40" x14ac:dyDescent="0.4">
      <c r="N356" s="115"/>
      <c r="O356" s="115"/>
      <c r="P356" s="115"/>
      <c r="Q356" s="115"/>
      <c r="R356" s="115"/>
      <c r="S356" s="122"/>
      <c r="T356" s="122"/>
      <c r="U356" s="122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26"/>
      <c r="AK356" s="15"/>
      <c r="AN356" s="114"/>
    </row>
    <row r="357" spans="14:40" x14ac:dyDescent="0.4">
      <c r="N357" s="115"/>
      <c r="O357" s="115"/>
      <c r="P357" s="115"/>
      <c r="Q357" s="115"/>
      <c r="R357" s="115"/>
      <c r="S357" s="122"/>
      <c r="T357" s="122"/>
      <c r="U357" s="122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26"/>
      <c r="AK357" s="15"/>
      <c r="AN357" s="114"/>
    </row>
    <row r="358" spans="14:40" x14ac:dyDescent="0.4">
      <c r="N358" s="115"/>
      <c r="O358" s="115"/>
      <c r="P358" s="115"/>
      <c r="Q358" s="115"/>
      <c r="R358" s="115"/>
      <c r="S358" s="122"/>
      <c r="T358" s="122"/>
      <c r="U358" s="122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26"/>
      <c r="AK358" s="15"/>
      <c r="AN358" s="114"/>
    </row>
    <row r="359" spans="14:40" x14ac:dyDescent="0.4">
      <c r="N359" s="115"/>
      <c r="O359" s="115"/>
      <c r="P359" s="115"/>
      <c r="Q359" s="115"/>
      <c r="R359" s="115"/>
      <c r="S359" s="122"/>
      <c r="T359" s="122"/>
      <c r="U359" s="122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26"/>
      <c r="AK359" s="15"/>
      <c r="AN359" s="114"/>
    </row>
    <row r="360" spans="14:40" x14ac:dyDescent="0.4">
      <c r="N360" s="115"/>
      <c r="O360" s="115"/>
      <c r="P360" s="115"/>
      <c r="Q360" s="115"/>
      <c r="R360" s="115"/>
      <c r="S360" s="122"/>
      <c r="T360" s="122"/>
      <c r="U360" s="122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26"/>
      <c r="AK360" s="15"/>
      <c r="AN360" s="114"/>
    </row>
    <row r="361" spans="14:40" x14ac:dyDescent="0.4">
      <c r="N361" s="115"/>
      <c r="O361" s="115"/>
      <c r="P361" s="115"/>
      <c r="Q361" s="115"/>
      <c r="R361" s="115"/>
      <c r="S361" s="122"/>
      <c r="T361" s="122"/>
      <c r="U361" s="122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26"/>
      <c r="AK361" s="15"/>
      <c r="AN361" s="114"/>
    </row>
    <row r="362" spans="14:40" x14ac:dyDescent="0.4">
      <c r="N362" s="115"/>
      <c r="O362" s="115"/>
      <c r="P362" s="115"/>
      <c r="Q362" s="115"/>
      <c r="R362" s="115"/>
      <c r="S362" s="122"/>
      <c r="T362" s="122"/>
      <c r="U362" s="122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26"/>
      <c r="AK362" s="15"/>
      <c r="AN362" s="114"/>
    </row>
    <row r="363" spans="14:40" x14ac:dyDescent="0.4">
      <c r="N363" s="115"/>
      <c r="O363" s="115"/>
      <c r="P363" s="115"/>
      <c r="Q363" s="115"/>
      <c r="R363" s="115"/>
      <c r="S363" s="122"/>
      <c r="T363" s="122"/>
      <c r="U363" s="122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26"/>
      <c r="AK363" s="15"/>
      <c r="AN363" s="114"/>
    </row>
    <row r="364" spans="14:40" x14ac:dyDescent="0.4">
      <c r="N364" s="115"/>
      <c r="O364" s="115"/>
      <c r="P364" s="115"/>
      <c r="Q364" s="115"/>
      <c r="R364" s="115"/>
      <c r="S364" s="122"/>
      <c r="T364" s="122"/>
      <c r="U364" s="122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7"/>
      <c r="AK364" s="15"/>
      <c r="AN364" s="114"/>
    </row>
    <row r="365" spans="14:40" x14ac:dyDescent="0.4">
      <c r="N365" s="115"/>
      <c r="O365" s="115"/>
      <c r="P365" s="115"/>
      <c r="Q365" s="115"/>
      <c r="R365" s="115"/>
      <c r="S365" s="122"/>
      <c r="T365" s="122"/>
      <c r="U365" s="122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26"/>
      <c r="AK365" s="15"/>
      <c r="AN365" s="114"/>
    </row>
    <row r="366" spans="14:40" x14ac:dyDescent="0.4">
      <c r="N366" s="115"/>
      <c r="O366" s="115"/>
      <c r="P366" s="115"/>
      <c r="Q366" s="115"/>
      <c r="R366" s="115"/>
      <c r="S366" s="122"/>
      <c r="T366" s="122"/>
      <c r="U366" s="122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26"/>
      <c r="AK366" s="13"/>
      <c r="AN366" s="114"/>
    </row>
    <row r="367" spans="14:40" x14ac:dyDescent="0.4">
      <c r="N367" s="115"/>
      <c r="O367" s="115"/>
      <c r="P367" s="115"/>
      <c r="Q367" s="115"/>
      <c r="R367" s="115"/>
      <c r="S367" s="122"/>
      <c r="T367" s="122"/>
      <c r="U367" s="122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26"/>
      <c r="AK367" s="13"/>
      <c r="AN367" s="114"/>
    </row>
    <row r="368" spans="14:40" x14ac:dyDescent="0.4">
      <c r="N368" s="115"/>
      <c r="O368" s="115"/>
      <c r="P368" s="115"/>
      <c r="Q368" s="115"/>
      <c r="R368" s="115"/>
      <c r="S368" s="122"/>
      <c r="T368" s="122"/>
      <c r="U368" s="122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26"/>
      <c r="AK368" s="13"/>
      <c r="AN368" s="114"/>
    </row>
    <row r="369" spans="14:40" x14ac:dyDescent="0.4">
      <c r="N369" s="115"/>
      <c r="O369" s="115"/>
      <c r="P369" s="115"/>
      <c r="Q369" s="115"/>
      <c r="R369" s="115"/>
      <c r="S369" s="122"/>
      <c r="T369" s="122"/>
      <c r="U369" s="122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26"/>
      <c r="AK369" s="13"/>
      <c r="AN369" s="114"/>
    </row>
    <row r="370" spans="14:40" x14ac:dyDescent="0.4">
      <c r="N370" s="115"/>
      <c r="O370" s="115"/>
      <c r="P370" s="115"/>
      <c r="Q370" s="115"/>
      <c r="R370" s="115"/>
      <c r="S370" s="122"/>
      <c r="T370" s="122"/>
      <c r="U370" s="122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26"/>
      <c r="AK370" s="13"/>
      <c r="AN370" s="114"/>
    </row>
    <row r="371" spans="14:40" x14ac:dyDescent="0.4">
      <c r="N371" s="115"/>
      <c r="O371" s="115"/>
      <c r="P371" s="115"/>
      <c r="Q371" s="115"/>
      <c r="R371" s="115"/>
      <c r="S371" s="122"/>
      <c r="T371" s="122"/>
      <c r="U371" s="122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26"/>
      <c r="AK371" s="13"/>
      <c r="AN371" s="114"/>
    </row>
    <row r="372" spans="14:40" x14ac:dyDescent="0.4">
      <c r="N372" s="115"/>
      <c r="O372" s="115"/>
      <c r="P372" s="115"/>
      <c r="Q372" s="115"/>
      <c r="R372" s="115"/>
      <c r="S372" s="122"/>
      <c r="T372" s="122"/>
      <c r="U372" s="122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26"/>
      <c r="AK372" s="13"/>
      <c r="AN372" s="114"/>
    </row>
    <row r="373" spans="14:40" x14ac:dyDescent="0.4">
      <c r="N373" s="115"/>
      <c r="O373" s="115"/>
      <c r="P373" s="115"/>
      <c r="Q373" s="115"/>
      <c r="R373" s="115"/>
      <c r="S373" s="122"/>
      <c r="T373" s="122"/>
      <c r="U373" s="122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26"/>
      <c r="AK373" s="13"/>
      <c r="AN373" s="114"/>
    </row>
    <row r="374" spans="14:40" x14ac:dyDescent="0.4">
      <c r="N374" s="115"/>
      <c r="O374" s="115"/>
      <c r="P374" s="115"/>
      <c r="Q374" s="115"/>
      <c r="R374" s="115"/>
      <c r="S374" s="122"/>
      <c r="T374" s="122"/>
      <c r="U374" s="122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26"/>
      <c r="AK374" s="13"/>
      <c r="AN374" s="114"/>
    </row>
    <row r="375" spans="14:40" x14ac:dyDescent="0.4">
      <c r="N375" s="115"/>
      <c r="O375" s="115"/>
      <c r="P375" s="115"/>
      <c r="Q375" s="115"/>
      <c r="R375" s="115"/>
      <c r="S375" s="122"/>
      <c r="T375" s="122"/>
      <c r="U375" s="122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26"/>
      <c r="AK375" s="13"/>
      <c r="AN375" s="114"/>
    </row>
    <row r="376" spans="14:40" x14ac:dyDescent="0.4">
      <c r="N376" s="115"/>
      <c r="O376" s="115"/>
      <c r="P376" s="115"/>
      <c r="Q376" s="115"/>
      <c r="R376" s="115"/>
      <c r="S376" s="122"/>
      <c r="T376" s="122"/>
      <c r="U376" s="122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26"/>
      <c r="AK376" s="13"/>
      <c r="AN376" s="114"/>
    </row>
    <row r="377" spans="14:40" x14ac:dyDescent="0.4">
      <c r="N377" s="115"/>
      <c r="O377" s="115"/>
      <c r="P377" s="115"/>
      <c r="Q377" s="115"/>
      <c r="R377" s="115"/>
      <c r="S377" s="122"/>
      <c r="T377" s="122"/>
      <c r="U377" s="122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7"/>
      <c r="AK377" s="13"/>
      <c r="AN377" s="114"/>
    </row>
    <row r="378" spans="14:40" x14ac:dyDescent="0.4">
      <c r="N378" s="115"/>
      <c r="O378" s="115"/>
      <c r="P378" s="115"/>
      <c r="Q378" s="115"/>
      <c r="R378" s="115"/>
      <c r="S378" s="122"/>
      <c r="T378" s="122"/>
      <c r="U378" s="122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26"/>
      <c r="AK378" s="13"/>
      <c r="AN378" s="114"/>
    </row>
    <row r="379" spans="14:40" x14ac:dyDescent="0.4">
      <c r="N379" s="115"/>
      <c r="O379" s="115"/>
      <c r="P379" s="115"/>
      <c r="Q379" s="115"/>
      <c r="R379" s="115"/>
      <c r="S379" s="122"/>
      <c r="T379" s="122"/>
      <c r="U379" s="122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26"/>
      <c r="AK379" s="13"/>
      <c r="AN379" s="114"/>
    </row>
    <row r="380" spans="14:40" x14ac:dyDescent="0.4">
      <c r="N380" s="115"/>
      <c r="O380" s="115"/>
      <c r="P380" s="115"/>
      <c r="Q380" s="115"/>
      <c r="R380" s="115"/>
      <c r="S380" s="122"/>
      <c r="T380" s="122"/>
      <c r="U380" s="122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26"/>
      <c r="AK380" s="13"/>
      <c r="AN380" s="114"/>
    </row>
    <row r="381" spans="14:40" x14ac:dyDescent="0.4">
      <c r="N381" s="115"/>
      <c r="O381" s="115"/>
      <c r="P381" s="115"/>
      <c r="Q381" s="115"/>
      <c r="R381" s="115"/>
      <c r="S381" s="122"/>
      <c r="T381" s="122"/>
      <c r="U381" s="122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7"/>
      <c r="AK381" s="13"/>
      <c r="AN381" s="114"/>
    </row>
    <row r="382" spans="14:40" x14ac:dyDescent="0.4">
      <c r="N382" s="115"/>
      <c r="O382" s="115"/>
      <c r="P382" s="115"/>
      <c r="Q382" s="115"/>
      <c r="R382" s="115"/>
      <c r="S382" s="122"/>
      <c r="T382" s="122"/>
      <c r="U382" s="122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26"/>
      <c r="AK382" s="13"/>
      <c r="AN382" s="114"/>
    </row>
    <row r="383" spans="14:40" x14ac:dyDescent="0.4">
      <c r="N383" s="115"/>
      <c r="O383" s="115"/>
      <c r="P383" s="115"/>
      <c r="Q383" s="115"/>
      <c r="R383" s="115"/>
      <c r="S383" s="122"/>
      <c r="T383" s="122"/>
      <c r="U383" s="122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7"/>
      <c r="AK383" s="13"/>
      <c r="AN383" s="114"/>
    </row>
    <row r="384" spans="14:40" x14ac:dyDescent="0.4">
      <c r="N384" s="115"/>
      <c r="O384" s="115"/>
      <c r="P384" s="115"/>
      <c r="Q384" s="115"/>
      <c r="R384" s="115"/>
      <c r="S384" s="122"/>
      <c r="T384" s="122"/>
      <c r="U384" s="122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26"/>
      <c r="AK384" s="13"/>
      <c r="AN384" s="114"/>
    </row>
    <row r="385" spans="13:40" x14ac:dyDescent="0.4">
      <c r="N385" s="115"/>
      <c r="O385" s="115"/>
      <c r="P385" s="115"/>
      <c r="Q385" s="115"/>
      <c r="R385" s="115"/>
      <c r="S385" s="122"/>
      <c r="T385" s="122"/>
      <c r="U385" s="122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26"/>
      <c r="AK385" s="15"/>
      <c r="AN385" s="114"/>
    </row>
    <row r="386" spans="13:40" x14ac:dyDescent="0.4">
      <c r="N386" s="115"/>
      <c r="O386" s="115"/>
      <c r="P386" s="115"/>
      <c r="Q386" s="115"/>
      <c r="R386" s="115"/>
      <c r="S386" s="122"/>
      <c r="T386" s="122"/>
      <c r="U386" s="122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7"/>
      <c r="AK386" s="15"/>
      <c r="AN386" s="114"/>
    </row>
    <row r="387" spans="13:40" x14ac:dyDescent="0.4">
      <c r="N387" s="115"/>
      <c r="O387" s="115"/>
      <c r="P387" s="115"/>
      <c r="Q387" s="115"/>
      <c r="R387" s="115"/>
      <c r="S387" s="122"/>
      <c r="T387" s="122"/>
      <c r="U387" s="122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7"/>
      <c r="AK387" s="15"/>
      <c r="AN387" s="114"/>
    </row>
    <row r="388" spans="13:40" x14ac:dyDescent="0.4">
      <c r="M388" s="115"/>
      <c r="N388" s="115"/>
      <c r="O388" s="115"/>
      <c r="P388" s="115"/>
      <c r="Q388" s="115"/>
      <c r="R388" s="115"/>
      <c r="S388" s="122"/>
      <c r="T388" s="122"/>
      <c r="U388" s="122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26"/>
      <c r="AK388" s="15"/>
      <c r="AN388" s="114"/>
    </row>
    <row r="389" spans="13:40" x14ac:dyDescent="0.4">
      <c r="M389" s="115"/>
      <c r="N389" s="115"/>
      <c r="O389" s="115"/>
      <c r="P389" s="115"/>
      <c r="Q389" s="115"/>
      <c r="R389" s="115"/>
      <c r="S389" s="122"/>
      <c r="T389" s="122"/>
      <c r="U389" s="122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7"/>
      <c r="AK389" s="15"/>
      <c r="AN389" s="114"/>
    </row>
    <row r="390" spans="13:40" x14ac:dyDescent="0.4">
      <c r="M390" s="115"/>
      <c r="N390" s="115"/>
      <c r="O390" s="115"/>
      <c r="P390" s="115"/>
      <c r="Q390" s="115"/>
      <c r="R390" s="115"/>
      <c r="S390" s="122"/>
      <c r="T390" s="122"/>
      <c r="U390" s="122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26"/>
      <c r="AK390" s="15"/>
      <c r="AN390" s="114"/>
    </row>
    <row r="391" spans="13:40" x14ac:dyDescent="0.4">
      <c r="M391" s="115"/>
      <c r="N391" s="115"/>
      <c r="O391" s="115"/>
      <c r="P391" s="115"/>
      <c r="Q391" s="115"/>
      <c r="R391" s="115"/>
      <c r="S391" s="122"/>
      <c r="T391" s="122"/>
      <c r="U391" s="122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26"/>
      <c r="AK391" s="15"/>
      <c r="AN391" s="114"/>
    </row>
    <row r="392" spans="13:40" x14ac:dyDescent="0.4">
      <c r="M392" s="115"/>
      <c r="N392" s="115"/>
      <c r="O392" s="115"/>
      <c r="P392" s="115"/>
      <c r="Q392" s="115"/>
      <c r="R392" s="115"/>
      <c r="S392" s="122"/>
      <c r="T392" s="122"/>
      <c r="U392" s="122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7"/>
      <c r="AK392" s="15"/>
      <c r="AN392" s="114"/>
    </row>
    <row r="393" spans="13:40" x14ac:dyDescent="0.4">
      <c r="M393" s="115"/>
      <c r="N393" s="115"/>
      <c r="O393" s="115"/>
      <c r="P393" s="115"/>
      <c r="Q393" s="115"/>
      <c r="R393" s="115"/>
      <c r="S393" s="122"/>
      <c r="T393" s="122"/>
      <c r="U393" s="122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26"/>
      <c r="AK393" s="15"/>
      <c r="AN393" s="114"/>
    </row>
    <row r="394" spans="13:40" x14ac:dyDescent="0.4">
      <c r="M394" s="115"/>
      <c r="N394" s="115"/>
      <c r="O394" s="115"/>
      <c r="P394" s="115"/>
      <c r="Q394" s="115"/>
      <c r="R394" s="115"/>
      <c r="S394" s="122"/>
      <c r="T394" s="122"/>
      <c r="U394" s="122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7"/>
      <c r="AK394" s="15"/>
      <c r="AN394" s="114"/>
    </row>
    <row r="395" spans="13:40" x14ac:dyDescent="0.4">
      <c r="M395" s="115"/>
      <c r="N395" s="115"/>
      <c r="O395" s="115"/>
      <c r="P395" s="115"/>
      <c r="Q395" s="115"/>
      <c r="R395" s="115"/>
      <c r="S395" s="122"/>
      <c r="T395" s="122"/>
      <c r="U395" s="122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7"/>
      <c r="AK395" s="15"/>
      <c r="AN395" s="114"/>
    </row>
    <row r="396" spans="13:40" x14ac:dyDescent="0.4">
      <c r="M396" s="115"/>
      <c r="N396" s="115"/>
      <c r="O396" s="115"/>
      <c r="P396" s="115"/>
      <c r="Q396" s="115"/>
      <c r="R396" s="115"/>
      <c r="S396" s="122"/>
      <c r="T396" s="122"/>
      <c r="U396" s="122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26"/>
      <c r="AK396" s="15"/>
      <c r="AN396" s="114"/>
    </row>
    <row r="397" spans="13:40" x14ac:dyDescent="0.4">
      <c r="M397" s="115"/>
      <c r="N397" s="115"/>
      <c r="O397" s="115"/>
      <c r="P397" s="115"/>
      <c r="Q397" s="115"/>
      <c r="R397" s="115"/>
      <c r="S397" s="122"/>
      <c r="T397" s="122"/>
      <c r="U397" s="122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26"/>
      <c r="AK397" s="15"/>
      <c r="AN397" s="114"/>
    </row>
    <row r="398" spans="13:40" x14ac:dyDescent="0.4">
      <c r="M398" s="115"/>
      <c r="N398" s="115"/>
      <c r="O398" s="115"/>
      <c r="P398" s="115"/>
      <c r="Q398" s="115"/>
      <c r="R398" s="115"/>
      <c r="S398" s="122"/>
      <c r="T398" s="122"/>
      <c r="U398" s="122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26"/>
      <c r="AK398" s="15"/>
      <c r="AN398" s="114"/>
    </row>
    <row r="399" spans="13:40" x14ac:dyDescent="0.4">
      <c r="M399" s="115"/>
      <c r="N399" s="115"/>
      <c r="O399" s="115"/>
      <c r="P399" s="115"/>
      <c r="Q399" s="115"/>
      <c r="R399" s="115"/>
      <c r="S399" s="122"/>
      <c r="T399" s="122"/>
      <c r="U399" s="122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26"/>
      <c r="AK399" s="15"/>
      <c r="AN399" s="114"/>
    </row>
    <row r="400" spans="13:40" x14ac:dyDescent="0.4">
      <c r="M400" s="115"/>
      <c r="N400" s="115"/>
      <c r="O400" s="115"/>
      <c r="P400" s="115"/>
      <c r="Q400" s="115"/>
      <c r="R400" s="115"/>
      <c r="S400" s="122"/>
      <c r="T400" s="122"/>
      <c r="U400" s="122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26"/>
      <c r="AK400" s="15"/>
      <c r="AN400" s="114"/>
    </row>
    <row r="401" spans="13:40" x14ac:dyDescent="0.4">
      <c r="M401" s="115"/>
      <c r="N401" s="115"/>
      <c r="O401" s="115"/>
      <c r="P401" s="115"/>
      <c r="Q401" s="115"/>
      <c r="R401" s="115"/>
      <c r="S401" s="122"/>
      <c r="T401" s="122"/>
      <c r="U401" s="122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26"/>
      <c r="AK401" s="15"/>
      <c r="AN401" s="114"/>
    </row>
    <row r="402" spans="13:40" x14ac:dyDescent="0.4">
      <c r="M402" s="115"/>
      <c r="N402" s="115"/>
      <c r="O402" s="115"/>
      <c r="P402" s="115"/>
      <c r="Q402" s="115"/>
      <c r="R402" s="115"/>
      <c r="S402" s="122"/>
      <c r="T402" s="122"/>
      <c r="U402" s="122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26"/>
      <c r="AK402" s="15"/>
      <c r="AN402" s="114"/>
    </row>
    <row r="403" spans="13:40" x14ac:dyDescent="0.4">
      <c r="M403" s="115"/>
      <c r="N403" s="115"/>
      <c r="O403" s="115"/>
      <c r="P403" s="115"/>
      <c r="Q403" s="115"/>
      <c r="R403" s="115"/>
      <c r="S403" s="122"/>
      <c r="T403" s="122"/>
      <c r="U403" s="122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7"/>
      <c r="AK403" s="15"/>
      <c r="AN403" s="114"/>
    </row>
    <row r="404" spans="13:40" x14ac:dyDescent="0.4">
      <c r="M404" s="115"/>
      <c r="N404" s="115"/>
      <c r="O404" s="115"/>
      <c r="P404" s="115"/>
      <c r="Q404" s="115"/>
      <c r="R404" s="115"/>
      <c r="S404" s="122"/>
      <c r="T404" s="122"/>
      <c r="U404" s="122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26"/>
      <c r="AK404" s="15"/>
      <c r="AN404" s="114"/>
    </row>
    <row r="405" spans="13:40" x14ac:dyDescent="0.4">
      <c r="M405" s="115"/>
      <c r="N405" s="115"/>
      <c r="O405" s="115"/>
      <c r="P405" s="115"/>
      <c r="Q405" s="115"/>
      <c r="R405" s="115"/>
      <c r="S405" s="122"/>
      <c r="T405" s="122"/>
      <c r="U405" s="122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26"/>
      <c r="AK405" s="15"/>
      <c r="AN405" s="114"/>
    </row>
    <row r="406" spans="13:40" x14ac:dyDescent="0.4">
      <c r="M406" s="115"/>
      <c r="N406" s="115"/>
      <c r="O406" s="115"/>
      <c r="P406" s="115"/>
      <c r="Q406" s="115"/>
      <c r="R406" s="115"/>
      <c r="S406" s="122"/>
      <c r="T406" s="122"/>
      <c r="U406" s="122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26"/>
      <c r="AK406" s="15"/>
      <c r="AN406" s="114"/>
    </row>
    <row r="407" spans="13:40" x14ac:dyDescent="0.4">
      <c r="M407" s="115"/>
      <c r="N407" s="115"/>
      <c r="O407" s="115"/>
      <c r="P407" s="115"/>
      <c r="Q407" s="115"/>
      <c r="R407" s="115"/>
      <c r="S407" s="122"/>
      <c r="T407" s="122"/>
      <c r="U407" s="122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26"/>
      <c r="AK407" s="13"/>
      <c r="AN407" s="114"/>
    </row>
    <row r="408" spans="13:40" x14ac:dyDescent="0.4">
      <c r="M408" s="115"/>
      <c r="N408" s="115"/>
      <c r="O408" s="115"/>
      <c r="P408" s="115"/>
      <c r="Q408" s="115"/>
      <c r="R408" s="115"/>
      <c r="S408" s="122"/>
      <c r="T408" s="122"/>
      <c r="U408" s="122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7"/>
      <c r="AK408" s="13"/>
      <c r="AN408" s="114"/>
    </row>
    <row r="409" spans="13:40" x14ac:dyDescent="0.4">
      <c r="M409" s="115"/>
      <c r="N409" s="115"/>
      <c r="O409" s="115"/>
      <c r="P409" s="115"/>
      <c r="Q409" s="115"/>
      <c r="R409" s="115"/>
      <c r="S409" s="122"/>
      <c r="T409" s="122"/>
      <c r="U409" s="122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26"/>
      <c r="AK409" s="13"/>
      <c r="AN409" s="114"/>
    </row>
    <row r="410" spans="13:40" x14ac:dyDescent="0.4">
      <c r="M410" s="115"/>
      <c r="N410" s="115"/>
      <c r="O410" s="115"/>
      <c r="P410" s="115"/>
      <c r="Q410" s="115"/>
      <c r="R410" s="115"/>
      <c r="S410" s="122"/>
      <c r="T410" s="122"/>
      <c r="U410" s="122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26"/>
      <c r="AK410" s="13"/>
      <c r="AN410" s="114"/>
    </row>
    <row r="411" spans="13:40" x14ac:dyDescent="0.4">
      <c r="M411" s="115"/>
      <c r="N411" s="115"/>
      <c r="O411" s="115"/>
      <c r="P411" s="115"/>
      <c r="Q411" s="115"/>
      <c r="R411" s="115"/>
      <c r="S411" s="122"/>
      <c r="T411" s="122"/>
      <c r="U411" s="122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26"/>
      <c r="AK411" s="13"/>
      <c r="AN411" s="114"/>
    </row>
    <row r="412" spans="13:40" x14ac:dyDescent="0.4">
      <c r="M412" s="115"/>
      <c r="N412" s="115"/>
      <c r="O412" s="115"/>
      <c r="P412" s="115"/>
      <c r="Q412" s="115"/>
      <c r="R412" s="115"/>
      <c r="S412" s="122"/>
      <c r="T412" s="122"/>
      <c r="U412" s="122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26"/>
      <c r="AK412" s="13"/>
      <c r="AN412" s="114"/>
    </row>
    <row r="413" spans="13:40" x14ac:dyDescent="0.4">
      <c r="M413" s="115"/>
      <c r="N413" s="115"/>
      <c r="O413" s="115"/>
      <c r="P413" s="115"/>
      <c r="Q413" s="115"/>
      <c r="R413" s="115"/>
      <c r="S413" s="122"/>
      <c r="T413" s="122"/>
      <c r="U413" s="122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26"/>
      <c r="AK413" s="13"/>
      <c r="AN413" s="114"/>
    </row>
    <row r="414" spans="13:40" x14ac:dyDescent="0.4">
      <c r="M414" s="115"/>
      <c r="N414" s="115"/>
      <c r="O414" s="115"/>
      <c r="P414" s="115"/>
      <c r="Q414" s="115"/>
      <c r="R414" s="115"/>
      <c r="S414" s="122"/>
      <c r="T414" s="122"/>
      <c r="U414" s="122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26"/>
      <c r="AK414" s="13"/>
      <c r="AN414" s="114"/>
    </row>
    <row r="415" spans="13:40" x14ac:dyDescent="0.4">
      <c r="M415" s="115"/>
      <c r="N415" s="115"/>
      <c r="O415" s="115"/>
      <c r="P415" s="115"/>
      <c r="Q415" s="115"/>
      <c r="R415" s="115"/>
      <c r="S415" s="122"/>
      <c r="T415" s="122"/>
      <c r="U415" s="122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7"/>
      <c r="AK415" s="13"/>
      <c r="AN415" s="114"/>
    </row>
    <row r="416" spans="13:40" x14ac:dyDescent="0.4">
      <c r="M416" s="115"/>
      <c r="N416" s="115"/>
      <c r="O416" s="115"/>
      <c r="P416" s="115"/>
      <c r="Q416" s="115"/>
      <c r="R416" s="115"/>
      <c r="S416" s="122"/>
      <c r="T416" s="122"/>
      <c r="U416" s="122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26"/>
      <c r="AK416" s="13"/>
      <c r="AN416" s="114"/>
    </row>
    <row r="417" spans="5:40" x14ac:dyDescent="0.4">
      <c r="M417" s="115"/>
      <c r="N417" s="115"/>
      <c r="O417" s="115"/>
      <c r="P417" s="115"/>
      <c r="Q417" s="115"/>
      <c r="R417" s="115"/>
      <c r="S417" s="122"/>
      <c r="T417" s="122"/>
      <c r="U417" s="122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26"/>
      <c r="AK417" s="13"/>
      <c r="AN417" s="114"/>
    </row>
    <row r="418" spans="5:40" x14ac:dyDescent="0.4"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22"/>
      <c r="T418" s="122"/>
      <c r="U418" s="122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26"/>
      <c r="AK418" s="13"/>
      <c r="AN418" s="114"/>
    </row>
    <row r="419" spans="5:40" x14ac:dyDescent="0.4"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22"/>
      <c r="T419" s="122"/>
      <c r="U419" s="122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26"/>
      <c r="AK419" s="13"/>
      <c r="AN419" s="114"/>
    </row>
    <row r="420" spans="5:40" x14ac:dyDescent="0.4"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22"/>
      <c r="T420" s="122"/>
      <c r="U420" s="122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26"/>
      <c r="AK420" s="13"/>
      <c r="AN420" s="114"/>
    </row>
    <row r="421" spans="5:40" x14ac:dyDescent="0.4"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22"/>
      <c r="T421" s="122"/>
      <c r="U421" s="122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26"/>
      <c r="AK421" s="13"/>
      <c r="AN421" s="114"/>
    </row>
    <row r="422" spans="5:40" x14ac:dyDescent="0.4"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22"/>
      <c r="T422" s="122"/>
      <c r="U422" s="122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26"/>
      <c r="AK422" s="13"/>
      <c r="AN422" s="114"/>
    </row>
    <row r="423" spans="5:40" x14ac:dyDescent="0.4"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22"/>
      <c r="T423" s="122"/>
      <c r="U423" s="122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26"/>
      <c r="AK423" s="13"/>
      <c r="AN423" s="114"/>
    </row>
    <row r="424" spans="5:40" x14ac:dyDescent="0.4"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22"/>
      <c r="T424" s="122"/>
      <c r="U424" s="122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26"/>
      <c r="AK424" s="13"/>
      <c r="AN424" s="114"/>
    </row>
    <row r="425" spans="5:40" x14ac:dyDescent="0.4"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22"/>
      <c r="T425" s="122"/>
      <c r="U425" s="122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26"/>
      <c r="AK425" s="13"/>
      <c r="AN425" s="114"/>
    </row>
    <row r="426" spans="5:40" x14ac:dyDescent="0.4"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22"/>
      <c r="T426" s="122"/>
      <c r="U426" s="122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26"/>
      <c r="AK426" s="13"/>
      <c r="AN426" s="114"/>
    </row>
    <row r="427" spans="5:40" x14ac:dyDescent="0.4"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22"/>
      <c r="T427" s="122"/>
      <c r="U427" s="122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26"/>
      <c r="AK427" s="13"/>
      <c r="AN427" s="114"/>
    </row>
    <row r="428" spans="5:40" x14ac:dyDescent="0.4"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22"/>
      <c r="T428" s="122"/>
      <c r="U428" s="122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26"/>
      <c r="AK428" s="13"/>
      <c r="AN428" s="114"/>
    </row>
    <row r="429" spans="5:40" x14ac:dyDescent="0.4"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22"/>
      <c r="T429" s="122"/>
      <c r="U429" s="122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26"/>
      <c r="AK429" s="13"/>
      <c r="AN429" s="114"/>
    </row>
    <row r="430" spans="5:40" x14ac:dyDescent="0.4"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22"/>
      <c r="T430" s="122"/>
      <c r="U430" s="122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26"/>
      <c r="AK430" s="13"/>
      <c r="AN430" s="114"/>
    </row>
    <row r="431" spans="5:40" x14ac:dyDescent="0.4"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22"/>
      <c r="T431" s="122"/>
      <c r="U431" s="122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26"/>
      <c r="AK431" s="13"/>
      <c r="AN431" s="114"/>
    </row>
    <row r="432" spans="5:40" x14ac:dyDescent="0.4"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22"/>
      <c r="T432" s="122"/>
      <c r="U432" s="122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26"/>
      <c r="AK432" s="13"/>
      <c r="AN432" s="114"/>
    </row>
    <row r="433" spans="3:40" x14ac:dyDescent="0.4"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22"/>
      <c r="T433" s="122"/>
      <c r="U433" s="122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26"/>
      <c r="AK433" s="13"/>
      <c r="AN433" s="114"/>
    </row>
    <row r="434" spans="3:40" x14ac:dyDescent="0.4"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22"/>
      <c r="T434" s="122"/>
      <c r="U434" s="122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7"/>
      <c r="AK434" s="13"/>
      <c r="AN434" s="114"/>
    </row>
    <row r="435" spans="3:40" x14ac:dyDescent="0.4"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22"/>
      <c r="T435" s="122"/>
      <c r="U435" s="122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26"/>
      <c r="AK435" s="13"/>
      <c r="AN435" s="114"/>
    </row>
    <row r="436" spans="3:40" x14ac:dyDescent="0.4"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22"/>
      <c r="T436" s="122"/>
      <c r="U436" s="122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26"/>
      <c r="AK436" s="13"/>
      <c r="AN436" s="114"/>
    </row>
    <row r="437" spans="3:40" x14ac:dyDescent="0.4"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22"/>
      <c r="T437" s="122"/>
      <c r="U437" s="122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26"/>
      <c r="AK437" s="13"/>
      <c r="AN437" s="114"/>
    </row>
    <row r="438" spans="3:40" x14ac:dyDescent="0.4"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22"/>
      <c r="T438" s="122"/>
      <c r="U438" s="122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26"/>
      <c r="AK438" s="15"/>
      <c r="AN438" s="114"/>
    </row>
    <row r="439" spans="3:40" x14ac:dyDescent="0.4"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22"/>
      <c r="T439" s="122"/>
      <c r="U439" s="122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26"/>
      <c r="AK439" s="15"/>
      <c r="AN439" s="114"/>
    </row>
    <row r="440" spans="3:40" x14ac:dyDescent="0.4"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22"/>
      <c r="T440" s="122"/>
      <c r="U440" s="122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26"/>
      <c r="AK440" s="15"/>
      <c r="AN440" s="114"/>
    </row>
    <row r="441" spans="3:40" x14ac:dyDescent="0.4"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22"/>
      <c r="T441" s="122"/>
      <c r="U441" s="122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26"/>
      <c r="AK441" s="13"/>
      <c r="AN441" s="114"/>
    </row>
    <row r="442" spans="3:40" x14ac:dyDescent="0.4"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22"/>
      <c r="T442" s="122"/>
      <c r="U442" s="122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26"/>
      <c r="AK442" s="13"/>
      <c r="AN442" s="114"/>
    </row>
    <row r="443" spans="3:40" x14ac:dyDescent="0.4"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22"/>
      <c r="T443" s="122"/>
      <c r="U443" s="122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26"/>
      <c r="AK443" s="13"/>
      <c r="AN443" s="114"/>
    </row>
    <row r="444" spans="3:40" x14ac:dyDescent="0.4"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22"/>
      <c r="T444" s="122"/>
      <c r="U444" s="122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7"/>
      <c r="AK444" s="13"/>
      <c r="AN444" s="114"/>
    </row>
    <row r="445" spans="3:40" x14ac:dyDescent="0.4"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22"/>
      <c r="T445" s="122"/>
      <c r="U445" s="122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26"/>
      <c r="AK445" s="13"/>
      <c r="AN445" s="114"/>
    </row>
    <row r="446" spans="3:40" x14ac:dyDescent="0.4"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22"/>
      <c r="T446" s="122"/>
      <c r="U446" s="122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26"/>
      <c r="AK446" s="25"/>
      <c r="AN446" s="114"/>
    </row>
    <row r="447" spans="3:40" x14ac:dyDescent="0.4"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22"/>
      <c r="T447" s="122"/>
      <c r="U447" s="122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26"/>
      <c r="AK447" s="13"/>
      <c r="AN447" s="114"/>
    </row>
    <row r="448" spans="3:40" x14ac:dyDescent="0.4"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22"/>
      <c r="T448" s="122"/>
      <c r="U448" s="122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26"/>
      <c r="AK448" s="13"/>
      <c r="AN448" s="114"/>
    </row>
    <row r="449" spans="1:40" x14ac:dyDescent="0.4"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22"/>
      <c r="T449" s="122"/>
      <c r="U449" s="122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26"/>
      <c r="AK449" s="13"/>
      <c r="AN449" s="114"/>
    </row>
    <row r="450" spans="1:40" x14ac:dyDescent="0.4"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22"/>
      <c r="T450" s="122"/>
      <c r="U450" s="122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26"/>
      <c r="AK450" s="13"/>
      <c r="AN450" s="114"/>
    </row>
    <row r="451" spans="1:40" x14ac:dyDescent="0.4"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22"/>
      <c r="T451" s="122"/>
      <c r="U451" s="122"/>
      <c r="V451" s="115"/>
      <c r="W451" s="115"/>
      <c r="X451" s="115"/>
      <c r="Y451" s="115"/>
      <c r="AJ451" s="26"/>
      <c r="AK451" s="13"/>
      <c r="AN451" s="114"/>
    </row>
    <row r="452" spans="1:40" x14ac:dyDescent="0.4"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22"/>
      <c r="T452" s="122"/>
      <c r="U452" s="122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26"/>
      <c r="AK452" s="13"/>
      <c r="AN452" s="114"/>
    </row>
    <row r="453" spans="1:40" x14ac:dyDescent="0.4"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22"/>
      <c r="T453" s="122"/>
      <c r="U453" s="122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7"/>
      <c r="AK453" s="13"/>
      <c r="AN453" s="114"/>
    </row>
    <row r="454" spans="1:40" x14ac:dyDescent="0.4"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22"/>
      <c r="T454" s="122"/>
      <c r="U454" s="122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26"/>
      <c r="AK454" s="13"/>
      <c r="AN454" s="114"/>
    </row>
    <row r="455" spans="1:40" x14ac:dyDescent="0.4"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22"/>
      <c r="T455" s="122"/>
      <c r="U455" s="122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26"/>
      <c r="AK455" s="15"/>
      <c r="AN455" s="114"/>
    </row>
    <row r="456" spans="1:40" x14ac:dyDescent="0.4"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22"/>
      <c r="T456" s="122"/>
      <c r="U456" s="122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7"/>
      <c r="AK456" s="15"/>
      <c r="AN456" s="114"/>
    </row>
    <row r="457" spans="1:40" x14ac:dyDescent="0.4"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22"/>
      <c r="T457" s="122"/>
      <c r="U457" s="122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26"/>
      <c r="AK457" s="15"/>
      <c r="AN457" s="114"/>
    </row>
    <row r="458" spans="1:40" x14ac:dyDescent="0.4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22"/>
      <c r="T458" s="122"/>
      <c r="U458" s="122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26"/>
      <c r="AK458" s="15"/>
      <c r="AN458" s="114"/>
    </row>
    <row r="459" spans="1:40" x14ac:dyDescent="0.4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22"/>
      <c r="T459" s="122"/>
      <c r="U459" s="122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7"/>
      <c r="AK459" s="13"/>
      <c r="AN459" s="114"/>
    </row>
    <row r="460" spans="1:40" x14ac:dyDescent="0.4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22"/>
      <c r="T460" s="122"/>
      <c r="U460" s="122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7"/>
      <c r="AK460" s="13"/>
      <c r="AN460" s="114"/>
    </row>
    <row r="461" spans="1:40" x14ac:dyDescent="0.4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22"/>
      <c r="T461" s="122"/>
      <c r="U461" s="122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26"/>
      <c r="AK461" s="13"/>
      <c r="AN461" s="114"/>
    </row>
    <row r="462" spans="1:40" x14ac:dyDescent="0.4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22"/>
      <c r="T462" s="122"/>
      <c r="U462" s="122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26"/>
      <c r="AK462" s="13"/>
      <c r="AN462" s="114"/>
    </row>
    <row r="463" spans="1:40" x14ac:dyDescent="0.4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22"/>
      <c r="T463" s="122"/>
      <c r="U463" s="122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7"/>
      <c r="AK463" s="13"/>
      <c r="AN463" s="114"/>
    </row>
    <row r="464" spans="1:40" x14ac:dyDescent="0.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22"/>
      <c r="T464" s="122"/>
      <c r="U464" s="122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26"/>
      <c r="AK464" s="15"/>
      <c r="AN464" s="114"/>
    </row>
    <row r="465" spans="1:40" x14ac:dyDescent="0.4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22"/>
      <c r="T465" s="122"/>
      <c r="U465" s="122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26"/>
      <c r="AK465" s="15"/>
      <c r="AN465" s="114"/>
    </row>
    <row r="466" spans="1:40" x14ac:dyDescent="0.4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22"/>
      <c r="T466" s="122"/>
      <c r="U466" s="122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26"/>
      <c r="AK466" s="15"/>
      <c r="AN466" s="114"/>
    </row>
    <row r="467" spans="1:40" x14ac:dyDescent="0.4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22"/>
      <c r="T467" s="122"/>
      <c r="U467" s="122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26"/>
      <c r="AK467" s="13"/>
      <c r="AN467" s="114"/>
    </row>
    <row r="468" spans="1:40" x14ac:dyDescent="0.4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22"/>
      <c r="T468" s="122"/>
      <c r="U468" s="122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26"/>
      <c r="AK468" s="25"/>
      <c r="AN468" s="114"/>
    </row>
    <row r="469" spans="1:40" x14ac:dyDescent="0.4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22"/>
      <c r="T469" s="122"/>
      <c r="U469" s="122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26"/>
      <c r="AK469" s="13"/>
      <c r="AN469" s="114"/>
    </row>
    <row r="470" spans="1:40" x14ac:dyDescent="0.4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22"/>
      <c r="T470" s="122"/>
      <c r="U470" s="122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26"/>
      <c r="AK470" s="13"/>
      <c r="AN470" s="114"/>
    </row>
    <row r="471" spans="1:40" x14ac:dyDescent="0.4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22"/>
      <c r="T471" s="122"/>
      <c r="U471" s="122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26"/>
      <c r="AK471" s="13"/>
      <c r="AN471" s="114"/>
    </row>
    <row r="472" spans="1:40" x14ac:dyDescent="0.4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22"/>
      <c r="T472" s="122"/>
      <c r="U472" s="122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26"/>
      <c r="AK472" s="13"/>
      <c r="AN472" s="114"/>
    </row>
    <row r="473" spans="1:40" x14ac:dyDescent="0.4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22"/>
      <c r="T473" s="122"/>
      <c r="U473" s="122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26"/>
      <c r="AK473" s="13"/>
      <c r="AN473" s="114"/>
    </row>
    <row r="474" spans="1:40" x14ac:dyDescent="0.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22"/>
      <c r="T474" s="122"/>
      <c r="U474" s="122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26"/>
      <c r="AK474" s="13"/>
      <c r="AN474" s="114"/>
    </row>
    <row r="475" spans="1:40" x14ac:dyDescent="0.4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22"/>
      <c r="T475" s="122"/>
      <c r="U475" s="122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26"/>
      <c r="AK475" s="13"/>
      <c r="AN475" s="114"/>
    </row>
    <row r="476" spans="1:40" x14ac:dyDescent="0.4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22"/>
      <c r="T476" s="122"/>
      <c r="U476" s="122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26"/>
      <c r="AK476" s="13"/>
      <c r="AN476" s="114"/>
    </row>
    <row r="477" spans="1:40" x14ac:dyDescent="0.4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22"/>
      <c r="T477" s="122"/>
      <c r="U477" s="122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26"/>
      <c r="AK477" s="13"/>
      <c r="AN477" s="114"/>
    </row>
    <row r="478" spans="1:40" x14ac:dyDescent="0.4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22"/>
      <c r="T478" s="122"/>
      <c r="U478" s="122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26"/>
      <c r="AK478" s="13"/>
      <c r="AN478" s="114"/>
    </row>
    <row r="479" spans="1:40" x14ac:dyDescent="0.4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22"/>
      <c r="T479" s="122"/>
      <c r="U479" s="122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26"/>
      <c r="AK479" s="15"/>
      <c r="AN479" s="114"/>
    </row>
    <row r="480" spans="1:40" x14ac:dyDescent="0.4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22"/>
      <c r="T480" s="122"/>
      <c r="U480" s="122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26"/>
      <c r="AK480" s="15"/>
      <c r="AN480" s="114"/>
    </row>
    <row r="481" spans="1:40" x14ac:dyDescent="0.4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22"/>
      <c r="T481" s="122"/>
      <c r="U481" s="122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26"/>
      <c r="AK481" s="15"/>
      <c r="AN481" s="114"/>
    </row>
    <row r="482" spans="1:40" x14ac:dyDescent="0.4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22"/>
      <c r="T482" s="122"/>
      <c r="U482" s="122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26"/>
      <c r="AK482" s="15"/>
      <c r="AN482" s="114"/>
    </row>
    <row r="483" spans="1:40" x14ac:dyDescent="0.4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22"/>
      <c r="T483" s="122"/>
      <c r="U483" s="122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26"/>
      <c r="AK483" s="13"/>
      <c r="AN483" s="114"/>
    </row>
    <row r="484" spans="1:40" x14ac:dyDescent="0.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22"/>
      <c r="T484" s="122"/>
      <c r="U484" s="122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26"/>
      <c r="AK484" s="15"/>
      <c r="AN484" s="114"/>
    </row>
    <row r="485" spans="1:40" x14ac:dyDescent="0.4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22"/>
      <c r="T485" s="122"/>
      <c r="U485" s="122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26"/>
      <c r="AK485" s="15"/>
      <c r="AN485" s="114"/>
    </row>
    <row r="486" spans="1:40" x14ac:dyDescent="0.4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22"/>
      <c r="T486" s="122"/>
      <c r="U486" s="122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26"/>
      <c r="AK486" s="15"/>
      <c r="AN486" s="114"/>
    </row>
    <row r="487" spans="1:40" x14ac:dyDescent="0.4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22"/>
      <c r="T487" s="122"/>
      <c r="U487" s="122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26"/>
      <c r="AK487" s="15"/>
      <c r="AN487" s="114"/>
    </row>
    <row r="488" spans="1:40" x14ac:dyDescent="0.4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22"/>
      <c r="T488" s="122"/>
      <c r="U488" s="122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26"/>
      <c r="AK488" s="15"/>
      <c r="AN488" s="114"/>
    </row>
    <row r="489" spans="1:40" x14ac:dyDescent="0.4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22"/>
      <c r="T489" s="122"/>
      <c r="U489" s="122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26"/>
      <c r="AK489" s="105"/>
      <c r="AN489" s="114"/>
    </row>
    <row r="490" spans="1:40" x14ac:dyDescent="0.4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22"/>
      <c r="T490" s="122"/>
      <c r="U490" s="122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7"/>
      <c r="AK490" s="15"/>
      <c r="AN490" s="114"/>
    </row>
    <row r="491" spans="1:40" x14ac:dyDescent="0.4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22"/>
      <c r="T491" s="122"/>
      <c r="U491" s="122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26"/>
      <c r="AK491" s="15"/>
      <c r="AN491" s="114"/>
    </row>
    <row r="492" spans="1:40" x14ac:dyDescent="0.4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22"/>
      <c r="T492" s="122"/>
      <c r="U492" s="122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26"/>
      <c r="AK492" s="15"/>
      <c r="AN492" s="114"/>
    </row>
    <row r="493" spans="1:40" x14ac:dyDescent="0.4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22"/>
      <c r="T493" s="122"/>
      <c r="U493" s="122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26"/>
      <c r="AK493" s="105"/>
      <c r="AN493" s="114"/>
    </row>
    <row r="494" spans="1:40" x14ac:dyDescent="0.4">
      <c r="AJ494" s="26"/>
      <c r="AK494" s="15"/>
      <c r="AN494" s="114"/>
    </row>
    <row r="495" spans="1:40" x14ac:dyDescent="0.4">
      <c r="T495" s="122"/>
      <c r="U495" s="122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26"/>
      <c r="AK495" s="15"/>
      <c r="AN495" s="114"/>
    </row>
    <row r="496" spans="1:40" x14ac:dyDescent="0.4">
      <c r="P496" s="115"/>
      <c r="Q496" s="115"/>
      <c r="R496" s="115"/>
      <c r="S496" s="122"/>
      <c r="T496" s="122"/>
      <c r="U496" s="122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26"/>
      <c r="AK496" s="15"/>
      <c r="AN496" s="114"/>
    </row>
    <row r="497" spans="2:40" x14ac:dyDescent="0.4"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22"/>
      <c r="T497" s="122"/>
      <c r="U497" s="122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26"/>
      <c r="AK497" s="15"/>
      <c r="AN497" s="114"/>
    </row>
    <row r="498" spans="2:40" x14ac:dyDescent="0.4"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22"/>
      <c r="T498" s="122"/>
      <c r="U498" s="122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7"/>
      <c r="AK498" s="15"/>
      <c r="AN498" s="114"/>
    </row>
    <row r="499" spans="2:40" x14ac:dyDescent="0.4"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22"/>
      <c r="T499" s="122"/>
      <c r="U499" s="122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26"/>
      <c r="AK499" s="15"/>
      <c r="AN499" s="114"/>
    </row>
    <row r="500" spans="2:40" x14ac:dyDescent="0.4"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22"/>
      <c r="T500" s="122"/>
      <c r="U500" s="122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26"/>
      <c r="AK500" s="15"/>
      <c r="AN500" s="114"/>
    </row>
    <row r="501" spans="2:40" x14ac:dyDescent="0.4"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22"/>
      <c r="T501" s="122"/>
      <c r="U501" s="122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26"/>
      <c r="AK501" s="15"/>
      <c r="AN501" s="114"/>
    </row>
    <row r="502" spans="2:40" x14ac:dyDescent="0.4"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22"/>
      <c r="T502" s="122"/>
      <c r="U502" s="122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26"/>
      <c r="AK502" s="15"/>
      <c r="AN502" s="114"/>
    </row>
    <row r="503" spans="2:40" x14ac:dyDescent="0.4"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22"/>
      <c r="T503" s="122"/>
      <c r="U503" s="122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26"/>
      <c r="AK503" s="15"/>
      <c r="AN503" s="114"/>
    </row>
    <row r="504" spans="2:40" x14ac:dyDescent="0.4"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22"/>
      <c r="T504" s="122"/>
      <c r="U504" s="122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26"/>
      <c r="AK504" s="15"/>
      <c r="AN504" s="114"/>
    </row>
    <row r="505" spans="2:40" x14ac:dyDescent="0.4"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22"/>
      <c r="T505" s="122"/>
      <c r="U505" s="122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26"/>
      <c r="AK505" s="15"/>
      <c r="AN505" s="114"/>
    </row>
    <row r="506" spans="2:40" x14ac:dyDescent="0.4"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22"/>
      <c r="T506" s="122"/>
      <c r="U506" s="122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7"/>
      <c r="AK506" s="15"/>
      <c r="AN506" s="114"/>
    </row>
    <row r="507" spans="2:40" x14ac:dyDescent="0.4"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22"/>
      <c r="T507" s="122"/>
      <c r="U507" s="122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26"/>
      <c r="AK507" s="15"/>
      <c r="AN507" s="114"/>
    </row>
    <row r="508" spans="2:40" x14ac:dyDescent="0.4"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22"/>
      <c r="T508" s="122"/>
      <c r="U508" s="122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26"/>
      <c r="AK508" s="15"/>
      <c r="AN508" s="114"/>
    </row>
    <row r="509" spans="2:40" x14ac:dyDescent="0.4"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22"/>
      <c r="T509" s="122"/>
      <c r="U509" s="122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26"/>
      <c r="AK509" s="15"/>
      <c r="AN509" s="114"/>
    </row>
    <row r="510" spans="2:40" x14ac:dyDescent="0.4"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22"/>
      <c r="T510" s="122"/>
      <c r="U510" s="122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26"/>
      <c r="AK510" s="15"/>
      <c r="AN510" s="114"/>
    </row>
    <row r="511" spans="2:40" x14ac:dyDescent="0.4"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22"/>
      <c r="T511" s="122"/>
      <c r="U511" s="122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26"/>
      <c r="AK511" s="15"/>
      <c r="AN511" s="114"/>
    </row>
    <row r="512" spans="2:40" x14ac:dyDescent="0.4"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22"/>
      <c r="T512" s="122"/>
      <c r="U512" s="122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26"/>
      <c r="AK512" s="15"/>
      <c r="AN512" s="114"/>
    </row>
    <row r="513" spans="2:40" x14ac:dyDescent="0.4"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22"/>
      <c r="T513" s="122"/>
      <c r="U513" s="122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26"/>
      <c r="AK513" s="15"/>
      <c r="AN513" s="114"/>
    </row>
    <row r="514" spans="2:40" x14ac:dyDescent="0.4"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22"/>
      <c r="T514" s="122"/>
      <c r="U514" s="122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7"/>
      <c r="AK514" s="15"/>
      <c r="AN514" s="114"/>
    </row>
    <row r="515" spans="2:40" x14ac:dyDescent="0.4"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22"/>
      <c r="T515" s="122"/>
      <c r="U515" s="122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26"/>
      <c r="AK515" s="15"/>
      <c r="AN515" s="114"/>
    </row>
    <row r="516" spans="2:40" x14ac:dyDescent="0.4"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22"/>
      <c r="T516" s="122"/>
      <c r="U516" s="122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26"/>
      <c r="AK516" s="15"/>
      <c r="AN516" s="114"/>
    </row>
    <row r="517" spans="2:40" x14ac:dyDescent="0.4"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22"/>
      <c r="T517" s="122"/>
      <c r="U517" s="122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26"/>
      <c r="AK517" s="15"/>
      <c r="AN517" s="114"/>
    </row>
    <row r="518" spans="2:40" x14ac:dyDescent="0.4"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22"/>
      <c r="T518" s="122"/>
      <c r="U518" s="122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26"/>
      <c r="AK518" s="15"/>
      <c r="AN518" s="114"/>
    </row>
    <row r="519" spans="2:40" x14ac:dyDescent="0.4"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22"/>
      <c r="T519" s="122"/>
      <c r="U519" s="122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26"/>
      <c r="AK519" s="15"/>
      <c r="AN519" s="114"/>
    </row>
    <row r="520" spans="2:40" x14ac:dyDescent="0.4"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22"/>
      <c r="T520" s="122"/>
      <c r="U520" s="122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26"/>
      <c r="AK520" s="15"/>
      <c r="AN520" s="114"/>
    </row>
    <row r="521" spans="2:40" x14ac:dyDescent="0.4"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22"/>
      <c r="T521" s="122"/>
      <c r="U521" s="122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26"/>
      <c r="AK521" s="15"/>
      <c r="AN521" s="114"/>
    </row>
    <row r="522" spans="2:40" x14ac:dyDescent="0.4"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22"/>
      <c r="T522" s="122"/>
      <c r="U522" s="122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26"/>
      <c r="AK522" s="15"/>
      <c r="AN522" s="114"/>
    </row>
    <row r="523" spans="2:40" x14ac:dyDescent="0.4"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22"/>
      <c r="T523" s="122"/>
      <c r="U523" s="122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7"/>
      <c r="AK523" s="15"/>
      <c r="AN523" s="114"/>
    </row>
    <row r="524" spans="2:40" x14ac:dyDescent="0.4"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22"/>
      <c r="T524" s="122"/>
      <c r="U524" s="122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26"/>
      <c r="AK524" s="15"/>
      <c r="AN524" s="114"/>
    </row>
    <row r="525" spans="2:40" x14ac:dyDescent="0.4"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22"/>
      <c r="T525" s="122"/>
      <c r="U525" s="122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7"/>
      <c r="AK525" s="15"/>
      <c r="AN525" s="114"/>
    </row>
    <row r="526" spans="2:40" x14ac:dyDescent="0.4"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22"/>
      <c r="T526" s="122"/>
      <c r="U526" s="122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26"/>
      <c r="AK526" s="15"/>
      <c r="AN526" s="114"/>
    </row>
    <row r="527" spans="2:40" x14ac:dyDescent="0.4"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22"/>
      <c r="T527" s="122"/>
      <c r="U527" s="122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7"/>
      <c r="AK527" s="15"/>
      <c r="AN527" s="114"/>
    </row>
    <row r="528" spans="2:40" x14ac:dyDescent="0.4"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22"/>
      <c r="T528" s="122"/>
      <c r="U528" s="122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26"/>
      <c r="AK528" s="15"/>
      <c r="AN528" s="114"/>
    </row>
    <row r="529" spans="1:40" x14ac:dyDescent="0.4"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22"/>
      <c r="T529" s="122"/>
      <c r="U529" s="122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26"/>
      <c r="AK529" s="15"/>
      <c r="AN529" s="114"/>
    </row>
    <row r="530" spans="1:40" x14ac:dyDescent="0.4"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22"/>
      <c r="T530" s="122"/>
      <c r="U530" s="122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7"/>
      <c r="AK530" s="15"/>
      <c r="AN530" s="114"/>
    </row>
    <row r="531" spans="1:40" x14ac:dyDescent="0.4"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22"/>
      <c r="T531" s="122"/>
      <c r="U531" s="122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26"/>
      <c r="AK531" s="15"/>
      <c r="AN531" s="114"/>
    </row>
    <row r="532" spans="1:40" x14ac:dyDescent="0.4"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22"/>
      <c r="T532" s="122"/>
      <c r="U532" s="122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26"/>
      <c r="AK532" s="15"/>
      <c r="AN532" s="114"/>
    </row>
    <row r="533" spans="1:40" x14ac:dyDescent="0.4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22"/>
      <c r="T533" s="122"/>
      <c r="U533" s="122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26"/>
      <c r="AK533" s="105"/>
      <c r="AN533" s="114"/>
    </row>
    <row r="534" spans="1:40" x14ac:dyDescent="0.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22"/>
      <c r="T534" s="122"/>
      <c r="U534" s="122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7"/>
      <c r="AK534" s="15"/>
      <c r="AN534" s="114"/>
    </row>
    <row r="535" spans="1:40" x14ac:dyDescent="0.4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22"/>
      <c r="T535" s="122"/>
      <c r="U535" s="122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7"/>
      <c r="AK535" s="15"/>
      <c r="AN535" s="114"/>
    </row>
    <row r="536" spans="1:40" x14ac:dyDescent="0.4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22"/>
      <c r="T536" s="122"/>
      <c r="U536" s="122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26"/>
      <c r="AK536" s="15"/>
      <c r="AN536" s="114"/>
    </row>
    <row r="537" spans="1:40" x14ac:dyDescent="0.4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22"/>
      <c r="T537" s="122"/>
      <c r="U537" s="122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26"/>
      <c r="AK537" s="15"/>
      <c r="AN537" s="114"/>
    </row>
    <row r="538" spans="1:40" x14ac:dyDescent="0.4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22"/>
      <c r="T538" s="122"/>
      <c r="U538" s="122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26"/>
      <c r="AK538" s="15"/>
      <c r="AN538" s="114"/>
    </row>
    <row r="539" spans="1:40" x14ac:dyDescent="0.4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22"/>
      <c r="T539" s="122"/>
      <c r="U539" s="122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26"/>
      <c r="AK539" s="15"/>
      <c r="AN539" s="114"/>
    </row>
    <row r="540" spans="1:40" x14ac:dyDescent="0.4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22"/>
      <c r="T540" s="122"/>
      <c r="U540" s="122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26"/>
      <c r="AK540" s="15"/>
      <c r="AN540" s="114"/>
    </row>
    <row r="541" spans="1:40" x14ac:dyDescent="0.4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22"/>
      <c r="T541" s="122"/>
      <c r="U541" s="122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26"/>
      <c r="AK541" s="15"/>
      <c r="AN541" s="114"/>
    </row>
    <row r="542" spans="1:40" x14ac:dyDescent="0.4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22"/>
      <c r="T542" s="122"/>
      <c r="U542" s="122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26"/>
      <c r="AK542" s="15"/>
      <c r="AN542" s="114"/>
    </row>
    <row r="543" spans="1:40" x14ac:dyDescent="0.4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22"/>
      <c r="T543" s="122"/>
      <c r="U543" s="122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26"/>
      <c r="AK543" s="15"/>
      <c r="AN543" s="114"/>
    </row>
    <row r="544" spans="1:40" x14ac:dyDescent="0.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22"/>
      <c r="T544" s="122"/>
      <c r="U544" s="122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26"/>
      <c r="AK544" s="105"/>
      <c r="AN544" s="114"/>
    </row>
    <row r="545" spans="1:40" x14ac:dyDescent="0.4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22"/>
      <c r="T545" s="122"/>
      <c r="U545" s="122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26"/>
      <c r="AK545" s="15"/>
      <c r="AN545" s="114"/>
    </row>
    <row r="546" spans="1:40" x14ac:dyDescent="0.4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22"/>
      <c r="T546" s="122"/>
      <c r="U546" s="122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26"/>
      <c r="AK546" s="15"/>
      <c r="AN546" s="114"/>
    </row>
    <row r="547" spans="1:40" x14ac:dyDescent="0.4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22"/>
      <c r="T547" s="122"/>
      <c r="U547" s="122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26"/>
      <c r="AK547" s="13"/>
      <c r="AN547" s="114"/>
    </row>
    <row r="548" spans="1:40" x14ac:dyDescent="0.4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22"/>
      <c r="T548" s="122"/>
      <c r="U548" s="122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7"/>
      <c r="AK548" s="13"/>
      <c r="AN548" s="114"/>
    </row>
    <row r="549" spans="1:40" x14ac:dyDescent="0.4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22"/>
      <c r="T549" s="122"/>
      <c r="U549" s="122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26"/>
      <c r="AK549" s="13"/>
      <c r="AN549" s="114"/>
    </row>
    <row r="550" spans="1:40" x14ac:dyDescent="0.4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22"/>
      <c r="T550" s="122"/>
      <c r="U550" s="122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26"/>
      <c r="AK550" s="13"/>
      <c r="AN550" s="114"/>
    </row>
    <row r="551" spans="1:40" x14ac:dyDescent="0.4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22"/>
      <c r="T551" s="122"/>
      <c r="U551" s="122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26"/>
      <c r="AK551" s="13"/>
      <c r="AN551" s="114"/>
    </row>
    <row r="552" spans="1:40" x14ac:dyDescent="0.4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22"/>
      <c r="T552" s="122"/>
      <c r="U552" s="122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26"/>
      <c r="AK552" s="13"/>
      <c r="AN552" s="114"/>
    </row>
    <row r="553" spans="1:40" x14ac:dyDescent="0.4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22"/>
      <c r="T553" s="122"/>
      <c r="U553" s="122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26"/>
      <c r="AK553" s="13"/>
      <c r="AN553" s="114"/>
    </row>
    <row r="554" spans="1:40" x14ac:dyDescent="0.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22"/>
      <c r="T554" s="122"/>
      <c r="U554" s="122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26"/>
      <c r="AK554" s="13"/>
      <c r="AN554" s="114"/>
    </row>
    <row r="555" spans="1:40" x14ac:dyDescent="0.4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22"/>
      <c r="T555" s="122"/>
      <c r="U555" s="122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7"/>
      <c r="AK555" s="13"/>
      <c r="AN555" s="114"/>
    </row>
    <row r="556" spans="1:40" x14ac:dyDescent="0.4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22"/>
      <c r="T556" s="122"/>
      <c r="U556" s="122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26"/>
      <c r="AK556" s="13"/>
      <c r="AN556" s="114"/>
    </row>
    <row r="557" spans="1:40" x14ac:dyDescent="0.4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22"/>
      <c r="T557" s="122"/>
      <c r="U557" s="122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26"/>
      <c r="AK557" s="13"/>
      <c r="AN557" s="114"/>
    </row>
    <row r="558" spans="1:40" x14ac:dyDescent="0.4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22"/>
      <c r="T558" s="122"/>
      <c r="U558" s="122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26"/>
      <c r="AK558" s="13"/>
      <c r="AN558" s="114"/>
    </row>
    <row r="559" spans="1:40" x14ac:dyDescent="0.4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22"/>
      <c r="T559" s="122"/>
      <c r="U559" s="122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26"/>
      <c r="AK559" s="13"/>
      <c r="AN559" s="114"/>
    </row>
    <row r="560" spans="1:40" x14ac:dyDescent="0.4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22"/>
      <c r="T560" s="122"/>
      <c r="U560" s="122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26"/>
      <c r="AK560" s="25"/>
      <c r="AN560" s="114"/>
    </row>
    <row r="561" spans="1:40" x14ac:dyDescent="0.4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22"/>
      <c r="T561" s="122"/>
      <c r="U561" s="122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7"/>
      <c r="AK561" s="13"/>
      <c r="AN561" s="114"/>
    </row>
    <row r="562" spans="1:40" x14ac:dyDescent="0.4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22"/>
      <c r="T562" s="122"/>
      <c r="U562" s="122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26"/>
      <c r="AK562" s="15"/>
      <c r="AN562" s="114"/>
    </row>
    <row r="563" spans="1:40" x14ac:dyDescent="0.4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22"/>
      <c r="T563" s="122"/>
      <c r="U563" s="122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26"/>
      <c r="AK563" s="15"/>
      <c r="AN563" s="114"/>
    </row>
    <row r="564" spans="1:40" x14ac:dyDescent="0.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22"/>
      <c r="T564" s="122"/>
      <c r="U564" s="122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7"/>
      <c r="AK564" s="15"/>
      <c r="AN564" s="114"/>
    </row>
    <row r="565" spans="1:40" x14ac:dyDescent="0.4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22"/>
      <c r="T565" s="122"/>
      <c r="U565" s="122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26"/>
      <c r="AK565" s="15"/>
      <c r="AN565" s="114"/>
    </row>
    <row r="566" spans="1:40" x14ac:dyDescent="0.4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22"/>
      <c r="T566" s="122"/>
      <c r="U566" s="122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26"/>
      <c r="AK566" s="15"/>
      <c r="AN566" s="114"/>
    </row>
    <row r="567" spans="1:40" x14ac:dyDescent="0.4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22"/>
      <c r="T567" s="122"/>
      <c r="U567" s="122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26"/>
      <c r="AK567" s="13"/>
      <c r="AN567" s="114"/>
    </row>
    <row r="568" spans="1:40" x14ac:dyDescent="0.4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22"/>
      <c r="T568" s="122"/>
      <c r="U568" s="122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26"/>
      <c r="AK568" s="13"/>
      <c r="AN568" s="114"/>
    </row>
    <row r="569" spans="1:40" x14ac:dyDescent="0.4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22"/>
      <c r="T569" s="122"/>
      <c r="U569" s="122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26"/>
      <c r="AK569" s="13"/>
      <c r="AN569" s="114"/>
    </row>
    <row r="570" spans="1:40" x14ac:dyDescent="0.4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22"/>
      <c r="T570" s="122"/>
      <c r="U570" s="122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26"/>
      <c r="AK570" s="13"/>
      <c r="AN570" s="114"/>
    </row>
    <row r="571" spans="1:40" x14ac:dyDescent="0.4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22"/>
      <c r="T571" s="122"/>
      <c r="U571" s="122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26"/>
      <c r="AK571" s="13"/>
      <c r="AN571" s="114"/>
    </row>
    <row r="572" spans="1:40" x14ac:dyDescent="0.4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22"/>
      <c r="T572" s="122"/>
      <c r="U572" s="122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26"/>
      <c r="AK572" s="13"/>
      <c r="AN572" s="114"/>
    </row>
    <row r="573" spans="1:40" x14ac:dyDescent="0.4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22"/>
      <c r="T573" s="122"/>
      <c r="U573" s="122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26"/>
      <c r="AK573" s="13"/>
      <c r="AN573" s="114"/>
    </row>
    <row r="574" spans="1:40" x14ac:dyDescent="0.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22"/>
      <c r="T574" s="122"/>
      <c r="U574" s="122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26"/>
      <c r="AK574" s="13"/>
      <c r="AN574" s="114"/>
    </row>
    <row r="575" spans="1:40" x14ac:dyDescent="0.4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22"/>
      <c r="T575" s="122"/>
      <c r="U575" s="122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7"/>
      <c r="AK575" s="13"/>
      <c r="AN575" s="114"/>
    </row>
    <row r="576" spans="1:40" x14ac:dyDescent="0.4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22"/>
      <c r="T576" s="122"/>
      <c r="U576" s="122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26"/>
      <c r="AK576" s="13"/>
      <c r="AN576" s="114"/>
    </row>
    <row r="577" spans="1:41" x14ac:dyDescent="0.4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22"/>
      <c r="T577" s="122"/>
      <c r="U577" s="122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7"/>
      <c r="AK577" s="13"/>
      <c r="AN577" s="114"/>
    </row>
    <row r="578" spans="1:41" x14ac:dyDescent="0.4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22"/>
      <c r="T578" s="122"/>
      <c r="U578" s="122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26"/>
      <c r="AK578" s="13"/>
      <c r="AN578" s="114"/>
    </row>
    <row r="579" spans="1:41" x14ac:dyDescent="0.4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22"/>
      <c r="T579" s="122"/>
      <c r="U579" s="122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26"/>
      <c r="AK579" s="13"/>
      <c r="AN579" s="114"/>
    </row>
    <row r="580" spans="1:41" x14ac:dyDescent="0.4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22"/>
      <c r="T580" s="122"/>
      <c r="U580" s="122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26"/>
      <c r="AK580" s="13"/>
      <c r="AN580" s="114"/>
    </row>
    <row r="581" spans="1:41" x14ac:dyDescent="0.4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22"/>
      <c r="T581" s="122"/>
      <c r="U581" s="122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26"/>
      <c r="AK581" s="15"/>
      <c r="AN581" s="114"/>
    </row>
    <row r="582" spans="1:41" x14ac:dyDescent="0.4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22"/>
      <c r="T582" s="122"/>
      <c r="U582" s="122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26"/>
      <c r="AK582" s="15"/>
      <c r="AN582" s="114"/>
    </row>
    <row r="583" spans="1:41" x14ac:dyDescent="0.4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22"/>
      <c r="T583" s="122"/>
      <c r="U583" s="122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26"/>
      <c r="AK583" s="15"/>
      <c r="AN583" s="114"/>
    </row>
    <row r="584" spans="1:41" x14ac:dyDescent="0.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22"/>
      <c r="T584" s="122"/>
      <c r="U584" s="122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26"/>
      <c r="AK584" s="13"/>
      <c r="AN584" s="114"/>
    </row>
    <row r="585" spans="1:41" x14ac:dyDescent="0.4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22"/>
      <c r="T585" s="122"/>
      <c r="U585" s="122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26"/>
      <c r="AK585" s="15"/>
      <c r="AN585" s="114"/>
    </row>
    <row r="586" spans="1:41" x14ac:dyDescent="0.4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22"/>
      <c r="T586" s="122"/>
      <c r="U586" s="122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26"/>
      <c r="AK586" s="15"/>
      <c r="AN586" s="114"/>
      <c r="AO586" s="120"/>
    </row>
    <row r="587" spans="1:41" x14ac:dyDescent="0.4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22"/>
      <c r="T587" s="122"/>
      <c r="U587" s="122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26"/>
      <c r="AK587" s="15"/>
      <c r="AN587" s="114"/>
      <c r="AO587" s="120"/>
    </row>
    <row r="588" spans="1:41" x14ac:dyDescent="0.4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22"/>
      <c r="T588" s="122"/>
      <c r="U588" s="122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26"/>
      <c r="AK588" s="15"/>
      <c r="AN588" s="114"/>
      <c r="AO588" s="120"/>
    </row>
    <row r="589" spans="1:41" x14ac:dyDescent="0.4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22"/>
      <c r="T589" s="122"/>
      <c r="U589" s="122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26"/>
      <c r="AK589" s="15"/>
      <c r="AN589" s="114"/>
      <c r="AO589" s="120"/>
    </row>
    <row r="590" spans="1:41" x14ac:dyDescent="0.4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22"/>
      <c r="T590" s="122"/>
      <c r="U590" s="122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26"/>
      <c r="AK590" s="15"/>
      <c r="AN590" s="114"/>
      <c r="AO590" s="120"/>
    </row>
    <row r="591" spans="1:41" x14ac:dyDescent="0.4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22"/>
      <c r="T591" s="122"/>
      <c r="U591" s="122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26"/>
      <c r="AK591" s="15"/>
      <c r="AN591" s="114"/>
      <c r="AO591" s="120"/>
    </row>
    <row r="592" spans="1:41" x14ac:dyDescent="0.4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22"/>
      <c r="T592" s="122"/>
      <c r="U592" s="122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26"/>
      <c r="AK592" s="15"/>
      <c r="AN592" s="114"/>
      <c r="AO592" s="120"/>
    </row>
    <row r="593" spans="1:44" x14ac:dyDescent="0.4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22"/>
      <c r="T593" s="122"/>
      <c r="U593" s="122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7"/>
      <c r="AK593" s="15"/>
      <c r="AN593" s="114"/>
      <c r="AO593" s="120"/>
    </row>
    <row r="594" spans="1:44" x14ac:dyDescent="0.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22"/>
      <c r="T594" s="122"/>
      <c r="U594" s="122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26"/>
      <c r="AK594" s="15"/>
      <c r="AN594" s="114"/>
      <c r="AO594" s="120"/>
    </row>
    <row r="595" spans="1:44" x14ac:dyDescent="0.4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22"/>
      <c r="T595" s="122"/>
      <c r="U595" s="122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26"/>
      <c r="AK595" s="15"/>
      <c r="AN595" s="114"/>
    </row>
    <row r="596" spans="1:44" x14ac:dyDescent="0.4">
      <c r="AJ596" s="26"/>
      <c r="AK596" s="15"/>
      <c r="AN596" s="114"/>
    </row>
    <row r="597" spans="1:44" x14ac:dyDescent="0.4"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7"/>
      <c r="AK597" s="15"/>
      <c r="AN597" s="114"/>
    </row>
    <row r="598" spans="1:44" x14ac:dyDescent="0.4"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7"/>
      <c r="AK598" s="15"/>
      <c r="AN598" s="114"/>
    </row>
    <row r="599" spans="1:44" x14ac:dyDescent="0.4">
      <c r="U599" s="122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7"/>
      <c r="AK599" s="15"/>
      <c r="AN599" s="114"/>
    </row>
    <row r="600" spans="1:44" x14ac:dyDescent="0.4">
      <c r="P600" s="115"/>
      <c r="Q600" s="115"/>
      <c r="R600" s="115"/>
      <c r="S600" s="122"/>
      <c r="T600" s="122"/>
      <c r="U600" s="122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26"/>
      <c r="AK600" s="15"/>
      <c r="AN600" s="114"/>
    </row>
    <row r="601" spans="1:44" x14ac:dyDescent="0.4">
      <c r="P601" s="115"/>
      <c r="Q601" s="115"/>
      <c r="R601" s="115"/>
      <c r="S601" s="122"/>
      <c r="T601" s="122"/>
      <c r="U601" s="122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7"/>
      <c r="AK601" s="15"/>
      <c r="AN601" s="114"/>
    </row>
    <row r="602" spans="1:44" x14ac:dyDescent="0.4">
      <c r="O602" s="115"/>
      <c r="P602" s="115"/>
      <c r="Q602" s="115"/>
      <c r="R602" s="115"/>
      <c r="S602" s="122"/>
      <c r="T602" s="122"/>
      <c r="U602" s="122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26"/>
      <c r="AK602" s="15"/>
      <c r="AN602" s="114"/>
    </row>
    <row r="603" spans="1:44" x14ac:dyDescent="0.4">
      <c r="O603" s="115"/>
      <c r="P603" s="115"/>
      <c r="Q603" s="115"/>
      <c r="R603" s="115"/>
      <c r="S603" s="122"/>
      <c r="T603" s="122"/>
      <c r="U603" s="122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7"/>
      <c r="AK603" s="15"/>
      <c r="AN603" s="114"/>
    </row>
    <row r="604" spans="1:44" x14ac:dyDescent="0.4">
      <c r="O604" s="115"/>
      <c r="P604" s="115"/>
      <c r="Q604" s="115"/>
      <c r="R604" s="115"/>
      <c r="S604" s="122"/>
      <c r="T604" s="122"/>
      <c r="U604" s="122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7"/>
      <c r="AK604" s="15"/>
      <c r="AN604" s="114"/>
    </row>
    <row r="605" spans="1:44" x14ac:dyDescent="0.4">
      <c r="O605" s="115"/>
      <c r="P605" s="115"/>
      <c r="Q605" s="115"/>
      <c r="R605" s="115"/>
      <c r="S605" s="122"/>
      <c r="T605" s="122"/>
      <c r="U605" s="122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7"/>
      <c r="AK605" s="15"/>
      <c r="AN605" s="114"/>
    </row>
    <row r="606" spans="1:44" x14ac:dyDescent="0.4">
      <c r="O606" s="115"/>
      <c r="P606" s="115"/>
      <c r="Q606" s="115"/>
      <c r="R606" s="115"/>
      <c r="S606" s="122"/>
      <c r="T606" s="122"/>
      <c r="U606" s="122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26"/>
      <c r="AK606" s="15"/>
      <c r="AN606" s="114"/>
    </row>
    <row r="607" spans="1:44" x14ac:dyDescent="0.4">
      <c r="O607" s="115"/>
      <c r="P607" s="115"/>
      <c r="Q607" s="115"/>
      <c r="R607" s="115"/>
      <c r="S607" s="122"/>
      <c r="T607" s="122"/>
      <c r="U607" s="122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7"/>
      <c r="AK607" s="15"/>
      <c r="AN607" s="114"/>
    </row>
    <row r="608" spans="1:44" ht="19.5" x14ac:dyDescent="0.4">
      <c r="AJ608" s="26"/>
      <c r="AK608" s="15"/>
      <c r="AO608" s="116"/>
      <c r="AP608" s="116"/>
      <c r="AQ608" s="116"/>
      <c r="AR608" s="116"/>
    </row>
    <row r="609" spans="1:44" ht="19.5" x14ac:dyDescent="0.4">
      <c r="T609" s="122"/>
      <c r="U609" s="122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7"/>
      <c r="AK609" s="15"/>
      <c r="AO609" s="117"/>
      <c r="AP609" s="116"/>
      <c r="AQ609" s="116"/>
      <c r="AR609" s="116"/>
    </row>
    <row r="610" spans="1:44" ht="19.5" x14ac:dyDescent="0.4">
      <c r="L610" s="115"/>
      <c r="M610" s="115"/>
      <c r="N610" s="115"/>
      <c r="O610" s="115"/>
      <c r="P610" s="115"/>
      <c r="Q610" s="115"/>
      <c r="R610" s="115"/>
      <c r="S610" s="122"/>
      <c r="T610" s="122"/>
      <c r="U610" s="122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26"/>
      <c r="AK610" s="15"/>
      <c r="AO610" s="117"/>
      <c r="AP610" s="116"/>
      <c r="AQ610" s="116"/>
      <c r="AR610" s="116"/>
    </row>
    <row r="611" spans="1:44" ht="19.5" x14ac:dyDescent="0.4"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22"/>
      <c r="T611" s="122"/>
      <c r="U611" s="122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26"/>
      <c r="AK611" s="13"/>
      <c r="AO611" s="117"/>
      <c r="AP611" s="116"/>
      <c r="AQ611" s="116"/>
      <c r="AR611" s="116"/>
    </row>
    <row r="612" spans="1:44" ht="19.5" x14ac:dyDescent="0.4"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22"/>
      <c r="T612" s="122"/>
      <c r="U612" s="122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26"/>
      <c r="AK612" s="15"/>
      <c r="AO612" s="117"/>
      <c r="AP612" s="116"/>
      <c r="AQ612" s="116"/>
      <c r="AR612" s="116"/>
    </row>
    <row r="613" spans="1:44" ht="19.5" x14ac:dyDescent="0.4"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22"/>
      <c r="T613" s="122"/>
      <c r="U613" s="122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7"/>
      <c r="AK613" s="15"/>
      <c r="AO613" s="117"/>
      <c r="AP613" s="116"/>
      <c r="AQ613" s="116"/>
      <c r="AR613" s="116"/>
    </row>
    <row r="614" spans="1:44" ht="19.5" x14ac:dyDescent="0.4"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22"/>
      <c r="T614" s="122"/>
      <c r="U614" s="122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26"/>
      <c r="AK614" s="15"/>
      <c r="AO614" s="117"/>
      <c r="AP614" s="116"/>
      <c r="AQ614" s="116"/>
      <c r="AR614" s="116"/>
    </row>
    <row r="615" spans="1:44" ht="19.5" x14ac:dyDescent="0.4"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22"/>
      <c r="T615" s="122"/>
      <c r="U615" s="122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26"/>
      <c r="AK615" s="15"/>
      <c r="AO615" s="117"/>
      <c r="AP615" s="116"/>
      <c r="AQ615" s="116"/>
      <c r="AR615" s="116"/>
    </row>
    <row r="616" spans="1:44" ht="19.5" x14ac:dyDescent="0.4"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22"/>
      <c r="T616" s="122"/>
      <c r="U616" s="122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7"/>
      <c r="AK616" s="15"/>
      <c r="AO616" s="117"/>
      <c r="AP616" s="116"/>
      <c r="AQ616" s="116"/>
      <c r="AR616" s="116"/>
    </row>
    <row r="617" spans="1:44" ht="19.5" x14ac:dyDescent="0.4"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22"/>
      <c r="T617" s="122"/>
      <c r="U617" s="122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26"/>
      <c r="AK617" s="15"/>
      <c r="AO617" s="117"/>
      <c r="AP617" s="116"/>
      <c r="AQ617" s="116"/>
      <c r="AR617" s="116"/>
    </row>
    <row r="618" spans="1:44" ht="19.5" x14ac:dyDescent="0.4">
      <c r="AJ618" s="26"/>
      <c r="AK618" s="15"/>
      <c r="AO618" s="117"/>
      <c r="AP618" s="116"/>
      <c r="AQ618" s="116"/>
      <c r="AR618" s="116"/>
    </row>
    <row r="619" spans="1:44" ht="19.5" x14ac:dyDescent="0.4">
      <c r="T619" s="122"/>
      <c r="U619" s="122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7"/>
      <c r="AK619" s="15"/>
      <c r="AO619" s="117"/>
      <c r="AP619" s="116"/>
      <c r="AQ619" s="116"/>
      <c r="AR619" s="116"/>
    </row>
    <row r="620" spans="1:44" ht="19.5" x14ac:dyDescent="0.4">
      <c r="Q620" s="115"/>
      <c r="R620" s="115"/>
      <c r="S620" s="122"/>
      <c r="T620" s="122"/>
      <c r="U620" s="122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26"/>
      <c r="AK620" s="15"/>
      <c r="AO620" s="117"/>
      <c r="AP620" s="116"/>
      <c r="AQ620" s="116"/>
      <c r="AR620" s="116"/>
    </row>
    <row r="621" spans="1:44" ht="19.5" x14ac:dyDescent="0.4">
      <c r="Q621" s="115"/>
      <c r="R621" s="115"/>
      <c r="S621" s="122"/>
      <c r="T621" s="122"/>
      <c r="U621" s="122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7"/>
      <c r="AK621" s="15"/>
      <c r="AO621" s="117"/>
      <c r="AP621" s="116"/>
      <c r="AQ621" s="116"/>
      <c r="AR621" s="116"/>
    </row>
    <row r="622" spans="1:44" ht="19.5" x14ac:dyDescent="0.4">
      <c r="P622" s="115"/>
      <c r="Q622" s="115"/>
      <c r="R622" s="115"/>
      <c r="S622" s="122"/>
      <c r="T622" s="122"/>
      <c r="U622" s="122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26"/>
      <c r="AK622" s="15"/>
      <c r="AO622" s="117"/>
      <c r="AP622" s="116"/>
      <c r="AQ622" s="116"/>
      <c r="AR622" s="116"/>
    </row>
    <row r="623" spans="1:44" ht="19.5" x14ac:dyDescent="0.4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22"/>
      <c r="T623" s="122"/>
      <c r="U623" s="122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26"/>
      <c r="AK623" s="15"/>
      <c r="AO623" s="117"/>
      <c r="AP623" s="116"/>
      <c r="AQ623" s="116"/>
      <c r="AR623" s="116"/>
    </row>
    <row r="624" spans="1:44" ht="19.5" x14ac:dyDescent="0.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22"/>
      <c r="T624" s="122"/>
      <c r="U624" s="122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26"/>
      <c r="AK624" s="15"/>
      <c r="AO624" s="117"/>
      <c r="AP624" s="116"/>
      <c r="AQ624" s="116"/>
      <c r="AR624" s="116"/>
    </row>
    <row r="625" spans="1:44" ht="19.5" x14ac:dyDescent="0.4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22"/>
      <c r="T625" s="122"/>
      <c r="U625" s="122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26"/>
      <c r="AK625" s="15"/>
      <c r="AO625" s="117"/>
      <c r="AP625" s="116"/>
      <c r="AQ625" s="116"/>
      <c r="AR625" s="116"/>
    </row>
    <row r="626" spans="1:44" ht="19.5" x14ac:dyDescent="0.4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22"/>
      <c r="T626" s="122"/>
      <c r="U626" s="122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26"/>
      <c r="AK626" s="105"/>
      <c r="AO626" s="117"/>
      <c r="AP626" s="116"/>
      <c r="AQ626" s="116"/>
      <c r="AR626" s="116"/>
    </row>
    <row r="627" spans="1:44" ht="19.5" x14ac:dyDescent="0.4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22"/>
      <c r="T627" s="122"/>
      <c r="U627" s="122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26"/>
      <c r="AK627" s="105"/>
      <c r="AO627" s="117"/>
      <c r="AP627" s="116"/>
      <c r="AQ627" s="116"/>
      <c r="AR627" s="116"/>
    </row>
    <row r="628" spans="1:44" ht="19.5" x14ac:dyDescent="0.4">
      <c r="AJ628" s="26"/>
      <c r="AK628" s="13"/>
      <c r="AO628" s="117"/>
      <c r="AP628" s="116"/>
      <c r="AQ628" s="116"/>
      <c r="AR628" s="116"/>
    </row>
    <row r="629" spans="1:44" ht="19.5" x14ac:dyDescent="0.4">
      <c r="Q629" s="115"/>
      <c r="R629" s="115"/>
      <c r="S629" s="122"/>
      <c r="T629" s="122"/>
      <c r="U629" s="122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26"/>
      <c r="AK629" s="13"/>
      <c r="AO629" s="117"/>
      <c r="AP629" s="116"/>
      <c r="AQ629" s="116"/>
      <c r="AR629" s="116"/>
    </row>
    <row r="630" spans="1:44" ht="19.5" x14ac:dyDescent="0.4">
      <c r="L630" s="115"/>
      <c r="M630" s="115"/>
      <c r="N630" s="115"/>
      <c r="O630" s="115"/>
      <c r="P630" s="115"/>
      <c r="Q630" s="115"/>
      <c r="R630" s="115"/>
      <c r="S630" s="122"/>
      <c r="T630" s="122"/>
      <c r="U630" s="122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26"/>
      <c r="AK630" s="13"/>
      <c r="AO630" s="117"/>
      <c r="AP630" s="116"/>
      <c r="AQ630" s="116"/>
      <c r="AR630" s="116"/>
    </row>
    <row r="631" spans="1:44" ht="19.5" x14ac:dyDescent="0.4">
      <c r="AJ631" s="26"/>
      <c r="AK631" s="13"/>
      <c r="AO631" s="117"/>
      <c r="AP631" s="116"/>
      <c r="AQ631" s="116"/>
      <c r="AR631" s="116"/>
    </row>
    <row r="632" spans="1:44" ht="19.5" x14ac:dyDescent="0.4"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22"/>
      <c r="T632" s="122"/>
      <c r="U632" s="122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26"/>
      <c r="AK632" s="13"/>
      <c r="AO632" s="117"/>
      <c r="AP632" s="116"/>
      <c r="AQ632" s="116"/>
      <c r="AR632" s="116"/>
    </row>
    <row r="633" spans="1:44" ht="19.5" x14ac:dyDescent="0.4"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22"/>
      <c r="T633" s="122"/>
      <c r="U633" s="122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26"/>
      <c r="AK633" s="13"/>
      <c r="AO633" s="117"/>
      <c r="AP633" s="116"/>
      <c r="AQ633" s="116"/>
      <c r="AR633" s="116"/>
    </row>
    <row r="634" spans="1:44" ht="19.5" x14ac:dyDescent="0.4"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22"/>
      <c r="T634" s="122"/>
      <c r="U634" s="122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26"/>
      <c r="AK634" s="13"/>
      <c r="AO634" s="117"/>
      <c r="AP634" s="116"/>
      <c r="AQ634" s="116"/>
      <c r="AR634" s="116"/>
    </row>
    <row r="635" spans="1:44" ht="19.5" x14ac:dyDescent="0.4"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22"/>
      <c r="T635" s="122"/>
      <c r="U635" s="122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26"/>
      <c r="AK635" s="13"/>
      <c r="AO635" s="117"/>
      <c r="AP635" s="116"/>
      <c r="AQ635" s="116"/>
      <c r="AR635" s="116"/>
    </row>
    <row r="636" spans="1:44" ht="19.5" x14ac:dyDescent="0.4"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22"/>
      <c r="T636" s="122"/>
      <c r="U636" s="122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26"/>
      <c r="AK636" s="13"/>
      <c r="AO636" s="117"/>
      <c r="AP636" s="116"/>
      <c r="AQ636" s="116"/>
      <c r="AR636" s="116"/>
    </row>
    <row r="637" spans="1:44" ht="19.5" x14ac:dyDescent="0.4"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22"/>
      <c r="T637" s="122"/>
      <c r="U637" s="122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26"/>
      <c r="AK637" s="13"/>
      <c r="AO637" s="117"/>
      <c r="AP637" s="116"/>
      <c r="AQ637" s="116"/>
      <c r="AR637" s="116"/>
    </row>
    <row r="638" spans="1:44" ht="19.5" x14ac:dyDescent="0.4"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22"/>
      <c r="T638" s="122"/>
      <c r="U638" s="122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26"/>
      <c r="AK638" s="13"/>
      <c r="AO638" s="117"/>
      <c r="AP638" s="116"/>
      <c r="AQ638" s="116"/>
      <c r="AR638" s="116"/>
    </row>
    <row r="639" spans="1:44" ht="19.5" x14ac:dyDescent="0.4"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22"/>
      <c r="T639" s="122"/>
      <c r="U639" s="122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26"/>
      <c r="AK639" s="13"/>
      <c r="AO639" s="117"/>
      <c r="AP639" s="116"/>
      <c r="AQ639" s="116"/>
      <c r="AR639" s="116"/>
    </row>
    <row r="640" spans="1:44" ht="19.5" x14ac:dyDescent="0.4">
      <c r="AJ640" s="26"/>
      <c r="AK640" s="15"/>
      <c r="AO640" s="117"/>
      <c r="AP640" s="116"/>
      <c r="AQ640" s="116"/>
      <c r="AR640" s="116"/>
    </row>
    <row r="641" spans="1:44" ht="19.5" x14ac:dyDescent="0.4"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22"/>
      <c r="T641" s="122"/>
      <c r="U641" s="122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26"/>
      <c r="AK641" s="15"/>
      <c r="AO641" s="117"/>
      <c r="AP641" s="116"/>
      <c r="AQ641" s="116"/>
      <c r="AR641" s="116"/>
    </row>
    <row r="642" spans="1:44" ht="19.5" x14ac:dyDescent="0.4"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22"/>
      <c r="T642" s="122"/>
      <c r="U642" s="122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7"/>
      <c r="AK642" s="15"/>
      <c r="AO642" s="117"/>
      <c r="AP642" s="116"/>
      <c r="AQ642" s="116"/>
      <c r="AR642" s="116"/>
    </row>
    <row r="643" spans="1:44" ht="19.5" x14ac:dyDescent="0.4">
      <c r="AJ643" s="26"/>
      <c r="AK643" s="15"/>
      <c r="AO643" s="117"/>
      <c r="AP643" s="116"/>
      <c r="AQ643" s="116"/>
      <c r="AR643" s="116"/>
    </row>
    <row r="644" spans="1:44" ht="19.5" x14ac:dyDescent="0.4">
      <c r="AJ644" s="26"/>
      <c r="AK644" s="13"/>
      <c r="AO644" s="117"/>
      <c r="AP644" s="116"/>
      <c r="AQ644" s="116"/>
      <c r="AR644" s="116"/>
    </row>
    <row r="645" spans="1:44" ht="19.5" x14ac:dyDescent="0.4">
      <c r="P645" s="115"/>
      <c r="Q645" s="115"/>
      <c r="R645" s="115"/>
      <c r="S645" s="122"/>
      <c r="T645" s="122"/>
      <c r="U645" s="122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26"/>
      <c r="AK645" s="13"/>
      <c r="AO645" s="117"/>
      <c r="AP645" s="116"/>
      <c r="AQ645" s="116"/>
      <c r="AR645" s="116"/>
    </row>
    <row r="646" spans="1:44" ht="19.5" x14ac:dyDescent="0.4"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22"/>
      <c r="T646" s="122"/>
      <c r="U646" s="122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26"/>
      <c r="AK646" s="13"/>
      <c r="AO646" s="117"/>
      <c r="AP646" s="116"/>
      <c r="AQ646" s="116"/>
      <c r="AR646" s="116"/>
    </row>
    <row r="647" spans="1:44" ht="19.5" x14ac:dyDescent="0.4"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22"/>
      <c r="T647" s="122"/>
      <c r="U647" s="122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7"/>
      <c r="AK647" s="13"/>
      <c r="AO647" s="117"/>
      <c r="AP647" s="116"/>
      <c r="AQ647" s="116"/>
      <c r="AR647" s="116"/>
    </row>
    <row r="648" spans="1:44" ht="19.5" x14ac:dyDescent="0.4"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22"/>
      <c r="T648" s="122"/>
      <c r="U648" s="122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26"/>
      <c r="AK648" s="25"/>
      <c r="AO648" s="117"/>
      <c r="AP648" s="116"/>
      <c r="AQ648" s="116"/>
      <c r="AR648" s="116"/>
    </row>
    <row r="649" spans="1:44" ht="19.5" x14ac:dyDescent="0.4"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22"/>
      <c r="T649" s="122"/>
      <c r="U649" s="122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7"/>
      <c r="AK649" s="13"/>
      <c r="AO649" s="117"/>
      <c r="AP649" s="116"/>
      <c r="AQ649" s="116"/>
      <c r="AR649" s="116"/>
    </row>
    <row r="650" spans="1:44" ht="19.5" x14ac:dyDescent="0.4"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22"/>
      <c r="T650" s="122"/>
      <c r="U650" s="122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26"/>
      <c r="AK650" s="13"/>
      <c r="AO650" s="117"/>
      <c r="AP650" s="116"/>
      <c r="AQ650" s="116"/>
      <c r="AR650" s="116"/>
    </row>
    <row r="651" spans="1:44" ht="19.5" x14ac:dyDescent="0.4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22"/>
      <c r="T651" s="122"/>
      <c r="U651" s="122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26"/>
      <c r="AK651" s="13"/>
      <c r="AO651" s="117"/>
      <c r="AP651" s="116"/>
      <c r="AQ651" s="116"/>
      <c r="AR651" s="116"/>
    </row>
    <row r="652" spans="1:44" ht="19.5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22"/>
      <c r="T652" s="122"/>
      <c r="U652" s="122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26"/>
      <c r="AK652" s="13"/>
      <c r="AO652" s="117"/>
      <c r="AP652" s="116"/>
      <c r="AQ652" s="116"/>
      <c r="AR652" s="116"/>
    </row>
    <row r="653" spans="1:44" ht="19.5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22"/>
      <c r="T653" s="122"/>
      <c r="U653" s="122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26"/>
      <c r="AK653" s="13"/>
      <c r="AO653" s="117"/>
      <c r="AP653" s="116"/>
      <c r="AQ653" s="116"/>
      <c r="AR653" s="116"/>
    </row>
    <row r="654" spans="1:44" ht="19.5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22"/>
      <c r="T654" s="122"/>
      <c r="U654" s="122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26"/>
      <c r="AK654" s="13"/>
      <c r="AO654" s="117"/>
      <c r="AP654" s="116"/>
      <c r="AQ654" s="116"/>
      <c r="AR654" s="116"/>
    </row>
    <row r="655" spans="1:44" ht="19.5" x14ac:dyDescent="0.4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22"/>
      <c r="T655" s="122"/>
      <c r="U655" s="122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26"/>
      <c r="AK655" s="13"/>
      <c r="AO655" s="117"/>
      <c r="AP655" s="116"/>
      <c r="AQ655" s="116"/>
      <c r="AR655" s="116"/>
    </row>
    <row r="656" spans="1:44" ht="19.5" x14ac:dyDescent="0.4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22"/>
      <c r="T656" s="122"/>
      <c r="U656" s="122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26"/>
      <c r="AK656" s="13"/>
      <c r="AO656" s="117"/>
      <c r="AP656" s="116"/>
      <c r="AQ656" s="116"/>
      <c r="AR656" s="116"/>
    </row>
    <row r="657" spans="1:44" ht="19.5" x14ac:dyDescent="0.4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22"/>
      <c r="T657" s="122"/>
      <c r="U657" s="122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26"/>
      <c r="AK657" s="13"/>
      <c r="AO657" s="117"/>
      <c r="AP657" s="116"/>
      <c r="AQ657" s="116"/>
      <c r="AR657" s="116"/>
    </row>
    <row r="658" spans="1:44" ht="19.5" x14ac:dyDescent="0.4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22"/>
      <c r="T658" s="122"/>
      <c r="U658" s="122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26"/>
      <c r="AK658" s="15"/>
      <c r="AO658" s="117"/>
      <c r="AP658" s="116"/>
      <c r="AQ658" s="116"/>
      <c r="AR658" s="116"/>
    </row>
    <row r="659" spans="1:44" ht="19.5" x14ac:dyDescent="0.4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22"/>
      <c r="T659" s="122"/>
      <c r="U659" s="122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26"/>
      <c r="AK659" s="15"/>
      <c r="AO659" s="117"/>
      <c r="AP659" s="116"/>
      <c r="AQ659" s="116"/>
      <c r="AR659" s="116"/>
    </row>
    <row r="660" spans="1:44" ht="19.5" x14ac:dyDescent="0.4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22"/>
      <c r="T660" s="122"/>
      <c r="U660" s="122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26"/>
      <c r="AK660" s="15"/>
      <c r="AO660" s="117"/>
      <c r="AP660" s="116"/>
      <c r="AQ660" s="116"/>
      <c r="AR660" s="116"/>
    </row>
    <row r="661" spans="1:44" ht="19.5" x14ac:dyDescent="0.4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22"/>
      <c r="T661" s="122"/>
      <c r="U661" s="122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26"/>
      <c r="AK661" s="15"/>
      <c r="AO661" s="117"/>
      <c r="AP661" s="116"/>
      <c r="AQ661" s="116"/>
      <c r="AR661" s="116"/>
    </row>
    <row r="662" spans="1:44" ht="19.5" x14ac:dyDescent="0.4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22"/>
      <c r="T662" s="122"/>
      <c r="U662" s="122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26"/>
      <c r="AK662" s="25"/>
      <c r="AO662" s="117"/>
      <c r="AP662" s="116"/>
      <c r="AQ662" s="116"/>
      <c r="AR662" s="116"/>
    </row>
    <row r="663" spans="1:44" ht="19.5" x14ac:dyDescent="0.4">
      <c r="AJ663" s="26"/>
      <c r="AK663" s="15"/>
      <c r="AO663" s="117"/>
      <c r="AP663" s="116"/>
      <c r="AQ663" s="116"/>
      <c r="AR663" s="116"/>
    </row>
    <row r="664" spans="1:44" ht="19.5" x14ac:dyDescent="0.4">
      <c r="R664" s="115"/>
      <c r="S664" s="122"/>
      <c r="T664" s="122"/>
      <c r="U664" s="122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26"/>
      <c r="AK664" s="15"/>
      <c r="AO664" s="117"/>
      <c r="AP664" s="116"/>
      <c r="AQ664" s="116"/>
      <c r="AR664" s="116"/>
    </row>
    <row r="665" spans="1:44" ht="19.5" x14ac:dyDescent="0.4">
      <c r="P665" s="115"/>
      <c r="Q665" s="115"/>
      <c r="R665" s="115"/>
      <c r="S665" s="122"/>
      <c r="T665" s="122"/>
      <c r="U665" s="122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26"/>
      <c r="AK665" s="15"/>
      <c r="AO665" s="117"/>
      <c r="AP665" s="116"/>
      <c r="AQ665" s="116"/>
      <c r="AR665" s="116"/>
    </row>
    <row r="666" spans="1:44" ht="19.5" x14ac:dyDescent="0.4">
      <c r="P666" s="115"/>
      <c r="Q666" s="115"/>
      <c r="R666" s="115"/>
      <c r="S666" s="122"/>
      <c r="T666" s="122"/>
      <c r="U666" s="122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7"/>
      <c r="AK666" s="15"/>
      <c r="AO666" s="117"/>
      <c r="AP666" s="116"/>
      <c r="AQ666" s="116"/>
      <c r="AR666" s="116"/>
    </row>
    <row r="667" spans="1:44" ht="19.5" x14ac:dyDescent="0.4">
      <c r="M667" s="115"/>
      <c r="N667" s="115"/>
      <c r="O667" s="115"/>
      <c r="P667" s="115"/>
      <c r="Q667" s="115"/>
      <c r="R667" s="115"/>
      <c r="S667" s="122"/>
      <c r="T667" s="122"/>
      <c r="U667" s="122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26"/>
      <c r="AK667" s="15"/>
      <c r="AO667" s="117"/>
      <c r="AP667" s="116"/>
      <c r="AQ667" s="116"/>
      <c r="AR667" s="116"/>
    </row>
    <row r="668" spans="1:44" ht="19.5" x14ac:dyDescent="0.4">
      <c r="M668" s="115"/>
      <c r="N668" s="115"/>
      <c r="O668" s="115"/>
      <c r="P668" s="115"/>
      <c r="Q668" s="115"/>
      <c r="R668" s="115"/>
      <c r="S668" s="122"/>
      <c r="T668" s="122"/>
      <c r="U668" s="122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7"/>
      <c r="AK668" s="15"/>
      <c r="AO668" s="117"/>
      <c r="AP668" s="116"/>
      <c r="AQ668" s="116"/>
      <c r="AR668" s="116"/>
    </row>
    <row r="669" spans="1:44" ht="19.5" x14ac:dyDescent="0.4">
      <c r="M669" s="115"/>
      <c r="N669" s="115"/>
      <c r="O669" s="115"/>
      <c r="P669" s="115"/>
      <c r="Q669" s="115"/>
      <c r="R669" s="115"/>
      <c r="S669" s="122"/>
      <c r="T669" s="122"/>
      <c r="U669" s="122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26"/>
      <c r="AK669" s="15"/>
      <c r="AO669" s="117"/>
      <c r="AP669" s="116"/>
      <c r="AQ669" s="116"/>
      <c r="AR669" s="116"/>
    </row>
    <row r="670" spans="1:44" ht="19.5" x14ac:dyDescent="0.4">
      <c r="M670" s="115"/>
      <c r="N670" s="115"/>
      <c r="O670" s="115"/>
      <c r="P670" s="115"/>
      <c r="Q670" s="115"/>
      <c r="R670" s="115"/>
      <c r="S670" s="122"/>
      <c r="T670" s="122"/>
      <c r="U670" s="122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7"/>
      <c r="AK670" s="13"/>
      <c r="AO670" s="117"/>
      <c r="AP670" s="116"/>
      <c r="AQ670" s="116"/>
      <c r="AR670" s="116"/>
    </row>
    <row r="671" spans="1:44" ht="19.5" x14ac:dyDescent="0.4">
      <c r="M671" s="115"/>
      <c r="N671" s="115"/>
      <c r="O671" s="115"/>
      <c r="P671" s="115"/>
      <c r="Q671" s="115"/>
      <c r="R671" s="115"/>
      <c r="S671" s="122"/>
      <c r="T671" s="122"/>
      <c r="U671" s="122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7"/>
      <c r="AK671" s="13"/>
      <c r="AO671" s="117"/>
      <c r="AP671" s="116"/>
      <c r="AQ671" s="116"/>
      <c r="AR671" s="116"/>
    </row>
    <row r="672" spans="1:44" ht="19.5" x14ac:dyDescent="0.4">
      <c r="AJ672" s="26"/>
      <c r="AK672" s="13"/>
      <c r="AO672" s="117"/>
      <c r="AP672" s="116"/>
      <c r="AQ672" s="116"/>
      <c r="AR672" s="116"/>
    </row>
    <row r="673" spans="1:44" ht="19.5" x14ac:dyDescent="0.4">
      <c r="R673" s="115"/>
      <c r="S673" s="122"/>
      <c r="T673" s="122"/>
      <c r="U673" s="122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7"/>
      <c r="AK673" s="13"/>
      <c r="AO673" s="117"/>
      <c r="AP673" s="116"/>
      <c r="AQ673" s="116"/>
      <c r="AR673" s="116"/>
    </row>
    <row r="674" spans="1:44" ht="19.5" x14ac:dyDescent="0.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22"/>
      <c r="T674" s="122"/>
      <c r="U674" s="122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26"/>
      <c r="AK674" s="13"/>
      <c r="AO674" s="117"/>
      <c r="AP674" s="116"/>
      <c r="AQ674" s="116"/>
      <c r="AR674" s="116"/>
    </row>
    <row r="675" spans="1:44" ht="19.5" x14ac:dyDescent="0.4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22"/>
      <c r="T675" s="122"/>
      <c r="U675" s="122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26"/>
      <c r="AK675" s="13"/>
      <c r="AO675" s="117"/>
      <c r="AP675" s="116"/>
      <c r="AQ675" s="116"/>
      <c r="AR675" s="116"/>
    </row>
    <row r="676" spans="1:44" ht="19.5" x14ac:dyDescent="0.4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22"/>
      <c r="T676" s="122"/>
      <c r="U676" s="122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26"/>
      <c r="AK676" s="13"/>
      <c r="AO676" s="117"/>
      <c r="AP676" s="116"/>
      <c r="AQ676" s="116"/>
      <c r="AR676" s="116"/>
    </row>
    <row r="677" spans="1:44" ht="19.5" x14ac:dyDescent="0.4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22"/>
      <c r="T677" s="122"/>
      <c r="U677" s="122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26"/>
      <c r="AK677" s="13"/>
      <c r="AO677" s="117"/>
      <c r="AP677" s="116"/>
      <c r="AQ677" s="116"/>
      <c r="AR677" s="116"/>
    </row>
    <row r="678" spans="1:44" ht="19.5" x14ac:dyDescent="0.4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22"/>
      <c r="T678" s="122"/>
      <c r="U678" s="122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7"/>
      <c r="AK678" s="13"/>
      <c r="AO678" s="117"/>
      <c r="AP678" s="116"/>
      <c r="AQ678" s="116"/>
      <c r="AR678" s="116"/>
    </row>
    <row r="679" spans="1:44" ht="19.5" x14ac:dyDescent="0.4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22"/>
      <c r="T679" s="122"/>
      <c r="U679" s="122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26"/>
      <c r="AK679" s="13"/>
      <c r="AO679" s="117"/>
      <c r="AP679" s="116"/>
      <c r="AQ679" s="116"/>
      <c r="AR679" s="116"/>
    </row>
    <row r="680" spans="1:44" ht="19.5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22"/>
      <c r="T680" s="122"/>
      <c r="U680" s="122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26"/>
      <c r="AK680" s="15"/>
      <c r="AO680" s="117"/>
      <c r="AP680" s="116"/>
      <c r="AQ680" s="116"/>
      <c r="AR680" s="116"/>
    </row>
    <row r="681" spans="1:44" ht="19.5" x14ac:dyDescent="0.4">
      <c r="AJ681" s="26"/>
      <c r="AK681" s="15"/>
      <c r="AO681" s="117"/>
      <c r="AP681" s="116"/>
      <c r="AQ681" s="116"/>
      <c r="AR681" s="116"/>
    </row>
    <row r="682" spans="1:44" ht="19.5" x14ac:dyDescent="0.4">
      <c r="Q682" s="115"/>
      <c r="R682" s="115"/>
      <c r="S682" s="122"/>
      <c r="T682" s="122"/>
      <c r="U682" s="122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26"/>
      <c r="AK682" s="13"/>
      <c r="AO682" s="117"/>
      <c r="AP682" s="116"/>
      <c r="AQ682" s="116"/>
      <c r="AR682" s="116"/>
    </row>
    <row r="683" spans="1:44" ht="19.5" x14ac:dyDescent="0.4">
      <c r="O683" s="115"/>
      <c r="P683" s="115"/>
      <c r="Q683" s="115"/>
      <c r="R683" s="115"/>
      <c r="S683" s="122"/>
      <c r="T683" s="122"/>
      <c r="U683" s="122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26"/>
      <c r="AK683" s="15"/>
      <c r="AO683" s="117"/>
      <c r="AP683" s="116"/>
      <c r="AQ683" s="116"/>
      <c r="AR683" s="116"/>
    </row>
    <row r="684" spans="1:44" ht="19.5" x14ac:dyDescent="0.4">
      <c r="O684" s="115"/>
      <c r="P684" s="115"/>
      <c r="Q684" s="115"/>
      <c r="R684" s="115"/>
      <c r="S684" s="122"/>
      <c r="T684" s="122"/>
      <c r="U684" s="122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26"/>
      <c r="AK684" s="15"/>
      <c r="AO684" s="117"/>
      <c r="AP684" s="116"/>
      <c r="AQ684" s="116"/>
      <c r="AR684" s="116"/>
    </row>
    <row r="685" spans="1:44" ht="19.5" x14ac:dyDescent="0.4">
      <c r="O685" s="115"/>
      <c r="P685" s="115"/>
      <c r="Q685" s="115"/>
      <c r="R685" s="115"/>
      <c r="S685" s="122"/>
      <c r="T685" s="122"/>
      <c r="U685" s="122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7"/>
      <c r="AK685" s="15"/>
      <c r="AO685" s="117"/>
      <c r="AP685" s="116"/>
      <c r="AQ685" s="116"/>
      <c r="AR685" s="116"/>
    </row>
    <row r="686" spans="1:44" ht="19.5" x14ac:dyDescent="0.4">
      <c r="N686" s="115"/>
      <c r="O686" s="115"/>
      <c r="P686" s="115"/>
      <c r="Q686" s="115"/>
      <c r="R686" s="115"/>
      <c r="S686" s="122"/>
      <c r="T686" s="122"/>
      <c r="U686" s="122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26"/>
      <c r="AK686" s="15"/>
      <c r="AO686" s="117"/>
      <c r="AP686" s="116"/>
      <c r="AQ686" s="116"/>
      <c r="AR686" s="116"/>
    </row>
    <row r="687" spans="1:44" ht="19.5" x14ac:dyDescent="0.4">
      <c r="N687" s="115"/>
      <c r="O687" s="115"/>
      <c r="P687" s="115"/>
      <c r="Q687" s="115"/>
      <c r="R687" s="115"/>
      <c r="S687" s="122"/>
      <c r="T687" s="122"/>
      <c r="U687" s="122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26"/>
      <c r="AK687" s="15"/>
      <c r="AO687" s="117"/>
      <c r="AP687" s="116"/>
      <c r="AQ687" s="116"/>
      <c r="AR687" s="116"/>
    </row>
    <row r="688" spans="1:44" ht="19.5" x14ac:dyDescent="0.4">
      <c r="N688" s="115"/>
      <c r="O688" s="115"/>
      <c r="P688" s="115"/>
      <c r="Q688" s="115"/>
      <c r="R688" s="115"/>
      <c r="S688" s="122"/>
      <c r="T688" s="122"/>
      <c r="U688" s="122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26"/>
      <c r="AK688" s="105"/>
      <c r="AO688" s="117"/>
      <c r="AP688" s="116"/>
      <c r="AQ688" s="116"/>
      <c r="AR688" s="116"/>
    </row>
    <row r="689" spans="1:44" ht="19.5" x14ac:dyDescent="0.4">
      <c r="N689" s="115"/>
      <c r="O689" s="115"/>
      <c r="P689" s="115"/>
      <c r="Q689" s="115"/>
      <c r="R689" s="115"/>
      <c r="S689" s="122"/>
      <c r="T689" s="122"/>
      <c r="U689" s="122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7"/>
      <c r="AK689" s="15"/>
      <c r="AO689" s="117"/>
      <c r="AP689" s="116"/>
      <c r="AQ689" s="116"/>
      <c r="AR689" s="116"/>
    </row>
    <row r="690" spans="1:44" ht="19.5" x14ac:dyDescent="0.4">
      <c r="N690" s="115"/>
      <c r="O690" s="115"/>
      <c r="P690" s="115"/>
      <c r="Q690" s="115"/>
      <c r="R690" s="115"/>
      <c r="S690" s="122"/>
      <c r="T690" s="122"/>
      <c r="U690" s="122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26"/>
      <c r="AK690" s="15"/>
      <c r="AO690" s="117"/>
      <c r="AP690" s="116"/>
      <c r="AQ690" s="116"/>
      <c r="AR690" s="116"/>
    </row>
    <row r="691" spans="1:44" ht="19.5" x14ac:dyDescent="0.4">
      <c r="N691" s="115"/>
      <c r="O691" s="115"/>
      <c r="P691" s="115"/>
      <c r="Q691" s="115"/>
      <c r="R691" s="115"/>
      <c r="S691" s="122"/>
      <c r="T691" s="122"/>
      <c r="U691" s="122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7"/>
      <c r="AK691" s="15"/>
      <c r="AO691" s="117"/>
      <c r="AP691" s="116"/>
      <c r="AQ691" s="116"/>
      <c r="AR691" s="116"/>
    </row>
    <row r="692" spans="1:44" ht="19.5" x14ac:dyDescent="0.4"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22"/>
      <c r="T692" s="122"/>
      <c r="U692" s="122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26"/>
      <c r="AK692" s="15"/>
      <c r="AO692" s="117"/>
      <c r="AP692" s="116"/>
      <c r="AQ692" s="116"/>
      <c r="AR692" s="116"/>
    </row>
    <row r="693" spans="1:44" ht="19.5" x14ac:dyDescent="0.4"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22"/>
      <c r="T693" s="122"/>
      <c r="U693" s="122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7"/>
      <c r="AK693" s="15"/>
      <c r="AO693" s="117"/>
      <c r="AP693" s="116"/>
      <c r="AQ693" s="116"/>
      <c r="AR693" s="116"/>
    </row>
    <row r="694" spans="1:44" ht="19.5" x14ac:dyDescent="0.4"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22"/>
      <c r="T694" s="122"/>
      <c r="U694" s="122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26"/>
      <c r="AK694" s="15"/>
      <c r="AO694" s="117"/>
      <c r="AP694" s="116"/>
      <c r="AQ694" s="116"/>
      <c r="AR694" s="116"/>
    </row>
    <row r="695" spans="1:44" ht="19.5" x14ac:dyDescent="0.4"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22"/>
      <c r="T695" s="122"/>
      <c r="U695" s="122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7"/>
      <c r="AK695" s="15"/>
      <c r="AO695" s="117"/>
      <c r="AP695" s="116"/>
      <c r="AQ695" s="116"/>
      <c r="AR695" s="116"/>
    </row>
    <row r="696" spans="1:44" ht="19.5" x14ac:dyDescent="0.4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22"/>
      <c r="T696" s="122"/>
      <c r="U696" s="122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26"/>
      <c r="AK696" s="15"/>
      <c r="AO696" s="117"/>
      <c r="AP696" s="116"/>
      <c r="AQ696" s="116"/>
      <c r="AR696" s="116"/>
    </row>
    <row r="697" spans="1:44" ht="19.5" x14ac:dyDescent="0.4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22"/>
      <c r="T697" s="122"/>
      <c r="U697" s="122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26"/>
      <c r="AK697" s="15"/>
      <c r="AO697" s="117"/>
      <c r="AP697" s="116"/>
      <c r="AQ697" s="116"/>
      <c r="AR697" s="116"/>
    </row>
    <row r="698" spans="1:44" ht="19.5" x14ac:dyDescent="0.4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22"/>
      <c r="T698" s="122"/>
      <c r="U698" s="122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26"/>
      <c r="AK698" s="15"/>
      <c r="AO698" s="117"/>
      <c r="AP698" s="116"/>
      <c r="AQ698" s="116"/>
      <c r="AR698" s="116"/>
    </row>
    <row r="699" spans="1:44" ht="19.5" x14ac:dyDescent="0.4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22"/>
      <c r="T699" s="122"/>
      <c r="U699" s="122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26"/>
      <c r="AK699" s="15"/>
      <c r="AO699" s="117"/>
      <c r="AP699" s="116"/>
      <c r="AQ699" s="116"/>
      <c r="AR699" s="116"/>
    </row>
    <row r="700" spans="1:44" ht="19.5" x14ac:dyDescent="0.4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22"/>
      <c r="T700" s="122"/>
      <c r="U700" s="122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26"/>
      <c r="AK700" s="15"/>
      <c r="AO700" s="117"/>
      <c r="AP700" s="116"/>
      <c r="AQ700" s="116"/>
      <c r="AR700" s="116"/>
    </row>
    <row r="701" spans="1:44" ht="19.5" x14ac:dyDescent="0.4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22"/>
      <c r="T701" s="122"/>
      <c r="U701" s="122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26"/>
      <c r="AK701" s="15"/>
      <c r="AO701" s="117"/>
      <c r="AP701" s="116"/>
      <c r="AQ701" s="116"/>
      <c r="AR701" s="116"/>
    </row>
    <row r="702" spans="1:44" ht="19.5" x14ac:dyDescent="0.4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22"/>
      <c r="T702" s="122"/>
      <c r="U702" s="122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7"/>
      <c r="AK702" s="15"/>
      <c r="AO702" s="117"/>
      <c r="AP702" s="116"/>
      <c r="AQ702" s="116"/>
      <c r="AR702" s="116"/>
    </row>
    <row r="703" spans="1:44" ht="19.5" x14ac:dyDescent="0.4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22"/>
      <c r="T703" s="122"/>
      <c r="U703" s="122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26"/>
      <c r="AK703" s="15"/>
      <c r="AO703" s="117"/>
      <c r="AP703" s="116"/>
      <c r="AQ703" s="116"/>
      <c r="AR703" s="116"/>
    </row>
    <row r="704" spans="1:44" ht="19.5" x14ac:dyDescent="0.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22"/>
      <c r="T704" s="122"/>
      <c r="U704" s="122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7"/>
      <c r="AK704" s="15"/>
      <c r="AO704" s="117"/>
      <c r="AP704" s="116"/>
      <c r="AQ704" s="116"/>
      <c r="AR704" s="116"/>
    </row>
    <row r="705" spans="1:44" ht="19.5" x14ac:dyDescent="0.4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22"/>
      <c r="T705" s="122"/>
      <c r="U705" s="122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26"/>
      <c r="AK705" s="15"/>
      <c r="AO705" s="117"/>
      <c r="AP705" s="116"/>
      <c r="AQ705" s="116"/>
      <c r="AR705" s="116"/>
    </row>
    <row r="706" spans="1:44" ht="19.5" x14ac:dyDescent="0.4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22"/>
      <c r="T706" s="122"/>
      <c r="U706" s="122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20"/>
      <c r="AK706" s="15"/>
      <c r="AO706" s="117"/>
      <c r="AP706" s="116"/>
      <c r="AQ706" s="116"/>
      <c r="AR706" s="116"/>
    </row>
    <row r="707" spans="1:44" ht="19.5" x14ac:dyDescent="0.4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22"/>
      <c r="T707" s="122"/>
      <c r="U707" s="122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20"/>
      <c r="AK707" s="15"/>
      <c r="AO707" s="117"/>
      <c r="AP707" s="116"/>
      <c r="AQ707" s="116"/>
      <c r="AR707" s="116"/>
    </row>
    <row r="708" spans="1:44" ht="19.5" x14ac:dyDescent="0.4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22"/>
      <c r="T708" s="122"/>
      <c r="U708" s="122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20"/>
      <c r="AK708" s="15"/>
      <c r="AO708" s="117"/>
      <c r="AP708" s="116"/>
      <c r="AQ708" s="116"/>
      <c r="AR708" s="116"/>
    </row>
    <row r="709" spans="1:44" ht="19.5" x14ac:dyDescent="0.4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22"/>
      <c r="T709" s="122"/>
      <c r="U709" s="122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20"/>
      <c r="AK709" s="15"/>
      <c r="AO709" s="117"/>
      <c r="AP709" s="116"/>
      <c r="AQ709" s="116"/>
      <c r="AR709" s="116"/>
    </row>
    <row r="710" spans="1:44" ht="19.5" x14ac:dyDescent="0.4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22"/>
      <c r="T710" s="122"/>
      <c r="U710" s="122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25"/>
      <c r="AK710" s="15"/>
      <c r="AO710" s="117"/>
      <c r="AP710" s="116"/>
      <c r="AQ710" s="116"/>
      <c r="AR710" s="116"/>
    </row>
    <row r="711" spans="1:44" ht="19.5" x14ac:dyDescent="0.4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22"/>
      <c r="T711" s="122"/>
      <c r="U711" s="122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3"/>
      <c r="AK711" s="15"/>
      <c r="AO711" s="117"/>
      <c r="AP711" s="116"/>
      <c r="AQ711" s="116"/>
      <c r="AR711" s="116"/>
    </row>
    <row r="712" spans="1:44" ht="19.5" x14ac:dyDescent="0.4">
      <c r="AJ712" s="25"/>
      <c r="AK712" s="15"/>
      <c r="AO712" s="117"/>
      <c r="AP712" s="116"/>
      <c r="AQ712" s="116"/>
      <c r="AR712" s="116"/>
    </row>
    <row r="713" spans="1:44" ht="19.5" x14ac:dyDescent="0.4">
      <c r="P713" s="115"/>
      <c r="Q713" s="115"/>
      <c r="R713" s="115"/>
      <c r="S713" s="122"/>
      <c r="T713" s="122"/>
      <c r="U713" s="122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3"/>
      <c r="AK713" s="15"/>
      <c r="AO713" s="117"/>
      <c r="AP713" s="116"/>
      <c r="AQ713" s="116"/>
      <c r="AR713" s="116"/>
    </row>
    <row r="714" spans="1:44" ht="19.5" x14ac:dyDescent="0.4"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22"/>
      <c r="T714" s="122"/>
      <c r="U714" s="122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25"/>
      <c r="AK714" s="15"/>
      <c r="AO714" s="117"/>
      <c r="AP714" s="116"/>
      <c r="AQ714" s="116"/>
      <c r="AR714" s="116"/>
    </row>
    <row r="715" spans="1:44" ht="19.5" x14ac:dyDescent="0.4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22"/>
      <c r="T715" s="122"/>
      <c r="U715" s="122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25"/>
      <c r="AK715" s="15"/>
      <c r="AO715" s="117"/>
      <c r="AP715" s="116"/>
      <c r="AQ715" s="116"/>
      <c r="AR715" s="116"/>
    </row>
    <row r="716" spans="1:44" ht="19.5" x14ac:dyDescent="0.4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22"/>
      <c r="T716" s="122"/>
      <c r="U716" s="122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3"/>
      <c r="AK716" s="15"/>
      <c r="AO716" s="117"/>
      <c r="AP716" s="116"/>
      <c r="AQ716" s="116"/>
      <c r="AR716" s="116"/>
    </row>
    <row r="717" spans="1:44" ht="19.5" x14ac:dyDescent="0.4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22"/>
      <c r="T717" s="122"/>
      <c r="U717" s="122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25"/>
      <c r="AK717" s="15"/>
      <c r="AO717" s="117"/>
      <c r="AP717" s="116"/>
      <c r="AQ717" s="116"/>
      <c r="AR717" s="116"/>
    </row>
    <row r="718" spans="1:44" ht="19.5" x14ac:dyDescent="0.4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22"/>
      <c r="T718" s="122"/>
      <c r="U718" s="122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3"/>
      <c r="AK718" s="15"/>
      <c r="AO718" s="117"/>
      <c r="AP718" s="116"/>
      <c r="AQ718" s="116"/>
      <c r="AR718" s="116"/>
    </row>
    <row r="719" spans="1:44" ht="19.5" x14ac:dyDescent="0.4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22"/>
      <c r="T719" s="122"/>
      <c r="U719" s="122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25"/>
      <c r="AK719" s="15"/>
      <c r="AO719" s="117"/>
      <c r="AP719" s="116"/>
      <c r="AQ719" s="116"/>
      <c r="AR719" s="116"/>
    </row>
    <row r="720" spans="1:44" ht="19.5" x14ac:dyDescent="0.4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22"/>
      <c r="T720" s="122"/>
      <c r="U720" s="122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26"/>
      <c r="AK720" s="15"/>
      <c r="AO720" s="117"/>
      <c r="AP720" s="116"/>
      <c r="AQ720" s="116"/>
      <c r="AR720" s="116"/>
    </row>
    <row r="721" spans="1:44" ht="19.5" x14ac:dyDescent="0.4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22"/>
      <c r="T721" s="122"/>
      <c r="U721" s="122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7"/>
      <c r="AK721" s="13"/>
      <c r="AO721" s="117"/>
      <c r="AP721" s="116"/>
      <c r="AQ721" s="116"/>
      <c r="AR721" s="116"/>
    </row>
    <row r="722" spans="1:44" ht="19.5" x14ac:dyDescent="0.4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22"/>
      <c r="T722" s="122"/>
      <c r="U722" s="122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26"/>
      <c r="AK722" s="13"/>
      <c r="AO722" s="117"/>
      <c r="AP722" s="116"/>
      <c r="AQ722" s="116"/>
      <c r="AR722" s="116"/>
    </row>
    <row r="723" spans="1:44" ht="19.5" x14ac:dyDescent="0.4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22"/>
      <c r="T723" s="122"/>
      <c r="U723" s="122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7"/>
      <c r="AK723" s="13"/>
      <c r="AO723" s="117"/>
      <c r="AP723" s="116"/>
      <c r="AQ723" s="116"/>
      <c r="AR723" s="116"/>
    </row>
    <row r="724" spans="1:44" ht="19.5" x14ac:dyDescent="0.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22"/>
      <c r="T724" s="122"/>
      <c r="U724" s="122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26"/>
      <c r="AK724" s="15"/>
      <c r="AO724" s="117"/>
      <c r="AP724" s="116"/>
      <c r="AQ724" s="116"/>
      <c r="AR724" s="116"/>
    </row>
    <row r="725" spans="1:44" ht="19.5" x14ac:dyDescent="0.4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22"/>
      <c r="T725" s="122"/>
      <c r="U725" s="122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7"/>
      <c r="AK725" s="15"/>
      <c r="AO725" s="117"/>
      <c r="AP725" s="116"/>
      <c r="AQ725" s="116"/>
      <c r="AR725" s="116"/>
    </row>
    <row r="726" spans="1:44" ht="19.5" x14ac:dyDescent="0.4">
      <c r="AJ726" s="26"/>
      <c r="AK726" s="105"/>
      <c r="AO726" s="117"/>
      <c r="AP726" s="116"/>
      <c r="AQ726" s="116"/>
      <c r="AR726" s="116"/>
    </row>
    <row r="727" spans="1:44" ht="19.5" x14ac:dyDescent="0.4">
      <c r="P727" s="115"/>
      <c r="Q727" s="115"/>
      <c r="R727" s="115"/>
      <c r="S727" s="122"/>
      <c r="T727" s="122"/>
      <c r="U727" s="122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7"/>
      <c r="AK727" s="15"/>
      <c r="AO727" s="117"/>
      <c r="AP727" s="116"/>
      <c r="AQ727" s="116"/>
      <c r="AR727" s="116"/>
    </row>
    <row r="728" spans="1:44" ht="19.5" x14ac:dyDescent="0.4">
      <c r="M728" s="115"/>
      <c r="N728" s="115"/>
      <c r="O728" s="115"/>
      <c r="P728" s="115"/>
      <c r="Q728" s="115"/>
      <c r="R728" s="115"/>
      <c r="S728" s="122"/>
      <c r="T728" s="122"/>
      <c r="U728" s="122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26"/>
      <c r="AK728" s="15"/>
      <c r="AO728" s="117"/>
      <c r="AP728" s="116"/>
      <c r="AQ728" s="116"/>
      <c r="AR728" s="116"/>
    </row>
    <row r="729" spans="1:44" ht="19.5" x14ac:dyDescent="0.4">
      <c r="M729" s="115"/>
      <c r="N729" s="115"/>
      <c r="O729" s="115"/>
      <c r="P729" s="115"/>
      <c r="Q729" s="115"/>
      <c r="R729" s="115"/>
      <c r="S729" s="122"/>
      <c r="T729" s="122"/>
      <c r="U729" s="122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7"/>
      <c r="AK729" s="15"/>
      <c r="AO729" s="117"/>
      <c r="AP729" s="116"/>
      <c r="AQ729" s="116"/>
      <c r="AR729" s="116"/>
    </row>
    <row r="730" spans="1:44" ht="19.5" x14ac:dyDescent="0.4"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22"/>
      <c r="T730" s="122"/>
      <c r="U730" s="122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26"/>
      <c r="AK730" s="15"/>
      <c r="AO730" s="117"/>
      <c r="AP730" s="116"/>
      <c r="AQ730" s="116"/>
      <c r="AR730" s="116"/>
    </row>
    <row r="731" spans="1:44" ht="19.5" x14ac:dyDescent="0.4"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22"/>
      <c r="T731" s="122"/>
      <c r="U731" s="122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7"/>
      <c r="AK731" s="15"/>
      <c r="AO731" s="117"/>
      <c r="AP731" s="116"/>
      <c r="AQ731" s="116"/>
      <c r="AR731" s="116"/>
    </row>
    <row r="732" spans="1:44" ht="19.5" x14ac:dyDescent="0.4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22"/>
      <c r="T732" s="122"/>
      <c r="U732" s="122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26"/>
      <c r="AK732" s="15"/>
      <c r="AO732" s="117"/>
      <c r="AP732" s="116"/>
      <c r="AQ732" s="116"/>
      <c r="AR732" s="116"/>
    </row>
    <row r="733" spans="1:44" ht="19.5" x14ac:dyDescent="0.4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22"/>
      <c r="T733" s="122"/>
      <c r="U733" s="122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26"/>
      <c r="AK733" s="15"/>
      <c r="AO733" s="117"/>
      <c r="AP733" s="116"/>
      <c r="AQ733" s="116"/>
      <c r="AR733" s="116"/>
    </row>
    <row r="734" spans="1:44" ht="19.5" x14ac:dyDescent="0.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22"/>
      <c r="T734" s="122"/>
      <c r="U734" s="122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7"/>
      <c r="AK734" s="15"/>
      <c r="AO734" s="117"/>
      <c r="AP734" s="116"/>
      <c r="AQ734" s="116"/>
      <c r="AR734" s="116"/>
    </row>
    <row r="735" spans="1:44" ht="19.5" x14ac:dyDescent="0.4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22"/>
      <c r="T735" s="122"/>
      <c r="U735" s="122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26"/>
      <c r="AK735" s="15"/>
      <c r="AO735" s="117"/>
      <c r="AP735" s="116"/>
      <c r="AQ735" s="116"/>
      <c r="AR735" s="116"/>
    </row>
    <row r="736" spans="1:44" ht="19.5" x14ac:dyDescent="0.4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22"/>
      <c r="T736" s="122"/>
      <c r="U736" s="122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7"/>
      <c r="AK736" s="15"/>
      <c r="AO736" s="117"/>
      <c r="AP736" s="116"/>
      <c r="AQ736" s="116"/>
      <c r="AR736" s="116"/>
    </row>
    <row r="737" spans="2:44" ht="19.5" x14ac:dyDescent="0.4">
      <c r="AJ737" s="26"/>
      <c r="AK737" s="15"/>
      <c r="AO737" s="117"/>
      <c r="AP737" s="116"/>
      <c r="AQ737" s="116"/>
      <c r="AR737" s="116"/>
    </row>
    <row r="738" spans="2:44" ht="19.5" x14ac:dyDescent="0.4">
      <c r="P738" s="115"/>
      <c r="Q738" s="115"/>
      <c r="R738" s="115"/>
      <c r="S738" s="122"/>
      <c r="T738" s="122"/>
      <c r="U738" s="122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7"/>
      <c r="AK738" s="15"/>
      <c r="AO738" s="117"/>
      <c r="AP738" s="116"/>
      <c r="AQ738" s="116"/>
      <c r="AR738" s="116"/>
    </row>
    <row r="739" spans="2:44" ht="19.5" x14ac:dyDescent="0.4">
      <c r="AJ739" s="26"/>
      <c r="AK739" s="15"/>
      <c r="AO739" s="117"/>
      <c r="AP739" s="116"/>
      <c r="AQ739" s="116"/>
      <c r="AR739" s="116"/>
    </row>
    <row r="740" spans="2:44" ht="19.5" x14ac:dyDescent="0.4">
      <c r="P740" s="115"/>
      <c r="Q740" s="115"/>
      <c r="R740" s="115"/>
      <c r="S740" s="122"/>
      <c r="T740" s="122"/>
      <c r="U740" s="122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7"/>
      <c r="AK740" s="15"/>
      <c r="AO740" s="117"/>
      <c r="AP740" s="116"/>
      <c r="AQ740" s="116"/>
      <c r="AR740" s="116"/>
    </row>
    <row r="741" spans="2:44" ht="19.5" x14ac:dyDescent="0.4">
      <c r="AJ741" s="26"/>
      <c r="AK741" s="15"/>
      <c r="AO741" s="117"/>
      <c r="AP741" s="116"/>
      <c r="AQ741" s="116"/>
      <c r="AR741" s="116"/>
    </row>
    <row r="742" spans="2:44" ht="19.5" x14ac:dyDescent="0.4">
      <c r="P742" s="115"/>
      <c r="Q742" s="115"/>
      <c r="R742" s="115"/>
      <c r="S742" s="122"/>
      <c r="T742" s="122"/>
      <c r="U742" s="122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7"/>
      <c r="AK742" s="15"/>
      <c r="AO742" s="117"/>
      <c r="AP742" s="116"/>
      <c r="AQ742" s="116"/>
      <c r="AR742" s="116"/>
    </row>
    <row r="743" spans="2:44" ht="19.5" x14ac:dyDescent="0.4"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22"/>
      <c r="T743" s="122"/>
      <c r="U743" s="122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26"/>
      <c r="AK743" s="15"/>
      <c r="AO743" s="117"/>
      <c r="AP743" s="116"/>
      <c r="AQ743" s="116"/>
      <c r="AR743" s="116"/>
    </row>
    <row r="744" spans="2:44" ht="19.5" x14ac:dyDescent="0.4"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22"/>
      <c r="T744" s="122"/>
      <c r="U744" s="122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7"/>
      <c r="AK744" s="15"/>
      <c r="AO744" s="117"/>
      <c r="AP744" s="116"/>
      <c r="AQ744" s="116"/>
      <c r="AR744" s="116"/>
    </row>
    <row r="745" spans="2:44" ht="19.5" x14ac:dyDescent="0.4"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22"/>
      <c r="T745" s="122"/>
      <c r="U745" s="122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26"/>
      <c r="AK745" s="15"/>
      <c r="AO745" s="117"/>
      <c r="AP745" s="116"/>
      <c r="AQ745" s="116"/>
      <c r="AR745" s="116"/>
    </row>
    <row r="746" spans="2:44" ht="19.5" x14ac:dyDescent="0.4">
      <c r="AJ746" s="26"/>
      <c r="AK746" s="15"/>
      <c r="AO746" s="117"/>
      <c r="AP746" s="116"/>
      <c r="AQ746" s="116"/>
      <c r="AR746" s="116"/>
    </row>
    <row r="747" spans="2:44" ht="19.5" x14ac:dyDescent="0.4">
      <c r="P747" s="115"/>
      <c r="Q747" s="115"/>
      <c r="R747" s="115"/>
      <c r="S747" s="122"/>
      <c r="T747" s="122"/>
      <c r="U747" s="122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7"/>
      <c r="AK747" s="15"/>
      <c r="AO747" s="117"/>
      <c r="AP747" s="116"/>
      <c r="AQ747" s="116"/>
      <c r="AR747" s="116"/>
    </row>
    <row r="748" spans="2:44" ht="19.5" x14ac:dyDescent="0.4">
      <c r="N748" s="115"/>
      <c r="O748" s="115"/>
      <c r="P748" s="115"/>
      <c r="Q748" s="115"/>
      <c r="R748" s="115"/>
      <c r="S748" s="122"/>
      <c r="T748" s="122"/>
      <c r="U748" s="122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26"/>
      <c r="AK748" s="15"/>
      <c r="AO748" s="117"/>
      <c r="AP748" s="116"/>
      <c r="AQ748" s="116"/>
      <c r="AR748" s="116"/>
    </row>
    <row r="749" spans="2:44" ht="19.5" x14ac:dyDescent="0.4">
      <c r="N749" s="115"/>
      <c r="O749" s="115"/>
      <c r="P749" s="115"/>
      <c r="Q749" s="115"/>
      <c r="R749" s="115"/>
      <c r="S749" s="122"/>
      <c r="T749" s="122"/>
      <c r="U749" s="122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7"/>
      <c r="AK749" s="13"/>
      <c r="AO749" s="117"/>
      <c r="AP749" s="116"/>
      <c r="AQ749" s="116"/>
      <c r="AR749" s="116"/>
    </row>
    <row r="750" spans="2:44" ht="19.5" x14ac:dyDescent="0.4">
      <c r="M750" s="115"/>
      <c r="N750" s="115"/>
      <c r="O750" s="115"/>
      <c r="P750" s="115"/>
      <c r="Q750" s="115"/>
      <c r="R750" s="115"/>
      <c r="S750" s="122"/>
      <c r="T750" s="122"/>
      <c r="U750" s="122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26"/>
      <c r="AK750" s="13"/>
      <c r="AO750" s="117"/>
      <c r="AP750" s="116"/>
      <c r="AQ750" s="116"/>
      <c r="AR750" s="116"/>
    </row>
    <row r="751" spans="2:44" ht="19.5" x14ac:dyDescent="0.4">
      <c r="M751" s="115"/>
      <c r="N751" s="115"/>
      <c r="O751" s="115"/>
      <c r="P751" s="115"/>
      <c r="Q751" s="115"/>
      <c r="R751" s="115"/>
      <c r="S751" s="122"/>
      <c r="T751" s="122"/>
      <c r="U751" s="122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7"/>
      <c r="AK751" s="13"/>
      <c r="AO751" s="117"/>
      <c r="AP751" s="116"/>
      <c r="AQ751" s="116"/>
      <c r="AR751" s="116"/>
    </row>
    <row r="752" spans="2:44" ht="19.5" x14ac:dyDescent="0.4"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22"/>
      <c r="T752" s="122"/>
      <c r="U752" s="122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26"/>
      <c r="AK752" s="15"/>
      <c r="AO752" s="117"/>
      <c r="AP752" s="116"/>
      <c r="AQ752" s="116"/>
      <c r="AR752" s="116"/>
    </row>
    <row r="753" spans="1:44" ht="19.5" x14ac:dyDescent="0.4"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22"/>
      <c r="T753" s="122"/>
      <c r="U753" s="122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7"/>
      <c r="AK753" s="15"/>
      <c r="AO753" s="117"/>
      <c r="AP753" s="116"/>
      <c r="AQ753" s="116"/>
      <c r="AR753" s="116"/>
    </row>
    <row r="754" spans="1:44" ht="19.5" x14ac:dyDescent="0.4"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22"/>
      <c r="T754" s="122"/>
      <c r="U754" s="122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26"/>
      <c r="AK754" s="105"/>
      <c r="AO754" s="117"/>
      <c r="AP754" s="116"/>
      <c r="AQ754" s="116"/>
      <c r="AR754" s="116"/>
    </row>
    <row r="755" spans="1:44" ht="19.5" x14ac:dyDescent="0.4"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22"/>
      <c r="T755" s="122"/>
      <c r="U755" s="122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7"/>
      <c r="AK755" s="15"/>
      <c r="AO755" s="117"/>
      <c r="AP755" s="116"/>
      <c r="AQ755" s="116"/>
      <c r="AR755" s="116"/>
    </row>
    <row r="756" spans="1:44" ht="19.5" x14ac:dyDescent="0.4"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22"/>
      <c r="T756" s="122"/>
      <c r="U756" s="122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26"/>
      <c r="AK756" s="15"/>
      <c r="AO756" s="117"/>
      <c r="AP756" s="116"/>
      <c r="AQ756" s="116"/>
      <c r="AR756" s="116"/>
    </row>
    <row r="757" spans="1:44" ht="19.5" x14ac:dyDescent="0.4"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22"/>
      <c r="T757" s="122"/>
      <c r="U757" s="122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26"/>
      <c r="AK757" s="15"/>
      <c r="AO757" s="117"/>
      <c r="AP757" s="116"/>
      <c r="AQ757" s="116"/>
      <c r="AR757" s="116"/>
    </row>
    <row r="758" spans="1:44" ht="19.5" x14ac:dyDescent="0.4">
      <c r="AJ758" s="26"/>
      <c r="AK758" s="15"/>
      <c r="AO758" s="117"/>
      <c r="AP758" s="116"/>
      <c r="AQ758" s="116"/>
      <c r="AR758" s="116"/>
    </row>
    <row r="759" spans="1:44" ht="19.5" x14ac:dyDescent="0.4">
      <c r="O759" s="115"/>
      <c r="P759" s="115"/>
      <c r="Q759" s="115"/>
      <c r="R759" s="115"/>
      <c r="S759" s="122"/>
      <c r="T759" s="122"/>
      <c r="U759" s="122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26"/>
      <c r="AK759" s="15"/>
      <c r="AO759" s="117"/>
      <c r="AP759" s="116"/>
      <c r="AQ759" s="116"/>
      <c r="AR759" s="116"/>
    </row>
    <row r="760" spans="1:44" ht="19.5" x14ac:dyDescent="0.4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22"/>
      <c r="T760" s="122"/>
      <c r="U760" s="122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26"/>
      <c r="AK760" s="15"/>
      <c r="AO760" s="117"/>
      <c r="AP760" s="116"/>
      <c r="AQ760" s="116"/>
      <c r="AR760" s="116"/>
    </row>
    <row r="761" spans="1:44" ht="19.5" x14ac:dyDescent="0.4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22"/>
      <c r="T761" s="122"/>
      <c r="U761" s="122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26"/>
      <c r="AK761" s="15"/>
      <c r="AO761" s="117"/>
      <c r="AP761" s="116"/>
      <c r="AQ761" s="116"/>
      <c r="AR761" s="116"/>
    </row>
    <row r="762" spans="1:44" ht="19.5" x14ac:dyDescent="0.4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22"/>
      <c r="T762" s="122"/>
      <c r="U762" s="122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7"/>
      <c r="AK762" s="15"/>
      <c r="AO762" s="117"/>
      <c r="AP762" s="116"/>
      <c r="AQ762" s="116"/>
      <c r="AR762" s="116"/>
    </row>
    <row r="763" spans="1:44" ht="19.5" x14ac:dyDescent="0.4">
      <c r="AJ763" s="26"/>
      <c r="AK763" s="15"/>
      <c r="AO763" s="117"/>
      <c r="AP763" s="116"/>
      <c r="AQ763" s="116"/>
      <c r="AR763" s="116"/>
    </row>
    <row r="764" spans="1:44" ht="19.5" x14ac:dyDescent="0.4">
      <c r="P764" s="115"/>
      <c r="Q764" s="115"/>
      <c r="R764" s="115"/>
      <c r="S764" s="122"/>
      <c r="T764" s="122"/>
      <c r="U764" s="122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7"/>
      <c r="AK764" s="15"/>
      <c r="AO764" s="117"/>
      <c r="AP764" s="116"/>
      <c r="AQ764" s="116"/>
      <c r="AR764" s="116"/>
    </row>
    <row r="765" spans="1:44" ht="19.5" x14ac:dyDescent="0.4">
      <c r="O765" s="115"/>
      <c r="P765" s="115"/>
      <c r="Q765" s="115"/>
      <c r="R765" s="115"/>
      <c r="S765" s="122"/>
      <c r="T765" s="122"/>
      <c r="U765" s="122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26"/>
      <c r="AK765" s="15"/>
      <c r="AO765" s="117"/>
      <c r="AP765" s="116"/>
      <c r="AQ765" s="116"/>
      <c r="AR765" s="116"/>
    </row>
    <row r="766" spans="1:44" ht="19.5" x14ac:dyDescent="0.4"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22"/>
      <c r="T766" s="122"/>
      <c r="U766" s="122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26"/>
      <c r="AK766" s="15"/>
      <c r="AO766" s="117"/>
      <c r="AP766" s="116"/>
      <c r="AQ766" s="116"/>
      <c r="AR766" s="116"/>
    </row>
    <row r="767" spans="1:44" ht="19.5" x14ac:dyDescent="0.4"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22"/>
      <c r="T767" s="122"/>
      <c r="U767" s="122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26"/>
      <c r="AK767" s="15"/>
      <c r="AO767" s="117"/>
      <c r="AP767" s="116"/>
      <c r="AQ767" s="116"/>
      <c r="AR767" s="116"/>
    </row>
    <row r="768" spans="1:44" ht="19.5" x14ac:dyDescent="0.4"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22"/>
      <c r="T768" s="122"/>
      <c r="U768" s="122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26"/>
      <c r="AK768" s="15"/>
      <c r="AO768" s="117"/>
      <c r="AP768" s="116"/>
      <c r="AQ768" s="116"/>
      <c r="AR768" s="116"/>
    </row>
    <row r="769" spans="1:44" ht="19.5" x14ac:dyDescent="0.4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22"/>
      <c r="T769" s="122"/>
      <c r="U769" s="122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26"/>
      <c r="AK769" s="15"/>
      <c r="AO769" s="117"/>
      <c r="AP769" s="116"/>
      <c r="AQ769" s="116"/>
      <c r="AR769" s="116"/>
    </row>
    <row r="770" spans="1:44" ht="19.5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22"/>
      <c r="T770" s="122"/>
      <c r="U770" s="122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26"/>
      <c r="AK770" s="15"/>
      <c r="AO770" s="117"/>
      <c r="AP770" s="116"/>
      <c r="AQ770" s="116"/>
      <c r="AR770" s="116"/>
    </row>
    <row r="771" spans="1:44" ht="19.5" x14ac:dyDescent="0.4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22"/>
      <c r="T771" s="122"/>
      <c r="U771" s="122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7"/>
      <c r="AK771" s="15"/>
      <c r="AO771" s="117"/>
      <c r="AP771" s="116"/>
      <c r="AQ771" s="116"/>
      <c r="AR771" s="116"/>
    </row>
    <row r="772" spans="1:44" ht="19.5" x14ac:dyDescent="0.4">
      <c r="AJ772" s="26"/>
      <c r="AK772" s="15"/>
      <c r="AO772" s="117"/>
      <c r="AP772" s="116"/>
      <c r="AQ772" s="116"/>
      <c r="AR772" s="116"/>
    </row>
    <row r="773" spans="1:44" ht="19.5" x14ac:dyDescent="0.4">
      <c r="P773" s="115"/>
      <c r="Q773" s="115"/>
      <c r="R773" s="115"/>
      <c r="S773" s="122"/>
      <c r="T773" s="122"/>
      <c r="U773" s="122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7"/>
      <c r="AK773" s="13"/>
      <c r="AO773" s="117"/>
      <c r="AP773" s="116"/>
      <c r="AQ773" s="116"/>
      <c r="AR773" s="116"/>
    </row>
    <row r="774" spans="1:44" ht="19.5" x14ac:dyDescent="0.4">
      <c r="P774" s="115"/>
      <c r="Q774" s="115"/>
      <c r="R774" s="115"/>
      <c r="S774" s="122"/>
      <c r="T774" s="122"/>
      <c r="U774" s="122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7"/>
      <c r="AK774" s="13"/>
      <c r="AO774" s="117"/>
      <c r="AP774" s="116"/>
      <c r="AQ774" s="116"/>
      <c r="AR774" s="116"/>
    </row>
    <row r="775" spans="1:44" ht="19.5" x14ac:dyDescent="0.4">
      <c r="AJ775" s="26"/>
      <c r="AK775" s="13"/>
      <c r="AO775" s="117"/>
      <c r="AP775" s="116"/>
      <c r="AQ775" s="116"/>
      <c r="AR775" s="116"/>
    </row>
    <row r="776" spans="1:44" ht="19.5" x14ac:dyDescent="0.4">
      <c r="AJ776" s="26"/>
      <c r="AK776" s="13"/>
      <c r="AO776" s="116"/>
      <c r="AP776" s="116"/>
      <c r="AQ776" s="116"/>
      <c r="AR776" s="116"/>
    </row>
    <row r="777" spans="1:44" ht="19.5" x14ac:dyDescent="0.4"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22"/>
      <c r="T777" s="122"/>
      <c r="U777" s="122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26"/>
      <c r="AK777" s="13"/>
      <c r="AO777" s="118"/>
      <c r="AP777" s="118"/>
      <c r="AQ777" s="118"/>
      <c r="AR777" s="118"/>
    </row>
    <row r="778" spans="1:44" ht="19.5" x14ac:dyDescent="0.4"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22"/>
      <c r="T778" s="122"/>
      <c r="U778" s="122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26"/>
      <c r="AK778" s="13"/>
      <c r="AO778" s="118"/>
      <c r="AP778" s="118"/>
      <c r="AQ778" s="118"/>
      <c r="AR778" s="118"/>
    </row>
    <row r="779" spans="1:44" ht="19.5" x14ac:dyDescent="0.4"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22"/>
      <c r="T779" s="122"/>
      <c r="U779" s="122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26"/>
      <c r="AK779" s="13"/>
      <c r="AO779" s="118"/>
      <c r="AP779" s="118"/>
      <c r="AQ779" s="118"/>
      <c r="AR779" s="118"/>
    </row>
    <row r="780" spans="1:44" ht="19.5" x14ac:dyDescent="0.4"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22"/>
      <c r="T780" s="122"/>
      <c r="U780" s="122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26"/>
      <c r="AK780" s="15"/>
      <c r="AO780" s="118"/>
      <c r="AP780" s="118"/>
      <c r="AQ780" s="118"/>
      <c r="AR780" s="118"/>
    </row>
    <row r="781" spans="1:44" ht="19.5" x14ac:dyDescent="0.4"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22"/>
      <c r="T781" s="122"/>
      <c r="U781" s="122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26"/>
      <c r="AK781" s="15"/>
      <c r="AO781" s="118"/>
      <c r="AP781" s="118"/>
      <c r="AQ781" s="118"/>
      <c r="AR781" s="118"/>
    </row>
    <row r="782" spans="1:44" ht="19.5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22"/>
      <c r="T782" s="122"/>
      <c r="U782" s="122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26"/>
      <c r="AK782" s="15"/>
      <c r="AO782" s="118"/>
      <c r="AP782" s="118"/>
      <c r="AQ782" s="118"/>
      <c r="AR782" s="118"/>
    </row>
    <row r="783" spans="1:44" ht="19.5" x14ac:dyDescent="0.4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22"/>
      <c r="T783" s="122"/>
      <c r="U783" s="122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26"/>
      <c r="AK783" s="15"/>
      <c r="AO783" s="118"/>
      <c r="AP783" s="118"/>
      <c r="AQ783" s="118"/>
      <c r="AR783" s="118"/>
    </row>
    <row r="784" spans="1:44" ht="20.25" customHeight="1" x14ac:dyDescent="0.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22"/>
      <c r="T784" s="122"/>
      <c r="U784" s="122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26"/>
      <c r="AK784" s="15"/>
      <c r="AO784" s="118"/>
      <c r="AP784" s="118"/>
      <c r="AQ784" s="118"/>
      <c r="AR784" s="118"/>
    </row>
    <row r="785" spans="3:37" x14ac:dyDescent="0.4">
      <c r="AJ785" s="26"/>
      <c r="AK785" s="15"/>
    </row>
    <row r="786" spans="3:37" x14ac:dyDescent="0.4">
      <c r="AJ786" s="26"/>
      <c r="AK786" s="13"/>
    </row>
    <row r="787" spans="3:37" x14ac:dyDescent="0.4">
      <c r="N787" s="115"/>
      <c r="O787" s="115"/>
      <c r="P787" s="115"/>
      <c r="Q787" s="115"/>
      <c r="R787" s="115"/>
      <c r="S787" s="122"/>
      <c r="T787" s="122"/>
      <c r="U787" s="122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26"/>
      <c r="AK787" s="13"/>
    </row>
    <row r="788" spans="3:37" x14ac:dyDescent="0.4">
      <c r="N788" s="115"/>
      <c r="O788" s="115"/>
      <c r="P788" s="115"/>
      <c r="Q788" s="115"/>
      <c r="R788" s="115"/>
      <c r="S788" s="122"/>
      <c r="T788" s="122"/>
      <c r="U788" s="122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7"/>
      <c r="AK788" s="13"/>
    </row>
    <row r="789" spans="3:37" x14ac:dyDescent="0.4"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22"/>
      <c r="T789" s="122"/>
      <c r="U789" s="122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26"/>
      <c r="AK789" s="13"/>
    </row>
    <row r="790" spans="3:37" x14ac:dyDescent="0.4"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22"/>
      <c r="T790" s="122"/>
      <c r="U790" s="122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26"/>
      <c r="AK790" s="13"/>
    </row>
    <row r="791" spans="3:37" x14ac:dyDescent="0.4">
      <c r="AJ791" s="26"/>
      <c r="AK791" s="13"/>
    </row>
    <row r="792" spans="3:37" x14ac:dyDescent="0.4"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22"/>
      <c r="T792" s="122"/>
      <c r="U792" s="122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26"/>
      <c r="AK792" s="13"/>
    </row>
    <row r="793" spans="3:37" x14ac:dyDescent="0.4"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22"/>
      <c r="T793" s="122"/>
      <c r="U793" s="122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26"/>
      <c r="AK793" s="13"/>
    </row>
    <row r="794" spans="3:37" x14ac:dyDescent="0.4">
      <c r="AJ794" s="26"/>
      <c r="AK794" s="13"/>
    </row>
    <row r="795" spans="3:37" x14ac:dyDescent="0.4"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22"/>
      <c r="T795" s="122"/>
      <c r="U795" s="122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26"/>
      <c r="AK795" s="13"/>
    </row>
    <row r="796" spans="3:37" x14ac:dyDescent="0.4">
      <c r="AJ796" s="26"/>
      <c r="AK796" s="13"/>
    </row>
    <row r="797" spans="3:37" x14ac:dyDescent="0.4">
      <c r="M797" s="115"/>
      <c r="N797" s="115"/>
      <c r="O797" s="115"/>
      <c r="P797" s="115"/>
      <c r="Q797" s="115"/>
      <c r="R797" s="115"/>
      <c r="S797" s="122"/>
      <c r="T797" s="122"/>
      <c r="U797" s="122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26"/>
      <c r="AK797" s="13"/>
    </row>
    <row r="798" spans="3:37" x14ac:dyDescent="0.4">
      <c r="AJ798" s="26"/>
      <c r="AK798" s="13"/>
    </row>
    <row r="799" spans="3:37" x14ac:dyDescent="0.4"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22"/>
      <c r="T799" s="122"/>
      <c r="U799" s="122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26"/>
      <c r="AK799" s="15"/>
    </row>
    <row r="800" spans="3:37" x14ac:dyDescent="0.4"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22"/>
      <c r="T800" s="122"/>
      <c r="U800" s="122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26"/>
      <c r="AK800" s="15"/>
    </row>
    <row r="801" spans="1:37" x14ac:dyDescent="0.4"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22"/>
      <c r="T801" s="122"/>
      <c r="U801" s="122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26"/>
      <c r="AK801" s="15"/>
    </row>
    <row r="802" spans="1:37" x14ac:dyDescent="0.4">
      <c r="AJ802" s="26"/>
      <c r="AK802" s="13"/>
    </row>
    <row r="803" spans="1:37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22"/>
      <c r="T803" s="122"/>
      <c r="U803" s="122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26"/>
      <c r="AK803" s="15"/>
    </row>
    <row r="804" spans="1:37" x14ac:dyDescent="0.4">
      <c r="AJ804" s="26"/>
      <c r="AK804" s="15"/>
    </row>
    <row r="805" spans="1:37" x14ac:dyDescent="0.4">
      <c r="AJ805" s="26"/>
      <c r="AK805" s="15"/>
    </row>
    <row r="806" spans="1:37" x14ac:dyDescent="0.4"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22"/>
      <c r="T806" s="122"/>
      <c r="U806" s="122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26"/>
      <c r="AK806" s="15"/>
    </row>
    <row r="807" spans="1:37" x14ac:dyDescent="0.4"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22"/>
      <c r="T807" s="122"/>
      <c r="U807" s="122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26"/>
      <c r="AK807" s="15"/>
    </row>
    <row r="808" spans="1:37" x14ac:dyDescent="0.4">
      <c r="AJ808" s="26"/>
      <c r="AK808" s="15"/>
    </row>
    <row r="809" spans="1:37" x14ac:dyDescent="0.4">
      <c r="L809" s="115"/>
      <c r="M809" s="115"/>
      <c r="N809" s="115"/>
      <c r="O809" s="115"/>
      <c r="P809" s="115"/>
      <c r="Q809" s="115"/>
      <c r="R809" s="115"/>
      <c r="S809" s="122"/>
      <c r="T809" s="122"/>
      <c r="U809" s="122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26"/>
      <c r="AK809" s="15"/>
    </row>
    <row r="810" spans="1:37" x14ac:dyDescent="0.4"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22"/>
      <c r="T810" s="122"/>
      <c r="U810" s="122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26"/>
      <c r="AK810" s="15"/>
    </row>
    <row r="811" spans="1:37" x14ac:dyDescent="0.4"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22"/>
      <c r="T811" s="122"/>
      <c r="U811" s="122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26"/>
      <c r="AK811" s="15"/>
    </row>
    <row r="812" spans="1:37" x14ac:dyDescent="0.4"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22"/>
      <c r="T812" s="122"/>
      <c r="U812" s="122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26"/>
      <c r="AK812" s="15"/>
    </row>
    <row r="813" spans="1:37" x14ac:dyDescent="0.4"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22"/>
      <c r="T813" s="122"/>
      <c r="U813" s="122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26"/>
      <c r="AK813" s="15"/>
    </row>
    <row r="814" spans="1:37" x14ac:dyDescent="0.4">
      <c r="AJ814" s="26"/>
      <c r="AK814" s="15"/>
    </row>
    <row r="815" spans="1:37" x14ac:dyDescent="0.4">
      <c r="O815" s="115"/>
      <c r="P815" s="115"/>
      <c r="Q815" s="115"/>
      <c r="R815" s="115"/>
      <c r="S815" s="122"/>
      <c r="T815" s="122"/>
      <c r="U815" s="122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7"/>
      <c r="AK815" s="15"/>
    </row>
    <row r="816" spans="1:37" x14ac:dyDescent="0.4">
      <c r="AJ816" s="26"/>
      <c r="AK816" s="15"/>
    </row>
    <row r="817" spans="1:37" x14ac:dyDescent="0.4">
      <c r="M817" s="115"/>
      <c r="N817" s="115"/>
      <c r="O817" s="115"/>
      <c r="P817" s="115"/>
      <c r="Q817" s="115"/>
      <c r="R817" s="115"/>
      <c r="S817" s="122"/>
      <c r="T817" s="122"/>
      <c r="U817" s="122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26"/>
      <c r="AK817" s="15"/>
    </row>
    <row r="818" spans="1:37" x14ac:dyDescent="0.4">
      <c r="AJ818" s="26"/>
      <c r="AK818" s="15"/>
    </row>
    <row r="819" spans="1:37" x14ac:dyDescent="0.4">
      <c r="AJ819" s="26"/>
      <c r="AK819" s="15"/>
    </row>
    <row r="820" spans="1:37" x14ac:dyDescent="0.4"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22"/>
      <c r="T820" s="122"/>
      <c r="U820" s="122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26"/>
      <c r="AK820" s="15"/>
    </row>
    <row r="821" spans="1:37" x14ac:dyDescent="0.4"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22"/>
      <c r="T821" s="122"/>
      <c r="U821" s="122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26"/>
      <c r="AK821" s="15"/>
    </row>
    <row r="822" spans="1:37" x14ac:dyDescent="0.4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22"/>
      <c r="T822" s="122"/>
      <c r="U822" s="122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26"/>
      <c r="AK822" s="15"/>
    </row>
    <row r="823" spans="1:37" x14ac:dyDescent="0.4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22"/>
      <c r="T823" s="122"/>
      <c r="U823" s="122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26"/>
      <c r="AK823" s="15"/>
    </row>
    <row r="824" spans="1:37" x14ac:dyDescent="0.4">
      <c r="AJ824" s="26"/>
      <c r="AK824" s="15"/>
    </row>
    <row r="825" spans="1:37" x14ac:dyDescent="0.4">
      <c r="O825" s="115"/>
      <c r="P825" s="115"/>
      <c r="Q825" s="115"/>
      <c r="R825" s="115"/>
      <c r="S825" s="122"/>
      <c r="T825" s="122"/>
      <c r="U825" s="122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7"/>
      <c r="AK825" s="15"/>
    </row>
    <row r="826" spans="1:37" x14ac:dyDescent="0.4">
      <c r="AJ826" s="26"/>
      <c r="AK826" s="15"/>
    </row>
    <row r="827" spans="1:37" x14ac:dyDescent="0.4"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22"/>
      <c r="T827" s="122"/>
      <c r="U827" s="122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26"/>
      <c r="AK827" s="15"/>
    </row>
    <row r="828" spans="1:37" x14ac:dyDescent="0.4"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22"/>
      <c r="T828" s="122"/>
      <c r="U828" s="122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26"/>
      <c r="AK828" s="15"/>
    </row>
    <row r="829" spans="1:37" x14ac:dyDescent="0.4"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22"/>
      <c r="T829" s="122"/>
      <c r="U829" s="122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7"/>
      <c r="AK829" s="15"/>
    </row>
    <row r="830" spans="1:37" x14ac:dyDescent="0.4">
      <c r="AJ830" s="26"/>
      <c r="AK830" s="15"/>
    </row>
    <row r="831" spans="1:37" x14ac:dyDescent="0.4"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22"/>
      <c r="T831" s="122"/>
      <c r="U831" s="122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26"/>
      <c r="AK831" s="15"/>
    </row>
    <row r="832" spans="1:37" x14ac:dyDescent="0.4"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22"/>
      <c r="T832" s="122"/>
      <c r="U832" s="122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7"/>
      <c r="AK832" s="15"/>
    </row>
    <row r="833" spans="3:37" x14ac:dyDescent="0.4">
      <c r="AJ833" s="26"/>
      <c r="AK833" s="15"/>
    </row>
    <row r="834" spans="3:37" x14ac:dyDescent="0.4">
      <c r="O834" s="115"/>
      <c r="P834" s="115"/>
      <c r="Q834" s="115"/>
      <c r="R834" s="115"/>
      <c r="S834" s="122"/>
      <c r="T834" s="122"/>
      <c r="U834" s="122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7"/>
      <c r="AK834" s="15"/>
    </row>
    <row r="835" spans="3:37" x14ac:dyDescent="0.4"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22"/>
      <c r="T835" s="122"/>
      <c r="U835" s="122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26"/>
      <c r="AK835" s="15"/>
    </row>
    <row r="836" spans="3:37" x14ac:dyDescent="0.4"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22"/>
      <c r="T836" s="122"/>
      <c r="U836" s="122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7"/>
      <c r="AK836" s="15"/>
    </row>
    <row r="837" spans="3:37" x14ac:dyDescent="0.4">
      <c r="AJ837" s="26"/>
      <c r="AK837" s="15"/>
    </row>
    <row r="838" spans="3:37" x14ac:dyDescent="0.4">
      <c r="AJ838" s="26"/>
      <c r="AK838" s="15"/>
    </row>
    <row r="839" spans="3:37" x14ac:dyDescent="0.4">
      <c r="N839" s="115"/>
      <c r="O839" s="115"/>
      <c r="P839" s="115"/>
      <c r="Q839" s="115"/>
      <c r="R839" s="115"/>
      <c r="S839" s="122"/>
      <c r="T839" s="122"/>
      <c r="U839" s="122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26"/>
      <c r="AK839" s="15"/>
    </row>
    <row r="840" spans="3:37" x14ac:dyDescent="0.4">
      <c r="L840" s="115"/>
      <c r="M840" s="115"/>
      <c r="N840" s="115"/>
      <c r="O840" s="115"/>
      <c r="P840" s="115"/>
      <c r="Q840" s="115"/>
      <c r="R840" s="115"/>
      <c r="S840" s="122"/>
      <c r="T840" s="122"/>
      <c r="U840" s="122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26"/>
      <c r="AK840" s="15"/>
    </row>
    <row r="841" spans="3:37" x14ac:dyDescent="0.4">
      <c r="L841" s="115"/>
      <c r="M841" s="115"/>
      <c r="N841" s="115"/>
      <c r="O841" s="115"/>
      <c r="P841" s="115"/>
      <c r="Q841" s="115"/>
      <c r="R841" s="115"/>
      <c r="S841" s="122"/>
      <c r="T841" s="122"/>
      <c r="U841" s="122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26"/>
      <c r="AK841" s="15"/>
    </row>
    <row r="842" spans="3:37" x14ac:dyDescent="0.4"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22"/>
      <c r="T842" s="122"/>
      <c r="U842" s="122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26"/>
      <c r="AK842" s="15"/>
    </row>
    <row r="843" spans="3:37" x14ac:dyDescent="0.4"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22"/>
      <c r="T843" s="122"/>
      <c r="U843" s="122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26"/>
      <c r="AK843" s="15"/>
    </row>
    <row r="844" spans="3:37" x14ac:dyDescent="0.4">
      <c r="AJ844" s="26"/>
      <c r="AK844" s="15"/>
    </row>
    <row r="845" spans="3:37" x14ac:dyDescent="0.4">
      <c r="N845" s="115"/>
      <c r="O845" s="115"/>
      <c r="P845" s="115"/>
      <c r="Q845" s="115"/>
      <c r="R845" s="115"/>
      <c r="S845" s="122"/>
      <c r="T845" s="122"/>
      <c r="U845" s="122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26"/>
      <c r="AK845" s="15"/>
    </row>
    <row r="846" spans="3:37" x14ac:dyDescent="0.4">
      <c r="AJ846" s="26"/>
      <c r="AK846" s="15"/>
    </row>
    <row r="847" spans="3:37" x14ac:dyDescent="0.4">
      <c r="O847" s="115"/>
      <c r="P847" s="115"/>
      <c r="Q847" s="115"/>
      <c r="R847" s="115"/>
      <c r="S847" s="122"/>
      <c r="T847" s="122"/>
      <c r="U847" s="122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7"/>
      <c r="AK847" s="15"/>
    </row>
    <row r="848" spans="3:37" x14ac:dyDescent="0.4">
      <c r="N848" s="115"/>
      <c r="O848" s="115"/>
      <c r="P848" s="115"/>
      <c r="Q848" s="115"/>
      <c r="R848" s="115"/>
      <c r="S848" s="122"/>
      <c r="T848" s="122"/>
      <c r="U848" s="122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26"/>
      <c r="AK848" s="15"/>
    </row>
    <row r="849" spans="3:37" x14ac:dyDescent="0.4"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22"/>
      <c r="T849" s="122"/>
      <c r="U849" s="122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26"/>
      <c r="AK849" s="15"/>
    </row>
    <row r="850" spans="3:37" x14ac:dyDescent="0.4"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22"/>
      <c r="T850" s="122"/>
      <c r="U850" s="122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7"/>
      <c r="AK850" s="15"/>
    </row>
    <row r="851" spans="3:37" x14ac:dyDescent="0.4">
      <c r="AJ851" s="26"/>
      <c r="AK851" s="15"/>
    </row>
    <row r="852" spans="3:37" x14ac:dyDescent="0.4">
      <c r="O852" s="115"/>
      <c r="P852" s="115"/>
      <c r="Q852" s="115"/>
      <c r="R852" s="115"/>
      <c r="S852" s="122"/>
      <c r="T852" s="122"/>
      <c r="U852" s="122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7"/>
      <c r="AK852" s="15"/>
    </row>
    <row r="853" spans="3:37" x14ac:dyDescent="0.4">
      <c r="N853" s="115"/>
      <c r="O853" s="115"/>
      <c r="P853" s="115"/>
      <c r="Q853" s="115"/>
      <c r="R853" s="115"/>
      <c r="S853" s="122"/>
      <c r="T853" s="122"/>
      <c r="U853" s="122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26"/>
      <c r="AK853" s="15"/>
    </row>
    <row r="854" spans="3:37" x14ac:dyDescent="0.4">
      <c r="N854" s="115"/>
      <c r="O854" s="115"/>
      <c r="P854" s="115"/>
      <c r="Q854" s="115"/>
      <c r="R854" s="115"/>
      <c r="S854" s="122"/>
      <c r="T854" s="122"/>
      <c r="U854" s="122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7"/>
      <c r="AK854" s="15"/>
    </row>
    <row r="855" spans="3:37" x14ac:dyDescent="0.4">
      <c r="N855" s="115"/>
      <c r="O855" s="115"/>
      <c r="P855" s="115"/>
      <c r="Q855" s="115"/>
      <c r="R855" s="115"/>
      <c r="S855" s="122"/>
      <c r="T855" s="122"/>
      <c r="U855" s="122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7"/>
      <c r="AK855" s="15"/>
    </row>
    <row r="856" spans="3:37" x14ac:dyDescent="0.4"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22"/>
      <c r="T856" s="122"/>
      <c r="U856" s="122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26"/>
      <c r="AK856" s="15"/>
    </row>
    <row r="857" spans="3:37" x14ac:dyDescent="0.4"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22"/>
      <c r="T857" s="122"/>
      <c r="U857" s="122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26"/>
      <c r="AK857" s="15"/>
    </row>
    <row r="858" spans="3:37" x14ac:dyDescent="0.4"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22"/>
      <c r="T858" s="122"/>
      <c r="U858" s="122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26"/>
      <c r="AK858" s="15"/>
    </row>
    <row r="859" spans="3:37" x14ac:dyDescent="0.4"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22"/>
      <c r="T859" s="122"/>
      <c r="U859" s="122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26"/>
      <c r="AK859" s="15"/>
    </row>
    <row r="860" spans="3:37" x14ac:dyDescent="0.4"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22"/>
      <c r="T860" s="122"/>
      <c r="U860" s="122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26"/>
      <c r="AK860" s="15"/>
    </row>
    <row r="861" spans="3:37" x14ac:dyDescent="0.4"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22"/>
      <c r="T861" s="122"/>
      <c r="U861" s="122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7"/>
      <c r="AK861" s="15"/>
    </row>
    <row r="862" spans="3:37" x14ac:dyDescent="0.4">
      <c r="AJ862" s="26"/>
      <c r="AK862" s="15"/>
    </row>
    <row r="863" spans="3:37" x14ac:dyDescent="0.4">
      <c r="N863" s="115"/>
      <c r="O863" s="115"/>
      <c r="P863" s="115"/>
      <c r="Q863" s="115"/>
      <c r="R863" s="115"/>
      <c r="S863" s="122"/>
      <c r="T863" s="122"/>
      <c r="U863" s="122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7"/>
      <c r="AK863" s="13"/>
    </row>
    <row r="864" spans="3:37" x14ac:dyDescent="0.4">
      <c r="N864" s="115"/>
      <c r="O864" s="115"/>
      <c r="P864" s="115"/>
      <c r="Q864" s="115"/>
      <c r="R864" s="115"/>
      <c r="S864" s="122"/>
      <c r="T864" s="122"/>
      <c r="U864" s="122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7"/>
      <c r="AK864" s="13"/>
    </row>
    <row r="865" spans="3:37" x14ac:dyDescent="0.4">
      <c r="L865" s="115"/>
      <c r="M865" s="115"/>
      <c r="N865" s="115"/>
      <c r="O865" s="115"/>
      <c r="P865" s="115"/>
      <c r="Q865" s="115"/>
      <c r="R865" s="115"/>
      <c r="S865" s="122"/>
      <c r="T865" s="122"/>
      <c r="U865" s="122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26"/>
      <c r="AK865" s="13"/>
    </row>
    <row r="866" spans="3:37" x14ac:dyDescent="0.4">
      <c r="L866" s="115"/>
      <c r="M866" s="115"/>
      <c r="N866" s="115"/>
      <c r="O866" s="115"/>
      <c r="P866" s="115"/>
      <c r="Q866" s="115"/>
      <c r="R866" s="115"/>
      <c r="S866" s="122"/>
      <c r="T866" s="122"/>
      <c r="U866" s="122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7"/>
      <c r="AK866" s="13"/>
    </row>
    <row r="867" spans="3:37" x14ac:dyDescent="0.4">
      <c r="AJ867" s="26"/>
      <c r="AK867" s="13"/>
    </row>
    <row r="868" spans="3:37" x14ac:dyDescent="0.4">
      <c r="M868" s="115"/>
      <c r="N868" s="115"/>
      <c r="O868" s="115"/>
      <c r="P868" s="115"/>
      <c r="Q868" s="115"/>
      <c r="R868" s="115"/>
      <c r="S868" s="122"/>
      <c r="T868" s="122"/>
      <c r="U868" s="122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7"/>
      <c r="AK868" s="13"/>
    </row>
    <row r="869" spans="3:37" x14ac:dyDescent="0.4">
      <c r="AJ869" s="26"/>
      <c r="AK869" s="13"/>
    </row>
    <row r="870" spans="3:37" x14ac:dyDescent="0.4">
      <c r="AJ870" s="26"/>
      <c r="AK870" s="13"/>
    </row>
    <row r="871" spans="3:37" x14ac:dyDescent="0.4"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22"/>
      <c r="T871" s="122"/>
      <c r="U871" s="122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26"/>
      <c r="AK871" s="13"/>
    </row>
    <row r="872" spans="3:37" x14ac:dyDescent="0.4"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22"/>
      <c r="T872" s="122"/>
      <c r="U872" s="122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26"/>
      <c r="AK872" s="13"/>
    </row>
    <row r="873" spans="3:37" x14ac:dyDescent="0.4">
      <c r="AJ873" s="26"/>
      <c r="AK873" s="13"/>
    </row>
    <row r="874" spans="3:37" x14ac:dyDescent="0.4">
      <c r="AJ874" s="26"/>
      <c r="AK874" s="13"/>
    </row>
    <row r="875" spans="3:37" x14ac:dyDescent="0.4"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22"/>
      <c r="T875" s="122"/>
      <c r="U875" s="122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26"/>
      <c r="AK875" s="13"/>
    </row>
    <row r="876" spans="3:37" x14ac:dyDescent="0.4">
      <c r="AJ876" s="26"/>
      <c r="AK876" s="105"/>
    </row>
    <row r="877" spans="3:37" x14ac:dyDescent="0.4"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22"/>
      <c r="T877" s="122"/>
      <c r="U877" s="122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26"/>
      <c r="AK877" s="15"/>
    </row>
    <row r="878" spans="3:37" x14ac:dyDescent="0.4"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22"/>
      <c r="T878" s="122"/>
      <c r="U878" s="122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7"/>
      <c r="AK878" s="15"/>
    </row>
    <row r="879" spans="3:37" x14ac:dyDescent="0.4">
      <c r="AJ879" s="26"/>
      <c r="AK879" s="15"/>
    </row>
    <row r="880" spans="3:37" x14ac:dyDescent="0.4"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22"/>
      <c r="T880" s="122"/>
      <c r="U880" s="122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26"/>
      <c r="AK880" s="15"/>
    </row>
    <row r="881" spans="2:37" x14ac:dyDescent="0.4"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22"/>
      <c r="T881" s="122"/>
      <c r="U881" s="122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26"/>
      <c r="AK881" s="15"/>
    </row>
    <row r="882" spans="2:37" x14ac:dyDescent="0.4"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22"/>
      <c r="T882" s="122"/>
      <c r="U882" s="122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26"/>
      <c r="AK882" s="13"/>
    </row>
    <row r="883" spans="2:37" x14ac:dyDescent="0.4">
      <c r="AJ883" s="26"/>
      <c r="AK883" s="15"/>
    </row>
    <row r="884" spans="2:37" x14ac:dyDescent="0.4"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22"/>
      <c r="T884" s="122"/>
      <c r="U884" s="122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26"/>
      <c r="AK884" s="15"/>
    </row>
    <row r="885" spans="2:37" x14ac:dyDescent="0.4"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22"/>
      <c r="T885" s="122"/>
      <c r="U885" s="122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26"/>
      <c r="AK885" s="15"/>
    </row>
    <row r="886" spans="2:37" x14ac:dyDescent="0.4"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22"/>
      <c r="T886" s="122"/>
      <c r="U886" s="122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26"/>
      <c r="AK886" s="15"/>
    </row>
    <row r="887" spans="2:37" x14ac:dyDescent="0.4"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22"/>
      <c r="T887" s="122"/>
      <c r="U887" s="122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26"/>
      <c r="AK887" s="15"/>
    </row>
    <row r="888" spans="2:37" x14ac:dyDescent="0.4"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22"/>
      <c r="T888" s="122"/>
      <c r="U888" s="122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26"/>
      <c r="AK888" s="15"/>
    </row>
    <row r="889" spans="2:37" x14ac:dyDescent="0.4"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22"/>
      <c r="T889" s="122"/>
      <c r="U889" s="122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26"/>
      <c r="AK889" s="15"/>
    </row>
    <row r="890" spans="2:37" ht="19.5" customHeight="1" x14ac:dyDescent="0.4"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22"/>
      <c r="T890" s="122"/>
      <c r="U890" s="122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26"/>
      <c r="AK890" s="15"/>
    </row>
    <row r="891" spans="2:37" ht="19.5" customHeight="1" x14ac:dyDescent="0.4"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22"/>
      <c r="T891" s="122"/>
      <c r="U891" s="122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26"/>
      <c r="AK891" s="15"/>
    </row>
    <row r="892" spans="2:37" x14ac:dyDescent="0.4">
      <c r="AJ892" s="26"/>
      <c r="AK892" s="15"/>
    </row>
    <row r="893" spans="2:37" x14ac:dyDescent="0.4"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22"/>
      <c r="T893" s="122"/>
      <c r="U893" s="122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26"/>
      <c r="AK893" s="15"/>
    </row>
    <row r="894" spans="2:37" x14ac:dyDescent="0.4"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22"/>
      <c r="T894" s="122"/>
      <c r="U894" s="122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26"/>
      <c r="AK894" s="15"/>
    </row>
    <row r="895" spans="2:37" x14ac:dyDescent="0.4"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22"/>
      <c r="T895" s="122"/>
      <c r="U895" s="122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7"/>
      <c r="AK895" s="15"/>
    </row>
    <row r="896" spans="2:37" x14ac:dyDescent="0.4">
      <c r="AJ896" s="26"/>
      <c r="AK896" s="15"/>
    </row>
    <row r="897" spans="1:37" x14ac:dyDescent="0.4">
      <c r="M897" s="115"/>
      <c r="N897" s="115"/>
      <c r="O897" s="115"/>
      <c r="P897" s="115"/>
      <c r="Q897" s="115"/>
      <c r="R897" s="115"/>
      <c r="S897" s="122"/>
      <c r="T897" s="122"/>
      <c r="U897" s="122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7"/>
      <c r="AK897" s="15"/>
    </row>
    <row r="898" spans="1:37" x14ac:dyDescent="0.4"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22"/>
      <c r="T898" s="122"/>
      <c r="U898" s="122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26"/>
      <c r="AK898" s="15"/>
    </row>
    <row r="899" spans="1:37" x14ac:dyDescent="0.4">
      <c r="AJ899" s="26"/>
      <c r="AK899" s="15"/>
    </row>
    <row r="900" spans="1:37" x14ac:dyDescent="0.4">
      <c r="AJ900" s="26"/>
      <c r="AK900" s="15"/>
    </row>
    <row r="901" spans="1:37" x14ac:dyDescent="0.4">
      <c r="L901" s="115"/>
      <c r="M901" s="115"/>
      <c r="N901" s="115"/>
      <c r="O901" s="115"/>
      <c r="P901" s="115"/>
      <c r="Q901" s="115"/>
      <c r="R901" s="115"/>
      <c r="S901" s="122"/>
      <c r="T901" s="122"/>
      <c r="U901" s="122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26"/>
      <c r="AK901" s="15"/>
    </row>
    <row r="902" spans="1:37" x14ac:dyDescent="0.4">
      <c r="AJ902" s="26"/>
      <c r="AK902" s="15"/>
    </row>
    <row r="903" spans="1:37" x14ac:dyDescent="0.4">
      <c r="M903" s="115"/>
      <c r="N903" s="115"/>
      <c r="O903" s="115"/>
      <c r="P903" s="115"/>
      <c r="Q903" s="115"/>
      <c r="R903" s="115"/>
      <c r="S903" s="122"/>
      <c r="T903" s="122"/>
      <c r="U903" s="122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7"/>
      <c r="AK903" s="15"/>
    </row>
    <row r="904" spans="1:37" x14ac:dyDescent="0.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22"/>
      <c r="T904" s="122"/>
      <c r="U904" s="122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26"/>
      <c r="AK904" s="15"/>
    </row>
    <row r="905" spans="1:37" x14ac:dyDescent="0.4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22"/>
      <c r="T905" s="122"/>
      <c r="U905" s="122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7"/>
      <c r="AK905" s="13"/>
    </row>
    <row r="906" spans="1:37" x14ac:dyDescent="0.4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22"/>
      <c r="T906" s="122"/>
      <c r="U906" s="122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7"/>
      <c r="AK906" s="13"/>
    </row>
    <row r="907" spans="1:37" x14ac:dyDescent="0.4">
      <c r="AJ907" s="26"/>
      <c r="AK907" s="13"/>
    </row>
    <row r="908" spans="1:37" x14ac:dyDescent="0.4"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22"/>
      <c r="T908" s="122"/>
      <c r="U908" s="122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26"/>
      <c r="AK908" s="15"/>
    </row>
    <row r="909" spans="1:37" x14ac:dyDescent="0.4"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22"/>
      <c r="T909" s="122"/>
      <c r="U909" s="122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26"/>
      <c r="AK909" s="15"/>
    </row>
    <row r="910" spans="1:37" x14ac:dyDescent="0.4">
      <c r="AJ910" s="26"/>
      <c r="AK910" s="15"/>
    </row>
    <row r="911" spans="1:37" x14ac:dyDescent="0.4"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22"/>
      <c r="T911" s="122"/>
      <c r="U911" s="122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26"/>
      <c r="AK911" s="15"/>
    </row>
    <row r="912" spans="1:37" x14ac:dyDescent="0.4"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22"/>
      <c r="T912" s="122"/>
      <c r="U912" s="122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26"/>
      <c r="AK912" s="15"/>
    </row>
    <row r="913" spans="1:37" x14ac:dyDescent="0.4"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22"/>
      <c r="T913" s="122"/>
      <c r="U913" s="122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26"/>
      <c r="AK913" s="15"/>
    </row>
    <row r="914" spans="1:37" x14ac:dyDescent="0.4"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22"/>
      <c r="T914" s="122"/>
      <c r="U914" s="122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26"/>
      <c r="AK914" s="15"/>
    </row>
    <row r="915" spans="1:37" x14ac:dyDescent="0.4">
      <c r="AJ915" s="26"/>
      <c r="AK915" s="15"/>
    </row>
    <row r="916" spans="1:37" x14ac:dyDescent="0.4"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22"/>
      <c r="T916" s="122"/>
      <c r="U916" s="122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26"/>
      <c r="AK916" s="15"/>
    </row>
    <row r="917" spans="1:37" x14ac:dyDescent="0.4">
      <c r="AJ917" s="26"/>
      <c r="AK917" s="15"/>
    </row>
    <row r="918" spans="1:37" x14ac:dyDescent="0.4"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22"/>
      <c r="T918" s="122"/>
      <c r="U918" s="122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26"/>
      <c r="AK918" s="15"/>
    </row>
    <row r="919" spans="1:37" x14ac:dyDescent="0.4"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22"/>
      <c r="T919" s="122"/>
      <c r="U919" s="122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26"/>
      <c r="AK919" s="15"/>
    </row>
    <row r="920" spans="1:37" x14ac:dyDescent="0.4"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22"/>
      <c r="T920" s="122"/>
      <c r="U920" s="122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7"/>
      <c r="AK920" s="15"/>
    </row>
    <row r="921" spans="1:37" x14ac:dyDescent="0.4">
      <c r="AJ921" s="26"/>
      <c r="AK921" s="15"/>
    </row>
    <row r="922" spans="1:37" x14ac:dyDescent="0.4">
      <c r="AJ922" s="26"/>
      <c r="AK922" s="15"/>
    </row>
    <row r="923" spans="1:37" x14ac:dyDescent="0.4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22"/>
      <c r="T923" s="122"/>
      <c r="U923" s="122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26"/>
      <c r="AK923" s="15"/>
    </row>
    <row r="924" spans="1:37" x14ac:dyDescent="0.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22"/>
      <c r="T924" s="122"/>
      <c r="U924" s="122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7"/>
      <c r="AK924" s="15"/>
    </row>
    <row r="925" spans="1:37" x14ac:dyDescent="0.4">
      <c r="AJ925" s="26"/>
      <c r="AK925" s="15"/>
    </row>
    <row r="926" spans="1:37" ht="17.25" customHeight="1" x14ac:dyDescent="0.4"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22"/>
      <c r="T926" s="122"/>
      <c r="U926" s="122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26"/>
      <c r="AK926" s="15"/>
    </row>
    <row r="927" spans="1:37" x14ac:dyDescent="0.4">
      <c r="AJ927" s="26"/>
      <c r="AK927" s="15"/>
    </row>
    <row r="928" spans="1:37" x14ac:dyDescent="0.4">
      <c r="L928" s="115"/>
      <c r="M928" s="115"/>
      <c r="N928" s="115"/>
      <c r="O928" s="115"/>
      <c r="P928" s="115"/>
      <c r="Q928" s="115"/>
      <c r="R928" s="115"/>
      <c r="S928" s="122"/>
      <c r="T928" s="122"/>
      <c r="U928" s="122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7"/>
      <c r="AK928" s="15"/>
    </row>
    <row r="929" spans="1:37" ht="16.5" customHeight="1" x14ac:dyDescent="0.4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22"/>
      <c r="T929" s="122"/>
      <c r="U929" s="122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26"/>
      <c r="AK929" s="15"/>
    </row>
    <row r="930" spans="1:37" ht="22.5" customHeight="1" x14ac:dyDescent="0.4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22"/>
      <c r="T930" s="122"/>
      <c r="U930" s="122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26"/>
      <c r="AK930" s="15"/>
    </row>
    <row r="931" spans="1:37" x14ac:dyDescent="0.4">
      <c r="AJ931" s="26"/>
      <c r="AK931" s="15"/>
    </row>
    <row r="932" spans="1:37" x14ac:dyDescent="0.4">
      <c r="AJ932" s="26"/>
      <c r="AK932" s="105"/>
    </row>
    <row r="933" spans="1:37" x14ac:dyDescent="0.4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22"/>
      <c r="T933" s="122"/>
      <c r="U933" s="122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26"/>
      <c r="AK933" s="15"/>
    </row>
    <row r="934" spans="1:37" x14ac:dyDescent="0.4">
      <c r="AJ934" s="26"/>
      <c r="AK934" s="15"/>
    </row>
    <row r="935" spans="1:37" x14ac:dyDescent="0.4">
      <c r="AJ935" s="26"/>
      <c r="AK935" s="15"/>
    </row>
    <row r="936" spans="1:37" x14ac:dyDescent="0.4">
      <c r="AJ936" s="26"/>
      <c r="AK936" s="15"/>
    </row>
    <row r="937" spans="1:37" x14ac:dyDescent="0.4">
      <c r="AJ937" s="26"/>
      <c r="AK937" s="15"/>
    </row>
    <row r="938" spans="1:37" x14ac:dyDescent="0.4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22"/>
      <c r="T938" s="122"/>
      <c r="U938" s="122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26"/>
      <c r="AK938" s="15"/>
    </row>
    <row r="939" spans="1:37" x14ac:dyDescent="0.4">
      <c r="AJ939" s="26"/>
      <c r="AK939" s="15"/>
    </row>
    <row r="940" spans="1:37" x14ac:dyDescent="0.4">
      <c r="AJ940" s="26"/>
      <c r="AK940" s="15"/>
    </row>
    <row r="941" spans="1:37" x14ac:dyDescent="0.4">
      <c r="AJ941" s="26"/>
      <c r="AK941" s="15"/>
    </row>
    <row r="942" spans="1:37" x14ac:dyDescent="0.4">
      <c r="AJ942" s="26"/>
      <c r="AK942" s="15"/>
    </row>
    <row r="943" spans="1:37" ht="18.75" customHeight="1" x14ac:dyDescent="0.4"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22"/>
      <c r="T943" s="122"/>
      <c r="U943" s="122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26"/>
      <c r="AK943" s="15"/>
    </row>
    <row r="944" spans="1:37" x14ac:dyDescent="0.4">
      <c r="AJ944" s="26"/>
      <c r="AK944" s="15"/>
    </row>
    <row r="945" spans="1:37" x14ac:dyDescent="0.4">
      <c r="AJ945" s="26"/>
      <c r="AK945" s="15"/>
    </row>
    <row r="946" spans="1:37" x14ac:dyDescent="0.4"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22"/>
      <c r="T946" s="122"/>
      <c r="U946" s="122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26"/>
      <c r="AK946" s="15"/>
    </row>
    <row r="947" spans="1:37" x14ac:dyDescent="0.4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22"/>
      <c r="T947" s="122"/>
      <c r="U947" s="122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26"/>
      <c r="AK947" s="15"/>
    </row>
    <row r="948" spans="1:37" x14ac:dyDescent="0.4">
      <c r="AJ948" s="26"/>
      <c r="AK948" s="15"/>
    </row>
    <row r="949" spans="1:37" x14ac:dyDescent="0.4">
      <c r="L949" s="115"/>
      <c r="M949" s="115"/>
      <c r="N949" s="115"/>
      <c r="O949" s="115"/>
      <c r="P949" s="115"/>
      <c r="Q949" s="115"/>
      <c r="R949" s="115"/>
      <c r="S949" s="122"/>
      <c r="T949" s="122"/>
      <c r="U949" s="122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7"/>
      <c r="AK949" s="15"/>
    </row>
    <row r="950" spans="1:37" x14ac:dyDescent="0.4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22"/>
      <c r="T950" s="122"/>
      <c r="U950" s="122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26"/>
      <c r="AK950" s="15"/>
    </row>
    <row r="951" spans="1:37" x14ac:dyDescent="0.4">
      <c r="AJ951" s="26"/>
      <c r="AK951" s="15"/>
    </row>
    <row r="952" spans="1:37" x14ac:dyDescent="0.4">
      <c r="L952" s="115"/>
      <c r="M952" s="115"/>
      <c r="N952" s="115"/>
      <c r="O952" s="115"/>
      <c r="P952" s="115"/>
      <c r="Q952" s="115"/>
      <c r="R952" s="115"/>
      <c r="S952" s="122"/>
      <c r="T952" s="122"/>
      <c r="U952" s="122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7"/>
      <c r="AK952" s="15"/>
    </row>
    <row r="953" spans="1:37" x14ac:dyDescent="0.4">
      <c r="AJ953" s="26"/>
      <c r="AK953" s="15"/>
    </row>
    <row r="954" spans="1:37" x14ac:dyDescent="0.4"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22"/>
      <c r="T954" s="122"/>
      <c r="U954" s="122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26"/>
      <c r="AK954" s="15"/>
    </row>
    <row r="955" spans="1:37" x14ac:dyDescent="0.4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22"/>
      <c r="T955" s="122"/>
      <c r="U955" s="122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26"/>
      <c r="AK955" s="15"/>
    </row>
    <row r="956" spans="1:37" x14ac:dyDescent="0.4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22"/>
      <c r="T956" s="122"/>
      <c r="U956" s="122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26"/>
      <c r="AK956" s="15"/>
    </row>
    <row r="957" spans="1:37" x14ac:dyDescent="0.4">
      <c r="AJ957" s="26"/>
      <c r="AK957" s="15"/>
    </row>
    <row r="958" spans="1:37" x14ac:dyDescent="0.4"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22"/>
      <c r="T958" s="122"/>
      <c r="U958" s="122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26"/>
      <c r="AK958" s="15"/>
    </row>
    <row r="959" spans="1:37" x14ac:dyDescent="0.4">
      <c r="AJ959" s="26"/>
      <c r="AK959" s="15"/>
    </row>
    <row r="960" spans="1:37" x14ac:dyDescent="0.4"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22"/>
      <c r="T960" s="122"/>
      <c r="U960" s="122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26"/>
      <c r="AK960" s="15"/>
    </row>
    <row r="961" spans="1:37" x14ac:dyDescent="0.4">
      <c r="AJ961" s="26"/>
      <c r="AK961" s="15"/>
    </row>
    <row r="962" spans="1:37" x14ac:dyDescent="0.4">
      <c r="AJ962" s="26"/>
      <c r="AK962" s="15"/>
    </row>
    <row r="963" spans="1:37" x14ac:dyDescent="0.4">
      <c r="AJ963" s="26"/>
      <c r="AK963" s="15"/>
    </row>
    <row r="964" spans="1:37" x14ac:dyDescent="0.4">
      <c r="AJ964" s="26"/>
      <c r="AK964" s="15"/>
    </row>
    <row r="965" spans="1:37" x14ac:dyDescent="0.4">
      <c r="AJ965" s="26"/>
      <c r="AK965" s="15"/>
    </row>
    <row r="966" spans="1:37" x14ac:dyDescent="0.4">
      <c r="AJ966" s="26"/>
      <c r="AK966" s="15"/>
    </row>
    <row r="967" spans="1:37" x14ac:dyDescent="0.4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22"/>
      <c r="T967" s="122"/>
      <c r="U967" s="122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26"/>
      <c r="AK967" s="15"/>
    </row>
    <row r="968" spans="1:37" x14ac:dyDescent="0.4">
      <c r="AJ968" s="26"/>
      <c r="AK968" s="15"/>
    </row>
    <row r="969" spans="1:37" x14ac:dyDescent="0.4">
      <c r="AJ969" s="26"/>
      <c r="AK969" s="15"/>
    </row>
    <row r="970" spans="1:37" x14ac:dyDescent="0.4">
      <c r="AJ970" s="26"/>
      <c r="AK970" s="15"/>
    </row>
    <row r="971" spans="1:37" x14ac:dyDescent="0.4">
      <c r="AJ971" s="26"/>
      <c r="AK971" s="15"/>
    </row>
    <row r="972" spans="1:37" x14ac:dyDescent="0.4">
      <c r="AJ972" s="26"/>
      <c r="AK972" s="15"/>
    </row>
    <row r="973" spans="1:37" x14ac:dyDescent="0.4">
      <c r="L973" s="115"/>
      <c r="M973" s="115"/>
      <c r="N973" s="115"/>
      <c r="O973" s="115"/>
      <c r="P973" s="115"/>
      <c r="Q973" s="115"/>
      <c r="R973" s="115"/>
      <c r="S973" s="122"/>
      <c r="T973" s="122"/>
      <c r="U973" s="122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7"/>
      <c r="AK973" s="15"/>
    </row>
    <row r="974" spans="1:37" x14ac:dyDescent="0.4">
      <c r="L974" s="115"/>
      <c r="M974" s="115"/>
      <c r="N974" s="115"/>
      <c r="O974" s="115"/>
      <c r="P974" s="115"/>
      <c r="Q974" s="115"/>
      <c r="R974" s="115"/>
      <c r="S974" s="122"/>
      <c r="T974" s="122"/>
      <c r="U974" s="122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7"/>
      <c r="AK974" s="15"/>
    </row>
    <row r="975" spans="1:37" x14ac:dyDescent="0.4">
      <c r="AJ975" s="26"/>
      <c r="AK975" s="15"/>
    </row>
    <row r="976" spans="1:37" x14ac:dyDescent="0.4">
      <c r="AJ976" s="26"/>
      <c r="AK976" s="15"/>
    </row>
    <row r="977" spans="1:37" x14ac:dyDescent="0.4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22"/>
      <c r="T977" s="122"/>
      <c r="U977" s="122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26"/>
      <c r="AK977" s="15"/>
    </row>
    <row r="978" spans="1:37" x14ac:dyDescent="0.4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22"/>
      <c r="T978" s="122"/>
      <c r="U978" s="122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26"/>
      <c r="AK978" s="13"/>
    </row>
    <row r="979" spans="1:37" x14ac:dyDescent="0.4">
      <c r="AJ979" s="26"/>
      <c r="AK979" s="15"/>
    </row>
    <row r="980" spans="1:37" x14ac:dyDescent="0.4"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22"/>
      <c r="T980" s="122"/>
      <c r="U980" s="122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26"/>
      <c r="AK980" s="15"/>
    </row>
    <row r="981" spans="1:37" x14ac:dyDescent="0.4">
      <c r="AJ981" s="26"/>
      <c r="AK981" s="15"/>
    </row>
    <row r="982" spans="1:37" x14ac:dyDescent="0.4">
      <c r="AJ982" s="26"/>
      <c r="AK982" s="15"/>
    </row>
    <row r="983" spans="1:37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22"/>
      <c r="T983" s="122"/>
      <c r="U983" s="122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26"/>
      <c r="AK983" s="15"/>
    </row>
    <row r="984" spans="1:37" x14ac:dyDescent="0.4">
      <c r="AJ984" s="26"/>
      <c r="AK984" s="13"/>
    </row>
    <row r="985" spans="1:37" x14ac:dyDescent="0.4">
      <c r="AJ985" s="26"/>
      <c r="AK985" s="13"/>
    </row>
    <row r="986" spans="1:37" x14ac:dyDescent="0.4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22"/>
      <c r="T986" s="122"/>
      <c r="U986" s="122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26"/>
      <c r="AK986" s="13"/>
    </row>
    <row r="987" spans="1:37" x14ac:dyDescent="0.4">
      <c r="AJ987" s="26"/>
      <c r="AK987" s="13"/>
    </row>
    <row r="988" spans="1:37" x14ac:dyDescent="0.4">
      <c r="AJ988" s="26"/>
      <c r="AK988" s="13"/>
    </row>
    <row r="989" spans="1:37" x14ac:dyDescent="0.4">
      <c r="AJ989" s="26"/>
      <c r="AK989" s="13"/>
    </row>
    <row r="990" spans="1:37" x14ac:dyDescent="0.4">
      <c r="AJ990" s="26"/>
      <c r="AK990" s="13"/>
    </row>
    <row r="991" spans="1:37" x14ac:dyDescent="0.4">
      <c r="AJ991" s="26"/>
      <c r="AK991" s="13"/>
    </row>
    <row r="992" spans="1:37" x14ac:dyDescent="0.4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22"/>
      <c r="T992" s="122"/>
      <c r="U992" s="122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26"/>
      <c r="AK992" s="25"/>
    </row>
    <row r="993" spans="1:37" x14ac:dyDescent="0.4">
      <c r="AJ993" s="26"/>
      <c r="AK993" s="13"/>
    </row>
    <row r="994" spans="1:37" x14ac:dyDescent="0.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22"/>
      <c r="T994" s="122"/>
      <c r="U994" s="122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26"/>
      <c r="AK994" s="13"/>
    </row>
    <row r="995" spans="1:37" x14ac:dyDescent="0.4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22"/>
      <c r="T995" s="122"/>
      <c r="U995" s="122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26"/>
      <c r="AK995" s="13"/>
    </row>
    <row r="996" spans="1:37" x14ac:dyDescent="0.4">
      <c r="AJ996" s="26"/>
      <c r="AK996" s="15"/>
    </row>
    <row r="997" spans="1:37" x14ac:dyDescent="0.4">
      <c r="AJ997" s="26"/>
      <c r="AK997" s="15"/>
    </row>
    <row r="998" spans="1:37" x14ac:dyDescent="0.4">
      <c r="AJ998" s="26"/>
      <c r="AK998" s="15"/>
    </row>
    <row r="999" spans="1:37" x14ac:dyDescent="0.4">
      <c r="AJ999" s="26"/>
      <c r="AK999" s="13"/>
    </row>
    <row r="1000" spans="1:37" x14ac:dyDescent="0.4">
      <c r="AJ1000" s="26"/>
      <c r="AK1000" s="15"/>
    </row>
    <row r="1001" spans="1:37" x14ac:dyDescent="0.4"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22"/>
      <c r="T1001" s="122"/>
      <c r="U1001" s="122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7"/>
      <c r="AK1001" s="15"/>
    </row>
    <row r="1002" spans="1:37" x14ac:dyDescent="0.4">
      <c r="AJ1002" s="26"/>
      <c r="AK1002" s="15"/>
    </row>
    <row r="1003" spans="1:37" x14ac:dyDescent="0.4"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22"/>
      <c r="T1003" s="122"/>
      <c r="U1003" s="122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7"/>
      <c r="AK1003" s="15"/>
    </row>
    <row r="1004" spans="1:37" x14ac:dyDescent="0.4">
      <c r="AJ1004" s="26"/>
      <c r="AK1004" s="15"/>
    </row>
    <row r="1005" spans="1:37" x14ac:dyDescent="0.4">
      <c r="AJ1005" s="26"/>
      <c r="AK1005" s="15"/>
    </row>
    <row r="1006" spans="1:37" x14ac:dyDescent="0.4"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22"/>
      <c r="T1006" s="122"/>
      <c r="U1006" s="122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7"/>
      <c r="AK1006" s="15"/>
    </row>
    <row r="1007" spans="1:37" x14ac:dyDescent="0.4">
      <c r="AJ1007" s="26"/>
      <c r="AK1007" s="15"/>
    </row>
    <row r="1008" spans="1:37" x14ac:dyDescent="0.4">
      <c r="AJ1008" s="26"/>
      <c r="AK1008" s="15"/>
    </row>
    <row r="1009" spans="2:37" x14ac:dyDescent="0.4">
      <c r="AJ1009" s="26"/>
      <c r="AK1009" s="105"/>
    </row>
    <row r="1010" spans="2:37" x14ac:dyDescent="0.4">
      <c r="AJ1010" s="26"/>
      <c r="AK1010" s="15"/>
    </row>
    <row r="1011" spans="2:37" x14ac:dyDescent="0.4">
      <c r="AJ1011" s="26"/>
      <c r="AK1011" s="15"/>
    </row>
    <row r="1012" spans="2:37" x14ac:dyDescent="0.4">
      <c r="AJ1012" s="26"/>
      <c r="AK1012" s="15"/>
    </row>
    <row r="1013" spans="2:37" x14ac:dyDescent="0.4">
      <c r="AJ1013" s="26"/>
      <c r="AK1013" s="15"/>
    </row>
    <row r="1014" spans="2:37" x14ac:dyDescent="0.4">
      <c r="AJ1014" s="26"/>
      <c r="AK1014" s="15"/>
    </row>
    <row r="1015" spans="2:37" x14ac:dyDescent="0.4"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22"/>
      <c r="T1015" s="122"/>
      <c r="U1015" s="122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9"/>
      <c r="AK1015" s="119"/>
    </row>
    <row r="1016" spans="2:37" x14ac:dyDescent="0.4"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22"/>
      <c r="T1016" s="122"/>
      <c r="U1016" s="122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9"/>
      <c r="AK1016" s="119"/>
    </row>
  </sheetData>
  <sortState xmlns:xlrd2="http://schemas.microsoft.com/office/spreadsheetml/2017/richdata2" ref="L2:M128">
    <sortCondition ref="L2:L12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2024-11-01T00:39:21Z</cp:lastPrinted>
  <dcterms:created xsi:type="dcterms:W3CDTF">2020-05-08T06:29:04Z</dcterms:created>
  <dcterms:modified xsi:type="dcterms:W3CDTF">2024-11-01T01:04:54Z</dcterms:modified>
</cp:coreProperties>
</file>