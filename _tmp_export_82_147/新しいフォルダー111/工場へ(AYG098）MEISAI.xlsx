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EFFD8288-1EFC-4AC5-BF6D-111532FBB83A}" xr6:coauthVersionLast="47" xr6:coauthVersionMax="47" xr10:uidLastSave="{00000000-0000-0000-0000-000000000000}"/>
  <bookViews>
    <workbookView xWindow="1170" yWindow="390" windowWidth="26310" windowHeight="14835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3" l="1"/>
  <c r="D33" i="3"/>
  <c r="C33" i="3"/>
  <c r="B33" i="3"/>
  <c r="I194" i="3"/>
  <c r="H194" i="3"/>
  <c r="I192" i="3"/>
  <c r="H192" i="3"/>
  <c r="I190" i="3"/>
  <c r="H190" i="3"/>
  <c r="I170" i="3"/>
  <c r="H170" i="3"/>
  <c r="I167" i="3"/>
  <c r="H167" i="3"/>
  <c r="I165" i="3"/>
  <c r="H165" i="3"/>
  <c r="I158" i="3"/>
  <c r="H158" i="3"/>
  <c r="I156" i="3"/>
  <c r="H156" i="3"/>
  <c r="I153" i="3"/>
  <c r="H153" i="3"/>
  <c r="I136" i="3"/>
  <c r="H136" i="3"/>
  <c r="I134" i="3"/>
  <c r="H134" i="3"/>
  <c r="I130" i="3"/>
  <c r="H130" i="3"/>
  <c r="I128" i="3"/>
  <c r="H128" i="3"/>
  <c r="I124" i="3"/>
  <c r="H124" i="3"/>
  <c r="I104" i="3"/>
  <c r="H104" i="3"/>
  <c r="I97" i="3"/>
  <c r="H97" i="3"/>
  <c r="I81" i="3"/>
  <c r="H81" i="3"/>
  <c r="I66" i="3"/>
  <c r="H66" i="3"/>
  <c r="I57" i="3"/>
  <c r="H57" i="3"/>
  <c r="I53" i="3"/>
  <c r="H53" i="3"/>
  <c r="I43" i="3"/>
  <c r="H43" i="3"/>
  <c r="I37" i="3"/>
  <c r="H37" i="3"/>
  <c r="I33" i="3"/>
  <c r="H33" i="3"/>
  <c r="I29" i="3"/>
  <c r="H29" i="3"/>
  <c r="I27" i="3"/>
  <c r="H27" i="3"/>
  <c r="I24" i="3"/>
  <c r="H24" i="3"/>
  <c r="I21" i="3"/>
  <c r="H21" i="3"/>
  <c r="I15" i="3"/>
  <c r="H15" i="3"/>
  <c r="I13" i="3"/>
  <c r="H13" i="3"/>
  <c r="I11" i="3"/>
  <c r="I195" i="3" s="1"/>
  <c r="H11" i="3"/>
  <c r="H195" i="3" s="1"/>
  <c r="T174" i="3"/>
  <c r="R174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AR456" i="3"/>
  <c r="AQ456" i="3"/>
  <c r="AR451" i="3"/>
  <c r="AQ451" i="3"/>
  <c r="AR449" i="3"/>
  <c r="AQ449" i="3"/>
  <c r="AR435" i="3"/>
  <c r="AQ435" i="3"/>
  <c r="AR417" i="3"/>
  <c r="AQ417" i="3"/>
  <c r="AR406" i="3"/>
  <c r="AQ406" i="3"/>
  <c r="AR372" i="3"/>
  <c r="AQ372" i="3"/>
  <c r="AR359" i="3"/>
  <c r="AQ359" i="3"/>
  <c r="AR321" i="3"/>
  <c r="AQ321" i="3"/>
  <c r="AR312" i="3"/>
  <c r="AQ312" i="3"/>
  <c r="AR298" i="3"/>
  <c r="AQ298" i="3"/>
  <c r="AR265" i="3"/>
  <c r="AQ265" i="3"/>
  <c r="AR212" i="3"/>
  <c r="AQ212" i="3"/>
  <c r="AR200" i="3"/>
  <c r="AQ200" i="3"/>
  <c r="AR177" i="3"/>
  <c r="AQ177" i="3"/>
  <c r="AR162" i="3"/>
  <c r="AQ162" i="3"/>
  <c r="AR142" i="3"/>
  <c r="AQ142" i="3"/>
  <c r="AR132" i="3"/>
  <c r="AQ132" i="3"/>
  <c r="AR114" i="3"/>
  <c r="AQ114" i="3"/>
  <c r="AR103" i="3"/>
  <c r="AQ103" i="3"/>
  <c r="AR96" i="3"/>
  <c r="AQ96" i="3"/>
  <c r="AR63" i="3"/>
  <c r="AQ63" i="3"/>
  <c r="B61" i="1"/>
  <c r="A241" i="1"/>
  <c r="A151" i="1"/>
  <c r="AB43" i="1"/>
  <c r="AQ457" i="3" l="1"/>
  <c r="AR457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<sst xmlns="http://schemas.openxmlformats.org/spreadsheetml/2006/main" count="2757" uniqueCount="402">
  <si>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</si>
  <si>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</si>
  <si>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</si>
  <si>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</si>
  <si>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</si>
  <si>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</si>
  <si>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</si>
  <si>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</si>
  <si>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</si>
  <si>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</si>
  <si>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</si>
  <si>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</si>
  <si>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</si>
  <si>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</si>
  <si>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</si>
  <si>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</si>
  <si>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</si>
  <si>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</si>
  <si>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</si>
  <si>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</si>
  <si>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</si>
  <si>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</si>
  <si>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</si>
  <si>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</si>
  <si>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</si>
  <si>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</si>
  <si>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</si>
  <si>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</si>
  <si>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</si>
  <si>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</si>
  <si>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</si>
  <si>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</si>
  <si>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</si>
  <si>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</si>
  <si>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</si>
  <si>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</si>
  <si>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</si>
  <si>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</si>
  <si>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</si>
  <si>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</si>
  <si>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</si>
  <si>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</si>
  <si>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</si>
  <si>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</si>
  <si>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</si>
  <si>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</si>
  <si>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</si>
  <si>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</si>
  <si>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</si>
  <si>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</si>
  <si>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</si>
  <si>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</si>
  <si>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</si>
  <si>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</si>
  <si>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</si>
  <si>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</si>
  <si>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</si>
  <si>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</si>
  <si>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</si>
  <si>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</si>
  <si>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</si>
  <si>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</si>
  <si>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</si>
  <si>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</si>
  <si>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</si>
  <si>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</si>
  <si>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</si>
  <si>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</si>
  <si>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</si>
  <si>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</si>
  <si>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</si>
  <si>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</si>
  <si>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</si>
  <si>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</si>
  <si>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</si>
  <si>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</si>
  <si>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</si>
  <si>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</si>
  <si>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</si>
  <si>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</si>
  <si>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</si>
  <si>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</si>
  <si>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</si>
  <si>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</si>
  <si>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</si>
  <si>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</si>
  <si>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</si>
  <si>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</si>
  <si>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</si>
  <si>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</si>
  <si>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</si>
  <si>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</si>
  <si>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</si>
  <si>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</si>
  <si>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</si>
  <si>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</si>
  <si>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</si>
  <si>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</si>
  <si>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</si>
  <si>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</si>
  <si>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</si>
  <si>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</si>
  <si>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</si>
  <si>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</si>
  <si>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</si>
  <si>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</si>
  <si>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</si>
  <si>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</si>
  <si>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</si>
  <si>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</si>
  <si>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</si>
  <si>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</si>
  <si>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</si>
  <si>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</si>
  <si>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</si>
  <si>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</si>
  <si>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</si>
  <si>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</si>
  <si>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</si>
  <si>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</si>
  <si>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</si>
  <si>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</si>
  <si>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</si>
  <si>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</si>
  <si>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</si>
  <si>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</si>
  <si>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</si>
  <si>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</si>
  <si>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</si>
  <si>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</si>
  <si>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</si>
  <si>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</si>
  <si>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</si>
  <si>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</si>
  <si>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</si>
  <si>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</si>
  <si>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</si>
  <si>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</si>
  <si>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</si>
  <si>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</si>
  <si>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</si>
  <si>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</si>
  <si>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</si>
  <si>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</si>
  <si>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</si>
  <si>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</si>
  <si>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</si>
  <si>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</si>
  <si>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</si>
  <si>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</si>
  <si>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</si>
  <si>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</si>
  <si>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</si>
  <si>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</si>
  <si>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</si>
  <si>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</si>
  <si>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</si>
  <si>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</si>
  <si>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</si>
  <si>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</si>
  <si>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</si>
  <si>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</si>
  <si>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</si>
  <si>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</si>
  <si>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</si>
  <si>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</si>
  <si>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</si>
  <si>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</si>
  <si>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</si>
  <si>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</si>
  <si>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</si>
  <si>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</si>
  <si>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</si>
  <si>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</si>
  <si>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</si>
  <si>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</si>
  <si>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</si>
  <si>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A545</t>
    <phoneticPr fontId="1"/>
  </si>
  <si>
    <t>S</t>
    <phoneticPr fontId="1"/>
  </si>
  <si>
    <t>M032</t>
    <phoneticPr fontId="1"/>
  </si>
  <si>
    <t>A335</t>
    <phoneticPr fontId="1"/>
  </si>
  <si>
    <t>M078</t>
    <phoneticPr fontId="1"/>
  </si>
  <si>
    <t>A505</t>
    <phoneticPr fontId="1"/>
  </si>
  <si>
    <t>A128</t>
    <phoneticPr fontId="1"/>
  </si>
  <si>
    <t>A120</t>
    <phoneticPr fontId="1"/>
  </si>
  <si>
    <t>A523</t>
    <phoneticPr fontId="1"/>
  </si>
  <si>
    <t>A700</t>
    <phoneticPr fontId="1"/>
  </si>
  <si>
    <t>M079</t>
    <phoneticPr fontId="1"/>
  </si>
  <si>
    <t>M070</t>
    <phoneticPr fontId="1"/>
  </si>
  <si>
    <t>M100</t>
    <phoneticPr fontId="1"/>
  </si>
  <si>
    <t>A997</t>
    <phoneticPr fontId="1"/>
  </si>
  <si>
    <t>A550</t>
    <phoneticPr fontId="1"/>
  </si>
  <si>
    <t>E</t>
    <phoneticPr fontId="1"/>
  </si>
  <si>
    <t>M050</t>
    <phoneticPr fontId="1"/>
  </si>
  <si>
    <t>A199</t>
    <phoneticPr fontId="1"/>
  </si>
  <si>
    <t>P</t>
    <phoneticPr fontId="1"/>
  </si>
  <si>
    <t>AYG098</t>
    <phoneticPr fontId="1"/>
  </si>
  <si>
    <t>06120300</t>
    <phoneticPr fontId="1"/>
  </si>
  <si>
    <t>M074</t>
    <phoneticPr fontId="1"/>
  </si>
  <si>
    <t>06120408</t>
    <phoneticPr fontId="1"/>
  </si>
  <si>
    <t>06120410</t>
    <phoneticPr fontId="1"/>
  </si>
  <si>
    <t>06120432</t>
    <phoneticPr fontId="1"/>
  </si>
  <si>
    <t>06120441</t>
    <phoneticPr fontId="1"/>
  </si>
  <si>
    <t>06120508</t>
    <phoneticPr fontId="1"/>
  </si>
  <si>
    <t>06120509</t>
    <phoneticPr fontId="1"/>
  </si>
  <si>
    <t>A623</t>
    <phoneticPr fontId="1"/>
  </si>
  <si>
    <t>06120510</t>
    <phoneticPr fontId="1"/>
  </si>
  <si>
    <t>06120511</t>
    <phoneticPr fontId="1"/>
  </si>
  <si>
    <t>06120512</t>
    <phoneticPr fontId="1"/>
  </si>
  <si>
    <t>06120513</t>
    <phoneticPr fontId="1"/>
  </si>
  <si>
    <t>06120514</t>
    <phoneticPr fontId="1"/>
  </si>
  <si>
    <t>06120540</t>
    <phoneticPr fontId="1"/>
  </si>
  <si>
    <t>A181</t>
    <phoneticPr fontId="1"/>
  </si>
  <si>
    <t>06120544</t>
    <phoneticPr fontId="1"/>
  </si>
  <si>
    <t>06120545</t>
    <phoneticPr fontId="1"/>
  </si>
  <si>
    <t>A182</t>
    <phoneticPr fontId="1"/>
  </si>
  <si>
    <t>06120546</t>
    <phoneticPr fontId="1"/>
  </si>
  <si>
    <t>06120299</t>
    <phoneticPr fontId="1"/>
  </si>
  <si>
    <t>06120481</t>
    <phoneticPr fontId="1"/>
  </si>
  <si>
    <t>06120530</t>
    <phoneticPr fontId="1"/>
  </si>
  <si>
    <t>06120531</t>
  </si>
  <si>
    <t>06120532</t>
  </si>
  <si>
    <t>06120533</t>
  </si>
  <si>
    <t>06120534</t>
  </si>
  <si>
    <t>06120551</t>
    <phoneticPr fontId="1"/>
  </si>
  <si>
    <t>06120552</t>
    <phoneticPr fontId="1"/>
  </si>
  <si>
    <t>06120553</t>
    <phoneticPr fontId="1"/>
  </si>
  <si>
    <t>06120554</t>
    <phoneticPr fontId="1"/>
  </si>
  <si>
    <t>06120411</t>
    <phoneticPr fontId="1"/>
  </si>
  <si>
    <t>M028</t>
    <phoneticPr fontId="1"/>
  </si>
  <si>
    <t>07010001</t>
    <phoneticPr fontId="1"/>
  </si>
  <si>
    <t>07010002</t>
  </si>
  <si>
    <t>07010003</t>
  </si>
  <si>
    <t>07010016</t>
    <phoneticPr fontId="1"/>
  </si>
  <si>
    <t>07010019</t>
    <phoneticPr fontId="1"/>
  </si>
  <si>
    <t>07010020</t>
  </si>
  <si>
    <t>07010021</t>
  </si>
  <si>
    <t>06120025</t>
    <phoneticPr fontId="1"/>
  </si>
  <si>
    <t>A330</t>
    <phoneticPr fontId="1"/>
  </si>
  <si>
    <t>07010030</t>
    <phoneticPr fontId="1"/>
  </si>
  <si>
    <t>07010031</t>
  </si>
  <si>
    <t>07010032</t>
  </si>
  <si>
    <t>07010033</t>
  </si>
  <si>
    <t>07010034</t>
  </si>
  <si>
    <t>07010035</t>
  </si>
  <si>
    <t>07010036</t>
  </si>
  <si>
    <t>07010037</t>
  </si>
  <si>
    <t>06120484</t>
    <phoneticPr fontId="1"/>
  </si>
  <si>
    <t>06120518</t>
    <phoneticPr fontId="1"/>
  </si>
  <si>
    <t>07010050</t>
    <phoneticPr fontId="1"/>
  </si>
  <si>
    <t>M067</t>
    <phoneticPr fontId="1"/>
  </si>
  <si>
    <t>07010052</t>
    <phoneticPr fontId="1"/>
  </si>
  <si>
    <t>07010053</t>
    <phoneticPr fontId="1"/>
  </si>
  <si>
    <t>07010055</t>
    <phoneticPr fontId="1"/>
  </si>
  <si>
    <t>07010064</t>
    <phoneticPr fontId="1"/>
  </si>
  <si>
    <t>07010081</t>
    <phoneticPr fontId="1"/>
  </si>
  <si>
    <t>07010082</t>
    <phoneticPr fontId="1"/>
  </si>
  <si>
    <t>07010083</t>
    <phoneticPr fontId="1"/>
  </si>
  <si>
    <t>07010090</t>
    <phoneticPr fontId="1"/>
  </si>
  <si>
    <t>07010092</t>
    <phoneticPr fontId="1"/>
  </si>
  <si>
    <t>06120515</t>
    <phoneticPr fontId="1"/>
  </si>
  <si>
    <t>A625</t>
    <phoneticPr fontId="1"/>
  </si>
  <si>
    <t>07010058</t>
    <phoneticPr fontId="1"/>
  </si>
  <si>
    <t>07010059</t>
    <phoneticPr fontId="1"/>
  </si>
  <si>
    <t>07010060</t>
    <phoneticPr fontId="1"/>
  </si>
  <si>
    <t>07010061</t>
    <phoneticPr fontId="1"/>
  </si>
  <si>
    <t>07010062</t>
    <phoneticPr fontId="1"/>
  </si>
  <si>
    <t>07010079</t>
    <phoneticPr fontId="1"/>
  </si>
  <si>
    <t>07010080</t>
    <phoneticPr fontId="1"/>
  </si>
  <si>
    <t>07010098</t>
    <phoneticPr fontId="1"/>
  </si>
  <si>
    <t>07010099</t>
    <phoneticPr fontId="1"/>
  </si>
  <si>
    <t>07010100</t>
    <phoneticPr fontId="1"/>
  </si>
  <si>
    <t>07010065</t>
    <phoneticPr fontId="1"/>
  </si>
  <si>
    <t>07010066</t>
  </si>
  <si>
    <t>07010067</t>
  </si>
  <si>
    <t>07010068</t>
  </si>
  <si>
    <t>07010069</t>
  </si>
  <si>
    <t>07010070</t>
  </si>
  <si>
    <t>07010071</t>
  </si>
  <si>
    <t>07010072</t>
  </si>
  <si>
    <t>07010073</t>
  </si>
  <si>
    <t>07010074</t>
  </si>
  <si>
    <t>07010075</t>
  </si>
  <si>
    <t>07010076</t>
  </si>
  <si>
    <t>07010077</t>
  </si>
  <si>
    <t>07010078</t>
  </si>
  <si>
    <t>06120459</t>
    <phoneticPr fontId="1"/>
  </si>
  <si>
    <t>06120460</t>
    <phoneticPr fontId="1"/>
  </si>
  <si>
    <t>06120496</t>
    <phoneticPr fontId="1"/>
  </si>
  <si>
    <t>06120497</t>
  </si>
  <si>
    <t>06120498</t>
  </si>
  <si>
    <t>06120499</t>
  </si>
  <si>
    <t>06120500</t>
  </si>
  <si>
    <t>06120501</t>
  </si>
  <si>
    <t>06120502</t>
  </si>
  <si>
    <t>06120504</t>
    <phoneticPr fontId="1"/>
  </si>
  <si>
    <t>06120505</t>
    <phoneticPr fontId="1"/>
  </si>
  <si>
    <t>06120506</t>
  </si>
  <si>
    <t>06120522</t>
    <phoneticPr fontId="1"/>
  </si>
  <si>
    <t>06120524</t>
    <phoneticPr fontId="1"/>
  </si>
  <si>
    <t>06120493</t>
    <phoneticPr fontId="1"/>
  </si>
  <si>
    <t>06120494</t>
  </si>
  <si>
    <t>06120495</t>
  </si>
  <si>
    <t>06120507</t>
    <phoneticPr fontId="1"/>
  </si>
  <si>
    <t>06120519</t>
    <phoneticPr fontId="1"/>
  </si>
  <si>
    <t>06120520</t>
  </si>
  <si>
    <t>06120521</t>
  </si>
  <si>
    <t>06120523</t>
    <phoneticPr fontId="1"/>
  </si>
  <si>
    <t>06120525</t>
    <phoneticPr fontId="1"/>
  </si>
  <si>
    <t>06120526</t>
  </si>
  <si>
    <t>06120527</t>
  </si>
  <si>
    <t>06120528</t>
  </si>
  <si>
    <t>06120529</t>
  </si>
  <si>
    <t>07010063</t>
    <phoneticPr fontId="1"/>
  </si>
  <si>
    <t>07010119</t>
    <phoneticPr fontId="1"/>
  </si>
  <si>
    <t>07010120</t>
    <phoneticPr fontId="1"/>
  </si>
  <si>
    <t>07010112</t>
  </si>
  <si>
    <t>07010123</t>
    <phoneticPr fontId="1"/>
  </si>
  <si>
    <t>07010124</t>
    <phoneticPr fontId="1"/>
  </si>
  <si>
    <t>07010125</t>
    <phoneticPr fontId="1"/>
  </si>
  <si>
    <t>07010126</t>
    <phoneticPr fontId="1"/>
  </si>
  <si>
    <t>07010127</t>
  </si>
  <si>
    <t>07010128</t>
  </si>
  <si>
    <t>07010129</t>
  </si>
  <si>
    <t>07010133</t>
    <phoneticPr fontId="1"/>
  </si>
  <si>
    <t>07010134</t>
    <phoneticPr fontId="1"/>
  </si>
  <si>
    <t>07010135</t>
    <phoneticPr fontId="1"/>
  </si>
  <si>
    <t>07010121</t>
    <phoneticPr fontId="1"/>
  </si>
  <si>
    <t>07010132</t>
    <phoneticPr fontId="1"/>
  </si>
  <si>
    <t>06120434</t>
    <phoneticPr fontId="1"/>
  </si>
  <si>
    <t>06120482</t>
    <phoneticPr fontId="1"/>
  </si>
  <si>
    <t>07010014</t>
    <phoneticPr fontId="1"/>
  </si>
  <si>
    <t>07010015</t>
    <phoneticPr fontId="1"/>
  </si>
  <si>
    <t>07010109</t>
    <phoneticPr fontId="1"/>
  </si>
  <si>
    <t>07010111</t>
    <phoneticPr fontId="1"/>
  </si>
  <si>
    <t>07010113</t>
  </si>
  <si>
    <t>07010114</t>
  </si>
  <si>
    <t>07010115</t>
  </si>
  <si>
    <t>07010144</t>
    <phoneticPr fontId="1"/>
  </si>
  <si>
    <t>A123</t>
    <phoneticPr fontId="1"/>
  </si>
  <si>
    <t>07010145</t>
    <phoneticPr fontId="1"/>
  </si>
  <si>
    <t>07010146</t>
    <phoneticPr fontId="1"/>
  </si>
  <si>
    <t>A552</t>
    <phoneticPr fontId="1"/>
  </si>
  <si>
    <t>07010147</t>
    <phoneticPr fontId="1"/>
  </si>
  <si>
    <t>07010116</t>
    <phoneticPr fontId="1"/>
  </si>
  <si>
    <t>07010118</t>
    <phoneticPr fontId="1"/>
  </si>
  <si>
    <t>07010136</t>
    <phoneticPr fontId="1"/>
  </si>
  <si>
    <t>07010137</t>
    <phoneticPr fontId="1"/>
  </si>
  <si>
    <t>07010138</t>
    <phoneticPr fontId="1"/>
  </si>
  <si>
    <t>07010139</t>
    <phoneticPr fontId="1"/>
  </si>
  <si>
    <t>07010140</t>
    <phoneticPr fontId="1"/>
  </si>
  <si>
    <t>07010141</t>
    <phoneticPr fontId="1"/>
  </si>
  <si>
    <t>07010142</t>
    <phoneticPr fontId="1"/>
  </si>
  <si>
    <t>07010148</t>
    <phoneticPr fontId="1"/>
  </si>
  <si>
    <t>07010160</t>
    <phoneticPr fontId="1"/>
  </si>
  <si>
    <t>A633</t>
    <phoneticPr fontId="1"/>
  </si>
  <si>
    <t>06120180</t>
    <phoneticPr fontId="1"/>
  </si>
  <si>
    <t>06120284</t>
    <phoneticPr fontId="1"/>
  </si>
  <si>
    <t>06120391</t>
    <phoneticPr fontId="1"/>
  </si>
  <si>
    <t>06120392</t>
    <phoneticPr fontId="1"/>
  </si>
  <si>
    <t>06120393</t>
    <phoneticPr fontId="1"/>
  </si>
  <si>
    <t>06120394</t>
    <phoneticPr fontId="1"/>
  </si>
  <si>
    <t>07010143</t>
    <phoneticPr fontId="1"/>
  </si>
  <si>
    <t>A501</t>
    <phoneticPr fontId="1"/>
  </si>
  <si>
    <t>07010165</t>
    <phoneticPr fontId="1"/>
  </si>
  <si>
    <t>07010168</t>
    <phoneticPr fontId="1"/>
  </si>
  <si>
    <t>07010169</t>
    <phoneticPr fontId="1"/>
  </si>
  <si>
    <t>07010173</t>
    <phoneticPr fontId="1"/>
  </si>
  <si>
    <t>07010174</t>
    <phoneticPr fontId="1"/>
  </si>
  <si>
    <t>07010175</t>
    <phoneticPr fontId="1"/>
  </si>
  <si>
    <t>07010176</t>
    <phoneticPr fontId="1"/>
  </si>
  <si>
    <t>2025/1/23 個数</t>
  </si>
  <si>
    <t>2025/1/25 個数</t>
  </si>
  <si>
    <t>2025/1/27 個数</t>
  </si>
  <si>
    <t>2025/1/29 個数</t>
  </si>
  <si>
    <t>2025/2/2 個数</t>
  </si>
  <si>
    <t>2025/2/4 個数</t>
  </si>
  <si>
    <t>2025/2/5 個数</t>
  </si>
  <si>
    <t>2025/2/8 個数</t>
  </si>
  <si>
    <t>2025/2/10 個数</t>
  </si>
  <si>
    <t>2025/2/11 個数</t>
  </si>
  <si>
    <t>2025/2/12 個数</t>
  </si>
  <si>
    <t>2025/2/13 個数</t>
  </si>
  <si>
    <t>2025/2/14 個数</t>
  </si>
  <si>
    <t>2025/2/15 個数</t>
  </si>
  <si>
    <t>2025/2/16 個数</t>
  </si>
  <si>
    <t>2025/2/17 個数</t>
  </si>
  <si>
    <t>2025/2/18 個数</t>
  </si>
  <si>
    <t>2025/2/19 個数</t>
  </si>
  <si>
    <t>2025/2/20 個数</t>
  </si>
  <si>
    <t>2025/2/21 個数</t>
  </si>
  <si>
    <t>2025/2/22 個数</t>
  </si>
  <si>
    <t>2025/2/23 個数</t>
  </si>
  <si>
    <t>2025/2/24 個数</t>
  </si>
  <si>
    <t>2025/2/25 個数</t>
  </si>
  <si>
    <t>2025/2/26 個数</t>
  </si>
  <si>
    <t>2025/2/27 個数</t>
  </si>
  <si>
    <t>2025/2/28 個数</t>
  </si>
  <si>
    <t>2025/3/3 個数</t>
  </si>
  <si>
    <t>2025/3/6 個数</t>
  </si>
  <si>
    <t>2025/3/8 個数</t>
  </si>
  <si>
    <t>07010122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</si>
</sst>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0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topLeftCell="A243" zoomScale="106" zoomScaleNormal="106" workbookViewId="0">
      <selection activeCell="J256" sqref="J256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196</v>
      </c>
      <c r="B1" s="24">
        <v>45671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6" t="s">
        <v>105</v>
      </c>
      <c r="Y2" s="142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3">
        <v>1</v>
      </c>
      <c r="B3" s="133">
        <v>22.8</v>
      </c>
      <c r="C3" s="85" t="s">
        <v>197</v>
      </c>
      <c r="D3" s="109" t="s">
        <v>193</v>
      </c>
      <c r="E3" s="15" t="s">
        <v>36</v>
      </c>
      <c r="F3" s="14"/>
      <c r="G3" s="12" t="s">
        <v>178</v>
      </c>
      <c r="H3" s="13"/>
      <c r="I3" s="13"/>
      <c r="J3" s="13"/>
      <c r="K3" s="13"/>
      <c r="L3" s="13"/>
      <c r="M3" s="13">
        <v>1</v>
      </c>
      <c r="N3" s="13">
        <v>1</v>
      </c>
      <c r="O3" s="13"/>
      <c r="P3" s="13"/>
      <c r="Q3" s="13">
        <v>1</v>
      </c>
      <c r="R3" s="13"/>
      <c r="S3" s="13"/>
      <c r="T3" s="25">
        <v>45714</v>
      </c>
      <c r="U3" s="13" t="s">
        <v>147</v>
      </c>
      <c r="V3">
        <v>1</v>
      </c>
      <c r="X3" s="51" t="s">
        <v>106</v>
      </c>
      <c r="Y3" s="52">
        <f>COUNTIF(U3:U27,"K")</f>
        <v>7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4"/>
      <c r="B4" s="134"/>
      <c r="C4" s="85" t="s">
        <v>199</v>
      </c>
      <c r="D4" s="109" t="s">
        <v>198</v>
      </c>
      <c r="E4" s="15" t="s">
        <v>36</v>
      </c>
      <c r="F4" s="16"/>
      <c r="G4" s="12" t="s">
        <v>178</v>
      </c>
      <c r="H4" s="15"/>
      <c r="I4" s="13"/>
      <c r="J4" s="15"/>
      <c r="K4" s="15"/>
      <c r="L4" s="17"/>
      <c r="M4" s="17">
        <v>1</v>
      </c>
      <c r="N4" s="13">
        <v>1</v>
      </c>
      <c r="O4" s="17"/>
      <c r="P4" s="17"/>
      <c r="Q4" s="17"/>
      <c r="R4" s="17"/>
      <c r="S4" s="15"/>
      <c r="T4" s="25">
        <v>45701</v>
      </c>
      <c r="U4" s="13" t="s">
        <v>147</v>
      </c>
      <c r="V4">
        <v>2</v>
      </c>
      <c r="X4" s="51" t="s">
        <v>107</v>
      </c>
      <c r="Y4" s="52">
        <f>COUNTIF(U3:U27,"R")</f>
        <v>6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4"/>
      <c r="B5" s="134"/>
      <c r="C5" s="85" t="s">
        <v>200</v>
      </c>
      <c r="D5" s="109" t="s">
        <v>198</v>
      </c>
      <c r="E5" s="15" t="s">
        <v>37</v>
      </c>
      <c r="F5" s="16"/>
      <c r="G5" s="12" t="s">
        <v>178</v>
      </c>
      <c r="H5" s="13"/>
      <c r="I5" s="13"/>
      <c r="J5" s="15"/>
      <c r="K5" s="15"/>
      <c r="L5" s="17"/>
      <c r="M5" s="17"/>
      <c r="N5" s="13"/>
      <c r="O5" s="17"/>
      <c r="P5" s="17"/>
      <c r="Q5" s="17"/>
      <c r="R5" s="17"/>
      <c r="S5" s="15"/>
      <c r="T5" s="25">
        <v>45682</v>
      </c>
      <c r="U5" s="13" t="s">
        <v>147</v>
      </c>
      <c r="V5">
        <v>3</v>
      </c>
      <c r="X5" s="53" t="s">
        <v>108</v>
      </c>
      <c r="Y5" s="54">
        <f>COUNTIF(U3:U27,"J")</f>
        <v>3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4"/>
      <c r="B6" s="134"/>
      <c r="C6" s="85" t="s">
        <v>201</v>
      </c>
      <c r="D6" s="109" t="s">
        <v>187</v>
      </c>
      <c r="E6" s="15" t="s">
        <v>38</v>
      </c>
      <c r="F6" s="16"/>
      <c r="G6" s="12" t="s">
        <v>178</v>
      </c>
      <c r="H6" s="15"/>
      <c r="I6" s="13"/>
      <c r="J6" s="13">
        <v>1</v>
      </c>
      <c r="K6" s="15">
        <v>1</v>
      </c>
      <c r="L6" s="17"/>
      <c r="M6" s="17"/>
      <c r="N6" s="13"/>
      <c r="O6" s="17"/>
      <c r="P6" s="17"/>
      <c r="Q6" s="17"/>
      <c r="R6" s="17"/>
      <c r="S6" s="15"/>
      <c r="T6" s="25">
        <v>45709</v>
      </c>
      <c r="U6" s="13" t="s">
        <v>147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4"/>
      <c r="B7" s="134"/>
      <c r="C7" s="85" t="s">
        <v>202</v>
      </c>
      <c r="D7" s="109" t="s">
        <v>179</v>
      </c>
      <c r="E7" s="15" t="s">
        <v>38</v>
      </c>
      <c r="F7" s="16"/>
      <c r="G7" s="12" t="s">
        <v>178</v>
      </c>
      <c r="H7" s="15"/>
      <c r="I7" s="13"/>
      <c r="J7" s="15"/>
      <c r="K7" s="15"/>
      <c r="L7" s="17"/>
      <c r="M7" s="17">
        <v>1</v>
      </c>
      <c r="N7" s="13">
        <v>1</v>
      </c>
      <c r="O7" s="17"/>
      <c r="P7" s="17"/>
      <c r="Q7" s="17">
        <v>1</v>
      </c>
      <c r="R7" s="17"/>
      <c r="S7" s="15"/>
      <c r="T7" s="25">
        <v>45692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4"/>
      <c r="B8" s="134"/>
      <c r="C8" s="85" t="s">
        <v>203</v>
      </c>
      <c r="D8" s="109" t="s">
        <v>185</v>
      </c>
      <c r="E8" s="15" t="s">
        <v>38</v>
      </c>
      <c r="F8" s="16"/>
      <c r="G8" s="12" t="s">
        <v>178</v>
      </c>
      <c r="H8" s="13"/>
      <c r="I8" s="13"/>
      <c r="J8" s="15">
        <v>1</v>
      </c>
      <c r="K8" s="15">
        <v>1</v>
      </c>
      <c r="L8" s="17"/>
      <c r="M8" s="17"/>
      <c r="N8" s="13"/>
      <c r="O8" s="17"/>
      <c r="P8" s="17"/>
      <c r="Q8" s="17"/>
      <c r="R8" s="17"/>
      <c r="S8" s="15"/>
      <c r="T8" s="25">
        <v>45706</v>
      </c>
      <c r="U8" s="13" t="s">
        <v>142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4"/>
      <c r="B9" s="134"/>
      <c r="C9" s="85" t="s">
        <v>204</v>
      </c>
      <c r="D9" s="109" t="s">
        <v>205</v>
      </c>
      <c r="E9" s="15" t="s">
        <v>39</v>
      </c>
      <c r="F9" s="16"/>
      <c r="G9" s="12" t="s">
        <v>178</v>
      </c>
      <c r="H9" s="15"/>
      <c r="I9" s="13"/>
      <c r="J9" s="15">
        <v>1</v>
      </c>
      <c r="K9" s="15">
        <v>1</v>
      </c>
      <c r="L9" s="17"/>
      <c r="M9" s="17"/>
      <c r="N9" s="13"/>
      <c r="O9" s="17"/>
      <c r="P9" s="17"/>
      <c r="Q9" s="17"/>
      <c r="R9" s="17"/>
      <c r="S9" s="15"/>
      <c r="T9" s="25">
        <v>45700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4"/>
      <c r="B10" s="134"/>
      <c r="C10" s="85" t="s">
        <v>206</v>
      </c>
      <c r="D10" s="109" t="s">
        <v>205</v>
      </c>
      <c r="E10" s="15" t="s">
        <v>133</v>
      </c>
      <c r="F10" s="16"/>
      <c r="G10" s="12" t="s">
        <v>178</v>
      </c>
      <c r="H10" s="15"/>
      <c r="I10" s="13"/>
      <c r="J10" s="15"/>
      <c r="K10" s="15"/>
      <c r="L10" s="17"/>
      <c r="M10" s="17"/>
      <c r="N10" s="13"/>
      <c r="O10" s="17">
        <v>1</v>
      </c>
      <c r="P10" s="17">
        <v>1</v>
      </c>
      <c r="Q10" s="17">
        <v>1</v>
      </c>
      <c r="R10" s="17">
        <v>1</v>
      </c>
      <c r="S10" s="15"/>
      <c r="T10" s="25">
        <v>45700</v>
      </c>
      <c r="U10" s="13" t="s">
        <v>148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4"/>
      <c r="B11" s="134"/>
      <c r="C11" s="85" t="s">
        <v>207</v>
      </c>
      <c r="D11" s="109" t="s">
        <v>205</v>
      </c>
      <c r="E11" s="15" t="s">
        <v>39</v>
      </c>
      <c r="F11" s="16"/>
      <c r="G11" s="12" t="s">
        <v>178</v>
      </c>
      <c r="H11" s="15"/>
      <c r="I11" s="13"/>
      <c r="J11" s="15">
        <v>1</v>
      </c>
      <c r="K11" s="15">
        <v>1</v>
      </c>
      <c r="L11" s="17"/>
      <c r="M11" s="17"/>
      <c r="N11" s="13"/>
      <c r="O11" s="17"/>
      <c r="P11" s="17"/>
      <c r="Q11" s="17"/>
      <c r="R11" s="17"/>
      <c r="S11" s="15"/>
      <c r="T11" s="25">
        <v>45700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4"/>
      <c r="B12" s="134"/>
      <c r="C12" s="85" t="s">
        <v>208</v>
      </c>
      <c r="D12" s="109" t="s">
        <v>205</v>
      </c>
      <c r="E12" s="15" t="s">
        <v>133</v>
      </c>
      <c r="F12" s="16"/>
      <c r="G12" s="12" t="s">
        <v>178</v>
      </c>
      <c r="H12" s="15"/>
      <c r="I12" s="15"/>
      <c r="J12" s="15"/>
      <c r="K12" s="15"/>
      <c r="L12" s="17"/>
      <c r="M12" s="17"/>
      <c r="N12" s="17"/>
      <c r="O12" s="17">
        <v>1</v>
      </c>
      <c r="P12" s="17"/>
      <c r="Q12" s="17">
        <v>1</v>
      </c>
      <c r="R12" s="17">
        <v>1</v>
      </c>
      <c r="S12" s="15"/>
      <c r="T12" s="25">
        <v>45700</v>
      </c>
      <c r="U12" s="13" t="s">
        <v>148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4"/>
      <c r="B13" s="134"/>
      <c r="C13" s="85" t="s">
        <v>209</v>
      </c>
      <c r="D13" s="109" t="s">
        <v>205</v>
      </c>
      <c r="E13" s="15" t="s">
        <v>39</v>
      </c>
      <c r="F13" s="16"/>
      <c r="G13" s="12" t="s">
        <v>178</v>
      </c>
      <c r="H13" s="15"/>
      <c r="I13" s="15"/>
      <c r="J13" s="15">
        <v>1</v>
      </c>
      <c r="K13" s="15">
        <v>1</v>
      </c>
      <c r="L13" s="17"/>
      <c r="M13" s="17"/>
      <c r="N13" s="17"/>
      <c r="O13" s="17"/>
      <c r="P13" s="17"/>
      <c r="Q13" s="17"/>
      <c r="R13" s="17"/>
      <c r="S13" s="15"/>
      <c r="T13" s="25">
        <v>45700</v>
      </c>
      <c r="U13" s="13" t="s">
        <v>146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4"/>
      <c r="B14" s="134"/>
      <c r="C14" s="85" t="s">
        <v>210</v>
      </c>
      <c r="D14" s="109" t="s">
        <v>205</v>
      </c>
      <c r="E14" s="15" t="s">
        <v>133</v>
      </c>
      <c r="F14" s="16"/>
      <c r="G14" s="12" t="s">
        <v>178</v>
      </c>
      <c r="H14" s="15"/>
      <c r="I14" s="15"/>
      <c r="J14" s="15"/>
      <c r="K14" s="15"/>
      <c r="L14" s="17"/>
      <c r="M14" s="17"/>
      <c r="N14" s="17"/>
      <c r="O14" s="17">
        <v>1</v>
      </c>
      <c r="P14" s="17"/>
      <c r="Q14" s="17">
        <v>1</v>
      </c>
      <c r="R14" s="17">
        <v>1</v>
      </c>
      <c r="S14" s="15"/>
      <c r="T14" s="25">
        <v>45700</v>
      </c>
      <c r="U14" s="13" t="s">
        <v>148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4"/>
      <c r="B15" s="134"/>
      <c r="C15" s="85" t="s">
        <v>211</v>
      </c>
      <c r="D15" s="109" t="s">
        <v>185</v>
      </c>
      <c r="E15" s="15" t="s">
        <v>44</v>
      </c>
      <c r="F15" s="16"/>
      <c r="G15" s="12" t="s">
        <v>178</v>
      </c>
      <c r="H15" s="15"/>
      <c r="I15" s="15"/>
      <c r="J15" s="15"/>
      <c r="K15" s="15"/>
      <c r="L15" s="17"/>
      <c r="M15" s="17">
        <v>1</v>
      </c>
      <c r="N15" s="17">
        <v>1</v>
      </c>
      <c r="O15" s="17"/>
      <c r="P15" s="17"/>
      <c r="Q15" s="17">
        <v>1</v>
      </c>
      <c r="R15" s="17"/>
      <c r="S15" s="15"/>
      <c r="T15" s="25">
        <v>45686</v>
      </c>
      <c r="U15" s="13" t="s">
        <v>147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4"/>
      <c r="B16" s="134"/>
      <c r="C16" s="85" t="s">
        <v>213</v>
      </c>
      <c r="D16" s="109" t="s">
        <v>212</v>
      </c>
      <c r="E16" s="15" t="s">
        <v>38</v>
      </c>
      <c r="F16" s="16"/>
      <c r="G16" s="12" t="s">
        <v>178</v>
      </c>
      <c r="H16" s="15"/>
      <c r="I16" s="15"/>
      <c r="J16" s="15">
        <v>1</v>
      </c>
      <c r="K16" s="15">
        <v>1</v>
      </c>
      <c r="L16" s="17"/>
      <c r="M16" s="17"/>
      <c r="N16" s="17"/>
      <c r="O16" s="17"/>
      <c r="P16" s="17"/>
      <c r="Q16" s="17"/>
      <c r="R16" s="17"/>
      <c r="S16" s="15"/>
      <c r="T16" s="25">
        <v>45699</v>
      </c>
      <c r="U16" s="13" t="s">
        <v>146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4"/>
      <c r="B17" s="134"/>
      <c r="C17" s="85" t="s">
        <v>214</v>
      </c>
      <c r="D17" s="106" t="s">
        <v>215</v>
      </c>
      <c r="E17" s="15" t="s">
        <v>38</v>
      </c>
      <c r="F17" s="16"/>
      <c r="G17" s="15" t="s">
        <v>178</v>
      </c>
      <c r="H17" s="15"/>
      <c r="I17" s="15"/>
      <c r="J17" s="15">
        <v>1</v>
      </c>
      <c r="K17" s="15">
        <v>1</v>
      </c>
      <c r="L17" s="17"/>
      <c r="M17" s="17"/>
      <c r="N17" s="17"/>
      <c r="O17" s="17"/>
      <c r="P17" s="17"/>
      <c r="Q17" s="17"/>
      <c r="R17" s="17"/>
      <c r="S17" s="15"/>
      <c r="T17" s="25">
        <v>45699</v>
      </c>
      <c r="U17" s="15" t="s">
        <v>146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4"/>
      <c r="B18" s="134"/>
      <c r="C18" s="85" t="s">
        <v>216</v>
      </c>
      <c r="D18" s="110" t="s">
        <v>194</v>
      </c>
      <c r="E18" s="18" t="s">
        <v>38</v>
      </c>
      <c r="F18" s="16"/>
      <c r="G18" s="18" t="s">
        <v>178</v>
      </c>
      <c r="H18" s="15"/>
      <c r="I18" s="15"/>
      <c r="J18" s="18">
        <v>1</v>
      </c>
      <c r="K18" s="15">
        <v>1</v>
      </c>
      <c r="L18" s="19"/>
      <c r="M18" s="19"/>
      <c r="N18" s="19"/>
      <c r="O18" s="19"/>
      <c r="P18" s="19"/>
      <c r="Q18" s="19"/>
      <c r="R18" s="19"/>
      <c r="S18" s="15"/>
      <c r="T18" s="25">
        <v>45699</v>
      </c>
      <c r="U18" s="15" t="s">
        <v>146</v>
      </c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4"/>
      <c r="B19" s="134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4"/>
      <c r="B20" s="134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4"/>
      <c r="B21" s="134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4"/>
      <c r="B22" s="134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4"/>
      <c r="B23" s="134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4"/>
      <c r="B24" s="134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4"/>
      <c r="B25" s="134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289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4"/>
      <c r="B26" s="134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5"/>
      <c r="B27" s="135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163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16</v>
      </c>
      <c r="D28" s="112"/>
      <c r="E28" s="29"/>
      <c r="F28" s="29" t="s">
        <v>34</v>
      </c>
      <c r="G28" s="29">
        <f>COUNTIF(G3:G27,"S")</f>
        <v>16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8</v>
      </c>
      <c r="K28" s="29">
        <f t="shared" si="0"/>
        <v>8</v>
      </c>
      <c r="L28" s="29">
        <f t="shared" si="0"/>
        <v>0</v>
      </c>
      <c r="M28" s="29">
        <f t="shared" si="0"/>
        <v>4</v>
      </c>
      <c r="N28" s="29">
        <f t="shared" si="0"/>
        <v>4</v>
      </c>
      <c r="O28" s="29">
        <f t="shared" si="0"/>
        <v>3</v>
      </c>
      <c r="P28" s="29">
        <f t="shared" si="0"/>
        <v>1</v>
      </c>
      <c r="Q28" s="29">
        <f t="shared" si="0"/>
        <v>6</v>
      </c>
      <c r="R28" s="29">
        <f t="shared" si="0"/>
        <v>3</v>
      </c>
      <c r="S28" s="29">
        <f t="shared" si="0"/>
        <v>0</v>
      </c>
      <c r="T28" s="29" t="s">
        <v>64</v>
      </c>
      <c r="U28" s="29">
        <f>COUNTIF(H3:H27,"M")</f>
        <v>0</v>
      </c>
      <c r="AA28" s="138" t="s">
        <v>104</v>
      </c>
      <c r="AB28" s="139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37</v>
      </c>
      <c r="T29" s="29"/>
      <c r="U29" s="29"/>
      <c r="X29" t="s">
        <v>136</v>
      </c>
      <c r="AA29" s="140"/>
      <c r="AB29" s="141"/>
      <c r="AC29" s="154">
        <f>SUM(AC28:AE28)</f>
        <v>0</v>
      </c>
      <c r="AD29" s="155"/>
      <c r="AE29" s="156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AYG098</v>
      </c>
      <c r="B31" s="24">
        <f>B1</f>
        <v>45671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6" t="s">
        <v>119</v>
      </c>
      <c r="Y32" s="142"/>
      <c r="AA32" s="149" t="s">
        <v>47</v>
      </c>
      <c r="AB32" s="150"/>
    </row>
    <row r="33" spans="1:29" ht="19.5" thickTop="1" x14ac:dyDescent="0.4">
      <c r="A33" s="143">
        <v>2</v>
      </c>
      <c r="B33" s="133">
        <v>23.2</v>
      </c>
      <c r="C33" s="85" t="s">
        <v>217</v>
      </c>
      <c r="D33" s="109" t="s">
        <v>193</v>
      </c>
      <c r="E33" s="15" t="s">
        <v>58</v>
      </c>
      <c r="F33" s="14"/>
      <c r="G33" s="12" t="s">
        <v>178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>
        <v>1</v>
      </c>
      <c r="T33" s="25">
        <v>45714</v>
      </c>
      <c r="U33" s="13" t="s">
        <v>146</v>
      </c>
      <c r="V33">
        <v>1</v>
      </c>
      <c r="X33" s="51" t="s">
        <v>106</v>
      </c>
      <c r="Y33" s="52">
        <f>COUNTIF(U33:U57,"K")</f>
        <v>6</v>
      </c>
      <c r="AA33" s="31" t="s">
        <v>46</v>
      </c>
      <c r="AB33" s="32">
        <f>J28+J178+J148+J118+J208+J238+J268+J298+J328+J358</f>
        <v>84</v>
      </c>
    </row>
    <row r="34" spans="1:29" x14ac:dyDescent="0.4">
      <c r="A34" s="144"/>
      <c r="B34" s="134"/>
      <c r="C34" s="85" t="s">
        <v>218</v>
      </c>
      <c r="D34" s="109" t="s">
        <v>181</v>
      </c>
      <c r="E34" s="15" t="s">
        <v>40</v>
      </c>
      <c r="F34" s="16"/>
      <c r="G34" s="12" t="s">
        <v>178</v>
      </c>
      <c r="H34" s="15"/>
      <c r="I34" s="13"/>
      <c r="J34" s="15"/>
      <c r="K34" s="15"/>
      <c r="L34" s="17"/>
      <c r="M34" s="17"/>
      <c r="N34" s="13"/>
      <c r="O34" s="17">
        <v>1</v>
      </c>
      <c r="P34" s="17">
        <v>1</v>
      </c>
      <c r="Q34" s="17"/>
      <c r="R34" s="17"/>
      <c r="S34" s="15"/>
      <c r="T34" s="25">
        <v>45714</v>
      </c>
      <c r="U34" s="13" t="s">
        <v>148</v>
      </c>
      <c r="V34">
        <v>2</v>
      </c>
      <c r="X34" s="51" t="s">
        <v>107</v>
      </c>
      <c r="Y34" s="52">
        <f>COUNTIF(U33:U57,"R")</f>
        <v>3</v>
      </c>
      <c r="AA34" s="31" t="s">
        <v>48</v>
      </c>
      <c r="AB34" s="32">
        <f>K28+K178+K148+K118+K208+K238+K268+K298+K328+K358</f>
        <v>37</v>
      </c>
    </row>
    <row r="35" spans="1:29" ht="19.5" thickBot="1" x14ac:dyDescent="0.45">
      <c r="A35" s="144"/>
      <c r="B35" s="134"/>
      <c r="C35" s="85" t="s">
        <v>219</v>
      </c>
      <c r="D35" s="109" t="s">
        <v>186</v>
      </c>
      <c r="E35" s="15" t="s">
        <v>39</v>
      </c>
      <c r="F35" s="16"/>
      <c r="G35" s="12" t="s">
        <v>178</v>
      </c>
      <c r="H35" s="13"/>
      <c r="I35" s="13"/>
      <c r="J35" s="15">
        <v>1</v>
      </c>
      <c r="K35" s="15"/>
      <c r="L35" s="17">
        <v>1</v>
      </c>
      <c r="M35" s="17"/>
      <c r="N35" s="13"/>
      <c r="O35" s="17"/>
      <c r="P35" s="17"/>
      <c r="Q35" s="17"/>
      <c r="R35" s="17"/>
      <c r="S35" s="15"/>
      <c r="T35" s="25">
        <v>45719</v>
      </c>
      <c r="U35" s="13" t="s">
        <v>146</v>
      </c>
      <c r="V35">
        <v>3</v>
      </c>
      <c r="X35" s="53" t="s">
        <v>108</v>
      </c>
      <c r="Y35" s="54">
        <f>COUNTIF(U33:U57,"J")</f>
        <v>2</v>
      </c>
      <c r="AA35" s="31" t="s">
        <v>49</v>
      </c>
      <c r="AB35" s="32">
        <f>L28+L178+L148+L118+L208+L238+L268+L298+L328+L358</f>
        <v>31</v>
      </c>
    </row>
    <row r="36" spans="1:29" x14ac:dyDescent="0.4">
      <c r="A36" s="144"/>
      <c r="B36" s="134"/>
      <c r="C36" s="85" t="s">
        <v>220</v>
      </c>
      <c r="D36" s="109" t="s">
        <v>186</v>
      </c>
      <c r="E36" s="15" t="s">
        <v>39</v>
      </c>
      <c r="F36" s="16"/>
      <c r="G36" s="12" t="s">
        <v>195</v>
      </c>
      <c r="H36" s="15"/>
      <c r="I36" s="13"/>
      <c r="J36" s="13">
        <v>1</v>
      </c>
      <c r="K36" s="15"/>
      <c r="L36" s="17">
        <v>1</v>
      </c>
      <c r="M36" s="17"/>
      <c r="N36" s="13"/>
      <c r="O36" s="17"/>
      <c r="P36" s="17"/>
      <c r="Q36" s="17"/>
      <c r="R36" s="17"/>
      <c r="S36" s="15"/>
      <c r="T36" s="25">
        <v>45719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17</v>
      </c>
    </row>
    <row r="37" spans="1:29" x14ac:dyDescent="0.4">
      <c r="A37" s="144"/>
      <c r="B37" s="134"/>
      <c r="C37" s="85" t="s">
        <v>221</v>
      </c>
      <c r="D37" s="109" t="s">
        <v>186</v>
      </c>
      <c r="E37" s="15" t="s">
        <v>39</v>
      </c>
      <c r="F37" s="16"/>
      <c r="G37" s="12" t="s">
        <v>195</v>
      </c>
      <c r="H37" s="15"/>
      <c r="I37" s="13"/>
      <c r="J37" s="15">
        <v>1</v>
      </c>
      <c r="K37" s="15"/>
      <c r="L37" s="17">
        <v>1</v>
      </c>
      <c r="M37" s="17"/>
      <c r="N37" s="13"/>
      <c r="O37" s="17"/>
      <c r="P37" s="17"/>
      <c r="Q37" s="17"/>
      <c r="R37" s="17"/>
      <c r="S37" s="15"/>
      <c r="T37" s="25">
        <v>45719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14</v>
      </c>
    </row>
    <row r="38" spans="1:29" x14ac:dyDescent="0.4">
      <c r="A38" s="144"/>
      <c r="B38" s="134"/>
      <c r="C38" s="85" t="s">
        <v>222</v>
      </c>
      <c r="D38" s="109" t="s">
        <v>186</v>
      </c>
      <c r="E38" s="15" t="s">
        <v>39</v>
      </c>
      <c r="F38" s="16"/>
      <c r="G38" s="12" t="s">
        <v>195</v>
      </c>
      <c r="H38" s="13"/>
      <c r="I38" s="13"/>
      <c r="J38" s="15">
        <v>1</v>
      </c>
      <c r="K38" s="15"/>
      <c r="L38" s="17">
        <v>1</v>
      </c>
      <c r="M38" s="17"/>
      <c r="N38" s="13"/>
      <c r="O38" s="17"/>
      <c r="P38" s="17"/>
      <c r="Q38" s="17"/>
      <c r="R38" s="17"/>
      <c r="S38" s="15"/>
      <c r="T38" s="25">
        <v>45719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18</v>
      </c>
    </row>
    <row r="39" spans="1:29" x14ac:dyDescent="0.4">
      <c r="A39" s="144"/>
      <c r="B39" s="134"/>
      <c r="C39" s="85" t="s">
        <v>223</v>
      </c>
      <c r="D39" s="109" t="s">
        <v>186</v>
      </c>
      <c r="E39" s="15" t="s">
        <v>39</v>
      </c>
      <c r="F39" s="16"/>
      <c r="G39" s="12" t="s">
        <v>195</v>
      </c>
      <c r="H39" s="15"/>
      <c r="I39" s="13"/>
      <c r="J39" s="15">
        <v>1</v>
      </c>
      <c r="K39" s="15"/>
      <c r="L39" s="17">
        <v>1</v>
      </c>
      <c r="M39" s="17"/>
      <c r="N39" s="13"/>
      <c r="O39" s="17"/>
      <c r="P39" s="17"/>
      <c r="Q39" s="17"/>
      <c r="R39" s="17"/>
      <c r="S39" s="15"/>
      <c r="T39" s="25">
        <v>45719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14</v>
      </c>
    </row>
    <row r="40" spans="1:29" x14ac:dyDescent="0.4">
      <c r="A40" s="144"/>
      <c r="B40" s="134"/>
      <c r="C40" s="85" t="s">
        <v>224</v>
      </c>
      <c r="D40" s="109" t="s">
        <v>189</v>
      </c>
      <c r="E40" s="15" t="s">
        <v>42</v>
      </c>
      <c r="F40" s="16"/>
      <c r="G40" s="12" t="s">
        <v>178</v>
      </c>
      <c r="H40" s="15"/>
      <c r="I40" s="13"/>
      <c r="J40" s="15"/>
      <c r="K40" s="15"/>
      <c r="L40" s="17"/>
      <c r="M40" s="17"/>
      <c r="N40" s="13"/>
      <c r="O40" s="17"/>
      <c r="P40" s="17"/>
      <c r="Q40" s="17"/>
      <c r="R40" s="17"/>
      <c r="S40" s="15"/>
      <c r="T40" s="25">
        <v>45710</v>
      </c>
      <c r="U40" s="13" t="s">
        <v>147</v>
      </c>
      <c r="V40">
        <v>8</v>
      </c>
      <c r="AA40" s="31" t="s">
        <v>54</v>
      </c>
      <c r="AB40" s="32">
        <f>Q28+Q178+Q148+Q118+Q208+Q238+Q268+Q298+Q328+Q358</f>
        <v>27</v>
      </c>
    </row>
    <row r="41" spans="1:29" x14ac:dyDescent="0.4">
      <c r="A41" s="144"/>
      <c r="B41" s="134"/>
      <c r="C41" s="85" t="s">
        <v>225</v>
      </c>
      <c r="D41" s="109" t="s">
        <v>189</v>
      </c>
      <c r="E41" s="15" t="s">
        <v>41</v>
      </c>
      <c r="F41" s="16"/>
      <c r="G41" s="12" t="s">
        <v>178</v>
      </c>
      <c r="H41" s="15"/>
      <c r="I41" s="13"/>
      <c r="J41" s="15"/>
      <c r="K41" s="15"/>
      <c r="L41" s="17"/>
      <c r="M41" s="17"/>
      <c r="N41" s="13">
        <v>1</v>
      </c>
      <c r="O41" s="17"/>
      <c r="P41" s="17"/>
      <c r="Q41" s="17">
        <v>1</v>
      </c>
      <c r="R41" s="17"/>
      <c r="S41" s="15"/>
      <c r="T41" s="25">
        <v>45716</v>
      </c>
      <c r="U41" s="13" t="s">
        <v>147</v>
      </c>
      <c r="V41">
        <v>9</v>
      </c>
      <c r="AA41" s="31" t="s">
        <v>55</v>
      </c>
      <c r="AB41" s="32">
        <f>R28+R178+R148+R118+R208+R238+R268+R298+R328+R358</f>
        <v>10</v>
      </c>
      <c r="AC41" t="s">
        <v>123</v>
      </c>
    </row>
    <row r="42" spans="1:29" ht="19.5" thickBot="1" x14ac:dyDescent="0.45">
      <c r="A42" s="144"/>
      <c r="B42" s="134"/>
      <c r="C42" s="85" t="s">
        <v>226</v>
      </c>
      <c r="D42" s="109" t="s">
        <v>189</v>
      </c>
      <c r="E42" s="15" t="s">
        <v>41</v>
      </c>
      <c r="F42" s="16"/>
      <c r="G42" s="12" t="s">
        <v>178</v>
      </c>
      <c r="H42" s="15"/>
      <c r="I42" s="15"/>
      <c r="J42" s="15"/>
      <c r="K42" s="15"/>
      <c r="L42" s="17"/>
      <c r="M42" s="17"/>
      <c r="N42" s="17">
        <v>1</v>
      </c>
      <c r="O42" s="17"/>
      <c r="P42" s="17"/>
      <c r="Q42" s="17">
        <v>1</v>
      </c>
      <c r="R42" s="17"/>
      <c r="S42" s="15"/>
      <c r="T42" s="25">
        <v>45716</v>
      </c>
      <c r="U42" s="13" t="s">
        <v>147</v>
      </c>
      <c r="V42">
        <v>10</v>
      </c>
      <c r="AA42" s="33" t="s">
        <v>56</v>
      </c>
      <c r="AB42" s="34">
        <f>S28+S178+S148+S118+S208+S238+S268+S298+S328+S358</f>
        <v>10</v>
      </c>
      <c r="AC42" s="73">
        <f>SUM(AB33:AB42)</f>
        <v>262</v>
      </c>
    </row>
    <row r="43" spans="1:29" ht="19.5" thickBot="1" x14ac:dyDescent="0.45">
      <c r="A43" s="144"/>
      <c r="B43" s="134"/>
      <c r="C43" s="85" t="s">
        <v>227</v>
      </c>
      <c r="D43" s="109" t="s">
        <v>179</v>
      </c>
      <c r="E43" s="15" t="s">
        <v>40</v>
      </c>
      <c r="F43" s="16"/>
      <c r="G43" s="12" t="s">
        <v>178</v>
      </c>
      <c r="H43" s="15"/>
      <c r="I43" s="15"/>
      <c r="J43" s="15"/>
      <c r="K43" s="15"/>
      <c r="L43" s="17"/>
      <c r="M43" s="17"/>
      <c r="N43" s="17"/>
      <c r="O43" s="17">
        <v>1</v>
      </c>
      <c r="P43" s="17">
        <v>1</v>
      </c>
      <c r="Q43" s="17"/>
      <c r="R43" s="17"/>
      <c r="S43" s="15"/>
      <c r="T43" s="25">
        <v>45698</v>
      </c>
      <c r="U43" s="13" t="s">
        <v>148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4"/>
      <c r="B44" s="134"/>
      <c r="C44" s="85"/>
      <c r="D44" s="109"/>
      <c r="E44" s="15"/>
      <c r="F44" s="16"/>
      <c r="G44" s="12"/>
      <c r="H44" s="15"/>
      <c r="I44" s="15"/>
      <c r="J44" s="15"/>
      <c r="K44" s="15"/>
      <c r="L44" s="17"/>
      <c r="M44" s="17"/>
      <c r="N44" s="17"/>
      <c r="O44" s="17"/>
      <c r="P44" s="17"/>
      <c r="Q44" s="17"/>
      <c r="R44" s="17"/>
      <c r="S44" s="15"/>
      <c r="T44" s="25"/>
      <c r="U44" s="13"/>
      <c r="V44">
        <v>12</v>
      </c>
      <c r="AA44" s="103" t="s">
        <v>66</v>
      </c>
      <c r="AB44" s="104">
        <f>H28+H58+H88+H118+H148+H178+H208+H238+H268+H298+H328+H358</f>
        <v>4</v>
      </c>
    </row>
    <row r="45" spans="1:29" x14ac:dyDescent="0.4">
      <c r="A45" s="144"/>
      <c r="B45" s="134"/>
      <c r="C45" s="85"/>
      <c r="D45" s="109"/>
      <c r="E45" s="15"/>
      <c r="F45" s="16"/>
      <c r="G45" s="12"/>
      <c r="H45" s="15"/>
      <c r="I45" s="15"/>
      <c r="J45" s="15"/>
      <c r="K45" s="15"/>
      <c r="L45" s="17"/>
      <c r="M45" s="17"/>
      <c r="N45" s="17"/>
      <c r="O45" s="17"/>
      <c r="P45" s="17"/>
      <c r="Q45" s="17"/>
      <c r="R45" s="17"/>
      <c r="S45" s="15"/>
      <c r="T45" s="25"/>
      <c r="U45" s="13"/>
      <c r="V45">
        <v>13</v>
      </c>
      <c r="AA45" s="35" t="s">
        <v>65</v>
      </c>
      <c r="AB45" s="36">
        <f>H29+H59+H89+H119+H149+H179+H209+H239+H269+H299+H329+H359</f>
        <v>2</v>
      </c>
    </row>
    <row r="46" spans="1:29" x14ac:dyDescent="0.4">
      <c r="A46" s="144"/>
      <c r="B46" s="134"/>
      <c r="C46" s="85"/>
      <c r="D46" s="109"/>
      <c r="E46" s="15"/>
      <c r="F46" s="16"/>
      <c r="G46" s="12"/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/>
      <c r="U46" s="13"/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4"/>
      <c r="B47" s="134"/>
      <c r="C47" s="85"/>
      <c r="D47" s="106"/>
      <c r="E47" s="15"/>
      <c r="F47" s="16"/>
      <c r="G47" s="15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5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4"/>
      <c r="B48" s="134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44"/>
      <c r="B49" s="134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158</v>
      </c>
    </row>
    <row r="50" spans="1:28" ht="19.5" thickBot="1" x14ac:dyDescent="0.45">
      <c r="A50" s="144"/>
      <c r="B50" s="134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5</v>
      </c>
    </row>
    <row r="51" spans="1:28" ht="19.5" thickBot="1" x14ac:dyDescent="0.45">
      <c r="A51" s="144"/>
      <c r="B51" s="134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4"/>
      <c r="B52" s="134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1">
        <v>76</v>
      </c>
    </row>
    <row r="53" spans="1:28" ht="19.5" thickBot="1" x14ac:dyDescent="0.45">
      <c r="A53" s="144"/>
      <c r="B53" s="134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2"/>
    </row>
    <row r="54" spans="1:28" ht="19.5" thickBot="1" x14ac:dyDescent="0.45">
      <c r="A54" s="144"/>
      <c r="B54" s="134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4"/>
      <c r="B55" s="134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6" t="s">
        <v>73</v>
      </c>
      <c r="AB55" s="45"/>
    </row>
    <row r="56" spans="1:28" ht="19.5" thickBot="1" x14ac:dyDescent="0.45">
      <c r="A56" s="144"/>
      <c r="B56" s="134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37"/>
      <c r="AB56" s="46"/>
    </row>
    <row r="57" spans="1:28" ht="19.5" thickBot="1" x14ac:dyDescent="0.45">
      <c r="A57" s="145"/>
      <c r="B57" s="135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6"/>
      <c r="AB57" s="45">
        <v>7</v>
      </c>
    </row>
    <row r="58" spans="1:28" ht="19.5" thickBot="1" x14ac:dyDescent="0.45">
      <c r="A58" s="27"/>
      <c r="B58" s="28"/>
      <c r="C58" s="88">
        <f>COUNTA(C33:C57)</f>
        <v>11</v>
      </c>
      <c r="D58" s="112"/>
      <c r="E58" s="29"/>
      <c r="F58" s="29" t="s">
        <v>34</v>
      </c>
      <c r="G58" s="29">
        <f>COUNTIF(G33:G57,"S")</f>
        <v>7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5</v>
      </c>
      <c r="K58" s="29">
        <f t="shared" si="1"/>
        <v>0</v>
      </c>
      <c r="L58" s="29">
        <f t="shared" si="1"/>
        <v>5</v>
      </c>
      <c r="M58" s="29">
        <f t="shared" si="1"/>
        <v>0</v>
      </c>
      <c r="N58" s="29">
        <f t="shared" si="1"/>
        <v>2</v>
      </c>
      <c r="O58" s="29">
        <f t="shared" si="1"/>
        <v>2</v>
      </c>
      <c r="P58" s="29">
        <f t="shared" si="1"/>
        <v>2</v>
      </c>
      <c r="Q58" s="29">
        <f t="shared" si="1"/>
        <v>2</v>
      </c>
      <c r="R58" s="29">
        <f t="shared" si="1"/>
        <v>0</v>
      </c>
      <c r="S58" s="29">
        <f t="shared" si="1"/>
        <v>1</v>
      </c>
      <c r="T58" s="29" t="s">
        <v>64</v>
      </c>
      <c r="U58" s="29">
        <f>COUNTIF(H33:H57,"M")</f>
        <v>0</v>
      </c>
      <c r="AA58" s="137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4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19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AYG098</v>
      </c>
      <c r="B61" s="24">
        <f>B1</f>
        <v>45671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6" t="s">
        <v>118</v>
      </c>
      <c r="Y62" s="142"/>
    </row>
    <row r="63" spans="1:28" ht="20.25" thickTop="1" thickBot="1" x14ac:dyDescent="0.45">
      <c r="A63" s="143">
        <v>3</v>
      </c>
      <c r="B63" s="146">
        <v>22</v>
      </c>
      <c r="C63" s="85" t="s">
        <v>228</v>
      </c>
      <c r="D63" s="109" t="s">
        <v>198</v>
      </c>
      <c r="E63" s="15" t="s">
        <v>58</v>
      </c>
      <c r="F63" s="14"/>
      <c r="G63" s="12" t="s">
        <v>178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25">
        <v>45684</v>
      </c>
      <c r="U63" s="13" t="s">
        <v>147</v>
      </c>
      <c r="V63">
        <v>1</v>
      </c>
      <c r="X63" s="51" t="s">
        <v>106</v>
      </c>
      <c r="Y63" s="52">
        <f>COUNTIF(U63:U87,"K")</f>
        <v>13</v>
      </c>
      <c r="AA63" s="59" t="s">
        <v>120</v>
      </c>
      <c r="AB63" s="60" t="s">
        <v>121</v>
      </c>
    </row>
    <row r="64" spans="1:28" x14ac:dyDescent="0.4">
      <c r="A64" s="144"/>
      <c r="B64" s="147"/>
      <c r="C64" s="85" t="s">
        <v>230</v>
      </c>
      <c r="D64" s="109" t="s">
        <v>229</v>
      </c>
      <c r="E64" s="15" t="s">
        <v>41</v>
      </c>
      <c r="F64" s="16"/>
      <c r="G64" s="12" t="s">
        <v>178</v>
      </c>
      <c r="H64" s="15"/>
      <c r="I64" s="15"/>
      <c r="J64" s="13">
        <v>1</v>
      </c>
      <c r="K64" s="15">
        <v>1</v>
      </c>
      <c r="L64" s="13"/>
      <c r="M64" s="17"/>
      <c r="N64" s="17"/>
      <c r="O64" s="17"/>
      <c r="P64" s="17"/>
      <c r="Q64" s="17"/>
      <c r="R64" s="17"/>
      <c r="S64" s="15"/>
      <c r="T64" s="25">
        <v>45705</v>
      </c>
      <c r="U64" s="13" t="s">
        <v>142</v>
      </c>
      <c r="V64">
        <v>2</v>
      </c>
      <c r="X64" s="51" t="s">
        <v>107</v>
      </c>
      <c r="Y64" s="52">
        <f>COUNTIF(U63:U87,"R")</f>
        <v>3</v>
      </c>
      <c r="AA64" s="47" t="s">
        <v>81</v>
      </c>
      <c r="AB64" s="48" t="s">
        <v>60</v>
      </c>
    </row>
    <row r="65" spans="1:28" ht="19.5" thickBot="1" x14ac:dyDescent="0.45">
      <c r="A65" s="144"/>
      <c r="B65" s="147"/>
      <c r="C65" s="85" t="s">
        <v>231</v>
      </c>
      <c r="D65" s="109" t="s">
        <v>229</v>
      </c>
      <c r="E65" s="15" t="s">
        <v>42</v>
      </c>
      <c r="F65" s="16"/>
      <c r="G65" s="12" t="s">
        <v>178</v>
      </c>
      <c r="H65" s="15"/>
      <c r="I65" s="15"/>
      <c r="J65" s="13"/>
      <c r="K65" s="15"/>
      <c r="L65" s="13"/>
      <c r="M65" s="17"/>
      <c r="N65" s="17"/>
      <c r="O65" s="17"/>
      <c r="P65" s="17"/>
      <c r="Q65" s="17"/>
      <c r="R65" s="17"/>
      <c r="S65" s="15">
        <v>1</v>
      </c>
      <c r="T65" s="25">
        <v>45705</v>
      </c>
      <c r="U65" s="13" t="s">
        <v>146</v>
      </c>
      <c r="V65">
        <v>3</v>
      </c>
      <c r="X65" s="53" t="s">
        <v>108</v>
      </c>
      <c r="Y65" s="54">
        <f>COUNTIF(U63:U87,"J")</f>
        <v>1</v>
      </c>
      <c r="AA65" s="49" t="s">
        <v>82</v>
      </c>
      <c r="AB65" s="50" t="s">
        <v>39</v>
      </c>
    </row>
    <row r="66" spans="1:28" x14ac:dyDescent="0.4">
      <c r="A66" s="144"/>
      <c r="B66" s="147"/>
      <c r="C66" s="85" t="s">
        <v>232</v>
      </c>
      <c r="D66" s="109" t="s">
        <v>229</v>
      </c>
      <c r="E66" s="15" t="s">
        <v>41</v>
      </c>
      <c r="F66" s="16"/>
      <c r="G66" s="12" t="s">
        <v>178</v>
      </c>
      <c r="H66" s="13"/>
      <c r="I66" s="15"/>
      <c r="J66" s="13">
        <v>1</v>
      </c>
      <c r="K66" s="15">
        <v>1</v>
      </c>
      <c r="L66" s="13"/>
      <c r="M66" s="17"/>
      <c r="N66" s="17"/>
      <c r="O66" s="17"/>
      <c r="P66" s="17"/>
      <c r="Q66" s="17"/>
      <c r="R66" s="17"/>
      <c r="S66" s="15"/>
      <c r="T66" s="25">
        <v>45705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44"/>
      <c r="B67" s="147"/>
      <c r="C67" s="85" t="s">
        <v>233</v>
      </c>
      <c r="D67" s="109" t="s">
        <v>187</v>
      </c>
      <c r="E67" s="15" t="s">
        <v>58</v>
      </c>
      <c r="F67" s="16"/>
      <c r="G67" s="12" t="s">
        <v>178</v>
      </c>
      <c r="H67" s="15"/>
      <c r="I67" s="15"/>
      <c r="J67" s="13"/>
      <c r="K67" s="15"/>
      <c r="L67" s="13"/>
      <c r="M67" s="17"/>
      <c r="N67" s="17"/>
      <c r="O67" s="17"/>
      <c r="P67" s="17"/>
      <c r="Q67" s="17"/>
      <c r="R67" s="17"/>
      <c r="S67" s="15"/>
      <c r="T67" s="25">
        <v>45709</v>
      </c>
      <c r="U67" s="13" t="s">
        <v>147</v>
      </c>
      <c r="V67">
        <v>5</v>
      </c>
      <c r="AA67" s="49" t="s">
        <v>84</v>
      </c>
      <c r="AB67" s="50" t="s">
        <v>44</v>
      </c>
    </row>
    <row r="68" spans="1:28" x14ac:dyDescent="0.4">
      <c r="A68" s="144"/>
      <c r="B68" s="147"/>
      <c r="C68" s="85" t="s">
        <v>234</v>
      </c>
      <c r="D68" s="109" t="s">
        <v>182</v>
      </c>
      <c r="E68" s="15" t="s">
        <v>40</v>
      </c>
      <c r="F68" s="16"/>
      <c r="G68" s="12" t="s">
        <v>178</v>
      </c>
      <c r="H68" s="15"/>
      <c r="I68" s="15"/>
      <c r="J68" s="13"/>
      <c r="K68" s="15"/>
      <c r="L68" s="13"/>
      <c r="M68" s="17"/>
      <c r="N68" s="17"/>
      <c r="O68" s="17">
        <v>1</v>
      </c>
      <c r="P68" s="17">
        <v>1</v>
      </c>
      <c r="Q68" s="17">
        <v>1</v>
      </c>
      <c r="R68" s="17"/>
      <c r="S68" s="15"/>
      <c r="T68" s="25">
        <v>45703</v>
      </c>
      <c r="U68" s="13" t="s">
        <v>148</v>
      </c>
      <c r="V68">
        <v>6</v>
      </c>
      <c r="AA68" s="49" t="s">
        <v>85</v>
      </c>
      <c r="AB68" s="50" t="s">
        <v>43</v>
      </c>
    </row>
    <row r="69" spans="1:28" x14ac:dyDescent="0.4">
      <c r="A69" s="144"/>
      <c r="B69" s="147"/>
      <c r="C69" s="85" t="s">
        <v>235</v>
      </c>
      <c r="D69" s="109" t="s">
        <v>179</v>
      </c>
      <c r="E69" s="15" t="s">
        <v>36</v>
      </c>
      <c r="F69" s="16"/>
      <c r="G69" s="12" t="s">
        <v>178</v>
      </c>
      <c r="H69" s="15"/>
      <c r="I69" s="15"/>
      <c r="J69" s="13">
        <v>1</v>
      </c>
      <c r="K69" s="15"/>
      <c r="L69" s="13"/>
      <c r="M69" s="17"/>
      <c r="N69" s="17"/>
      <c r="O69" s="17"/>
      <c r="P69" s="17"/>
      <c r="Q69" s="17"/>
      <c r="R69" s="17"/>
      <c r="S69" s="15"/>
      <c r="T69" s="25">
        <v>45701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44"/>
      <c r="B70" s="147"/>
      <c r="C70" s="85" t="s">
        <v>236</v>
      </c>
      <c r="D70" s="109" t="s">
        <v>179</v>
      </c>
      <c r="E70" s="15" t="s">
        <v>42</v>
      </c>
      <c r="F70" s="16"/>
      <c r="G70" s="12" t="s">
        <v>178</v>
      </c>
      <c r="H70" s="15"/>
      <c r="I70" s="15"/>
      <c r="J70" s="13"/>
      <c r="K70" s="15"/>
      <c r="L70" s="13"/>
      <c r="M70" s="17"/>
      <c r="N70" s="17"/>
      <c r="O70" s="17"/>
      <c r="P70" s="17"/>
      <c r="Q70" s="17"/>
      <c r="R70" s="17"/>
      <c r="S70" s="15"/>
      <c r="T70" s="25">
        <v>45696</v>
      </c>
      <c r="U70" s="13" t="s">
        <v>147</v>
      </c>
      <c r="V70">
        <v>8</v>
      </c>
      <c r="AA70" s="49" t="s">
        <v>87</v>
      </c>
      <c r="AB70" s="50" t="s">
        <v>37</v>
      </c>
    </row>
    <row r="71" spans="1:28" x14ac:dyDescent="0.4">
      <c r="A71" s="144"/>
      <c r="B71" s="147"/>
      <c r="C71" s="85" t="s">
        <v>237</v>
      </c>
      <c r="D71" s="109" t="s">
        <v>179</v>
      </c>
      <c r="E71" s="15" t="s">
        <v>38</v>
      </c>
      <c r="F71" s="16"/>
      <c r="G71" s="12" t="s">
        <v>178</v>
      </c>
      <c r="H71" s="15"/>
      <c r="I71" s="15"/>
      <c r="J71" s="13">
        <v>1</v>
      </c>
      <c r="K71" s="15">
        <v>1</v>
      </c>
      <c r="L71" s="13"/>
      <c r="M71" s="17"/>
      <c r="N71" s="17"/>
      <c r="O71" s="17"/>
      <c r="P71" s="17"/>
      <c r="Q71" s="17"/>
      <c r="R71" s="17"/>
      <c r="S71" s="15"/>
      <c r="T71" s="25">
        <v>45690</v>
      </c>
      <c r="U71" s="13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44"/>
      <c r="B72" s="147"/>
      <c r="C72" s="85" t="s">
        <v>239</v>
      </c>
      <c r="D72" s="109" t="s">
        <v>238</v>
      </c>
      <c r="E72" s="15" t="s">
        <v>38</v>
      </c>
      <c r="F72" s="16"/>
      <c r="G72" s="12" t="s">
        <v>178</v>
      </c>
      <c r="H72" s="15"/>
      <c r="I72" s="15"/>
      <c r="J72" s="13">
        <v>1</v>
      </c>
      <c r="K72" s="15">
        <v>1</v>
      </c>
      <c r="L72" s="13"/>
      <c r="M72" s="17"/>
      <c r="N72" s="17"/>
      <c r="O72" s="17"/>
      <c r="P72" s="17"/>
      <c r="Q72" s="17"/>
      <c r="R72" s="17"/>
      <c r="S72" s="15"/>
      <c r="T72" s="25">
        <v>45702</v>
      </c>
      <c r="U72" s="13" t="s">
        <v>146</v>
      </c>
      <c r="V72">
        <v>10</v>
      </c>
      <c r="AA72" s="49" t="s">
        <v>89</v>
      </c>
      <c r="AB72" s="50" t="s">
        <v>36</v>
      </c>
    </row>
    <row r="73" spans="1:28" x14ac:dyDescent="0.4">
      <c r="A73" s="144"/>
      <c r="B73" s="147"/>
      <c r="C73" s="85" t="s">
        <v>240</v>
      </c>
      <c r="D73" s="109" t="s">
        <v>238</v>
      </c>
      <c r="E73" s="15" t="s">
        <v>38</v>
      </c>
      <c r="F73" s="16"/>
      <c r="G73" s="15" t="s">
        <v>178</v>
      </c>
      <c r="H73" s="15"/>
      <c r="I73" s="15"/>
      <c r="J73" s="15"/>
      <c r="K73" s="15"/>
      <c r="L73" s="17"/>
      <c r="M73" s="17"/>
      <c r="N73" s="17"/>
      <c r="O73" s="17"/>
      <c r="P73" s="17"/>
      <c r="Q73" s="17"/>
      <c r="R73" s="17"/>
      <c r="S73" s="15"/>
      <c r="T73" s="25">
        <v>45702</v>
      </c>
      <c r="U73" s="15" t="s">
        <v>146</v>
      </c>
      <c r="V73">
        <v>11</v>
      </c>
      <c r="AA73" s="49" t="s">
        <v>90</v>
      </c>
      <c r="AB73" s="50" t="s">
        <v>58</v>
      </c>
    </row>
    <row r="74" spans="1:28" x14ac:dyDescent="0.4">
      <c r="A74" s="144"/>
      <c r="B74" s="147"/>
      <c r="C74" s="85" t="s">
        <v>241</v>
      </c>
      <c r="D74" s="109" t="s">
        <v>238</v>
      </c>
      <c r="E74" s="15" t="s">
        <v>38</v>
      </c>
      <c r="F74" s="16"/>
      <c r="G74" s="15" t="s">
        <v>178</v>
      </c>
      <c r="H74" s="15"/>
      <c r="I74" s="15"/>
      <c r="J74" s="15"/>
      <c r="K74" s="15"/>
      <c r="L74" s="17"/>
      <c r="M74" s="17"/>
      <c r="N74" s="17"/>
      <c r="O74" s="17"/>
      <c r="P74" s="17"/>
      <c r="Q74" s="17"/>
      <c r="R74" s="17"/>
      <c r="S74" s="15"/>
      <c r="T74" s="25">
        <v>45702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44"/>
      <c r="B75" s="147"/>
      <c r="C75" s="85" t="s">
        <v>242</v>
      </c>
      <c r="D75" s="109" t="s">
        <v>238</v>
      </c>
      <c r="E75" s="15" t="s">
        <v>38</v>
      </c>
      <c r="F75" s="16"/>
      <c r="G75" s="15" t="s">
        <v>178</v>
      </c>
      <c r="H75" s="15"/>
      <c r="I75" s="15"/>
      <c r="J75" s="15"/>
      <c r="K75" s="15"/>
      <c r="L75" s="17"/>
      <c r="M75" s="17"/>
      <c r="N75" s="17"/>
      <c r="O75" s="17"/>
      <c r="P75" s="17"/>
      <c r="Q75" s="17"/>
      <c r="R75" s="17"/>
      <c r="S75" s="15"/>
      <c r="T75" s="25">
        <v>45702</v>
      </c>
      <c r="U75" s="15" t="s">
        <v>146</v>
      </c>
      <c r="V75">
        <v>13</v>
      </c>
      <c r="AA75" s="49" t="s">
        <v>92</v>
      </c>
      <c r="AB75" s="50" t="s">
        <v>40</v>
      </c>
    </row>
    <row r="76" spans="1:28" x14ac:dyDescent="0.4">
      <c r="A76" s="144"/>
      <c r="B76" s="147"/>
      <c r="C76" s="85" t="s">
        <v>243</v>
      </c>
      <c r="D76" s="109" t="s">
        <v>238</v>
      </c>
      <c r="E76" s="15" t="s">
        <v>38</v>
      </c>
      <c r="F76" s="16"/>
      <c r="G76" s="15" t="s">
        <v>178</v>
      </c>
      <c r="H76" s="15"/>
      <c r="I76" s="15"/>
      <c r="J76" s="15"/>
      <c r="K76" s="15"/>
      <c r="L76" s="17"/>
      <c r="M76" s="17"/>
      <c r="N76" s="17"/>
      <c r="O76" s="17"/>
      <c r="P76" s="17"/>
      <c r="Q76" s="17"/>
      <c r="R76" s="17"/>
      <c r="S76" s="15"/>
      <c r="T76" s="25">
        <v>45702</v>
      </c>
      <c r="U76" s="15" t="s">
        <v>146</v>
      </c>
      <c r="V76">
        <v>14</v>
      </c>
      <c r="AA76" s="49" t="s">
        <v>93</v>
      </c>
      <c r="AB76" s="50" t="s">
        <v>57</v>
      </c>
    </row>
    <row r="77" spans="1:28" x14ac:dyDescent="0.4">
      <c r="A77" s="144"/>
      <c r="B77" s="147"/>
      <c r="C77" s="85" t="s">
        <v>244</v>
      </c>
      <c r="D77" s="109" t="s">
        <v>238</v>
      </c>
      <c r="E77" s="15" t="s">
        <v>38</v>
      </c>
      <c r="F77" s="16"/>
      <c r="G77" s="15" t="s">
        <v>178</v>
      </c>
      <c r="H77" s="15"/>
      <c r="I77" s="15"/>
      <c r="J77" s="15"/>
      <c r="K77" s="15"/>
      <c r="L77" s="17"/>
      <c r="M77" s="17"/>
      <c r="N77" s="17"/>
      <c r="O77" s="17"/>
      <c r="P77" s="17"/>
      <c r="Q77" s="17"/>
      <c r="R77" s="17"/>
      <c r="S77" s="15"/>
      <c r="T77" s="25">
        <v>45702</v>
      </c>
      <c r="U77" s="15" t="s">
        <v>146</v>
      </c>
      <c r="V77">
        <v>15</v>
      </c>
      <c r="AA77" s="49" t="s">
        <v>94</v>
      </c>
      <c r="AB77" s="50" t="s">
        <v>41</v>
      </c>
    </row>
    <row r="78" spans="1:28" x14ac:dyDescent="0.4">
      <c r="A78" s="144"/>
      <c r="B78" s="147"/>
      <c r="C78" s="85" t="s">
        <v>245</v>
      </c>
      <c r="D78" s="109" t="s">
        <v>238</v>
      </c>
      <c r="E78" s="15" t="s">
        <v>38</v>
      </c>
      <c r="F78" s="16"/>
      <c r="G78" s="15" t="s">
        <v>178</v>
      </c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>
        <v>45702</v>
      </c>
      <c r="U78" s="15" t="s">
        <v>146</v>
      </c>
      <c r="V78">
        <v>16</v>
      </c>
      <c r="AA78" s="49" t="s">
        <v>95</v>
      </c>
      <c r="AB78" s="50" t="s">
        <v>42</v>
      </c>
    </row>
    <row r="79" spans="1:28" x14ac:dyDescent="0.4">
      <c r="A79" s="144"/>
      <c r="B79" s="147"/>
      <c r="C79" s="85" t="s">
        <v>246</v>
      </c>
      <c r="D79" s="109" t="s">
        <v>238</v>
      </c>
      <c r="E79" s="18" t="s">
        <v>38</v>
      </c>
      <c r="F79" s="16"/>
      <c r="G79" s="18" t="s">
        <v>178</v>
      </c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>
        <v>45702</v>
      </c>
      <c r="U79" s="15" t="s">
        <v>146</v>
      </c>
      <c r="V79">
        <v>17</v>
      </c>
      <c r="AA79" s="49" t="s">
        <v>96</v>
      </c>
      <c r="AB79" s="50" t="s">
        <v>61</v>
      </c>
    </row>
    <row r="80" spans="1:28" x14ac:dyDescent="0.4">
      <c r="A80" s="144"/>
      <c r="B80" s="147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4"/>
      <c r="B81" s="147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4"/>
      <c r="B82" s="147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4"/>
      <c r="B83" s="147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4"/>
      <c r="B84" s="147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4"/>
      <c r="B85" s="147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4"/>
      <c r="B86" s="147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5"/>
      <c r="B87" s="148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17</v>
      </c>
      <c r="D88" s="112"/>
      <c r="E88" s="29"/>
      <c r="F88" s="29" t="s">
        <v>34</v>
      </c>
      <c r="G88" s="29">
        <f>COUNTIF(G63:G87,"S")</f>
        <v>17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4</v>
      </c>
      <c r="L88" s="29">
        <f t="shared" si="2"/>
        <v>0</v>
      </c>
      <c r="M88" s="29">
        <f t="shared" si="2"/>
        <v>0</v>
      </c>
      <c r="N88" s="29">
        <f t="shared" si="2"/>
        <v>0</v>
      </c>
      <c r="O88" s="29">
        <f t="shared" si="2"/>
        <v>1</v>
      </c>
      <c r="P88" s="29">
        <f t="shared" si="2"/>
        <v>1</v>
      </c>
      <c r="Q88" s="29">
        <f t="shared" si="2"/>
        <v>1</v>
      </c>
      <c r="R88" s="29">
        <f t="shared" si="2"/>
        <v>0</v>
      </c>
      <c r="S88" s="29">
        <f t="shared" si="2"/>
        <v>1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8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AYG098</v>
      </c>
      <c r="B91" s="24">
        <f>B1</f>
        <v>45671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6" t="s">
        <v>117</v>
      </c>
      <c r="Y92" s="142"/>
    </row>
    <row r="93" spans="1:28" ht="20.25" thickTop="1" thickBot="1" x14ac:dyDescent="0.45">
      <c r="A93" s="143">
        <v>4</v>
      </c>
      <c r="B93" s="133">
        <v>20.2</v>
      </c>
      <c r="C93" s="85" t="s">
        <v>247</v>
      </c>
      <c r="D93" s="109" t="s">
        <v>181</v>
      </c>
      <c r="E93" s="15" t="s">
        <v>75</v>
      </c>
      <c r="F93" s="14"/>
      <c r="G93" s="12" t="s">
        <v>178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25">
        <v>45704</v>
      </c>
      <c r="U93" s="13" t="s">
        <v>147</v>
      </c>
      <c r="V93">
        <v>1</v>
      </c>
      <c r="X93" s="51" t="s">
        <v>106</v>
      </c>
      <c r="Y93" s="52">
        <f>COUNTIF(U93:U117,"K")</f>
        <v>4</v>
      </c>
      <c r="AA93" s="59" t="s">
        <v>120</v>
      </c>
      <c r="AB93" s="60" t="s">
        <v>121</v>
      </c>
    </row>
    <row r="94" spans="1:28" x14ac:dyDescent="0.4">
      <c r="A94" s="144"/>
      <c r="B94" s="134"/>
      <c r="C94" s="85" t="s">
        <v>248</v>
      </c>
      <c r="D94" s="109" t="s">
        <v>179</v>
      </c>
      <c r="E94" s="15" t="s">
        <v>36</v>
      </c>
      <c r="F94" s="16"/>
      <c r="G94" s="12" t="s">
        <v>178</v>
      </c>
      <c r="H94" s="15"/>
      <c r="I94" s="15"/>
      <c r="J94" s="15"/>
      <c r="K94" s="15"/>
      <c r="L94" s="17"/>
      <c r="M94" s="17">
        <v>1</v>
      </c>
      <c r="N94" s="17">
        <v>1</v>
      </c>
      <c r="O94" s="17"/>
      <c r="P94" s="17"/>
      <c r="Q94" s="17"/>
      <c r="R94" s="17"/>
      <c r="S94" s="15"/>
      <c r="T94" s="25">
        <v>45693</v>
      </c>
      <c r="U94" s="13" t="s">
        <v>147</v>
      </c>
      <c r="V94">
        <v>2</v>
      </c>
      <c r="X94" s="51" t="s">
        <v>107</v>
      </c>
      <c r="Y94" s="52">
        <f>COUNTIF(U93:U117,"R")</f>
        <v>6</v>
      </c>
      <c r="AA94" s="47" t="s">
        <v>81</v>
      </c>
      <c r="AB94" s="48" t="s">
        <v>60</v>
      </c>
    </row>
    <row r="95" spans="1:28" ht="19.5" thickBot="1" x14ac:dyDescent="0.45">
      <c r="A95" s="144"/>
      <c r="B95" s="134"/>
      <c r="C95" s="85" t="s">
        <v>249</v>
      </c>
      <c r="D95" s="109" t="s">
        <v>250</v>
      </c>
      <c r="E95" s="15" t="s">
        <v>39</v>
      </c>
      <c r="F95" s="16"/>
      <c r="G95" s="12" t="s">
        <v>178</v>
      </c>
      <c r="H95" s="15"/>
      <c r="I95" s="15"/>
      <c r="J95" s="15">
        <v>1</v>
      </c>
      <c r="K95" s="15">
        <v>1</v>
      </c>
      <c r="L95" s="17"/>
      <c r="M95" s="17"/>
      <c r="N95" s="17"/>
      <c r="O95" s="17"/>
      <c r="P95" s="17"/>
      <c r="Q95" s="17"/>
      <c r="R95" s="17"/>
      <c r="S95" s="15"/>
      <c r="T95" s="25">
        <v>45706</v>
      </c>
      <c r="U95" s="13" t="s">
        <v>142</v>
      </c>
      <c r="V95">
        <v>3</v>
      </c>
      <c r="X95" s="53" t="s">
        <v>108</v>
      </c>
      <c r="Y95" s="54">
        <f>COUNTIF(U93:U117,"J")</f>
        <v>2</v>
      </c>
      <c r="AA95" s="49" t="s">
        <v>122</v>
      </c>
      <c r="AB95" s="50" t="s">
        <v>39</v>
      </c>
    </row>
    <row r="96" spans="1:28" x14ac:dyDescent="0.4">
      <c r="A96" s="144"/>
      <c r="B96" s="134"/>
      <c r="C96" s="85" t="s">
        <v>251</v>
      </c>
      <c r="D96" s="109" t="s">
        <v>250</v>
      </c>
      <c r="E96" s="15" t="s">
        <v>37</v>
      </c>
      <c r="F96" s="16"/>
      <c r="G96" s="12" t="s">
        <v>178</v>
      </c>
      <c r="H96" s="15"/>
      <c r="I96" s="15"/>
      <c r="J96" s="15">
        <v>1</v>
      </c>
      <c r="K96" s="15">
        <v>1</v>
      </c>
      <c r="L96" s="17"/>
      <c r="M96" s="17"/>
      <c r="N96" s="17"/>
      <c r="O96" s="17"/>
      <c r="P96" s="17"/>
      <c r="Q96" s="17"/>
      <c r="R96" s="17"/>
      <c r="S96" s="15"/>
      <c r="T96" s="25">
        <v>45706</v>
      </c>
      <c r="U96" s="13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44"/>
      <c r="B97" s="134"/>
      <c r="C97" s="85" t="s">
        <v>252</v>
      </c>
      <c r="D97" s="109" t="s">
        <v>250</v>
      </c>
      <c r="E97" s="15" t="s">
        <v>39</v>
      </c>
      <c r="F97" s="16"/>
      <c r="G97" s="12" t="s">
        <v>178</v>
      </c>
      <c r="H97" s="15"/>
      <c r="I97" s="15"/>
      <c r="J97" s="15">
        <v>1</v>
      </c>
      <c r="K97" s="15">
        <v>1</v>
      </c>
      <c r="L97" s="17"/>
      <c r="M97" s="17"/>
      <c r="N97" s="17"/>
      <c r="O97" s="17"/>
      <c r="P97" s="17"/>
      <c r="Q97" s="17"/>
      <c r="R97" s="17"/>
      <c r="S97" s="15"/>
      <c r="T97" s="25">
        <v>45690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44"/>
      <c r="B98" s="134"/>
      <c r="C98" s="85" t="s">
        <v>253</v>
      </c>
      <c r="D98" s="109" t="s">
        <v>179</v>
      </c>
      <c r="E98" s="15" t="s">
        <v>36</v>
      </c>
      <c r="F98" s="16"/>
      <c r="G98" s="12" t="s">
        <v>178</v>
      </c>
      <c r="H98" s="13"/>
      <c r="I98" s="15"/>
      <c r="J98" s="15"/>
      <c r="K98" s="15"/>
      <c r="L98" s="17"/>
      <c r="M98" s="17"/>
      <c r="N98" s="17"/>
      <c r="O98" s="17"/>
      <c r="P98" s="17"/>
      <c r="Q98" s="17"/>
      <c r="R98" s="17"/>
      <c r="S98" s="15"/>
      <c r="T98" s="25">
        <v>45703</v>
      </c>
      <c r="U98" s="13" t="s">
        <v>147</v>
      </c>
      <c r="V98">
        <v>6</v>
      </c>
      <c r="AA98" s="49" t="s">
        <v>85</v>
      </c>
      <c r="AB98" s="50" t="s">
        <v>43</v>
      </c>
    </row>
    <row r="99" spans="1:28" x14ac:dyDescent="0.4">
      <c r="A99" s="144"/>
      <c r="B99" s="134"/>
      <c r="C99" s="85" t="s">
        <v>254</v>
      </c>
      <c r="D99" s="109" t="s">
        <v>183</v>
      </c>
      <c r="E99" s="15" t="s">
        <v>36</v>
      </c>
      <c r="F99" s="16"/>
      <c r="G99" s="12" t="s">
        <v>178</v>
      </c>
      <c r="H99" s="15"/>
      <c r="I99" s="15"/>
      <c r="J99" s="15">
        <v>1</v>
      </c>
      <c r="K99" s="15">
        <v>1</v>
      </c>
      <c r="L99" s="17"/>
      <c r="M99" s="17"/>
      <c r="N99" s="17"/>
      <c r="O99" s="17"/>
      <c r="P99" s="17"/>
      <c r="Q99" s="17"/>
      <c r="R99" s="17"/>
      <c r="S99" s="15"/>
      <c r="T99" s="25">
        <v>45696</v>
      </c>
      <c r="U99" s="13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44"/>
      <c r="B100" s="134"/>
      <c r="C100" s="85" t="s">
        <v>255</v>
      </c>
      <c r="D100" s="109" t="s">
        <v>190</v>
      </c>
      <c r="E100" s="15" t="s">
        <v>36</v>
      </c>
      <c r="F100" s="16"/>
      <c r="G100" s="12" t="s">
        <v>178</v>
      </c>
      <c r="H100" s="15"/>
      <c r="I100" s="15"/>
      <c r="J100" s="15"/>
      <c r="K100" s="15"/>
      <c r="L100" s="17"/>
      <c r="M100" s="17">
        <v>1</v>
      </c>
      <c r="N100" s="17">
        <v>1</v>
      </c>
      <c r="O100" s="17"/>
      <c r="P100" s="17"/>
      <c r="Q100" s="17">
        <v>1</v>
      </c>
      <c r="R100" s="17"/>
      <c r="S100" s="15"/>
      <c r="T100" s="25">
        <v>45706</v>
      </c>
      <c r="U100" s="15" t="s">
        <v>147</v>
      </c>
      <c r="V100">
        <v>8</v>
      </c>
      <c r="AA100" s="49" t="s">
        <v>87</v>
      </c>
      <c r="AB100" s="50" t="s">
        <v>37</v>
      </c>
    </row>
    <row r="101" spans="1:28" x14ac:dyDescent="0.4">
      <c r="A101" s="144"/>
      <c r="B101" s="134"/>
      <c r="C101" s="85" t="s">
        <v>256</v>
      </c>
      <c r="D101" s="109" t="s">
        <v>205</v>
      </c>
      <c r="E101" s="15" t="s">
        <v>37</v>
      </c>
      <c r="F101" s="16"/>
      <c r="G101" s="12" t="s">
        <v>178</v>
      </c>
      <c r="H101" s="15"/>
      <c r="I101" s="15"/>
      <c r="J101" s="15"/>
      <c r="K101" s="15"/>
      <c r="L101" s="17"/>
      <c r="M101" s="17">
        <v>1</v>
      </c>
      <c r="N101" s="17"/>
      <c r="O101" s="17"/>
      <c r="P101" s="17"/>
      <c r="Q101" s="17">
        <v>1</v>
      </c>
      <c r="R101" s="17"/>
      <c r="S101" s="15"/>
      <c r="T101" s="25">
        <v>45705</v>
      </c>
      <c r="U101" s="15" t="s">
        <v>147</v>
      </c>
      <c r="V101">
        <v>9</v>
      </c>
      <c r="AA101" s="49" t="s">
        <v>88</v>
      </c>
      <c r="AB101" s="50" t="s">
        <v>74</v>
      </c>
    </row>
    <row r="102" spans="1:28" x14ac:dyDescent="0.4">
      <c r="A102" s="144"/>
      <c r="B102" s="134"/>
      <c r="C102" s="85" t="s">
        <v>257</v>
      </c>
      <c r="D102" s="109" t="s">
        <v>205</v>
      </c>
      <c r="E102" s="15" t="s">
        <v>75</v>
      </c>
      <c r="F102" s="16"/>
      <c r="G102" s="12" t="s">
        <v>178</v>
      </c>
      <c r="H102" s="15"/>
      <c r="I102" s="15"/>
      <c r="J102" s="15"/>
      <c r="K102" s="15"/>
      <c r="L102" s="17"/>
      <c r="M102" s="17"/>
      <c r="N102" s="17"/>
      <c r="O102" s="17"/>
      <c r="P102" s="17"/>
      <c r="Q102" s="17"/>
      <c r="R102" s="17"/>
      <c r="S102" s="15"/>
      <c r="T102" s="25">
        <v>45705</v>
      </c>
      <c r="U102" s="15" t="s">
        <v>147</v>
      </c>
      <c r="V102">
        <v>10</v>
      </c>
      <c r="AA102" s="49" t="s">
        <v>89</v>
      </c>
      <c r="AB102" s="50" t="s">
        <v>36</v>
      </c>
    </row>
    <row r="103" spans="1:28" x14ac:dyDescent="0.4">
      <c r="A103" s="144"/>
      <c r="B103" s="134"/>
      <c r="C103" s="85" t="s">
        <v>258</v>
      </c>
      <c r="D103" s="109" t="s">
        <v>181</v>
      </c>
      <c r="E103" s="15" t="s">
        <v>40</v>
      </c>
      <c r="F103" s="16"/>
      <c r="G103" s="12" t="s">
        <v>178</v>
      </c>
      <c r="H103" s="15"/>
      <c r="I103" s="15"/>
      <c r="J103" s="15"/>
      <c r="K103" s="15"/>
      <c r="L103" s="17"/>
      <c r="M103" s="17"/>
      <c r="N103" s="17"/>
      <c r="O103" s="17">
        <v>1</v>
      </c>
      <c r="P103" s="17">
        <v>1</v>
      </c>
      <c r="Q103" s="17"/>
      <c r="R103" s="17"/>
      <c r="S103" s="15"/>
      <c r="T103" s="25">
        <v>45699</v>
      </c>
      <c r="U103" s="15" t="s">
        <v>148</v>
      </c>
      <c r="V103">
        <v>11</v>
      </c>
      <c r="AA103" s="49" t="s">
        <v>90</v>
      </c>
      <c r="AB103" s="50" t="s">
        <v>58</v>
      </c>
    </row>
    <row r="104" spans="1:28" x14ac:dyDescent="0.4">
      <c r="A104" s="144"/>
      <c r="B104" s="134"/>
      <c r="C104" s="85" t="s">
        <v>259</v>
      </c>
      <c r="D104" s="109" t="s">
        <v>181</v>
      </c>
      <c r="E104" s="15" t="s">
        <v>40</v>
      </c>
      <c r="F104" s="16"/>
      <c r="G104" s="12" t="s">
        <v>178</v>
      </c>
      <c r="H104" s="15"/>
      <c r="I104" s="15"/>
      <c r="J104" s="15"/>
      <c r="K104" s="15"/>
      <c r="L104" s="17"/>
      <c r="M104" s="17"/>
      <c r="N104" s="17"/>
      <c r="O104" s="17">
        <v>1</v>
      </c>
      <c r="P104" s="17">
        <v>1</v>
      </c>
      <c r="Q104" s="17"/>
      <c r="R104" s="17"/>
      <c r="S104" s="15"/>
      <c r="T104" s="25">
        <v>45699</v>
      </c>
      <c r="U104" s="15" t="s">
        <v>148</v>
      </c>
      <c r="V104">
        <v>12</v>
      </c>
      <c r="AA104" s="49" t="s">
        <v>91</v>
      </c>
      <c r="AB104" s="50" t="s">
        <v>75</v>
      </c>
    </row>
    <row r="105" spans="1:28" x14ac:dyDescent="0.4">
      <c r="A105" s="144"/>
      <c r="B105" s="134"/>
      <c r="C105" s="85"/>
      <c r="D105" s="109"/>
      <c r="E105" s="15"/>
      <c r="F105" s="16"/>
      <c r="G105" s="12"/>
      <c r="H105" s="15"/>
      <c r="I105" s="15"/>
      <c r="J105" s="15"/>
      <c r="K105" s="15"/>
      <c r="L105" s="17"/>
      <c r="M105" s="17"/>
      <c r="N105" s="17"/>
      <c r="O105" s="17"/>
      <c r="P105" s="17"/>
      <c r="Q105" s="17"/>
      <c r="R105" s="17"/>
      <c r="S105" s="15"/>
      <c r="T105" s="25"/>
      <c r="U105" s="132"/>
      <c r="V105">
        <v>13</v>
      </c>
      <c r="AA105" s="49" t="s">
        <v>92</v>
      </c>
      <c r="AB105" s="50" t="s">
        <v>40</v>
      </c>
    </row>
    <row r="106" spans="1:28" x14ac:dyDescent="0.4">
      <c r="A106" s="144"/>
      <c r="B106" s="134"/>
      <c r="C106" s="85"/>
      <c r="D106" s="109"/>
      <c r="E106" s="15"/>
      <c r="F106" s="16"/>
      <c r="G106" s="12"/>
      <c r="H106" s="15"/>
      <c r="I106" s="15"/>
      <c r="J106" s="15"/>
      <c r="K106" s="15"/>
      <c r="L106" s="17"/>
      <c r="M106" s="17"/>
      <c r="N106" s="17"/>
      <c r="O106" s="17"/>
      <c r="P106" s="17"/>
      <c r="Q106" s="17"/>
      <c r="R106" s="17"/>
      <c r="S106" s="15"/>
      <c r="T106" s="25"/>
      <c r="U106" s="15"/>
      <c r="V106">
        <v>14</v>
      </c>
      <c r="AA106" s="49" t="s">
        <v>93</v>
      </c>
      <c r="AB106" s="50" t="s">
        <v>57</v>
      </c>
    </row>
    <row r="107" spans="1:28" x14ac:dyDescent="0.4">
      <c r="A107" s="144"/>
      <c r="B107" s="134"/>
      <c r="C107" s="85"/>
      <c r="D107" s="109"/>
      <c r="E107" s="15"/>
      <c r="F107" s="16"/>
      <c r="G107" s="15"/>
      <c r="H107" s="15"/>
      <c r="I107" s="15"/>
      <c r="J107" s="15"/>
      <c r="K107" s="15"/>
      <c r="L107" s="17"/>
      <c r="M107" s="17"/>
      <c r="N107" s="17"/>
      <c r="O107" s="17"/>
      <c r="P107" s="17"/>
      <c r="Q107" s="17"/>
      <c r="R107" s="17"/>
      <c r="S107" s="15"/>
      <c r="T107" s="25"/>
      <c r="U107" s="15"/>
      <c r="V107">
        <v>15</v>
      </c>
      <c r="AA107" s="49" t="s">
        <v>94</v>
      </c>
      <c r="AB107" s="50" t="s">
        <v>41</v>
      </c>
    </row>
    <row r="108" spans="1:28" x14ac:dyDescent="0.4">
      <c r="A108" s="144"/>
      <c r="B108" s="134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44"/>
      <c r="B109" s="134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4"/>
      <c r="B110" s="134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4"/>
      <c r="B111" s="134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4"/>
      <c r="B112" s="134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4"/>
      <c r="B113" s="134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4"/>
      <c r="B114" s="134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4"/>
      <c r="B115" s="134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4"/>
      <c r="B116" s="134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5"/>
      <c r="B117" s="135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12</v>
      </c>
      <c r="D118" s="112"/>
      <c r="E118" s="29"/>
      <c r="F118" s="29" t="s">
        <v>34</v>
      </c>
      <c r="G118" s="29">
        <f>COUNTIF(G93:G117,"S")</f>
        <v>12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4</v>
      </c>
      <c r="K118" s="29">
        <f t="shared" ref="K118" si="4">SUM(K93:K117)</f>
        <v>4</v>
      </c>
      <c r="L118" s="29">
        <f t="shared" ref="L118" si="5">SUM(L93:L117)</f>
        <v>0</v>
      </c>
      <c r="M118" s="29">
        <f t="shared" ref="M118" si="6">SUM(M93:M117)</f>
        <v>3</v>
      </c>
      <c r="N118" s="29">
        <f t="shared" ref="N118" si="7">SUM(N93:N117)</f>
        <v>2</v>
      </c>
      <c r="O118" s="29">
        <f t="shared" ref="O118" si="8">SUM(O93:O117)</f>
        <v>2</v>
      </c>
      <c r="P118" s="29">
        <f t="shared" ref="P118" si="9">SUM(P93:P117)</f>
        <v>2</v>
      </c>
      <c r="Q118" s="29">
        <f t="shared" ref="Q118" si="10">SUM(Q93:Q117)</f>
        <v>2</v>
      </c>
      <c r="R118" s="29">
        <f t="shared" ref="R118" si="11">SUM(R93:R117)</f>
        <v>0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19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AYG098</v>
      </c>
      <c r="B121" s="24">
        <f>B1</f>
        <v>45671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6" t="s">
        <v>116</v>
      </c>
      <c r="Y122" s="142"/>
    </row>
    <row r="123" spans="1:28" ht="20.25" thickTop="1" thickBot="1" x14ac:dyDescent="0.45">
      <c r="A123" s="143">
        <v>5</v>
      </c>
      <c r="B123" s="133">
        <v>20.2</v>
      </c>
      <c r="C123" s="85" t="s">
        <v>260</v>
      </c>
      <c r="D123" s="106" t="s">
        <v>261</v>
      </c>
      <c r="E123" s="106" t="s">
        <v>38</v>
      </c>
      <c r="F123" s="14"/>
      <c r="G123" s="12" t="s">
        <v>178</v>
      </c>
      <c r="H123" s="13"/>
      <c r="I123" s="13"/>
      <c r="J123" s="13">
        <v>1</v>
      </c>
      <c r="K123" s="13">
        <v>1</v>
      </c>
      <c r="L123" s="13"/>
      <c r="M123" s="13"/>
      <c r="N123" s="13"/>
      <c r="O123" s="13"/>
      <c r="P123" s="13"/>
      <c r="Q123" s="13"/>
      <c r="R123" s="13"/>
      <c r="S123" s="13"/>
      <c r="T123" s="25">
        <v>45706</v>
      </c>
      <c r="U123" s="13" t="s">
        <v>146</v>
      </c>
      <c r="V123">
        <v>1</v>
      </c>
      <c r="X123" s="51" t="s">
        <v>106</v>
      </c>
      <c r="Y123" s="52">
        <f>COUNTIF(U123:U147,"K")</f>
        <v>7</v>
      </c>
      <c r="AA123" s="59" t="s">
        <v>120</v>
      </c>
      <c r="AB123" s="60" t="s">
        <v>121</v>
      </c>
    </row>
    <row r="124" spans="1:28" x14ac:dyDescent="0.4">
      <c r="A124" s="144"/>
      <c r="B124" s="134"/>
      <c r="C124" s="85" t="s">
        <v>262</v>
      </c>
      <c r="D124" s="106" t="s">
        <v>180</v>
      </c>
      <c r="E124" s="106" t="s">
        <v>39</v>
      </c>
      <c r="F124" s="16"/>
      <c r="G124" s="12" t="s">
        <v>178</v>
      </c>
      <c r="H124" s="15"/>
      <c r="I124" s="15"/>
      <c r="J124" s="13">
        <v>1</v>
      </c>
      <c r="K124" s="15">
        <v>1</v>
      </c>
      <c r="L124" s="13"/>
      <c r="M124" s="17"/>
      <c r="N124" s="17"/>
      <c r="O124" s="17"/>
      <c r="P124" s="17"/>
      <c r="Q124" s="17"/>
      <c r="R124" s="17"/>
      <c r="S124" s="15"/>
      <c r="T124" s="25">
        <v>45680</v>
      </c>
      <c r="U124" s="13" t="s">
        <v>146</v>
      </c>
      <c r="V124">
        <v>2</v>
      </c>
      <c r="X124" s="51" t="s">
        <v>107</v>
      </c>
      <c r="Y124" s="52">
        <f>COUNTIF(U123:U147,"R")</f>
        <v>2</v>
      </c>
      <c r="AA124" s="47" t="s">
        <v>81</v>
      </c>
      <c r="AB124" s="48" t="s">
        <v>60</v>
      </c>
    </row>
    <row r="125" spans="1:28" ht="19.5" thickBot="1" x14ac:dyDescent="0.45">
      <c r="A125" s="144"/>
      <c r="B125" s="134"/>
      <c r="C125" s="85" t="s">
        <v>263</v>
      </c>
      <c r="D125" s="106" t="s">
        <v>180</v>
      </c>
      <c r="E125" s="106" t="s">
        <v>37</v>
      </c>
      <c r="F125" s="16"/>
      <c r="G125" s="12" t="s">
        <v>178</v>
      </c>
      <c r="H125" s="13"/>
      <c r="I125" s="15"/>
      <c r="J125" s="13">
        <v>1</v>
      </c>
      <c r="K125" s="15">
        <v>1</v>
      </c>
      <c r="L125" s="13"/>
      <c r="M125" s="17"/>
      <c r="N125" s="17"/>
      <c r="O125" s="17"/>
      <c r="P125" s="17"/>
      <c r="Q125" s="17"/>
      <c r="R125" s="17"/>
      <c r="S125" s="15"/>
      <c r="T125" s="25">
        <v>45680</v>
      </c>
      <c r="U125" s="13" t="s">
        <v>146</v>
      </c>
      <c r="V125">
        <v>3</v>
      </c>
      <c r="X125" s="53" t="s">
        <v>108</v>
      </c>
      <c r="Y125" s="54">
        <f>COUNTIF(U123:U147,"J")</f>
        <v>2</v>
      </c>
      <c r="AA125" s="49" t="s">
        <v>82</v>
      </c>
      <c r="AB125" s="50" t="s">
        <v>39</v>
      </c>
    </row>
    <row r="126" spans="1:28" x14ac:dyDescent="0.4">
      <c r="A126" s="144"/>
      <c r="B126" s="134"/>
      <c r="C126" s="85" t="s">
        <v>264</v>
      </c>
      <c r="D126" s="106" t="s">
        <v>180</v>
      </c>
      <c r="E126" s="106" t="s">
        <v>37</v>
      </c>
      <c r="F126" s="16"/>
      <c r="G126" s="12" t="s">
        <v>178</v>
      </c>
      <c r="H126" s="15"/>
      <c r="I126" s="15"/>
      <c r="J126" s="13">
        <v>1</v>
      </c>
      <c r="K126" s="15">
        <v>1</v>
      </c>
      <c r="L126" s="13"/>
      <c r="M126" s="17"/>
      <c r="N126" s="17"/>
      <c r="O126" s="17"/>
      <c r="P126" s="17"/>
      <c r="Q126" s="17"/>
      <c r="R126" s="17"/>
      <c r="S126" s="15"/>
      <c r="T126" s="25">
        <v>45680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44"/>
      <c r="B127" s="134"/>
      <c r="C127" s="85" t="s">
        <v>265</v>
      </c>
      <c r="D127" s="106" t="s">
        <v>180</v>
      </c>
      <c r="E127" s="106" t="s">
        <v>41</v>
      </c>
      <c r="F127" s="16"/>
      <c r="G127" s="12" t="s">
        <v>178</v>
      </c>
      <c r="H127" s="15"/>
      <c r="I127" s="15"/>
      <c r="J127" s="13"/>
      <c r="K127" s="15"/>
      <c r="L127" s="13"/>
      <c r="M127" s="17"/>
      <c r="N127" s="17">
        <v>1</v>
      </c>
      <c r="O127" s="17"/>
      <c r="P127" s="17"/>
      <c r="Q127" s="17"/>
      <c r="R127" s="17"/>
      <c r="S127" s="15"/>
      <c r="T127" s="25">
        <v>45680</v>
      </c>
      <c r="U127" s="13" t="s">
        <v>147</v>
      </c>
      <c r="V127">
        <v>5</v>
      </c>
      <c r="AA127" s="49" t="s">
        <v>84</v>
      </c>
      <c r="AB127" s="50" t="s">
        <v>44</v>
      </c>
    </row>
    <row r="128" spans="1:28" x14ac:dyDescent="0.4">
      <c r="A128" s="144"/>
      <c r="B128" s="134"/>
      <c r="C128" s="85" t="s">
        <v>266</v>
      </c>
      <c r="D128" s="106" t="s">
        <v>180</v>
      </c>
      <c r="E128" s="106" t="s">
        <v>42</v>
      </c>
      <c r="F128" s="16"/>
      <c r="G128" s="12" t="s">
        <v>178</v>
      </c>
      <c r="H128" s="13"/>
      <c r="I128" s="15"/>
      <c r="J128" s="13"/>
      <c r="K128" s="15"/>
      <c r="L128" s="13"/>
      <c r="M128" s="17"/>
      <c r="N128" s="17"/>
      <c r="O128" s="17"/>
      <c r="P128" s="17"/>
      <c r="Q128" s="17"/>
      <c r="R128" s="17"/>
      <c r="S128" s="15">
        <v>1</v>
      </c>
      <c r="T128" s="25">
        <v>45680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44"/>
      <c r="B129" s="134"/>
      <c r="C129" s="85" t="s">
        <v>267</v>
      </c>
      <c r="D129" s="106" t="s">
        <v>186</v>
      </c>
      <c r="E129" s="106" t="s">
        <v>59</v>
      </c>
      <c r="F129" s="16"/>
      <c r="G129" s="12" t="s">
        <v>178</v>
      </c>
      <c r="H129" s="15" t="s">
        <v>192</v>
      </c>
      <c r="I129" s="15"/>
      <c r="J129" s="13">
        <v>2</v>
      </c>
      <c r="K129" s="15"/>
      <c r="L129" s="13"/>
      <c r="M129" s="17"/>
      <c r="N129" s="17"/>
      <c r="O129" s="17"/>
      <c r="P129" s="17"/>
      <c r="Q129" s="17"/>
      <c r="R129" s="17"/>
      <c r="S129" s="15"/>
      <c r="T129" s="25">
        <v>45707</v>
      </c>
      <c r="U129" s="13" t="s">
        <v>146</v>
      </c>
      <c r="V129">
        <v>7</v>
      </c>
      <c r="AA129" s="49" t="s">
        <v>86</v>
      </c>
      <c r="AB129" s="50" t="s">
        <v>45</v>
      </c>
    </row>
    <row r="130" spans="1:28" x14ac:dyDescent="0.4">
      <c r="A130" s="144"/>
      <c r="B130" s="134"/>
      <c r="C130" s="85" t="s">
        <v>268</v>
      </c>
      <c r="D130" s="106" t="s">
        <v>186</v>
      </c>
      <c r="E130" s="106" t="s">
        <v>59</v>
      </c>
      <c r="F130" s="16"/>
      <c r="G130" s="12" t="s">
        <v>178</v>
      </c>
      <c r="H130" s="15" t="s">
        <v>192</v>
      </c>
      <c r="I130" s="15"/>
      <c r="J130" s="13">
        <v>2</v>
      </c>
      <c r="K130" s="15"/>
      <c r="L130" s="13"/>
      <c r="M130" s="17"/>
      <c r="N130" s="17"/>
      <c r="O130" s="17"/>
      <c r="P130" s="17"/>
      <c r="Q130" s="17"/>
      <c r="R130" s="17"/>
      <c r="S130" s="15"/>
      <c r="T130" s="25">
        <v>45707</v>
      </c>
      <c r="U130" s="13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44"/>
      <c r="B131" s="134"/>
      <c r="C131" s="85" t="s">
        <v>269</v>
      </c>
      <c r="D131" s="106" t="s">
        <v>179</v>
      </c>
      <c r="E131" s="106" t="s">
        <v>36</v>
      </c>
      <c r="F131" s="16"/>
      <c r="G131" s="12" t="s">
        <v>178</v>
      </c>
      <c r="H131" s="15"/>
      <c r="I131" s="15"/>
      <c r="J131" s="13"/>
      <c r="K131" s="15"/>
      <c r="L131" s="13"/>
      <c r="M131" s="17">
        <v>1</v>
      </c>
      <c r="N131" s="17">
        <v>1</v>
      </c>
      <c r="O131" s="17"/>
      <c r="P131" s="17"/>
      <c r="Q131" s="17">
        <v>1</v>
      </c>
      <c r="R131" s="17"/>
      <c r="S131" s="15"/>
      <c r="T131" s="25">
        <v>45703</v>
      </c>
      <c r="U131" s="13" t="s">
        <v>147</v>
      </c>
      <c r="V131">
        <v>9</v>
      </c>
      <c r="AA131" s="49" t="s">
        <v>88</v>
      </c>
      <c r="AB131" s="50" t="s">
        <v>74</v>
      </c>
    </row>
    <row r="132" spans="1:28" x14ac:dyDescent="0.4">
      <c r="A132" s="144"/>
      <c r="B132" s="134"/>
      <c r="C132" s="85" t="s">
        <v>270</v>
      </c>
      <c r="D132" s="106" t="s">
        <v>179</v>
      </c>
      <c r="E132" s="106" t="s">
        <v>40</v>
      </c>
      <c r="F132" s="106"/>
      <c r="G132" s="12" t="s">
        <v>178</v>
      </c>
      <c r="H132" s="15"/>
      <c r="I132" s="15"/>
      <c r="J132" s="13"/>
      <c r="K132" s="15"/>
      <c r="L132" s="13"/>
      <c r="M132" s="17"/>
      <c r="N132" s="17"/>
      <c r="O132" s="17">
        <v>1</v>
      </c>
      <c r="P132" s="17">
        <v>1</v>
      </c>
      <c r="Q132" s="17">
        <v>1</v>
      </c>
      <c r="R132" s="17">
        <v>1</v>
      </c>
      <c r="S132" s="15"/>
      <c r="T132" s="25">
        <v>45700</v>
      </c>
      <c r="U132" s="13" t="s">
        <v>148</v>
      </c>
      <c r="V132">
        <v>10</v>
      </c>
      <c r="AA132" s="49" t="s">
        <v>89</v>
      </c>
      <c r="AB132" s="50" t="s">
        <v>36</v>
      </c>
    </row>
    <row r="133" spans="1:28" x14ac:dyDescent="0.4">
      <c r="A133" s="144"/>
      <c r="B133" s="134"/>
      <c r="C133" s="85" t="s">
        <v>271</v>
      </c>
      <c r="D133" s="106" t="s">
        <v>179</v>
      </c>
      <c r="E133" s="106" t="s">
        <v>40</v>
      </c>
      <c r="F133" s="16"/>
      <c r="G133" s="12" t="s">
        <v>178</v>
      </c>
      <c r="H133" s="15"/>
      <c r="I133" s="15"/>
      <c r="J133" s="15"/>
      <c r="K133" s="15"/>
      <c r="L133" s="17"/>
      <c r="M133" s="17"/>
      <c r="N133" s="17"/>
      <c r="O133" s="17">
        <v>1</v>
      </c>
      <c r="P133" s="17">
        <v>1</v>
      </c>
      <c r="Q133" s="17">
        <v>1</v>
      </c>
      <c r="R133" s="17">
        <v>1</v>
      </c>
      <c r="S133" s="15"/>
      <c r="T133" s="25">
        <v>45700</v>
      </c>
      <c r="U133" s="13" t="s">
        <v>148</v>
      </c>
      <c r="V133">
        <v>11</v>
      </c>
      <c r="AA133" s="49" t="s">
        <v>90</v>
      </c>
      <c r="AB133" s="50" t="s">
        <v>58</v>
      </c>
    </row>
    <row r="134" spans="1:28" x14ac:dyDescent="0.4">
      <c r="A134" s="144"/>
      <c r="B134" s="134"/>
      <c r="C134" s="85"/>
      <c r="D134" s="106"/>
      <c r="E134" s="106"/>
      <c r="F134" s="16"/>
      <c r="G134" s="12"/>
      <c r="H134" s="15"/>
      <c r="I134" s="15"/>
      <c r="J134" s="15"/>
      <c r="K134" s="15"/>
      <c r="L134" s="17"/>
      <c r="M134" s="17"/>
      <c r="N134" s="17"/>
      <c r="O134" s="17"/>
      <c r="P134" s="17"/>
      <c r="Q134" s="17"/>
      <c r="R134" s="17"/>
      <c r="S134" s="15"/>
      <c r="T134" s="25"/>
      <c r="U134" s="13"/>
      <c r="V134">
        <v>12</v>
      </c>
      <c r="AA134" s="49" t="s">
        <v>91</v>
      </c>
      <c r="AB134" s="50" t="s">
        <v>75</v>
      </c>
    </row>
    <row r="135" spans="1:28" x14ac:dyDescent="0.4">
      <c r="A135" s="144"/>
      <c r="B135" s="134"/>
      <c r="C135" s="85"/>
      <c r="D135" s="106"/>
      <c r="E135" s="106"/>
      <c r="F135" s="16"/>
      <c r="G135" s="12"/>
      <c r="H135" s="15"/>
      <c r="I135" s="15"/>
      <c r="J135" s="15"/>
      <c r="K135" s="15"/>
      <c r="L135" s="17"/>
      <c r="M135" s="17"/>
      <c r="N135" s="17"/>
      <c r="O135" s="17"/>
      <c r="P135" s="17"/>
      <c r="Q135" s="17"/>
      <c r="R135" s="17"/>
      <c r="S135" s="15"/>
      <c r="T135" s="25"/>
      <c r="U135" s="13"/>
      <c r="V135">
        <v>13</v>
      </c>
      <c r="AA135" s="49" t="s">
        <v>92</v>
      </c>
      <c r="AB135" s="50" t="s">
        <v>40</v>
      </c>
    </row>
    <row r="136" spans="1:28" x14ac:dyDescent="0.4">
      <c r="A136" s="144"/>
      <c r="B136" s="134"/>
      <c r="C136" s="85"/>
      <c r="D136" s="106"/>
      <c r="E136" s="106"/>
      <c r="F136" s="16"/>
      <c r="G136" s="12"/>
      <c r="H136" s="15"/>
      <c r="I136" s="15"/>
      <c r="J136" s="15"/>
      <c r="K136" s="15"/>
      <c r="L136" s="17"/>
      <c r="M136" s="17"/>
      <c r="N136" s="17"/>
      <c r="O136" s="17"/>
      <c r="P136" s="17"/>
      <c r="Q136" s="17"/>
      <c r="R136" s="17"/>
      <c r="S136" s="15"/>
      <c r="T136" s="25"/>
      <c r="U136" s="13"/>
      <c r="V136">
        <v>14</v>
      </c>
      <c r="AA136" s="49" t="s">
        <v>93</v>
      </c>
      <c r="AB136" s="50" t="s">
        <v>57</v>
      </c>
    </row>
    <row r="137" spans="1:28" x14ac:dyDescent="0.4">
      <c r="A137" s="144"/>
      <c r="B137" s="134"/>
      <c r="C137" s="85"/>
      <c r="D137" s="106"/>
      <c r="E137" s="106"/>
      <c r="F137" s="16"/>
      <c r="G137" s="12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13"/>
      <c r="V137">
        <v>15</v>
      </c>
      <c r="AA137" s="49" t="s">
        <v>94</v>
      </c>
      <c r="AB137" s="50" t="s">
        <v>41</v>
      </c>
    </row>
    <row r="138" spans="1:28" x14ac:dyDescent="0.4">
      <c r="A138" s="144"/>
      <c r="B138" s="134"/>
      <c r="C138" s="85"/>
      <c r="D138" s="106"/>
      <c r="E138" s="106"/>
      <c r="F138" s="16"/>
      <c r="G138" s="12"/>
      <c r="H138" s="15"/>
      <c r="I138" s="15"/>
      <c r="J138" s="18"/>
      <c r="K138" s="15"/>
      <c r="L138" s="19"/>
      <c r="M138" s="19"/>
      <c r="N138" s="19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44"/>
      <c r="B139" s="134"/>
      <c r="C139" s="85"/>
      <c r="D139" s="106"/>
      <c r="E139" s="106"/>
      <c r="F139" s="16"/>
      <c r="G139" s="12"/>
      <c r="H139" s="15"/>
      <c r="I139" s="15"/>
      <c r="J139" s="18"/>
      <c r="K139" s="15"/>
      <c r="L139" s="19"/>
      <c r="M139" s="19"/>
      <c r="N139" s="19"/>
      <c r="O139" s="19"/>
      <c r="P139" s="19"/>
      <c r="Q139" s="19"/>
      <c r="R139" s="19"/>
      <c r="S139" s="15"/>
      <c r="T139" s="25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44"/>
      <c r="B140" s="134"/>
      <c r="C140" s="85"/>
      <c r="D140" s="106"/>
      <c r="E140" s="106"/>
      <c r="F140" s="16"/>
      <c r="G140" s="12"/>
      <c r="H140" s="15"/>
      <c r="I140" s="15"/>
      <c r="J140" s="18"/>
      <c r="K140" s="15"/>
      <c r="L140" s="19"/>
      <c r="M140" s="19"/>
      <c r="N140" s="19"/>
      <c r="O140" s="19"/>
      <c r="P140" s="19"/>
      <c r="Q140" s="19"/>
      <c r="R140" s="19"/>
      <c r="S140" s="15"/>
      <c r="T140" s="25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44"/>
      <c r="B141" s="134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4"/>
      <c r="B142" s="134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4"/>
      <c r="B143" s="134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4"/>
      <c r="B144" s="134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4"/>
      <c r="B145" s="134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4"/>
      <c r="B146" s="134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5"/>
      <c r="B147" s="135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11</v>
      </c>
      <c r="D148" s="112"/>
      <c r="E148" s="29"/>
      <c r="F148" s="29" t="s">
        <v>34</v>
      </c>
      <c r="G148" s="29">
        <f>COUNTIF(G123:G147,"S")</f>
        <v>11</v>
      </c>
      <c r="H148" s="29">
        <f>COUNTIF(H123:H147,"E")</f>
        <v>2</v>
      </c>
      <c r="I148" s="29">
        <f>SUM(I123:I147)</f>
        <v>0</v>
      </c>
      <c r="J148" s="29">
        <f t="shared" ref="J148" si="13">SUM(J123:J147)</f>
        <v>8</v>
      </c>
      <c r="K148" s="29">
        <f t="shared" ref="K148" si="14">SUM(K123:K147)</f>
        <v>4</v>
      </c>
      <c r="L148" s="29">
        <f t="shared" ref="L148" si="15">SUM(L123:L147)</f>
        <v>0</v>
      </c>
      <c r="M148" s="29">
        <f t="shared" ref="M148" si="16">SUM(M123:M147)</f>
        <v>1</v>
      </c>
      <c r="N148" s="29">
        <f t="shared" ref="N148" si="17">SUM(N123:N147)</f>
        <v>2</v>
      </c>
      <c r="O148" s="29">
        <f t="shared" ref="O148" si="18">SUM(O123:O147)</f>
        <v>2</v>
      </c>
      <c r="P148" s="29">
        <f t="shared" ref="P148" si="19">SUM(P123:P147)</f>
        <v>2</v>
      </c>
      <c r="Q148" s="29">
        <f t="shared" ref="Q148" si="20">SUM(Q123:Q147)</f>
        <v>3</v>
      </c>
      <c r="R148" s="29">
        <f t="shared" ref="R148" si="21">SUM(R123:R147)</f>
        <v>2</v>
      </c>
      <c r="S148" s="29">
        <f t="shared" ref="S148" si="22">SUM(S123:S147)</f>
        <v>1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25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AYG098</v>
      </c>
      <c r="B151" s="24">
        <f>B1</f>
        <v>45671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>
        <v>20.2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6" t="s">
        <v>115</v>
      </c>
      <c r="Y152" s="142"/>
    </row>
    <row r="153" spans="1:28" ht="20.25" thickTop="1" thickBot="1" x14ac:dyDescent="0.45">
      <c r="A153" s="143">
        <v>6</v>
      </c>
      <c r="B153" s="146">
        <v>23.8</v>
      </c>
      <c r="C153" s="85" t="s">
        <v>272</v>
      </c>
      <c r="D153" s="106" t="s">
        <v>186</v>
      </c>
      <c r="E153" s="15" t="s">
        <v>42</v>
      </c>
      <c r="F153" s="14"/>
      <c r="G153" s="12" t="s">
        <v>178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>
        <v>1</v>
      </c>
      <c r="T153" s="25">
        <v>45719</v>
      </c>
      <c r="U153" s="13" t="s">
        <v>146</v>
      </c>
      <c r="V153">
        <v>1</v>
      </c>
      <c r="X153" s="51" t="s">
        <v>106</v>
      </c>
      <c r="Y153" s="52">
        <f>COUNTIF(U153:U177,"K")</f>
        <v>14</v>
      </c>
      <c r="AA153" s="59" t="s">
        <v>120</v>
      </c>
      <c r="AB153" s="60" t="s">
        <v>121</v>
      </c>
    </row>
    <row r="154" spans="1:28" x14ac:dyDescent="0.4">
      <c r="A154" s="144"/>
      <c r="B154" s="147"/>
      <c r="C154" s="85" t="s">
        <v>273</v>
      </c>
      <c r="D154" s="106" t="s">
        <v>186</v>
      </c>
      <c r="E154" s="15" t="s">
        <v>41</v>
      </c>
      <c r="F154" s="16"/>
      <c r="G154" s="15" t="s">
        <v>178</v>
      </c>
      <c r="H154" s="15"/>
      <c r="I154" s="15"/>
      <c r="J154" s="15">
        <v>1</v>
      </c>
      <c r="K154" s="15"/>
      <c r="L154" s="17"/>
      <c r="M154" s="17"/>
      <c r="N154" s="17"/>
      <c r="O154" s="17"/>
      <c r="P154" s="17"/>
      <c r="Q154" s="17"/>
      <c r="R154" s="17"/>
      <c r="S154" s="15"/>
      <c r="T154" s="25">
        <v>45719</v>
      </c>
      <c r="U154" s="13" t="s">
        <v>146</v>
      </c>
      <c r="V154">
        <v>2</v>
      </c>
      <c r="X154" s="51" t="s">
        <v>107</v>
      </c>
      <c r="Y154" s="52">
        <f>COUNTIF(U153:U177,"R")</f>
        <v>0</v>
      </c>
      <c r="AA154" s="47" t="s">
        <v>81</v>
      </c>
      <c r="AB154" s="48" t="s">
        <v>60</v>
      </c>
    </row>
    <row r="155" spans="1:28" ht="19.5" thickBot="1" x14ac:dyDescent="0.45">
      <c r="A155" s="144"/>
      <c r="B155" s="147"/>
      <c r="C155" s="85" t="s">
        <v>274</v>
      </c>
      <c r="D155" s="106" t="s">
        <v>186</v>
      </c>
      <c r="E155" s="15" t="s">
        <v>42</v>
      </c>
      <c r="F155" s="16"/>
      <c r="G155" s="15" t="s">
        <v>178</v>
      </c>
      <c r="H155" s="13"/>
      <c r="I155" s="15"/>
      <c r="J155" s="15"/>
      <c r="K155" s="15"/>
      <c r="L155" s="17"/>
      <c r="M155" s="17"/>
      <c r="N155" s="17"/>
      <c r="O155" s="17"/>
      <c r="P155" s="17"/>
      <c r="Q155" s="17"/>
      <c r="R155" s="17"/>
      <c r="S155" s="15">
        <v>1</v>
      </c>
      <c r="T155" s="25">
        <v>45719</v>
      </c>
      <c r="U155" s="13" t="s">
        <v>146</v>
      </c>
      <c r="V155">
        <v>3</v>
      </c>
      <c r="X155" s="53" t="s">
        <v>108</v>
      </c>
      <c r="Y155" s="54">
        <f>COUNTIF(U153:U177,"J")</f>
        <v>0</v>
      </c>
      <c r="AA155" s="49" t="s">
        <v>82</v>
      </c>
      <c r="AB155" s="50" t="s">
        <v>39</v>
      </c>
    </row>
    <row r="156" spans="1:28" x14ac:dyDescent="0.4">
      <c r="A156" s="144"/>
      <c r="B156" s="147"/>
      <c r="C156" s="85" t="s">
        <v>275</v>
      </c>
      <c r="D156" s="106" t="s">
        <v>186</v>
      </c>
      <c r="E156" s="15" t="s">
        <v>41</v>
      </c>
      <c r="F156" s="16"/>
      <c r="G156" s="15" t="s">
        <v>178</v>
      </c>
      <c r="H156" s="15"/>
      <c r="I156" s="15"/>
      <c r="J156" s="15">
        <v>1</v>
      </c>
      <c r="K156" s="15"/>
      <c r="L156" s="17"/>
      <c r="M156" s="17"/>
      <c r="N156" s="17"/>
      <c r="O156" s="17"/>
      <c r="P156" s="17"/>
      <c r="Q156" s="17"/>
      <c r="R156" s="17"/>
      <c r="S156" s="15"/>
      <c r="T156" s="25">
        <v>45719</v>
      </c>
      <c r="U156" s="13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44"/>
      <c r="B157" s="147"/>
      <c r="C157" s="85" t="s">
        <v>276</v>
      </c>
      <c r="D157" s="106" t="s">
        <v>186</v>
      </c>
      <c r="E157" s="15" t="s">
        <v>42</v>
      </c>
      <c r="F157" s="16"/>
      <c r="G157" s="15" t="s">
        <v>178</v>
      </c>
      <c r="H157" s="15"/>
      <c r="I157" s="15"/>
      <c r="J157" s="15"/>
      <c r="K157" s="15"/>
      <c r="L157" s="17"/>
      <c r="M157" s="17"/>
      <c r="N157" s="17"/>
      <c r="O157" s="17"/>
      <c r="P157" s="17"/>
      <c r="Q157" s="17"/>
      <c r="R157" s="17"/>
      <c r="S157" s="15">
        <v>1</v>
      </c>
      <c r="T157" s="25">
        <v>45719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44"/>
      <c r="B158" s="147"/>
      <c r="C158" s="85" t="s">
        <v>277</v>
      </c>
      <c r="D158" s="106" t="s">
        <v>186</v>
      </c>
      <c r="E158" s="15" t="s">
        <v>41</v>
      </c>
      <c r="F158" s="16"/>
      <c r="G158" s="13" t="s">
        <v>178</v>
      </c>
      <c r="H158" s="13"/>
      <c r="I158" s="15"/>
      <c r="J158" s="15">
        <v>1</v>
      </c>
      <c r="K158" s="15"/>
      <c r="L158" s="17"/>
      <c r="M158" s="17"/>
      <c r="N158" s="17"/>
      <c r="O158" s="17"/>
      <c r="P158" s="17"/>
      <c r="Q158" s="17"/>
      <c r="R158" s="17"/>
      <c r="S158" s="15"/>
      <c r="T158" s="25">
        <v>45719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44"/>
      <c r="B159" s="147"/>
      <c r="C159" s="85" t="s">
        <v>278</v>
      </c>
      <c r="D159" s="106" t="s">
        <v>186</v>
      </c>
      <c r="E159" s="15" t="s">
        <v>42</v>
      </c>
      <c r="F159" s="16"/>
      <c r="G159" s="15" t="s">
        <v>178</v>
      </c>
      <c r="H159" s="15"/>
      <c r="I159" s="15"/>
      <c r="J159" s="15"/>
      <c r="K159" s="15"/>
      <c r="L159" s="17"/>
      <c r="M159" s="17"/>
      <c r="N159" s="17"/>
      <c r="O159" s="17"/>
      <c r="P159" s="17"/>
      <c r="Q159" s="17"/>
      <c r="R159" s="17"/>
      <c r="S159" s="15">
        <v>1</v>
      </c>
      <c r="T159" s="25">
        <v>45719</v>
      </c>
      <c r="U159" s="13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44"/>
      <c r="B160" s="147"/>
      <c r="C160" s="85" t="s">
        <v>279</v>
      </c>
      <c r="D160" s="106" t="s">
        <v>186</v>
      </c>
      <c r="E160" s="15" t="s">
        <v>41</v>
      </c>
      <c r="F160" s="16"/>
      <c r="G160" s="15" t="s">
        <v>178</v>
      </c>
      <c r="H160" s="15"/>
      <c r="I160" s="15"/>
      <c r="J160" s="15">
        <v>1</v>
      </c>
      <c r="K160" s="15"/>
      <c r="L160" s="17"/>
      <c r="M160" s="17"/>
      <c r="N160" s="17"/>
      <c r="O160" s="17"/>
      <c r="P160" s="17"/>
      <c r="Q160" s="17"/>
      <c r="R160" s="17"/>
      <c r="S160" s="15"/>
      <c r="T160" s="25">
        <v>45719</v>
      </c>
      <c r="U160" s="13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44"/>
      <c r="B161" s="147"/>
      <c r="C161" s="85" t="s">
        <v>280</v>
      </c>
      <c r="D161" s="106" t="s">
        <v>186</v>
      </c>
      <c r="E161" s="15" t="s">
        <v>42</v>
      </c>
      <c r="F161" s="16"/>
      <c r="G161" s="15" t="s">
        <v>178</v>
      </c>
      <c r="H161" s="15"/>
      <c r="I161" s="15"/>
      <c r="J161" s="15"/>
      <c r="K161" s="15"/>
      <c r="L161" s="17"/>
      <c r="M161" s="17"/>
      <c r="N161" s="17"/>
      <c r="O161" s="17"/>
      <c r="P161" s="17"/>
      <c r="Q161" s="17"/>
      <c r="R161" s="17"/>
      <c r="S161" s="86">
        <v>1</v>
      </c>
      <c r="T161" s="25">
        <v>45719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44"/>
      <c r="B162" s="147"/>
      <c r="C162" s="85" t="s">
        <v>281</v>
      </c>
      <c r="D162" s="106" t="s">
        <v>186</v>
      </c>
      <c r="E162" s="15" t="s">
        <v>41</v>
      </c>
      <c r="F162" s="16"/>
      <c r="G162" s="15" t="s">
        <v>178</v>
      </c>
      <c r="H162" s="15"/>
      <c r="I162" s="15"/>
      <c r="J162" s="15">
        <v>1</v>
      </c>
      <c r="K162" s="15"/>
      <c r="L162" s="17"/>
      <c r="M162" s="17"/>
      <c r="N162" s="17"/>
      <c r="O162" s="17"/>
      <c r="P162" s="17"/>
      <c r="Q162" s="17"/>
      <c r="R162" s="17"/>
      <c r="S162" s="15"/>
      <c r="T162" s="25">
        <v>45719</v>
      </c>
      <c r="U162" s="13" t="s">
        <v>146</v>
      </c>
      <c r="V162">
        <v>10</v>
      </c>
      <c r="AA162" s="49" t="s">
        <v>89</v>
      </c>
      <c r="AB162" s="50" t="s">
        <v>36</v>
      </c>
    </row>
    <row r="163" spans="1:28" x14ac:dyDescent="0.4">
      <c r="A163" s="144"/>
      <c r="B163" s="147"/>
      <c r="C163" s="85" t="s">
        <v>282</v>
      </c>
      <c r="D163" s="106" t="s">
        <v>186</v>
      </c>
      <c r="E163" s="15" t="s">
        <v>42</v>
      </c>
      <c r="F163" s="16"/>
      <c r="G163" s="15" t="s">
        <v>178</v>
      </c>
      <c r="H163" s="15"/>
      <c r="I163" s="15"/>
      <c r="J163" s="15"/>
      <c r="K163" s="15"/>
      <c r="L163" s="17"/>
      <c r="M163" s="17"/>
      <c r="N163" s="17"/>
      <c r="O163" s="17"/>
      <c r="P163" s="17"/>
      <c r="Q163" s="17"/>
      <c r="R163" s="17"/>
      <c r="S163" s="15">
        <v>1</v>
      </c>
      <c r="T163" s="25">
        <v>45719</v>
      </c>
      <c r="U163" s="13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44"/>
      <c r="B164" s="147"/>
      <c r="C164" s="85" t="s">
        <v>283</v>
      </c>
      <c r="D164" s="106" t="s">
        <v>186</v>
      </c>
      <c r="E164" s="15" t="s">
        <v>41</v>
      </c>
      <c r="F164" s="16"/>
      <c r="G164" s="15" t="s">
        <v>178</v>
      </c>
      <c r="H164" s="15"/>
      <c r="I164" s="15"/>
      <c r="J164" s="15">
        <v>1</v>
      </c>
      <c r="K164" s="15"/>
      <c r="L164" s="17"/>
      <c r="M164" s="17"/>
      <c r="N164" s="17"/>
      <c r="O164" s="17"/>
      <c r="P164" s="17"/>
      <c r="Q164" s="17"/>
      <c r="R164" s="17"/>
      <c r="S164" s="15"/>
      <c r="T164" s="25">
        <v>45719</v>
      </c>
      <c r="U164" s="13" t="s">
        <v>146</v>
      </c>
      <c r="V164">
        <v>12</v>
      </c>
      <c r="AA164" s="49" t="s">
        <v>91</v>
      </c>
      <c r="AB164" s="50" t="s">
        <v>75</v>
      </c>
    </row>
    <row r="165" spans="1:28" x14ac:dyDescent="0.4">
      <c r="A165" s="144"/>
      <c r="B165" s="147"/>
      <c r="C165" s="85" t="s">
        <v>284</v>
      </c>
      <c r="D165" s="106" t="s">
        <v>186</v>
      </c>
      <c r="E165" s="15" t="s">
        <v>42</v>
      </c>
      <c r="F165" s="16"/>
      <c r="G165" s="15" t="s">
        <v>178</v>
      </c>
      <c r="H165" s="15"/>
      <c r="I165" s="15"/>
      <c r="J165" s="15"/>
      <c r="K165" s="15"/>
      <c r="L165" s="17"/>
      <c r="M165" s="17"/>
      <c r="N165" s="17"/>
      <c r="O165" s="17"/>
      <c r="P165" s="17"/>
      <c r="Q165" s="17"/>
      <c r="R165" s="17"/>
      <c r="S165" s="15">
        <v>1</v>
      </c>
      <c r="T165" s="25">
        <v>45719</v>
      </c>
      <c r="U165" s="13" t="s">
        <v>146</v>
      </c>
      <c r="V165">
        <v>13</v>
      </c>
      <c r="AA165" s="49" t="s">
        <v>92</v>
      </c>
      <c r="AB165" s="50" t="s">
        <v>40</v>
      </c>
    </row>
    <row r="166" spans="1:28" x14ac:dyDescent="0.4">
      <c r="A166" s="144"/>
      <c r="B166" s="147"/>
      <c r="C166" s="85" t="s">
        <v>285</v>
      </c>
      <c r="D166" s="106" t="s">
        <v>186</v>
      </c>
      <c r="E166" s="15" t="s">
        <v>41</v>
      </c>
      <c r="F166" s="16"/>
      <c r="G166" s="15" t="s">
        <v>178</v>
      </c>
      <c r="H166" s="15"/>
      <c r="I166" s="15"/>
      <c r="J166" s="15">
        <v>1</v>
      </c>
      <c r="K166" s="15"/>
      <c r="L166" s="17"/>
      <c r="M166" s="17"/>
      <c r="N166" s="17"/>
      <c r="O166" s="17"/>
      <c r="P166" s="17"/>
      <c r="Q166" s="17"/>
      <c r="R166" s="17"/>
      <c r="S166" s="15"/>
      <c r="T166" s="25">
        <v>45719</v>
      </c>
      <c r="U166" s="13" t="s">
        <v>146</v>
      </c>
      <c r="V166">
        <v>14</v>
      </c>
      <c r="AA166" s="49" t="s">
        <v>93</v>
      </c>
      <c r="AB166" s="50" t="s">
        <v>57</v>
      </c>
    </row>
    <row r="167" spans="1:28" x14ac:dyDescent="0.4">
      <c r="A167" s="144"/>
      <c r="B167" s="147"/>
      <c r="C167" s="85"/>
      <c r="D167" s="106"/>
      <c r="E167" s="15"/>
      <c r="F167" s="16"/>
      <c r="G167" s="15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5"/>
      <c r="U167" s="25"/>
      <c r="V167">
        <v>15</v>
      </c>
      <c r="AA167" s="49" t="s">
        <v>94</v>
      </c>
      <c r="AB167" s="50" t="s">
        <v>41</v>
      </c>
    </row>
    <row r="168" spans="1:28" x14ac:dyDescent="0.4">
      <c r="A168" s="144"/>
      <c r="B168" s="147"/>
      <c r="C168" s="85"/>
      <c r="D168" s="106"/>
      <c r="E168" s="15"/>
      <c r="F168" s="16"/>
      <c r="G168" s="15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5"/>
      <c r="V168">
        <v>16</v>
      </c>
      <c r="AA168" s="49" t="s">
        <v>95</v>
      </c>
      <c r="AB168" s="50" t="s">
        <v>42</v>
      </c>
    </row>
    <row r="169" spans="1:28" x14ac:dyDescent="0.4">
      <c r="A169" s="144"/>
      <c r="B169" s="147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4"/>
      <c r="B170" s="147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4"/>
      <c r="B171" s="147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4"/>
      <c r="B172" s="147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4"/>
      <c r="B173" s="147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4"/>
      <c r="B174" s="147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4"/>
      <c r="B175" s="147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4"/>
      <c r="B176" s="147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5"/>
      <c r="B177" s="148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14</v>
      </c>
      <c r="D178" s="112"/>
      <c r="E178" s="29"/>
      <c r="F178" s="29" t="s">
        <v>34</v>
      </c>
      <c r="G178" s="29">
        <f>COUNTIF(G153:G177,"S")</f>
        <v>14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7</v>
      </c>
      <c r="K178" s="29">
        <f t="shared" ref="K178" si="24">SUM(K153:K177)</f>
        <v>0</v>
      </c>
      <c r="L178" s="29">
        <f t="shared" ref="L178" si="25">SUM(L153:L177)</f>
        <v>0</v>
      </c>
      <c r="M178" s="29">
        <f t="shared" ref="M178" si="26">SUM(M153:M177)</f>
        <v>0</v>
      </c>
      <c r="N178" s="29">
        <f t="shared" ref="N178" si="27">SUM(N153:N177)</f>
        <v>0</v>
      </c>
      <c r="O178" s="29">
        <f t="shared" ref="O178" si="28">SUM(O153:O177)</f>
        <v>0</v>
      </c>
      <c r="P178" s="29">
        <f t="shared" ref="P178" si="29">SUM(P153:P177)</f>
        <v>0</v>
      </c>
      <c r="Q178" s="29">
        <f t="shared" ref="Q178" si="30">SUM(Q153:Q177)</f>
        <v>0</v>
      </c>
      <c r="R178" s="29">
        <f t="shared" ref="R178" si="31">SUM(R153:R177)</f>
        <v>0</v>
      </c>
      <c r="S178" s="29">
        <f t="shared" ref="S178" si="32">SUM(S153:S177)</f>
        <v>7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14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174</v>
      </c>
      <c r="B181" s="24">
        <v>45358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6" t="s">
        <v>114</v>
      </c>
      <c r="Y182" s="142"/>
    </row>
    <row r="183" spans="1:28" ht="20.25" thickTop="1" thickBot="1" x14ac:dyDescent="0.45">
      <c r="A183" s="143">
        <v>7</v>
      </c>
      <c r="B183" s="146">
        <v>26.8</v>
      </c>
      <c r="C183" s="85" t="s">
        <v>286</v>
      </c>
      <c r="D183" s="110" t="s">
        <v>186</v>
      </c>
      <c r="E183" s="18" t="s">
        <v>60</v>
      </c>
      <c r="F183" s="16"/>
      <c r="G183" s="18" t="s">
        <v>178</v>
      </c>
      <c r="H183" s="15"/>
      <c r="I183" s="15"/>
      <c r="J183" s="18">
        <v>1</v>
      </c>
      <c r="K183" s="15"/>
      <c r="L183" s="19">
        <v>1</v>
      </c>
      <c r="M183" s="19"/>
      <c r="N183" s="19"/>
      <c r="O183" s="19"/>
      <c r="P183" s="19"/>
      <c r="Q183" s="19"/>
      <c r="R183" s="19"/>
      <c r="S183" s="15"/>
      <c r="T183" s="25">
        <v>45704</v>
      </c>
      <c r="U183" s="15" t="s">
        <v>146</v>
      </c>
      <c r="V183">
        <v>1</v>
      </c>
      <c r="X183" s="51" t="s">
        <v>106</v>
      </c>
      <c r="Y183" s="52">
        <f>COUNTIF(U183:U207,"K")</f>
        <v>14</v>
      </c>
      <c r="AA183" s="59" t="s">
        <v>120</v>
      </c>
      <c r="AB183" s="60" t="s">
        <v>121</v>
      </c>
    </row>
    <row r="184" spans="1:28" x14ac:dyDescent="0.4">
      <c r="A184" s="144"/>
      <c r="B184" s="147"/>
      <c r="C184" s="85" t="s">
        <v>287</v>
      </c>
      <c r="D184" s="110" t="s">
        <v>186</v>
      </c>
      <c r="E184" s="15" t="s">
        <v>60</v>
      </c>
      <c r="F184" s="16"/>
      <c r="G184" s="18" t="s">
        <v>178</v>
      </c>
      <c r="H184" s="15"/>
      <c r="I184" s="15"/>
      <c r="J184" s="18">
        <v>1</v>
      </c>
      <c r="K184" s="15"/>
      <c r="L184" s="19">
        <v>1</v>
      </c>
      <c r="M184" s="19"/>
      <c r="N184" s="19"/>
      <c r="O184" s="19"/>
      <c r="P184" s="19"/>
      <c r="Q184" s="19"/>
      <c r="R184" s="19"/>
      <c r="S184" s="15"/>
      <c r="T184" s="25">
        <v>45704</v>
      </c>
      <c r="U184" s="15" t="s">
        <v>146</v>
      </c>
      <c r="V184">
        <v>2</v>
      </c>
      <c r="X184" s="51" t="s">
        <v>107</v>
      </c>
      <c r="Y184" s="52">
        <f>COUNTIF(U183:U207,"R")</f>
        <v>0</v>
      </c>
      <c r="AA184" s="47" t="s">
        <v>81</v>
      </c>
      <c r="AB184" s="48" t="s">
        <v>60</v>
      </c>
    </row>
    <row r="185" spans="1:28" ht="19.5" thickBot="1" x14ac:dyDescent="0.45">
      <c r="A185" s="144"/>
      <c r="B185" s="147"/>
      <c r="C185" s="85" t="s">
        <v>288</v>
      </c>
      <c r="D185" s="110" t="s">
        <v>186</v>
      </c>
      <c r="E185" s="15" t="s">
        <v>60</v>
      </c>
      <c r="F185" s="16"/>
      <c r="G185" s="18" t="s">
        <v>178</v>
      </c>
      <c r="H185" s="15"/>
      <c r="I185" s="15"/>
      <c r="J185" s="15">
        <v>1</v>
      </c>
      <c r="K185" s="15"/>
      <c r="L185" s="17">
        <v>1</v>
      </c>
      <c r="M185" s="17"/>
      <c r="N185" s="17"/>
      <c r="O185" s="17"/>
      <c r="P185" s="17"/>
      <c r="Q185" s="17"/>
      <c r="R185" s="17"/>
      <c r="S185" s="15"/>
      <c r="T185" s="25">
        <v>45704</v>
      </c>
      <c r="U185" s="15" t="s">
        <v>146</v>
      </c>
      <c r="V185">
        <v>3</v>
      </c>
      <c r="X185" s="53" t="s">
        <v>108</v>
      </c>
      <c r="Y185" s="54">
        <f>COUNTIF(U183:U207,"J")</f>
        <v>0</v>
      </c>
      <c r="AA185" s="49" t="s">
        <v>82</v>
      </c>
      <c r="AB185" s="50" t="s">
        <v>39</v>
      </c>
    </row>
    <row r="186" spans="1:28" x14ac:dyDescent="0.4">
      <c r="A186" s="144"/>
      <c r="B186" s="147"/>
      <c r="C186" s="85" t="s">
        <v>289</v>
      </c>
      <c r="D186" s="110" t="s">
        <v>186</v>
      </c>
      <c r="E186" s="15" t="s">
        <v>60</v>
      </c>
      <c r="F186" s="16"/>
      <c r="G186" s="18" t="s">
        <v>178</v>
      </c>
      <c r="H186" s="15"/>
      <c r="I186" s="15"/>
      <c r="J186" s="15">
        <v>1</v>
      </c>
      <c r="K186" s="15"/>
      <c r="L186" s="17">
        <v>1</v>
      </c>
      <c r="M186" s="17"/>
      <c r="N186" s="17"/>
      <c r="O186" s="17"/>
      <c r="P186" s="17"/>
      <c r="Q186" s="17"/>
      <c r="R186" s="17"/>
      <c r="S186" s="15"/>
      <c r="T186" s="25">
        <v>45704</v>
      </c>
      <c r="U186" s="2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44"/>
      <c r="B187" s="147"/>
      <c r="C187" s="85" t="s">
        <v>290</v>
      </c>
      <c r="D187" s="106" t="s">
        <v>186</v>
      </c>
      <c r="E187" s="13" t="s">
        <v>60</v>
      </c>
      <c r="F187" s="16"/>
      <c r="G187" s="18" t="s">
        <v>178</v>
      </c>
      <c r="H187" s="15"/>
      <c r="I187" s="15"/>
      <c r="J187" s="15">
        <v>1</v>
      </c>
      <c r="K187" s="15"/>
      <c r="L187" s="17">
        <v>1</v>
      </c>
      <c r="M187" s="17"/>
      <c r="N187" s="17"/>
      <c r="O187" s="17"/>
      <c r="P187" s="17"/>
      <c r="Q187" s="17"/>
      <c r="R187" s="17"/>
      <c r="S187" s="15"/>
      <c r="T187" s="25">
        <v>45704</v>
      </c>
      <c r="U187" s="2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44"/>
      <c r="B188" s="147"/>
      <c r="C188" s="85" t="s">
        <v>291</v>
      </c>
      <c r="D188" s="106" t="s">
        <v>186</v>
      </c>
      <c r="E188" s="13" t="s">
        <v>60</v>
      </c>
      <c r="F188" s="16"/>
      <c r="G188" s="18" t="s">
        <v>178</v>
      </c>
      <c r="H188" s="13"/>
      <c r="I188" s="15"/>
      <c r="J188" s="15">
        <v>1</v>
      </c>
      <c r="K188" s="15"/>
      <c r="L188" s="17">
        <v>1</v>
      </c>
      <c r="M188" s="17"/>
      <c r="N188" s="17"/>
      <c r="O188" s="17"/>
      <c r="P188" s="17"/>
      <c r="Q188" s="17"/>
      <c r="R188" s="17"/>
      <c r="S188" s="15"/>
      <c r="T188" s="25">
        <v>45704</v>
      </c>
      <c r="U188" s="2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44"/>
      <c r="B189" s="147"/>
      <c r="C189" s="85" t="s">
        <v>292</v>
      </c>
      <c r="D189" s="106" t="s">
        <v>186</v>
      </c>
      <c r="E189" s="13" t="s">
        <v>60</v>
      </c>
      <c r="F189" s="16"/>
      <c r="G189" s="18" t="s">
        <v>178</v>
      </c>
      <c r="H189" s="15"/>
      <c r="I189" s="15"/>
      <c r="J189" s="15">
        <v>1</v>
      </c>
      <c r="K189" s="15"/>
      <c r="L189" s="17">
        <v>1</v>
      </c>
      <c r="M189" s="17"/>
      <c r="N189" s="17"/>
      <c r="O189" s="17"/>
      <c r="P189" s="17"/>
      <c r="Q189" s="17"/>
      <c r="R189" s="17"/>
      <c r="S189" s="15"/>
      <c r="T189" s="25">
        <v>45704</v>
      </c>
      <c r="U189" s="25" t="s">
        <v>146</v>
      </c>
      <c r="V189">
        <v>7</v>
      </c>
      <c r="AA189" s="49" t="s">
        <v>86</v>
      </c>
      <c r="AB189" s="50" t="s">
        <v>45</v>
      </c>
    </row>
    <row r="190" spans="1:28" x14ac:dyDescent="0.4">
      <c r="A190" s="144"/>
      <c r="B190" s="147"/>
      <c r="C190" s="85" t="s">
        <v>293</v>
      </c>
      <c r="D190" s="106" t="s">
        <v>186</v>
      </c>
      <c r="E190" s="13" t="s">
        <v>60</v>
      </c>
      <c r="F190" s="16"/>
      <c r="G190" s="18" t="s">
        <v>178</v>
      </c>
      <c r="H190" s="15"/>
      <c r="I190" s="15"/>
      <c r="J190" s="15">
        <v>1</v>
      </c>
      <c r="K190" s="15"/>
      <c r="L190" s="17">
        <v>1</v>
      </c>
      <c r="M190" s="17"/>
      <c r="N190" s="17"/>
      <c r="O190" s="17"/>
      <c r="P190" s="17"/>
      <c r="Q190" s="17"/>
      <c r="R190" s="17"/>
      <c r="S190" s="15"/>
      <c r="T190" s="25">
        <v>45704</v>
      </c>
      <c r="U190" s="25" t="s">
        <v>146</v>
      </c>
      <c r="V190">
        <v>8</v>
      </c>
      <c r="AA190" s="49" t="s">
        <v>87</v>
      </c>
      <c r="AB190" s="50" t="s">
        <v>37</v>
      </c>
    </row>
    <row r="191" spans="1:28" x14ac:dyDescent="0.4">
      <c r="A191" s="144"/>
      <c r="B191" s="147"/>
      <c r="C191" s="85" t="s">
        <v>294</v>
      </c>
      <c r="D191" s="106" t="s">
        <v>186</v>
      </c>
      <c r="E191" s="13" t="s">
        <v>60</v>
      </c>
      <c r="F191" s="16"/>
      <c r="G191" s="18" t="s">
        <v>178</v>
      </c>
      <c r="H191" s="15"/>
      <c r="I191" s="15"/>
      <c r="J191" s="15">
        <v>1</v>
      </c>
      <c r="K191" s="15"/>
      <c r="L191" s="17">
        <v>1</v>
      </c>
      <c r="M191" s="17"/>
      <c r="N191" s="17"/>
      <c r="O191" s="17"/>
      <c r="P191" s="17"/>
      <c r="Q191" s="17"/>
      <c r="R191" s="17"/>
      <c r="S191" s="15"/>
      <c r="T191" s="25">
        <v>45704</v>
      </c>
      <c r="U191" s="25" t="s">
        <v>146</v>
      </c>
      <c r="V191">
        <v>9</v>
      </c>
      <c r="AA191" s="49" t="s">
        <v>88</v>
      </c>
      <c r="AB191" s="50" t="s">
        <v>74</v>
      </c>
    </row>
    <row r="192" spans="1:28" x14ac:dyDescent="0.4">
      <c r="A192" s="144"/>
      <c r="B192" s="147"/>
      <c r="C192" s="85" t="s">
        <v>295</v>
      </c>
      <c r="D192" s="106" t="s">
        <v>186</v>
      </c>
      <c r="E192" s="13" t="s">
        <v>60</v>
      </c>
      <c r="F192" s="16"/>
      <c r="G192" s="18" t="s">
        <v>178</v>
      </c>
      <c r="H192" s="15"/>
      <c r="I192" s="15"/>
      <c r="J192" s="15">
        <v>1</v>
      </c>
      <c r="K192" s="15"/>
      <c r="L192" s="17">
        <v>1</v>
      </c>
      <c r="M192" s="17"/>
      <c r="N192" s="17"/>
      <c r="O192" s="17"/>
      <c r="P192" s="17"/>
      <c r="Q192" s="17"/>
      <c r="R192" s="17"/>
      <c r="S192" s="15"/>
      <c r="T192" s="25">
        <v>45711</v>
      </c>
      <c r="U192" s="15" t="s">
        <v>146</v>
      </c>
      <c r="V192">
        <v>10</v>
      </c>
      <c r="AA192" s="49" t="s">
        <v>89</v>
      </c>
      <c r="AB192" s="50" t="s">
        <v>36</v>
      </c>
    </row>
    <row r="193" spans="1:28" x14ac:dyDescent="0.4">
      <c r="A193" s="144"/>
      <c r="B193" s="147"/>
      <c r="C193" s="85" t="s">
        <v>296</v>
      </c>
      <c r="D193" s="106" t="s">
        <v>186</v>
      </c>
      <c r="E193" s="13" t="s">
        <v>60</v>
      </c>
      <c r="F193" s="16"/>
      <c r="G193" s="18" t="s">
        <v>178</v>
      </c>
      <c r="H193" s="15"/>
      <c r="I193" s="15"/>
      <c r="J193" s="15">
        <v>1</v>
      </c>
      <c r="K193" s="15"/>
      <c r="L193" s="17">
        <v>1</v>
      </c>
      <c r="M193" s="17"/>
      <c r="N193" s="17"/>
      <c r="O193" s="17"/>
      <c r="P193" s="17"/>
      <c r="Q193" s="17"/>
      <c r="R193" s="17"/>
      <c r="S193" s="15"/>
      <c r="T193" s="25">
        <v>45701</v>
      </c>
      <c r="U193" s="15" t="s">
        <v>146</v>
      </c>
      <c r="V193">
        <v>11</v>
      </c>
      <c r="AA193" s="49" t="s">
        <v>90</v>
      </c>
      <c r="AB193" s="50" t="s">
        <v>58</v>
      </c>
    </row>
    <row r="194" spans="1:28" x14ac:dyDescent="0.4">
      <c r="A194" s="144"/>
      <c r="B194" s="147"/>
      <c r="C194" s="85" t="s">
        <v>297</v>
      </c>
      <c r="D194" s="106" t="s">
        <v>186</v>
      </c>
      <c r="E194" s="13" t="s">
        <v>60</v>
      </c>
      <c r="F194" s="16"/>
      <c r="G194" s="18" t="s">
        <v>178</v>
      </c>
      <c r="H194" s="15"/>
      <c r="I194" s="15"/>
      <c r="J194" s="15">
        <v>1</v>
      </c>
      <c r="K194" s="15"/>
      <c r="L194" s="17">
        <v>1</v>
      </c>
      <c r="M194" s="17"/>
      <c r="N194" s="17"/>
      <c r="O194" s="17"/>
      <c r="P194" s="17"/>
      <c r="Q194" s="17"/>
      <c r="R194" s="17"/>
      <c r="S194" s="15"/>
      <c r="T194" s="25">
        <v>45711</v>
      </c>
      <c r="U194" s="15" t="s">
        <v>146</v>
      </c>
      <c r="V194">
        <v>12</v>
      </c>
      <c r="AA194" s="49" t="s">
        <v>91</v>
      </c>
      <c r="AB194" s="50" t="s">
        <v>75</v>
      </c>
    </row>
    <row r="195" spans="1:28" x14ac:dyDescent="0.4">
      <c r="A195" s="144"/>
      <c r="B195" s="147"/>
      <c r="C195" s="85" t="s">
        <v>298</v>
      </c>
      <c r="D195" s="106" t="s">
        <v>186</v>
      </c>
      <c r="E195" s="15" t="s">
        <v>60</v>
      </c>
      <c r="F195" s="16"/>
      <c r="G195" s="18" t="s">
        <v>178</v>
      </c>
      <c r="H195" s="15"/>
      <c r="I195" s="15"/>
      <c r="J195" s="15">
        <v>1</v>
      </c>
      <c r="K195" s="15"/>
      <c r="L195" s="17">
        <v>1</v>
      </c>
      <c r="M195" s="17"/>
      <c r="N195" s="17"/>
      <c r="O195" s="17"/>
      <c r="P195" s="17"/>
      <c r="Q195" s="17"/>
      <c r="R195" s="17"/>
      <c r="S195" s="15"/>
      <c r="T195" s="25">
        <v>45711</v>
      </c>
      <c r="U195" s="15" t="s">
        <v>146</v>
      </c>
      <c r="V195">
        <v>13</v>
      </c>
      <c r="AA195" s="49" t="s">
        <v>92</v>
      </c>
      <c r="AB195" s="50" t="s">
        <v>40</v>
      </c>
    </row>
    <row r="196" spans="1:28" x14ac:dyDescent="0.4">
      <c r="A196" s="144"/>
      <c r="B196" s="147"/>
      <c r="C196" s="85" t="s">
        <v>299</v>
      </c>
      <c r="D196" s="106" t="s">
        <v>186</v>
      </c>
      <c r="E196" s="15" t="s">
        <v>60</v>
      </c>
      <c r="F196" s="16"/>
      <c r="G196" s="18" t="s">
        <v>178</v>
      </c>
      <c r="H196" s="15"/>
      <c r="I196" s="15"/>
      <c r="J196" s="15">
        <v>1</v>
      </c>
      <c r="K196" s="15"/>
      <c r="L196" s="17">
        <v>1</v>
      </c>
      <c r="M196" s="17"/>
      <c r="N196" s="17"/>
      <c r="O196" s="17"/>
      <c r="P196" s="17"/>
      <c r="Q196" s="17"/>
      <c r="R196" s="17"/>
      <c r="S196" s="15"/>
      <c r="T196" s="25">
        <v>45711</v>
      </c>
      <c r="U196" s="15" t="s">
        <v>146</v>
      </c>
      <c r="V196">
        <v>14</v>
      </c>
      <c r="AA196" s="49" t="s">
        <v>93</v>
      </c>
      <c r="AB196" s="50" t="s">
        <v>57</v>
      </c>
    </row>
    <row r="197" spans="1:28" x14ac:dyDescent="0.4">
      <c r="A197" s="144"/>
      <c r="B197" s="147"/>
      <c r="C197" s="85"/>
      <c r="D197" s="106"/>
      <c r="E197" s="15"/>
      <c r="F197" s="16"/>
      <c r="G197" s="15"/>
      <c r="H197" s="15"/>
      <c r="I197" s="15"/>
      <c r="J197" s="15"/>
      <c r="K197" s="15"/>
      <c r="L197" s="17"/>
      <c r="M197" s="17"/>
      <c r="N197" s="17"/>
      <c r="O197" s="17"/>
      <c r="P197" s="17"/>
      <c r="Q197" s="17"/>
      <c r="R197" s="17"/>
      <c r="S197" s="15"/>
      <c r="T197" s="25"/>
      <c r="U197" s="15"/>
      <c r="V197">
        <v>15</v>
      </c>
      <c r="AA197" s="49" t="s">
        <v>94</v>
      </c>
      <c r="AB197" s="50" t="s">
        <v>41</v>
      </c>
    </row>
    <row r="198" spans="1:28" x14ac:dyDescent="0.4">
      <c r="A198" s="144"/>
      <c r="B198" s="147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44"/>
      <c r="B199" s="147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44"/>
      <c r="B200" s="147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4"/>
      <c r="B201" s="147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4"/>
      <c r="B202" s="147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4"/>
      <c r="B203" s="147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4"/>
      <c r="B204" s="147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4"/>
      <c r="B205" s="147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4"/>
      <c r="B206" s="147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5"/>
      <c r="B207" s="148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14</v>
      </c>
      <c r="D208" s="112"/>
      <c r="E208" s="29"/>
      <c r="F208" s="29" t="s">
        <v>34</v>
      </c>
      <c r="G208" s="29">
        <f>COUNTIF(G183:G207,"S")</f>
        <v>14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14</v>
      </c>
      <c r="K208" s="29">
        <f t="shared" ref="K208" si="34">SUM(K183:K207)</f>
        <v>0</v>
      </c>
      <c r="L208" s="29">
        <f t="shared" ref="L208" si="35">SUM(L183:L207)</f>
        <v>14</v>
      </c>
      <c r="M208" s="29">
        <f t="shared" ref="M208" si="36">SUM(M183:M207)</f>
        <v>0</v>
      </c>
      <c r="N208" s="29">
        <f t="shared" ref="N208" si="37">SUM(N183:N207)</f>
        <v>0</v>
      </c>
      <c r="O208" s="29">
        <f t="shared" ref="O208" si="38">SUM(O183:O207)</f>
        <v>0</v>
      </c>
      <c r="P208" s="29">
        <f t="shared" ref="P208" si="39">SUM(P183:P207)</f>
        <v>0</v>
      </c>
      <c r="Q208" s="29">
        <f t="shared" ref="Q208" si="40">SUM(Q183:Q207)</f>
        <v>0</v>
      </c>
      <c r="R208" s="29">
        <f t="shared" ref="R208" si="41">SUM(R183:R207)</f>
        <v>0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28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AYG098</v>
      </c>
      <c r="B211" s="24">
        <f>B1</f>
        <v>45671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6" t="s">
        <v>113</v>
      </c>
      <c r="Y212" s="142"/>
    </row>
    <row r="213" spans="1:28" ht="20.25" thickTop="1" thickBot="1" x14ac:dyDescent="0.45">
      <c r="A213" s="143">
        <v>8</v>
      </c>
      <c r="B213" s="146">
        <v>25.6</v>
      </c>
      <c r="C213" s="85" t="s">
        <v>300</v>
      </c>
      <c r="D213" s="106" t="s">
        <v>186</v>
      </c>
      <c r="E213" s="15" t="s">
        <v>60</v>
      </c>
      <c r="F213" s="16"/>
      <c r="G213" s="15" t="s">
        <v>178</v>
      </c>
      <c r="H213" s="15"/>
      <c r="I213" s="15"/>
      <c r="J213" s="15">
        <v>1</v>
      </c>
      <c r="K213" s="15"/>
      <c r="L213" s="17">
        <v>1</v>
      </c>
      <c r="M213" s="17"/>
      <c r="N213" s="17"/>
      <c r="O213" s="17"/>
      <c r="P213" s="17"/>
      <c r="Q213" s="17"/>
      <c r="R213" s="17"/>
      <c r="S213" s="15"/>
      <c r="T213" s="25">
        <v>45704</v>
      </c>
      <c r="U213" s="15" t="s">
        <v>146</v>
      </c>
      <c r="V213">
        <v>1</v>
      </c>
      <c r="X213" s="51" t="s">
        <v>106</v>
      </c>
      <c r="Y213" s="52">
        <f>COUNTIF(U213:U237,"K")</f>
        <v>13</v>
      </c>
      <c r="AA213" s="59" t="s">
        <v>120</v>
      </c>
      <c r="AB213" s="60" t="s">
        <v>121</v>
      </c>
    </row>
    <row r="214" spans="1:28" x14ac:dyDescent="0.4">
      <c r="A214" s="144"/>
      <c r="B214" s="147"/>
      <c r="C214" s="85" t="s">
        <v>301</v>
      </c>
      <c r="D214" s="106" t="s">
        <v>186</v>
      </c>
      <c r="E214" s="15" t="s">
        <v>60</v>
      </c>
      <c r="F214" s="16"/>
      <c r="G214" s="15" t="s">
        <v>178</v>
      </c>
      <c r="H214" s="15"/>
      <c r="I214" s="15"/>
      <c r="J214" s="15">
        <v>1</v>
      </c>
      <c r="K214" s="15"/>
      <c r="L214" s="17">
        <v>1</v>
      </c>
      <c r="M214" s="17"/>
      <c r="N214" s="17"/>
      <c r="O214" s="17"/>
      <c r="P214" s="17"/>
      <c r="Q214" s="17"/>
      <c r="R214" s="17"/>
      <c r="S214" s="15"/>
      <c r="T214" s="25">
        <v>45704</v>
      </c>
      <c r="U214" s="15" t="s">
        <v>146</v>
      </c>
      <c r="V214">
        <v>2</v>
      </c>
      <c r="X214" s="51" t="s">
        <v>107</v>
      </c>
      <c r="Y214" s="52">
        <f>COUNTIF(U213:U237,"R")</f>
        <v>0</v>
      </c>
      <c r="AA214" s="47" t="s">
        <v>81</v>
      </c>
      <c r="AB214" s="48" t="s">
        <v>60</v>
      </c>
    </row>
    <row r="215" spans="1:28" ht="19.5" thickBot="1" x14ac:dyDescent="0.45">
      <c r="A215" s="144"/>
      <c r="B215" s="147"/>
      <c r="C215" s="85" t="s">
        <v>302</v>
      </c>
      <c r="D215" s="106" t="s">
        <v>186</v>
      </c>
      <c r="E215" s="15" t="s">
        <v>60</v>
      </c>
      <c r="F215" s="16"/>
      <c r="G215" s="15" t="s">
        <v>178</v>
      </c>
      <c r="H215" s="15"/>
      <c r="I215" s="15"/>
      <c r="J215" s="15">
        <v>1</v>
      </c>
      <c r="K215" s="15"/>
      <c r="L215" s="17">
        <v>1</v>
      </c>
      <c r="M215" s="17"/>
      <c r="N215" s="17"/>
      <c r="O215" s="17"/>
      <c r="P215" s="17"/>
      <c r="Q215" s="17"/>
      <c r="R215" s="17"/>
      <c r="S215" s="15"/>
      <c r="T215" s="25">
        <v>45704</v>
      </c>
      <c r="U215" s="15" t="s">
        <v>146</v>
      </c>
      <c r="V215">
        <v>3</v>
      </c>
      <c r="X215" s="53" t="s">
        <v>108</v>
      </c>
      <c r="Y215" s="54">
        <f>COUNTIF(U213:U237,"J")</f>
        <v>0</v>
      </c>
      <c r="AA215" s="49" t="s">
        <v>82</v>
      </c>
      <c r="AB215" s="50" t="s">
        <v>39</v>
      </c>
    </row>
    <row r="216" spans="1:28" x14ac:dyDescent="0.4">
      <c r="A216" s="144"/>
      <c r="B216" s="147"/>
      <c r="C216" s="85" t="s">
        <v>303</v>
      </c>
      <c r="D216" s="106" t="s">
        <v>186</v>
      </c>
      <c r="E216" s="15" t="s">
        <v>60</v>
      </c>
      <c r="F216" s="16"/>
      <c r="G216" s="15" t="s">
        <v>178</v>
      </c>
      <c r="H216" s="15"/>
      <c r="I216" s="15"/>
      <c r="J216" s="15">
        <v>1</v>
      </c>
      <c r="K216" s="15"/>
      <c r="L216" s="19">
        <v>1</v>
      </c>
      <c r="M216" s="19"/>
      <c r="N216" s="19"/>
      <c r="O216" s="19"/>
      <c r="P216" s="19"/>
      <c r="Q216" s="19"/>
      <c r="R216" s="19"/>
      <c r="S216" s="15"/>
      <c r="T216" s="25">
        <v>45711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44"/>
      <c r="B217" s="147"/>
      <c r="C217" s="85" t="s">
        <v>304</v>
      </c>
      <c r="D217" s="106" t="s">
        <v>186</v>
      </c>
      <c r="E217" s="15" t="s">
        <v>60</v>
      </c>
      <c r="F217" s="16"/>
      <c r="G217" s="15" t="s">
        <v>178</v>
      </c>
      <c r="H217" s="15"/>
      <c r="I217" s="15"/>
      <c r="J217" s="18">
        <v>1</v>
      </c>
      <c r="K217" s="15"/>
      <c r="L217" s="19">
        <v>1</v>
      </c>
      <c r="M217" s="19"/>
      <c r="N217" s="19"/>
      <c r="O217" s="19"/>
      <c r="P217" s="19"/>
      <c r="Q217" s="19"/>
      <c r="R217" s="19"/>
      <c r="S217" s="15"/>
      <c r="T217" s="25">
        <v>45711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44"/>
      <c r="B218" s="147"/>
      <c r="C218" s="85" t="s">
        <v>305</v>
      </c>
      <c r="D218" s="106" t="s">
        <v>186</v>
      </c>
      <c r="E218" s="15" t="s">
        <v>60</v>
      </c>
      <c r="F218" s="16"/>
      <c r="G218" s="15" t="s">
        <v>178</v>
      </c>
      <c r="H218" s="15"/>
      <c r="I218" s="15"/>
      <c r="J218" s="18">
        <v>1</v>
      </c>
      <c r="K218" s="15"/>
      <c r="L218" s="19">
        <v>1</v>
      </c>
      <c r="M218" s="19"/>
      <c r="N218" s="19"/>
      <c r="O218" s="19"/>
      <c r="P218" s="19"/>
      <c r="Q218" s="19"/>
      <c r="R218" s="19"/>
      <c r="S218" s="15"/>
      <c r="T218" s="25">
        <v>45711</v>
      </c>
      <c r="U218" s="15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44"/>
      <c r="B219" s="147"/>
      <c r="C219" s="85" t="s">
        <v>306</v>
      </c>
      <c r="D219" s="106" t="s">
        <v>186</v>
      </c>
      <c r="E219" s="15" t="s">
        <v>60</v>
      </c>
      <c r="F219" s="16"/>
      <c r="G219" s="15" t="s">
        <v>178</v>
      </c>
      <c r="H219" s="15"/>
      <c r="I219" s="15"/>
      <c r="J219" s="18">
        <v>1</v>
      </c>
      <c r="K219" s="15"/>
      <c r="L219" s="19">
        <v>1</v>
      </c>
      <c r="M219" s="19"/>
      <c r="N219" s="19"/>
      <c r="O219" s="19"/>
      <c r="P219" s="19"/>
      <c r="Q219" s="19"/>
      <c r="R219" s="19"/>
      <c r="S219" s="15"/>
      <c r="T219" s="25">
        <v>45711</v>
      </c>
      <c r="U219" s="15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44"/>
      <c r="B220" s="147"/>
      <c r="C220" s="85" t="s">
        <v>307</v>
      </c>
      <c r="D220" s="106" t="s">
        <v>186</v>
      </c>
      <c r="E220" s="15" t="s">
        <v>60</v>
      </c>
      <c r="F220" s="16"/>
      <c r="G220" s="15" t="s">
        <v>178</v>
      </c>
      <c r="H220" s="15"/>
      <c r="I220" s="15"/>
      <c r="J220" s="18">
        <v>1</v>
      </c>
      <c r="K220" s="15"/>
      <c r="L220" s="19">
        <v>1</v>
      </c>
      <c r="M220" s="19"/>
      <c r="N220" s="19"/>
      <c r="O220" s="19"/>
      <c r="P220" s="19"/>
      <c r="Q220" s="19"/>
      <c r="R220" s="19"/>
      <c r="S220" s="15"/>
      <c r="T220" s="25">
        <v>45711</v>
      </c>
      <c r="U220" s="15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44"/>
      <c r="B221" s="147"/>
      <c r="C221" s="85" t="s">
        <v>308</v>
      </c>
      <c r="D221" s="106" t="s">
        <v>186</v>
      </c>
      <c r="E221" s="15" t="s">
        <v>60</v>
      </c>
      <c r="F221" s="16"/>
      <c r="G221" s="15" t="s">
        <v>178</v>
      </c>
      <c r="H221" s="15"/>
      <c r="I221" s="15"/>
      <c r="J221" s="18">
        <v>1</v>
      </c>
      <c r="K221" s="15"/>
      <c r="L221" s="19">
        <v>1</v>
      </c>
      <c r="M221" s="19"/>
      <c r="N221" s="19"/>
      <c r="O221" s="19"/>
      <c r="P221" s="19"/>
      <c r="Q221" s="19"/>
      <c r="R221" s="19"/>
      <c r="S221" s="15"/>
      <c r="T221" s="25">
        <v>45711</v>
      </c>
      <c r="U221" s="15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44"/>
      <c r="B222" s="147"/>
      <c r="C222" s="85" t="s">
        <v>309</v>
      </c>
      <c r="D222" s="106" t="s">
        <v>186</v>
      </c>
      <c r="E222" s="15" t="s">
        <v>60</v>
      </c>
      <c r="F222" s="16"/>
      <c r="G222" s="15" t="s">
        <v>178</v>
      </c>
      <c r="H222" s="15"/>
      <c r="I222" s="15"/>
      <c r="J222" s="15">
        <v>1</v>
      </c>
      <c r="K222" s="15"/>
      <c r="L222" s="17">
        <v>1</v>
      </c>
      <c r="M222" s="17"/>
      <c r="N222" s="17"/>
      <c r="O222" s="17"/>
      <c r="P222" s="17"/>
      <c r="Q222" s="17"/>
      <c r="R222" s="17"/>
      <c r="S222" s="15"/>
      <c r="T222" s="25">
        <v>45711</v>
      </c>
      <c r="U222" s="15" t="s">
        <v>146</v>
      </c>
      <c r="V222">
        <v>10</v>
      </c>
      <c r="AA222" s="49" t="s">
        <v>89</v>
      </c>
      <c r="AB222" s="50" t="s">
        <v>36</v>
      </c>
    </row>
    <row r="223" spans="1:28" x14ac:dyDescent="0.4">
      <c r="A223" s="144"/>
      <c r="B223" s="147"/>
      <c r="C223" s="85" t="s">
        <v>310</v>
      </c>
      <c r="D223" s="106" t="s">
        <v>186</v>
      </c>
      <c r="E223" s="15" t="s">
        <v>60</v>
      </c>
      <c r="F223" s="16"/>
      <c r="G223" s="15" t="s">
        <v>178</v>
      </c>
      <c r="H223" s="15"/>
      <c r="I223" s="15"/>
      <c r="J223" s="15">
        <v>1</v>
      </c>
      <c r="K223" s="15"/>
      <c r="L223" s="17">
        <v>1</v>
      </c>
      <c r="M223" s="17"/>
      <c r="N223" s="17"/>
      <c r="O223" s="17"/>
      <c r="P223" s="17"/>
      <c r="Q223" s="17"/>
      <c r="R223" s="17"/>
      <c r="S223" s="15"/>
      <c r="T223" s="25">
        <v>45711</v>
      </c>
      <c r="U223" s="15" t="s">
        <v>146</v>
      </c>
      <c r="V223">
        <v>11</v>
      </c>
      <c r="AA223" s="49" t="s">
        <v>90</v>
      </c>
      <c r="AB223" s="50" t="s">
        <v>58</v>
      </c>
    </row>
    <row r="224" spans="1:28" x14ac:dyDescent="0.4">
      <c r="A224" s="144"/>
      <c r="B224" s="147"/>
      <c r="C224" s="85" t="s">
        <v>311</v>
      </c>
      <c r="D224" s="106" t="s">
        <v>186</v>
      </c>
      <c r="E224" s="15" t="s">
        <v>60</v>
      </c>
      <c r="F224" s="16"/>
      <c r="G224" s="15" t="s">
        <v>178</v>
      </c>
      <c r="H224" s="15"/>
      <c r="I224" s="15"/>
      <c r="J224" s="15">
        <v>1</v>
      </c>
      <c r="K224" s="15"/>
      <c r="L224" s="17">
        <v>1</v>
      </c>
      <c r="M224" s="17"/>
      <c r="N224" s="17"/>
      <c r="O224" s="17"/>
      <c r="P224" s="17"/>
      <c r="Q224" s="17"/>
      <c r="R224" s="17"/>
      <c r="S224" s="15"/>
      <c r="T224" s="25">
        <v>45711</v>
      </c>
      <c r="U224" s="15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44"/>
      <c r="B225" s="147"/>
      <c r="C225" s="85" t="s">
        <v>312</v>
      </c>
      <c r="D225" s="106" t="s">
        <v>186</v>
      </c>
      <c r="E225" s="13" t="s">
        <v>60</v>
      </c>
      <c r="F225" s="16"/>
      <c r="G225" s="15" t="s">
        <v>178</v>
      </c>
      <c r="H225" s="15"/>
      <c r="I225" s="15"/>
      <c r="J225" s="15">
        <v>1</v>
      </c>
      <c r="K225" s="15"/>
      <c r="L225" s="17">
        <v>1</v>
      </c>
      <c r="M225" s="17"/>
      <c r="N225" s="17"/>
      <c r="O225" s="17"/>
      <c r="P225" s="17"/>
      <c r="Q225" s="17"/>
      <c r="R225" s="17"/>
      <c r="S225" s="15"/>
      <c r="T225" s="25">
        <v>45711</v>
      </c>
      <c r="U225" s="15" t="s">
        <v>146</v>
      </c>
      <c r="V225">
        <v>13</v>
      </c>
      <c r="AA225" s="49" t="s">
        <v>92</v>
      </c>
      <c r="AB225" s="50" t="s">
        <v>40</v>
      </c>
    </row>
    <row r="226" spans="1:28" x14ac:dyDescent="0.4">
      <c r="A226" s="144"/>
      <c r="B226" s="147"/>
      <c r="C226" s="85"/>
      <c r="D226" s="106"/>
      <c r="E226" s="13"/>
      <c r="F226" s="16"/>
      <c r="G226" s="15"/>
      <c r="H226" s="15"/>
      <c r="I226" s="15"/>
      <c r="J226" s="15"/>
      <c r="K226" s="15"/>
      <c r="L226" s="17"/>
      <c r="M226" s="17"/>
      <c r="N226" s="17"/>
      <c r="O226" s="17"/>
      <c r="P226" s="17"/>
      <c r="Q226" s="17"/>
      <c r="R226" s="17"/>
      <c r="S226" s="15"/>
      <c r="T226" s="25"/>
      <c r="U226" s="15"/>
      <c r="V226">
        <v>14</v>
      </c>
      <c r="AA226" s="49" t="s">
        <v>93</v>
      </c>
      <c r="AB226" s="50" t="s">
        <v>57</v>
      </c>
    </row>
    <row r="227" spans="1:28" x14ac:dyDescent="0.4">
      <c r="A227" s="144"/>
      <c r="B227" s="147"/>
      <c r="C227" s="85"/>
      <c r="D227" s="109"/>
      <c r="E227" s="15"/>
      <c r="F227" s="16"/>
      <c r="G227" s="15"/>
      <c r="H227" s="15"/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/>
      <c r="T227" s="25"/>
      <c r="U227" s="15"/>
      <c r="V227">
        <v>15</v>
      </c>
      <c r="AA227" s="49" t="s">
        <v>94</v>
      </c>
      <c r="AB227" s="50" t="s">
        <v>41</v>
      </c>
    </row>
    <row r="228" spans="1:28" x14ac:dyDescent="0.4">
      <c r="A228" s="144"/>
      <c r="B228" s="147"/>
      <c r="C228" s="85"/>
      <c r="D228" s="109"/>
      <c r="E228" s="15"/>
      <c r="F228" s="16"/>
      <c r="G228" s="15"/>
      <c r="H228" s="15"/>
      <c r="I228" s="15"/>
      <c r="J228" s="15"/>
      <c r="K228" s="15"/>
      <c r="L228" s="19"/>
      <c r="M228" s="19"/>
      <c r="N228" s="19"/>
      <c r="O228" s="19"/>
      <c r="P228" s="19"/>
      <c r="Q228" s="19"/>
      <c r="R228" s="19"/>
      <c r="S228" s="15"/>
      <c r="T228" s="26"/>
      <c r="U228" s="15"/>
      <c r="V228">
        <v>16</v>
      </c>
      <c r="AA228" s="49" t="s">
        <v>95</v>
      </c>
      <c r="AB228" s="50" t="s">
        <v>42</v>
      </c>
    </row>
    <row r="229" spans="1:28" x14ac:dyDescent="0.4">
      <c r="A229" s="144"/>
      <c r="B229" s="147"/>
      <c r="C229" s="85"/>
      <c r="D229" s="110"/>
      <c r="E229" s="18"/>
      <c r="F229" s="16"/>
      <c r="G229" s="18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6"/>
      <c r="U229" s="15"/>
      <c r="V229">
        <v>17</v>
      </c>
      <c r="AA229" s="49" t="s">
        <v>96</v>
      </c>
      <c r="AB229" s="50" t="s">
        <v>61</v>
      </c>
    </row>
    <row r="230" spans="1:28" x14ac:dyDescent="0.4">
      <c r="A230" s="144"/>
      <c r="B230" s="147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4"/>
      <c r="B231" s="147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4"/>
      <c r="B232" s="147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4"/>
      <c r="B233" s="147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4"/>
      <c r="B234" s="147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4"/>
      <c r="B235" s="147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4"/>
      <c r="B236" s="147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5"/>
      <c r="B237" s="148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13</v>
      </c>
      <c r="D238" s="112"/>
      <c r="E238" s="29"/>
      <c r="F238" s="29" t="s">
        <v>34</v>
      </c>
      <c r="G238" s="29">
        <f>COUNTIF(G213:G237,"S")</f>
        <v>13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13</v>
      </c>
      <c r="K238" s="29">
        <f t="shared" ref="K238" si="44">SUM(K213:K237)</f>
        <v>0</v>
      </c>
      <c r="L238" s="29">
        <f t="shared" ref="L238" si="45">SUM(L213:L237)</f>
        <v>13</v>
      </c>
      <c r="M238" s="29">
        <f t="shared" ref="M238" si="46">SUM(M213:M237)</f>
        <v>0</v>
      </c>
      <c r="N238" s="29">
        <f t="shared" ref="N238" si="47">SUM(N213:N237)</f>
        <v>0</v>
      </c>
      <c r="O238" s="29">
        <f t="shared" ref="O238" si="48">SUM(O213:O237)</f>
        <v>0</v>
      </c>
      <c r="P238" s="29">
        <f t="shared" ref="P238" si="49">SUM(P213:P237)</f>
        <v>0</v>
      </c>
      <c r="Q238" s="29">
        <f t="shared" ref="Q238" si="50">SUM(Q213:Q237)</f>
        <v>0</v>
      </c>
      <c r="R238" s="29">
        <f t="shared" ref="R238" si="51">SUM(R213:R237)</f>
        <v>0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26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AYG098</v>
      </c>
      <c r="B241" s="24">
        <f>B1</f>
        <v>45671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3" t="s">
        <v>112</v>
      </c>
      <c r="Y242" s="153"/>
    </row>
    <row r="243" spans="1:28" ht="20.25" thickTop="1" thickBot="1" x14ac:dyDescent="0.45">
      <c r="A243" s="143">
        <v>9</v>
      </c>
      <c r="B243" s="146">
        <v>22.2</v>
      </c>
      <c r="C243" s="85" t="s">
        <v>313</v>
      </c>
      <c r="D243" s="109" t="s">
        <v>180</v>
      </c>
      <c r="E243" s="13" t="s">
        <v>78</v>
      </c>
      <c r="F243" s="14"/>
      <c r="G243" s="12" t="s">
        <v>178</v>
      </c>
      <c r="H243" s="13"/>
      <c r="I243" s="13"/>
      <c r="J243" s="13">
        <v>1</v>
      </c>
      <c r="K243" s="13">
        <v>1</v>
      </c>
      <c r="L243" s="13"/>
      <c r="M243" s="13"/>
      <c r="N243" s="13"/>
      <c r="O243" s="13"/>
      <c r="P243" s="13"/>
      <c r="Q243" s="13"/>
      <c r="R243" s="13"/>
      <c r="S243" s="13"/>
      <c r="T243" s="26">
        <v>45705</v>
      </c>
      <c r="U243" s="13" t="s">
        <v>142</v>
      </c>
      <c r="V243">
        <v>1</v>
      </c>
      <c r="X243" t="s">
        <v>106</v>
      </c>
      <c r="Y243">
        <f>COUNTIF(U243:U267,"K")</f>
        <v>12</v>
      </c>
      <c r="AA243" s="59" t="s">
        <v>120</v>
      </c>
      <c r="AB243" s="60" t="s">
        <v>121</v>
      </c>
    </row>
    <row r="244" spans="1:28" x14ac:dyDescent="0.4">
      <c r="A244" s="144"/>
      <c r="B244" s="147"/>
      <c r="C244" s="85" t="s">
        <v>314</v>
      </c>
      <c r="D244" s="109" t="s">
        <v>180</v>
      </c>
      <c r="E244" s="13" t="s">
        <v>43</v>
      </c>
      <c r="F244" s="16"/>
      <c r="G244" s="12" t="s">
        <v>178</v>
      </c>
      <c r="H244" s="15"/>
      <c r="I244" s="15"/>
      <c r="J244" s="15">
        <v>1</v>
      </c>
      <c r="K244" s="15">
        <v>1</v>
      </c>
      <c r="L244" s="17"/>
      <c r="M244" s="17"/>
      <c r="N244" s="17"/>
      <c r="O244" s="17"/>
      <c r="P244" s="17"/>
      <c r="Q244" s="17"/>
      <c r="R244" s="17"/>
      <c r="S244" s="15"/>
      <c r="T244" s="26">
        <v>45703</v>
      </c>
      <c r="U244" s="13" t="s">
        <v>146</v>
      </c>
      <c r="V244">
        <v>2</v>
      </c>
      <c r="X244" t="s">
        <v>107</v>
      </c>
      <c r="Y244">
        <f>COUNTIF(U243:U267,"R")</f>
        <v>1</v>
      </c>
      <c r="AA244" s="47" t="s">
        <v>81</v>
      </c>
      <c r="AB244" s="48" t="s">
        <v>60</v>
      </c>
    </row>
    <row r="245" spans="1:28" x14ac:dyDescent="0.4">
      <c r="A245" s="144"/>
      <c r="B245" s="147"/>
      <c r="C245" s="85" t="s">
        <v>315</v>
      </c>
      <c r="D245" s="109" t="s">
        <v>180</v>
      </c>
      <c r="E245" s="13" t="s">
        <v>43</v>
      </c>
      <c r="F245" s="16"/>
      <c r="G245" s="12" t="s">
        <v>178</v>
      </c>
      <c r="H245" s="15"/>
      <c r="I245" s="15"/>
      <c r="J245" s="15">
        <v>1</v>
      </c>
      <c r="K245" s="15">
        <v>1</v>
      </c>
      <c r="L245" s="17"/>
      <c r="M245" s="17"/>
      <c r="N245" s="17"/>
      <c r="O245" s="17"/>
      <c r="P245" s="17"/>
      <c r="Q245" s="17"/>
      <c r="R245" s="17"/>
      <c r="S245" s="15"/>
      <c r="T245" s="26">
        <v>45703</v>
      </c>
      <c r="U245" s="13" t="s">
        <v>146</v>
      </c>
      <c r="V245">
        <v>3</v>
      </c>
      <c r="X245" t="s">
        <v>108</v>
      </c>
      <c r="Y245">
        <f>COUNTIF(U243:U267,"J")</f>
        <v>3</v>
      </c>
      <c r="AA245" s="49" t="s">
        <v>82</v>
      </c>
      <c r="AB245" s="50" t="s">
        <v>39</v>
      </c>
    </row>
    <row r="246" spans="1:28" x14ac:dyDescent="0.4">
      <c r="A246" s="144"/>
      <c r="B246" s="147"/>
      <c r="C246" s="85" t="s">
        <v>401</v>
      </c>
      <c r="D246" s="109" t="s">
        <v>180</v>
      </c>
      <c r="E246" s="13" t="s">
        <v>60</v>
      </c>
      <c r="F246" s="16"/>
      <c r="G246" s="12" t="s">
        <v>178</v>
      </c>
      <c r="H246" s="15"/>
      <c r="I246" s="15"/>
      <c r="J246" s="15">
        <v>1</v>
      </c>
      <c r="K246" s="15">
        <v>1</v>
      </c>
      <c r="L246" s="17"/>
      <c r="M246" s="17"/>
      <c r="N246" s="17"/>
      <c r="O246" s="17"/>
      <c r="P246" s="17"/>
      <c r="Q246" s="17"/>
      <c r="R246" s="17"/>
      <c r="S246" s="15"/>
      <c r="T246" s="26">
        <v>45703</v>
      </c>
      <c r="U246" s="13" t="s">
        <v>146</v>
      </c>
      <c r="V246">
        <v>4</v>
      </c>
      <c r="AA246" s="49" t="s">
        <v>83</v>
      </c>
      <c r="AB246" s="50" t="s">
        <v>38</v>
      </c>
    </row>
    <row r="247" spans="1:28" x14ac:dyDescent="0.4">
      <c r="A247" s="144"/>
      <c r="B247" s="147"/>
      <c r="C247" s="85" t="s">
        <v>317</v>
      </c>
      <c r="D247" s="109" t="s">
        <v>180</v>
      </c>
      <c r="E247" s="13" t="s">
        <v>44</v>
      </c>
      <c r="F247" s="16"/>
      <c r="G247" s="12" t="s">
        <v>178</v>
      </c>
      <c r="H247" s="15"/>
      <c r="I247" s="15"/>
      <c r="J247" s="15">
        <v>1</v>
      </c>
      <c r="K247" s="15">
        <v>1</v>
      </c>
      <c r="L247" s="17"/>
      <c r="M247" s="17"/>
      <c r="N247" s="17"/>
      <c r="O247" s="17"/>
      <c r="P247" s="17"/>
      <c r="Q247" s="17"/>
      <c r="R247" s="17"/>
      <c r="S247" s="15"/>
      <c r="T247" s="26">
        <v>45680</v>
      </c>
      <c r="U247" s="13" t="s">
        <v>146</v>
      </c>
      <c r="V247">
        <v>5</v>
      </c>
      <c r="AA247" s="49" t="s">
        <v>84</v>
      </c>
      <c r="AB247" s="50" t="s">
        <v>44</v>
      </c>
    </row>
    <row r="248" spans="1:28" x14ac:dyDescent="0.4">
      <c r="A248" s="144"/>
      <c r="B248" s="147"/>
      <c r="C248" s="85" t="s">
        <v>318</v>
      </c>
      <c r="D248" s="109" t="s">
        <v>180</v>
      </c>
      <c r="E248" s="13" t="s">
        <v>75</v>
      </c>
      <c r="F248" s="16"/>
      <c r="G248" s="12" t="s">
        <v>178</v>
      </c>
      <c r="H248" s="13"/>
      <c r="I248" s="15"/>
      <c r="J248" s="15"/>
      <c r="K248" s="15"/>
      <c r="L248" s="17"/>
      <c r="M248" s="17"/>
      <c r="N248" s="17"/>
      <c r="O248" s="17"/>
      <c r="P248" s="17"/>
      <c r="Q248" s="17"/>
      <c r="R248" s="17"/>
      <c r="S248" s="15">
        <v>1</v>
      </c>
      <c r="T248" s="26">
        <v>45680</v>
      </c>
      <c r="U248" s="13" t="s">
        <v>146</v>
      </c>
      <c r="V248">
        <v>6</v>
      </c>
      <c r="AA248" s="49" t="s">
        <v>85</v>
      </c>
      <c r="AB248" s="50" t="s">
        <v>43</v>
      </c>
    </row>
    <row r="249" spans="1:28" x14ac:dyDescent="0.4">
      <c r="A249" s="144"/>
      <c r="B249" s="147"/>
      <c r="C249" s="85" t="s">
        <v>319</v>
      </c>
      <c r="D249" s="109" t="s">
        <v>180</v>
      </c>
      <c r="E249" s="13" t="s">
        <v>40</v>
      </c>
      <c r="F249" s="16"/>
      <c r="G249" s="12" t="s">
        <v>178</v>
      </c>
      <c r="H249" s="15"/>
      <c r="I249" s="15"/>
      <c r="J249" s="15"/>
      <c r="K249" s="15"/>
      <c r="L249" s="17"/>
      <c r="M249" s="17"/>
      <c r="N249" s="17"/>
      <c r="O249" s="17">
        <v>1</v>
      </c>
      <c r="P249" s="17">
        <v>1</v>
      </c>
      <c r="Q249" s="17"/>
      <c r="R249" s="17"/>
      <c r="S249" s="15"/>
      <c r="T249" s="26">
        <v>45680</v>
      </c>
      <c r="U249" s="13" t="s">
        <v>148</v>
      </c>
      <c r="V249">
        <v>7</v>
      </c>
      <c r="AA249" s="49" t="s">
        <v>86</v>
      </c>
      <c r="AB249" s="50" t="s">
        <v>45</v>
      </c>
    </row>
    <row r="250" spans="1:28" x14ac:dyDescent="0.4">
      <c r="A250" s="144"/>
      <c r="B250" s="147"/>
      <c r="C250" s="85" t="s">
        <v>320</v>
      </c>
      <c r="D250" s="109" t="s">
        <v>180</v>
      </c>
      <c r="E250" s="13" t="s">
        <v>37</v>
      </c>
      <c r="F250" s="16"/>
      <c r="G250" s="12" t="s">
        <v>178</v>
      </c>
      <c r="H250" s="15"/>
      <c r="I250" s="15"/>
      <c r="J250" s="15"/>
      <c r="K250" s="15"/>
      <c r="L250" s="17"/>
      <c r="M250" s="17">
        <v>1</v>
      </c>
      <c r="N250" s="17">
        <v>1</v>
      </c>
      <c r="O250" s="17"/>
      <c r="P250" s="17"/>
      <c r="Q250" s="17">
        <v>1</v>
      </c>
      <c r="R250" s="17"/>
      <c r="S250" s="15"/>
      <c r="T250" s="26">
        <v>45703</v>
      </c>
      <c r="U250" s="13" t="s">
        <v>147</v>
      </c>
      <c r="V250">
        <v>8</v>
      </c>
      <c r="AA250" s="49" t="s">
        <v>87</v>
      </c>
      <c r="AB250" s="50" t="s">
        <v>37</v>
      </c>
    </row>
    <row r="251" spans="1:28" x14ac:dyDescent="0.4">
      <c r="A251" s="144"/>
      <c r="B251" s="147"/>
      <c r="C251" s="85" t="s">
        <v>321</v>
      </c>
      <c r="D251" s="109" t="s">
        <v>180</v>
      </c>
      <c r="E251" s="13" t="s">
        <v>40</v>
      </c>
      <c r="F251" s="16"/>
      <c r="G251" s="12" t="s">
        <v>178</v>
      </c>
      <c r="H251" s="15"/>
      <c r="I251" s="15"/>
      <c r="J251" s="15"/>
      <c r="K251" s="15"/>
      <c r="L251" s="17"/>
      <c r="M251" s="17"/>
      <c r="N251" s="17"/>
      <c r="O251" s="17">
        <v>1</v>
      </c>
      <c r="P251" s="17">
        <v>1</v>
      </c>
      <c r="Q251" s="17">
        <v>1</v>
      </c>
      <c r="R251" s="17"/>
      <c r="S251" s="15"/>
      <c r="T251" s="26">
        <v>45703</v>
      </c>
      <c r="U251" s="13" t="s">
        <v>148</v>
      </c>
      <c r="V251">
        <v>9</v>
      </c>
      <c r="AA251" s="49" t="s">
        <v>88</v>
      </c>
      <c r="AB251" s="50" t="s">
        <v>74</v>
      </c>
    </row>
    <row r="252" spans="1:28" x14ac:dyDescent="0.4">
      <c r="A252" s="144"/>
      <c r="B252" s="147"/>
      <c r="C252" s="85" t="s">
        <v>322</v>
      </c>
      <c r="D252" s="109" t="s">
        <v>180</v>
      </c>
      <c r="E252" s="13" t="s">
        <v>39</v>
      </c>
      <c r="F252" s="16"/>
      <c r="G252" s="12" t="s">
        <v>178</v>
      </c>
      <c r="H252" s="15"/>
      <c r="I252" s="15"/>
      <c r="J252" s="15">
        <v>1</v>
      </c>
      <c r="K252" s="15">
        <v>1</v>
      </c>
      <c r="L252" s="17"/>
      <c r="M252" s="17"/>
      <c r="N252" s="17"/>
      <c r="O252" s="17"/>
      <c r="P252" s="17"/>
      <c r="Q252" s="17"/>
      <c r="R252" s="17"/>
      <c r="S252" s="15"/>
      <c r="T252" s="26">
        <v>45703</v>
      </c>
      <c r="U252" s="13" t="s">
        <v>146</v>
      </c>
      <c r="V252">
        <v>10</v>
      </c>
      <c r="AA252" s="49" t="s">
        <v>89</v>
      </c>
      <c r="AB252" s="50" t="s">
        <v>36</v>
      </c>
    </row>
    <row r="253" spans="1:28" x14ac:dyDescent="0.4">
      <c r="A253" s="144"/>
      <c r="B253" s="147"/>
      <c r="C253" s="85" t="s">
        <v>323</v>
      </c>
      <c r="D253" s="109" t="s">
        <v>180</v>
      </c>
      <c r="E253" s="13" t="s">
        <v>36</v>
      </c>
      <c r="F253" s="16"/>
      <c r="G253" s="12" t="s">
        <v>178</v>
      </c>
      <c r="H253" s="15"/>
      <c r="I253" s="15"/>
      <c r="J253" s="15">
        <v>1</v>
      </c>
      <c r="K253" s="15">
        <v>1</v>
      </c>
      <c r="L253" s="17"/>
      <c r="M253" s="17"/>
      <c r="N253" s="17"/>
      <c r="O253" s="17"/>
      <c r="P253" s="17"/>
      <c r="Q253" s="17"/>
      <c r="R253" s="17"/>
      <c r="S253" s="15"/>
      <c r="T253" s="26">
        <v>45703</v>
      </c>
      <c r="U253" s="13" t="s">
        <v>146</v>
      </c>
      <c r="V253">
        <v>11</v>
      </c>
      <c r="AA253" s="49" t="s">
        <v>90</v>
      </c>
      <c r="AB253" s="50" t="s">
        <v>58</v>
      </c>
    </row>
    <row r="254" spans="1:28" x14ac:dyDescent="0.4">
      <c r="A254" s="144"/>
      <c r="B254" s="147"/>
      <c r="C254" s="85" t="s">
        <v>324</v>
      </c>
      <c r="D254" s="109" t="s">
        <v>180</v>
      </c>
      <c r="E254" s="13" t="s">
        <v>36</v>
      </c>
      <c r="F254" s="16"/>
      <c r="G254" s="12" t="s">
        <v>178</v>
      </c>
      <c r="H254" s="15"/>
      <c r="I254" s="15"/>
      <c r="J254" s="15">
        <v>1</v>
      </c>
      <c r="K254" s="15">
        <v>1</v>
      </c>
      <c r="L254" s="17"/>
      <c r="M254" s="17"/>
      <c r="N254" s="17"/>
      <c r="O254" s="17"/>
      <c r="P254" s="17"/>
      <c r="Q254" s="17"/>
      <c r="R254" s="17"/>
      <c r="S254" s="15"/>
      <c r="T254" s="26">
        <v>45680</v>
      </c>
      <c r="U254" s="13" t="s">
        <v>146</v>
      </c>
      <c r="V254">
        <v>12</v>
      </c>
      <c r="AA254" s="49" t="s">
        <v>91</v>
      </c>
      <c r="AB254" s="50" t="s">
        <v>75</v>
      </c>
    </row>
    <row r="255" spans="1:28" x14ac:dyDescent="0.4">
      <c r="A255" s="144"/>
      <c r="B255" s="147"/>
      <c r="C255" s="85" t="s">
        <v>325</v>
      </c>
      <c r="D255" s="109" t="s">
        <v>180</v>
      </c>
      <c r="E255" s="13" t="s">
        <v>60</v>
      </c>
      <c r="F255" s="16"/>
      <c r="G255" s="12" t="s">
        <v>178</v>
      </c>
      <c r="H255" s="15"/>
      <c r="I255" s="15"/>
      <c r="J255" s="15">
        <v>1</v>
      </c>
      <c r="K255" s="15">
        <v>1</v>
      </c>
      <c r="L255" s="17">
        <v>1</v>
      </c>
      <c r="M255" s="17"/>
      <c r="N255" s="17"/>
      <c r="O255" s="17"/>
      <c r="P255" s="17"/>
      <c r="Q255" s="17"/>
      <c r="R255" s="17"/>
      <c r="S255" s="15"/>
      <c r="T255" s="26">
        <v>45703</v>
      </c>
      <c r="U255" s="13" t="s">
        <v>146</v>
      </c>
      <c r="V255">
        <v>13</v>
      </c>
      <c r="AA255" s="49" t="s">
        <v>92</v>
      </c>
      <c r="AB255" s="50" t="s">
        <v>40</v>
      </c>
    </row>
    <row r="256" spans="1:28" x14ac:dyDescent="0.4">
      <c r="A256" s="144"/>
      <c r="B256" s="147"/>
      <c r="C256" s="85" t="s">
        <v>326</v>
      </c>
      <c r="D256" s="109" t="s">
        <v>180</v>
      </c>
      <c r="E256" s="13" t="s">
        <v>133</v>
      </c>
      <c r="F256" s="16"/>
      <c r="G256" s="15" t="s">
        <v>178</v>
      </c>
      <c r="H256" s="15"/>
      <c r="I256" s="15"/>
      <c r="J256" s="15"/>
      <c r="K256" s="15"/>
      <c r="L256" s="17"/>
      <c r="M256" s="17"/>
      <c r="N256" s="17"/>
      <c r="O256" s="17">
        <v>1</v>
      </c>
      <c r="P256" s="17"/>
      <c r="Q256" s="17">
        <v>1</v>
      </c>
      <c r="R256" s="17"/>
      <c r="S256" s="15"/>
      <c r="T256" s="26">
        <v>45703</v>
      </c>
      <c r="U256" s="13" t="s">
        <v>148</v>
      </c>
      <c r="V256">
        <v>14</v>
      </c>
      <c r="AA256" s="49" t="s">
        <v>93</v>
      </c>
      <c r="AB256" s="50" t="s">
        <v>57</v>
      </c>
    </row>
    <row r="257" spans="1:28" x14ac:dyDescent="0.4">
      <c r="A257" s="144"/>
      <c r="B257" s="147"/>
      <c r="C257" s="85" t="s">
        <v>327</v>
      </c>
      <c r="D257" s="109" t="s">
        <v>180</v>
      </c>
      <c r="E257" s="13" t="s">
        <v>60</v>
      </c>
      <c r="F257" s="16"/>
      <c r="G257" s="15" t="s">
        <v>178</v>
      </c>
      <c r="H257" s="15"/>
      <c r="I257" s="15"/>
      <c r="J257" s="15">
        <v>1</v>
      </c>
      <c r="K257" s="15">
        <v>1</v>
      </c>
      <c r="L257" s="17">
        <v>1</v>
      </c>
      <c r="M257" s="17"/>
      <c r="N257" s="17"/>
      <c r="O257" s="17"/>
      <c r="P257" s="17"/>
      <c r="Q257" s="17"/>
      <c r="R257" s="17"/>
      <c r="S257" s="15"/>
      <c r="T257" s="26">
        <v>45703</v>
      </c>
      <c r="U257" s="13" t="s">
        <v>146</v>
      </c>
      <c r="V257">
        <v>15</v>
      </c>
      <c r="AA257" s="49" t="s">
        <v>94</v>
      </c>
      <c r="AB257" s="50" t="s">
        <v>41</v>
      </c>
    </row>
    <row r="258" spans="1:28" x14ac:dyDescent="0.4">
      <c r="A258" s="144"/>
      <c r="B258" s="147"/>
      <c r="C258" s="85" t="s">
        <v>328</v>
      </c>
      <c r="D258" s="109" t="s">
        <v>180</v>
      </c>
      <c r="E258" s="15" t="s">
        <v>36</v>
      </c>
      <c r="F258" s="16"/>
      <c r="G258" s="15" t="s">
        <v>178</v>
      </c>
      <c r="H258" s="15"/>
      <c r="I258" s="15"/>
      <c r="J258" s="15">
        <v>1</v>
      </c>
      <c r="K258" s="15">
        <v>1</v>
      </c>
      <c r="L258" s="19"/>
      <c r="M258" s="19"/>
      <c r="N258" s="19"/>
      <c r="O258" s="19"/>
      <c r="P258" s="19"/>
      <c r="Q258" s="19"/>
      <c r="R258" s="19"/>
      <c r="S258" s="15"/>
      <c r="T258" s="26">
        <v>45703</v>
      </c>
      <c r="U258" s="13" t="s">
        <v>146</v>
      </c>
      <c r="V258">
        <v>16</v>
      </c>
      <c r="AA258" s="49" t="s">
        <v>95</v>
      </c>
      <c r="AB258" s="50" t="s">
        <v>42</v>
      </c>
    </row>
    <row r="259" spans="1:28" x14ac:dyDescent="0.4">
      <c r="A259" s="144"/>
      <c r="B259" s="147"/>
      <c r="C259" s="85"/>
      <c r="D259" s="110"/>
      <c r="E259" s="18"/>
      <c r="F259" s="16"/>
      <c r="G259" s="18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6"/>
      <c r="U259" s="15"/>
      <c r="V259">
        <v>17</v>
      </c>
      <c r="AA259" s="49" t="s">
        <v>96</v>
      </c>
      <c r="AB259" s="50" t="s">
        <v>61</v>
      </c>
    </row>
    <row r="260" spans="1:28" x14ac:dyDescent="0.4">
      <c r="A260" s="144"/>
      <c r="B260" s="147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4"/>
      <c r="B261" s="147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4"/>
      <c r="B262" s="147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4"/>
      <c r="B263" s="147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4"/>
      <c r="B264" s="147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4"/>
      <c r="B265" s="147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4"/>
      <c r="B266" s="147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5"/>
      <c r="B267" s="148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16</v>
      </c>
      <c r="D268" s="112"/>
      <c r="E268" s="29"/>
      <c r="F268" s="29" t="s">
        <v>34</v>
      </c>
      <c r="G268" s="29">
        <f>COUNTIF(G243:G267,"S")</f>
        <v>16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11</v>
      </c>
      <c r="K268" s="29">
        <f t="shared" ref="K268" si="54">SUM(K243:K267)</f>
        <v>11</v>
      </c>
      <c r="L268" s="29">
        <f t="shared" ref="L268" si="55">SUM(L243:L267)</f>
        <v>2</v>
      </c>
      <c r="M268" s="29">
        <f t="shared" ref="M268" si="56">SUM(M243:M267)</f>
        <v>1</v>
      </c>
      <c r="N268" s="29">
        <f t="shared" ref="N268" si="57">SUM(N243:N267)</f>
        <v>1</v>
      </c>
      <c r="O268" s="29">
        <f t="shared" ref="O268" si="58">SUM(O243:O267)</f>
        <v>3</v>
      </c>
      <c r="P268" s="29">
        <f t="shared" ref="P268" si="59">SUM(P243:P267)</f>
        <v>2</v>
      </c>
      <c r="Q268" s="29">
        <f t="shared" ref="Q268" si="60">SUM(Q243:Q267)</f>
        <v>3</v>
      </c>
      <c r="R268" s="29">
        <f t="shared" ref="R268" si="61">SUM(R243:R267)</f>
        <v>0</v>
      </c>
      <c r="S268" s="29">
        <f t="shared" ref="S268" si="62">SUM(S243:S267)</f>
        <v>1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35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AYG098</v>
      </c>
      <c r="B271" s="24">
        <f>B1</f>
        <v>45671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6" t="s">
        <v>111</v>
      </c>
      <c r="Y272" s="142"/>
    </row>
    <row r="273" spans="1:28" ht="20.25" thickTop="1" thickBot="1" x14ac:dyDescent="0.45">
      <c r="A273" s="143">
        <v>10</v>
      </c>
      <c r="B273" s="146">
        <v>18.600000000000001</v>
      </c>
      <c r="C273" s="85" t="s">
        <v>329</v>
      </c>
      <c r="D273" s="109" t="s">
        <v>187</v>
      </c>
      <c r="E273" s="13" t="s">
        <v>37</v>
      </c>
      <c r="F273" s="14"/>
      <c r="G273" s="12" t="s">
        <v>178</v>
      </c>
      <c r="H273" s="13"/>
      <c r="I273" s="13"/>
      <c r="J273" s="13">
        <v>1</v>
      </c>
      <c r="K273" s="13">
        <v>1</v>
      </c>
      <c r="L273" s="13"/>
      <c r="M273" s="13"/>
      <c r="N273" s="13"/>
      <c r="O273" s="13"/>
      <c r="P273" s="13"/>
      <c r="Q273" s="13"/>
      <c r="R273" s="13"/>
      <c r="S273" s="13"/>
      <c r="T273" s="26">
        <v>45709</v>
      </c>
      <c r="U273" s="13" t="s">
        <v>142</v>
      </c>
      <c r="V273">
        <v>1</v>
      </c>
      <c r="X273" s="51" t="s">
        <v>106</v>
      </c>
      <c r="Y273" s="52">
        <f>COUNTIF(U273:U297,"K")</f>
        <v>5</v>
      </c>
      <c r="AA273" s="59" t="s">
        <v>120</v>
      </c>
      <c r="AB273" s="60" t="s">
        <v>121</v>
      </c>
    </row>
    <row r="274" spans="1:28" x14ac:dyDescent="0.4">
      <c r="A274" s="144"/>
      <c r="B274" s="147"/>
      <c r="C274" s="85" t="s">
        <v>330</v>
      </c>
      <c r="D274" s="109" t="s">
        <v>181</v>
      </c>
      <c r="E274" s="13" t="s">
        <v>37</v>
      </c>
      <c r="F274" s="16"/>
      <c r="G274" s="12" t="s">
        <v>178</v>
      </c>
      <c r="H274" s="15"/>
      <c r="I274" s="15"/>
      <c r="J274" s="15"/>
      <c r="K274" s="15">
        <v>1</v>
      </c>
      <c r="L274" s="17"/>
      <c r="M274" s="17">
        <v>1</v>
      </c>
      <c r="N274" s="17"/>
      <c r="O274" s="17"/>
      <c r="P274" s="17"/>
      <c r="Q274" s="17">
        <v>1</v>
      </c>
      <c r="R274" s="17"/>
      <c r="S274" s="15"/>
      <c r="T274" s="26">
        <v>45692</v>
      </c>
      <c r="U274" s="13" t="s">
        <v>147</v>
      </c>
      <c r="V274">
        <v>2</v>
      </c>
      <c r="X274" s="51" t="s">
        <v>107</v>
      </c>
      <c r="Y274" s="52">
        <f>COUNTIF(U273:U297,"R")</f>
        <v>7</v>
      </c>
      <c r="AA274" s="47" t="s">
        <v>81</v>
      </c>
      <c r="AB274" s="48" t="s">
        <v>60</v>
      </c>
    </row>
    <row r="275" spans="1:28" ht="19.5" thickBot="1" x14ac:dyDescent="0.45">
      <c r="A275" s="144"/>
      <c r="B275" s="147"/>
      <c r="C275" s="85" t="s">
        <v>331</v>
      </c>
      <c r="D275" s="109" t="s">
        <v>198</v>
      </c>
      <c r="E275" s="13" t="s">
        <v>75</v>
      </c>
      <c r="F275" s="16"/>
      <c r="G275" s="12" t="s">
        <v>178</v>
      </c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>
        <v>45704</v>
      </c>
      <c r="U275" s="13" t="s">
        <v>147</v>
      </c>
      <c r="V275">
        <v>3</v>
      </c>
      <c r="X275" s="53" t="s">
        <v>108</v>
      </c>
      <c r="Y275" s="54">
        <f>COUNTIF(U273:U297,"J")</f>
        <v>2</v>
      </c>
      <c r="AA275" s="49" t="s">
        <v>82</v>
      </c>
      <c r="AB275" s="50" t="s">
        <v>39</v>
      </c>
    </row>
    <row r="276" spans="1:28" x14ac:dyDescent="0.4">
      <c r="A276" s="144"/>
      <c r="B276" s="147"/>
      <c r="C276" s="85" t="s">
        <v>332</v>
      </c>
      <c r="D276" s="109" t="s">
        <v>198</v>
      </c>
      <c r="E276" s="13" t="s">
        <v>37</v>
      </c>
      <c r="F276" s="16"/>
      <c r="G276" s="12" t="s">
        <v>178</v>
      </c>
      <c r="H276" s="15"/>
      <c r="I276" s="15"/>
      <c r="J276" s="15"/>
      <c r="K276" s="15"/>
      <c r="L276" s="17"/>
      <c r="M276" s="17"/>
      <c r="N276" s="17"/>
      <c r="O276" s="17"/>
      <c r="P276" s="17"/>
      <c r="Q276" s="17">
        <v>1</v>
      </c>
      <c r="R276" s="17"/>
      <c r="S276" s="15"/>
      <c r="T276" s="26">
        <v>45722</v>
      </c>
      <c r="U276" s="13" t="s">
        <v>147</v>
      </c>
      <c r="V276">
        <v>4</v>
      </c>
      <c r="AA276" s="49" t="s">
        <v>83</v>
      </c>
      <c r="AB276" s="50" t="s">
        <v>38</v>
      </c>
    </row>
    <row r="277" spans="1:28" x14ac:dyDescent="0.4">
      <c r="A277" s="144"/>
      <c r="B277" s="147"/>
      <c r="C277" s="85" t="s">
        <v>333</v>
      </c>
      <c r="D277" s="109" t="s">
        <v>177</v>
      </c>
      <c r="E277" s="13" t="s">
        <v>41</v>
      </c>
      <c r="F277" s="16"/>
      <c r="G277" s="12" t="s">
        <v>178</v>
      </c>
      <c r="H277" s="15"/>
      <c r="I277" s="15"/>
      <c r="J277" s="15"/>
      <c r="K277" s="15"/>
      <c r="L277" s="17"/>
      <c r="M277" s="17"/>
      <c r="N277" s="17"/>
      <c r="O277" s="17"/>
      <c r="P277" s="17"/>
      <c r="Q277" s="17">
        <v>1</v>
      </c>
      <c r="R277" s="17"/>
      <c r="S277" s="15"/>
      <c r="T277" s="26">
        <v>45715</v>
      </c>
      <c r="U277" s="13" t="s">
        <v>147</v>
      </c>
      <c r="V277">
        <v>5</v>
      </c>
      <c r="AA277" s="49" t="s">
        <v>84</v>
      </c>
      <c r="AB277" s="50" t="s">
        <v>44</v>
      </c>
    </row>
    <row r="278" spans="1:28" x14ac:dyDescent="0.4">
      <c r="A278" s="144"/>
      <c r="B278" s="147"/>
      <c r="C278" s="85" t="s">
        <v>334</v>
      </c>
      <c r="D278" s="109" t="s">
        <v>177</v>
      </c>
      <c r="E278" s="13" t="s">
        <v>36</v>
      </c>
      <c r="F278" s="16"/>
      <c r="G278" s="12" t="s">
        <v>178</v>
      </c>
      <c r="H278" s="13"/>
      <c r="I278" s="15"/>
      <c r="J278" s="15"/>
      <c r="K278" s="15"/>
      <c r="L278" s="17"/>
      <c r="M278" s="17"/>
      <c r="N278" s="17">
        <v>1</v>
      </c>
      <c r="O278" s="17"/>
      <c r="P278" s="17">
        <v>1</v>
      </c>
      <c r="Q278" s="17">
        <v>1</v>
      </c>
      <c r="R278" s="17"/>
      <c r="S278" s="15"/>
      <c r="T278" s="26">
        <v>45712</v>
      </c>
      <c r="U278" s="13" t="s">
        <v>147</v>
      </c>
      <c r="V278">
        <v>6</v>
      </c>
      <c r="AA278" s="49" t="s">
        <v>85</v>
      </c>
      <c r="AB278" s="50" t="s">
        <v>43</v>
      </c>
    </row>
    <row r="279" spans="1:28" x14ac:dyDescent="0.4">
      <c r="A279" s="144"/>
      <c r="B279" s="147"/>
      <c r="C279" s="85" t="s">
        <v>316</v>
      </c>
      <c r="D279" s="109" t="s">
        <v>183</v>
      </c>
      <c r="E279" s="13" t="s">
        <v>40</v>
      </c>
      <c r="F279" s="16"/>
      <c r="G279" s="12" t="s">
        <v>178</v>
      </c>
      <c r="H279" s="15"/>
      <c r="I279" s="15"/>
      <c r="J279" s="15"/>
      <c r="K279" s="15"/>
      <c r="L279" s="17"/>
      <c r="M279" s="17"/>
      <c r="N279" s="17"/>
      <c r="O279" s="17">
        <v>1</v>
      </c>
      <c r="P279" s="17">
        <v>1</v>
      </c>
      <c r="Q279" s="17">
        <v>1</v>
      </c>
      <c r="R279" s="17">
        <v>1</v>
      </c>
      <c r="S279" s="15"/>
      <c r="T279" s="26">
        <v>45706</v>
      </c>
      <c r="U279" s="13" t="s">
        <v>148</v>
      </c>
      <c r="V279">
        <v>7</v>
      </c>
      <c r="AA279" s="49" t="s">
        <v>86</v>
      </c>
      <c r="AB279" s="50" t="s">
        <v>45</v>
      </c>
    </row>
    <row r="280" spans="1:28" x14ac:dyDescent="0.4">
      <c r="A280" s="144"/>
      <c r="B280" s="147"/>
      <c r="C280" s="85" t="s">
        <v>335</v>
      </c>
      <c r="D280" s="109" t="s">
        <v>184</v>
      </c>
      <c r="E280" s="13" t="s">
        <v>39</v>
      </c>
      <c r="F280" s="16"/>
      <c r="G280" s="12" t="s">
        <v>178</v>
      </c>
      <c r="H280" s="15"/>
      <c r="I280" s="15"/>
      <c r="J280" s="15">
        <v>1</v>
      </c>
      <c r="K280" s="15">
        <v>1</v>
      </c>
      <c r="L280" s="17"/>
      <c r="M280" s="17"/>
      <c r="N280" s="17"/>
      <c r="O280" s="17"/>
      <c r="P280" s="17"/>
      <c r="Q280" s="17"/>
      <c r="R280" s="17"/>
      <c r="S280" s="15"/>
      <c r="T280" s="26">
        <v>45706</v>
      </c>
      <c r="U280" s="13" t="s">
        <v>146</v>
      </c>
      <c r="V280">
        <v>8</v>
      </c>
      <c r="AA280" s="49" t="s">
        <v>87</v>
      </c>
      <c r="AB280" s="50" t="s">
        <v>37</v>
      </c>
    </row>
    <row r="281" spans="1:28" x14ac:dyDescent="0.4">
      <c r="A281" s="144"/>
      <c r="B281" s="147"/>
      <c r="C281" s="85" t="s">
        <v>336</v>
      </c>
      <c r="D281" s="109" t="s">
        <v>184</v>
      </c>
      <c r="E281" s="13" t="s">
        <v>133</v>
      </c>
      <c r="F281" s="16"/>
      <c r="G281" s="12" t="s">
        <v>178</v>
      </c>
      <c r="H281" s="15"/>
      <c r="I281" s="15"/>
      <c r="J281" s="15"/>
      <c r="K281" s="15"/>
      <c r="L281" s="17"/>
      <c r="M281" s="17"/>
      <c r="N281" s="17"/>
      <c r="O281" s="17">
        <v>1</v>
      </c>
      <c r="P281" s="17"/>
      <c r="Q281" s="17">
        <v>1</v>
      </c>
      <c r="R281" s="17">
        <v>1</v>
      </c>
      <c r="S281" s="15"/>
      <c r="T281" s="26">
        <v>45706</v>
      </c>
      <c r="U281" s="13" t="s">
        <v>148</v>
      </c>
      <c r="V281">
        <v>9</v>
      </c>
      <c r="AA281" s="49" t="s">
        <v>88</v>
      </c>
      <c r="AB281" s="50" t="s">
        <v>74</v>
      </c>
    </row>
    <row r="282" spans="1:28" x14ac:dyDescent="0.4">
      <c r="A282" s="144"/>
      <c r="B282" s="147"/>
      <c r="C282" s="85" t="s">
        <v>337</v>
      </c>
      <c r="D282" s="109" t="s">
        <v>177</v>
      </c>
      <c r="E282" s="13" t="s">
        <v>58</v>
      </c>
      <c r="F282" s="16"/>
      <c r="G282" s="12" t="s">
        <v>178</v>
      </c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>
        <v>1</v>
      </c>
      <c r="T282" s="26">
        <v>45713</v>
      </c>
      <c r="U282" s="13" t="s">
        <v>146</v>
      </c>
      <c r="V282">
        <v>10</v>
      </c>
      <c r="AA282" s="49" t="s">
        <v>89</v>
      </c>
      <c r="AB282" s="50" t="s">
        <v>36</v>
      </c>
    </row>
    <row r="283" spans="1:28" x14ac:dyDescent="0.4">
      <c r="A283" s="144"/>
      <c r="B283" s="147"/>
      <c r="C283" s="85" t="s">
        <v>338</v>
      </c>
      <c r="D283" s="109" t="s">
        <v>339</v>
      </c>
      <c r="E283" s="13" t="s">
        <v>75</v>
      </c>
      <c r="F283" s="16"/>
      <c r="G283" s="12" t="s">
        <v>178</v>
      </c>
      <c r="H283" s="15"/>
      <c r="I283" s="15"/>
      <c r="J283" s="15">
        <v>1</v>
      </c>
      <c r="K283" s="15">
        <v>1</v>
      </c>
      <c r="L283" s="17"/>
      <c r="M283" s="17"/>
      <c r="N283" s="17"/>
      <c r="O283" s="17"/>
      <c r="P283" s="17"/>
      <c r="Q283" s="17"/>
      <c r="R283" s="17"/>
      <c r="S283" s="15"/>
      <c r="T283" s="26">
        <v>45706</v>
      </c>
      <c r="U283" s="13" t="s">
        <v>146</v>
      </c>
      <c r="V283">
        <v>11</v>
      </c>
      <c r="AA283" s="49" t="s">
        <v>90</v>
      </c>
      <c r="AB283" s="50" t="s">
        <v>58</v>
      </c>
    </row>
    <row r="284" spans="1:28" x14ac:dyDescent="0.4">
      <c r="A284" s="144"/>
      <c r="B284" s="147"/>
      <c r="C284" s="85" t="s">
        <v>340</v>
      </c>
      <c r="D284" s="109" t="s">
        <v>339</v>
      </c>
      <c r="E284" s="13" t="s">
        <v>37</v>
      </c>
      <c r="F284" s="16"/>
      <c r="G284" s="12" t="s">
        <v>178</v>
      </c>
      <c r="H284" s="15"/>
      <c r="I284" s="15"/>
      <c r="J284" s="15"/>
      <c r="K284" s="15"/>
      <c r="L284" s="17"/>
      <c r="M284" s="17">
        <v>1</v>
      </c>
      <c r="N284" s="17">
        <v>1</v>
      </c>
      <c r="O284" s="17"/>
      <c r="P284" s="17"/>
      <c r="Q284" s="17">
        <v>1</v>
      </c>
      <c r="R284" s="17"/>
      <c r="S284" s="15"/>
      <c r="T284" s="26">
        <v>45706</v>
      </c>
      <c r="U284" s="13" t="s">
        <v>147</v>
      </c>
      <c r="V284">
        <v>12</v>
      </c>
      <c r="AA284" s="49" t="s">
        <v>91</v>
      </c>
      <c r="AB284" s="50" t="s">
        <v>75</v>
      </c>
    </row>
    <row r="285" spans="1:28" x14ac:dyDescent="0.4">
      <c r="A285" s="144"/>
      <c r="B285" s="147"/>
      <c r="C285" s="85" t="s">
        <v>341</v>
      </c>
      <c r="D285" s="109" t="s">
        <v>184</v>
      </c>
      <c r="E285" s="13" t="s">
        <v>38</v>
      </c>
      <c r="F285" s="16"/>
      <c r="G285" s="12" t="s">
        <v>178</v>
      </c>
      <c r="H285" s="15"/>
      <c r="I285" s="15"/>
      <c r="J285" s="15"/>
      <c r="K285" s="15"/>
      <c r="L285" s="17"/>
      <c r="M285" s="17">
        <v>1</v>
      </c>
      <c r="N285" s="17">
        <v>1</v>
      </c>
      <c r="O285" s="17"/>
      <c r="P285" s="17"/>
      <c r="Q285" s="17">
        <v>1</v>
      </c>
      <c r="R285" s="17"/>
      <c r="S285" s="15"/>
      <c r="T285" s="26">
        <v>45724</v>
      </c>
      <c r="U285" s="13" t="s">
        <v>147</v>
      </c>
      <c r="V285">
        <v>13</v>
      </c>
      <c r="AA285" s="49" t="s">
        <v>92</v>
      </c>
      <c r="AB285" s="50" t="s">
        <v>40</v>
      </c>
    </row>
    <row r="286" spans="1:28" x14ac:dyDescent="0.4">
      <c r="A286" s="144"/>
      <c r="B286" s="147"/>
      <c r="C286" s="85" t="s">
        <v>343</v>
      </c>
      <c r="D286" s="109" t="s">
        <v>342</v>
      </c>
      <c r="E286" s="15" t="s">
        <v>37</v>
      </c>
      <c r="F286" s="16"/>
      <c r="G286" s="12" t="s">
        <v>178</v>
      </c>
      <c r="H286" s="15"/>
      <c r="I286" s="15"/>
      <c r="J286" s="15">
        <v>1</v>
      </c>
      <c r="K286" s="15">
        <v>1</v>
      </c>
      <c r="L286" s="17"/>
      <c r="M286" s="17"/>
      <c r="N286" s="17"/>
      <c r="O286" s="17"/>
      <c r="P286" s="17"/>
      <c r="Q286" s="17"/>
      <c r="R286" s="17"/>
      <c r="S286" s="15"/>
      <c r="T286" s="26">
        <v>45714</v>
      </c>
      <c r="U286" s="15" t="s">
        <v>146</v>
      </c>
      <c r="V286">
        <v>14</v>
      </c>
      <c r="AA286" s="49" t="s">
        <v>93</v>
      </c>
      <c r="AB286" s="50" t="s">
        <v>57</v>
      </c>
    </row>
    <row r="287" spans="1:28" x14ac:dyDescent="0.4">
      <c r="A287" s="144"/>
      <c r="B287" s="147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44"/>
      <c r="B288" s="147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4"/>
      <c r="B289" s="147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4"/>
      <c r="B290" s="147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4"/>
      <c r="B291" s="147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4"/>
      <c r="B292" s="147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4"/>
      <c r="B293" s="147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4"/>
      <c r="B294" s="147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4"/>
      <c r="B295" s="147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4"/>
      <c r="B296" s="147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5"/>
      <c r="B297" s="148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14</v>
      </c>
      <c r="D298" s="112"/>
      <c r="E298" s="29"/>
      <c r="F298" s="29" t="s">
        <v>34</v>
      </c>
      <c r="G298" s="29">
        <f>COUNTIF(G273:G297,"S")</f>
        <v>14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4</v>
      </c>
      <c r="K298" s="29">
        <f t="shared" ref="K298" si="64">SUM(K273:K297)</f>
        <v>5</v>
      </c>
      <c r="L298" s="29">
        <f t="shared" ref="L298" si="65">SUM(L273:L297)</f>
        <v>0</v>
      </c>
      <c r="M298" s="29">
        <f t="shared" ref="M298" si="66">SUM(M273:M297)</f>
        <v>3</v>
      </c>
      <c r="N298" s="29">
        <f t="shared" ref="N298" si="67">SUM(N273:N297)</f>
        <v>3</v>
      </c>
      <c r="O298" s="29">
        <f t="shared" ref="O298" si="68">SUM(O273:O297)</f>
        <v>2</v>
      </c>
      <c r="P298" s="29">
        <f t="shared" ref="P298" si="69">SUM(P273:P297)</f>
        <v>2</v>
      </c>
      <c r="Q298" s="29">
        <f t="shared" ref="Q298" si="70">SUM(Q273:Q297)</f>
        <v>8</v>
      </c>
      <c r="R298" s="29">
        <f t="shared" ref="R298" si="71">SUM(R273:R297)</f>
        <v>2</v>
      </c>
      <c r="S298" s="29">
        <f t="shared" ref="S298" si="72">SUM(S273:S297)</f>
        <v>1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30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AYG098</v>
      </c>
      <c r="B301" s="24">
        <f>B1</f>
        <v>45671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6" t="s">
        <v>110</v>
      </c>
      <c r="Y302" s="142"/>
    </row>
    <row r="303" spans="1:28" ht="20.25" thickTop="1" thickBot="1" x14ac:dyDescent="0.45">
      <c r="A303" s="143">
        <v>11</v>
      </c>
      <c r="B303" s="146">
        <v>21.6</v>
      </c>
      <c r="C303" s="85" t="s">
        <v>344</v>
      </c>
      <c r="D303" s="109" t="s">
        <v>186</v>
      </c>
      <c r="E303" s="13" t="s">
        <v>59</v>
      </c>
      <c r="F303" s="14"/>
      <c r="G303" s="12" t="s">
        <v>178</v>
      </c>
      <c r="H303" s="13" t="s">
        <v>192</v>
      </c>
      <c r="I303" s="13"/>
      <c r="J303" s="13">
        <v>2</v>
      </c>
      <c r="K303" s="13"/>
      <c r="L303" s="13"/>
      <c r="M303" s="13"/>
      <c r="N303" s="13"/>
      <c r="O303" s="13"/>
      <c r="P303" s="13"/>
      <c r="Q303" s="13"/>
      <c r="R303" s="13"/>
      <c r="S303" s="13"/>
      <c r="T303" s="26">
        <v>45711</v>
      </c>
      <c r="U303" s="13" t="s">
        <v>146</v>
      </c>
      <c r="V303">
        <v>1</v>
      </c>
      <c r="X303" s="51" t="s">
        <v>106</v>
      </c>
      <c r="Y303" s="52">
        <f>COUNTIF(U303:U327,"K")</f>
        <v>6</v>
      </c>
      <c r="AA303" s="59" t="s">
        <v>120</v>
      </c>
      <c r="AB303" s="60" t="s">
        <v>121</v>
      </c>
    </row>
    <row r="304" spans="1:28" x14ac:dyDescent="0.4">
      <c r="A304" s="144"/>
      <c r="B304" s="147"/>
      <c r="C304" s="85" t="s">
        <v>345</v>
      </c>
      <c r="D304" s="109" t="s">
        <v>186</v>
      </c>
      <c r="E304" s="13" t="s">
        <v>59</v>
      </c>
      <c r="F304" s="16"/>
      <c r="G304" s="12" t="s">
        <v>178</v>
      </c>
      <c r="H304" s="15" t="s">
        <v>192</v>
      </c>
      <c r="I304" s="15"/>
      <c r="J304" s="15">
        <v>2</v>
      </c>
      <c r="K304" s="15"/>
      <c r="L304" s="17"/>
      <c r="M304" s="13"/>
      <c r="N304" s="13"/>
      <c r="O304" s="17"/>
      <c r="P304" s="17"/>
      <c r="Q304" s="17"/>
      <c r="R304" s="17"/>
      <c r="S304" s="15"/>
      <c r="T304" s="26">
        <v>45711</v>
      </c>
      <c r="U304" s="13" t="s">
        <v>146</v>
      </c>
      <c r="V304">
        <v>2</v>
      </c>
      <c r="X304" s="51" t="s">
        <v>107</v>
      </c>
      <c r="Y304" s="52">
        <f>COUNTIF(U303:U327,"R")</f>
        <v>3</v>
      </c>
      <c r="AA304" s="47" t="s">
        <v>81</v>
      </c>
      <c r="AB304" s="48" t="s">
        <v>60</v>
      </c>
    </row>
    <row r="305" spans="1:28" ht="19.5" thickBot="1" x14ac:dyDescent="0.45">
      <c r="A305" s="144"/>
      <c r="B305" s="147"/>
      <c r="C305" s="85" t="s">
        <v>346</v>
      </c>
      <c r="D305" s="109" t="s">
        <v>229</v>
      </c>
      <c r="E305" s="13" t="s">
        <v>44</v>
      </c>
      <c r="F305" s="16"/>
      <c r="G305" s="12" t="s">
        <v>178</v>
      </c>
      <c r="H305" s="15"/>
      <c r="I305" s="15"/>
      <c r="J305" s="15">
        <v>1</v>
      </c>
      <c r="K305" s="15"/>
      <c r="L305" s="17">
        <v>1</v>
      </c>
      <c r="M305" s="13"/>
      <c r="N305" s="13"/>
      <c r="O305" s="17"/>
      <c r="P305" s="17"/>
      <c r="Q305" s="17"/>
      <c r="R305" s="17"/>
      <c r="S305" s="15"/>
      <c r="T305" s="26">
        <v>45706</v>
      </c>
      <c r="U305" s="13" t="s">
        <v>146</v>
      </c>
      <c r="V305">
        <v>3</v>
      </c>
      <c r="X305" s="53" t="s">
        <v>108</v>
      </c>
      <c r="Y305" s="54">
        <f>COUNTIF(U303:U327,"J")</f>
        <v>2</v>
      </c>
      <c r="AA305" s="49" t="s">
        <v>82</v>
      </c>
      <c r="AB305" s="50" t="s">
        <v>39</v>
      </c>
    </row>
    <row r="306" spans="1:28" x14ac:dyDescent="0.4">
      <c r="A306" s="144"/>
      <c r="B306" s="147"/>
      <c r="C306" s="85" t="s">
        <v>347</v>
      </c>
      <c r="D306" s="109" t="s">
        <v>229</v>
      </c>
      <c r="E306" s="13" t="s">
        <v>74</v>
      </c>
      <c r="F306" s="16"/>
      <c r="G306" s="12" t="s">
        <v>178</v>
      </c>
      <c r="H306" s="15"/>
      <c r="I306" s="15"/>
      <c r="J306" s="15">
        <v>1</v>
      </c>
      <c r="K306" s="15">
        <v>1</v>
      </c>
      <c r="L306" s="17"/>
      <c r="M306" s="13"/>
      <c r="N306" s="13"/>
      <c r="O306" s="17"/>
      <c r="P306" s="17"/>
      <c r="Q306" s="17"/>
      <c r="R306" s="17"/>
      <c r="S306" s="15"/>
      <c r="T306" s="26">
        <v>45706</v>
      </c>
      <c r="U306" s="13" t="s">
        <v>146</v>
      </c>
      <c r="V306">
        <v>4</v>
      </c>
      <c r="AA306" s="49" t="s">
        <v>83</v>
      </c>
      <c r="AB306" s="50" t="s">
        <v>38</v>
      </c>
    </row>
    <row r="307" spans="1:28" x14ac:dyDescent="0.4">
      <c r="A307" s="144"/>
      <c r="B307" s="147"/>
      <c r="C307" s="85" t="s">
        <v>348</v>
      </c>
      <c r="D307" s="109" t="s">
        <v>229</v>
      </c>
      <c r="E307" s="13" t="s">
        <v>44</v>
      </c>
      <c r="F307" s="16"/>
      <c r="G307" s="12" t="s">
        <v>178</v>
      </c>
      <c r="H307" s="15"/>
      <c r="I307" s="15"/>
      <c r="J307" s="15"/>
      <c r="K307" s="15"/>
      <c r="L307" s="17"/>
      <c r="M307" s="13">
        <v>1</v>
      </c>
      <c r="N307" s="13"/>
      <c r="O307" s="17"/>
      <c r="P307" s="17"/>
      <c r="Q307" s="17">
        <v>1</v>
      </c>
      <c r="R307" s="17"/>
      <c r="S307" s="15"/>
      <c r="T307" s="26">
        <v>45706</v>
      </c>
      <c r="U307" s="13" t="s">
        <v>147</v>
      </c>
      <c r="V307">
        <v>5</v>
      </c>
      <c r="AA307" s="49" t="s">
        <v>84</v>
      </c>
      <c r="AB307" s="50" t="s">
        <v>44</v>
      </c>
    </row>
    <row r="308" spans="1:28" x14ac:dyDescent="0.4">
      <c r="A308" s="144"/>
      <c r="B308" s="147"/>
      <c r="C308" s="85" t="s">
        <v>349</v>
      </c>
      <c r="D308" s="109" t="s">
        <v>229</v>
      </c>
      <c r="E308" s="13" t="s">
        <v>44</v>
      </c>
      <c r="F308" s="16"/>
      <c r="G308" s="12" t="s">
        <v>178</v>
      </c>
      <c r="H308" s="13"/>
      <c r="I308" s="15"/>
      <c r="J308" s="15"/>
      <c r="K308" s="15"/>
      <c r="L308" s="17"/>
      <c r="M308" s="13">
        <v>1</v>
      </c>
      <c r="N308" s="13"/>
      <c r="O308" s="17"/>
      <c r="P308" s="17"/>
      <c r="Q308" s="17">
        <v>1</v>
      </c>
      <c r="R308" s="17"/>
      <c r="S308" s="15"/>
      <c r="T308" s="26">
        <v>45706</v>
      </c>
      <c r="U308" s="13" t="s">
        <v>147</v>
      </c>
      <c r="V308">
        <v>6</v>
      </c>
      <c r="AA308" s="49" t="s">
        <v>85</v>
      </c>
      <c r="AB308" s="50" t="s">
        <v>43</v>
      </c>
    </row>
    <row r="309" spans="1:28" x14ac:dyDescent="0.4">
      <c r="A309" s="144"/>
      <c r="B309" s="147"/>
      <c r="C309" s="85" t="s">
        <v>350</v>
      </c>
      <c r="D309" s="109" t="s">
        <v>229</v>
      </c>
      <c r="E309" s="13" t="s">
        <v>41</v>
      </c>
      <c r="F309" s="16"/>
      <c r="G309" s="12" t="s">
        <v>178</v>
      </c>
      <c r="H309" s="15"/>
      <c r="I309" s="15"/>
      <c r="J309" s="15">
        <v>1</v>
      </c>
      <c r="K309" s="15">
        <v>1</v>
      </c>
      <c r="L309" s="17"/>
      <c r="M309" s="13"/>
      <c r="N309" s="13"/>
      <c r="O309" s="17"/>
      <c r="P309" s="17"/>
      <c r="Q309" s="17"/>
      <c r="R309" s="17"/>
      <c r="S309" s="15"/>
      <c r="T309" s="26">
        <v>45706</v>
      </c>
      <c r="U309" s="13" t="s">
        <v>146</v>
      </c>
      <c r="V309">
        <v>7</v>
      </c>
      <c r="AA309" s="49" t="s">
        <v>86</v>
      </c>
      <c r="AB309" s="50" t="s">
        <v>45</v>
      </c>
    </row>
    <row r="310" spans="1:28" x14ac:dyDescent="0.4">
      <c r="A310" s="144"/>
      <c r="B310" s="147"/>
      <c r="C310" s="85" t="s">
        <v>351</v>
      </c>
      <c r="D310" s="109" t="s">
        <v>229</v>
      </c>
      <c r="E310" s="13" t="s">
        <v>41</v>
      </c>
      <c r="F310" s="16"/>
      <c r="G310" s="12" t="s">
        <v>178</v>
      </c>
      <c r="H310" s="15"/>
      <c r="I310" s="15"/>
      <c r="J310" s="15">
        <v>1</v>
      </c>
      <c r="K310" s="15">
        <v>1</v>
      </c>
      <c r="L310" s="17"/>
      <c r="M310" s="13"/>
      <c r="N310" s="13"/>
      <c r="O310" s="17"/>
      <c r="P310" s="17"/>
      <c r="Q310" s="17"/>
      <c r="R310" s="17"/>
      <c r="S310" s="15"/>
      <c r="T310" s="26">
        <v>45706</v>
      </c>
      <c r="U310" s="13" t="s">
        <v>146</v>
      </c>
      <c r="V310">
        <v>8</v>
      </c>
      <c r="AA310" s="49" t="s">
        <v>87</v>
      </c>
      <c r="AB310" s="50" t="s">
        <v>37</v>
      </c>
    </row>
    <row r="311" spans="1:28" x14ac:dyDescent="0.4">
      <c r="A311" s="144"/>
      <c r="B311" s="147"/>
      <c r="C311" s="85" t="s">
        <v>352</v>
      </c>
      <c r="D311" s="109" t="s">
        <v>188</v>
      </c>
      <c r="E311" s="13" t="s">
        <v>40</v>
      </c>
      <c r="F311" s="16"/>
      <c r="G311" s="12" t="s">
        <v>195</v>
      </c>
      <c r="H311" s="15"/>
      <c r="I311" s="15"/>
      <c r="J311" s="15"/>
      <c r="K311" s="15"/>
      <c r="L311" s="17"/>
      <c r="M311" s="13"/>
      <c r="N311" s="13"/>
      <c r="O311" s="17">
        <v>1</v>
      </c>
      <c r="P311" s="17">
        <v>1</v>
      </c>
      <c r="Q311" s="17"/>
      <c r="R311" s="17">
        <v>1</v>
      </c>
      <c r="S311" s="15"/>
      <c r="T311" s="26">
        <v>45700</v>
      </c>
      <c r="U311" s="13" t="s">
        <v>148</v>
      </c>
      <c r="V311">
        <v>9</v>
      </c>
      <c r="AA311" s="49" t="s">
        <v>88</v>
      </c>
      <c r="AB311" s="50" t="s">
        <v>74</v>
      </c>
    </row>
    <row r="312" spans="1:28" x14ac:dyDescent="0.4">
      <c r="A312" s="144"/>
      <c r="B312" s="147"/>
      <c r="C312" s="85" t="s">
        <v>353</v>
      </c>
      <c r="D312" s="109" t="s">
        <v>194</v>
      </c>
      <c r="E312" s="13" t="s">
        <v>75</v>
      </c>
      <c r="F312" s="16"/>
      <c r="G312" s="12" t="s">
        <v>178</v>
      </c>
      <c r="H312" s="15" t="s">
        <v>147</v>
      </c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>
        <v>45706</v>
      </c>
      <c r="U312" s="13" t="s">
        <v>147</v>
      </c>
      <c r="V312">
        <v>10</v>
      </c>
      <c r="AA312" s="49" t="s">
        <v>89</v>
      </c>
      <c r="AB312" s="50" t="s">
        <v>36</v>
      </c>
    </row>
    <row r="313" spans="1:28" x14ac:dyDescent="0.4">
      <c r="A313" s="144"/>
      <c r="B313" s="147"/>
      <c r="C313" s="85" t="s">
        <v>354</v>
      </c>
      <c r="D313" s="109" t="s">
        <v>355</v>
      </c>
      <c r="E313" s="13" t="s">
        <v>40</v>
      </c>
      <c r="F313" s="16"/>
      <c r="G313" s="12" t="s">
        <v>178</v>
      </c>
      <c r="H313" s="15"/>
      <c r="I313" s="15"/>
      <c r="J313" s="15"/>
      <c r="K313" s="15"/>
      <c r="L313" s="17"/>
      <c r="M313" s="13"/>
      <c r="N313" s="13"/>
      <c r="O313" s="17">
        <v>1</v>
      </c>
      <c r="P313" s="17"/>
      <c r="Q313" s="17">
        <v>1</v>
      </c>
      <c r="R313" s="17"/>
      <c r="S313" s="15"/>
      <c r="T313" s="26">
        <v>45706</v>
      </c>
      <c r="U313" s="13" t="s">
        <v>148</v>
      </c>
      <c r="V313">
        <v>11</v>
      </c>
      <c r="AA313" s="49" t="s">
        <v>90</v>
      </c>
      <c r="AB313" s="50" t="s">
        <v>58</v>
      </c>
    </row>
    <row r="314" spans="1:28" x14ac:dyDescent="0.4">
      <c r="A314" s="144"/>
      <c r="B314" s="147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44"/>
      <c r="B315" s="147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4"/>
      <c r="B316" s="147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4"/>
      <c r="B317" s="147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4"/>
      <c r="B318" s="147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4"/>
      <c r="B319" s="147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4"/>
      <c r="B320" s="147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4"/>
      <c r="B321" s="147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4"/>
      <c r="B322" s="147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4"/>
      <c r="B323" s="147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4"/>
      <c r="B324" s="147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4"/>
      <c r="B325" s="147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4"/>
      <c r="B326" s="147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5"/>
      <c r="B327" s="148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11</v>
      </c>
      <c r="D328" s="112"/>
      <c r="E328" s="29"/>
      <c r="F328" s="29" t="s">
        <v>34</v>
      </c>
      <c r="G328" s="29">
        <f>COUNTIF(G303:G327,"S")</f>
        <v>10</v>
      </c>
      <c r="H328" s="29">
        <f>COUNTIF(H303:H327,"E")</f>
        <v>2</v>
      </c>
      <c r="I328" s="29">
        <f>SUM(I303:I327)</f>
        <v>0</v>
      </c>
      <c r="J328" s="29">
        <f t="shared" ref="J328" si="73">SUM(J303:J327)</f>
        <v>8</v>
      </c>
      <c r="K328" s="29">
        <f t="shared" ref="K328" si="74">SUM(K303:K327)</f>
        <v>3</v>
      </c>
      <c r="L328" s="29">
        <f t="shared" ref="L328" si="75">SUM(L303:L327)</f>
        <v>1</v>
      </c>
      <c r="M328" s="29">
        <f t="shared" ref="M328" si="76">SUM(M303:M327)</f>
        <v>2</v>
      </c>
      <c r="N328" s="29">
        <f t="shared" ref="N328" si="77">SUM(N303:N327)</f>
        <v>0</v>
      </c>
      <c r="O328" s="29">
        <f t="shared" ref="O328" si="78">SUM(O303:O327)</f>
        <v>2</v>
      </c>
      <c r="P328" s="29">
        <f t="shared" ref="P328" si="79">SUM(P303:P327)</f>
        <v>1</v>
      </c>
      <c r="Q328" s="29">
        <f t="shared" ref="Q328" si="80">SUM(Q303:Q327)</f>
        <v>3</v>
      </c>
      <c r="R328" s="29">
        <f t="shared" ref="R328" si="81">SUM(R303:R327)</f>
        <v>1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1</v>
      </c>
      <c r="H329" s="29">
        <f>COUNTIF(H303:H327,"R")</f>
        <v>1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21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AYG098</v>
      </c>
      <c r="B331" s="24">
        <f>B151</f>
        <v>45671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6" t="s">
        <v>109</v>
      </c>
      <c r="Y332" s="142"/>
    </row>
    <row r="333" spans="1:28" ht="20.25" thickTop="1" thickBot="1" x14ac:dyDescent="0.45">
      <c r="A333" s="143">
        <v>12</v>
      </c>
      <c r="B333" s="146">
        <v>25.8</v>
      </c>
      <c r="C333" s="86" t="s">
        <v>356</v>
      </c>
      <c r="D333" s="109" t="s">
        <v>355</v>
      </c>
      <c r="E333" s="109" t="s">
        <v>36</v>
      </c>
      <c r="F333" s="14"/>
      <c r="G333" s="12" t="s">
        <v>178</v>
      </c>
      <c r="H333" s="13"/>
      <c r="I333" s="13"/>
      <c r="J333" s="13">
        <v>1</v>
      </c>
      <c r="K333" s="13">
        <v>1</v>
      </c>
      <c r="L333" s="13"/>
      <c r="M333" s="13"/>
      <c r="N333" s="13"/>
      <c r="O333" s="13"/>
      <c r="P333" s="13"/>
      <c r="Q333" s="13"/>
      <c r="R333" s="13"/>
      <c r="S333" s="13"/>
      <c r="T333" s="26">
        <v>45707</v>
      </c>
      <c r="U333" s="13" t="s">
        <v>147</v>
      </c>
      <c r="V333">
        <v>1</v>
      </c>
      <c r="X333" s="51" t="s">
        <v>106</v>
      </c>
      <c r="Y333" s="52">
        <f>COUNTIF(U333:U356,"K")</f>
        <v>6</v>
      </c>
      <c r="AA333" s="59" t="s">
        <v>120</v>
      </c>
      <c r="AB333" s="60" t="s">
        <v>121</v>
      </c>
    </row>
    <row r="334" spans="1:28" x14ac:dyDescent="0.4">
      <c r="A334" s="144"/>
      <c r="B334" s="147"/>
      <c r="C334" s="86" t="s">
        <v>357</v>
      </c>
      <c r="D334" s="109" t="s">
        <v>179</v>
      </c>
      <c r="E334" s="109" t="s">
        <v>38</v>
      </c>
      <c r="F334" s="16"/>
      <c r="G334" s="12" t="s">
        <v>178</v>
      </c>
      <c r="H334" s="15"/>
      <c r="I334" s="15"/>
      <c r="J334" s="15">
        <v>1</v>
      </c>
      <c r="K334" s="15"/>
      <c r="L334" s="17"/>
      <c r="M334" s="17"/>
      <c r="N334" s="17"/>
      <c r="O334" s="17"/>
      <c r="P334" s="17"/>
      <c r="Q334" s="17"/>
      <c r="R334" s="17"/>
      <c r="S334" s="15"/>
      <c r="T334" s="26">
        <v>45696</v>
      </c>
      <c r="U334" s="13" t="s">
        <v>142</v>
      </c>
      <c r="V334">
        <v>2</v>
      </c>
      <c r="X334" s="51" t="s">
        <v>107</v>
      </c>
      <c r="Y334" s="52">
        <f>COUNTIF(U333:U356,"R")</f>
        <v>4</v>
      </c>
      <c r="AA334" s="47" t="s">
        <v>81</v>
      </c>
      <c r="AB334" s="48" t="s">
        <v>60</v>
      </c>
    </row>
    <row r="335" spans="1:28" ht="19.5" thickBot="1" x14ac:dyDescent="0.45">
      <c r="A335" s="144"/>
      <c r="B335" s="147"/>
      <c r="C335" s="86" t="s">
        <v>358</v>
      </c>
      <c r="D335" s="109" t="s">
        <v>205</v>
      </c>
      <c r="E335" s="109" t="s">
        <v>43</v>
      </c>
      <c r="F335" s="16"/>
      <c r="G335" s="12" t="s">
        <v>178</v>
      </c>
      <c r="H335" s="15"/>
      <c r="I335" s="15"/>
      <c r="J335" s="15">
        <v>1</v>
      </c>
      <c r="K335" s="15"/>
      <c r="L335" s="17"/>
      <c r="M335" s="17"/>
      <c r="N335" s="17"/>
      <c r="O335" s="17"/>
      <c r="P335" s="17"/>
      <c r="Q335" s="17"/>
      <c r="R335" s="17"/>
      <c r="S335" s="15"/>
      <c r="T335" s="26">
        <v>45686</v>
      </c>
      <c r="U335" s="13" t="s">
        <v>146</v>
      </c>
      <c r="V335">
        <v>3</v>
      </c>
      <c r="X335" s="53" t="s">
        <v>108</v>
      </c>
      <c r="Y335" s="54">
        <f>COUNTIF(U333:U356,"J")</f>
        <v>4</v>
      </c>
      <c r="AA335" s="49" t="s">
        <v>82</v>
      </c>
      <c r="AB335" s="50" t="s">
        <v>39</v>
      </c>
    </row>
    <row r="336" spans="1:28" x14ac:dyDescent="0.4">
      <c r="A336" s="144"/>
      <c r="B336" s="147"/>
      <c r="C336" s="86" t="s">
        <v>359</v>
      </c>
      <c r="D336" s="109" t="s">
        <v>205</v>
      </c>
      <c r="E336" s="109" t="s">
        <v>45</v>
      </c>
      <c r="F336" s="16"/>
      <c r="G336" s="12" t="s">
        <v>178</v>
      </c>
      <c r="H336" s="15"/>
      <c r="I336" s="15"/>
      <c r="J336" s="15"/>
      <c r="K336" s="15"/>
      <c r="L336" s="17"/>
      <c r="M336" s="17">
        <v>1</v>
      </c>
      <c r="N336" s="17">
        <v>1</v>
      </c>
      <c r="O336" s="17"/>
      <c r="P336" s="17"/>
      <c r="Q336" s="17"/>
      <c r="R336" s="17"/>
      <c r="S336" s="15"/>
      <c r="T336" s="26">
        <v>45686</v>
      </c>
      <c r="U336" s="13" t="s">
        <v>147</v>
      </c>
      <c r="V336">
        <v>4</v>
      </c>
      <c r="AA336" s="49" t="s">
        <v>83</v>
      </c>
      <c r="AB336" s="50" t="s">
        <v>38</v>
      </c>
    </row>
    <row r="337" spans="1:28" x14ac:dyDescent="0.4">
      <c r="A337" s="144"/>
      <c r="B337" s="147"/>
      <c r="C337" s="86" t="s">
        <v>360</v>
      </c>
      <c r="D337" s="109" t="s">
        <v>205</v>
      </c>
      <c r="E337" s="109" t="s">
        <v>40</v>
      </c>
      <c r="F337" s="16"/>
      <c r="G337" s="12" t="s">
        <v>178</v>
      </c>
      <c r="H337" s="15"/>
      <c r="I337" s="15"/>
      <c r="J337" s="15"/>
      <c r="K337" s="15"/>
      <c r="L337" s="17"/>
      <c r="M337" s="17"/>
      <c r="N337" s="17"/>
      <c r="O337" s="17">
        <v>1</v>
      </c>
      <c r="P337" s="17">
        <v>1</v>
      </c>
      <c r="Q337" s="17">
        <v>1</v>
      </c>
      <c r="R337" s="17">
        <v>1</v>
      </c>
      <c r="S337" s="15"/>
      <c r="T337" s="26">
        <v>45686</v>
      </c>
      <c r="U337" s="13" t="s">
        <v>148</v>
      </c>
      <c r="V337">
        <v>5</v>
      </c>
      <c r="AA337" s="49" t="s">
        <v>84</v>
      </c>
      <c r="AB337" s="50" t="s">
        <v>44</v>
      </c>
    </row>
    <row r="338" spans="1:28" x14ac:dyDescent="0.4">
      <c r="A338" s="144"/>
      <c r="B338" s="147"/>
      <c r="C338" s="86" t="s">
        <v>361</v>
      </c>
      <c r="D338" s="109" t="s">
        <v>205</v>
      </c>
      <c r="E338" s="109" t="s">
        <v>40</v>
      </c>
      <c r="F338" s="16"/>
      <c r="G338" s="12" t="s">
        <v>178</v>
      </c>
      <c r="H338" s="13"/>
      <c r="I338" s="15"/>
      <c r="J338" s="15"/>
      <c r="K338" s="15"/>
      <c r="L338" s="17"/>
      <c r="M338" s="17"/>
      <c r="N338" s="17"/>
      <c r="O338" s="17">
        <v>1</v>
      </c>
      <c r="P338" s="17">
        <v>1</v>
      </c>
      <c r="Q338" s="17"/>
      <c r="R338" s="17"/>
      <c r="S338" s="15"/>
      <c r="T338" s="26">
        <v>45686</v>
      </c>
      <c r="U338" s="13" t="s">
        <v>148</v>
      </c>
      <c r="V338">
        <v>6</v>
      </c>
      <c r="AA338" s="49" t="s">
        <v>85</v>
      </c>
      <c r="AB338" s="50" t="s">
        <v>43</v>
      </c>
    </row>
    <row r="339" spans="1:28" x14ac:dyDescent="0.4">
      <c r="A339" s="144"/>
      <c r="B339" s="147"/>
      <c r="C339" s="86" t="s">
        <v>362</v>
      </c>
      <c r="D339" s="109" t="s">
        <v>179</v>
      </c>
      <c r="E339" s="109" t="s">
        <v>36</v>
      </c>
      <c r="F339" s="16"/>
      <c r="G339" s="12" t="s">
        <v>178</v>
      </c>
      <c r="H339" s="15"/>
      <c r="I339" s="15"/>
      <c r="J339" s="15">
        <v>1</v>
      </c>
      <c r="K339" s="15"/>
      <c r="L339" s="17"/>
      <c r="M339" s="17"/>
      <c r="N339" s="17"/>
      <c r="O339" s="17"/>
      <c r="P339" s="17"/>
      <c r="Q339" s="17"/>
      <c r="R339" s="17"/>
      <c r="S339" s="15"/>
      <c r="T339" s="26">
        <v>45704</v>
      </c>
      <c r="U339" s="13" t="s">
        <v>146</v>
      </c>
      <c r="V339">
        <v>7</v>
      </c>
      <c r="AA339" s="49" t="s">
        <v>86</v>
      </c>
      <c r="AB339" s="50" t="s">
        <v>45</v>
      </c>
    </row>
    <row r="340" spans="1:28" x14ac:dyDescent="0.4">
      <c r="A340" s="144"/>
      <c r="B340" s="147"/>
      <c r="C340" s="86" t="s">
        <v>364</v>
      </c>
      <c r="D340" s="109" t="s">
        <v>363</v>
      </c>
      <c r="E340" s="109" t="s">
        <v>36</v>
      </c>
      <c r="F340" s="16"/>
      <c r="G340" s="12" t="s">
        <v>178</v>
      </c>
      <c r="H340" s="15"/>
      <c r="I340" s="15"/>
      <c r="J340" s="15">
        <v>1</v>
      </c>
      <c r="K340" s="15">
        <v>1</v>
      </c>
      <c r="L340" s="17"/>
      <c r="M340" s="17"/>
      <c r="N340" s="17"/>
      <c r="O340" s="17"/>
      <c r="P340" s="17"/>
      <c r="Q340" s="17"/>
      <c r="R340" s="17"/>
      <c r="S340" s="15"/>
      <c r="T340" s="26">
        <v>45706</v>
      </c>
      <c r="U340" s="13" t="s">
        <v>146</v>
      </c>
      <c r="V340">
        <v>8</v>
      </c>
      <c r="AA340" s="49" t="s">
        <v>87</v>
      </c>
      <c r="AB340" s="50" t="s">
        <v>37</v>
      </c>
    </row>
    <row r="341" spans="1:28" x14ac:dyDescent="0.4">
      <c r="A341" s="144"/>
      <c r="B341" s="147"/>
      <c r="C341" s="86" t="s">
        <v>365</v>
      </c>
      <c r="D341" s="109" t="s">
        <v>179</v>
      </c>
      <c r="E341" s="15" t="s">
        <v>133</v>
      </c>
      <c r="F341" s="16"/>
      <c r="G341" s="15" t="s">
        <v>178</v>
      </c>
      <c r="H341" s="15"/>
      <c r="I341" s="15"/>
      <c r="J341" s="15"/>
      <c r="K341" s="15"/>
      <c r="L341" s="17"/>
      <c r="M341" s="17"/>
      <c r="N341" s="17"/>
      <c r="O341" s="17">
        <v>1</v>
      </c>
      <c r="P341" s="17">
        <v>1</v>
      </c>
      <c r="Q341" s="17">
        <v>1</v>
      </c>
      <c r="R341" s="17">
        <v>1</v>
      </c>
      <c r="S341" s="15"/>
      <c r="T341" s="26">
        <v>45698</v>
      </c>
      <c r="U341" s="13" t="s">
        <v>148</v>
      </c>
      <c r="V341">
        <v>9</v>
      </c>
      <c r="AA341" s="49" t="s">
        <v>88</v>
      </c>
      <c r="AB341" s="50" t="s">
        <v>74</v>
      </c>
    </row>
    <row r="342" spans="1:28" x14ac:dyDescent="0.4">
      <c r="A342" s="144"/>
      <c r="B342" s="147"/>
      <c r="C342" s="86" t="s">
        <v>366</v>
      </c>
      <c r="D342" s="109" t="s">
        <v>179</v>
      </c>
      <c r="E342" s="15" t="s">
        <v>40</v>
      </c>
      <c r="F342" s="16"/>
      <c r="G342" s="15" t="s">
        <v>178</v>
      </c>
      <c r="H342" s="15"/>
      <c r="I342" s="15"/>
      <c r="J342" s="15"/>
      <c r="K342" s="15"/>
      <c r="L342" s="17"/>
      <c r="M342" s="17"/>
      <c r="N342" s="17"/>
      <c r="O342" s="17">
        <v>1</v>
      </c>
      <c r="P342" s="17">
        <v>1</v>
      </c>
      <c r="Q342" s="17"/>
      <c r="R342" s="17"/>
      <c r="S342" s="15"/>
      <c r="T342" s="26">
        <v>45698</v>
      </c>
      <c r="U342" s="13" t="s">
        <v>148</v>
      </c>
      <c r="V342">
        <v>10</v>
      </c>
      <c r="AA342" s="49" t="s">
        <v>89</v>
      </c>
      <c r="AB342" s="50" t="s">
        <v>36</v>
      </c>
    </row>
    <row r="343" spans="1:28" x14ac:dyDescent="0.4">
      <c r="A343" s="144"/>
      <c r="B343" s="147"/>
      <c r="C343" s="86" t="s">
        <v>367</v>
      </c>
      <c r="D343" s="109" t="s">
        <v>191</v>
      </c>
      <c r="E343" s="15" t="s">
        <v>37</v>
      </c>
      <c r="F343" s="16"/>
      <c r="G343" s="15" t="s">
        <v>178</v>
      </c>
      <c r="H343" s="15"/>
      <c r="I343" s="15"/>
      <c r="J343" s="15"/>
      <c r="K343" s="15"/>
      <c r="L343" s="17"/>
      <c r="M343" s="17">
        <v>1</v>
      </c>
      <c r="N343" s="17">
        <v>1</v>
      </c>
      <c r="O343" s="17"/>
      <c r="P343" s="17"/>
      <c r="Q343" s="17"/>
      <c r="R343" s="17"/>
      <c r="S343" s="15"/>
      <c r="T343" s="26">
        <v>45714</v>
      </c>
      <c r="U343" s="15" t="s">
        <v>147</v>
      </c>
      <c r="V343">
        <v>11</v>
      </c>
      <c r="AA343" s="49" t="s">
        <v>90</v>
      </c>
      <c r="AB343" s="50" t="s">
        <v>58</v>
      </c>
    </row>
    <row r="344" spans="1:28" x14ac:dyDescent="0.4">
      <c r="A344" s="144"/>
      <c r="B344" s="147"/>
      <c r="C344" s="86" t="s">
        <v>368</v>
      </c>
      <c r="D344" s="109" t="s">
        <v>191</v>
      </c>
      <c r="E344" s="15" t="s">
        <v>60</v>
      </c>
      <c r="F344" s="16"/>
      <c r="G344" s="15" t="s">
        <v>178</v>
      </c>
      <c r="H344" s="15"/>
      <c r="I344" s="15"/>
      <c r="J344" s="15">
        <v>1</v>
      </c>
      <c r="K344" s="15"/>
      <c r="L344" s="17">
        <v>1</v>
      </c>
      <c r="M344" s="17"/>
      <c r="N344" s="17"/>
      <c r="O344" s="17"/>
      <c r="P344" s="17"/>
      <c r="Q344" s="17"/>
      <c r="R344" s="17"/>
      <c r="S344" s="15"/>
      <c r="T344" s="26">
        <v>45708</v>
      </c>
      <c r="U344" s="15" t="s">
        <v>146</v>
      </c>
      <c r="V344">
        <v>12</v>
      </c>
      <c r="AA344" s="49" t="s">
        <v>91</v>
      </c>
      <c r="AB344" s="50" t="s">
        <v>75</v>
      </c>
    </row>
    <row r="345" spans="1:28" x14ac:dyDescent="0.4">
      <c r="A345" s="144"/>
      <c r="B345" s="147"/>
      <c r="C345" s="86" t="s">
        <v>369</v>
      </c>
      <c r="D345" s="109" t="s">
        <v>177</v>
      </c>
      <c r="E345" s="15" t="s">
        <v>37</v>
      </c>
      <c r="F345" s="16"/>
      <c r="G345" s="15" t="s">
        <v>178</v>
      </c>
      <c r="H345" s="15" t="s">
        <v>147</v>
      </c>
      <c r="I345" s="15"/>
      <c r="J345" s="15"/>
      <c r="K345" s="15"/>
      <c r="L345" s="17"/>
      <c r="M345" s="17">
        <v>1</v>
      </c>
      <c r="N345" s="17"/>
      <c r="O345" s="17"/>
      <c r="P345" s="17"/>
      <c r="Q345" s="17"/>
      <c r="R345" s="17"/>
      <c r="S345" s="15"/>
      <c r="T345" s="26">
        <v>45714</v>
      </c>
      <c r="U345" s="15" t="s">
        <v>147</v>
      </c>
      <c r="V345">
        <v>13</v>
      </c>
      <c r="AA345" s="49" t="s">
        <v>92</v>
      </c>
      <c r="AB345" s="50" t="s">
        <v>40</v>
      </c>
    </row>
    <row r="346" spans="1:28" x14ac:dyDescent="0.4">
      <c r="A346" s="144"/>
      <c r="B346" s="147"/>
      <c r="C346" s="86" t="s">
        <v>370</v>
      </c>
      <c r="D346" s="109" t="s">
        <v>205</v>
      </c>
      <c r="E346" s="15" t="s">
        <v>38</v>
      </c>
      <c r="F346" s="16"/>
      <c r="G346" s="15" t="s">
        <v>178</v>
      </c>
      <c r="H346" s="15"/>
      <c r="I346" s="15"/>
      <c r="J346" s="15">
        <v>1</v>
      </c>
      <c r="K346" s="15"/>
      <c r="L346" s="17"/>
      <c r="M346" s="17"/>
      <c r="N346" s="17"/>
      <c r="O346" s="17"/>
      <c r="P346" s="17"/>
      <c r="Q346" s="17"/>
      <c r="R346" s="17"/>
      <c r="S346" s="15"/>
      <c r="T346" s="26">
        <v>45712</v>
      </c>
      <c r="U346" s="15" t="s">
        <v>146</v>
      </c>
      <c r="V346">
        <v>14</v>
      </c>
      <c r="AA346" s="49" t="s">
        <v>93</v>
      </c>
      <c r="AB346" s="50" t="s">
        <v>57</v>
      </c>
    </row>
    <row r="347" spans="1:28" x14ac:dyDescent="0.4">
      <c r="A347" s="144"/>
      <c r="B347" s="147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4"/>
      <c r="B348" s="147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4"/>
      <c r="B349" s="147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4"/>
      <c r="B350" s="147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4"/>
      <c r="B351" s="147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4"/>
      <c r="B352" s="147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4"/>
      <c r="B353" s="147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4"/>
      <c r="B354" s="147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4"/>
      <c r="B355" s="147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4"/>
      <c r="B356" s="147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5"/>
      <c r="B357" s="148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14</v>
      </c>
      <c r="D358" s="112"/>
      <c r="E358" s="29"/>
      <c r="F358" s="29" t="s">
        <v>34</v>
      </c>
      <c r="G358" s="29">
        <f>COUNTIF(G333:G357,"S")</f>
        <v>14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7</v>
      </c>
      <c r="K358" s="29">
        <f t="shared" si="83"/>
        <v>2</v>
      </c>
      <c r="L358" s="29">
        <f t="shared" si="83"/>
        <v>1</v>
      </c>
      <c r="M358" s="29">
        <f t="shared" si="83"/>
        <v>3</v>
      </c>
      <c r="N358" s="29">
        <f t="shared" si="83"/>
        <v>2</v>
      </c>
      <c r="O358" s="29">
        <f t="shared" si="83"/>
        <v>4</v>
      </c>
      <c r="P358" s="29">
        <f t="shared" si="83"/>
        <v>4</v>
      </c>
      <c r="Q358" s="29">
        <f t="shared" si="83"/>
        <v>2</v>
      </c>
      <c r="R358" s="29">
        <f t="shared" si="83"/>
        <v>2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1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27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174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6" t="s">
        <v>138</v>
      </c>
      <c r="Y362" s="142"/>
    </row>
    <row r="363" spans="1:28" ht="19.5" thickTop="1" x14ac:dyDescent="0.4">
      <c r="A363" s="143">
        <v>13</v>
      </c>
      <c r="B363" s="146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4"/>
      <c r="B364" s="147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4"/>
      <c r="B365" s="147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4"/>
      <c r="B366" s="147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4"/>
      <c r="B367" s="147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4"/>
      <c r="B368" s="147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4"/>
      <c r="B369" s="147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4"/>
      <c r="B370" s="147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4"/>
      <c r="B371" s="147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4"/>
      <c r="B372" s="147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4"/>
      <c r="B373" s="147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4"/>
      <c r="B374" s="147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4"/>
      <c r="B375" s="147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4"/>
      <c r="B376" s="147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4"/>
      <c r="B377" s="147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4"/>
      <c r="B378" s="147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4"/>
      <c r="B379" s="147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4"/>
      <c r="B380" s="147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4"/>
      <c r="B381" s="147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4"/>
      <c r="B382" s="147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4"/>
      <c r="B383" s="147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4"/>
      <c r="B384" s="147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4"/>
      <c r="B385" s="147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4"/>
      <c r="B386" s="147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5"/>
      <c r="B387" s="148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6" t="s">
        <v>139</v>
      </c>
      <c r="Y392" s="142"/>
    </row>
    <row r="393" spans="1:25" ht="19.5" thickTop="1" x14ac:dyDescent="0.4">
      <c r="A393" s="143">
        <v>14</v>
      </c>
      <c r="B393" s="146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4"/>
      <c r="B394" s="147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4"/>
      <c r="B395" s="147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4"/>
      <c r="B396" s="147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4"/>
      <c r="B397" s="147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4"/>
      <c r="B398" s="147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4"/>
      <c r="B399" s="147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4"/>
      <c r="B400" s="147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4"/>
      <c r="B401" s="147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4"/>
      <c r="B402" s="147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4"/>
      <c r="B403" s="147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4"/>
      <c r="B404" s="147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4"/>
      <c r="B405" s="147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4"/>
      <c r="B406" s="147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4"/>
      <c r="B407" s="147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4"/>
      <c r="B408" s="147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4"/>
      <c r="B409" s="147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4"/>
      <c r="B410" s="147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4"/>
      <c r="B411" s="147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4"/>
      <c r="B412" s="147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4"/>
      <c r="B413" s="147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4"/>
      <c r="B414" s="147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4"/>
      <c r="B415" s="147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4"/>
      <c r="B416" s="147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5"/>
      <c r="B417" s="148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6" t="s">
        <v>140</v>
      </c>
      <c r="Y422" s="142"/>
    </row>
    <row r="423" spans="1:25" ht="19.5" thickTop="1" x14ac:dyDescent="0.4">
      <c r="A423" s="143">
        <v>15</v>
      </c>
      <c r="B423" s="146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4"/>
      <c r="B424" s="147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4"/>
      <c r="B425" s="147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4"/>
      <c r="B426" s="147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4"/>
      <c r="B427" s="147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4"/>
      <c r="B428" s="147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4"/>
      <c r="B429" s="147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4"/>
      <c r="B430" s="147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4"/>
      <c r="B431" s="147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4"/>
      <c r="B432" s="147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4"/>
      <c r="B433" s="147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4"/>
      <c r="B434" s="147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4"/>
      <c r="B435" s="147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4"/>
      <c r="B436" s="147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4"/>
      <c r="B437" s="147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4"/>
      <c r="B438" s="147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4"/>
      <c r="B439" s="147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4"/>
      <c r="B440" s="147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4"/>
      <c r="B441" s="147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4"/>
      <c r="B442" s="147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4"/>
      <c r="B443" s="147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4"/>
      <c r="B444" s="147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4"/>
      <c r="B445" s="147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4"/>
      <c r="B446" s="147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5"/>
      <c r="B447" s="148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6" t="s">
        <v>105</v>
      </c>
      <c r="Y451" s="142"/>
    </row>
    <row r="452" spans="1:25" ht="19.5" thickTop="1" x14ac:dyDescent="0.4">
      <c r="A452" s="143">
        <v>16</v>
      </c>
      <c r="B452" s="133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4"/>
      <c r="B453" s="134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4"/>
      <c r="B454" s="134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4"/>
      <c r="B455" s="134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4"/>
      <c r="B456" s="134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4"/>
      <c r="B457" s="134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4"/>
      <c r="B458" s="134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4"/>
      <c r="B459" s="134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4"/>
      <c r="B460" s="134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4"/>
      <c r="B461" s="134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4"/>
      <c r="B462" s="134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4"/>
      <c r="B463" s="134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4"/>
      <c r="B464" s="134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4"/>
      <c r="B465" s="134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4"/>
      <c r="B466" s="134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4"/>
      <c r="B467" s="134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4"/>
      <c r="B468" s="134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4"/>
      <c r="B469" s="134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4"/>
      <c r="B470" s="134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4"/>
      <c r="B471" s="134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4"/>
      <c r="B472" s="134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4"/>
      <c r="B473" s="134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4"/>
      <c r="B474" s="134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4"/>
      <c r="B475" s="134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5"/>
      <c r="B476" s="135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7" t="s">
        <v>47</v>
      </c>
      <c r="C26" s="157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58"/>
      <c r="C27" s="158"/>
      <c r="D27" s="159">
        <f>SUM(D26:F26)</f>
        <v>116</v>
      </c>
      <c r="E27" s="159"/>
      <c r="F27" s="159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AY1139"/>
  <sheetViews>
    <sheetView topLeftCell="A8" zoomScaleNormal="100" workbookViewId="0">
      <selection sqref="A1:D34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24" width="16.625" customWidth="1"/>
    <col min="25" max="25" width="11" customWidth="1"/>
    <col min="26" max="26" width="10.5" style="121" customWidth="1"/>
    <col min="27" max="27" width="10.25" style="121" customWidth="1"/>
    <col min="28" max="28" width="10.875" style="121" customWidth="1"/>
    <col min="29" max="42" width="16.625" customWidth="1"/>
    <col min="43" max="43" width="20.5" customWidth="1"/>
    <col min="48" max="48" width="12.375" customWidth="1"/>
    <col min="49" max="49" width="11.25" customWidth="1"/>
    <col min="50" max="50" width="10.5" customWidth="1"/>
    <col min="51" max="51" width="10.25" customWidth="1"/>
  </cols>
  <sheetData>
    <row r="1" spans="1:47" x14ac:dyDescent="0.4">
      <c r="A1" s="120" t="s">
        <v>196</v>
      </c>
      <c r="B1" s="121"/>
      <c r="C1" s="121"/>
      <c r="D1" s="121"/>
      <c r="H1" t="s">
        <v>143</v>
      </c>
      <c r="I1" t="s">
        <v>144</v>
      </c>
      <c r="S1" t="s">
        <v>143</v>
      </c>
      <c r="T1" t="s">
        <v>144</v>
      </c>
      <c r="Y1" s="120"/>
      <c r="AQ1" t="s">
        <v>143</v>
      </c>
      <c r="AR1" t="s">
        <v>144</v>
      </c>
    </row>
    <row r="2" spans="1:47" ht="19.5" x14ac:dyDescent="0.4">
      <c r="A2" s="116"/>
      <c r="B2" s="123" t="s">
        <v>146</v>
      </c>
      <c r="C2" s="123" t="s">
        <v>147</v>
      </c>
      <c r="D2" s="123" t="s">
        <v>148</v>
      </c>
      <c r="H2" s="25">
        <v>45680</v>
      </c>
      <c r="I2" s="13" t="s">
        <v>146</v>
      </c>
      <c r="S2" s="25">
        <v>45669</v>
      </c>
      <c r="T2" s="13" t="s">
        <v>147</v>
      </c>
      <c r="Y2" s="116"/>
      <c r="Z2" s="123"/>
      <c r="AA2" s="123"/>
      <c r="AB2" s="123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25">
        <v>45258</v>
      </c>
      <c r="AR2" s="13" t="s">
        <v>162</v>
      </c>
      <c r="AU2" s="114"/>
    </row>
    <row r="3" spans="1:47" ht="19.5" x14ac:dyDescent="0.4">
      <c r="A3" s="117">
        <v>45680</v>
      </c>
      <c r="B3" s="123">
        <v>7</v>
      </c>
      <c r="C3" s="123">
        <v>1</v>
      </c>
      <c r="D3" s="123">
        <v>1</v>
      </c>
      <c r="H3" s="25">
        <v>45680</v>
      </c>
      <c r="I3" s="13" t="s">
        <v>146</v>
      </c>
      <c r="O3" s="115"/>
      <c r="P3" s="115"/>
      <c r="Q3" s="115"/>
      <c r="R3" s="115"/>
      <c r="S3" s="25">
        <v>45669</v>
      </c>
      <c r="T3" s="13" t="s">
        <v>147</v>
      </c>
      <c r="Y3" s="116"/>
      <c r="Z3" s="123"/>
      <c r="AA3" s="123"/>
      <c r="AB3" s="123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25"/>
      <c r="AR3" s="13"/>
      <c r="AU3" s="114"/>
    </row>
    <row r="4" spans="1:47" ht="19.5" x14ac:dyDescent="0.4">
      <c r="A4" s="117">
        <v>45682</v>
      </c>
      <c r="B4" s="123"/>
      <c r="C4" s="123">
        <v>1</v>
      </c>
      <c r="D4" s="123"/>
      <c r="H4" s="25">
        <v>45680</v>
      </c>
      <c r="I4" s="13" t="s">
        <v>146</v>
      </c>
      <c r="O4" s="115"/>
      <c r="P4" s="115"/>
      <c r="Q4" s="115"/>
      <c r="R4" s="115"/>
      <c r="S4" s="25">
        <v>45671</v>
      </c>
      <c r="T4" s="13" t="s">
        <v>146</v>
      </c>
      <c r="Y4" s="116"/>
      <c r="Z4" s="123"/>
      <c r="AA4" s="123"/>
      <c r="AB4" s="123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25"/>
      <c r="AR4" s="13"/>
      <c r="AU4" s="114"/>
    </row>
    <row r="5" spans="1:47" ht="19.5" x14ac:dyDescent="0.4">
      <c r="A5" s="117">
        <v>45684</v>
      </c>
      <c r="B5" s="123"/>
      <c r="C5" s="123">
        <v>1</v>
      </c>
      <c r="D5" s="123"/>
      <c r="H5" s="25">
        <v>45680</v>
      </c>
      <c r="I5" s="13" t="s">
        <v>147</v>
      </c>
      <c r="M5" s="115"/>
      <c r="N5" s="115"/>
      <c r="O5" s="115"/>
      <c r="P5" s="115"/>
      <c r="Q5" s="115"/>
      <c r="R5" s="115"/>
      <c r="S5" s="25">
        <v>45671</v>
      </c>
      <c r="T5" s="13" t="s">
        <v>148</v>
      </c>
      <c r="Y5" s="116"/>
      <c r="Z5" s="123"/>
      <c r="AA5" s="123"/>
      <c r="AB5" s="123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25"/>
      <c r="AR5" s="13"/>
      <c r="AU5" s="114"/>
    </row>
    <row r="6" spans="1:47" ht="19.5" x14ac:dyDescent="0.4">
      <c r="A6" s="117">
        <v>45686</v>
      </c>
      <c r="B6" s="123">
        <v>1</v>
      </c>
      <c r="C6" s="123">
        <v>2</v>
      </c>
      <c r="D6" s="123">
        <v>2</v>
      </c>
      <c r="H6" s="25">
        <v>45680</v>
      </c>
      <c r="I6" s="13" t="s">
        <v>146</v>
      </c>
      <c r="M6" s="115"/>
      <c r="N6" s="115"/>
      <c r="O6" s="115"/>
      <c r="P6" s="115"/>
      <c r="Q6" s="115"/>
      <c r="R6" s="115"/>
      <c r="S6" s="25">
        <v>45672</v>
      </c>
      <c r="T6" s="13" t="s">
        <v>146</v>
      </c>
      <c r="Y6" s="116"/>
      <c r="Z6" s="123"/>
      <c r="AA6" s="123"/>
      <c r="AB6" s="123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25"/>
      <c r="AR6" s="13"/>
      <c r="AU6" s="114"/>
    </row>
    <row r="7" spans="1:47" ht="19.5" x14ac:dyDescent="0.4">
      <c r="A7" s="117">
        <v>45690</v>
      </c>
      <c r="B7" s="123">
        <v>2</v>
      </c>
      <c r="C7" s="123"/>
      <c r="D7" s="123"/>
      <c r="H7" s="25">
        <v>45680</v>
      </c>
      <c r="I7" s="13" t="s">
        <v>146</v>
      </c>
      <c r="M7" s="115"/>
      <c r="N7" s="115"/>
      <c r="O7" s="115"/>
      <c r="P7" s="115"/>
      <c r="Q7" s="115"/>
      <c r="R7" s="115"/>
      <c r="S7" s="25">
        <v>45672</v>
      </c>
      <c r="T7" s="13" t="s">
        <v>146</v>
      </c>
      <c r="Y7" s="116"/>
      <c r="Z7" s="123"/>
      <c r="AA7" s="123"/>
      <c r="AB7" s="123"/>
      <c r="AG7" s="115"/>
      <c r="AH7" s="115"/>
      <c r="AI7" s="115"/>
      <c r="AJ7" s="115"/>
      <c r="AK7" s="115"/>
      <c r="AL7" s="115"/>
      <c r="AM7" s="115"/>
      <c r="AN7" s="115"/>
      <c r="AO7" s="115"/>
      <c r="AP7" s="115"/>
      <c r="AQ7" s="25"/>
      <c r="AR7" s="13"/>
      <c r="AU7" s="114"/>
    </row>
    <row r="8" spans="1:47" ht="19.5" x14ac:dyDescent="0.4">
      <c r="A8" s="117">
        <v>45692</v>
      </c>
      <c r="B8" s="123"/>
      <c r="C8" s="123">
        <v>2</v>
      </c>
      <c r="D8" s="123"/>
      <c r="H8" s="25">
        <v>45680</v>
      </c>
      <c r="I8" s="13" t="s">
        <v>146</v>
      </c>
      <c r="M8" s="115"/>
      <c r="N8" s="115"/>
      <c r="O8" s="115"/>
      <c r="P8" s="115"/>
      <c r="Q8" s="115"/>
      <c r="R8" s="115"/>
      <c r="S8" s="25">
        <v>45672</v>
      </c>
      <c r="T8" s="25" t="s">
        <v>147</v>
      </c>
      <c r="Y8" s="116"/>
      <c r="Z8" s="123"/>
      <c r="AA8" s="123"/>
      <c r="AB8" s="123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25"/>
      <c r="AR8" s="13"/>
      <c r="AU8" s="114"/>
    </row>
    <row r="9" spans="1:47" ht="19.5" x14ac:dyDescent="0.4">
      <c r="A9" s="117">
        <v>45693</v>
      </c>
      <c r="B9" s="123"/>
      <c r="C9" s="123">
        <v>1</v>
      </c>
      <c r="D9" s="123"/>
      <c r="H9" s="25">
        <v>45680</v>
      </c>
      <c r="I9" s="13" t="s">
        <v>148</v>
      </c>
      <c r="M9" s="115"/>
      <c r="N9" s="115"/>
      <c r="O9" s="115"/>
      <c r="P9" s="115"/>
      <c r="Q9" s="115"/>
      <c r="R9" s="115"/>
      <c r="S9" s="25">
        <v>45673</v>
      </c>
      <c r="T9" s="13" t="s">
        <v>147</v>
      </c>
      <c r="Y9" s="116"/>
      <c r="Z9" s="123"/>
      <c r="AA9" s="123"/>
      <c r="AB9" s="123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25"/>
      <c r="AR9" s="13"/>
      <c r="AU9" s="114"/>
    </row>
    <row r="10" spans="1:47" ht="19.5" x14ac:dyDescent="0.4">
      <c r="A10" s="117">
        <v>45696</v>
      </c>
      <c r="B10" s="123">
        <v>2</v>
      </c>
      <c r="C10" s="123">
        <v>1</v>
      </c>
      <c r="D10" s="123"/>
      <c r="H10" s="25">
        <v>45680</v>
      </c>
      <c r="I10" s="13" t="s">
        <v>146</v>
      </c>
      <c r="M10" s="115"/>
      <c r="N10" s="115"/>
      <c r="O10" s="115"/>
      <c r="P10" s="115"/>
      <c r="Q10" s="115"/>
      <c r="R10" s="115"/>
      <c r="S10" s="25">
        <v>45673</v>
      </c>
      <c r="T10" s="13" t="s">
        <v>147</v>
      </c>
      <c r="Y10" s="116"/>
      <c r="Z10" s="123"/>
      <c r="AA10" s="123"/>
      <c r="AB10" s="123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25"/>
      <c r="AR10" s="13"/>
      <c r="AU10" s="114"/>
    </row>
    <row r="11" spans="1:47" ht="19.5" x14ac:dyDescent="0.4">
      <c r="A11" s="117">
        <v>45698</v>
      </c>
      <c r="B11" s="123"/>
      <c r="C11" s="123"/>
      <c r="D11" s="123">
        <v>3</v>
      </c>
      <c r="G11" s="115" t="s">
        <v>371</v>
      </c>
      <c r="H11" s="13">
        <f>SUBTOTAL(3,H2:H10)</f>
        <v>9</v>
      </c>
      <c r="I11" s="13">
        <f>SUBTOTAL(3,I2:I10)</f>
        <v>9</v>
      </c>
      <c r="M11" s="115"/>
      <c r="N11" s="115"/>
      <c r="O11" s="115"/>
      <c r="P11" s="115"/>
      <c r="Q11" s="115"/>
      <c r="R11" s="115"/>
      <c r="S11" s="25"/>
      <c r="T11" s="13"/>
      <c r="Y11" s="116"/>
      <c r="Z11" s="123"/>
      <c r="AA11" s="123"/>
      <c r="AB11" s="123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25"/>
      <c r="AR11" s="13"/>
      <c r="AU11" s="114"/>
    </row>
    <row r="12" spans="1:47" ht="19.5" x14ac:dyDescent="0.4">
      <c r="A12" s="117">
        <v>45699</v>
      </c>
      <c r="B12" s="123">
        <v>3</v>
      </c>
      <c r="C12" s="123"/>
      <c r="D12" s="123">
        <v>2</v>
      </c>
      <c r="H12" s="25">
        <v>45682</v>
      </c>
      <c r="I12" s="13" t="s">
        <v>147</v>
      </c>
      <c r="K12" s="115"/>
      <c r="L12" s="115"/>
      <c r="M12" s="115"/>
      <c r="N12" s="115"/>
      <c r="O12" s="115"/>
      <c r="P12" s="115"/>
      <c r="Q12" s="115"/>
      <c r="R12" s="115"/>
      <c r="S12" s="25">
        <v>45673</v>
      </c>
      <c r="T12" s="13" t="s">
        <v>148</v>
      </c>
      <c r="Y12" s="116"/>
      <c r="Z12" s="123"/>
      <c r="AA12" s="123"/>
      <c r="AB12" s="123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25"/>
      <c r="AR12" s="13"/>
      <c r="AU12" s="114"/>
    </row>
    <row r="13" spans="1:47" ht="19.5" x14ac:dyDescent="0.4">
      <c r="A13" s="117">
        <v>45700</v>
      </c>
      <c r="B13" s="123">
        <v>3</v>
      </c>
      <c r="C13" s="123"/>
      <c r="D13" s="123">
        <v>6</v>
      </c>
      <c r="G13" s="115" t="s">
        <v>372</v>
      </c>
      <c r="H13" s="13">
        <f>SUBTOTAL(3,H12:H12)</f>
        <v>1</v>
      </c>
      <c r="I13" s="13">
        <f>SUBTOTAL(3,I12:I12)</f>
        <v>1</v>
      </c>
      <c r="K13" s="115"/>
      <c r="L13" s="115"/>
      <c r="M13" s="115"/>
      <c r="N13" s="115"/>
      <c r="O13" s="115"/>
      <c r="P13" s="115"/>
      <c r="Q13" s="115"/>
      <c r="R13" s="115"/>
      <c r="S13" s="25"/>
      <c r="T13" s="13"/>
      <c r="Y13" s="116"/>
      <c r="Z13" s="123"/>
      <c r="AA13" s="123"/>
      <c r="AB13" s="123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25"/>
      <c r="AR13" s="13"/>
      <c r="AU13" s="114"/>
    </row>
    <row r="14" spans="1:47" ht="19.5" x14ac:dyDescent="0.4">
      <c r="A14" s="117">
        <v>45701</v>
      </c>
      <c r="B14" s="123">
        <v>2</v>
      </c>
      <c r="C14" s="123">
        <v>1</v>
      </c>
      <c r="D14" s="123"/>
      <c r="H14" s="25">
        <v>45684</v>
      </c>
      <c r="I14" s="13" t="s">
        <v>147</v>
      </c>
      <c r="K14" s="115"/>
      <c r="L14" s="115"/>
      <c r="M14" s="115"/>
      <c r="N14" s="115"/>
      <c r="O14" s="115"/>
      <c r="P14" s="115"/>
      <c r="Q14" s="115"/>
      <c r="R14" s="115"/>
      <c r="S14" s="25">
        <v>45673</v>
      </c>
      <c r="T14" s="13" t="s">
        <v>147</v>
      </c>
      <c r="Y14" s="116"/>
      <c r="Z14" s="123"/>
      <c r="AA14" s="123"/>
      <c r="AB14" s="123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25"/>
      <c r="AR14" s="13"/>
      <c r="AU14" s="114"/>
    </row>
    <row r="15" spans="1:47" ht="19.5" x14ac:dyDescent="0.4">
      <c r="A15" s="117">
        <v>45702</v>
      </c>
      <c r="B15" s="123">
        <v>8</v>
      </c>
      <c r="C15" s="123"/>
      <c r="D15" s="123"/>
      <c r="G15" s="115" t="s">
        <v>373</v>
      </c>
      <c r="H15" s="13">
        <f>SUBTOTAL(3,H14:H14)</f>
        <v>1</v>
      </c>
      <c r="I15" s="13">
        <f>SUBTOTAL(3,I14:I14)</f>
        <v>1</v>
      </c>
      <c r="K15" s="115"/>
      <c r="L15" s="115"/>
      <c r="M15" s="115"/>
      <c r="N15" s="115"/>
      <c r="O15" s="115"/>
      <c r="P15" s="115"/>
      <c r="Q15" s="115"/>
      <c r="R15" s="115"/>
      <c r="S15" s="25"/>
      <c r="T15" s="13"/>
      <c r="Y15" s="116"/>
      <c r="Z15" s="123"/>
      <c r="AA15" s="123"/>
      <c r="AB15" s="123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25"/>
      <c r="AR15" s="13"/>
      <c r="AU15" s="114"/>
    </row>
    <row r="16" spans="1:47" ht="19.5" x14ac:dyDescent="0.4">
      <c r="A16" s="117">
        <v>45703</v>
      </c>
      <c r="B16" s="123">
        <v>8</v>
      </c>
      <c r="C16" s="123">
        <v>3</v>
      </c>
      <c r="D16" s="123">
        <v>3</v>
      </c>
      <c r="H16" s="25">
        <v>45686</v>
      </c>
      <c r="I16" s="13" t="s">
        <v>147</v>
      </c>
      <c r="K16" s="115"/>
      <c r="L16" s="115"/>
      <c r="M16" s="115"/>
      <c r="N16" s="115"/>
      <c r="O16" s="115"/>
      <c r="P16" s="115"/>
      <c r="Q16" s="115"/>
      <c r="R16" s="115"/>
      <c r="S16" s="25">
        <v>45673</v>
      </c>
      <c r="T16" s="13" t="s">
        <v>147</v>
      </c>
      <c r="Y16" s="116"/>
      <c r="Z16" s="123"/>
      <c r="AA16" s="123"/>
      <c r="AB16" s="123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25"/>
      <c r="AR16" s="13"/>
      <c r="AU16" s="114"/>
    </row>
    <row r="17" spans="1:47" ht="19.5" x14ac:dyDescent="0.4">
      <c r="A17" s="117">
        <v>45704</v>
      </c>
      <c r="B17" s="123">
        <v>13</v>
      </c>
      <c r="C17" s="123">
        <v>2</v>
      </c>
      <c r="D17" s="123"/>
      <c r="H17" s="25">
        <v>45686</v>
      </c>
      <c r="I17" s="13" t="s">
        <v>146</v>
      </c>
      <c r="K17" s="115"/>
      <c r="L17" s="115"/>
      <c r="M17" s="115"/>
      <c r="N17" s="115"/>
      <c r="O17" s="115"/>
      <c r="P17" s="115"/>
      <c r="Q17" s="115"/>
      <c r="R17" s="115"/>
      <c r="S17" s="25">
        <v>45673</v>
      </c>
      <c r="T17" s="13" t="s">
        <v>147</v>
      </c>
      <c r="Y17" s="116"/>
      <c r="Z17" s="123"/>
      <c r="AA17" s="123"/>
      <c r="AB17" s="123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25"/>
      <c r="AR17" s="13"/>
      <c r="AU17" s="114"/>
    </row>
    <row r="18" spans="1:47" ht="19.5" x14ac:dyDescent="0.4">
      <c r="A18" s="117">
        <v>45705</v>
      </c>
      <c r="B18" s="123">
        <v>4</v>
      </c>
      <c r="C18" s="123">
        <v>2</v>
      </c>
      <c r="D18" s="123"/>
      <c r="H18" s="25">
        <v>45686</v>
      </c>
      <c r="I18" s="13" t="s">
        <v>147</v>
      </c>
      <c r="K18" s="115"/>
      <c r="L18" s="115"/>
      <c r="M18" s="115"/>
      <c r="N18" s="115"/>
      <c r="O18" s="115"/>
      <c r="P18" s="115"/>
      <c r="Q18" s="115"/>
      <c r="R18" s="115"/>
      <c r="S18" s="25">
        <v>45675</v>
      </c>
      <c r="T18" s="13" t="s">
        <v>147</v>
      </c>
      <c r="Y18" s="116"/>
      <c r="Z18" s="123"/>
      <c r="AA18" s="123"/>
      <c r="AB18" s="123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25"/>
      <c r="AR18" s="13"/>
      <c r="AU18" s="114"/>
    </row>
    <row r="19" spans="1:47" ht="19.5" x14ac:dyDescent="0.4">
      <c r="A19" s="117">
        <v>45706</v>
      </c>
      <c r="B19" s="123">
        <v>11</v>
      </c>
      <c r="C19" s="123">
        <v>5</v>
      </c>
      <c r="D19" s="123">
        <v>3</v>
      </c>
      <c r="H19" s="25">
        <v>45686</v>
      </c>
      <c r="I19" s="15" t="s">
        <v>148</v>
      </c>
      <c r="K19" s="115"/>
      <c r="L19" s="115"/>
      <c r="M19" s="115"/>
      <c r="N19" s="115"/>
      <c r="O19" s="115"/>
      <c r="P19" s="115"/>
      <c r="Q19" s="115"/>
      <c r="R19" s="115"/>
      <c r="S19" s="25">
        <v>45675</v>
      </c>
      <c r="T19" s="15" t="s">
        <v>147</v>
      </c>
      <c r="Y19" s="116"/>
      <c r="Z19" s="123"/>
      <c r="AA19" s="123"/>
      <c r="AB19" s="123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25"/>
      <c r="AR19" s="13"/>
      <c r="AU19" s="114"/>
    </row>
    <row r="20" spans="1:47" ht="19.5" x14ac:dyDescent="0.4">
      <c r="A20" s="117">
        <v>45707</v>
      </c>
      <c r="B20" s="123">
        <v>2</v>
      </c>
      <c r="C20" s="123">
        <v>1</v>
      </c>
      <c r="D20" s="123"/>
      <c r="H20" s="25">
        <v>45686</v>
      </c>
      <c r="I20" s="15" t="s">
        <v>148</v>
      </c>
      <c r="K20" s="115"/>
      <c r="L20" s="115"/>
      <c r="M20" s="115"/>
      <c r="N20" s="115"/>
      <c r="O20" s="115"/>
      <c r="P20" s="115"/>
      <c r="Q20" s="115"/>
      <c r="R20" s="115"/>
      <c r="S20" s="25">
        <v>45675</v>
      </c>
      <c r="T20" s="13" t="s">
        <v>147</v>
      </c>
      <c r="Y20" s="116"/>
      <c r="Z20" s="123"/>
      <c r="AA20" s="123"/>
      <c r="AB20" s="123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25"/>
      <c r="AR20" s="13"/>
      <c r="AU20" s="114"/>
    </row>
    <row r="21" spans="1:47" ht="19.5" x14ac:dyDescent="0.4">
      <c r="A21" s="117">
        <v>45708</v>
      </c>
      <c r="B21" s="123">
        <v>1</v>
      </c>
      <c r="C21" s="123"/>
      <c r="D21" s="123"/>
      <c r="G21" s="115" t="s">
        <v>374</v>
      </c>
      <c r="H21" s="13">
        <f>SUBTOTAL(3,H16:H20)</f>
        <v>5</v>
      </c>
      <c r="I21" s="13">
        <f>SUBTOTAL(3,I16:I20)</f>
        <v>5</v>
      </c>
      <c r="K21" s="115"/>
      <c r="L21" s="115"/>
      <c r="M21" s="115"/>
      <c r="N21" s="115"/>
      <c r="O21" s="115"/>
      <c r="P21" s="115"/>
      <c r="Q21" s="115"/>
      <c r="R21" s="115"/>
      <c r="S21" s="25"/>
      <c r="T21" s="13"/>
      <c r="Y21" s="116"/>
      <c r="Z21" s="123"/>
      <c r="AA21" s="123"/>
      <c r="AB21" s="123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25"/>
      <c r="AR21" s="13"/>
      <c r="AU21" s="114"/>
    </row>
    <row r="22" spans="1:47" ht="19.5" x14ac:dyDescent="0.4">
      <c r="A22" s="117">
        <v>45709</v>
      </c>
      <c r="B22" s="123">
        <v>1</v>
      </c>
      <c r="C22" s="123">
        <v>2</v>
      </c>
      <c r="D22" s="123"/>
      <c r="H22" s="25">
        <v>45690</v>
      </c>
      <c r="I22" s="13" t="s">
        <v>146</v>
      </c>
      <c r="J22" s="115"/>
      <c r="K22" s="115"/>
      <c r="L22" s="115"/>
      <c r="M22" s="115"/>
      <c r="N22" s="115"/>
      <c r="O22" s="115"/>
      <c r="P22" s="115"/>
      <c r="Q22" s="115"/>
      <c r="R22" s="115"/>
      <c r="S22" s="25">
        <v>45675</v>
      </c>
      <c r="T22" s="13" t="s">
        <v>146</v>
      </c>
      <c r="Y22" s="116"/>
      <c r="Z22" s="123"/>
      <c r="AA22" s="123"/>
      <c r="AB22" s="123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25"/>
      <c r="AR22" s="13"/>
      <c r="AU22" s="114"/>
    </row>
    <row r="23" spans="1:47" ht="19.5" x14ac:dyDescent="0.4">
      <c r="A23" s="117">
        <v>45710</v>
      </c>
      <c r="B23" s="123"/>
      <c r="C23" s="123">
        <v>1</v>
      </c>
      <c r="D23" s="123"/>
      <c r="H23" s="25">
        <v>45690</v>
      </c>
      <c r="I23" s="13" t="s">
        <v>146</v>
      </c>
      <c r="J23" s="115"/>
      <c r="K23" s="115"/>
      <c r="L23" s="115"/>
      <c r="M23" s="115"/>
      <c r="N23" s="115"/>
      <c r="O23" s="115"/>
      <c r="P23" s="115"/>
      <c r="Q23" s="115"/>
      <c r="R23" s="115"/>
      <c r="S23" s="25">
        <v>45676</v>
      </c>
      <c r="T23" s="13" t="s">
        <v>148</v>
      </c>
      <c r="Y23" s="116"/>
      <c r="Z23" s="123"/>
      <c r="AA23" s="123"/>
      <c r="AB23" s="123"/>
      <c r="AG23" s="115"/>
      <c r="AH23" s="115"/>
      <c r="AI23" s="115"/>
      <c r="AJ23" s="115"/>
      <c r="AK23" s="115"/>
      <c r="AL23" s="115"/>
      <c r="AM23" s="115"/>
      <c r="AN23" s="115"/>
      <c r="AO23" s="115"/>
      <c r="AP23" s="115"/>
      <c r="AQ23" s="25"/>
      <c r="AR23" s="13"/>
      <c r="AU23" s="114"/>
    </row>
    <row r="24" spans="1:47" ht="19.5" x14ac:dyDescent="0.4">
      <c r="A24" s="117">
        <v>45711</v>
      </c>
      <c r="B24" s="123">
        <v>16</v>
      </c>
      <c r="C24" s="123"/>
      <c r="D24" s="123"/>
      <c r="G24" s="115" t="s">
        <v>375</v>
      </c>
      <c r="H24" s="13">
        <f>SUBTOTAL(3,H22:H23)</f>
        <v>2</v>
      </c>
      <c r="I24" s="13">
        <f>SUBTOTAL(3,I22:I23)</f>
        <v>2</v>
      </c>
      <c r="J24" s="115"/>
      <c r="K24" s="115"/>
      <c r="L24" s="115"/>
      <c r="M24" s="115"/>
      <c r="N24" s="115"/>
      <c r="O24" s="115"/>
      <c r="P24" s="115"/>
      <c r="Q24" s="115"/>
      <c r="R24" s="115"/>
      <c r="S24" s="25"/>
      <c r="T24" s="13"/>
      <c r="Y24" s="116"/>
      <c r="Z24" s="123"/>
      <c r="AA24" s="123"/>
      <c r="AB24" s="123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25"/>
      <c r="AR24" s="13"/>
      <c r="AU24" s="114"/>
    </row>
    <row r="25" spans="1:47" ht="19.5" x14ac:dyDescent="0.4">
      <c r="A25" s="117">
        <v>45712</v>
      </c>
      <c r="B25" s="123">
        <v>1</v>
      </c>
      <c r="C25" s="123">
        <v>1</v>
      </c>
      <c r="D25" s="123"/>
      <c r="H25" s="25">
        <v>45692</v>
      </c>
      <c r="I25" s="13" t="s">
        <v>147</v>
      </c>
      <c r="J25" s="115"/>
      <c r="K25" s="115"/>
      <c r="L25" s="115"/>
      <c r="M25" s="115"/>
      <c r="N25" s="115"/>
      <c r="O25" s="115"/>
      <c r="P25" s="115"/>
      <c r="Q25" s="115"/>
      <c r="R25" s="115"/>
      <c r="S25" s="25">
        <v>45677</v>
      </c>
      <c r="T25" s="13" t="s">
        <v>146</v>
      </c>
      <c r="Y25" s="116"/>
      <c r="Z25" s="123"/>
      <c r="AA25" s="123"/>
      <c r="AB25" s="123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25"/>
      <c r="AR25" s="13"/>
      <c r="AU25" s="114"/>
    </row>
    <row r="26" spans="1:47" ht="19.5" x14ac:dyDescent="0.4">
      <c r="A26" s="117">
        <v>45713</v>
      </c>
      <c r="B26" s="123">
        <v>1</v>
      </c>
      <c r="C26" s="123"/>
      <c r="D26" s="123"/>
      <c r="H26" s="25">
        <v>45692</v>
      </c>
      <c r="I26" s="13" t="s">
        <v>147</v>
      </c>
      <c r="J26" s="115"/>
      <c r="K26" s="115"/>
      <c r="L26" s="115"/>
      <c r="M26" s="115"/>
      <c r="N26" s="115"/>
      <c r="O26" s="115"/>
      <c r="P26" s="115"/>
      <c r="Q26" s="115"/>
      <c r="R26" s="115"/>
      <c r="S26" s="25">
        <v>45677</v>
      </c>
      <c r="T26" s="13" t="s">
        <v>146</v>
      </c>
      <c r="Y26" s="116"/>
      <c r="Z26" s="123"/>
      <c r="AA26" s="123"/>
      <c r="AB26" s="123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25"/>
      <c r="AR26" s="13"/>
      <c r="AU26" s="114"/>
    </row>
    <row r="27" spans="1:47" ht="19.5" x14ac:dyDescent="0.4">
      <c r="A27" s="117">
        <v>45714</v>
      </c>
      <c r="B27" s="123">
        <v>2</v>
      </c>
      <c r="C27" s="123">
        <v>3</v>
      </c>
      <c r="D27" s="123">
        <v>1</v>
      </c>
      <c r="G27" s="115" t="s">
        <v>376</v>
      </c>
      <c r="H27" s="13">
        <f>SUBTOTAL(3,H25:H26)</f>
        <v>2</v>
      </c>
      <c r="I27" s="13">
        <f>SUBTOTAL(3,I25:I26)</f>
        <v>2</v>
      </c>
      <c r="J27" s="115"/>
      <c r="K27" s="115"/>
      <c r="L27" s="115"/>
      <c r="M27" s="115"/>
      <c r="N27" s="115"/>
      <c r="O27" s="115"/>
      <c r="P27" s="115"/>
      <c r="Q27" s="115"/>
      <c r="R27" s="115"/>
      <c r="S27" s="25"/>
      <c r="T27" s="13"/>
      <c r="Y27" s="116"/>
      <c r="Z27" s="123"/>
      <c r="AA27" s="123"/>
      <c r="AB27" s="123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25"/>
      <c r="AR27" s="13"/>
      <c r="AU27" s="114"/>
    </row>
    <row r="28" spans="1:47" ht="19.5" x14ac:dyDescent="0.4">
      <c r="A28" s="117">
        <v>45715</v>
      </c>
      <c r="B28" s="123"/>
      <c r="C28" s="123">
        <v>1</v>
      </c>
      <c r="D28" s="123"/>
      <c r="H28" s="25">
        <v>45693</v>
      </c>
      <c r="I28" s="13" t="s">
        <v>147</v>
      </c>
      <c r="J28" s="115"/>
      <c r="K28" s="115"/>
      <c r="L28" s="115"/>
      <c r="M28" s="115"/>
      <c r="N28" s="115"/>
      <c r="O28" s="115"/>
      <c r="P28" s="115"/>
      <c r="Q28" s="115"/>
      <c r="R28" s="115"/>
      <c r="S28" s="25">
        <v>45677</v>
      </c>
      <c r="T28" s="13" t="s">
        <v>148</v>
      </c>
      <c r="Y28" s="116"/>
      <c r="Z28" s="123"/>
      <c r="AA28" s="123"/>
      <c r="AB28" s="123"/>
      <c r="AG28" s="115"/>
      <c r="AH28" s="115"/>
      <c r="AI28" s="115"/>
      <c r="AJ28" s="115"/>
      <c r="AK28" s="115"/>
      <c r="AL28" s="115"/>
      <c r="AM28" s="115"/>
      <c r="AN28" s="115"/>
      <c r="AO28" s="115"/>
      <c r="AP28" s="115"/>
      <c r="AQ28" s="25"/>
      <c r="AR28" s="13"/>
      <c r="AU28" s="114"/>
    </row>
    <row r="29" spans="1:47" ht="19.5" x14ac:dyDescent="0.4">
      <c r="A29" s="117">
        <v>45716</v>
      </c>
      <c r="B29" s="123"/>
      <c r="C29" s="123">
        <v>2</v>
      </c>
      <c r="D29" s="123"/>
      <c r="G29" s="115" t="s">
        <v>377</v>
      </c>
      <c r="H29" s="13">
        <f>SUBTOTAL(3,H28:H28)</f>
        <v>1</v>
      </c>
      <c r="I29" s="13">
        <f>SUBTOTAL(3,I28:I28)</f>
        <v>1</v>
      </c>
      <c r="J29" s="115"/>
      <c r="K29" s="115"/>
      <c r="L29" s="115"/>
      <c r="M29" s="115"/>
      <c r="N29" s="115"/>
      <c r="O29" s="115"/>
      <c r="P29" s="115"/>
      <c r="Q29" s="115"/>
      <c r="R29" s="115"/>
      <c r="S29" s="25"/>
      <c r="T29" s="13"/>
      <c r="Y29" s="116"/>
      <c r="Z29" s="123"/>
      <c r="AA29" s="123"/>
      <c r="AB29" s="123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25"/>
      <c r="AR29" s="13"/>
      <c r="AU29" s="114"/>
    </row>
    <row r="30" spans="1:47" ht="19.5" x14ac:dyDescent="0.4">
      <c r="A30" s="117">
        <v>45719</v>
      </c>
      <c r="B30" s="123">
        <v>19</v>
      </c>
      <c r="C30" s="123"/>
      <c r="D30" s="123"/>
      <c r="H30" s="25">
        <v>45696</v>
      </c>
      <c r="I30" s="13" t="s">
        <v>147</v>
      </c>
      <c r="J30" s="115"/>
      <c r="K30" s="115"/>
      <c r="L30" s="115"/>
      <c r="M30" s="115"/>
      <c r="N30" s="115"/>
      <c r="O30" s="115"/>
      <c r="P30" s="115"/>
      <c r="Q30" s="115"/>
      <c r="R30" s="115"/>
      <c r="S30" s="25">
        <v>45677</v>
      </c>
      <c r="T30" s="13" t="s">
        <v>146</v>
      </c>
      <c r="Y30" s="116"/>
      <c r="Z30" s="123"/>
      <c r="AA30" s="123"/>
      <c r="AB30" s="123"/>
      <c r="AG30" s="115"/>
      <c r="AH30" s="115"/>
      <c r="AI30" s="115"/>
      <c r="AJ30" s="115"/>
      <c r="AK30" s="115"/>
      <c r="AL30" s="115"/>
      <c r="AM30" s="115"/>
      <c r="AN30" s="115"/>
      <c r="AO30" s="115"/>
      <c r="AP30" s="115"/>
      <c r="AQ30" s="25"/>
      <c r="AR30" s="13"/>
      <c r="AU30" s="114"/>
    </row>
    <row r="31" spans="1:47" ht="19.5" x14ac:dyDescent="0.4">
      <c r="A31" s="117">
        <v>45722</v>
      </c>
      <c r="B31" s="123"/>
      <c r="C31" s="123">
        <v>1</v>
      </c>
      <c r="D31" s="123"/>
      <c r="H31" s="25">
        <v>45696</v>
      </c>
      <c r="I31" s="13" t="s">
        <v>146</v>
      </c>
      <c r="J31" s="115"/>
      <c r="K31" s="115"/>
      <c r="L31" s="115"/>
      <c r="M31" s="115"/>
      <c r="N31" s="115"/>
      <c r="O31" s="115"/>
      <c r="P31" s="115"/>
      <c r="Q31" s="115"/>
      <c r="R31" s="115"/>
      <c r="S31" s="25">
        <v>45677</v>
      </c>
      <c r="T31" s="13" t="s">
        <v>147</v>
      </c>
      <c r="Y31" s="116"/>
      <c r="Z31" s="123"/>
      <c r="AA31" s="123"/>
      <c r="AB31" s="123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25"/>
      <c r="AR31" s="13"/>
      <c r="AU31" s="114"/>
    </row>
    <row r="32" spans="1:47" ht="19.5" x14ac:dyDescent="0.4">
      <c r="A32" s="117">
        <v>45724</v>
      </c>
      <c r="B32" s="123"/>
      <c r="C32" s="123">
        <v>1</v>
      </c>
      <c r="D32" s="123"/>
      <c r="H32" s="25">
        <v>45696</v>
      </c>
      <c r="I32" s="13" t="s">
        <v>142</v>
      </c>
      <c r="J32" s="115"/>
      <c r="K32" s="115"/>
      <c r="L32" s="115"/>
      <c r="M32" s="115"/>
      <c r="N32" s="115"/>
      <c r="O32" s="115"/>
      <c r="P32" s="115"/>
      <c r="Q32" s="115"/>
      <c r="R32" s="115"/>
      <c r="S32" s="25">
        <v>45677</v>
      </c>
      <c r="T32" s="25" t="s">
        <v>147</v>
      </c>
      <c r="Y32" s="116"/>
      <c r="Z32" s="123"/>
      <c r="AA32" s="123"/>
      <c r="AB32" s="123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25"/>
      <c r="AR32" s="13"/>
      <c r="AU32" s="114"/>
    </row>
    <row r="33" spans="1:47" ht="19.5" x14ac:dyDescent="0.4">
      <c r="A33" s="117"/>
      <c r="B33" s="123">
        <f>SUM(B3:B32)</f>
        <v>107</v>
      </c>
      <c r="C33" s="123">
        <f>SUM(C3:C32)</f>
        <v>35</v>
      </c>
      <c r="D33" s="123">
        <f>SUM(D3:D32)</f>
        <v>21</v>
      </c>
      <c r="G33" s="115" t="s">
        <v>378</v>
      </c>
      <c r="H33" s="13">
        <f>SUBTOTAL(3,H30:H32)</f>
        <v>3</v>
      </c>
      <c r="I33" s="13">
        <f>SUBTOTAL(3,I30:I32)</f>
        <v>3</v>
      </c>
      <c r="J33" s="115"/>
      <c r="K33" s="115"/>
      <c r="L33" s="115"/>
      <c r="M33" s="115"/>
      <c r="N33" s="115"/>
      <c r="O33" s="115"/>
      <c r="P33" s="115"/>
      <c r="Q33" s="115"/>
      <c r="R33" s="115"/>
      <c r="S33" s="25"/>
      <c r="T33" s="25"/>
      <c r="Y33" s="116"/>
      <c r="Z33" s="123"/>
      <c r="AA33" s="123"/>
      <c r="AB33" s="123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25"/>
      <c r="AR33" s="13"/>
      <c r="AU33" s="114"/>
    </row>
    <row r="34" spans="1:47" ht="19.5" x14ac:dyDescent="0.4">
      <c r="A34" s="117"/>
      <c r="B34" s="123"/>
      <c r="C34" s="123"/>
      <c r="D34" s="123">
        <f>SUM(B33:D33)</f>
        <v>163</v>
      </c>
      <c r="H34" s="25">
        <v>45698</v>
      </c>
      <c r="I34" s="13" t="s">
        <v>148</v>
      </c>
      <c r="J34" s="115"/>
      <c r="K34" s="115"/>
      <c r="L34" s="115"/>
      <c r="M34" s="115"/>
      <c r="N34" s="115"/>
      <c r="O34" s="115"/>
      <c r="P34" s="115"/>
      <c r="Q34" s="115"/>
      <c r="R34" s="115"/>
      <c r="S34" s="25">
        <v>45678</v>
      </c>
      <c r="T34" s="13" t="s">
        <v>147</v>
      </c>
      <c r="Y34" s="116"/>
      <c r="Z34" s="123"/>
      <c r="AA34" s="123"/>
      <c r="AB34" s="123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25"/>
      <c r="AR34" s="13"/>
      <c r="AU34" s="114"/>
    </row>
    <row r="35" spans="1:47" ht="19.5" x14ac:dyDescent="0.4">
      <c r="A35" s="117"/>
      <c r="B35" s="123"/>
      <c r="C35" s="123"/>
      <c r="D35" s="123"/>
      <c r="H35" s="25">
        <v>45698</v>
      </c>
      <c r="I35" s="13" t="s">
        <v>148</v>
      </c>
      <c r="J35" s="115"/>
      <c r="K35" s="115"/>
      <c r="L35" s="115"/>
      <c r="M35" s="115"/>
      <c r="N35" s="115"/>
      <c r="O35" s="115"/>
      <c r="P35" s="115"/>
      <c r="Q35" s="115"/>
      <c r="R35" s="115"/>
      <c r="S35" s="25">
        <v>45678</v>
      </c>
      <c r="T35" s="13" t="s">
        <v>146</v>
      </c>
      <c r="Y35" s="116"/>
      <c r="Z35" s="123"/>
      <c r="AA35" s="123"/>
      <c r="AB35" s="123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25"/>
      <c r="AR35" s="13"/>
      <c r="AU35" s="114"/>
    </row>
    <row r="36" spans="1:47" ht="19.5" x14ac:dyDescent="0.4">
      <c r="A36" s="117"/>
      <c r="B36" s="123"/>
      <c r="C36" s="123"/>
      <c r="D36" s="123"/>
      <c r="H36" s="25">
        <v>45698</v>
      </c>
      <c r="I36" s="13" t="s">
        <v>148</v>
      </c>
      <c r="J36" s="115"/>
      <c r="K36" s="115"/>
      <c r="L36" s="115"/>
      <c r="M36" s="115"/>
      <c r="N36" s="115"/>
      <c r="O36" s="115"/>
      <c r="P36" s="115"/>
      <c r="Q36" s="115"/>
      <c r="R36" s="115"/>
      <c r="S36" s="25">
        <v>45678</v>
      </c>
      <c r="T36" s="13" t="s">
        <v>148</v>
      </c>
      <c r="Y36" s="116"/>
      <c r="Z36" s="123"/>
      <c r="AA36" s="123"/>
      <c r="AB36" s="123"/>
      <c r="AG36" s="115"/>
      <c r="AH36" s="115"/>
      <c r="AI36" s="115"/>
      <c r="AJ36" s="115"/>
      <c r="AK36" s="115"/>
      <c r="AL36" s="115"/>
      <c r="AM36" s="115"/>
      <c r="AN36" s="115"/>
      <c r="AO36" s="115"/>
      <c r="AP36" s="115"/>
      <c r="AQ36" s="25"/>
      <c r="AR36" s="13"/>
      <c r="AU36" s="114"/>
    </row>
    <row r="37" spans="1:47" ht="19.5" x14ac:dyDescent="0.4">
      <c r="A37" s="117"/>
      <c r="B37" s="123"/>
      <c r="C37" s="123"/>
      <c r="D37" s="123"/>
      <c r="G37" s="115" t="s">
        <v>379</v>
      </c>
      <c r="H37" s="13">
        <f>SUBTOTAL(3,H34:H36)</f>
        <v>3</v>
      </c>
      <c r="I37" s="13">
        <f>SUBTOTAL(3,I34:I36)</f>
        <v>3</v>
      </c>
      <c r="J37" s="115"/>
      <c r="K37" s="115"/>
      <c r="L37" s="115"/>
      <c r="M37" s="115"/>
      <c r="N37" s="115"/>
      <c r="O37" s="115"/>
      <c r="P37" s="115"/>
      <c r="Q37" s="115"/>
      <c r="R37" s="115"/>
      <c r="S37" s="25"/>
      <c r="T37" s="13"/>
      <c r="Y37" s="116"/>
      <c r="Z37" s="123"/>
      <c r="AA37" s="123"/>
      <c r="AB37" s="123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25"/>
      <c r="AR37" s="13"/>
      <c r="AU37" s="114"/>
    </row>
    <row r="38" spans="1:47" ht="19.5" x14ac:dyDescent="0.4">
      <c r="A38" s="117"/>
      <c r="B38" s="123"/>
      <c r="C38" s="123"/>
      <c r="D38" s="123"/>
      <c r="H38" s="25">
        <v>45699</v>
      </c>
      <c r="I38" s="13" t="s">
        <v>146</v>
      </c>
      <c r="J38" s="115"/>
      <c r="K38" s="115"/>
      <c r="L38" s="115"/>
      <c r="M38" s="115"/>
      <c r="N38" s="115"/>
      <c r="O38" s="115"/>
      <c r="P38" s="115"/>
      <c r="Q38" s="115"/>
      <c r="R38" s="115"/>
      <c r="S38" s="25">
        <v>45678</v>
      </c>
      <c r="T38" s="13" t="s">
        <v>148</v>
      </c>
      <c r="Y38" s="116"/>
      <c r="Z38" s="123"/>
      <c r="AA38" s="123"/>
      <c r="AB38" s="123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25"/>
      <c r="AR38" s="13"/>
      <c r="AU38" s="114"/>
    </row>
    <row r="39" spans="1:47" ht="19.5" x14ac:dyDescent="0.4">
      <c r="A39" s="117"/>
      <c r="B39" s="123"/>
      <c r="C39" s="123"/>
      <c r="D39" s="123"/>
      <c r="H39" s="25">
        <v>45699</v>
      </c>
      <c r="I39" s="13" t="s">
        <v>146</v>
      </c>
      <c r="J39" s="115"/>
      <c r="K39" s="115"/>
      <c r="L39" s="115"/>
      <c r="M39" s="115"/>
      <c r="N39" s="115"/>
      <c r="O39" s="115"/>
      <c r="P39" s="115"/>
      <c r="Q39" s="115"/>
      <c r="R39" s="115"/>
      <c r="S39" s="25">
        <v>45678</v>
      </c>
      <c r="T39" s="13" t="s">
        <v>148</v>
      </c>
      <c r="Y39" s="116"/>
      <c r="Z39" s="123"/>
      <c r="AA39" s="123"/>
      <c r="AB39" s="123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25"/>
      <c r="AR39" s="13"/>
      <c r="AU39" s="114"/>
    </row>
    <row r="40" spans="1:47" ht="19.5" x14ac:dyDescent="0.4">
      <c r="A40" s="117"/>
      <c r="B40" s="123"/>
      <c r="C40" s="123"/>
      <c r="D40" s="123"/>
      <c r="H40" s="25">
        <v>45699</v>
      </c>
      <c r="I40" s="13" t="s">
        <v>146</v>
      </c>
      <c r="J40" s="115"/>
      <c r="K40" s="115"/>
      <c r="L40" s="115"/>
      <c r="M40" s="115"/>
      <c r="N40" s="115"/>
      <c r="O40" s="115"/>
      <c r="P40" s="115"/>
      <c r="Q40" s="115"/>
      <c r="R40" s="115"/>
      <c r="S40" s="25">
        <v>45679</v>
      </c>
      <c r="T40" s="15" t="s">
        <v>146</v>
      </c>
      <c r="Y40" s="116"/>
      <c r="Z40" s="123"/>
      <c r="AA40" s="123"/>
      <c r="AB40" s="123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25"/>
      <c r="AR40" s="13"/>
      <c r="AU40" s="114"/>
    </row>
    <row r="41" spans="1:47" ht="19.5" x14ac:dyDescent="0.4">
      <c r="A41" s="117"/>
      <c r="B41" s="123"/>
      <c r="C41" s="123"/>
      <c r="D41" s="123"/>
      <c r="H41" s="25">
        <v>45699</v>
      </c>
      <c r="I41" s="13" t="s">
        <v>148</v>
      </c>
      <c r="J41" s="115"/>
      <c r="K41" s="115"/>
      <c r="L41" s="115"/>
      <c r="M41" s="115"/>
      <c r="N41" s="115"/>
      <c r="O41" s="115"/>
      <c r="P41" s="115"/>
      <c r="Q41" s="115"/>
      <c r="R41" s="115"/>
      <c r="S41" s="25">
        <v>45679</v>
      </c>
      <c r="T41" s="15" t="s">
        <v>148</v>
      </c>
      <c r="Y41" s="116"/>
      <c r="Z41" s="123"/>
      <c r="AA41" s="123"/>
      <c r="AB41" s="123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25"/>
      <c r="AR41" s="13"/>
      <c r="AU41" s="114"/>
    </row>
    <row r="42" spans="1:47" ht="19.5" x14ac:dyDescent="0.4">
      <c r="A42" s="117"/>
      <c r="B42" s="123"/>
      <c r="C42" s="123"/>
      <c r="D42" s="123"/>
      <c r="H42" s="25">
        <v>45699</v>
      </c>
      <c r="I42" s="13" t="s">
        <v>148</v>
      </c>
      <c r="J42" s="115"/>
      <c r="K42" s="115"/>
      <c r="L42" s="115"/>
      <c r="M42" s="115"/>
      <c r="N42" s="115"/>
      <c r="O42" s="115"/>
      <c r="P42" s="115"/>
      <c r="Q42" s="115"/>
      <c r="R42" s="115"/>
      <c r="S42" s="25">
        <v>45679</v>
      </c>
      <c r="T42" s="13" t="s">
        <v>147</v>
      </c>
      <c r="Y42" s="116"/>
      <c r="Z42" s="123"/>
      <c r="AA42" s="123"/>
      <c r="AB42" s="123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25"/>
      <c r="AR42" s="13"/>
      <c r="AU42" s="114"/>
    </row>
    <row r="43" spans="1:47" ht="19.5" x14ac:dyDescent="0.4">
      <c r="A43" s="117"/>
      <c r="B43" s="123"/>
      <c r="C43" s="123"/>
      <c r="D43" s="123"/>
      <c r="G43" s="115" t="s">
        <v>380</v>
      </c>
      <c r="H43" s="13">
        <f>SUBTOTAL(3,H38:H42)</f>
        <v>5</v>
      </c>
      <c r="I43" s="13">
        <f>SUBTOTAL(3,I38:I42)</f>
        <v>5</v>
      </c>
      <c r="J43" s="115"/>
      <c r="K43" s="115"/>
      <c r="L43" s="115"/>
      <c r="M43" s="115"/>
      <c r="N43" s="115"/>
      <c r="O43" s="115"/>
      <c r="P43" s="115"/>
      <c r="Q43" s="115"/>
      <c r="R43" s="115"/>
      <c r="S43" s="25"/>
      <c r="T43" s="13"/>
      <c r="Y43" s="116"/>
      <c r="Z43" s="123"/>
      <c r="AA43" s="123"/>
      <c r="AB43" s="123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25"/>
      <c r="AR43" s="13"/>
      <c r="AU43" s="114"/>
    </row>
    <row r="44" spans="1:47" ht="19.5" x14ac:dyDescent="0.4">
      <c r="A44" s="117"/>
      <c r="B44" s="123"/>
      <c r="C44" s="123"/>
      <c r="D44" s="123"/>
      <c r="H44" s="25">
        <v>45700</v>
      </c>
      <c r="I44" s="13" t="s">
        <v>146</v>
      </c>
      <c r="S44" s="25">
        <v>45679</v>
      </c>
      <c r="T44" s="13" t="s">
        <v>147</v>
      </c>
      <c r="Y44" s="116"/>
      <c r="Z44" s="123"/>
      <c r="AA44" s="123"/>
      <c r="AB44" s="123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25"/>
      <c r="AR44" s="13"/>
      <c r="AU44" s="114"/>
    </row>
    <row r="45" spans="1:47" ht="19.5" x14ac:dyDescent="0.4">
      <c r="A45" s="117"/>
      <c r="B45" s="123"/>
      <c r="C45" s="123"/>
      <c r="D45" s="123"/>
      <c r="H45" s="25">
        <v>45700</v>
      </c>
      <c r="I45" s="13" t="s">
        <v>148</v>
      </c>
      <c r="J45" s="115"/>
      <c r="K45" s="115"/>
      <c r="L45" s="115"/>
      <c r="M45" s="115"/>
      <c r="N45" s="115"/>
      <c r="O45" s="115"/>
      <c r="P45" s="115"/>
      <c r="Q45" s="115"/>
      <c r="R45" s="115"/>
      <c r="S45" s="25">
        <v>45679</v>
      </c>
      <c r="T45" s="13" t="s">
        <v>146</v>
      </c>
      <c r="Y45" s="116"/>
      <c r="Z45" s="123"/>
      <c r="AA45" s="123"/>
      <c r="AB45" s="123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25"/>
      <c r="AR45" s="13"/>
      <c r="AU45" s="114"/>
    </row>
    <row r="46" spans="1:47" ht="19.5" x14ac:dyDescent="0.4">
      <c r="A46" s="117"/>
      <c r="B46" s="123"/>
      <c r="C46" s="123"/>
      <c r="D46" s="123"/>
      <c r="H46" s="25">
        <v>45700</v>
      </c>
      <c r="I46" s="13" t="s">
        <v>146</v>
      </c>
      <c r="J46" s="115"/>
      <c r="K46" s="115"/>
      <c r="L46" s="115"/>
      <c r="M46" s="115"/>
      <c r="N46" s="115"/>
      <c r="O46" s="115"/>
      <c r="P46" s="115"/>
      <c r="Q46" s="115"/>
      <c r="R46" s="115"/>
      <c r="S46" s="25">
        <v>45679</v>
      </c>
      <c r="T46" s="13" t="s">
        <v>147</v>
      </c>
      <c r="Y46" s="116"/>
      <c r="Z46" s="123"/>
      <c r="AA46" s="123"/>
      <c r="AB46" s="123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25"/>
      <c r="AR46" s="13"/>
      <c r="AU46" s="114"/>
    </row>
    <row r="47" spans="1:47" ht="19.5" x14ac:dyDescent="0.4">
      <c r="A47" s="117"/>
      <c r="B47" s="123"/>
      <c r="C47" s="123"/>
      <c r="D47" s="123"/>
      <c r="H47" s="25">
        <v>45700</v>
      </c>
      <c r="I47" s="13" t="s">
        <v>148</v>
      </c>
      <c r="J47" s="115"/>
      <c r="K47" s="115"/>
      <c r="L47" s="115"/>
      <c r="M47" s="115"/>
      <c r="N47" s="115"/>
      <c r="O47" s="115"/>
      <c r="P47" s="115"/>
      <c r="Q47" s="115"/>
      <c r="R47" s="115"/>
      <c r="S47" s="25">
        <v>45680</v>
      </c>
      <c r="T47" s="13" t="s">
        <v>148</v>
      </c>
      <c r="Y47" s="116"/>
      <c r="Z47" s="123"/>
      <c r="AA47" s="123"/>
      <c r="AB47" s="123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25"/>
      <c r="AR47" s="13"/>
      <c r="AU47" s="114"/>
    </row>
    <row r="48" spans="1:47" ht="19.5" x14ac:dyDescent="0.4">
      <c r="A48" s="117"/>
      <c r="B48" s="123"/>
      <c r="C48" s="123"/>
      <c r="D48" s="123"/>
      <c r="H48" s="25">
        <v>45700</v>
      </c>
      <c r="I48" s="13" t="s">
        <v>146</v>
      </c>
      <c r="J48" s="115"/>
      <c r="K48" s="115"/>
      <c r="L48" s="115"/>
      <c r="M48" s="115"/>
      <c r="N48" s="115"/>
      <c r="O48" s="115"/>
      <c r="P48" s="115"/>
      <c r="Q48" s="115"/>
      <c r="R48" s="115"/>
      <c r="S48" s="25">
        <v>45680</v>
      </c>
      <c r="T48" s="13" t="s">
        <v>147</v>
      </c>
      <c r="Y48" s="116"/>
      <c r="Z48" s="123"/>
      <c r="AA48" s="123"/>
      <c r="AB48" s="123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25"/>
      <c r="AR48" s="13"/>
      <c r="AU48" s="114"/>
    </row>
    <row r="49" spans="1:47" ht="19.5" x14ac:dyDescent="0.4">
      <c r="A49" s="117"/>
      <c r="B49" s="123"/>
      <c r="C49" s="123"/>
      <c r="D49" s="123"/>
      <c r="H49" s="25">
        <v>45700</v>
      </c>
      <c r="I49" s="15" t="s">
        <v>148</v>
      </c>
      <c r="J49" s="115"/>
      <c r="K49" s="115"/>
      <c r="L49" s="115"/>
      <c r="M49" s="115"/>
      <c r="N49" s="115"/>
      <c r="O49" s="115"/>
      <c r="P49" s="115"/>
      <c r="Q49" s="115"/>
      <c r="R49" s="115"/>
      <c r="S49" s="25">
        <v>45680</v>
      </c>
      <c r="T49" s="13" t="s">
        <v>147</v>
      </c>
      <c r="Y49" s="116"/>
      <c r="Z49" s="123"/>
      <c r="AA49" s="123"/>
      <c r="AB49" s="123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25"/>
      <c r="AR49" s="13"/>
      <c r="AU49" s="114"/>
    </row>
    <row r="50" spans="1:47" ht="19.5" x14ac:dyDescent="0.4">
      <c r="A50" s="117"/>
      <c r="B50" s="123"/>
      <c r="C50" s="123"/>
      <c r="D50" s="123"/>
      <c r="H50" s="25">
        <v>45700</v>
      </c>
      <c r="I50" s="15" t="s">
        <v>148</v>
      </c>
      <c r="J50" s="115"/>
      <c r="K50" s="115"/>
      <c r="L50" s="115"/>
      <c r="M50" s="115"/>
      <c r="N50" s="115"/>
      <c r="O50" s="115"/>
      <c r="P50" s="115"/>
      <c r="Q50" s="115"/>
      <c r="R50" s="115"/>
      <c r="S50" s="25">
        <v>45680</v>
      </c>
      <c r="T50" s="13" t="s">
        <v>146</v>
      </c>
      <c r="Y50" s="116"/>
      <c r="Z50" s="123"/>
      <c r="AA50" s="123"/>
      <c r="AB50" s="123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25"/>
      <c r="AR50" s="13"/>
      <c r="AU50" s="114"/>
    </row>
    <row r="51" spans="1:47" ht="19.5" x14ac:dyDescent="0.4">
      <c r="A51" s="117"/>
      <c r="B51" s="123"/>
      <c r="C51" s="123"/>
      <c r="D51" s="123"/>
      <c r="H51" s="25">
        <v>45700</v>
      </c>
      <c r="I51" s="15" t="s">
        <v>148</v>
      </c>
      <c r="J51" s="115"/>
      <c r="K51" s="115"/>
      <c r="L51" s="115"/>
      <c r="M51" s="115"/>
      <c r="N51" s="115"/>
      <c r="O51" s="115"/>
      <c r="P51" s="115"/>
      <c r="Q51" s="115"/>
      <c r="R51" s="115"/>
      <c r="S51" s="25">
        <v>45680</v>
      </c>
      <c r="T51" s="13" t="s">
        <v>146</v>
      </c>
      <c r="Y51" s="116"/>
      <c r="Z51" s="123"/>
      <c r="AA51" s="123"/>
      <c r="AB51" s="123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25"/>
      <c r="AR51" s="13"/>
      <c r="AU51" s="114"/>
    </row>
    <row r="52" spans="1:47" ht="19.5" x14ac:dyDescent="0.4">
      <c r="A52" s="117"/>
      <c r="B52" s="123"/>
      <c r="C52" s="123"/>
      <c r="D52" s="123"/>
      <c r="F52" s="115"/>
      <c r="G52" s="115"/>
      <c r="H52" s="25">
        <v>45700</v>
      </c>
      <c r="I52" s="15" t="s">
        <v>148</v>
      </c>
      <c r="J52" s="115"/>
      <c r="K52" s="115"/>
      <c r="L52" s="115"/>
      <c r="M52" s="115"/>
      <c r="N52" s="115"/>
      <c r="O52" s="115"/>
      <c r="P52" s="115"/>
      <c r="Q52" s="115"/>
      <c r="R52" s="115"/>
      <c r="S52" s="25">
        <v>45680</v>
      </c>
      <c r="T52" s="13" t="s">
        <v>147</v>
      </c>
      <c r="Y52" s="116"/>
      <c r="Z52" s="123"/>
      <c r="AA52" s="123"/>
      <c r="AB52" s="123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25"/>
      <c r="AR52" s="13"/>
      <c r="AU52" s="114"/>
    </row>
    <row r="53" spans="1:47" ht="19.5" x14ac:dyDescent="0.4">
      <c r="A53" s="117"/>
      <c r="B53" s="123"/>
      <c r="C53" s="123"/>
      <c r="D53" s="123"/>
      <c r="F53" s="115"/>
      <c r="G53" s="115" t="s">
        <v>381</v>
      </c>
      <c r="H53" s="13">
        <f>SUBTOTAL(3,H44:H52)</f>
        <v>9</v>
      </c>
      <c r="I53" s="15">
        <f>SUBTOTAL(3,I44:I52)</f>
        <v>9</v>
      </c>
      <c r="J53" s="115"/>
      <c r="K53" s="115"/>
      <c r="L53" s="115"/>
      <c r="M53" s="115"/>
      <c r="N53" s="115"/>
      <c r="O53" s="115"/>
      <c r="P53" s="115"/>
      <c r="Q53" s="115"/>
      <c r="R53" s="115"/>
      <c r="S53" s="25"/>
      <c r="T53" s="13"/>
      <c r="Y53" s="116"/>
      <c r="Z53" s="123"/>
      <c r="AA53" s="123"/>
      <c r="AB53" s="123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25"/>
      <c r="AR53" s="13"/>
      <c r="AU53" s="114"/>
    </row>
    <row r="54" spans="1:47" ht="19.5" x14ac:dyDescent="0.4">
      <c r="A54" s="117"/>
      <c r="B54" s="123"/>
      <c r="C54" s="123"/>
      <c r="D54" s="123"/>
      <c r="F54" s="115"/>
      <c r="G54" s="115"/>
      <c r="H54" s="25">
        <v>45701</v>
      </c>
      <c r="I54" s="15" t="s">
        <v>147</v>
      </c>
      <c r="J54" s="115"/>
      <c r="K54" s="115"/>
      <c r="L54" s="115"/>
      <c r="M54" s="115"/>
      <c r="N54" s="115"/>
      <c r="O54" s="115"/>
      <c r="P54" s="115"/>
      <c r="Q54" s="115"/>
      <c r="R54" s="115"/>
      <c r="S54" s="25">
        <v>45680</v>
      </c>
      <c r="T54" s="15" t="s">
        <v>142</v>
      </c>
      <c r="Y54" s="116"/>
      <c r="Z54" s="123"/>
      <c r="AA54" s="123"/>
      <c r="AB54" s="123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25"/>
      <c r="AR54" s="13"/>
      <c r="AU54" s="114"/>
    </row>
    <row r="55" spans="1:47" ht="19.5" x14ac:dyDescent="0.4">
      <c r="A55" s="117"/>
      <c r="B55" s="123"/>
      <c r="C55" s="123"/>
      <c r="D55" s="123"/>
      <c r="F55" s="115"/>
      <c r="G55" s="115"/>
      <c r="H55" s="25">
        <v>45701</v>
      </c>
      <c r="I55" s="15" t="s">
        <v>146</v>
      </c>
      <c r="J55" s="115"/>
      <c r="K55" s="115"/>
      <c r="L55" s="115"/>
      <c r="M55" s="115"/>
      <c r="N55" s="115"/>
      <c r="O55" s="115"/>
      <c r="P55" s="115"/>
      <c r="Q55" s="115"/>
      <c r="R55" s="115"/>
      <c r="S55" s="25">
        <v>45680</v>
      </c>
      <c r="T55" s="15" t="s">
        <v>146</v>
      </c>
      <c r="Y55" s="116"/>
      <c r="Z55" s="123"/>
      <c r="AA55" s="123"/>
      <c r="AB55" s="123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25"/>
      <c r="AR55" s="13"/>
      <c r="AU55" s="114"/>
    </row>
    <row r="56" spans="1:47" ht="19.5" x14ac:dyDescent="0.4">
      <c r="A56" s="117"/>
      <c r="B56" s="123"/>
      <c r="C56" s="123"/>
      <c r="D56" s="123"/>
      <c r="F56" s="115"/>
      <c r="G56" s="115"/>
      <c r="H56" s="25">
        <v>45701</v>
      </c>
      <c r="I56" s="15" t="s">
        <v>146</v>
      </c>
      <c r="J56" s="115"/>
      <c r="K56" s="115"/>
      <c r="L56" s="115"/>
      <c r="M56" s="115"/>
      <c r="N56" s="115"/>
      <c r="O56" s="115"/>
      <c r="P56" s="115"/>
      <c r="Q56" s="115"/>
      <c r="R56" s="115"/>
      <c r="S56" s="25">
        <v>45680</v>
      </c>
      <c r="T56" s="15" t="s">
        <v>146</v>
      </c>
      <c r="Y56" s="116"/>
      <c r="Z56" s="123"/>
      <c r="AA56" s="123"/>
      <c r="AB56" s="123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25"/>
      <c r="AR56" s="13"/>
      <c r="AU56" s="114"/>
    </row>
    <row r="57" spans="1:47" ht="19.5" x14ac:dyDescent="0.4">
      <c r="A57" s="117"/>
      <c r="B57" s="123"/>
      <c r="C57" s="123"/>
      <c r="D57" s="123"/>
      <c r="F57" s="115"/>
      <c r="G57" s="115" t="s">
        <v>382</v>
      </c>
      <c r="H57" s="13">
        <f>SUBTOTAL(3,H54:H56)</f>
        <v>3</v>
      </c>
      <c r="I57" s="13">
        <f>SUBTOTAL(3,I54:I56)</f>
        <v>3</v>
      </c>
      <c r="J57" s="115"/>
      <c r="K57" s="115"/>
      <c r="L57" s="115"/>
      <c r="M57" s="115"/>
      <c r="N57" s="115"/>
      <c r="O57" s="115"/>
      <c r="P57" s="115"/>
      <c r="Q57" s="115"/>
      <c r="R57" s="115"/>
      <c r="S57" s="25"/>
      <c r="T57" s="15"/>
      <c r="Y57" s="116"/>
      <c r="Z57" s="123"/>
      <c r="AA57" s="123"/>
      <c r="AB57" s="123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25"/>
      <c r="AR57" s="13"/>
      <c r="AU57" s="114"/>
    </row>
    <row r="58" spans="1:47" ht="19.5" x14ac:dyDescent="0.4">
      <c r="A58" s="117"/>
      <c r="B58" s="123"/>
      <c r="C58" s="123"/>
      <c r="D58" s="123"/>
      <c r="F58" s="115"/>
      <c r="G58" s="115"/>
      <c r="H58" s="25">
        <v>45702</v>
      </c>
      <c r="I58" s="13" t="s">
        <v>146</v>
      </c>
      <c r="J58" s="115"/>
      <c r="K58" s="115"/>
      <c r="L58" s="115"/>
      <c r="M58" s="115"/>
      <c r="N58" s="115"/>
      <c r="O58" s="115"/>
      <c r="P58" s="115"/>
      <c r="Q58" s="115"/>
      <c r="R58" s="115"/>
      <c r="S58" s="25">
        <v>45680</v>
      </c>
      <c r="T58" s="15" t="s">
        <v>146</v>
      </c>
      <c r="Y58" s="116"/>
      <c r="Z58" s="123"/>
      <c r="AA58" s="123"/>
      <c r="AB58" s="123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25"/>
      <c r="AR58" s="13"/>
      <c r="AU58" s="114"/>
    </row>
    <row r="59" spans="1:47" ht="19.5" x14ac:dyDescent="0.4">
      <c r="A59" s="117"/>
      <c r="B59" s="123"/>
      <c r="C59" s="123"/>
      <c r="D59" s="123"/>
      <c r="F59" s="115"/>
      <c r="G59" s="115"/>
      <c r="H59" s="25">
        <v>45702</v>
      </c>
      <c r="I59" s="13" t="s">
        <v>146</v>
      </c>
      <c r="J59" s="115"/>
      <c r="K59" s="115"/>
      <c r="L59" s="115"/>
      <c r="M59" s="115"/>
      <c r="N59" s="115"/>
      <c r="O59" s="115"/>
      <c r="P59" s="115"/>
      <c r="Q59" s="115"/>
      <c r="R59" s="115"/>
      <c r="S59" s="25">
        <v>45680</v>
      </c>
      <c r="T59" s="15" t="s">
        <v>147</v>
      </c>
      <c r="Y59" s="116"/>
      <c r="Z59" s="123"/>
      <c r="AA59" s="123"/>
      <c r="AB59" s="123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25"/>
      <c r="AR59" s="13"/>
      <c r="AU59" s="114"/>
    </row>
    <row r="60" spans="1:47" ht="19.5" x14ac:dyDescent="0.4">
      <c r="A60" s="117"/>
      <c r="B60" s="123"/>
      <c r="C60" s="123"/>
      <c r="D60" s="123"/>
      <c r="F60" s="115"/>
      <c r="G60" s="115"/>
      <c r="H60" s="25">
        <v>45702</v>
      </c>
      <c r="I60" s="13" t="s">
        <v>146</v>
      </c>
      <c r="J60" s="115"/>
      <c r="K60" s="115"/>
      <c r="L60" s="115"/>
      <c r="M60" s="115"/>
      <c r="N60" s="115"/>
      <c r="O60" s="115"/>
      <c r="P60" s="115"/>
      <c r="Q60" s="115"/>
      <c r="R60" s="115"/>
      <c r="S60" s="25">
        <v>45680</v>
      </c>
      <c r="T60" s="13" t="s">
        <v>146</v>
      </c>
      <c r="Y60" s="116"/>
      <c r="Z60" s="123"/>
      <c r="AA60" s="123"/>
      <c r="AB60" s="123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25"/>
      <c r="AR60" s="13"/>
      <c r="AU60" s="114"/>
    </row>
    <row r="61" spans="1:47" ht="19.5" x14ac:dyDescent="0.4">
      <c r="A61" s="117"/>
      <c r="B61" s="123"/>
      <c r="C61" s="123"/>
      <c r="D61" s="123"/>
      <c r="F61" s="115"/>
      <c r="G61" s="115"/>
      <c r="H61" s="25">
        <v>45702</v>
      </c>
      <c r="I61" s="13" t="s">
        <v>146</v>
      </c>
      <c r="J61" s="115"/>
      <c r="K61" s="115"/>
      <c r="L61" s="115"/>
      <c r="M61" s="115"/>
      <c r="N61" s="115"/>
      <c r="O61" s="115"/>
      <c r="P61" s="115"/>
      <c r="Q61" s="115"/>
      <c r="R61" s="115"/>
      <c r="S61" s="25">
        <v>45680</v>
      </c>
      <c r="T61" s="13" t="s">
        <v>147</v>
      </c>
      <c r="Y61" s="116"/>
      <c r="Z61" s="123"/>
      <c r="AA61" s="123"/>
      <c r="AB61" s="123"/>
      <c r="AG61" s="115"/>
      <c r="AH61" s="115"/>
      <c r="AI61" s="115"/>
      <c r="AJ61" s="115"/>
      <c r="AK61" s="115"/>
      <c r="AL61" s="115"/>
      <c r="AM61" s="115"/>
      <c r="AN61" s="115"/>
      <c r="AO61" s="115"/>
      <c r="AP61" s="115"/>
      <c r="AQ61" s="25"/>
      <c r="AR61" s="13"/>
      <c r="AU61" s="114"/>
    </row>
    <row r="62" spans="1:47" ht="19.5" x14ac:dyDescent="0.4">
      <c r="A62" s="117"/>
      <c r="B62" s="123"/>
      <c r="C62" s="123"/>
      <c r="D62" s="123"/>
      <c r="F62" s="115"/>
      <c r="G62" s="115"/>
      <c r="H62" s="25">
        <v>45702</v>
      </c>
      <c r="I62" s="13" t="s">
        <v>146</v>
      </c>
      <c r="J62" s="115"/>
      <c r="K62" s="115"/>
      <c r="L62" s="115"/>
      <c r="M62" s="115"/>
      <c r="N62" s="115"/>
      <c r="O62" s="115"/>
      <c r="P62" s="115"/>
      <c r="Q62" s="115"/>
      <c r="R62" s="115"/>
      <c r="S62" s="25">
        <v>45680</v>
      </c>
      <c r="T62" s="13" t="s">
        <v>146</v>
      </c>
      <c r="Y62" s="116"/>
      <c r="Z62" s="123"/>
      <c r="AA62" s="123"/>
      <c r="AB62" s="123"/>
      <c r="AG62" s="115"/>
      <c r="AH62" s="115"/>
      <c r="AI62" s="115"/>
      <c r="AJ62" s="115"/>
      <c r="AK62" s="115"/>
      <c r="AL62" s="115"/>
      <c r="AM62" s="115"/>
      <c r="AN62" s="115"/>
      <c r="AO62" s="115"/>
      <c r="AP62" s="115"/>
      <c r="AQ62" s="25"/>
      <c r="AR62" s="13"/>
      <c r="AU62" s="114"/>
    </row>
    <row r="63" spans="1:47" ht="19.5" x14ac:dyDescent="0.4">
      <c r="A63" s="117"/>
      <c r="B63" s="123"/>
      <c r="C63" s="123"/>
      <c r="D63" s="123"/>
      <c r="H63" s="25">
        <v>45702</v>
      </c>
      <c r="I63" s="13" t="s">
        <v>146</v>
      </c>
      <c r="S63" s="25">
        <v>45680</v>
      </c>
      <c r="T63" s="13" t="s">
        <v>146</v>
      </c>
      <c r="Y63" s="117"/>
      <c r="Z63" s="123"/>
      <c r="AA63" s="123"/>
      <c r="AB63" s="123"/>
      <c r="AG63" s="115"/>
      <c r="AH63" s="115"/>
      <c r="AI63" s="115"/>
      <c r="AJ63" s="115"/>
      <c r="AK63" s="115"/>
      <c r="AL63" s="115"/>
      <c r="AM63" s="115"/>
      <c r="AN63" s="115"/>
      <c r="AO63" s="115"/>
      <c r="AP63" s="115" t="s">
        <v>149</v>
      </c>
      <c r="AQ63" s="13">
        <f>SUBTOTAL(3,AQ2:AQ2)</f>
        <v>1</v>
      </c>
      <c r="AR63" s="13">
        <f>SUBTOTAL(3,AR2:AR2)</f>
        <v>1</v>
      </c>
      <c r="AU63" s="114"/>
    </row>
    <row r="64" spans="1:47" ht="19.5" x14ac:dyDescent="0.4">
      <c r="A64" s="117"/>
      <c r="B64" s="123"/>
      <c r="C64" s="123"/>
      <c r="D64" s="123"/>
      <c r="H64" s="25">
        <v>45702</v>
      </c>
      <c r="I64" s="13" t="s">
        <v>146</v>
      </c>
      <c r="J64" s="115"/>
      <c r="K64" s="115"/>
      <c r="L64" s="115"/>
      <c r="M64" s="115"/>
      <c r="N64" s="115"/>
      <c r="O64" s="115"/>
      <c r="P64" s="115"/>
      <c r="Q64" s="115"/>
      <c r="R64" s="115"/>
      <c r="S64" s="25">
        <v>45682</v>
      </c>
      <c r="T64" s="13" t="s">
        <v>147</v>
      </c>
      <c r="Y64" s="117"/>
      <c r="Z64" s="123"/>
      <c r="AA64" s="123"/>
      <c r="AB64" s="123"/>
      <c r="AG64" s="115"/>
      <c r="AH64" s="115"/>
      <c r="AI64" s="115"/>
      <c r="AJ64" s="115"/>
      <c r="AK64" s="115"/>
      <c r="AL64" s="115"/>
      <c r="AM64" s="115"/>
      <c r="AN64" s="115"/>
      <c r="AO64" s="115"/>
      <c r="AP64" s="115"/>
      <c r="AQ64" s="13"/>
      <c r="AR64" s="13"/>
      <c r="AU64" s="114"/>
    </row>
    <row r="65" spans="1:47" ht="19.5" x14ac:dyDescent="0.4">
      <c r="A65" s="117"/>
      <c r="B65" s="123"/>
      <c r="C65" s="123"/>
      <c r="D65" s="123"/>
      <c r="H65" s="25">
        <v>45702</v>
      </c>
      <c r="I65" s="15" t="s">
        <v>146</v>
      </c>
      <c r="J65" s="115"/>
      <c r="K65" s="115"/>
      <c r="L65" s="115"/>
      <c r="M65" s="115"/>
      <c r="N65" s="115"/>
      <c r="O65" s="115"/>
      <c r="P65" s="115"/>
      <c r="Q65" s="115"/>
      <c r="R65" s="115"/>
      <c r="S65" s="25">
        <v>45682</v>
      </c>
      <c r="T65" s="13" t="s">
        <v>146</v>
      </c>
      <c r="Y65" s="117"/>
      <c r="Z65" s="123"/>
      <c r="AA65" s="123"/>
      <c r="AB65" s="123"/>
      <c r="AG65" s="115"/>
      <c r="AH65" s="115"/>
      <c r="AI65" s="115"/>
      <c r="AJ65" s="115"/>
      <c r="AK65" s="115"/>
      <c r="AL65" s="115"/>
      <c r="AM65" s="115"/>
      <c r="AN65" s="115"/>
      <c r="AO65" s="115"/>
      <c r="AP65" s="115"/>
      <c r="AQ65" s="13"/>
      <c r="AR65" s="13"/>
      <c r="AU65" s="114"/>
    </row>
    <row r="66" spans="1:47" ht="19.5" x14ac:dyDescent="0.4">
      <c r="A66" s="117"/>
      <c r="B66" s="123"/>
      <c r="C66" s="123"/>
      <c r="D66" s="123"/>
      <c r="G66" s="115" t="s">
        <v>383</v>
      </c>
      <c r="H66" s="13">
        <f>SUBTOTAL(3,H58:H65)</f>
        <v>8</v>
      </c>
      <c r="I66" s="15">
        <f>SUBTOTAL(3,I58:I65)</f>
        <v>8</v>
      </c>
      <c r="J66" s="115"/>
      <c r="K66" s="115"/>
      <c r="L66" s="115"/>
      <c r="M66" s="115"/>
      <c r="N66" s="115"/>
      <c r="O66" s="115"/>
      <c r="P66" s="115"/>
      <c r="Q66" s="115"/>
      <c r="R66" s="115"/>
      <c r="S66" s="25"/>
      <c r="T66" s="13"/>
      <c r="Y66" s="117"/>
      <c r="Z66" s="123"/>
      <c r="AA66" s="123"/>
      <c r="AB66" s="123"/>
      <c r="AG66" s="115"/>
      <c r="AH66" s="115"/>
      <c r="AI66" s="115"/>
      <c r="AJ66" s="115"/>
      <c r="AK66" s="115"/>
      <c r="AL66" s="115"/>
      <c r="AM66" s="115"/>
      <c r="AN66" s="115"/>
      <c r="AO66" s="115"/>
      <c r="AP66" s="115"/>
      <c r="AQ66" s="13"/>
      <c r="AR66" s="13"/>
      <c r="AU66" s="114"/>
    </row>
    <row r="67" spans="1:47" ht="19.5" x14ac:dyDescent="0.4">
      <c r="A67" s="117"/>
      <c r="B67" s="123"/>
      <c r="C67" s="123"/>
      <c r="D67" s="123"/>
      <c r="H67" s="25">
        <v>45703</v>
      </c>
      <c r="I67" s="15" t="s">
        <v>148</v>
      </c>
      <c r="J67" s="115"/>
      <c r="K67" s="115"/>
      <c r="L67" s="115"/>
      <c r="M67" s="115"/>
      <c r="N67" s="115"/>
      <c r="O67" s="115"/>
      <c r="P67" s="115"/>
      <c r="Q67" s="115"/>
      <c r="R67" s="115"/>
      <c r="S67" s="25">
        <v>45682</v>
      </c>
      <c r="T67" s="13" t="s">
        <v>147</v>
      </c>
      <c r="Y67" s="117"/>
      <c r="Z67" s="123"/>
      <c r="AA67" s="123"/>
      <c r="AB67" s="123"/>
      <c r="AG67" s="115"/>
      <c r="AH67" s="115"/>
      <c r="AI67" s="115"/>
      <c r="AJ67" s="115"/>
      <c r="AK67" s="115"/>
      <c r="AL67" s="115"/>
      <c r="AM67" s="115"/>
      <c r="AN67" s="115"/>
      <c r="AO67" s="115"/>
      <c r="AP67" s="115"/>
      <c r="AQ67" s="13"/>
      <c r="AR67" s="13"/>
      <c r="AU67" s="114"/>
    </row>
    <row r="68" spans="1:47" ht="19.5" x14ac:dyDescent="0.4">
      <c r="A68" s="117"/>
      <c r="B68" s="123"/>
      <c r="C68" s="123"/>
      <c r="D68" s="123"/>
      <c r="H68" s="25">
        <v>45703</v>
      </c>
      <c r="I68" s="15" t="s">
        <v>147</v>
      </c>
      <c r="S68" s="25">
        <v>45682</v>
      </c>
      <c r="T68" s="15" t="s">
        <v>146</v>
      </c>
      <c r="Y68" s="117"/>
      <c r="Z68" s="123"/>
      <c r="AA68" s="123"/>
      <c r="AB68" s="123"/>
      <c r="AG68" s="115"/>
      <c r="AH68" s="115"/>
      <c r="AI68" s="115"/>
      <c r="AJ68" s="115"/>
      <c r="AK68" s="115"/>
      <c r="AL68" s="115"/>
      <c r="AM68" s="115"/>
      <c r="AN68" s="115"/>
      <c r="AO68" s="115"/>
      <c r="AP68" s="115"/>
      <c r="AQ68" s="13"/>
      <c r="AR68" s="13"/>
      <c r="AU68" s="114"/>
    </row>
    <row r="69" spans="1:47" ht="19.5" x14ac:dyDescent="0.4">
      <c r="A69" s="117"/>
      <c r="B69" s="123"/>
      <c r="C69" s="123"/>
      <c r="D69" s="123"/>
      <c r="H69" s="25">
        <v>45703</v>
      </c>
      <c r="I69" s="15" t="s">
        <v>147</v>
      </c>
      <c r="J69" s="115"/>
      <c r="K69" s="115"/>
      <c r="L69" s="115"/>
      <c r="M69" s="115"/>
      <c r="N69" s="115"/>
      <c r="O69" s="115"/>
      <c r="P69" s="115"/>
      <c r="Q69" s="115"/>
      <c r="R69" s="115"/>
      <c r="S69" s="25">
        <v>45682</v>
      </c>
      <c r="T69" s="15" t="s">
        <v>146</v>
      </c>
      <c r="Y69" s="117"/>
      <c r="Z69" s="123"/>
      <c r="AA69" s="123"/>
      <c r="AB69" s="123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  <c r="AQ69" s="13"/>
      <c r="AR69" s="13"/>
      <c r="AU69" s="114"/>
    </row>
    <row r="70" spans="1:47" ht="19.5" x14ac:dyDescent="0.4">
      <c r="A70" s="117"/>
      <c r="B70" s="123"/>
      <c r="C70" s="123"/>
      <c r="D70" s="123"/>
      <c r="H70" s="25">
        <v>45703</v>
      </c>
      <c r="I70" s="15" t="s">
        <v>146</v>
      </c>
      <c r="J70" s="115"/>
      <c r="K70" s="115"/>
      <c r="L70" s="115"/>
      <c r="M70" s="115"/>
      <c r="N70" s="115"/>
      <c r="O70" s="115"/>
      <c r="P70" s="115"/>
      <c r="Q70" s="115"/>
      <c r="R70" s="115"/>
      <c r="S70" s="25">
        <v>45682</v>
      </c>
      <c r="T70" s="15" t="s">
        <v>148</v>
      </c>
      <c r="Y70" s="117"/>
      <c r="Z70" s="123"/>
      <c r="AA70" s="123"/>
      <c r="AB70" s="123"/>
      <c r="AG70" s="115"/>
      <c r="AH70" s="115"/>
      <c r="AI70" s="115"/>
      <c r="AJ70" s="115"/>
      <c r="AK70" s="115"/>
      <c r="AL70" s="115"/>
      <c r="AM70" s="115"/>
      <c r="AN70" s="115"/>
      <c r="AO70" s="115"/>
      <c r="AP70" s="115"/>
      <c r="AQ70" s="13"/>
      <c r="AR70" s="13"/>
      <c r="AU70" s="114"/>
    </row>
    <row r="71" spans="1:47" ht="19.5" x14ac:dyDescent="0.4">
      <c r="A71" s="117"/>
      <c r="B71" s="123"/>
      <c r="C71" s="123"/>
      <c r="D71" s="123"/>
      <c r="H71" s="25">
        <v>45703</v>
      </c>
      <c r="I71" s="13" t="s">
        <v>146</v>
      </c>
      <c r="J71" s="115"/>
      <c r="K71" s="115"/>
      <c r="L71" s="115"/>
      <c r="M71" s="115"/>
      <c r="N71" s="115"/>
      <c r="O71" s="115"/>
      <c r="P71" s="115"/>
      <c r="Q71" s="115"/>
      <c r="R71" s="115"/>
      <c r="S71" s="25">
        <v>45682</v>
      </c>
      <c r="T71" s="15" t="s">
        <v>146</v>
      </c>
      <c r="Y71" s="117"/>
      <c r="Z71" s="123"/>
      <c r="AA71" s="123"/>
      <c r="AB71" s="123"/>
      <c r="AG71" s="115"/>
      <c r="AH71" s="115"/>
      <c r="AI71" s="115"/>
      <c r="AJ71" s="115"/>
      <c r="AK71" s="115"/>
      <c r="AL71" s="115"/>
      <c r="AM71" s="115"/>
      <c r="AN71" s="115"/>
      <c r="AO71" s="115"/>
      <c r="AP71" s="115"/>
      <c r="AQ71" s="13"/>
      <c r="AR71" s="13"/>
      <c r="AU71" s="114"/>
    </row>
    <row r="72" spans="1:47" ht="19.5" x14ac:dyDescent="0.4">
      <c r="A72" s="117"/>
      <c r="B72" s="123"/>
      <c r="C72" s="123"/>
      <c r="D72" s="123"/>
      <c r="H72" s="25">
        <v>45703</v>
      </c>
      <c r="I72" s="13" t="s">
        <v>146</v>
      </c>
      <c r="J72" s="115"/>
      <c r="K72" s="115"/>
      <c r="L72" s="115"/>
      <c r="M72" s="115"/>
      <c r="N72" s="115"/>
      <c r="O72" s="115"/>
      <c r="P72" s="115"/>
      <c r="Q72" s="115"/>
      <c r="R72" s="115"/>
      <c r="S72" s="25">
        <v>45682</v>
      </c>
      <c r="T72" s="15" t="s">
        <v>148</v>
      </c>
      <c r="Y72" s="117"/>
      <c r="Z72" s="123"/>
      <c r="AA72" s="123"/>
      <c r="AB72" s="123"/>
      <c r="AG72" s="115"/>
      <c r="AH72" s="115"/>
      <c r="AI72" s="115"/>
      <c r="AJ72" s="115"/>
      <c r="AK72" s="115"/>
      <c r="AL72" s="115"/>
      <c r="AM72" s="115"/>
      <c r="AN72" s="115"/>
      <c r="AO72" s="115"/>
      <c r="AP72" s="115"/>
      <c r="AQ72" s="13"/>
      <c r="AR72" s="13"/>
      <c r="AU72" s="114"/>
    </row>
    <row r="73" spans="1:47" ht="19.5" x14ac:dyDescent="0.4">
      <c r="A73" s="117"/>
      <c r="B73" s="123"/>
      <c r="C73" s="123"/>
      <c r="D73" s="123"/>
      <c r="H73" s="25">
        <v>45703</v>
      </c>
      <c r="I73" s="13" t="s">
        <v>147</v>
      </c>
      <c r="J73" s="115"/>
      <c r="K73" s="115"/>
      <c r="L73" s="115"/>
      <c r="M73" s="115"/>
      <c r="N73" s="115"/>
      <c r="O73" s="115"/>
      <c r="P73" s="115"/>
      <c r="Q73" s="115"/>
      <c r="R73" s="115"/>
      <c r="S73" s="25">
        <v>45682</v>
      </c>
      <c r="T73" s="15" t="s">
        <v>148</v>
      </c>
      <c r="Y73" s="117"/>
      <c r="Z73" s="123"/>
      <c r="AA73" s="123"/>
      <c r="AB73" s="123"/>
      <c r="AG73" s="115"/>
      <c r="AH73" s="115"/>
      <c r="AI73" s="115"/>
      <c r="AJ73" s="115"/>
      <c r="AK73" s="115"/>
      <c r="AL73" s="115"/>
      <c r="AM73" s="115"/>
      <c r="AN73" s="115"/>
      <c r="AO73" s="115"/>
      <c r="AP73" s="115"/>
      <c r="AQ73" s="13"/>
      <c r="AR73" s="13"/>
      <c r="AU73" s="114"/>
    </row>
    <row r="74" spans="1:47" ht="19.5" x14ac:dyDescent="0.4">
      <c r="A74" s="117"/>
      <c r="B74" s="123"/>
      <c r="C74" s="123"/>
      <c r="D74" s="123"/>
      <c r="H74" s="25">
        <v>45703</v>
      </c>
      <c r="I74" s="13" t="s">
        <v>148</v>
      </c>
      <c r="J74" s="115"/>
      <c r="K74" s="115"/>
      <c r="L74" s="115"/>
      <c r="M74" s="115"/>
      <c r="N74" s="115"/>
      <c r="O74" s="115"/>
      <c r="P74" s="115"/>
      <c r="Q74" s="115"/>
      <c r="R74" s="115"/>
      <c r="S74" s="25">
        <v>45682</v>
      </c>
      <c r="T74" s="105" t="s">
        <v>148</v>
      </c>
      <c r="Y74" s="117"/>
      <c r="Z74" s="123"/>
      <c r="AA74" s="123"/>
      <c r="AB74" s="123"/>
      <c r="AG74" s="115"/>
      <c r="AH74" s="115"/>
      <c r="AI74" s="115"/>
      <c r="AJ74" s="115"/>
      <c r="AK74" s="115"/>
      <c r="AL74" s="115"/>
      <c r="AM74" s="115"/>
      <c r="AN74" s="115"/>
      <c r="AO74" s="115"/>
      <c r="AP74" s="115"/>
      <c r="AQ74" s="13"/>
      <c r="AR74" s="13"/>
      <c r="AU74" s="114"/>
    </row>
    <row r="75" spans="1:47" ht="19.5" x14ac:dyDescent="0.4">
      <c r="A75" s="117"/>
      <c r="B75" s="123"/>
      <c r="C75" s="123"/>
      <c r="D75" s="123"/>
      <c r="H75" s="25">
        <v>45703</v>
      </c>
      <c r="I75" s="13" t="s">
        <v>146</v>
      </c>
      <c r="J75" s="115"/>
      <c r="K75" s="115"/>
      <c r="L75" s="115"/>
      <c r="M75" s="115"/>
      <c r="N75" s="115"/>
      <c r="O75" s="115"/>
      <c r="P75" s="115"/>
      <c r="Q75" s="115"/>
      <c r="R75" s="115"/>
      <c r="S75" s="25">
        <v>45682</v>
      </c>
      <c r="T75" s="105" t="s">
        <v>146</v>
      </c>
      <c r="Y75" s="117"/>
      <c r="Z75" s="123"/>
      <c r="AA75" s="123"/>
      <c r="AB75" s="123"/>
      <c r="AG75" s="115"/>
      <c r="AH75" s="115"/>
      <c r="AI75" s="115"/>
      <c r="AJ75" s="115"/>
      <c r="AK75" s="115"/>
      <c r="AL75" s="115"/>
      <c r="AM75" s="115"/>
      <c r="AN75" s="115"/>
      <c r="AO75" s="115"/>
      <c r="AP75" s="115"/>
      <c r="AQ75" s="13"/>
      <c r="AR75" s="13"/>
      <c r="AU75" s="114"/>
    </row>
    <row r="76" spans="1:47" ht="19.5" x14ac:dyDescent="0.4">
      <c r="A76" s="117"/>
      <c r="B76" s="123"/>
      <c r="C76" s="123"/>
      <c r="D76" s="123"/>
      <c r="F76" s="115"/>
      <c r="G76" s="115"/>
      <c r="H76" s="25">
        <v>45703</v>
      </c>
      <c r="I76" s="13" t="s">
        <v>146</v>
      </c>
      <c r="J76" s="115"/>
      <c r="K76" s="115"/>
      <c r="L76" s="115"/>
      <c r="M76" s="115"/>
      <c r="N76" s="115"/>
      <c r="O76" s="115"/>
      <c r="P76" s="115"/>
      <c r="Q76" s="115"/>
      <c r="R76" s="115"/>
      <c r="S76" s="25">
        <v>45682</v>
      </c>
      <c r="T76" s="15" t="s">
        <v>146</v>
      </c>
      <c r="Y76" s="117"/>
      <c r="Z76" s="123"/>
      <c r="AA76" s="123"/>
      <c r="AB76" s="123"/>
      <c r="AG76" s="115"/>
      <c r="AH76" s="115"/>
      <c r="AI76" s="115"/>
      <c r="AJ76" s="115"/>
      <c r="AK76" s="115"/>
      <c r="AL76" s="115"/>
      <c r="AM76" s="115"/>
      <c r="AN76" s="115"/>
      <c r="AO76" s="115"/>
      <c r="AP76" s="115"/>
      <c r="AQ76" s="13"/>
      <c r="AR76" s="13"/>
      <c r="AU76" s="114"/>
    </row>
    <row r="77" spans="1:47" ht="19.5" x14ac:dyDescent="0.4">
      <c r="A77" s="117"/>
      <c r="B77" s="123"/>
      <c r="C77" s="123"/>
      <c r="D77" s="123"/>
      <c r="F77" s="115"/>
      <c r="G77" s="115"/>
      <c r="H77" s="25">
        <v>45703</v>
      </c>
      <c r="I77" s="13" t="s">
        <v>146</v>
      </c>
      <c r="J77" s="115"/>
      <c r="K77" s="115"/>
      <c r="L77" s="115"/>
      <c r="M77" s="115"/>
      <c r="N77" s="115"/>
      <c r="O77" s="115"/>
      <c r="P77" s="115"/>
      <c r="Q77" s="115"/>
      <c r="R77" s="115"/>
      <c r="S77" s="25">
        <v>45683</v>
      </c>
      <c r="T77" s="13" t="s">
        <v>147</v>
      </c>
      <c r="Y77" s="117"/>
      <c r="Z77" s="123"/>
      <c r="AA77" s="123"/>
      <c r="AB77" s="123"/>
      <c r="AG77" s="115"/>
      <c r="AH77" s="115"/>
      <c r="AI77" s="115"/>
      <c r="AJ77" s="115"/>
      <c r="AK77" s="115"/>
      <c r="AL77" s="115"/>
      <c r="AM77" s="115"/>
      <c r="AN77" s="115"/>
      <c r="AO77" s="115"/>
      <c r="AP77" s="115"/>
      <c r="AQ77" s="13"/>
      <c r="AR77" s="13"/>
      <c r="AU77" s="114"/>
    </row>
    <row r="78" spans="1:47" ht="19.5" x14ac:dyDescent="0.4">
      <c r="A78" s="117"/>
      <c r="B78" s="123"/>
      <c r="C78" s="123"/>
      <c r="D78" s="123"/>
      <c r="F78" s="115"/>
      <c r="G78" s="115"/>
      <c r="H78" s="25">
        <v>45703</v>
      </c>
      <c r="I78" s="13" t="s">
        <v>148</v>
      </c>
      <c r="J78" s="115"/>
      <c r="K78" s="115"/>
      <c r="L78" s="115"/>
      <c r="M78" s="115"/>
      <c r="N78" s="115"/>
      <c r="O78" s="115"/>
      <c r="P78" s="115"/>
      <c r="Q78" s="115"/>
      <c r="R78" s="115"/>
      <c r="S78" s="25">
        <v>45683</v>
      </c>
      <c r="T78" s="13" t="s">
        <v>147</v>
      </c>
      <c r="Y78" s="117"/>
      <c r="Z78" s="123"/>
      <c r="AA78" s="123"/>
      <c r="AB78" s="123"/>
      <c r="AG78" s="115"/>
      <c r="AH78" s="115"/>
      <c r="AI78" s="115"/>
      <c r="AJ78" s="115"/>
      <c r="AK78" s="115"/>
      <c r="AL78" s="115"/>
      <c r="AM78" s="115"/>
      <c r="AN78" s="115"/>
      <c r="AO78" s="115"/>
      <c r="AP78" s="115"/>
      <c r="AQ78" s="13"/>
      <c r="AR78" s="13"/>
      <c r="AU78" s="114"/>
    </row>
    <row r="79" spans="1:47" ht="19.5" x14ac:dyDescent="0.4">
      <c r="A79" s="117"/>
      <c r="B79" s="123"/>
      <c r="C79" s="123"/>
      <c r="D79" s="123"/>
      <c r="F79" s="115"/>
      <c r="G79" s="115"/>
      <c r="H79" s="25">
        <v>45703</v>
      </c>
      <c r="I79" s="13" t="s">
        <v>146</v>
      </c>
      <c r="J79" s="115"/>
      <c r="K79" s="115"/>
      <c r="L79" s="115"/>
      <c r="M79" s="115"/>
      <c r="N79" s="115"/>
      <c r="O79" s="115"/>
      <c r="P79" s="115"/>
      <c r="Q79" s="115"/>
      <c r="R79" s="115"/>
      <c r="S79" s="25">
        <v>45684</v>
      </c>
      <c r="T79" s="13" t="s">
        <v>146</v>
      </c>
      <c r="Y79" s="117"/>
      <c r="Z79" s="123"/>
      <c r="AA79" s="123"/>
      <c r="AB79" s="123"/>
      <c r="AG79" s="115"/>
      <c r="AH79" s="115"/>
      <c r="AI79" s="115"/>
      <c r="AJ79" s="115"/>
      <c r="AK79" s="115"/>
      <c r="AL79" s="115"/>
      <c r="AM79" s="115"/>
      <c r="AN79" s="115"/>
      <c r="AO79" s="115"/>
      <c r="AP79" s="115"/>
      <c r="AQ79" s="13"/>
      <c r="AR79" s="13"/>
      <c r="AU79" s="114"/>
    </row>
    <row r="80" spans="1:47" ht="19.5" x14ac:dyDescent="0.4">
      <c r="A80" s="117"/>
      <c r="B80" s="123"/>
      <c r="C80" s="123"/>
      <c r="D80" s="123"/>
      <c r="F80" s="115"/>
      <c r="G80" s="115"/>
      <c r="H80" s="25">
        <v>45703</v>
      </c>
      <c r="I80" s="13" t="s">
        <v>146</v>
      </c>
      <c r="J80" s="115"/>
      <c r="K80" s="115"/>
      <c r="L80" s="115"/>
      <c r="M80" s="115"/>
      <c r="N80" s="115"/>
      <c r="O80" s="115"/>
      <c r="P80" s="115"/>
      <c r="Q80" s="115"/>
      <c r="R80" s="115"/>
      <c r="S80" s="25">
        <v>45684</v>
      </c>
      <c r="T80" s="13" t="s">
        <v>148</v>
      </c>
      <c r="Y80" s="117"/>
      <c r="Z80" s="123"/>
      <c r="AA80" s="123"/>
      <c r="AB80" s="123"/>
      <c r="AG80" s="115"/>
      <c r="AH80" s="115"/>
      <c r="AI80" s="115"/>
      <c r="AJ80" s="115"/>
      <c r="AK80" s="115"/>
      <c r="AL80" s="115"/>
      <c r="AM80" s="115"/>
      <c r="AN80" s="115"/>
      <c r="AO80" s="115"/>
      <c r="AP80" s="115"/>
      <c r="AQ80" s="13"/>
      <c r="AR80" s="13"/>
      <c r="AU80" s="114"/>
    </row>
    <row r="81" spans="1:47" ht="19.5" x14ac:dyDescent="0.4">
      <c r="A81" s="117"/>
      <c r="B81" s="123"/>
      <c r="C81" s="123"/>
      <c r="D81" s="123"/>
      <c r="F81" s="115"/>
      <c r="G81" s="115" t="s">
        <v>384</v>
      </c>
      <c r="H81" s="13">
        <f>SUBTOTAL(3,H67:H80)</f>
        <v>14</v>
      </c>
      <c r="I81" s="13">
        <f>SUBTOTAL(3,I67:I80)</f>
        <v>14</v>
      </c>
      <c r="J81" s="115"/>
      <c r="K81" s="115"/>
      <c r="L81" s="115"/>
      <c r="M81" s="115"/>
      <c r="N81" s="115"/>
      <c r="O81" s="115"/>
      <c r="P81" s="115"/>
      <c r="Q81" s="115"/>
      <c r="R81" s="115"/>
      <c r="S81" s="25"/>
      <c r="T81" s="13"/>
      <c r="Y81" s="117"/>
      <c r="Z81" s="123"/>
      <c r="AA81" s="123"/>
      <c r="AB81" s="123"/>
      <c r="AG81" s="115"/>
      <c r="AH81" s="115"/>
      <c r="AI81" s="115"/>
      <c r="AJ81" s="115"/>
      <c r="AK81" s="115"/>
      <c r="AL81" s="115"/>
      <c r="AM81" s="115"/>
      <c r="AN81" s="115"/>
      <c r="AO81" s="115"/>
      <c r="AP81" s="115"/>
      <c r="AQ81" s="13"/>
      <c r="AR81" s="13"/>
      <c r="AU81" s="114"/>
    </row>
    <row r="82" spans="1:47" ht="19.5" x14ac:dyDescent="0.4">
      <c r="A82" s="117"/>
      <c r="B82" s="123"/>
      <c r="C82" s="123"/>
      <c r="D82" s="123"/>
      <c r="F82" s="115"/>
      <c r="G82" s="115"/>
      <c r="H82" s="25">
        <v>45704</v>
      </c>
      <c r="I82" s="13" t="s">
        <v>147</v>
      </c>
      <c r="J82" s="115"/>
      <c r="K82" s="115"/>
      <c r="L82" s="115"/>
      <c r="M82" s="115"/>
      <c r="N82" s="115"/>
      <c r="O82" s="115"/>
      <c r="P82" s="115"/>
      <c r="Q82" s="115"/>
      <c r="R82" s="115"/>
      <c r="S82" s="25">
        <v>45684</v>
      </c>
      <c r="T82" s="13" t="s">
        <v>147</v>
      </c>
      <c r="Y82" s="117"/>
      <c r="Z82" s="123"/>
      <c r="AA82" s="123"/>
      <c r="AB82" s="123"/>
      <c r="AG82" s="115"/>
      <c r="AH82" s="115"/>
      <c r="AI82" s="115"/>
      <c r="AJ82" s="115"/>
      <c r="AK82" s="115"/>
      <c r="AL82" s="115"/>
      <c r="AM82" s="115"/>
      <c r="AN82" s="115"/>
      <c r="AO82" s="115"/>
      <c r="AP82" s="115"/>
      <c r="AQ82" s="13"/>
      <c r="AR82" s="13"/>
      <c r="AU82" s="114"/>
    </row>
    <row r="83" spans="1:47" ht="19.5" x14ac:dyDescent="0.4">
      <c r="A83" s="117"/>
      <c r="B83" s="123"/>
      <c r="C83" s="123"/>
      <c r="D83" s="123"/>
      <c r="F83" s="115"/>
      <c r="G83" s="115"/>
      <c r="H83" s="25">
        <v>45704</v>
      </c>
      <c r="I83" s="13" t="s">
        <v>146</v>
      </c>
      <c r="J83" s="115"/>
      <c r="K83" s="115"/>
      <c r="L83" s="115"/>
      <c r="M83" s="115"/>
      <c r="N83" s="115"/>
      <c r="O83" s="115"/>
      <c r="P83" s="115"/>
      <c r="Q83" s="115"/>
      <c r="R83" s="115"/>
      <c r="S83" s="25">
        <v>45684</v>
      </c>
      <c r="T83" s="13" t="s">
        <v>146</v>
      </c>
      <c r="Y83" s="117"/>
      <c r="Z83" s="123"/>
      <c r="AA83" s="123"/>
      <c r="AB83" s="123"/>
      <c r="AG83" s="115"/>
      <c r="AH83" s="115"/>
      <c r="AI83" s="115"/>
      <c r="AJ83" s="115"/>
      <c r="AK83" s="115"/>
      <c r="AL83" s="115"/>
      <c r="AM83" s="115"/>
      <c r="AN83" s="115"/>
      <c r="AO83" s="115"/>
      <c r="AP83" s="115"/>
      <c r="AQ83" s="13"/>
      <c r="AR83" s="13"/>
      <c r="AU83" s="114"/>
    </row>
    <row r="84" spans="1:47" ht="19.5" x14ac:dyDescent="0.4">
      <c r="A84" s="117"/>
      <c r="B84" s="123"/>
      <c r="C84" s="123"/>
      <c r="D84" s="123"/>
      <c r="F84" s="115"/>
      <c r="G84" s="115"/>
      <c r="H84" s="25">
        <v>45704</v>
      </c>
      <c r="I84" s="13" t="s">
        <v>146</v>
      </c>
      <c r="J84" s="115"/>
      <c r="K84" s="115"/>
      <c r="L84" s="115"/>
      <c r="M84" s="115"/>
      <c r="N84" s="115"/>
      <c r="O84" s="115"/>
      <c r="P84" s="115"/>
      <c r="Q84" s="115"/>
      <c r="R84" s="115"/>
      <c r="S84" s="25">
        <v>45684</v>
      </c>
      <c r="T84" s="13" t="s">
        <v>147</v>
      </c>
      <c r="Y84" s="117"/>
      <c r="Z84" s="123"/>
      <c r="AA84" s="123"/>
      <c r="AB84" s="123"/>
      <c r="AG84" s="115"/>
      <c r="AH84" s="115"/>
      <c r="AI84" s="115"/>
      <c r="AJ84" s="115"/>
      <c r="AK84" s="115"/>
      <c r="AL84" s="115"/>
      <c r="AM84" s="115"/>
      <c r="AN84" s="115"/>
      <c r="AO84" s="115"/>
      <c r="AP84" s="115"/>
      <c r="AQ84" s="13"/>
      <c r="AR84" s="13"/>
      <c r="AU84" s="114"/>
    </row>
    <row r="85" spans="1:47" ht="19.5" x14ac:dyDescent="0.4">
      <c r="A85" s="117"/>
      <c r="B85" s="123"/>
      <c r="C85" s="123"/>
      <c r="D85" s="123"/>
      <c r="F85" s="115"/>
      <c r="G85" s="115"/>
      <c r="H85" s="25">
        <v>45704</v>
      </c>
      <c r="I85" s="13" t="s">
        <v>146</v>
      </c>
      <c r="J85" s="115"/>
      <c r="K85" s="115"/>
      <c r="L85" s="115"/>
      <c r="M85" s="115"/>
      <c r="N85" s="115"/>
      <c r="O85" s="115"/>
      <c r="P85" s="115"/>
      <c r="Q85" s="115"/>
      <c r="R85" s="115"/>
      <c r="S85" s="25">
        <v>45684</v>
      </c>
      <c r="T85" s="13" t="s">
        <v>146</v>
      </c>
      <c r="Y85" s="117"/>
      <c r="Z85" s="123"/>
      <c r="AA85" s="123"/>
      <c r="AB85" s="123"/>
      <c r="AG85" s="115"/>
      <c r="AH85" s="115"/>
      <c r="AI85" s="115"/>
      <c r="AJ85" s="115"/>
      <c r="AK85" s="115"/>
      <c r="AL85" s="115"/>
      <c r="AM85" s="115"/>
      <c r="AN85" s="115"/>
      <c r="AO85" s="115"/>
      <c r="AP85" s="115"/>
      <c r="AQ85" s="13"/>
      <c r="AR85" s="13"/>
      <c r="AU85" s="114"/>
    </row>
    <row r="86" spans="1:47" ht="19.5" x14ac:dyDescent="0.4">
      <c r="A86" s="117"/>
      <c r="B86" s="123"/>
      <c r="C86" s="123"/>
      <c r="D86" s="123"/>
      <c r="F86" s="115"/>
      <c r="G86" s="115"/>
      <c r="H86" s="25">
        <v>45704</v>
      </c>
      <c r="I86" s="25" t="s">
        <v>146</v>
      </c>
      <c r="J86" s="115"/>
      <c r="K86" s="115"/>
      <c r="L86" s="115"/>
      <c r="M86" s="115"/>
      <c r="N86" s="115"/>
      <c r="O86" s="115"/>
      <c r="P86" s="115"/>
      <c r="Q86" s="115"/>
      <c r="R86" s="115"/>
      <c r="S86" s="25">
        <v>45684</v>
      </c>
      <c r="T86" s="13" t="s">
        <v>146</v>
      </c>
      <c r="Y86" s="117"/>
      <c r="Z86" s="123"/>
      <c r="AA86" s="123"/>
      <c r="AB86" s="123"/>
      <c r="AG86" s="115"/>
      <c r="AH86" s="115"/>
      <c r="AI86" s="115"/>
      <c r="AJ86" s="115"/>
      <c r="AK86" s="115"/>
      <c r="AL86" s="115"/>
      <c r="AM86" s="115"/>
      <c r="AN86" s="115"/>
      <c r="AO86" s="115"/>
      <c r="AP86" s="115"/>
      <c r="AQ86" s="13"/>
      <c r="AR86" s="13"/>
      <c r="AU86" s="114"/>
    </row>
    <row r="87" spans="1:47" ht="19.5" x14ac:dyDescent="0.4">
      <c r="A87" s="117"/>
      <c r="B87" s="123"/>
      <c r="C87" s="123"/>
      <c r="D87" s="123"/>
      <c r="F87" s="115"/>
      <c r="G87" s="115"/>
      <c r="H87" s="25">
        <v>45704</v>
      </c>
      <c r="I87" s="25" t="s">
        <v>146</v>
      </c>
      <c r="J87" s="115"/>
      <c r="K87" s="115"/>
      <c r="L87" s="115"/>
      <c r="M87" s="115"/>
      <c r="N87" s="115"/>
      <c r="O87" s="115"/>
      <c r="P87" s="115"/>
      <c r="Q87" s="115"/>
      <c r="R87" s="115"/>
      <c r="S87" s="25">
        <v>45684</v>
      </c>
      <c r="T87" s="13" t="s">
        <v>147</v>
      </c>
      <c r="Y87" s="117"/>
      <c r="Z87" s="123"/>
      <c r="AA87" s="123"/>
      <c r="AB87" s="123"/>
      <c r="AG87" s="115"/>
      <c r="AH87" s="115"/>
      <c r="AI87" s="115"/>
      <c r="AJ87" s="115"/>
      <c r="AK87" s="115"/>
      <c r="AL87" s="115"/>
      <c r="AM87" s="115"/>
      <c r="AN87" s="115"/>
      <c r="AO87" s="115"/>
      <c r="AP87" s="115"/>
      <c r="AQ87" s="13"/>
      <c r="AR87" s="13"/>
      <c r="AU87" s="114"/>
    </row>
    <row r="88" spans="1:47" ht="19.5" x14ac:dyDescent="0.4">
      <c r="A88" s="117"/>
      <c r="B88" s="123"/>
      <c r="C88" s="123"/>
      <c r="D88" s="123"/>
      <c r="H88" s="25">
        <v>45704</v>
      </c>
      <c r="I88" s="25" t="s">
        <v>146</v>
      </c>
      <c r="S88" s="25">
        <v>45685</v>
      </c>
      <c r="T88" s="13" t="s">
        <v>146</v>
      </c>
      <c r="Y88" s="117"/>
      <c r="Z88" s="123"/>
      <c r="AA88" s="123"/>
      <c r="AB88" s="123"/>
      <c r="AG88" s="115"/>
      <c r="AH88" s="115"/>
      <c r="AI88" s="115"/>
      <c r="AJ88" s="115"/>
      <c r="AK88" s="115"/>
      <c r="AL88" s="115"/>
      <c r="AM88" s="115"/>
      <c r="AN88" s="115"/>
      <c r="AO88" s="115"/>
      <c r="AP88" s="115"/>
      <c r="AQ88" s="25">
        <v>45263</v>
      </c>
      <c r="AR88" s="13" t="s">
        <v>162</v>
      </c>
      <c r="AU88" s="114"/>
    </row>
    <row r="89" spans="1:47" ht="19.5" x14ac:dyDescent="0.4">
      <c r="A89" s="117"/>
      <c r="B89" s="123"/>
      <c r="C89" s="123"/>
      <c r="D89" s="123"/>
      <c r="H89" s="25">
        <v>45704</v>
      </c>
      <c r="I89" s="25" t="s">
        <v>146</v>
      </c>
      <c r="P89" s="115"/>
      <c r="Q89" s="115"/>
      <c r="R89" s="115"/>
      <c r="S89" s="25">
        <v>45685</v>
      </c>
      <c r="T89" s="13" t="s">
        <v>147</v>
      </c>
      <c r="Y89" s="117"/>
      <c r="Z89" s="123"/>
      <c r="AA89" s="123"/>
      <c r="AB89" s="123"/>
      <c r="AG89" s="115"/>
      <c r="AH89" s="115"/>
      <c r="AI89" s="115"/>
      <c r="AJ89" s="115"/>
      <c r="AK89" s="115"/>
      <c r="AL89" s="115"/>
      <c r="AM89" s="115"/>
      <c r="AN89" s="115"/>
      <c r="AO89" s="115"/>
      <c r="AP89" s="115"/>
      <c r="AQ89" s="25"/>
      <c r="AR89" s="13"/>
      <c r="AU89" s="114"/>
    </row>
    <row r="90" spans="1:47" ht="19.5" x14ac:dyDescent="0.4">
      <c r="A90" s="117"/>
      <c r="B90" s="123"/>
      <c r="C90" s="123"/>
      <c r="D90" s="123"/>
      <c r="H90" s="25">
        <v>45704</v>
      </c>
      <c r="I90" s="25" t="s">
        <v>146</v>
      </c>
      <c r="J90" s="115"/>
      <c r="K90" s="115"/>
      <c r="L90" s="115"/>
      <c r="M90" s="115"/>
      <c r="N90" s="115"/>
      <c r="O90" s="115"/>
      <c r="P90" s="115"/>
      <c r="Q90" s="115"/>
      <c r="R90" s="115"/>
      <c r="S90" s="25">
        <v>45685</v>
      </c>
      <c r="T90" s="13" t="s">
        <v>147</v>
      </c>
      <c r="Y90" s="117"/>
      <c r="Z90" s="123"/>
      <c r="AA90" s="123"/>
      <c r="AB90" s="123"/>
      <c r="AG90" s="115"/>
      <c r="AH90" s="115"/>
      <c r="AI90" s="115"/>
      <c r="AJ90" s="115"/>
      <c r="AK90" s="115"/>
      <c r="AL90" s="115"/>
      <c r="AM90" s="115"/>
      <c r="AN90" s="115"/>
      <c r="AO90" s="115"/>
      <c r="AP90" s="115"/>
      <c r="AQ90" s="25"/>
      <c r="AR90" s="13"/>
      <c r="AU90" s="114"/>
    </row>
    <row r="91" spans="1:47" ht="19.5" x14ac:dyDescent="0.4">
      <c r="A91" s="117"/>
      <c r="B91" s="123"/>
      <c r="C91" s="123"/>
      <c r="D91" s="123"/>
      <c r="H91" s="25">
        <v>45704</v>
      </c>
      <c r="I91" s="25" t="s">
        <v>146</v>
      </c>
      <c r="J91" s="115"/>
      <c r="K91" s="115"/>
      <c r="L91" s="115"/>
      <c r="M91" s="115"/>
      <c r="N91" s="115"/>
      <c r="O91" s="115"/>
      <c r="P91" s="115"/>
      <c r="Q91" s="115"/>
      <c r="R91" s="115"/>
      <c r="S91" s="25">
        <v>45685</v>
      </c>
      <c r="T91" s="13" t="s">
        <v>148</v>
      </c>
      <c r="Y91" s="117"/>
      <c r="Z91" s="123"/>
      <c r="AA91" s="123"/>
      <c r="AB91" s="123"/>
      <c r="AG91" s="115"/>
      <c r="AH91" s="115"/>
      <c r="AI91" s="115"/>
      <c r="AJ91" s="115"/>
      <c r="AK91" s="115"/>
      <c r="AL91" s="115"/>
      <c r="AM91" s="115"/>
      <c r="AN91" s="115"/>
      <c r="AO91" s="115"/>
      <c r="AP91" s="115"/>
      <c r="AQ91" s="25"/>
      <c r="AR91" s="13"/>
      <c r="AU91" s="114"/>
    </row>
    <row r="92" spans="1:47" ht="19.5" x14ac:dyDescent="0.4">
      <c r="A92" s="117"/>
      <c r="B92" s="123"/>
      <c r="C92" s="123"/>
      <c r="D92" s="123"/>
      <c r="H92" s="25">
        <v>45704</v>
      </c>
      <c r="I92" s="13" t="s">
        <v>146</v>
      </c>
      <c r="J92" s="115"/>
      <c r="K92" s="115"/>
      <c r="L92" s="115"/>
      <c r="M92" s="115"/>
      <c r="N92" s="115"/>
      <c r="O92" s="115"/>
      <c r="P92" s="115"/>
      <c r="Q92" s="115"/>
      <c r="R92" s="115"/>
      <c r="S92" s="25">
        <v>45685</v>
      </c>
      <c r="T92" s="13" t="s">
        <v>148</v>
      </c>
      <c r="Y92" s="117"/>
      <c r="Z92" s="123"/>
      <c r="AA92" s="123"/>
      <c r="AB92" s="123"/>
      <c r="AG92" s="115"/>
      <c r="AH92" s="115"/>
      <c r="AI92" s="115"/>
      <c r="AJ92" s="115"/>
      <c r="AK92" s="115"/>
      <c r="AL92" s="115"/>
      <c r="AM92" s="115"/>
      <c r="AN92" s="115"/>
      <c r="AO92" s="115"/>
      <c r="AP92" s="115"/>
      <c r="AQ92" s="25"/>
      <c r="AR92" s="13"/>
      <c r="AU92" s="114"/>
    </row>
    <row r="93" spans="1:47" ht="19.5" x14ac:dyDescent="0.4">
      <c r="A93" s="117"/>
      <c r="B93" s="123"/>
      <c r="C93" s="123"/>
      <c r="D93" s="123"/>
      <c r="H93" s="25">
        <v>45704</v>
      </c>
      <c r="I93" s="13" t="s">
        <v>146</v>
      </c>
      <c r="J93" s="115"/>
      <c r="K93" s="115"/>
      <c r="L93" s="115"/>
      <c r="M93" s="115"/>
      <c r="N93" s="115"/>
      <c r="O93" s="115"/>
      <c r="P93" s="115"/>
      <c r="Q93" s="115"/>
      <c r="R93" s="115"/>
      <c r="S93" s="25">
        <v>45685</v>
      </c>
      <c r="T93" s="13" t="s">
        <v>148</v>
      </c>
      <c r="Y93" s="117"/>
      <c r="Z93" s="123"/>
      <c r="AA93" s="123"/>
      <c r="AB93" s="123"/>
      <c r="AG93" s="115"/>
      <c r="AH93" s="115"/>
      <c r="AI93" s="115"/>
      <c r="AJ93" s="115"/>
      <c r="AK93" s="115"/>
      <c r="AL93" s="115"/>
      <c r="AM93" s="115"/>
      <c r="AN93" s="115"/>
      <c r="AO93" s="115"/>
      <c r="AP93" s="115"/>
      <c r="AQ93" s="25"/>
      <c r="AR93" s="13"/>
      <c r="AU93" s="114"/>
    </row>
    <row r="94" spans="1:47" ht="19.5" x14ac:dyDescent="0.4">
      <c r="A94" s="117"/>
      <c r="B94" s="123"/>
      <c r="C94" s="123"/>
      <c r="D94" s="123"/>
      <c r="H94" s="25">
        <v>45704</v>
      </c>
      <c r="I94" s="13" t="s">
        <v>146</v>
      </c>
      <c r="J94" s="115"/>
      <c r="K94" s="115"/>
      <c r="L94" s="115"/>
      <c r="M94" s="115"/>
      <c r="N94" s="115"/>
      <c r="O94" s="115"/>
      <c r="P94" s="115"/>
      <c r="Q94" s="115"/>
      <c r="R94" s="115"/>
      <c r="S94" s="25">
        <v>45685</v>
      </c>
      <c r="T94" s="13" t="s">
        <v>148</v>
      </c>
      <c r="Y94" s="117"/>
      <c r="Z94" s="123"/>
      <c r="AA94" s="123"/>
      <c r="AB94" s="123"/>
      <c r="AG94" s="115"/>
      <c r="AH94" s="115"/>
      <c r="AI94" s="115"/>
      <c r="AJ94" s="115"/>
      <c r="AK94" s="115"/>
      <c r="AL94" s="115"/>
      <c r="AM94" s="115"/>
      <c r="AN94" s="115"/>
      <c r="AO94" s="115"/>
      <c r="AP94" s="115"/>
      <c r="AQ94" s="25"/>
      <c r="AR94" s="13"/>
      <c r="AU94" s="114"/>
    </row>
    <row r="95" spans="1:47" ht="19.5" x14ac:dyDescent="0.4">
      <c r="A95" s="117"/>
      <c r="B95" s="123"/>
      <c r="C95" s="123"/>
      <c r="D95" s="123"/>
      <c r="H95" s="25">
        <v>45704</v>
      </c>
      <c r="I95" s="13" t="s">
        <v>147</v>
      </c>
      <c r="J95" s="115"/>
      <c r="K95" s="115"/>
      <c r="L95" s="115"/>
      <c r="M95" s="115"/>
      <c r="N95" s="115"/>
      <c r="O95" s="115"/>
      <c r="P95" s="115"/>
      <c r="Q95" s="115"/>
      <c r="R95" s="115"/>
      <c r="S95" s="25">
        <v>45685</v>
      </c>
      <c r="T95" s="13" t="s">
        <v>146</v>
      </c>
      <c r="Y95" s="117"/>
      <c r="Z95" s="123"/>
      <c r="AA95" s="123"/>
      <c r="AB95" s="123"/>
      <c r="AG95" s="115"/>
      <c r="AH95" s="115"/>
      <c r="AI95" s="115"/>
      <c r="AJ95" s="115"/>
      <c r="AK95" s="115"/>
      <c r="AL95" s="115"/>
      <c r="AM95" s="115"/>
      <c r="AN95" s="115"/>
      <c r="AO95" s="115"/>
      <c r="AP95" s="115"/>
      <c r="AQ95" s="25"/>
      <c r="AR95" s="13"/>
      <c r="AU95" s="114"/>
    </row>
    <row r="96" spans="1:47" ht="19.5" x14ac:dyDescent="0.4">
      <c r="A96" s="117"/>
      <c r="B96" s="123"/>
      <c r="C96" s="123"/>
      <c r="D96" s="123"/>
      <c r="H96" s="25">
        <v>45704</v>
      </c>
      <c r="I96" s="13" t="s">
        <v>146</v>
      </c>
      <c r="S96" s="25">
        <v>45685</v>
      </c>
      <c r="T96" s="13" t="s">
        <v>148</v>
      </c>
      <c r="Y96" s="117"/>
      <c r="Z96" s="123"/>
      <c r="AA96" s="123"/>
      <c r="AB96" s="123"/>
      <c r="AG96" s="115"/>
      <c r="AH96" s="115"/>
      <c r="AI96" s="115"/>
      <c r="AJ96" s="115"/>
      <c r="AK96" s="115"/>
      <c r="AL96" s="115"/>
      <c r="AM96" s="115"/>
      <c r="AN96" s="115"/>
      <c r="AO96" s="115"/>
      <c r="AP96" s="115" t="s">
        <v>150</v>
      </c>
      <c r="AQ96" s="13">
        <f>SUBTOTAL(3,AQ88:AQ88)</f>
        <v>1</v>
      </c>
      <c r="AR96" s="13">
        <f>SUBTOTAL(3,AR88:AR88)</f>
        <v>1</v>
      </c>
      <c r="AU96" s="114"/>
    </row>
    <row r="97" spans="1:47" ht="19.5" x14ac:dyDescent="0.4">
      <c r="A97" s="117"/>
      <c r="B97" s="123"/>
      <c r="C97" s="123"/>
      <c r="D97" s="123"/>
      <c r="G97" s="115" t="s">
        <v>385</v>
      </c>
      <c r="H97" s="13">
        <f>SUBTOTAL(3,H82:H96)</f>
        <v>15</v>
      </c>
      <c r="I97" s="13">
        <f>SUBTOTAL(3,I82:I96)</f>
        <v>15</v>
      </c>
      <c r="S97" s="25"/>
      <c r="T97" s="13"/>
      <c r="Y97" s="117"/>
      <c r="Z97" s="123"/>
      <c r="AA97" s="123"/>
      <c r="AB97" s="123"/>
      <c r="AG97" s="115"/>
      <c r="AH97" s="115"/>
      <c r="AI97" s="115"/>
      <c r="AJ97" s="115"/>
      <c r="AK97" s="115"/>
      <c r="AL97" s="115"/>
      <c r="AM97" s="115"/>
      <c r="AN97" s="115"/>
      <c r="AO97" s="115"/>
      <c r="AP97" s="115"/>
      <c r="AQ97" s="13"/>
      <c r="AR97" s="13"/>
      <c r="AU97" s="114"/>
    </row>
    <row r="98" spans="1:47" ht="19.5" x14ac:dyDescent="0.4">
      <c r="A98" s="117"/>
      <c r="B98" s="123"/>
      <c r="C98" s="123"/>
      <c r="D98" s="123"/>
      <c r="H98" s="25">
        <v>45705</v>
      </c>
      <c r="I98" s="15" t="s">
        <v>142</v>
      </c>
      <c r="J98" s="115"/>
      <c r="K98" s="115"/>
      <c r="L98" s="115"/>
      <c r="M98" s="115"/>
      <c r="N98" s="115"/>
      <c r="O98" s="115"/>
      <c r="P98" s="115"/>
      <c r="Q98" s="115"/>
      <c r="R98" s="115"/>
      <c r="S98" s="25">
        <v>45685</v>
      </c>
      <c r="T98" s="15" t="s">
        <v>146</v>
      </c>
      <c r="Y98" s="117"/>
      <c r="Z98" s="123"/>
      <c r="AA98" s="123"/>
      <c r="AB98" s="123"/>
      <c r="AG98" s="115"/>
      <c r="AH98" s="115"/>
      <c r="AI98" s="115"/>
      <c r="AJ98" s="115"/>
      <c r="AK98" s="115"/>
      <c r="AL98" s="115"/>
      <c r="AM98" s="115"/>
      <c r="AN98" s="115"/>
      <c r="AO98" s="115"/>
      <c r="AP98" s="115"/>
      <c r="AQ98" s="13"/>
      <c r="AR98" s="13"/>
      <c r="AU98" s="114"/>
    </row>
    <row r="99" spans="1:47" ht="19.5" x14ac:dyDescent="0.4">
      <c r="A99" s="117"/>
      <c r="B99" s="123"/>
      <c r="C99" s="123"/>
      <c r="D99" s="123"/>
      <c r="H99" s="25">
        <v>45705</v>
      </c>
      <c r="I99" s="15" t="s">
        <v>146</v>
      </c>
      <c r="S99" s="25">
        <v>45685</v>
      </c>
      <c r="T99" s="15" t="s">
        <v>146</v>
      </c>
      <c r="Y99" s="117"/>
      <c r="Z99" s="123"/>
      <c r="AA99" s="123"/>
      <c r="AB99" s="123"/>
      <c r="AG99" s="115"/>
      <c r="AH99" s="115"/>
      <c r="AI99" s="115"/>
      <c r="AJ99" s="115"/>
      <c r="AK99" s="115"/>
      <c r="AL99" s="115"/>
      <c r="AM99" s="115"/>
      <c r="AN99" s="115"/>
      <c r="AO99" s="115"/>
      <c r="AP99" s="115"/>
      <c r="AQ99" s="25">
        <v>45264</v>
      </c>
      <c r="AR99" s="13" t="s">
        <v>162</v>
      </c>
      <c r="AU99" s="114"/>
    </row>
    <row r="100" spans="1:47" ht="19.5" x14ac:dyDescent="0.4">
      <c r="A100" s="117"/>
      <c r="B100" s="123"/>
      <c r="C100" s="123"/>
      <c r="D100" s="123"/>
      <c r="H100" s="25">
        <v>45705</v>
      </c>
      <c r="I100" s="15" t="s">
        <v>146</v>
      </c>
      <c r="O100" s="115"/>
      <c r="P100" s="115"/>
      <c r="Q100" s="115"/>
      <c r="R100" s="115"/>
      <c r="S100" s="25">
        <v>45686</v>
      </c>
      <c r="T100" s="15" t="s">
        <v>148</v>
      </c>
      <c r="Y100" s="117"/>
      <c r="Z100" s="123"/>
      <c r="AA100" s="123"/>
      <c r="AB100" s="123"/>
      <c r="AG100" s="115"/>
      <c r="AH100" s="115"/>
      <c r="AI100" s="115"/>
      <c r="AJ100" s="115"/>
      <c r="AK100" s="115"/>
      <c r="AL100" s="115"/>
      <c r="AM100" s="115"/>
      <c r="AN100" s="115"/>
      <c r="AO100" s="115"/>
      <c r="AP100" s="115"/>
      <c r="AQ100" s="25"/>
      <c r="AR100" s="13"/>
      <c r="AU100" s="114"/>
    </row>
    <row r="101" spans="1:47" ht="19.5" x14ac:dyDescent="0.4">
      <c r="A101" s="117"/>
      <c r="B101" s="123"/>
      <c r="C101" s="123"/>
      <c r="D101" s="123"/>
      <c r="H101" s="25">
        <v>45705</v>
      </c>
      <c r="I101" s="13" t="s">
        <v>147</v>
      </c>
      <c r="M101" s="115"/>
      <c r="N101" s="115"/>
      <c r="O101" s="115"/>
      <c r="P101" s="115"/>
      <c r="Q101" s="115"/>
      <c r="R101" s="115"/>
      <c r="S101" s="25">
        <v>45686</v>
      </c>
      <c r="T101" s="15" t="s">
        <v>146</v>
      </c>
      <c r="Y101" s="117"/>
      <c r="Z101" s="123"/>
      <c r="AA101" s="123"/>
      <c r="AB101" s="123"/>
      <c r="AG101" s="115"/>
      <c r="AH101" s="115"/>
      <c r="AI101" s="115"/>
      <c r="AJ101" s="115"/>
      <c r="AK101" s="115"/>
      <c r="AL101" s="115"/>
      <c r="AM101" s="115"/>
      <c r="AN101" s="115"/>
      <c r="AO101" s="115"/>
      <c r="AP101" s="115"/>
      <c r="AQ101" s="25"/>
      <c r="AR101" s="13"/>
      <c r="AU101" s="114"/>
    </row>
    <row r="102" spans="1:47" ht="19.5" x14ac:dyDescent="0.4">
      <c r="A102" s="117"/>
      <c r="B102" s="123"/>
      <c r="C102" s="123"/>
      <c r="D102" s="123"/>
      <c r="H102" s="25">
        <v>45705</v>
      </c>
      <c r="I102" s="13" t="s">
        <v>147</v>
      </c>
      <c r="M102" s="115"/>
      <c r="N102" s="115"/>
      <c r="O102" s="115"/>
      <c r="P102" s="115"/>
      <c r="Q102" s="115"/>
      <c r="R102" s="115"/>
      <c r="S102" s="25">
        <v>45686</v>
      </c>
      <c r="T102" s="15" t="s">
        <v>148</v>
      </c>
      <c r="Y102" s="117"/>
      <c r="Z102" s="123"/>
      <c r="AA102" s="123"/>
      <c r="AB102" s="123"/>
      <c r="AG102" s="115"/>
      <c r="AH102" s="115"/>
      <c r="AI102" s="115"/>
      <c r="AJ102" s="115"/>
      <c r="AK102" s="115"/>
      <c r="AL102" s="115"/>
      <c r="AM102" s="115"/>
      <c r="AN102" s="115"/>
      <c r="AO102" s="115"/>
      <c r="AP102" s="115"/>
      <c r="AQ102" s="25"/>
      <c r="AR102" s="13"/>
      <c r="AU102" s="114"/>
    </row>
    <row r="103" spans="1:47" ht="19.5" x14ac:dyDescent="0.4">
      <c r="A103" s="117"/>
      <c r="B103" s="123"/>
      <c r="C103" s="123"/>
      <c r="D103" s="123"/>
      <c r="H103" s="25">
        <v>45705</v>
      </c>
      <c r="I103" s="13" t="s">
        <v>142</v>
      </c>
      <c r="S103" s="25">
        <v>45686</v>
      </c>
      <c r="T103" s="15" t="s">
        <v>146</v>
      </c>
      <c r="Y103" s="117"/>
      <c r="Z103" s="123"/>
      <c r="AA103" s="123"/>
      <c r="AB103" s="123"/>
      <c r="AG103" s="115"/>
      <c r="AH103" s="115"/>
      <c r="AI103" s="115"/>
      <c r="AJ103" s="115"/>
      <c r="AK103" s="115"/>
      <c r="AL103" s="115"/>
      <c r="AM103" s="115"/>
      <c r="AN103" s="115"/>
      <c r="AO103" s="115"/>
      <c r="AP103" s="115" t="s">
        <v>154</v>
      </c>
      <c r="AQ103" s="13">
        <f>SUBTOTAL(3,AQ99:AQ99)</f>
        <v>1</v>
      </c>
      <c r="AR103" s="13">
        <f>SUBTOTAL(3,AR99:AR99)</f>
        <v>1</v>
      </c>
      <c r="AU103" s="114"/>
    </row>
    <row r="104" spans="1:47" ht="19.5" x14ac:dyDescent="0.4">
      <c r="A104" s="117"/>
      <c r="B104" s="123"/>
      <c r="C104" s="123"/>
      <c r="D104" s="123"/>
      <c r="G104" s="115" t="s">
        <v>386</v>
      </c>
      <c r="H104" s="13">
        <f>SUBTOTAL(3,H98:H103)</f>
        <v>6</v>
      </c>
      <c r="I104" s="13">
        <f>SUBTOTAL(3,I98:I103)</f>
        <v>6</v>
      </c>
      <c r="S104" s="25"/>
      <c r="T104" s="15"/>
      <c r="Y104" s="117"/>
      <c r="Z104" s="123"/>
      <c r="AA104" s="123"/>
      <c r="AB104" s="123"/>
      <c r="AG104" s="115"/>
      <c r="AH104" s="115"/>
      <c r="AI104" s="115"/>
      <c r="AJ104" s="115"/>
      <c r="AK104" s="115"/>
      <c r="AL104" s="115"/>
      <c r="AM104" s="115"/>
      <c r="AN104" s="115"/>
      <c r="AO104" s="115"/>
      <c r="AP104" s="115"/>
      <c r="AQ104" s="13"/>
      <c r="AR104" s="13"/>
      <c r="AU104" s="114"/>
    </row>
    <row r="105" spans="1:47" ht="19.5" x14ac:dyDescent="0.4">
      <c r="A105" s="117"/>
      <c r="B105" s="123"/>
      <c r="C105" s="123"/>
      <c r="D105" s="123"/>
      <c r="H105" s="25">
        <v>45706</v>
      </c>
      <c r="I105" s="13" t="s">
        <v>142</v>
      </c>
      <c r="S105" s="25">
        <v>45686</v>
      </c>
      <c r="T105" s="15" t="s">
        <v>146</v>
      </c>
      <c r="Y105" s="117"/>
      <c r="Z105" s="123"/>
      <c r="AA105" s="123"/>
      <c r="AB105" s="123"/>
      <c r="AG105" s="115"/>
      <c r="AH105" s="115"/>
      <c r="AI105" s="115"/>
      <c r="AJ105" s="115"/>
      <c r="AK105" s="115"/>
      <c r="AL105" s="115"/>
      <c r="AM105" s="115"/>
      <c r="AN105" s="115"/>
      <c r="AO105" s="115"/>
      <c r="AP105" s="115"/>
      <c r="AQ105" s="25">
        <v>45265</v>
      </c>
      <c r="AR105" s="13" t="s">
        <v>162</v>
      </c>
      <c r="AU105" s="114"/>
    </row>
    <row r="106" spans="1:47" ht="19.5" x14ac:dyDescent="0.4">
      <c r="A106" s="117"/>
      <c r="B106" s="123"/>
      <c r="C106" s="123"/>
      <c r="D106" s="123"/>
      <c r="H106" s="25">
        <v>45706</v>
      </c>
      <c r="I106" s="13" t="s">
        <v>142</v>
      </c>
      <c r="S106" s="25">
        <v>45686</v>
      </c>
      <c r="T106" s="15" t="s">
        <v>146</v>
      </c>
      <c r="Y106" s="117"/>
      <c r="Z106" s="123"/>
      <c r="AA106" s="123"/>
      <c r="AB106" s="123"/>
      <c r="AG106" s="115"/>
      <c r="AH106" s="115"/>
      <c r="AI106" s="115"/>
      <c r="AJ106" s="115"/>
      <c r="AK106" s="115"/>
      <c r="AL106" s="115"/>
      <c r="AM106" s="115"/>
      <c r="AN106" s="115"/>
      <c r="AO106" s="115"/>
      <c r="AP106" s="115"/>
      <c r="AQ106" s="25">
        <v>45265</v>
      </c>
      <c r="AR106" s="25" t="s">
        <v>162</v>
      </c>
      <c r="AU106" s="114"/>
    </row>
    <row r="107" spans="1:47" ht="19.5" x14ac:dyDescent="0.4">
      <c r="A107" s="117"/>
      <c r="B107" s="123"/>
      <c r="C107" s="123"/>
      <c r="D107" s="123"/>
      <c r="H107" s="25">
        <v>45706</v>
      </c>
      <c r="I107" s="13" t="s">
        <v>146</v>
      </c>
      <c r="J107" s="115"/>
      <c r="K107" s="115"/>
      <c r="L107" s="115"/>
      <c r="M107" s="115"/>
      <c r="N107" s="115"/>
      <c r="O107" s="115"/>
      <c r="P107" s="115"/>
      <c r="Q107" s="115"/>
      <c r="R107" s="115"/>
      <c r="S107" s="25">
        <v>45686</v>
      </c>
      <c r="T107" s="15" t="s">
        <v>146</v>
      </c>
      <c r="Y107" s="117"/>
      <c r="Z107" s="123"/>
      <c r="AA107" s="123"/>
      <c r="AB107" s="123"/>
      <c r="AG107" s="115"/>
      <c r="AH107" s="115"/>
      <c r="AI107" s="115"/>
      <c r="AJ107" s="115"/>
      <c r="AK107" s="115"/>
      <c r="AL107" s="115"/>
      <c r="AM107" s="115"/>
      <c r="AN107" s="115"/>
      <c r="AO107" s="115"/>
      <c r="AP107" s="115"/>
      <c r="AQ107" s="25"/>
      <c r="AR107" s="25"/>
      <c r="AU107" s="114"/>
    </row>
    <row r="108" spans="1:47" ht="19.5" x14ac:dyDescent="0.4">
      <c r="A108" s="117"/>
      <c r="B108" s="123"/>
      <c r="C108" s="123"/>
      <c r="D108" s="123"/>
      <c r="H108" s="25">
        <v>45706</v>
      </c>
      <c r="I108" s="15" t="s">
        <v>147</v>
      </c>
      <c r="S108" s="25">
        <v>45686</v>
      </c>
      <c r="T108" s="13" t="s">
        <v>146</v>
      </c>
      <c r="Y108" s="117"/>
      <c r="Z108" s="123"/>
      <c r="AA108" s="123"/>
      <c r="AB108" s="123"/>
      <c r="AG108" s="115"/>
      <c r="AH108" s="115"/>
      <c r="AI108" s="115"/>
      <c r="AJ108" s="115"/>
      <c r="AK108" s="115"/>
      <c r="AL108" s="115"/>
      <c r="AM108" s="115"/>
      <c r="AN108" s="115"/>
      <c r="AO108" s="115"/>
      <c r="AP108" s="115"/>
      <c r="AQ108" s="25">
        <v>45265</v>
      </c>
      <c r="AR108" s="13" t="s">
        <v>162</v>
      </c>
      <c r="AU108" s="114"/>
    </row>
    <row r="109" spans="1:47" ht="19.5" x14ac:dyDescent="0.4">
      <c r="A109" s="117"/>
      <c r="B109" s="123"/>
      <c r="C109" s="123"/>
      <c r="D109" s="123"/>
      <c r="H109" s="25">
        <v>45706</v>
      </c>
      <c r="I109" s="15" t="s">
        <v>146</v>
      </c>
      <c r="O109" s="115"/>
      <c r="P109" s="115"/>
      <c r="Q109" s="115"/>
      <c r="R109" s="115"/>
      <c r="S109" s="25">
        <v>45686</v>
      </c>
      <c r="T109" s="15" t="s">
        <v>146</v>
      </c>
      <c r="Y109" s="117"/>
      <c r="Z109" s="123"/>
      <c r="AA109" s="123"/>
      <c r="AB109" s="123"/>
      <c r="AG109" s="115"/>
      <c r="AH109" s="115"/>
      <c r="AI109" s="115"/>
      <c r="AJ109" s="115"/>
      <c r="AK109" s="115"/>
      <c r="AL109" s="115"/>
      <c r="AM109" s="115"/>
      <c r="AN109" s="115"/>
      <c r="AO109" s="115"/>
      <c r="AP109" s="115"/>
      <c r="AQ109" s="25"/>
      <c r="AR109" s="13"/>
      <c r="AU109" s="114"/>
    </row>
    <row r="110" spans="1:47" ht="19.5" x14ac:dyDescent="0.4">
      <c r="A110" s="117"/>
      <c r="B110" s="123"/>
      <c r="C110" s="123"/>
      <c r="D110" s="123"/>
      <c r="H110" s="25">
        <v>45706</v>
      </c>
      <c r="I110" s="15" t="s">
        <v>148</v>
      </c>
      <c r="S110" s="25">
        <v>45686</v>
      </c>
      <c r="T110" s="15" t="s">
        <v>147</v>
      </c>
      <c r="Y110" s="117"/>
      <c r="Z110" s="123"/>
      <c r="AA110" s="123"/>
      <c r="AB110" s="123"/>
      <c r="AG110" s="115"/>
      <c r="AH110" s="115"/>
      <c r="AI110" s="115"/>
      <c r="AJ110" s="115"/>
      <c r="AK110" s="115"/>
      <c r="AL110" s="115"/>
      <c r="AM110" s="115"/>
      <c r="AN110" s="115"/>
      <c r="AO110" s="115"/>
      <c r="AP110" s="115"/>
      <c r="AQ110" s="25">
        <v>45265</v>
      </c>
      <c r="AR110" s="13" t="s">
        <v>162</v>
      </c>
      <c r="AU110" s="114"/>
    </row>
    <row r="111" spans="1:47" ht="19.5" x14ac:dyDescent="0.4">
      <c r="A111" s="117"/>
      <c r="B111" s="123"/>
      <c r="C111" s="123"/>
      <c r="D111" s="123"/>
      <c r="H111" s="25">
        <v>45706</v>
      </c>
      <c r="I111" s="15" t="s">
        <v>146</v>
      </c>
      <c r="P111" s="115"/>
      <c r="Q111" s="115"/>
      <c r="R111" s="115"/>
      <c r="S111" s="25">
        <v>45686</v>
      </c>
      <c r="T111" s="15" t="s">
        <v>147</v>
      </c>
      <c r="Y111" s="117"/>
      <c r="Z111" s="123"/>
      <c r="AA111" s="123"/>
      <c r="AB111" s="123"/>
      <c r="AG111" s="115"/>
      <c r="AH111" s="115"/>
      <c r="AI111" s="115"/>
      <c r="AJ111" s="115"/>
      <c r="AK111" s="115"/>
      <c r="AL111" s="115"/>
      <c r="AM111" s="115"/>
      <c r="AN111" s="115"/>
      <c r="AO111" s="115"/>
      <c r="AP111" s="115"/>
      <c r="AQ111" s="25"/>
      <c r="AR111" s="13"/>
      <c r="AU111" s="114"/>
    </row>
    <row r="112" spans="1:47" ht="19.5" x14ac:dyDescent="0.4">
      <c r="A112" s="117"/>
      <c r="B112" s="123"/>
      <c r="C112" s="123"/>
      <c r="D112" s="123"/>
      <c r="H112" s="25">
        <v>45706</v>
      </c>
      <c r="I112" s="15" t="s">
        <v>148</v>
      </c>
      <c r="J112" s="115"/>
      <c r="K112" s="115"/>
      <c r="L112" s="115"/>
      <c r="M112" s="115"/>
      <c r="N112" s="115"/>
      <c r="O112" s="115"/>
      <c r="P112" s="115"/>
      <c r="Q112" s="115"/>
      <c r="R112" s="115"/>
      <c r="S112" s="25">
        <v>45686</v>
      </c>
      <c r="T112" s="13" t="s">
        <v>146</v>
      </c>
      <c r="Y112" s="117"/>
      <c r="Z112" s="123"/>
      <c r="AA112" s="123"/>
      <c r="AB112" s="123"/>
      <c r="AG112" s="115"/>
      <c r="AH112" s="115"/>
      <c r="AI112" s="115"/>
      <c r="AJ112" s="115"/>
      <c r="AK112" s="115"/>
      <c r="AL112" s="115"/>
      <c r="AM112" s="115"/>
      <c r="AN112" s="115"/>
      <c r="AO112" s="115"/>
      <c r="AP112" s="115"/>
      <c r="AQ112" s="25"/>
      <c r="AR112" s="13"/>
      <c r="AU112" s="114"/>
    </row>
    <row r="113" spans="1:47" ht="19.5" x14ac:dyDescent="0.4">
      <c r="A113" s="117"/>
      <c r="B113" s="123"/>
      <c r="C113" s="123"/>
      <c r="D113" s="123"/>
      <c r="H113" s="25">
        <v>45706</v>
      </c>
      <c r="I113" s="15" t="s">
        <v>146</v>
      </c>
      <c r="S113" s="25">
        <v>45686</v>
      </c>
      <c r="T113" s="25" t="s">
        <v>146</v>
      </c>
      <c r="Y113" s="117"/>
      <c r="Z113" s="123"/>
      <c r="AA113" s="123"/>
      <c r="AB113" s="123"/>
      <c r="AG113" s="115"/>
      <c r="AH113" s="115"/>
      <c r="AI113" s="115"/>
      <c r="AJ113" s="115"/>
      <c r="AK113" s="115"/>
      <c r="AL113" s="115"/>
      <c r="AM113" s="115"/>
      <c r="AN113" s="115"/>
      <c r="AO113" s="115"/>
      <c r="AP113" s="115"/>
      <c r="AQ113" s="25">
        <v>45265</v>
      </c>
      <c r="AR113" s="13" t="s">
        <v>163</v>
      </c>
      <c r="AU113" s="114"/>
    </row>
    <row r="114" spans="1:47" ht="19.5" x14ac:dyDescent="0.4">
      <c r="A114" s="117"/>
      <c r="B114" s="123"/>
      <c r="C114" s="123"/>
      <c r="D114" s="123"/>
      <c r="H114" s="25">
        <v>45706</v>
      </c>
      <c r="I114" s="15" t="s">
        <v>147</v>
      </c>
      <c r="S114" s="25">
        <v>45686</v>
      </c>
      <c r="T114" s="25" t="s">
        <v>147</v>
      </c>
      <c r="Y114" s="117"/>
      <c r="Z114" s="123"/>
      <c r="AA114" s="123"/>
      <c r="AB114" s="123"/>
      <c r="AG114" s="115"/>
      <c r="AH114" s="115"/>
      <c r="AI114" s="115"/>
      <c r="AJ114" s="115"/>
      <c r="AK114" s="115"/>
      <c r="AL114" s="115"/>
      <c r="AM114" s="115"/>
      <c r="AN114" s="115"/>
      <c r="AO114" s="115"/>
      <c r="AP114" s="115" t="s">
        <v>155</v>
      </c>
      <c r="AQ114" s="13">
        <f>SUBTOTAL(3,AQ105:AQ113)</f>
        <v>5</v>
      </c>
      <c r="AR114" s="13">
        <f>SUBTOTAL(3,AR105:AR113)</f>
        <v>5</v>
      </c>
      <c r="AU114" s="114"/>
    </row>
    <row r="115" spans="1:47" ht="19.5" x14ac:dyDescent="0.4">
      <c r="A115" s="117"/>
      <c r="B115" s="123"/>
      <c r="C115" s="123"/>
      <c r="D115" s="123"/>
      <c r="H115" s="25">
        <v>45706</v>
      </c>
      <c r="I115" s="15" t="s">
        <v>146</v>
      </c>
      <c r="J115" s="115"/>
      <c r="K115" s="115"/>
      <c r="L115" s="115"/>
      <c r="M115" s="115"/>
      <c r="N115" s="115"/>
      <c r="O115" s="115"/>
      <c r="P115" s="115"/>
      <c r="Q115" s="115"/>
      <c r="R115" s="115"/>
      <c r="S115" s="25">
        <v>45686</v>
      </c>
      <c r="T115" s="25" t="s">
        <v>148</v>
      </c>
      <c r="Y115" s="117"/>
      <c r="Z115" s="123"/>
      <c r="AA115" s="123"/>
      <c r="AB115" s="123"/>
      <c r="AG115" s="115"/>
      <c r="AH115" s="115"/>
      <c r="AI115" s="115"/>
      <c r="AJ115" s="115"/>
      <c r="AK115" s="115"/>
      <c r="AL115" s="115"/>
      <c r="AM115" s="115"/>
      <c r="AN115" s="115"/>
      <c r="AO115" s="115"/>
      <c r="AP115" s="115"/>
      <c r="AQ115" s="13"/>
      <c r="AR115" s="13"/>
      <c r="AU115" s="114"/>
    </row>
    <row r="116" spans="1:47" ht="19.5" x14ac:dyDescent="0.4">
      <c r="A116" s="117"/>
      <c r="B116" s="123"/>
      <c r="C116" s="123"/>
      <c r="D116" s="123"/>
      <c r="H116" s="25">
        <v>45706</v>
      </c>
      <c r="I116" s="15" t="s">
        <v>146</v>
      </c>
      <c r="J116" s="115"/>
      <c r="K116" s="115"/>
      <c r="L116" s="115"/>
      <c r="M116" s="115"/>
      <c r="N116" s="115"/>
      <c r="O116" s="115"/>
      <c r="P116" s="115"/>
      <c r="Q116" s="115"/>
      <c r="R116" s="115"/>
      <c r="S116" s="25">
        <v>45686</v>
      </c>
      <c r="T116" s="13" t="s">
        <v>146</v>
      </c>
      <c r="Y116" s="117"/>
      <c r="Z116" s="123"/>
      <c r="AA116" s="123"/>
      <c r="AB116" s="123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3"/>
      <c r="AR116" s="13"/>
      <c r="AU116" s="114"/>
    </row>
    <row r="117" spans="1:47" ht="19.5" x14ac:dyDescent="0.4">
      <c r="A117" s="117"/>
      <c r="B117" s="123"/>
      <c r="C117" s="123"/>
      <c r="D117" s="123"/>
      <c r="F117" s="115"/>
      <c r="G117" s="115"/>
      <c r="H117" s="25">
        <v>45706</v>
      </c>
      <c r="I117" s="15" t="s">
        <v>147</v>
      </c>
      <c r="J117" s="115"/>
      <c r="K117" s="115"/>
      <c r="L117" s="115"/>
      <c r="M117" s="115"/>
      <c r="N117" s="115"/>
      <c r="O117" s="115"/>
      <c r="P117" s="115"/>
      <c r="Q117" s="115"/>
      <c r="R117" s="115"/>
      <c r="S117" s="25">
        <v>45686</v>
      </c>
      <c r="T117" s="13" t="s">
        <v>146</v>
      </c>
      <c r="Y117" s="117"/>
      <c r="Z117" s="123"/>
      <c r="AA117" s="123"/>
      <c r="AB117" s="123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3"/>
      <c r="AR117" s="13"/>
      <c r="AU117" s="114"/>
    </row>
    <row r="118" spans="1:47" ht="19.5" x14ac:dyDescent="0.4">
      <c r="A118" s="117"/>
      <c r="B118" s="123"/>
      <c r="C118" s="123"/>
      <c r="D118" s="123"/>
      <c r="F118" s="115"/>
      <c r="G118" s="115"/>
      <c r="H118" s="25">
        <v>45706</v>
      </c>
      <c r="I118" s="15" t="s">
        <v>147</v>
      </c>
      <c r="J118" s="115"/>
      <c r="K118" s="115"/>
      <c r="L118" s="115"/>
      <c r="M118" s="115"/>
      <c r="N118" s="115"/>
      <c r="O118" s="115"/>
      <c r="P118" s="115"/>
      <c r="Q118" s="115"/>
      <c r="R118" s="115"/>
      <c r="S118" s="25">
        <v>45686</v>
      </c>
      <c r="T118" s="15" t="s">
        <v>148</v>
      </c>
      <c r="Y118" s="117"/>
      <c r="Z118" s="123"/>
      <c r="AA118" s="123"/>
      <c r="AB118" s="123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3"/>
      <c r="AR118" s="13"/>
      <c r="AU118" s="114"/>
    </row>
    <row r="119" spans="1:47" ht="19.5" x14ac:dyDescent="0.4">
      <c r="A119" s="117"/>
      <c r="B119" s="123"/>
      <c r="C119" s="123"/>
      <c r="D119" s="123"/>
      <c r="F119" s="115"/>
      <c r="G119" s="115"/>
      <c r="H119" s="25">
        <v>45706</v>
      </c>
      <c r="I119" s="15" t="s">
        <v>146</v>
      </c>
      <c r="J119" s="115"/>
      <c r="K119" s="115"/>
      <c r="L119" s="115"/>
      <c r="M119" s="115"/>
      <c r="N119" s="115"/>
      <c r="O119" s="115"/>
      <c r="P119" s="115"/>
      <c r="Q119" s="115"/>
      <c r="R119" s="115"/>
      <c r="S119" s="25">
        <v>45686</v>
      </c>
      <c r="T119" s="15" t="s">
        <v>148</v>
      </c>
      <c r="Y119" s="117"/>
      <c r="Z119" s="123"/>
      <c r="AA119" s="123"/>
      <c r="AB119" s="123"/>
      <c r="AG119" s="115"/>
      <c r="AH119" s="115"/>
      <c r="AI119" s="115"/>
      <c r="AJ119" s="115"/>
      <c r="AK119" s="115"/>
      <c r="AL119" s="115"/>
      <c r="AM119" s="115"/>
      <c r="AN119" s="115"/>
      <c r="AO119" s="115"/>
      <c r="AP119" s="115"/>
      <c r="AQ119" s="13"/>
      <c r="AR119" s="13"/>
      <c r="AU119" s="114"/>
    </row>
    <row r="120" spans="1:47" ht="19.5" x14ac:dyDescent="0.4">
      <c r="A120" s="117"/>
      <c r="B120" s="123"/>
      <c r="C120" s="123"/>
      <c r="D120" s="123"/>
      <c r="F120" s="115"/>
      <c r="G120" s="115"/>
      <c r="H120" s="25">
        <v>45706</v>
      </c>
      <c r="I120" s="15" t="s">
        <v>146</v>
      </c>
      <c r="J120" s="115"/>
      <c r="K120" s="115"/>
      <c r="L120" s="115"/>
      <c r="M120" s="115"/>
      <c r="N120" s="115"/>
      <c r="O120" s="115"/>
      <c r="P120" s="115"/>
      <c r="Q120" s="115"/>
      <c r="R120" s="115"/>
      <c r="S120" s="25">
        <v>45686</v>
      </c>
      <c r="T120" s="15" t="s">
        <v>148</v>
      </c>
      <c r="Y120" s="117"/>
      <c r="Z120" s="123"/>
      <c r="AA120" s="123"/>
      <c r="AB120" s="123"/>
      <c r="AG120" s="115"/>
      <c r="AH120" s="115"/>
      <c r="AI120" s="115"/>
      <c r="AJ120" s="115"/>
      <c r="AK120" s="115"/>
      <c r="AL120" s="115"/>
      <c r="AM120" s="115"/>
      <c r="AN120" s="115"/>
      <c r="AO120" s="115"/>
      <c r="AP120" s="115"/>
      <c r="AQ120" s="13"/>
      <c r="AR120" s="13"/>
      <c r="AU120" s="114"/>
    </row>
    <row r="121" spans="1:47" ht="19.5" x14ac:dyDescent="0.4">
      <c r="A121" s="117"/>
      <c r="B121" s="123"/>
      <c r="C121" s="123"/>
      <c r="D121" s="123"/>
      <c r="F121" s="115"/>
      <c r="G121" s="115"/>
      <c r="H121" s="25">
        <v>45706</v>
      </c>
      <c r="I121" s="15" t="s">
        <v>147</v>
      </c>
      <c r="J121" s="115"/>
      <c r="K121" s="115"/>
      <c r="L121" s="115"/>
      <c r="M121" s="115"/>
      <c r="N121" s="115"/>
      <c r="O121" s="115"/>
      <c r="P121" s="115"/>
      <c r="Q121" s="115"/>
      <c r="R121" s="115"/>
      <c r="S121" s="25">
        <v>45686</v>
      </c>
      <c r="T121" s="15" t="s">
        <v>146</v>
      </c>
      <c r="Y121" s="117"/>
      <c r="Z121" s="123"/>
      <c r="AA121" s="123"/>
      <c r="AB121" s="123"/>
      <c r="AG121" s="115"/>
      <c r="AH121" s="115"/>
      <c r="AI121" s="115"/>
      <c r="AJ121" s="115"/>
      <c r="AK121" s="115"/>
      <c r="AL121" s="115"/>
      <c r="AM121" s="115"/>
      <c r="AN121" s="115"/>
      <c r="AO121" s="115"/>
      <c r="AP121" s="115"/>
      <c r="AQ121" s="13"/>
      <c r="AR121" s="13"/>
      <c r="AU121" s="114"/>
    </row>
    <row r="122" spans="1:47" ht="19.5" x14ac:dyDescent="0.4">
      <c r="A122" s="117"/>
      <c r="B122" s="123"/>
      <c r="C122" s="123"/>
      <c r="D122" s="123"/>
      <c r="F122" s="115"/>
      <c r="G122" s="115"/>
      <c r="H122" s="25">
        <v>45706</v>
      </c>
      <c r="I122" s="15" t="s">
        <v>148</v>
      </c>
      <c r="J122" s="115"/>
      <c r="K122" s="115"/>
      <c r="L122" s="115"/>
      <c r="M122" s="115"/>
      <c r="N122" s="115"/>
      <c r="O122" s="115"/>
      <c r="P122" s="115"/>
      <c r="Q122" s="115"/>
      <c r="R122" s="115"/>
      <c r="S122" s="25">
        <v>45686</v>
      </c>
      <c r="T122" s="15" t="s">
        <v>148</v>
      </c>
      <c r="Y122" s="117"/>
      <c r="Z122" s="123"/>
      <c r="AA122" s="123"/>
      <c r="AB122" s="123"/>
      <c r="AG122" s="115"/>
      <c r="AH122" s="115"/>
      <c r="AI122" s="115"/>
      <c r="AJ122" s="115"/>
      <c r="AK122" s="115"/>
      <c r="AL122" s="115"/>
      <c r="AM122" s="115"/>
      <c r="AN122" s="115"/>
      <c r="AO122" s="115"/>
      <c r="AP122" s="115"/>
      <c r="AQ122" s="13"/>
      <c r="AR122" s="13"/>
      <c r="AU122" s="114"/>
    </row>
    <row r="123" spans="1:47" ht="19.5" x14ac:dyDescent="0.4">
      <c r="A123" s="117"/>
      <c r="B123" s="123"/>
      <c r="C123" s="123"/>
      <c r="D123" s="123"/>
      <c r="F123" s="115"/>
      <c r="G123" s="115"/>
      <c r="H123" s="25">
        <v>45706</v>
      </c>
      <c r="I123" s="15" t="s">
        <v>146</v>
      </c>
      <c r="J123" s="115"/>
      <c r="K123" s="115"/>
      <c r="L123" s="115"/>
      <c r="M123" s="115"/>
      <c r="N123" s="115"/>
      <c r="O123" s="115"/>
      <c r="P123" s="115"/>
      <c r="Q123" s="115"/>
      <c r="R123" s="115"/>
      <c r="S123" s="25">
        <v>45689</v>
      </c>
      <c r="T123" s="15" t="s">
        <v>147</v>
      </c>
      <c r="Y123" s="117"/>
      <c r="Z123" s="123"/>
      <c r="AA123" s="123"/>
      <c r="AB123" s="123"/>
      <c r="AG123" s="115"/>
      <c r="AH123" s="115"/>
      <c r="AI123" s="115"/>
      <c r="AJ123" s="115"/>
      <c r="AK123" s="115"/>
      <c r="AL123" s="115"/>
      <c r="AM123" s="115"/>
      <c r="AN123" s="115"/>
      <c r="AO123" s="115"/>
      <c r="AP123" s="115"/>
      <c r="AQ123" s="13"/>
      <c r="AR123" s="13"/>
      <c r="AU123" s="114"/>
    </row>
    <row r="124" spans="1:47" ht="19.5" x14ac:dyDescent="0.4">
      <c r="A124" s="117"/>
      <c r="B124" s="123"/>
      <c r="C124" s="123"/>
      <c r="D124" s="123"/>
      <c r="F124" s="115"/>
      <c r="G124" s="115" t="s">
        <v>387</v>
      </c>
      <c r="H124" s="13">
        <f>SUBTOTAL(3,H105:H123)</f>
        <v>19</v>
      </c>
      <c r="I124" s="15">
        <f>SUBTOTAL(3,I105:I123)</f>
        <v>19</v>
      </c>
      <c r="J124" s="115"/>
      <c r="K124" s="115"/>
      <c r="L124" s="115"/>
      <c r="M124" s="115"/>
      <c r="N124" s="115"/>
      <c r="O124" s="115"/>
      <c r="P124" s="115"/>
      <c r="Q124" s="115"/>
      <c r="R124" s="115"/>
      <c r="S124" s="25"/>
      <c r="T124" s="15"/>
      <c r="Y124" s="117"/>
      <c r="Z124" s="123"/>
      <c r="AA124" s="123"/>
      <c r="AB124" s="123"/>
      <c r="AG124" s="115"/>
      <c r="AH124" s="115"/>
      <c r="AI124" s="115"/>
      <c r="AJ124" s="115"/>
      <c r="AK124" s="115"/>
      <c r="AL124" s="115"/>
      <c r="AM124" s="115"/>
      <c r="AN124" s="115"/>
      <c r="AO124" s="115"/>
      <c r="AP124" s="115"/>
      <c r="AQ124" s="13"/>
      <c r="AR124" s="13"/>
      <c r="AU124" s="114"/>
    </row>
    <row r="125" spans="1:47" ht="19.5" x14ac:dyDescent="0.4">
      <c r="A125" s="117"/>
      <c r="B125" s="123"/>
      <c r="C125" s="123"/>
      <c r="D125" s="123"/>
      <c r="F125" s="115"/>
      <c r="G125" s="115"/>
      <c r="H125" s="25">
        <v>45707</v>
      </c>
      <c r="I125" s="15" t="s">
        <v>146</v>
      </c>
      <c r="J125" s="115"/>
      <c r="K125" s="115"/>
      <c r="L125" s="115"/>
      <c r="M125" s="115"/>
      <c r="N125" s="115"/>
      <c r="O125" s="115"/>
      <c r="P125" s="115"/>
      <c r="Q125" s="115"/>
      <c r="R125" s="115"/>
      <c r="S125" s="25">
        <v>45689</v>
      </c>
      <c r="T125" s="15" t="s">
        <v>147</v>
      </c>
      <c r="Y125" s="117"/>
      <c r="Z125" s="123"/>
      <c r="AA125" s="123"/>
      <c r="AB125" s="123"/>
      <c r="AG125" s="115"/>
      <c r="AH125" s="115"/>
      <c r="AI125" s="115"/>
      <c r="AJ125" s="115"/>
      <c r="AK125" s="115"/>
      <c r="AL125" s="115"/>
      <c r="AM125" s="115"/>
      <c r="AN125" s="115"/>
      <c r="AO125" s="115"/>
      <c r="AP125" s="115"/>
      <c r="AQ125" s="13"/>
      <c r="AR125" s="13"/>
      <c r="AU125" s="114"/>
    </row>
    <row r="126" spans="1:47" ht="19.5" x14ac:dyDescent="0.4">
      <c r="A126" s="117"/>
      <c r="B126" s="123"/>
      <c r="C126" s="123"/>
      <c r="D126" s="123"/>
      <c r="H126" s="25">
        <v>45707</v>
      </c>
      <c r="I126" s="15" t="s">
        <v>146</v>
      </c>
      <c r="S126" s="25">
        <v>45689</v>
      </c>
      <c r="T126" s="15" t="s">
        <v>146</v>
      </c>
      <c r="Y126" s="117"/>
      <c r="Z126" s="123"/>
      <c r="AA126" s="123"/>
      <c r="AB126" s="123"/>
      <c r="AD126" s="115"/>
      <c r="AE126" s="115"/>
      <c r="AF126" s="115"/>
      <c r="AG126" s="115"/>
      <c r="AH126" s="115"/>
      <c r="AI126" s="115"/>
      <c r="AJ126" s="115"/>
      <c r="AK126" s="115"/>
      <c r="AL126" s="115"/>
      <c r="AM126" s="115"/>
      <c r="AN126" s="115"/>
      <c r="AO126" s="115"/>
      <c r="AP126" s="115"/>
      <c r="AQ126" s="25">
        <v>45266</v>
      </c>
      <c r="AR126" s="25" t="s">
        <v>162</v>
      </c>
      <c r="AU126" s="114"/>
    </row>
    <row r="127" spans="1:47" ht="19.5" x14ac:dyDescent="0.4">
      <c r="A127" s="117"/>
      <c r="B127" s="123"/>
      <c r="C127" s="123"/>
      <c r="D127" s="123"/>
      <c r="H127" s="26">
        <v>45707</v>
      </c>
      <c r="I127" s="13" t="s">
        <v>147</v>
      </c>
      <c r="J127" s="115"/>
      <c r="K127" s="115"/>
      <c r="L127" s="115"/>
      <c r="M127" s="115"/>
      <c r="N127" s="115"/>
      <c r="O127" s="115"/>
      <c r="P127" s="115"/>
      <c r="Q127" s="115"/>
      <c r="R127" s="115"/>
      <c r="S127" s="25">
        <v>45689</v>
      </c>
      <c r="T127" s="15" t="s">
        <v>146</v>
      </c>
      <c r="Y127" s="117"/>
      <c r="Z127" s="123"/>
      <c r="AA127" s="123"/>
      <c r="AB127" s="123"/>
      <c r="AD127" s="115"/>
      <c r="AE127" s="115"/>
      <c r="AF127" s="115"/>
      <c r="AG127" s="115"/>
      <c r="AH127" s="115"/>
      <c r="AI127" s="115"/>
      <c r="AJ127" s="115"/>
      <c r="AK127" s="115"/>
      <c r="AL127" s="115"/>
      <c r="AM127" s="115"/>
      <c r="AN127" s="115"/>
      <c r="AO127" s="115"/>
      <c r="AP127" s="115"/>
      <c r="AQ127" s="25"/>
      <c r="AR127" s="25"/>
      <c r="AU127" s="114"/>
    </row>
    <row r="128" spans="1:47" ht="19.5" x14ac:dyDescent="0.4">
      <c r="A128" s="117"/>
      <c r="B128" s="123"/>
      <c r="C128" s="123"/>
      <c r="D128" s="123"/>
      <c r="G128" s="115" t="s">
        <v>388</v>
      </c>
      <c r="H128" s="17">
        <f>SUBTOTAL(3,H125:H127)</f>
        <v>3</v>
      </c>
      <c r="I128" s="13">
        <f>SUBTOTAL(3,I125:I127)</f>
        <v>3</v>
      </c>
      <c r="J128" s="115"/>
      <c r="K128" s="115"/>
      <c r="L128" s="115"/>
      <c r="M128" s="115"/>
      <c r="N128" s="115"/>
      <c r="O128" s="115"/>
      <c r="P128" s="115"/>
      <c r="Q128" s="115"/>
      <c r="R128" s="115"/>
      <c r="S128" s="25"/>
      <c r="T128" s="15"/>
      <c r="Y128" s="117"/>
      <c r="Z128" s="123"/>
      <c r="AA128" s="123"/>
      <c r="AB128" s="123"/>
      <c r="AD128" s="115"/>
      <c r="AE128" s="115"/>
      <c r="AF128" s="115"/>
      <c r="AG128" s="115"/>
      <c r="AH128" s="115"/>
      <c r="AI128" s="115"/>
      <c r="AJ128" s="115"/>
      <c r="AK128" s="115"/>
      <c r="AL128" s="115"/>
      <c r="AM128" s="115"/>
      <c r="AN128" s="115"/>
      <c r="AO128" s="115"/>
      <c r="AP128" s="115"/>
      <c r="AQ128" s="25"/>
      <c r="AR128" s="25"/>
      <c r="AU128" s="114"/>
    </row>
    <row r="129" spans="1:47" ht="19.5" x14ac:dyDescent="0.4">
      <c r="A129" s="117"/>
      <c r="B129" s="123"/>
      <c r="C129" s="123"/>
      <c r="D129" s="123"/>
      <c r="H129" s="26">
        <v>45708</v>
      </c>
      <c r="I129" s="13" t="s">
        <v>146</v>
      </c>
      <c r="J129" s="115"/>
      <c r="K129" s="115"/>
      <c r="L129" s="115"/>
      <c r="M129" s="115"/>
      <c r="N129" s="115"/>
      <c r="O129" s="115"/>
      <c r="P129" s="115"/>
      <c r="Q129" s="115"/>
      <c r="R129" s="115"/>
      <c r="S129" s="25">
        <v>45690</v>
      </c>
      <c r="T129" s="15" t="s">
        <v>146</v>
      </c>
      <c r="Y129" s="117"/>
      <c r="Z129" s="123"/>
      <c r="AA129" s="123"/>
      <c r="AB129" s="123"/>
      <c r="AD129" s="115"/>
      <c r="AE129" s="115"/>
      <c r="AF129" s="115"/>
      <c r="AG129" s="115"/>
      <c r="AH129" s="115"/>
      <c r="AI129" s="115"/>
      <c r="AJ129" s="115"/>
      <c r="AK129" s="115"/>
      <c r="AL129" s="115"/>
      <c r="AM129" s="115"/>
      <c r="AN129" s="115"/>
      <c r="AO129" s="115"/>
      <c r="AP129" s="115"/>
      <c r="AQ129" s="25"/>
      <c r="AR129" s="25"/>
      <c r="AU129" s="114"/>
    </row>
    <row r="130" spans="1:47" ht="19.5" x14ac:dyDescent="0.4">
      <c r="A130" s="117"/>
      <c r="B130" s="123"/>
      <c r="C130" s="123"/>
      <c r="D130" s="123"/>
      <c r="G130" s="115" t="s">
        <v>389</v>
      </c>
      <c r="H130" s="17">
        <f>SUBTOTAL(3,H129:H129)</f>
        <v>1</v>
      </c>
      <c r="I130" s="13">
        <f>SUBTOTAL(3,I129:I129)</f>
        <v>1</v>
      </c>
      <c r="J130" s="115"/>
      <c r="K130" s="115"/>
      <c r="L130" s="115"/>
      <c r="M130" s="115"/>
      <c r="N130" s="115"/>
      <c r="O130" s="115"/>
      <c r="P130" s="115"/>
      <c r="Q130" s="115"/>
      <c r="R130" s="115"/>
      <c r="S130" s="25"/>
      <c r="T130" s="15"/>
      <c r="Y130" s="117"/>
      <c r="Z130" s="123"/>
      <c r="AA130" s="123"/>
      <c r="AB130" s="123"/>
      <c r="AD130" s="115"/>
      <c r="AE130" s="115"/>
      <c r="AF130" s="115"/>
      <c r="AG130" s="115"/>
      <c r="AH130" s="115"/>
      <c r="AI130" s="115"/>
      <c r="AJ130" s="115"/>
      <c r="AK130" s="115"/>
      <c r="AL130" s="115"/>
      <c r="AM130" s="115"/>
      <c r="AN130" s="115"/>
      <c r="AO130" s="115"/>
      <c r="AP130" s="115"/>
      <c r="AQ130" s="25"/>
      <c r="AR130" s="25"/>
      <c r="AU130" s="114"/>
    </row>
    <row r="131" spans="1:47" ht="19.5" x14ac:dyDescent="0.4">
      <c r="A131" s="117"/>
      <c r="B131" s="123"/>
      <c r="C131" s="123"/>
      <c r="D131" s="123"/>
      <c r="H131" s="26">
        <v>45709</v>
      </c>
      <c r="I131" s="13" t="s">
        <v>147</v>
      </c>
      <c r="J131" s="115"/>
      <c r="K131" s="115"/>
      <c r="L131" s="115"/>
      <c r="M131" s="115"/>
      <c r="N131" s="115"/>
      <c r="O131" s="115"/>
      <c r="P131" s="115"/>
      <c r="Q131" s="115"/>
      <c r="R131" s="115"/>
      <c r="S131" s="25">
        <v>45691</v>
      </c>
      <c r="T131" s="15" t="s">
        <v>146</v>
      </c>
      <c r="Y131" s="117"/>
      <c r="Z131" s="123"/>
      <c r="AA131" s="123"/>
      <c r="AB131" s="123"/>
      <c r="AD131" s="115"/>
      <c r="AE131" s="115"/>
      <c r="AF131" s="115"/>
      <c r="AG131" s="115"/>
      <c r="AH131" s="115"/>
      <c r="AI131" s="115"/>
      <c r="AJ131" s="115"/>
      <c r="AK131" s="115"/>
      <c r="AL131" s="115"/>
      <c r="AM131" s="115"/>
      <c r="AN131" s="115"/>
      <c r="AO131" s="115"/>
      <c r="AP131" s="115"/>
      <c r="AQ131" s="25"/>
      <c r="AR131" s="25"/>
      <c r="AU131" s="114"/>
    </row>
    <row r="132" spans="1:47" ht="19.5" x14ac:dyDescent="0.4">
      <c r="A132" s="117"/>
      <c r="B132" s="123"/>
      <c r="C132" s="123"/>
      <c r="D132" s="123"/>
      <c r="H132" s="26">
        <v>45709</v>
      </c>
      <c r="I132" s="13" t="s">
        <v>147</v>
      </c>
      <c r="S132" s="25">
        <v>45691</v>
      </c>
      <c r="T132" s="15" t="s">
        <v>146</v>
      </c>
      <c r="Y132" s="117"/>
      <c r="Z132" s="123"/>
      <c r="AA132" s="123"/>
      <c r="AB132" s="123"/>
      <c r="AD132" s="115"/>
      <c r="AE132" s="115"/>
      <c r="AF132" s="115"/>
      <c r="AG132" s="115"/>
      <c r="AH132" s="115"/>
      <c r="AI132" s="115"/>
      <c r="AJ132" s="115"/>
      <c r="AK132" s="115"/>
      <c r="AL132" s="115"/>
      <c r="AM132" s="115"/>
      <c r="AN132" s="115"/>
      <c r="AO132" s="115"/>
      <c r="AP132" s="115" t="s">
        <v>156</v>
      </c>
      <c r="AQ132" s="13">
        <f>SUBTOTAL(3,AQ126:AQ126)</f>
        <v>1</v>
      </c>
      <c r="AR132" s="13">
        <f>SUBTOTAL(3,AR126:AR126)</f>
        <v>1</v>
      </c>
      <c r="AU132" s="114"/>
    </row>
    <row r="133" spans="1:47" ht="19.5" x14ac:dyDescent="0.4">
      <c r="A133" s="117"/>
      <c r="B133" s="123"/>
      <c r="C133" s="123"/>
      <c r="D133" s="123"/>
      <c r="H133" s="26">
        <v>45709</v>
      </c>
      <c r="I133" s="13" t="s">
        <v>142</v>
      </c>
      <c r="O133" s="115"/>
      <c r="P133" s="115"/>
      <c r="Q133" s="115"/>
      <c r="R133" s="115"/>
      <c r="S133" s="25">
        <v>45691</v>
      </c>
      <c r="T133" s="15" t="s">
        <v>146</v>
      </c>
      <c r="Y133" s="117"/>
      <c r="Z133" s="123"/>
      <c r="AA133" s="123"/>
      <c r="AB133" s="123"/>
      <c r="AD133" s="115"/>
      <c r="AE133" s="115"/>
      <c r="AF133" s="115"/>
      <c r="AG133" s="115"/>
      <c r="AH133" s="115"/>
      <c r="AI133" s="115"/>
      <c r="AJ133" s="115"/>
      <c r="AK133" s="115"/>
      <c r="AL133" s="115"/>
      <c r="AM133" s="115"/>
      <c r="AN133" s="115"/>
      <c r="AO133" s="115"/>
      <c r="AP133" s="115"/>
      <c r="AQ133" s="13"/>
      <c r="AR133" s="13"/>
      <c r="AU133" s="114"/>
    </row>
    <row r="134" spans="1:47" ht="19.5" x14ac:dyDescent="0.4">
      <c r="A134" s="117"/>
      <c r="B134" s="123"/>
      <c r="C134" s="123"/>
      <c r="D134" s="123"/>
      <c r="G134" s="115" t="s">
        <v>390</v>
      </c>
      <c r="H134" s="17">
        <f>SUBTOTAL(3,H131:H133)</f>
        <v>3</v>
      </c>
      <c r="I134" s="13">
        <f>SUBTOTAL(3,I131:I133)</f>
        <v>3</v>
      </c>
      <c r="O134" s="115"/>
      <c r="P134" s="115"/>
      <c r="Q134" s="115"/>
      <c r="R134" s="115"/>
      <c r="S134" s="25"/>
      <c r="T134" s="15"/>
      <c r="Y134" s="117"/>
      <c r="Z134" s="123"/>
      <c r="AA134" s="123"/>
      <c r="AB134" s="123"/>
      <c r="AD134" s="115"/>
      <c r="AE134" s="115"/>
      <c r="AF134" s="115"/>
      <c r="AG134" s="115"/>
      <c r="AH134" s="115"/>
      <c r="AI134" s="115"/>
      <c r="AJ134" s="115"/>
      <c r="AK134" s="115"/>
      <c r="AL134" s="115"/>
      <c r="AM134" s="115"/>
      <c r="AN134" s="115"/>
      <c r="AO134" s="115"/>
      <c r="AP134" s="115"/>
      <c r="AQ134" s="13"/>
      <c r="AR134" s="13"/>
      <c r="AU134" s="114"/>
    </row>
    <row r="135" spans="1:47" ht="19.5" x14ac:dyDescent="0.4">
      <c r="A135" s="117"/>
      <c r="B135" s="123"/>
      <c r="C135" s="123"/>
      <c r="D135" s="123"/>
      <c r="H135" s="26">
        <v>45710</v>
      </c>
      <c r="I135" s="13" t="s">
        <v>147</v>
      </c>
      <c r="J135" s="115"/>
      <c r="K135" s="115"/>
      <c r="L135" s="115"/>
      <c r="M135" s="115"/>
      <c r="N135" s="115"/>
      <c r="O135" s="115"/>
      <c r="P135" s="115"/>
      <c r="Q135" s="115"/>
      <c r="R135" s="115"/>
      <c r="S135" s="25">
        <v>45691</v>
      </c>
      <c r="T135" s="15" t="s">
        <v>146</v>
      </c>
      <c r="Y135" s="117"/>
      <c r="Z135" s="123"/>
      <c r="AA135" s="123"/>
      <c r="AB135" s="123"/>
      <c r="AD135" s="115"/>
      <c r="AE135" s="115"/>
      <c r="AF135" s="115"/>
      <c r="AG135" s="115"/>
      <c r="AH135" s="115"/>
      <c r="AI135" s="115"/>
      <c r="AJ135" s="115"/>
      <c r="AK135" s="115"/>
      <c r="AL135" s="115"/>
      <c r="AM135" s="115"/>
      <c r="AN135" s="115"/>
      <c r="AO135" s="115"/>
      <c r="AP135" s="115"/>
      <c r="AQ135" s="13"/>
      <c r="AR135" s="13"/>
      <c r="AU135" s="114"/>
    </row>
    <row r="136" spans="1:47" ht="19.5" x14ac:dyDescent="0.4">
      <c r="A136" s="117"/>
      <c r="B136" s="123"/>
      <c r="C136" s="123"/>
      <c r="D136" s="123"/>
      <c r="G136" s="115" t="s">
        <v>391</v>
      </c>
      <c r="H136" s="17">
        <f>SUBTOTAL(3,H135:H135)</f>
        <v>1</v>
      </c>
      <c r="I136" s="13">
        <f>SUBTOTAL(3,I135:I135)</f>
        <v>1</v>
      </c>
      <c r="J136" s="115"/>
      <c r="K136" s="115"/>
      <c r="L136" s="115"/>
      <c r="M136" s="115"/>
      <c r="N136" s="115"/>
      <c r="O136" s="115"/>
      <c r="P136" s="115"/>
      <c r="Q136" s="115"/>
      <c r="R136" s="115"/>
      <c r="S136" s="25"/>
      <c r="T136" s="15"/>
      <c r="Y136" s="117"/>
      <c r="Z136" s="123"/>
      <c r="AA136" s="123"/>
      <c r="AB136" s="123"/>
      <c r="AD136" s="115"/>
      <c r="AE136" s="115"/>
      <c r="AF136" s="115"/>
      <c r="AG136" s="115"/>
      <c r="AH136" s="115"/>
      <c r="AI136" s="115"/>
      <c r="AJ136" s="115"/>
      <c r="AK136" s="115"/>
      <c r="AL136" s="115"/>
      <c r="AM136" s="115"/>
      <c r="AN136" s="115"/>
      <c r="AO136" s="115"/>
      <c r="AP136" s="115"/>
      <c r="AQ136" s="13"/>
      <c r="AR136" s="13"/>
      <c r="AU136" s="114"/>
    </row>
    <row r="137" spans="1:47" ht="19.5" x14ac:dyDescent="0.4">
      <c r="A137" s="117"/>
      <c r="B137" s="123"/>
      <c r="C137" s="123"/>
      <c r="D137" s="123"/>
      <c r="H137" s="26">
        <v>45711</v>
      </c>
      <c r="I137" s="13" t="s">
        <v>146</v>
      </c>
      <c r="J137" s="115"/>
      <c r="K137" s="115"/>
      <c r="L137" s="115"/>
      <c r="M137" s="115"/>
      <c r="N137" s="115"/>
      <c r="O137" s="115"/>
      <c r="P137" s="115"/>
      <c r="Q137" s="115"/>
      <c r="R137" s="115"/>
      <c r="S137" s="25">
        <v>45692</v>
      </c>
      <c r="T137" s="15" t="s">
        <v>146</v>
      </c>
      <c r="Y137" s="117"/>
      <c r="Z137" s="123"/>
      <c r="AA137" s="123"/>
      <c r="AB137" s="123"/>
      <c r="AD137" s="115"/>
      <c r="AE137" s="115"/>
      <c r="AF137" s="115"/>
      <c r="AG137" s="115"/>
      <c r="AH137" s="115"/>
      <c r="AI137" s="115"/>
      <c r="AJ137" s="115"/>
      <c r="AK137" s="115"/>
      <c r="AL137" s="115"/>
      <c r="AM137" s="115"/>
      <c r="AN137" s="115"/>
      <c r="AO137" s="115"/>
      <c r="AP137" s="115"/>
      <c r="AQ137" s="13"/>
      <c r="AR137" s="13"/>
      <c r="AU137" s="114"/>
    </row>
    <row r="138" spans="1:47" ht="19.5" x14ac:dyDescent="0.4">
      <c r="A138" s="117"/>
      <c r="B138" s="123"/>
      <c r="C138" s="123"/>
      <c r="D138" s="123"/>
      <c r="H138" s="26">
        <v>45711</v>
      </c>
      <c r="I138" s="13" t="s">
        <v>146</v>
      </c>
      <c r="S138" s="25">
        <v>45692</v>
      </c>
      <c r="T138" s="15" t="s">
        <v>146</v>
      </c>
      <c r="Y138" s="117"/>
      <c r="Z138" s="123"/>
      <c r="AA138" s="123"/>
      <c r="AB138" s="123"/>
      <c r="AD138" s="115"/>
      <c r="AE138" s="115"/>
      <c r="AF138" s="115"/>
      <c r="AG138" s="115"/>
      <c r="AH138" s="115"/>
      <c r="AI138" s="115"/>
      <c r="AJ138" s="115"/>
      <c r="AK138" s="115"/>
      <c r="AL138" s="115"/>
      <c r="AM138" s="115"/>
      <c r="AN138" s="115"/>
      <c r="AO138" s="115"/>
      <c r="AP138" s="115"/>
      <c r="AQ138" s="25">
        <v>45267</v>
      </c>
      <c r="AR138" s="13" t="s">
        <v>142</v>
      </c>
      <c r="AU138" s="114"/>
    </row>
    <row r="139" spans="1:47" ht="19.5" x14ac:dyDescent="0.4">
      <c r="A139" s="117"/>
      <c r="B139" s="123"/>
      <c r="C139" s="123"/>
      <c r="D139" s="123"/>
      <c r="H139" s="26">
        <v>45711</v>
      </c>
      <c r="I139" s="13" t="s">
        <v>146</v>
      </c>
      <c r="O139" s="115"/>
      <c r="P139" s="115"/>
      <c r="Q139" s="115"/>
      <c r="R139" s="115"/>
      <c r="S139" s="25">
        <v>45692</v>
      </c>
      <c r="T139" s="15" t="s">
        <v>146</v>
      </c>
      <c r="Y139" s="117"/>
      <c r="Z139" s="123"/>
      <c r="AA139" s="123"/>
      <c r="AB139" s="123"/>
      <c r="AD139" s="115"/>
      <c r="AE139" s="115"/>
      <c r="AF139" s="115"/>
      <c r="AG139" s="115"/>
      <c r="AH139" s="115"/>
      <c r="AI139" s="115"/>
      <c r="AJ139" s="115"/>
      <c r="AK139" s="115"/>
      <c r="AL139" s="115"/>
      <c r="AM139" s="115"/>
      <c r="AN139" s="115"/>
      <c r="AO139" s="115"/>
      <c r="AP139" s="115"/>
      <c r="AQ139" s="25"/>
      <c r="AR139" s="13"/>
      <c r="AU139" s="114"/>
    </row>
    <row r="140" spans="1:47" ht="19.5" x14ac:dyDescent="0.4">
      <c r="A140" s="117"/>
      <c r="B140" s="123"/>
      <c r="C140" s="123"/>
      <c r="D140" s="123"/>
      <c r="H140" s="26">
        <v>45711</v>
      </c>
      <c r="I140" s="13" t="s">
        <v>146</v>
      </c>
      <c r="K140" s="115"/>
      <c r="L140" s="115"/>
      <c r="M140" s="115"/>
      <c r="N140" s="115"/>
      <c r="O140" s="115"/>
      <c r="P140" s="115"/>
      <c r="Q140" s="115"/>
      <c r="R140" s="115"/>
      <c r="S140" s="25">
        <v>45692</v>
      </c>
      <c r="T140" s="15" t="s">
        <v>146</v>
      </c>
      <c r="Y140" s="117"/>
      <c r="Z140" s="123"/>
      <c r="AA140" s="123"/>
      <c r="AB140" s="123"/>
      <c r="AD140" s="115"/>
      <c r="AE140" s="115"/>
      <c r="AF140" s="115"/>
      <c r="AG140" s="115"/>
      <c r="AH140" s="115"/>
      <c r="AI140" s="115"/>
      <c r="AJ140" s="115"/>
      <c r="AK140" s="115"/>
      <c r="AL140" s="115"/>
      <c r="AM140" s="115"/>
      <c r="AN140" s="115"/>
      <c r="AO140" s="115"/>
      <c r="AP140" s="115"/>
      <c r="AQ140" s="25"/>
      <c r="AR140" s="13"/>
      <c r="AU140" s="114"/>
    </row>
    <row r="141" spans="1:47" ht="19.5" x14ac:dyDescent="0.4">
      <c r="A141" s="117"/>
      <c r="B141" s="123"/>
      <c r="C141" s="123"/>
      <c r="D141" s="123"/>
      <c r="H141" s="26">
        <v>45711</v>
      </c>
      <c r="I141" s="13" t="s">
        <v>146</v>
      </c>
      <c r="J141" s="115"/>
      <c r="K141" s="115"/>
      <c r="L141" s="115"/>
      <c r="M141" s="115"/>
      <c r="N141" s="115"/>
      <c r="O141" s="115"/>
      <c r="P141" s="115"/>
      <c r="Q141" s="115"/>
      <c r="R141" s="115"/>
      <c r="S141" s="25">
        <v>45693</v>
      </c>
      <c r="T141" s="15" t="s">
        <v>146</v>
      </c>
      <c r="Y141" s="117"/>
      <c r="Z141" s="123"/>
      <c r="AA141" s="123"/>
      <c r="AB141" s="123"/>
      <c r="AD141" s="115"/>
      <c r="AE141" s="115"/>
      <c r="AF141" s="115"/>
      <c r="AG141" s="115"/>
      <c r="AH141" s="115"/>
      <c r="AI141" s="115"/>
      <c r="AJ141" s="115"/>
      <c r="AK141" s="115"/>
      <c r="AL141" s="115"/>
      <c r="AM141" s="115"/>
      <c r="AN141" s="115"/>
      <c r="AO141" s="115"/>
      <c r="AP141" s="115"/>
      <c r="AQ141" s="25"/>
      <c r="AR141" s="13"/>
      <c r="AU141" s="114"/>
    </row>
    <row r="142" spans="1:47" ht="19.5" x14ac:dyDescent="0.4">
      <c r="A142" s="117"/>
      <c r="B142" s="123"/>
      <c r="C142" s="123"/>
      <c r="D142" s="123"/>
      <c r="H142" s="26">
        <v>45711</v>
      </c>
      <c r="I142" s="13" t="s">
        <v>146</v>
      </c>
      <c r="S142" s="25">
        <v>45693</v>
      </c>
      <c r="T142" s="15" t="s">
        <v>146</v>
      </c>
      <c r="Y142" s="117"/>
      <c r="Z142" s="123"/>
      <c r="AA142" s="123"/>
      <c r="AB142" s="123"/>
      <c r="AD142" s="115"/>
      <c r="AE142" s="115"/>
      <c r="AF142" s="115"/>
      <c r="AG142" s="115"/>
      <c r="AH142" s="115"/>
      <c r="AI142" s="115"/>
      <c r="AJ142" s="115"/>
      <c r="AK142" s="115"/>
      <c r="AL142" s="115"/>
      <c r="AM142" s="115"/>
      <c r="AN142" s="115"/>
      <c r="AO142" s="115"/>
      <c r="AP142" s="115" t="s">
        <v>157</v>
      </c>
      <c r="AQ142" s="13">
        <f>SUBTOTAL(3,AQ138:AQ138)</f>
        <v>1</v>
      </c>
      <c r="AR142" s="13">
        <f>SUBTOTAL(3,AR138:AR138)</f>
        <v>1</v>
      </c>
      <c r="AU142" s="114"/>
    </row>
    <row r="143" spans="1:47" ht="19.5" x14ac:dyDescent="0.4">
      <c r="A143" s="117"/>
      <c r="B143" s="123"/>
      <c r="C143" s="123"/>
      <c r="D143" s="123"/>
      <c r="H143" s="26">
        <v>45711</v>
      </c>
      <c r="I143" s="13" t="s">
        <v>146</v>
      </c>
      <c r="K143" s="115"/>
      <c r="L143" s="115"/>
      <c r="M143" s="115"/>
      <c r="N143" s="115"/>
      <c r="O143" s="115"/>
      <c r="P143" s="115"/>
      <c r="Q143" s="115"/>
      <c r="R143" s="115"/>
      <c r="S143" s="25">
        <v>45693</v>
      </c>
      <c r="T143" s="15" t="s">
        <v>146</v>
      </c>
      <c r="Y143" s="117"/>
      <c r="Z143" s="123"/>
      <c r="AA143" s="123"/>
      <c r="AB143" s="123"/>
      <c r="AD143" s="115"/>
      <c r="AE143" s="115"/>
      <c r="AF143" s="115"/>
      <c r="AG143" s="115"/>
      <c r="AH143" s="115"/>
      <c r="AI143" s="115"/>
      <c r="AJ143" s="115"/>
      <c r="AK143" s="115"/>
      <c r="AL143" s="115"/>
      <c r="AM143" s="115"/>
      <c r="AN143" s="115"/>
      <c r="AO143" s="115"/>
      <c r="AP143" s="115"/>
      <c r="AQ143" s="13"/>
      <c r="AR143" s="13"/>
      <c r="AU143" s="114"/>
    </row>
    <row r="144" spans="1:47" ht="19.5" x14ac:dyDescent="0.4">
      <c r="A144" s="117"/>
      <c r="B144" s="123"/>
      <c r="C144" s="123"/>
      <c r="D144" s="123"/>
      <c r="H144" s="26">
        <v>45711</v>
      </c>
      <c r="I144" s="13" t="s">
        <v>146</v>
      </c>
      <c r="K144" s="115"/>
      <c r="L144" s="115"/>
      <c r="M144" s="115"/>
      <c r="N144" s="115"/>
      <c r="O144" s="115"/>
      <c r="P144" s="115"/>
      <c r="Q144" s="115"/>
      <c r="R144" s="115"/>
      <c r="S144" s="25">
        <v>45694</v>
      </c>
      <c r="T144" s="15" t="s">
        <v>147</v>
      </c>
      <c r="Y144" s="117"/>
      <c r="Z144" s="123"/>
      <c r="AA144" s="123"/>
      <c r="AB144" s="123"/>
      <c r="AD144" s="115"/>
      <c r="AE144" s="115"/>
      <c r="AF144" s="115"/>
      <c r="AG144" s="115"/>
      <c r="AH144" s="115"/>
      <c r="AI144" s="115"/>
      <c r="AJ144" s="115"/>
      <c r="AK144" s="115"/>
      <c r="AL144" s="115"/>
      <c r="AM144" s="115"/>
      <c r="AN144" s="115"/>
      <c r="AO144" s="115"/>
      <c r="AP144" s="115"/>
      <c r="AQ144" s="13"/>
      <c r="AR144" s="13"/>
      <c r="AU144" s="114"/>
    </row>
    <row r="145" spans="1:47" ht="19.5" x14ac:dyDescent="0.4">
      <c r="A145" s="117"/>
      <c r="B145" s="123"/>
      <c r="C145" s="123"/>
      <c r="D145" s="123"/>
      <c r="H145" s="26">
        <v>45711</v>
      </c>
      <c r="I145" s="13" t="s">
        <v>146</v>
      </c>
      <c r="K145" s="115"/>
      <c r="L145" s="115"/>
      <c r="M145" s="115"/>
      <c r="N145" s="115"/>
      <c r="O145" s="115"/>
      <c r="P145" s="115"/>
      <c r="Q145" s="115"/>
      <c r="R145" s="115"/>
      <c r="S145" s="25">
        <v>45694</v>
      </c>
      <c r="T145" s="105" t="s">
        <v>147</v>
      </c>
      <c r="Y145" s="117"/>
      <c r="Z145" s="123"/>
      <c r="AA145" s="123"/>
      <c r="AB145" s="123"/>
      <c r="AD145" s="115"/>
      <c r="AE145" s="115"/>
      <c r="AF145" s="115"/>
      <c r="AG145" s="115"/>
      <c r="AH145" s="115"/>
      <c r="AI145" s="115"/>
      <c r="AJ145" s="115"/>
      <c r="AK145" s="115"/>
      <c r="AL145" s="115"/>
      <c r="AM145" s="115"/>
      <c r="AN145" s="115"/>
      <c r="AO145" s="115"/>
      <c r="AP145" s="115"/>
      <c r="AQ145" s="13"/>
      <c r="AR145" s="13"/>
      <c r="AU145" s="114"/>
    </row>
    <row r="146" spans="1:47" ht="19.5" x14ac:dyDescent="0.4">
      <c r="A146" s="117"/>
      <c r="B146" s="123"/>
      <c r="C146" s="123"/>
      <c r="D146" s="123"/>
      <c r="H146" s="26">
        <v>45711</v>
      </c>
      <c r="I146" s="13" t="s">
        <v>146</v>
      </c>
      <c r="J146" s="115"/>
      <c r="K146" s="115"/>
      <c r="L146" s="115"/>
      <c r="M146" s="115"/>
      <c r="N146" s="115"/>
      <c r="O146" s="115"/>
      <c r="P146" s="115"/>
      <c r="Q146" s="115"/>
      <c r="R146" s="115"/>
      <c r="S146" s="25">
        <v>45694</v>
      </c>
      <c r="T146" s="15" t="s">
        <v>147</v>
      </c>
      <c r="Y146" s="117"/>
      <c r="Z146" s="123"/>
      <c r="AA146" s="123"/>
      <c r="AB146" s="123"/>
      <c r="AD146" s="115"/>
      <c r="AE146" s="115"/>
      <c r="AF146" s="115"/>
      <c r="AG146" s="115"/>
      <c r="AH146" s="115"/>
      <c r="AI146" s="115"/>
      <c r="AJ146" s="115"/>
      <c r="AK146" s="115"/>
      <c r="AL146" s="115"/>
      <c r="AM146" s="115"/>
      <c r="AN146" s="115"/>
      <c r="AO146" s="115"/>
      <c r="AP146" s="115"/>
      <c r="AQ146" s="13"/>
      <c r="AR146" s="13"/>
      <c r="AU146" s="114"/>
    </row>
    <row r="147" spans="1:47" ht="19.5" x14ac:dyDescent="0.4">
      <c r="A147" s="117"/>
      <c r="B147" s="123"/>
      <c r="C147" s="123"/>
      <c r="D147" s="123"/>
      <c r="H147" s="26">
        <v>45711</v>
      </c>
      <c r="I147" s="13" t="s">
        <v>146</v>
      </c>
      <c r="J147" s="115"/>
      <c r="K147" s="115"/>
      <c r="L147" s="115"/>
      <c r="M147" s="115"/>
      <c r="N147" s="115"/>
      <c r="O147" s="115"/>
      <c r="P147" s="115"/>
      <c r="Q147" s="115"/>
      <c r="R147" s="115"/>
      <c r="S147" s="26">
        <v>45694</v>
      </c>
      <c r="T147" s="15" t="s">
        <v>148</v>
      </c>
      <c r="Y147" s="117"/>
      <c r="Z147" s="123"/>
      <c r="AA147" s="123"/>
      <c r="AB147" s="123"/>
      <c r="AD147" s="115"/>
      <c r="AE147" s="115"/>
      <c r="AF147" s="115"/>
      <c r="AG147" s="115"/>
      <c r="AH147" s="115"/>
      <c r="AI147" s="115"/>
      <c r="AJ147" s="115"/>
      <c r="AK147" s="115"/>
      <c r="AL147" s="115"/>
      <c r="AM147" s="115"/>
      <c r="AN147" s="115"/>
      <c r="AO147" s="115"/>
      <c r="AP147" s="115"/>
      <c r="AQ147" s="13"/>
      <c r="AR147" s="13"/>
      <c r="AU147" s="114"/>
    </row>
    <row r="148" spans="1:47" ht="19.5" x14ac:dyDescent="0.4">
      <c r="A148" s="117"/>
      <c r="B148" s="123"/>
      <c r="C148" s="123"/>
      <c r="D148" s="123"/>
      <c r="H148" s="26">
        <v>45711</v>
      </c>
      <c r="I148" s="13" t="s">
        <v>146</v>
      </c>
      <c r="S148" s="26">
        <v>45694</v>
      </c>
      <c r="T148" s="13" t="s">
        <v>147</v>
      </c>
      <c r="Y148" s="117"/>
      <c r="Z148" s="123"/>
      <c r="AA148" s="123"/>
      <c r="AB148" s="123"/>
      <c r="AD148" s="115"/>
      <c r="AE148" s="115"/>
      <c r="AF148" s="115"/>
      <c r="AG148" s="115"/>
      <c r="AH148" s="115"/>
      <c r="AI148" s="115"/>
      <c r="AJ148" s="115"/>
      <c r="AK148" s="115"/>
      <c r="AL148" s="115"/>
      <c r="AM148" s="115"/>
      <c r="AN148" s="115"/>
      <c r="AO148" s="115"/>
      <c r="AP148" s="115"/>
      <c r="AQ148" s="25">
        <v>45268</v>
      </c>
      <c r="AR148" s="13" t="s">
        <v>162</v>
      </c>
      <c r="AU148" s="114"/>
    </row>
    <row r="149" spans="1:47" ht="19.5" x14ac:dyDescent="0.4">
      <c r="A149" s="117"/>
      <c r="B149" s="123"/>
      <c r="C149" s="123"/>
      <c r="D149" s="123"/>
      <c r="H149" s="26">
        <v>45711</v>
      </c>
      <c r="I149" s="13" t="s">
        <v>146</v>
      </c>
      <c r="K149" s="115"/>
      <c r="L149" s="115"/>
      <c r="M149" s="115"/>
      <c r="N149" s="115"/>
      <c r="O149" s="115"/>
      <c r="P149" s="115"/>
      <c r="Q149" s="115"/>
      <c r="R149" s="115"/>
      <c r="S149" s="26">
        <v>45694</v>
      </c>
      <c r="T149" s="13" t="s">
        <v>147</v>
      </c>
      <c r="Y149" s="117"/>
      <c r="Z149" s="123"/>
      <c r="AA149" s="123"/>
      <c r="AB149" s="123"/>
      <c r="AD149" s="115"/>
      <c r="AE149" s="115"/>
      <c r="AF149" s="115"/>
      <c r="AG149" s="115"/>
      <c r="AH149" s="115"/>
      <c r="AI149" s="115"/>
      <c r="AJ149" s="115"/>
      <c r="AK149" s="115"/>
      <c r="AL149" s="115"/>
      <c r="AM149" s="115"/>
      <c r="AN149" s="115"/>
      <c r="AO149" s="115"/>
      <c r="AP149" s="115"/>
      <c r="AQ149" s="25"/>
      <c r="AR149" s="13"/>
      <c r="AU149" s="114"/>
    </row>
    <row r="150" spans="1:47" ht="19.5" x14ac:dyDescent="0.4">
      <c r="A150" s="117"/>
      <c r="B150" s="123"/>
      <c r="C150" s="123"/>
      <c r="D150" s="123"/>
      <c r="H150" s="26">
        <v>45711</v>
      </c>
      <c r="I150" s="13" t="s">
        <v>146</v>
      </c>
      <c r="S150" s="26">
        <v>45694</v>
      </c>
      <c r="T150" s="13" t="s">
        <v>147</v>
      </c>
      <c r="Y150" s="117"/>
      <c r="Z150" s="123"/>
      <c r="AA150" s="123"/>
      <c r="AB150" s="123"/>
      <c r="AD150" s="115"/>
      <c r="AE150" s="115"/>
      <c r="AF150" s="115"/>
      <c r="AG150" s="115"/>
      <c r="AH150" s="115"/>
      <c r="AI150" s="115"/>
      <c r="AJ150" s="115"/>
      <c r="AK150" s="115"/>
      <c r="AL150" s="115"/>
      <c r="AM150" s="115"/>
      <c r="AN150" s="115"/>
      <c r="AO150" s="115"/>
      <c r="AP150" s="115"/>
      <c r="AQ150" s="25">
        <v>45268</v>
      </c>
      <c r="AR150" s="13" t="s">
        <v>162</v>
      </c>
      <c r="AU150" s="114"/>
    </row>
    <row r="151" spans="1:47" ht="19.5" x14ac:dyDescent="0.4">
      <c r="A151" s="117"/>
      <c r="B151" s="123"/>
      <c r="C151" s="123"/>
      <c r="D151" s="123"/>
      <c r="H151" s="26">
        <v>45711</v>
      </c>
      <c r="I151" s="13" t="s">
        <v>146</v>
      </c>
      <c r="P151" s="115"/>
      <c r="Q151" s="115"/>
      <c r="R151" s="115"/>
      <c r="S151" s="26">
        <v>45696</v>
      </c>
      <c r="T151" s="13" t="s">
        <v>147</v>
      </c>
      <c r="Y151" s="117"/>
      <c r="Z151" s="123"/>
      <c r="AA151" s="123"/>
      <c r="AB151" s="123"/>
      <c r="AD151" s="115"/>
      <c r="AE151" s="115"/>
      <c r="AF151" s="115"/>
      <c r="AG151" s="115"/>
      <c r="AH151" s="115"/>
      <c r="AI151" s="115"/>
      <c r="AJ151" s="115"/>
      <c r="AK151" s="115"/>
      <c r="AL151" s="115"/>
      <c r="AM151" s="115"/>
      <c r="AN151" s="115"/>
      <c r="AO151" s="115"/>
      <c r="AP151" s="115"/>
      <c r="AQ151" s="25"/>
      <c r="AR151" s="13"/>
      <c r="AU151" s="114"/>
    </row>
    <row r="152" spans="1:47" ht="19.5" x14ac:dyDescent="0.4">
      <c r="A152" s="117"/>
      <c r="B152" s="123"/>
      <c r="C152" s="123"/>
      <c r="D152" s="123"/>
      <c r="H152" s="26">
        <v>45711</v>
      </c>
      <c r="I152" s="13" t="s">
        <v>146</v>
      </c>
      <c r="S152" s="26">
        <v>45698</v>
      </c>
      <c r="T152" s="13" t="s">
        <v>147</v>
      </c>
      <c r="Y152" s="117"/>
      <c r="Z152" s="123"/>
      <c r="AA152" s="123"/>
      <c r="AB152" s="123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25">
        <v>45268</v>
      </c>
      <c r="AR152" s="13" t="s">
        <v>163</v>
      </c>
      <c r="AU152" s="114"/>
    </row>
    <row r="153" spans="1:47" ht="19.5" x14ac:dyDescent="0.4">
      <c r="A153" s="117"/>
      <c r="B153" s="123"/>
      <c r="C153" s="123"/>
      <c r="D153" s="123"/>
      <c r="G153" s="115" t="s">
        <v>392</v>
      </c>
      <c r="H153" s="17">
        <f>SUBTOTAL(3,H137:H152)</f>
        <v>16</v>
      </c>
      <c r="I153" s="13">
        <f>SUBTOTAL(3,I137:I152)</f>
        <v>16</v>
      </c>
      <c r="S153" s="26"/>
      <c r="T153" s="13"/>
      <c r="Y153" s="117"/>
      <c r="Z153" s="123"/>
      <c r="AA153" s="123"/>
      <c r="AB153" s="123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25"/>
      <c r="AR153" s="13"/>
      <c r="AU153" s="114"/>
    </row>
    <row r="154" spans="1:47" ht="19.5" x14ac:dyDescent="0.4">
      <c r="A154" s="117"/>
      <c r="B154" s="123"/>
      <c r="C154" s="123"/>
      <c r="D154" s="123"/>
      <c r="H154" s="26">
        <v>45712</v>
      </c>
      <c r="I154" s="13" t="s">
        <v>147</v>
      </c>
      <c r="P154" s="115"/>
      <c r="Q154" s="115"/>
      <c r="R154" s="115"/>
      <c r="S154" s="26">
        <v>45698</v>
      </c>
      <c r="T154" s="13" t="s">
        <v>147</v>
      </c>
      <c r="Y154" s="117"/>
      <c r="Z154" s="123"/>
      <c r="AA154" s="123"/>
      <c r="AB154" s="123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25"/>
      <c r="AR154" s="13"/>
      <c r="AU154" s="114"/>
    </row>
    <row r="155" spans="1:47" ht="19.5" x14ac:dyDescent="0.4">
      <c r="A155" s="117"/>
      <c r="B155" s="123"/>
      <c r="C155" s="123"/>
      <c r="D155" s="123"/>
      <c r="H155" s="26">
        <v>45712</v>
      </c>
      <c r="I155" s="13" t="s">
        <v>146</v>
      </c>
      <c r="J155" s="115"/>
      <c r="K155" s="115"/>
      <c r="L155" s="115"/>
      <c r="M155" s="115"/>
      <c r="N155" s="115"/>
      <c r="O155" s="115"/>
      <c r="P155" s="115"/>
      <c r="Q155" s="115"/>
      <c r="R155" s="115"/>
      <c r="S155" s="26">
        <v>45699</v>
      </c>
      <c r="T155" s="13" t="s">
        <v>148</v>
      </c>
      <c r="Y155" s="117"/>
      <c r="Z155" s="123"/>
      <c r="AA155" s="123"/>
      <c r="AB155" s="123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25"/>
      <c r="AR155" s="13"/>
      <c r="AU155" s="114"/>
    </row>
    <row r="156" spans="1:47" ht="19.5" x14ac:dyDescent="0.4">
      <c r="A156" s="117"/>
      <c r="B156" s="123"/>
      <c r="C156" s="123"/>
      <c r="D156" s="123"/>
      <c r="G156" s="115" t="s">
        <v>393</v>
      </c>
      <c r="H156" s="17">
        <f>SUBTOTAL(3,H154:H155)</f>
        <v>2</v>
      </c>
      <c r="I156" s="13">
        <f>SUBTOTAL(3,I154:I155)</f>
        <v>2</v>
      </c>
      <c r="J156" s="115"/>
      <c r="K156" s="115"/>
      <c r="L156" s="115"/>
      <c r="M156" s="115"/>
      <c r="N156" s="115"/>
      <c r="O156" s="115"/>
      <c r="P156" s="115"/>
      <c r="Q156" s="115"/>
      <c r="R156" s="115"/>
      <c r="S156" s="26"/>
      <c r="T156" s="13"/>
      <c r="Y156" s="117"/>
      <c r="Z156" s="123"/>
      <c r="AA156" s="123"/>
      <c r="AB156" s="123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25"/>
      <c r="AR156" s="13"/>
      <c r="AU156" s="114"/>
    </row>
    <row r="157" spans="1:47" ht="19.5" x14ac:dyDescent="0.4">
      <c r="A157" s="117"/>
      <c r="B157" s="123"/>
      <c r="C157" s="123"/>
      <c r="D157" s="123"/>
      <c r="H157" s="26">
        <v>45713</v>
      </c>
      <c r="I157" s="13" t="s">
        <v>146</v>
      </c>
      <c r="S157" s="26">
        <v>45699</v>
      </c>
      <c r="T157" s="13" t="s">
        <v>148</v>
      </c>
      <c r="Y157" s="117"/>
      <c r="Z157" s="123"/>
      <c r="AA157" s="123"/>
      <c r="AB157" s="123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25">
        <v>45268</v>
      </c>
      <c r="AR157" s="13" t="s">
        <v>163</v>
      </c>
      <c r="AU157" s="114"/>
    </row>
    <row r="158" spans="1:47" ht="19.5" x14ac:dyDescent="0.4">
      <c r="A158" s="117"/>
      <c r="B158" s="123"/>
      <c r="C158" s="123"/>
      <c r="D158" s="123"/>
      <c r="G158" s="115" t="s">
        <v>394</v>
      </c>
      <c r="H158" s="17">
        <f>SUBTOTAL(3,H157:H157)</f>
        <v>1</v>
      </c>
      <c r="I158" s="13">
        <f>SUBTOTAL(3,I157:I157)</f>
        <v>1</v>
      </c>
      <c r="S158" s="26"/>
      <c r="T158" s="13"/>
      <c r="Y158" s="117"/>
      <c r="Z158" s="123"/>
      <c r="AA158" s="123"/>
      <c r="AB158" s="123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25"/>
      <c r="AR158" s="13"/>
      <c r="AU158" s="114"/>
    </row>
    <row r="159" spans="1:47" ht="19.5" x14ac:dyDescent="0.4">
      <c r="A159" s="117"/>
      <c r="B159" s="123"/>
      <c r="C159" s="123"/>
      <c r="D159" s="123"/>
      <c r="H159" s="26">
        <v>45714</v>
      </c>
      <c r="I159" s="13" t="s">
        <v>147</v>
      </c>
      <c r="L159" s="115"/>
      <c r="M159" s="115"/>
      <c r="N159" s="115"/>
      <c r="O159" s="115"/>
      <c r="P159" s="115"/>
      <c r="Q159" s="115"/>
      <c r="R159" s="115"/>
      <c r="S159" s="26">
        <v>45699</v>
      </c>
      <c r="T159" s="13" t="s">
        <v>148</v>
      </c>
      <c r="Y159" s="117"/>
      <c r="Z159" s="123"/>
      <c r="AA159" s="123"/>
      <c r="AB159" s="123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25"/>
      <c r="AR159" s="13"/>
      <c r="AU159" s="114"/>
    </row>
    <row r="160" spans="1:47" ht="19.5" x14ac:dyDescent="0.4">
      <c r="A160" s="117"/>
      <c r="B160" s="123"/>
      <c r="C160" s="123"/>
      <c r="D160" s="123"/>
      <c r="H160" s="26">
        <v>45714</v>
      </c>
      <c r="I160" s="13" t="s">
        <v>146</v>
      </c>
      <c r="L160" s="115"/>
      <c r="M160" s="115"/>
      <c r="N160" s="115"/>
      <c r="O160" s="115"/>
      <c r="P160" s="115"/>
      <c r="Q160" s="115"/>
      <c r="R160" s="115"/>
      <c r="S160" s="26">
        <v>45699</v>
      </c>
      <c r="T160" s="13" t="s">
        <v>148</v>
      </c>
      <c r="Y160" s="117"/>
      <c r="Z160" s="123"/>
      <c r="AA160" s="123"/>
      <c r="AB160" s="123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25"/>
      <c r="AR160" s="13"/>
      <c r="AU160" s="114"/>
    </row>
    <row r="161" spans="1:47" ht="19.5" x14ac:dyDescent="0.4">
      <c r="A161" s="117"/>
      <c r="B161" s="123"/>
      <c r="C161" s="123"/>
      <c r="D161" s="123"/>
      <c r="H161" s="26">
        <v>45714</v>
      </c>
      <c r="I161" s="13" t="s">
        <v>148</v>
      </c>
      <c r="L161" s="115"/>
      <c r="M161" s="115"/>
      <c r="N161" s="115"/>
      <c r="O161" s="115"/>
      <c r="P161" s="115"/>
      <c r="Q161" s="115"/>
      <c r="R161" s="115"/>
      <c r="S161" s="26">
        <v>45699</v>
      </c>
      <c r="T161" s="13" t="s">
        <v>148</v>
      </c>
      <c r="Y161" s="117"/>
      <c r="Z161" s="123"/>
      <c r="AA161" s="123"/>
      <c r="AB161" s="123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25"/>
      <c r="AR161" s="13"/>
      <c r="AU161" s="114"/>
    </row>
    <row r="162" spans="1:47" ht="19.5" x14ac:dyDescent="0.4">
      <c r="A162" s="117"/>
      <c r="B162" s="123"/>
      <c r="C162" s="123"/>
      <c r="D162" s="123"/>
      <c r="H162" s="26">
        <v>45714</v>
      </c>
      <c r="I162" s="13" t="s">
        <v>146</v>
      </c>
      <c r="S162" s="26">
        <v>45699</v>
      </c>
      <c r="T162" s="13" t="s">
        <v>148</v>
      </c>
      <c r="Y162" s="117"/>
      <c r="Z162" s="123"/>
      <c r="AA162" s="123"/>
      <c r="AB162" s="123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 t="s">
        <v>158</v>
      </c>
      <c r="AQ162" s="13">
        <f>SUBTOTAL(3,AQ148:AQ157)</f>
        <v>4</v>
      </c>
      <c r="AR162" s="13">
        <f>SUBTOTAL(3,AR148:AR157)</f>
        <v>4</v>
      </c>
      <c r="AU162" s="114"/>
    </row>
    <row r="163" spans="1:47" ht="19.5" x14ac:dyDescent="0.4">
      <c r="A163" s="117"/>
      <c r="B163" s="123"/>
      <c r="C163" s="123"/>
      <c r="D163" s="123"/>
      <c r="H163" s="26">
        <v>45714</v>
      </c>
      <c r="I163" s="15" t="s">
        <v>147</v>
      </c>
      <c r="P163" s="115"/>
      <c r="Q163" s="115"/>
      <c r="R163" s="115"/>
      <c r="S163" s="26">
        <v>45706</v>
      </c>
      <c r="T163" s="13" t="s">
        <v>146</v>
      </c>
      <c r="Y163" s="117"/>
      <c r="Z163" s="123"/>
      <c r="AA163" s="123"/>
      <c r="AB163" s="123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3"/>
      <c r="AR163" s="13"/>
      <c r="AU163" s="114"/>
    </row>
    <row r="164" spans="1:47" ht="19.5" x14ac:dyDescent="0.4">
      <c r="A164" s="117"/>
      <c r="B164" s="123"/>
      <c r="C164" s="123"/>
      <c r="D164" s="123"/>
      <c r="H164" s="26">
        <v>45714</v>
      </c>
      <c r="I164" s="13" t="s">
        <v>147</v>
      </c>
      <c r="O164" s="115"/>
      <c r="P164" s="115"/>
      <c r="Q164" s="115"/>
      <c r="R164" s="115"/>
      <c r="S164" s="26">
        <v>45709</v>
      </c>
      <c r="T164" s="13" t="s">
        <v>148</v>
      </c>
      <c r="Y164" s="117"/>
      <c r="Z164" s="123"/>
      <c r="AA164" s="123"/>
      <c r="AB164" s="123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3"/>
      <c r="AR164" s="13"/>
      <c r="AU164" s="114"/>
    </row>
    <row r="165" spans="1:47" ht="19.5" x14ac:dyDescent="0.4">
      <c r="A165" s="117"/>
      <c r="B165" s="123"/>
      <c r="C165" s="123"/>
      <c r="D165" s="123"/>
      <c r="G165" s="115" t="s">
        <v>395</v>
      </c>
      <c r="H165" s="17">
        <f>SUBTOTAL(3,H159:H164)</f>
        <v>6</v>
      </c>
      <c r="I165" s="13">
        <f>SUBTOTAL(3,I159:I164)</f>
        <v>6</v>
      </c>
      <c r="O165" s="115"/>
      <c r="P165" s="115"/>
      <c r="Q165" s="115"/>
      <c r="R165" s="115"/>
      <c r="S165" s="26"/>
      <c r="T165" s="13"/>
      <c r="Y165" s="117"/>
      <c r="Z165" s="123"/>
      <c r="AA165" s="123"/>
      <c r="AB165" s="123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3"/>
      <c r="AR165" s="13"/>
      <c r="AU165" s="114"/>
    </row>
    <row r="166" spans="1:47" ht="19.5" x14ac:dyDescent="0.4">
      <c r="A166" s="117"/>
      <c r="B166" s="123"/>
      <c r="C166" s="123"/>
      <c r="D166" s="123"/>
      <c r="H166" s="26">
        <v>45715</v>
      </c>
      <c r="I166" s="13" t="s">
        <v>147</v>
      </c>
      <c r="O166" s="115"/>
      <c r="P166" s="115"/>
      <c r="Q166" s="115"/>
      <c r="R166" s="115"/>
      <c r="S166" s="26">
        <v>45709</v>
      </c>
      <c r="T166" s="13" t="s">
        <v>147</v>
      </c>
      <c r="Y166" s="117"/>
      <c r="Z166" s="123"/>
      <c r="AA166" s="123"/>
      <c r="AB166" s="123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3"/>
      <c r="AR166" s="13"/>
      <c r="AU166" s="114"/>
    </row>
    <row r="167" spans="1:47" ht="19.5" x14ac:dyDescent="0.4">
      <c r="A167" s="117"/>
      <c r="B167" s="123"/>
      <c r="C167" s="123"/>
      <c r="D167" s="123"/>
      <c r="G167" s="115" t="s">
        <v>396</v>
      </c>
      <c r="H167" s="17">
        <f>SUBTOTAL(3,H166:H166)</f>
        <v>1</v>
      </c>
      <c r="I167" s="13">
        <f>SUBTOTAL(3,I166:I166)</f>
        <v>1</v>
      </c>
      <c r="O167" s="115"/>
      <c r="P167" s="115"/>
      <c r="Q167" s="115"/>
      <c r="R167" s="115"/>
      <c r="S167" s="26"/>
      <c r="T167" s="13"/>
      <c r="Y167" s="117"/>
      <c r="Z167" s="123"/>
      <c r="AA167" s="123"/>
      <c r="AB167" s="123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3"/>
      <c r="AR167" s="13"/>
      <c r="AU167" s="114"/>
    </row>
    <row r="168" spans="1:47" ht="19.5" x14ac:dyDescent="0.4">
      <c r="A168" s="117"/>
      <c r="B168" s="123"/>
      <c r="C168" s="123"/>
      <c r="D168" s="123"/>
      <c r="H168" s="26">
        <v>45716</v>
      </c>
      <c r="I168" s="13" t="s">
        <v>147</v>
      </c>
      <c r="O168" s="115"/>
      <c r="P168" s="115"/>
      <c r="Q168" s="115"/>
      <c r="R168" s="115"/>
      <c r="S168" s="26">
        <v>45712</v>
      </c>
      <c r="T168" s="13" t="s">
        <v>146</v>
      </c>
      <c r="Y168" s="117"/>
      <c r="Z168" s="123"/>
      <c r="AA168" s="123"/>
      <c r="AB168" s="123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3"/>
      <c r="AR168" s="13"/>
      <c r="AU168" s="114"/>
    </row>
    <row r="169" spans="1:47" ht="19.5" x14ac:dyDescent="0.4">
      <c r="A169" s="117"/>
      <c r="B169" s="123"/>
      <c r="C169" s="123"/>
      <c r="D169" s="123"/>
      <c r="H169" s="26">
        <v>45716</v>
      </c>
      <c r="I169" s="13" t="s">
        <v>147</v>
      </c>
      <c r="O169" s="115"/>
      <c r="P169" s="115"/>
      <c r="Q169" s="115"/>
      <c r="R169" s="115"/>
      <c r="S169" s="26">
        <v>45712</v>
      </c>
      <c r="T169" s="13" t="s">
        <v>148</v>
      </c>
      <c r="Y169" s="117"/>
      <c r="Z169" s="123"/>
      <c r="AA169" s="123"/>
      <c r="AB169" s="123"/>
      <c r="AC169" s="115"/>
      <c r="AD169" s="115"/>
      <c r="AE169" s="115"/>
      <c r="AF169" s="115"/>
      <c r="AG169" s="115"/>
      <c r="AH169" s="115"/>
      <c r="AI169" s="115"/>
      <c r="AJ169" s="115"/>
      <c r="AK169" s="115"/>
      <c r="AL169" s="115"/>
      <c r="AM169" s="115"/>
      <c r="AN169" s="115"/>
      <c r="AO169" s="115"/>
      <c r="AP169" s="115"/>
      <c r="AQ169" s="13"/>
      <c r="AR169" s="13"/>
      <c r="AU169" s="114"/>
    </row>
    <row r="170" spans="1:47" ht="19.5" x14ac:dyDescent="0.4">
      <c r="A170" s="117"/>
      <c r="B170" s="123"/>
      <c r="C170" s="123"/>
      <c r="D170" s="123"/>
      <c r="G170" s="115" t="s">
        <v>397</v>
      </c>
      <c r="H170" s="17">
        <f>SUBTOTAL(3,H168:H169)</f>
        <v>2</v>
      </c>
      <c r="I170" s="13">
        <f>SUBTOTAL(3,I168:I169)</f>
        <v>2</v>
      </c>
      <c r="O170" s="115"/>
      <c r="P170" s="115"/>
      <c r="Q170" s="115"/>
      <c r="R170" s="115"/>
      <c r="S170" s="26"/>
      <c r="T170" s="13"/>
      <c r="Y170" s="117"/>
      <c r="Z170" s="123"/>
      <c r="AA170" s="123"/>
      <c r="AB170" s="123"/>
      <c r="AC170" s="115"/>
      <c r="AD170" s="115"/>
      <c r="AE170" s="115"/>
      <c r="AF170" s="115"/>
      <c r="AG170" s="115"/>
      <c r="AH170" s="115"/>
      <c r="AI170" s="115"/>
      <c r="AJ170" s="115"/>
      <c r="AK170" s="115"/>
      <c r="AL170" s="115"/>
      <c r="AM170" s="115"/>
      <c r="AN170" s="115"/>
      <c r="AO170" s="115"/>
      <c r="AP170" s="115"/>
      <c r="AQ170" s="13"/>
      <c r="AR170" s="13"/>
      <c r="AU170" s="114"/>
    </row>
    <row r="171" spans="1:47" ht="19.5" x14ac:dyDescent="0.4">
      <c r="A171" s="117"/>
      <c r="B171" s="123"/>
      <c r="C171" s="123"/>
      <c r="D171" s="123"/>
      <c r="H171" s="26">
        <v>45719</v>
      </c>
      <c r="I171" s="13" t="s">
        <v>146</v>
      </c>
      <c r="M171" s="115"/>
      <c r="N171" s="115"/>
      <c r="O171" s="115"/>
      <c r="P171" s="115"/>
      <c r="Q171" s="115"/>
      <c r="R171" s="115"/>
      <c r="S171" s="26">
        <v>45714</v>
      </c>
      <c r="T171" s="13" t="s">
        <v>147</v>
      </c>
      <c r="Y171" s="117"/>
      <c r="Z171" s="123"/>
      <c r="AA171" s="123"/>
      <c r="AB171" s="123"/>
      <c r="AC171" s="115"/>
      <c r="AD171" s="115"/>
      <c r="AE171" s="115"/>
      <c r="AF171" s="115"/>
      <c r="AG171" s="115"/>
      <c r="AH171" s="115"/>
      <c r="AI171" s="115"/>
      <c r="AJ171" s="115"/>
      <c r="AK171" s="115"/>
      <c r="AL171" s="115"/>
      <c r="AM171" s="115"/>
      <c r="AN171" s="115"/>
      <c r="AO171" s="115"/>
      <c r="AP171" s="115"/>
      <c r="AQ171" s="13"/>
      <c r="AR171" s="13"/>
      <c r="AU171" s="114"/>
    </row>
    <row r="172" spans="1:47" ht="19.5" x14ac:dyDescent="0.4">
      <c r="A172" s="117"/>
      <c r="B172" s="123"/>
      <c r="C172" s="123"/>
      <c r="D172" s="123"/>
      <c r="H172" s="26">
        <v>45719</v>
      </c>
      <c r="I172" s="13" t="s">
        <v>146</v>
      </c>
      <c r="S172" s="26">
        <v>45714</v>
      </c>
      <c r="T172" s="13" t="s">
        <v>147</v>
      </c>
      <c r="Y172" s="117"/>
      <c r="Z172" s="123"/>
      <c r="AA172" s="123"/>
      <c r="AB172" s="123"/>
      <c r="AC172" s="115"/>
      <c r="AD172" s="115"/>
      <c r="AE172" s="115"/>
      <c r="AF172" s="115"/>
      <c r="AG172" s="115"/>
      <c r="AH172" s="115"/>
      <c r="AI172" s="115"/>
      <c r="AJ172" s="115"/>
      <c r="AK172" s="115"/>
      <c r="AL172" s="115"/>
      <c r="AM172" s="115"/>
      <c r="AN172" s="115"/>
      <c r="AO172" s="115"/>
      <c r="AP172" s="115"/>
      <c r="AQ172" s="25">
        <v>45269</v>
      </c>
      <c r="AR172" s="13" t="s">
        <v>163</v>
      </c>
      <c r="AU172" s="114"/>
    </row>
    <row r="173" spans="1:47" ht="19.5" x14ac:dyDescent="0.4">
      <c r="A173" s="117"/>
      <c r="B173" s="123"/>
      <c r="C173" s="123"/>
      <c r="D173" s="123"/>
      <c r="H173" s="26">
        <v>45719</v>
      </c>
      <c r="I173" s="13" t="s">
        <v>146</v>
      </c>
      <c r="J173" s="115"/>
      <c r="K173" s="115"/>
      <c r="L173" s="115"/>
      <c r="M173" s="115"/>
      <c r="N173" s="115"/>
      <c r="O173" s="115"/>
      <c r="P173" s="115"/>
      <c r="Q173" s="115"/>
      <c r="R173" s="115"/>
      <c r="S173" s="26">
        <v>45714</v>
      </c>
      <c r="T173" s="13" t="s">
        <v>147</v>
      </c>
      <c r="Y173" s="117"/>
      <c r="Z173" s="123"/>
      <c r="AA173" s="123"/>
      <c r="AB173" s="123"/>
      <c r="AC173" s="115"/>
      <c r="AD173" s="115"/>
      <c r="AE173" s="115"/>
      <c r="AF173" s="115"/>
      <c r="AG173" s="115"/>
      <c r="AH173" s="115"/>
      <c r="AI173" s="115"/>
      <c r="AJ173" s="115"/>
      <c r="AK173" s="115"/>
      <c r="AL173" s="115"/>
      <c r="AM173" s="115"/>
      <c r="AN173" s="115"/>
      <c r="AO173" s="115"/>
      <c r="AP173" s="115"/>
      <c r="AQ173" s="25"/>
      <c r="AR173" s="13"/>
      <c r="AU173" s="114"/>
    </row>
    <row r="174" spans="1:47" ht="19.5" x14ac:dyDescent="0.4">
      <c r="A174" s="117"/>
      <c r="B174" s="123"/>
      <c r="C174" s="123"/>
      <c r="D174" s="123"/>
      <c r="H174" s="26">
        <v>45719</v>
      </c>
      <c r="I174" s="13" t="s">
        <v>146</v>
      </c>
      <c r="J174" s="115"/>
      <c r="K174" s="115"/>
      <c r="L174" s="115"/>
      <c r="M174" s="115"/>
      <c r="N174" s="115"/>
      <c r="O174" s="115"/>
      <c r="P174" s="115"/>
      <c r="Q174" s="115" t="s">
        <v>145</v>
      </c>
      <c r="R174" s="115">
        <f>SUBTOTAL(3,R2:R173)</f>
        <v>0</v>
      </c>
      <c r="S174" s="26"/>
      <c r="T174" s="13">
        <f>SUBTOTAL(3,T2:T173)</f>
        <v>145</v>
      </c>
      <c r="Y174" s="117"/>
      <c r="Z174" s="123"/>
      <c r="AA174" s="123"/>
      <c r="AB174" s="123"/>
      <c r="AC174" s="115"/>
      <c r="AD174" s="115"/>
      <c r="AE174" s="115"/>
      <c r="AF174" s="115"/>
      <c r="AG174" s="115"/>
      <c r="AH174" s="115"/>
      <c r="AI174" s="115"/>
      <c r="AJ174" s="115"/>
      <c r="AK174" s="115"/>
      <c r="AL174" s="115"/>
      <c r="AM174" s="115"/>
      <c r="AN174" s="115"/>
      <c r="AO174" s="115"/>
      <c r="AP174" s="115"/>
      <c r="AQ174" s="25"/>
      <c r="AR174" s="13"/>
      <c r="AU174" s="114"/>
    </row>
    <row r="175" spans="1:47" ht="19.5" x14ac:dyDescent="0.4">
      <c r="A175" s="117"/>
      <c r="B175" s="123"/>
      <c r="C175" s="123"/>
      <c r="D175" s="123"/>
      <c r="H175" s="26">
        <v>45719</v>
      </c>
      <c r="I175" s="13" t="s">
        <v>146</v>
      </c>
      <c r="S175" s="26"/>
      <c r="T175" s="13"/>
      <c r="Y175" s="117"/>
      <c r="Z175" s="123"/>
      <c r="AA175" s="123"/>
      <c r="AB175" s="123"/>
      <c r="AC175" s="115"/>
      <c r="AD175" s="115"/>
      <c r="AE175" s="115"/>
      <c r="AF175" s="115"/>
      <c r="AG175" s="115"/>
      <c r="AH175" s="115"/>
      <c r="AI175" s="115"/>
      <c r="AJ175" s="115"/>
      <c r="AK175" s="115"/>
      <c r="AL175" s="115"/>
      <c r="AM175" s="115"/>
      <c r="AN175" s="115"/>
      <c r="AO175" s="115"/>
      <c r="AP175" s="115"/>
      <c r="AQ175" s="25">
        <v>45269</v>
      </c>
      <c r="AR175" s="13" t="s">
        <v>163</v>
      </c>
      <c r="AU175" s="114"/>
    </row>
    <row r="176" spans="1:47" ht="19.5" x14ac:dyDescent="0.4">
      <c r="A176" s="117"/>
      <c r="B176" s="123"/>
      <c r="C176" s="123"/>
      <c r="D176" s="123"/>
      <c r="H176" s="26">
        <v>45719</v>
      </c>
      <c r="I176" s="13" t="s">
        <v>146</v>
      </c>
      <c r="L176" s="115"/>
      <c r="M176" s="115"/>
      <c r="N176" s="115"/>
      <c r="O176" s="115"/>
      <c r="P176" s="115"/>
      <c r="Q176" s="115"/>
      <c r="R176" s="115"/>
      <c r="S176" s="26"/>
      <c r="T176" s="13"/>
      <c r="Y176" s="117"/>
      <c r="Z176" s="123"/>
      <c r="AA176" s="123"/>
      <c r="AB176" s="123"/>
      <c r="AC176" s="115"/>
      <c r="AD176" s="115"/>
      <c r="AE176" s="115"/>
      <c r="AF176" s="115"/>
      <c r="AG176" s="115"/>
      <c r="AH176" s="115"/>
      <c r="AI176" s="115"/>
      <c r="AJ176" s="115"/>
      <c r="AK176" s="115"/>
      <c r="AL176" s="115"/>
      <c r="AM176" s="115"/>
      <c r="AN176" s="115"/>
      <c r="AO176" s="115"/>
      <c r="AP176" s="115"/>
      <c r="AQ176" s="25"/>
      <c r="AR176" s="13"/>
      <c r="AU176" s="114"/>
    </row>
    <row r="177" spans="1:47" ht="19.5" x14ac:dyDescent="0.4">
      <c r="A177" s="117"/>
      <c r="B177" s="123"/>
      <c r="C177" s="123"/>
      <c r="D177" s="123"/>
      <c r="H177" s="26">
        <v>45719</v>
      </c>
      <c r="I177" s="13" t="s">
        <v>146</v>
      </c>
      <c r="S177" s="26"/>
      <c r="T177" s="13"/>
      <c r="Y177" s="117"/>
      <c r="Z177" s="123"/>
      <c r="AA177" s="123"/>
      <c r="AB177" s="123"/>
      <c r="AC177" s="115"/>
      <c r="AD177" s="115"/>
      <c r="AE177" s="115"/>
      <c r="AF177" s="115"/>
      <c r="AG177" s="115"/>
      <c r="AH177" s="115"/>
      <c r="AI177" s="115"/>
      <c r="AJ177" s="115"/>
      <c r="AK177" s="115"/>
      <c r="AL177" s="115"/>
      <c r="AM177" s="115"/>
      <c r="AN177" s="115"/>
      <c r="AO177" s="115"/>
      <c r="AP177" s="115" t="s">
        <v>159</v>
      </c>
      <c r="AQ177" s="13">
        <f>SUBTOTAL(3,AQ172:AQ175)</f>
        <v>2</v>
      </c>
      <c r="AR177" s="13">
        <f>SUBTOTAL(3,AR172:AR175)</f>
        <v>2</v>
      </c>
      <c r="AU177" s="114"/>
    </row>
    <row r="178" spans="1:47" ht="19.5" x14ac:dyDescent="0.4">
      <c r="A178" s="117"/>
      <c r="B178" s="123"/>
      <c r="C178" s="123"/>
      <c r="D178" s="123"/>
      <c r="H178" s="26">
        <v>45719</v>
      </c>
      <c r="I178" s="13" t="s">
        <v>146</v>
      </c>
      <c r="J178" s="115"/>
      <c r="K178" s="115"/>
      <c r="L178" s="115"/>
      <c r="M178" s="115"/>
      <c r="N178" s="115"/>
      <c r="O178" s="115"/>
      <c r="P178" s="115"/>
      <c r="Q178" s="115"/>
      <c r="R178" s="115"/>
      <c r="S178" s="26"/>
      <c r="T178" s="13"/>
      <c r="Y178" s="117"/>
      <c r="Z178" s="123"/>
      <c r="AA178" s="123"/>
      <c r="AB178" s="123"/>
      <c r="AC178" s="115"/>
      <c r="AD178" s="115"/>
      <c r="AE178" s="115"/>
      <c r="AF178" s="115"/>
      <c r="AG178" s="115"/>
      <c r="AH178" s="115"/>
      <c r="AI178" s="115"/>
      <c r="AJ178" s="115"/>
      <c r="AK178" s="115"/>
      <c r="AL178" s="115"/>
      <c r="AM178" s="115"/>
      <c r="AN178" s="115"/>
      <c r="AO178" s="115"/>
      <c r="AP178" s="115"/>
      <c r="AQ178" s="13"/>
      <c r="AR178" s="13"/>
      <c r="AU178" s="114"/>
    </row>
    <row r="179" spans="1:47" ht="19.5" x14ac:dyDescent="0.4">
      <c r="A179" s="117"/>
      <c r="B179" s="123"/>
      <c r="C179" s="123"/>
      <c r="D179" s="123"/>
      <c r="H179" s="26">
        <v>45719</v>
      </c>
      <c r="I179" s="13" t="s">
        <v>146</v>
      </c>
      <c r="J179" s="115"/>
      <c r="K179" s="115"/>
      <c r="L179" s="115"/>
      <c r="M179" s="115"/>
      <c r="N179" s="115"/>
      <c r="O179" s="115"/>
      <c r="P179" s="115"/>
      <c r="Q179" s="115"/>
      <c r="R179" s="115"/>
      <c r="S179" s="26"/>
      <c r="T179" s="13"/>
      <c r="Y179" s="117"/>
      <c r="Z179" s="123"/>
      <c r="AA179" s="123"/>
      <c r="AB179" s="123"/>
      <c r="AC179" s="115"/>
      <c r="AD179" s="115"/>
      <c r="AE179" s="115"/>
      <c r="AF179" s="115"/>
      <c r="AG179" s="115"/>
      <c r="AH179" s="115"/>
      <c r="AI179" s="115"/>
      <c r="AJ179" s="115"/>
      <c r="AK179" s="115"/>
      <c r="AL179" s="115"/>
      <c r="AM179" s="115"/>
      <c r="AN179" s="115"/>
      <c r="AO179" s="115"/>
      <c r="AP179" s="115"/>
      <c r="AQ179" s="13"/>
      <c r="AR179" s="13"/>
      <c r="AU179" s="114"/>
    </row>
    <row r="180" spans="1:47" ht="19.5" x14ac:dyDescent="0.4">
      <c r="A180" s="117"/>
      <c r="B180" s="123"/>
      <c r="C180" s="123"/>
      <c r="D180" s="123"/>
      <c r="F180" s="115"/>
      <c r="G180" s="115"/>
      <c r="H180" s="26">
        <v>45719</v>
      </c>
      <c r="I180" s="13" t="s">
        <v>146</v>
      </c>
      <c r="J180" s="115"/>
      <c r="K180" s="115"/>
      <c r="L180" s="115"/>
      <c r="M180" s="115"/>
      <c r="N180" s="115"/>
      <c r="O180" s="115"/>
      <c r="P180" s="115"/>
      <c r="Q180" s="115"/>
      <c r="R180" s="115"/>
      <c r="S180" s="26"/>
      <c r="T180" s="13"/>
      <c r="Y180" s="117"/>
      <c r="Z180" s="123"/>
      <c r="AA180" s="123"/>
      <c r="AB180" s="123"/>
      <c r="AC180" s="115"/>
      <c r="AD180" s="115"/>
      <c r="AE180" s="115"/>
      <c r="AF180" s="115"/>
      <c r="AG180" s="115"/>
      <c r="AH180" s="115"/>
      <c r="AI180" s="115"/>
      <c r="AJ180" s="115"/>
      <c r="AK180" s="115"/>
      <c r="AL180" s="115"/>
      <c r="AM180" s="115"/>
      <c r="AN180" s="115"/>
      <c r="AO180" s="115"/>
      <c r="AP180" s="115"/>
      <c r="AQ180" s="13"/>
      <c r="AR180" s="13"/>
      <c r="AU180" s="114"/>
    </row>
    <row r="181" spans="1:47" ht="19.5" x14ac:dyDescent="0.4">
      <c r="A181" s="117"/>
      <c r="B181" s="123"/>
      <c r="C181" s="123"/>
      <c r="D181" s="123"/>
      <c r="H181" s="26">
        <v>45719</v>
      </c>
      <c r="I181" s="13" t="s">
        <v>146</v>
      </c>
      <c r="S181" s="26"/>
      <c r="T181" s="13"/>
      <c r="Y181" s="117"/>
      <c r="Z181" s="123"/>
      <c r="AA181" s="123"/>
      <c r="AB181" s="123"/>
      <c r="AC181" s="115"/>
      <c r="AD181" s="115"/>
      <c r="AE181" s="115"/>
      <c r="AF181" s="115"/>
      <c r="AG181" s="115"/>
      <c r="AH181" s="115"/>
      <c r="AI181" s="115"/>
      <c r="AJ181" s="115"/>
      <c r="AK181" s="115"/>
      <c r="AL181" s="115"/>
      <c r="AM181" s="115"/>
      <c r="AN181" s="115"/>
      <c r="AO181" s="115"/>
      <c r="AP181" s="115"/>
      <c r="AQ181" s="25">
        <v>45270</v>
      </c>
      <c r="AR181" s="13" t="s">
        <v>164</v>
      </c>
      <c r="AU181" s="114"/>
    </row>
    <row r="182" spans="1:47" ht="19.5" x14ac:dyDescent="0.4">
      <c r="A182" s="117"/>
      <c r="B182" s="123"/>
      <c r="C182" s="123"/>
      <c r="D182" s="123"/>
      <c r="H182" s="26">
        <v>45719</v>
      </c>
      <c r="I182" s="13" t="s">
        <v>146</v>
      </c>
      <c r="N182" s="115"/>
      <c r="O182" s="115"/>
      <c r="P182" s="115"/>
      <c r="Q182" s="115"/>
      <c r="R182" s="115"/>
      <c r="S182" s="17"/>
      <c r="T182" s="13"/>
      <c r="Y182" s="117"/>
      <c r="Z182" s="123"/>
      <c r="AA182" s="123"/>
      <c r="AB182" s="123"/>
      <c r="AC182" s="115"/>
      <c r="AD182" s="115"/>
      <c r="AE182" s="115"/>
      <c r="AF182" s="115"/>
      <c r="AG182" s="115"/>
      <c r="AH182" s="115"/>
      <c r="AI182" s="115"/>
      <c r="AJ182" s="115"/>
      <c r="AK182" s="115"/>
      <c r="AL182" s="115"/>
      <c r="AM182" s="115"/>
      <c r="AN182" s="115"/>
      <c r="AO182" s="115"/>
      <c r="AP182" s="115"/>
      <c r="AQ182" s="25"/>
      <c r="AR182" s="13"/>
      <c r="AU182" s="114"/>
    </row>
    <row r="183" spans="1:47" ht="19.5" x14ac:dyDescent="0.4">
      <c r="A183" s="117"/>
      <c r="B183" s="123"/>
      <c r="C183" s="123"/>
      <c r="D183" s="123"/>
      <c r="H183" s="26">
        <v>45719</v>
      </c>
      <c r="I183" s="13" t="s">
        <v>146</v>
      </c>
      <c r="S183" s="26"/>
      <c r="T183" s="13"/>
      <c r="Y183" s="117"/>
      <c r="Z183" s="123"/>
      <c r="AA183" s="123"/>
      <c r="AB183" s="123"/>
      <c r="AC183" s="115"/>
      <c r="AD183" s="115"/>
      <c r="AE183" s="115"/>
      <c r="AF183" s="115"/>
      <c r="AG183" s="115"/>
      <c r="AH183" s="115"/>
      <c r="AI183" s="115"/>
      <c r="AJ183" s="115"/>
      <c r="AK183" s="115"/>
      <c r="AL183" s="115"/>
      <c r="AM183" s="115"/>
      <c r="AN183" s="115"/>
      <c r="AO183" s="115"/>
      <c r="AP183" s="115"/>
      <c r="AQ183" s="25"/>
      <c r="AR183" s="13"/>
      <c r="AU183" s="114"/>
    </row>
    <row r="184" spans="1:47" ht="19.5" x14ac:dyDescent="0.4">
      <c r="A184" s="117"/>
      <c r="B184" s="123"/>
      <c r="C184" s="123"/>
      <c r="D184" s="123"/>
      <c r="H184" s="26">
        <v>45719</v>
      </c>
      <c r="I184" s="13" t="s">
        <v>146</v>
      </c>
      <c r="K184" s="115"/>
      <c r="L184" s="115"/>
      <c r="M184" s="115"/>
      <c r="N184" s="115"/>
      <c r="O184" s="115"/>
      <c r="P184" s="115"/>
      <c r="Q184" s="115"/>
      <c r="R184" s="115"/>
      <c r="S184" s="26"/>
      <c r="T184" s="13"/>
      <c r="Y184" s="117"/>
      <c r="Z184" s="123"/>
      <c r="AA184" s="123"/>
      <c r="AB184" s="123"/>
      <c r="AC184" s="115"/>
      <c r="AD184" s="115"/>
      <c r="AE184" s="115"/>
      <c r="AF184" s="115"/>
      <c r="AG184" s="115"/>
      <c r="AH184" s="115"/>
      <c r="AI184" s="115"/>
      <c r="AJ184" s="115"/>
      <c r="AK184" s="115"/>
      <c r="AL184" s="115"/>
      <c r="AM184" s="115"/>
      <c r="AN184" s="115"/>
      <c r="AO184" s="115"/>
      <c r="AP184" s="115"/>
      <c r="AQ184" s="25"/>
      <c r="AR184" s="13"/>
      <c r="AU184" s="114"/>
    </row>
    <row r="185" spans="1:47" ht="19.5" x14ac:dyDescent="0.4">
      <c r="A185" s="117"/>
      <c r="B185" s="123"/>
      <c r="C185" s="123"/>
      <c r="D185" s="123"/>
      <c r="H185" s="26">
        <v>45719</v>
      </c>
      <c r="I185" s="13" t="s">
        <v>146</v>
      </c>
      <c r="S185" s="26"/>
      <c r="T185" s="13"/>
      <c r="Y185" s="117"/>
      <c r="Z185" s="123"/>
      <c r="AA185" s="123"/>
      <c r="AB185" s="123"/>
      <c r="AC185" s="115"/>
      <c r="AD185" s="115"/>
      <c r="AE185" s="115"/>
      <c r="AF185" s="115"/>
      <c r="AG185" s="115"/>
      <c r="AH185" s="115"/>
      <c r="AI185" s="115"/>
      <c r="AJ185" s="115"/>
      <c r="AK185" s="115"/>
      <c r="AL185" s="115"/>
      <c r="AM185" s="115"/>
      <c r="AN185" s="115"/>
      <c r="AO185" s="115"/>
      <c r="AP185" s="115"/>
      <c r="AQ185" s="25">
        <v>45270</v>
      </c>
      <c r="AR185" s="13" t="s">
        <v>164</v>
      </c>
      <c r="AU185" s="114"/>
    </row>
    <row r="186" spans="1:47" ht="19.5" x14ac:dyDescent="0.4">
      <c r="A186" s="117"/>
      <c r="B186" s="123"/>
      <c r="C186" s="123"/>
      <c r="D186" s="123"/>
      <c r="H186" s="26">
        <v>45719</v>
      </c>
      <c r="I186" s="13" t="s">
        <v>146</v>
      </c>
      <c r="M186" s="115"/>
      <c r="N186" s="115"/>
      <c r="O186" s="115"/>
      <c r="P186" s="115"/>
      <c r="Q186" s="115"/>
      <c r="R186" s="115"/>
      <c r="S186" s="26"/>
      <c r="T186" s="13"/>
      <c r="Y186" s="117"/>
      <c r="Z186" s="123"/>
      <c r="AA186" s="123"/>
      <c r="AB186" s="123"/>
      <c r="AC186" s="115"/>
      <c r="AD186" s="115"/>
      <c r="AE186" s="115"/>
      <c r="AF186" s="115"/>
      <c r="AG186" s="115"/>
      <c r="AH186" s="115"/>
      <c r="AI186" s="115"/>
      <c r="AJ186" s="115"/>
      <c r="AK186" s="115"/>
      <c r="AL186" s="115"/>
      <c r="AM186" s="115"/>
      <c r="AN186" s="115"/>
      <c r="AO186" s="115"/>
      <c r="AP186" s="115"/>
      <c r="AQ186" s="25"/>
      <c r="AR186" s="13"/>
      <c r="AU186" s="114"/>
    </row>
    <row r="187" spans="1:47" ht="19.5" x14ac:dyDescent="0.4">
      <c r="A187" s="117"/>
      <c r="B187" s="123"/>
      <c r="C187" s="123"/>
      <c r="D187" s="123"/>
      <c r="F187" s="115"/>
      <c r="G187" s="115"/>
      <c r="H187" s="26">
        <v>45719</v>
      </c>
      <c r="I187" s="13" t="s">
        <v>146</v>
      </c>
      <c r="J187" s="115"/>
      <c r="K187" s="115"/>
      <c r="L187" s="115"/>
      <c r="M187" s="115"/>
      <c r="N187" s="115"/>
      <c r="O187" s="115"/>
      <c r="P187" s="115"/>
      <c r="Q187" s="115"/>
      <c r="R187" s="115"/>
      <c r="S187" s="26"/>
      <c r="T187" s="13"/>
      <c r="Y187" s="117"/>
      <c r="Z187" s="123"/>
      <c r="AA187" s="123"/>
      <c r="AB187" s="123"/>
      <c r="AC187" s="115"/>
      <c r="AD187" s="115"/>
      <c r="AE187" s="115"/>
      <c r="AF187" s="115"/>
      <c r="AG187" s="115"/>
      <c r="AH187" s="115"/>
      <c r="AI187" s="115"/>
      <c r="AJ187" s="115"/>
      <c r="AK187" s="115"/>
      <c r="AL187" s="115"/>
      <c r="AM187" s="115"/>
      <c r="AN187" s="115"/>
      <c r="AO187" s="115"/>
      <c r="AP187" s="115"/>
      <c r="AQ187" s="25"/>
      <c r="AR187" s="13"/>
      <c r="AU187" s="114"/>
    </row>
    <row r="188" spans="1:47" ht="19.5" x14ac:dyDescent="0.4">
      <c r="A188" s="117"/>
      <c r="B188" s="123"/>
      <c r="C188" s="123"/>
      <c r="D188" s="123"/>
      <c r="H188" s="26">
        <v>45719</v>
      </c>
      <c r="I188" s="15" t="s">
        <v>146</v>
      </c>
      <c r="S188" s="26"/>
      <c r="T188" s="13"/>
      <c r="Y188" s="117"/>
      <c r="Z188" s="123"/>
      <c r="AA188" s="123"/>
      <c r="AB188" s="123"/>
      <c r="AC188" s="115"/>
      <c r="AD188" s="115"/>
      <c r="AE188" s="115"/>
      <c r="AF188" s="115"/>
      <c r="AG188" s="115"/>
      <c r="AH188" s="115"/>
      <c r="AI188" s="115"/>
      <c r="AJ188" s="115"/>
      <c r="AK188" s="115"/>
      <c r="AL188" s="115"/>
      <c r="AM188" s="115"/>
      <c r="AN188" s="115"/>
      <c r="AO188" s="115"/>
      <c r="AP188" s="115"/>
      <c r="AQ188" s="25">
        <v>45270</v>
      </c>
      <c r="AR188" s="13" t="s">
        <v>162</v>
      </c>
      <c r="AU188" s="114"/>
    </row>
    <row r="189" spans="1:47" ht="19.5" x14ac:dyDescent="0.4">
      <c r="A189" s="117"/>
      <c r="B189" s="123"/>
      <c r="C189" s="123"/>
      <c r="D189" s="123"/>
      <c r="H189" s="26">
        <v>45719</v>
      </c>
      <c r="I189" s="15" t="s">
        <v>146</v>
      </c>
      <c r="L189" s="115"/>
      <c r="M189" s="115"/>
      <c r="N189" s="115"/>
      <c r="O189" s="115"/>
      <c r="P189" s="115"/>
      <c r="Q189" s="115"/>
      <c r="R189" s="115"/>
      <c r="S189" s="26"/>
      <c r="T189" s="15"/>
      <c r="Y189" s="117"/>
      <c r="Z189" s="123"/>
      <c r="AA189" s="123"/>
      <c r="AB189" s="123"/>
      <c r="AC189" s="115"/>
      <c r="AD189" s="115"/>
      <c r="AE189" s="115"/>
      <c r="AF189" s="115"/>
      <c r="AG189" s="115"/>
      <c r="AH189" s="115"/>
      <c r="AI189" s="115"/>
      <c r="AJ189" s="115"/>
      <c r="AK189" s="115"/>
      <c r="AL189" s="115"/>
      <c r="AM189" s="115"/>
      <c r="AN189" s="115"/>
      <c r="AO189" s="115"/>
      <c r="AP189" s="115"/>
      <c r="AQ189" s="25"/>
      <c r="AR189" s="13"/>
      <c r="AU189" s="114"/>
    </row>
    <row r="190" spans="1:47" ht="19.5" x14ac:dyDescent="0.4">
      <c r="A190" s="117"/>
      <c r="B190" s="123"/>
      <c r="C190" s="123"/>
      <c r="D190" s="123"/>
      <c r="G190" s="115" t="s">
        <v>398</v>
      </c>
      <c r="H190" s="17">
        <f>SUBTOTAL(3,H171:H189)</f>
        <v>19</v>
      </c>
      <c r="I190" s="15">
        <f>SUBTOTAL(3,I171:I189)</f>
        <v>19</v>
      </c>
      <c r="L190" s="115"/>
      <c r="M190" s="115"/>
      <c r="N190" s="115"/>
      <c r="O190" s="115"/>
      <c r="P190" s="115"/>
      <c r="Q190" s="115"/>
      <c r="R190" s="115"/>
      <c r="S190" s="26"/>
      <c r="T190" s="13"/>
      <c r="Y190" s="117"/>
      <c r="Z190" s="123"/>
      <c r="AA190" s="123"/>
      <c r="AB190" s="123"/>
      <c r="AC190" s="115"/>
      <c r="AD190" s="115"/>
      <c r="AE190" s="115"/>
      <c r="AF190" s="115"/>
      <c r="AG190" s="115"/>
      <c r="AH190" s="115"/>
      <c r="AI190" s="115"/>
      <c r="AJ190" s="115"/>
      <c r="AK190" s="115"/>
      <c r="AL190" s="115"/>
      <c r="AM190" s="115"/>
      <c r="AN190" s="115"/>
      <c r="AO190" s="115"/>
      <c r="AP190" s="115"/>
      <c r="AQ190" s="25"/>
      <c r="AR190" s="13"/>
      <c r="AU190" s="114"/>
    </row>
    <row r="191" spans="1:47" ht="19.5" x14ac:dyDescent="0.4">
      <c r="A191" s="117"/>
      <c r="B191" s="123"/>
      <c r="C191" s="123"/>
      <c r="D191" s="123"/>
      <c r="H191" s="26">
        <v>45722</v>
      </c>
      <c r="I191" s="15" t="s">
        <v>147</v>
      </c>
      <c r="S191" s="26"/>
      <c r="T191" s="13"/>
      <c r="Y191" s="117"/>
      <c r="Z191" s="123"/>
      <c r="AA191" s="123"/>
      <c r="AB191" s="123"/>
      <c r="AC191" s="115"/>
      <c r="AD191" s="115"/>
      <c r="AE191" s="115"/>
      <c r="AF191" s="115"/>
      <c r="AG191" s="115"/>
      <c r="AH191" s="115"/>
      <c r="AI191" s="115"/>
      <c r="AJ191" s="115"/>
      <c r="AK191" s="115"/>
      <c r="AL191" s="115"/>
      <c r="AM191" s="115"/>
      <c r="AN191" s="115"/>
      <c r="AO191" s="115"/>
      <c r="AP191" s="115"/>
      <c r="AQ191" s="25">
        <v>45270</v>
      </c>
      <c r="AR191" s="13" t="s">
        <v>162</v>
      </c>
      <c r="AU191" s="114"/>
    </row>
    <row r="192" spans="1:47" ht="19.5" x14ac:dyDescent="0.4">
      <c r="A192" s="117"/>
      <c r="B192" s="123"/>
      <c r="C192" s="123"/>
      <c r="D192" s="123"/>
      <c r="G192" s="115" t="s">
        <v>399</v>
      </c>
      <c r="H192" s="17">
        <f>SUBTOTAL(3,H191:H191)</f>
        <v>1</v>
      </c>
      <c r="I192" s="15">
        <f>SUBTOTAL(3,I191:I191)</f>
        <v>1</v>
      </c>
      <c r="S192" s="26"/>
      <c r="T192" s="13"/>
      <c r="Y192" s="117"/>
      <c r="Z192" s="123"/>
      <c r="AA192" s="123"/>
      <c r="AB192" s="123"/>
      <c r="AC192" s="115"/>
      <c r="AD192" s="115"/>
      <c r="AE192" s="115"/>
      <c r="AF192" s="115"/>
      <c r="AG192" s="115"/>
      <c r="AH192" s="115"/>
      <c r="AI192" s="115"/>
      <c r="AJ192" s="115"/>
      <c r="AK192" s="115"/>
      <c r="AL192" s="115"/>
      <c r="AM192" s="115"/>
      <c r="AN192" s="115"/>
      <c r="AO192" s="115"/>
      <c r="AP192" s="115"/>
      <c r="AQ192" s="25"/>
      <c r="AR192" s="13"/>
      <c r="AU192" s="114"/>
    </row>
    <row r="193" spans="1:47" ht="19.5" x14ac:dyDescent="0.4">
      <c r="A193" s="117"/>
      <c r="B193" s="123"/>
      <c r="C193" s="123"/>
      <c r="D193" s="123"/>
      <c r="H193" s="26">
        <v>45724</v>
      </c>
      <c r="I193" s="15" t="s">
        <v>147</v>
      </c>
      <c r="N193" s="115"/>
      <c r="O193" s="115"/>
      <c r="P193" s="115"/>
      <c r="Q193" s="115"/>
      <c r="R193" s="115"/>
      <c r="S193" s="17"/>
      <c r="T193" s="13"/>
      <c r="Y193" s="117"/>
      <c r="Z193" s="123"/>
      <c r="AA193" s="123"/>
      <c r="AB193" s="123"/>
      <c r="AC193" s="115"/>
      <c r="AD193" s="115"/>
      <c r="AE193" s="115"/>
      <c r="AF193" s="115"/>
      <c r="AG193" s="115"/>
      <c r="AH193" s="115"/>
      <c r="AI193" s="115"/>
      <c r="AJ193" s="115"/>
      <c r="AK193" s="115"/>
      <c r="AL193" s="115"/>
      <c r="AM193" s="115"/>
      <c r="AN193" s="115"/>
      <c r="AO193" s="115"/>
      <c r="AP193" s="115"/>
      <c r="AQ193" s="25"/>
      <c r="AR193" s="13"/>
      <c r="AU193" s="114"/>
    </row>
    <row r="194" spans="1:47" ht="19.5" x14ac:dyDescent="0.4">
      <c r="A194" s="117"/>
      <c r="B194" s="123"/>
      <c r="C194" s="123"/>
      <c r="D194" s="123"/>
      <c r="G194" s="115" t="s">
        <v>400</v>
      </c>
      <c r="H194" s="119">
        <f>SUBTOTAL(3,H193:H193)</f>
        <v>1</v>
      </c>
      <c r="I194" s="119">
        <f>SUBTOTAL(3,I193:I193)</f>
        <v>1</v>
      </c>
      <c r="N194" s="115"/>
      <c r="O194" s="115"/>
      <c r="P194" s="115"/>
      <c r="Q194" s="115"/>
      <c r="R194" s="115"/>
      <c r="S194" s="17"/>
      <c r="T194" s="13"/>
      <c r="Y194" s="117"/>
      <c r="Z194" s="123"/>
      <c r="AA194" s="123"/>
      <c r="AB194" s="123"/>
      <c r="AC194" s="115"/>
      <c r="AD194" s="115"/>
      <c r="AE194" s="115"/>
      <c r="AF194" s="115"/>
      <c r="AG194" s="115"/>
      <c r="AH194" s="115"/>
      <c r="AI194" s="115"/>
      <c r="AJ194" s="115"/>
      <c r="AK194" s="115"/>
      <c r="AL194" s="115"/>
      <c r="AM194" s="115"/>
      <c r="AN194" s="115"/>
      <c r="AO194" s="115"/>
      <c r="AP194" s="115"/>
      <c r="AQ194" s="25"/>
      <c r="AR194" s="13"/>
      <c r="AU194" s="114"/>
    </row>
    <row r="195" spans="1:47" ht="19.5" x14ac:dyDescent="0.4">
      <c r="A195" s="117"/>
      <c r="B195" s="123"/>
      <c r="C195" s="123"/>
      <c r="D195" s="123"/>
      <c r="G195" s="115" t="s">
        <v>145</v>
      </c>
      <c r="H195" s="119">
        <f>SUBTOTAL(3,H2:H193)</f>
        <v>163</v>
      </c>
      <c r="I195" s="119">
        <f>SUBTOTAL(3,I2:I193)</f>
        <v>163</v>
      </c>
      <c r="N195" s="115"/>
      <c r="O195" s="115"/>
      <c r="P195" s="115"/>
      <c r="Q195" s="115"/>
      <c r="R195" s="115"/>
      <c r="S195" s="17"/>
      <c r="T195" s="13"/>
      <c r="Y195" s="117"/>
      <c r="Z195" s="123"/>
      <c r="AA195" s="123"/>
      <c r="AB195" s="123"/>
      <c r="AC195" s="115"/>
      <c r="AD195" s="115"/>
      <c r="AE195" s="115"/>
      <c r="AF195" s="115"/>
      <c r="AG195" s="115"/>
      <c r="AH195" s="115"/>
      <c r="AI195" s="115"/>
      <c r="AJ195" s="115"/>
      <c r="AK195" s="115"/>
      <c r="AL195" s="115"/>
      <c r="AM195" s="115"/>
      <c r="AN195" s="115"/>
      <c r="AO195" s="115"/>
      <c r="AP195" s="115"/>
      <c r="AQ195" s="25"/>
      <c r="AR195" s="13"/>
      <c r="AU195" s="114"/>
    </row>
    <row r="196" spans="1:47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26"/>
      <c r="T196" s="13"/>
      <c r="Y196" s="117"/>
      <c r="Z196" s="123"/>
      <c r="AA196" s="123"/>
      <c r="AB196" s="123"/>
      <c r="AC196" s="115"/>
      <c r="AD196" s="115"/>
      <c r="AE196" s="115"/>
      <c r="AF196" s="115"/>
      <c r="AG196" s="115"/>
      <c r="AH196" s="115"/>
      <c r="AI196" s="115"/>
      <c r="AJ196" s="115"/>
      <c r="AK196" s="115"/>
      <c r="AL196" s="115"/>
      <c r="AM196" s="115"/>
      <c r="AN196" s="115"/>
      <c r="AO196" s="115"/>
      <c r="AP196" s="115"/>
      <c r="AQ196" s="25"/>
      <c r="AR196" s="13"/>
      <c r="AU196" s="114"/>
    </row>
    <row r="197" spans="1:47" ht="19.5" x14ac:dyDescent="0.4">
      <c r="A197" s="117"/>
      <c r="B197" s="123"/>
      <c r="C197" s="123"/>
      <c r="D197" s="123"/>
      <c r="S197" s="26"/>
      <c r="T197" s="13"/>
      <c r="Y197" s="117"/>
      <c r="Z197" s="123"/>
      <c r="AA197" s="123"/>
      <c r="AB197" s="123"/>
      <c r="AC197" s="115"/>
      <c r="AD197" s="115"/>
      <c r="AE197" s="115"/>
      <c r="AF197" s="115"/>
      <c r="AG197" s="115"/>
      <c r="AH197" s="115"/>
      <c r="AI197" s="115"/>
      <c r="AJ197" s="115"/>
      <c r="AK197" s="115"/>
      <c r="AL197" s="115"/>
      <c r="AM197" s="115"/>
      <c r="AN197" s="115"/>
      <c r="AO197" s="115"/>
      <c r="AP197" s="115"/>
      <c r="AQ197" s="25"/>
      <c r="AR197" s="13"/>
      <c r="AU197" s="114"/>
    </row>
    <row r="198" spans="1:47" ht="19.5" x14ac:dyDescent="0.4">
      <c r="A198" s="117"/>
      <c r="B198" s="123"/>
      <c r="C198" s="123"/>
      <c r="D198" s="123"/>
      <c r="S198" s="26"/>
      <c r="T198" s="13"/>
      <c r="Y198" s="117"/>
      <c r="Z198" s="123"/>
      <c r="AA198" s="123"/>
      <c r="AB198" s="123"/>
      <c r="AC198" s="115"/>
      <c r="AD198" s="115"/>
      <c r="AE198" s="115"/>
      <c r="AF198" s="115"/>
      <c r="AG198" s="115"/>
      <c r="AH198" s="115"/>
      <c r="AI198" s="115"/>
      <c r="AJ198" s="115"/>
      <c r="AK198" s="115"/>
      <c r="AL198" s="115"/>
      <c r="AM198" s="115"/>
      <c r="AN198" s="115"/>
      <c r="AO198" s="115"/>
      <c r="AP198" s="115"/>
      <c r="AQ198" s="25">
        <v>45270</v>
      </c>
      <c r="AR198" s="13" t="s">
        <v>163</v>
      </c>
      <c r="AU198" s="114"/>
    </row>
    <row r="199" spans="1:47" ht="19.5" x14ac:dyDescent="0.4">
      <c r="A199" s="117"/>
      <c r="B199" s="123"/>
      <c r="C199" s="123"/>
      <c r="D199" s="123"/>
      <c r="N199" s="115"/>
      <c r="O199" s="115"/>
      <c r="P199" s="115"/>
      <c r="Q199" s="115"/>
      <c r="R199" s="115"/>
      <c r="S199" s="17"/>
      <c r="T199" s="13"/>
      <c r="Y199" s="117"/>
      <c r="Z199" s="123"/>
      <c r="AA199" s="123"/>
      <c r="AB199" s="123"/>
      <c r="AC199" s="115"/>
      <c r="AD199" s="115"/>
      <c r="AE199" s="115"/>
      <c r="AF199" s="115"/>
      <c r="AG199" s="115"/>
      <c r="AH199" s="115"/>
      <c r="AI199" s="115"/>
      <c r="AJ199" s="115"/>
      <c r="AK199" s="115"/>
      <c r="AL199" s="115"/>
      <c r="AM199" s="115"/>
      <c r="AN199" s="115"/>
      <c r="AO199" s="115"/>
      <c r="AP199" s="115"/>
      <c r="AQ199" s="25"/>
      <c r="AR199" s="13"/>
      <c r="AU199" s="114"/>
    </row>
    <row r="200" spans="1:47" ht="19.5" x14ac:dyDescent="0.4">
      <c r="A200" s="117"/>
      <c r="B200" s="123"/>
      <c r="C200" s="123"/>
      <c r="D200" s="123"/>
      <c r="S200" s="26"/>
      <c r="T200" s="13"/>
      <c r="Y200" s="117"/>
      <c r="Z200" s="123"/>
      <c r="AA200" s="123"/>
      <c r="AB200" s="123"/>
      <c r="AC200" s="115"/>
      <c r="AD200" s="115"/>
      <c r="AE200" s="115"/>
      <c r="AF200" s="115"/>
      <c r="AG200" s="115"/>
      <c r="AH200" s="115"/>
      <c r="AI200" s="115"/>
      <c r="AJ200" s="115"/>
      <c r="AK200" s="115"/>
      <c r="AL200" s="115"/>
      <c r="AM200" s="115"/>
      <c r="AN200" s="115"/>
      <c r="AO200" s="115"/>
      <c r="AP200" s="115" t="s">
        <v>151</v>
      </c>
      <c r="AQ200" s="13">
        <f>SUBTOTAL(3,AQ181:AQ198)</f>
        <v>5</v>
      </c>
      <c r="AR200" s="13">
        <f>SUBTOTAL(3,AR181:AR198)</f>
        <v>5</v>
      </c>
      <c r="AU200" s="114"/>
    </row>
    <row r="201" spans="1:47" ht="19.5" x14ac:dyDescent="0.4">
      <c r="A201" s="117"/>
      <c r="B201" s="123"/>
      <c r="C201" s="123"/>
      <c r="D201" s="123"/>
      <c r="M201" s="115"/>
      <c r="N201" s="115"/>
      <c r="O201" s="115"/>
      <c r="P201" s="115"/>
      <c r="Q201" s="115"/>
      <c r="R201" s="115"/>
      <c r="S201" s="26"/>
      <c r="T201" s="13"/>
      <c r="Y201" s="117"/>
      <c r="Z201" s="123"/>
      <c r="AA201" s="123"/>
      <c r="AB201" s="123"/>
      <c r="AC201" s="115"/>
      <c r="AD201" s="115"/>
      <c r="AE201" s="115"/>
      <c r="AF201" s="115"/>
      <c r="AG201" s="115"/>
      <c r="AH201" s="115"/>
      <c r="AI201" s="115"/>
      <c r="AJ201" s="115"/>
      <c r="AK201" s="115"/>
      <c r="AL201" s="115"/>
      <c r="AM201" s="115"/>
      <c r="AN201" s="115"/>
      <c r="AO201" s="115"/>
      <c r="AP201" s="115"/>
      <c r="AQ201" s="13"/>
      <c r="AR201" s="13"/>
      <c r="AU201" s="114"/>
    </row>
    <row r="202" spans="1:47" ht="19.5" x14ac:dyDescent="0.4">
      <c r="A202" s="117"/>
      <c r="B202" s="123"/>
      <c r="C202" s="123"/>
      <c r="D202" s="123"/>
      <c r="S202" s="26"/>
      <c r="T202" s="13"/>
      <c r="Y202" s="117"/>
      <c r="Z202" s="123"/>
      <c r="AA202" s="123"/>
      <c r="AB202" s="123"/>
      <c r="AC202" s="115"/>
      <c r="AD202" s="115"/>
      <c r="AE202" s="115"/>
      <c r="AF202" s="115"/>
      <c r="AG202" s="115"/>
      <c r="AH202" s="115"/>
      <c r="AI202" s="115"/>
      <c r="AJ202" s="115"/>
      <c r="AK202" s="115"/>
      <c r="AL202" s="115"/>
      <c r="AM202" s="115"/>
      <c r="AN202" s="115"/>
      <c r="AO202" s="115"/>
      <c r="AP202" s="115"/>
      <c r="AQ202" s="25">
        <v>45271</v>
      </c>
      <c r="AR202" s="13" t="s">
        <v>162</v>
      </c>
      <c r="AU202" s="114"/>
    </row>
    <row r="203" spans="1:47" ht="19.5" x14ac:dyDescent="0.4">
      <c r="A203" s="117"/>
      <c r="B203" s="123"/>
      <c r="C203" s="123"/>
      <c r="D203" s="123"/>
      <c r="S203" s="26"/>
      <c r="T203" s="13"/>
      <c r="Y203" s="117"/>
      <c r="Z203" s="123"/>
      <c r="AA203" s="123"/>
      <c r="AB203" s="123"/>
      <c r="AC203" s="115"/>
      <c r="AD203" s="115"/>
      <c r="AE203" s="115"/>
      <c r="AF203" s="115"/>
      <c r="AG203" s="115"/>
      <c r="AH203" s="115"/>
      <c r="AI203" s="115"/>
      <c r="AJ203" s="115"/>
      <c r="AK203" s="115"/>
      <c r="AL203" s="115"/>
      <c r="AM203" s="115"/>
      <c r="AN203" s="115"/>
      <c r="AO203" s="115"/>
      <c r="AP203" s="115"/>
      <c r="AQ203" s="25">
        <v>45271</v>
      </c>
      <c r="AR203" s="13" t="s">
        <v>163</v>
      </c>
      <c r="AU203" s="114"/>
    </row>
    <row r="204" spans="1:47" ht="19.5" x14ac:dyDescent="0.4">
      <c r="A204" s="117"/>
      <c r="B204" s="123"/>
      <c r="C204" s="123"/>
      <c r="D204" s="123"/>
      <c r="M204" s="115"/>
      <c r="N204" s="115"/>
      <c r="O204" s="115"/>
      <c r="P204" s="115"/>
      <c r="Q204" s="115"/>
      <c r="R204" s="115"/>
      <c r="S204" s="26"/>
      <c r="T204" s="13"/>
      <c r="Y204" s="117"/>
      <c r="Z204" s="123"/>
      <c r="AA204" s="123"/>
      <c r="AB204" s="123"/>
      <c r="AC204" s="115"/>
      <c r="AD204" s="115"/>
      <c r="AE204" s="115"/>
      <c r="AF204" s="115"/>
      <c r="AG204" s="115"/>
      <c r="AH204" s="115"/>
      <c r="AI204" s="115"/>
      <c r="AJ204" s="115"/>
      <c r="AK204" s="115"/>
      <c r="AL204" s="115"/>
      <c r="AM204" s="115"/>
      <c r="AN204" s="115"/>
      <c r="AO204" s="115"/>
      <c r="AP204" s="115"/>
      <c r="AQ204" s="25"/>
      <c r="AR204" s="13"/>
      <c r="AU204" s="114"/>
    </row>
    <row r="205" spans="1:47" ht="19.5" x14ac:dyDescent="0.4">
      <c r="A205" s="117"/>
      <c r="B205" s="123"/>
      <c r="C205" s="123"/>
      <c r="D205" s="123"/>
      <c r="L205" s="115"/>
      <c r="M205" s="115"/>
      <c r="N205" s="115"/>
      <c r="O205" s="115"/>
      <c r="P205" s="115"/>
      <c r="Q205" s="115"/>
      <c r="R205" s="115"/>
      <c r="S205" s="26"/>
      <c r="T205" s="13"/>
      <c r="Y205" s="117"/>
      <c r="Z205" s="123"/>
      <c r="AA205" s="123"/>
      <c r="AB205" s="123"/>
      <c r="AC205" s="115"/>
      <c r="AD205" s="115"/>
      <c r="AE205" s="115"/>
      <c r="AF205" s="115"/>
      <c r="AG205" s="115"/>
      <c r="AH205" s="115"/>
      <c r="AI205" s="115"/>
      <c r="AJ205" s="115"/>
      <c r="AK205" s="115"/>
      <c r="AL205" s="115"/>
      <c r="AM205" s="115"/>
      <c r="AN205" s="115"/>
      <c r="AO205" s="115"/>
      <c r="AP205" s="115"/>
      <c r="AQ205" s="25"/>
      <c r="AR205" s="13"/>
      <c r="AU205" s="114"/>
    </row>
    <row r="206" spans="1:47" ht="19.5" x14ac:dyDescent="0.4">
      <c r="A206" s="117"/>
      <c r="B206" s="123"/>
      <c r="C206" s="123"/>
      <c r="D206" s="123"/>
      <c r="L206" s="115"/>
      <c r="M206" s="115"/>
      <c r="N206" s="115"/>
      <c r="O206" s="115"/>
      <c r="P206" s="115"/>
      <c r="Q206" s="115"/>
      <c r="R206" s="115"/>
      <c r="S206" s="17"/>
      <c r="T206" s="13"/>
      <c r="Y206" s="117"/>
      <c r="Z206" s="123"/>
      <c r="AA206" s="123"/>
      <c r="AB206" s="123"/>
      <c r="AC206" s="115"/>
      <c r="AD206" s="115"/>
      <c r="AE206" s="115"/>
      <c r="AF206" s="115"/>
      <c r="AG206" s="115"/>
      <c r="AH206" s="115"/>
      <c r="AI206" s="115"/>
      <c r="AJ206" s="115"/>
      <c r="AK206" s="115"/>
      <c r="AL206" s="115"/>
      <c r="AM206" s="115"/>
      <c r="AN206" s="115"/>
      <c r="AO206" s="115"/>
      <c r="AP206" s="115"/>
      <c r="AQ206" s="25"/>
      <c r="AR206" s="13"/>
      <c r="AU206" s="114"/>
    </row>
    <row r="207" spans="1:47" ht="19.5" x14ac:dyDescent="0.4">
      <c r="A207" s="117"/>
      <c r="B207" s="123"/>
      <c r="C207" s="123"/>
      <c r="D207" s="123"/>
      <c r="J207" s="115"/>
      <c r="K207" s="115"/>
      <c r="L207" s="115"/>
      <c r="M207" s="115"/>
      <c r="N207" s="115"/>
      <c r="O207" s="115"/>
      <c r="P207" s="115"/>
      <c r="Q207" s="115"/>
      <c r="R207" s="115"/>
      <c r="S207" s="26"/>
      <c r="T207" s="13"/>
      <c r="Y207" s="117"/>
      <c r="Z207" s="123"/>
      <c r="AA207" s="123"/>
      <c r="AB207" s="123"/>
      <c r="AC207" s="115"/>
      <c r="AD207" s="115"/>
      <c r="AE207" s="115"/>
      <c r="AF207" s="115"/>
      <c r="AG207" s="115"/>
      <c r="AH207" s="115"/>
      <c r="AI207" s="115"/>
      <c r="AJ207" s="115"/>
      <c r="AK207" s="115"/>
      <c r="AL207" s="115"/>
      <c r="AM207" s="115"/>
      <c r="AN207" s="115"/>
      <c r="AO207" s="115"/>
      <c r="AP207" s="115"/>
      <c r="AQ207" s="25"/>
      <c r="AR207" s="13"/>
      <c r="AU207" s="114"/>
    </row>
    <row r="208" spans="1:47" ht="19.5" x14ac:dyDescent="0.4">
      <c r="A208" s="117"/>
      <c r="B208" s="123"/>
      <c r="C208" s="123"/>
      <c r="D208" s="123"/>
      <c r="S208" s="26"/>
      <c r="T208" s="13"/>
      <c r="Y208" s="117"/>
      <c r="Z208" s="123"/>
      <c r="AA208" s="123"/>
      <c r="AB208" s="123"/>
      <c r="AC208" s="115"/>
      <c r="AD208" s="115"/>
      <c r="AE208" s="115"/>
      <c r="AF208" s="115"/>
      <c r="AG208" s="115"/>
      <c r="AH208" s="115"/>
      <c r="AI208" s="115"/>
      <c r="AJ208" s="115"/>
      <c r="AK208" s="115"/>
      <c r="AL208" s="115"/>
      <c r="AM208" s="115"/>
      <c r="AN208" s="115"/>
      <c r="AO208" s="115"/>
      <c r="AP208" s="115"/>
      <c r="AQ208" s="25">
        <v>45271</v>
      </c>
      <c r="AR208" s="13" t="s">
        <v>163</v>
      </c>
      <c r="AU208" s="114"/>
    </row>
    <row r="209" spans="1:47" ht="19.5" x14ac:dyDescent="0.4">
      <c r="A209" s="117"/>
      <c r="B209" s="123"/>
      <c r="C209" s="123"/>
      <c r="D209" s="123"/>
      <c r="M209" s="115"/>
      <c r="N209" s="115"/>
      <c r="O209" s="115"/>
      <c r="P209" s="115"/>
      <c r="Q209" s="115"/>
      <c r="R209" s="115"/>
      <c r="S209" s="26"/>
      <c r="T209" s="13"/>
      <c r="Y209" s="117"/>
      <c r="Z209" s="123"/>
      <c r="AA209" s="123"/>
      <c r="AB209" s="123"/>
      <c r="AC209" s="115"/>
      <c r="AD209" s="115"/>
      <c r="AE209" s="115"/>
      <c r="AF209" s="115"/>
      <c r="AG209" s="115"/>
      <c r="AH209" s="115"/>
      <c r="AI209" s="115"/>
      <c r="AJ209" s="115"/>
      <c r="AK209" s="115"/>
      <c r="AL209" s="115"/>
      <c r="AM209" s="115"/>
      <c r="AN209" s="115"/>
      <c r="AO209" s="115"/>
      <c r="AP209" s="115"/>
      <c r="AQ209" s="25"/>
      <c r="AR209" s="13"/>
      <c r="AU209" s="114"/>
    </row>
    <row r="210" spans="1:47" ht="19.5" x14ac:dyDescent="0.4">
      <c r="A210" s="117"/>
      <c r="B210" s="123"/>
      <c r="C210" s="123"/>
      <c r="D210" s="123"/>
      <c r="K210" s="115"/>
      <c r="L210" s="115"/>
      <c r="M210" s="115"/>
      <c r="N210" s="115"/>
      <c r="O210" s="115"/>
      <c r="P210" s="115"/>
      <c r="Q210" s="115"/>
      <c r="R210" s="115"/>
      <c r="S210" s="26"/>
      <c r="T210" s="13"/>
      <c r="Y210" s="117"/>
      <c r="Z210" s="123"/>
      <c r="AA210" s="123"/>
      <c r="AB210" s="123"/>
      <c r="AC210" s="115"/>
      <c r="AD210" s="115"/>
      <c r="AE210" s="115"/>
      <c r="AF210" s="115"/>
      <c r="AG210" s="115"/>
      <c r="AH210" s="115"/>
      <c r="AI210" s="115"/>
      <c r="AJ210" s="115"/>
      <c r="AK210" s="115"/>
      <c r="AL210" s="115"/>
      <c r="AM210" s="115"/>
      <c r="AN210" s="115"/>
      <c r="AO210" s="115"/>
      <c r="AP210" s="115"/>
      <c r="AQ210" s="25"/>
      <c r="AR210" s="13"/>
      <c r="AU210" s="114"/>
    </row>
    <row r="211" spans="1:47" ht="19.5" x14ac:dyDescent="0.4">
      <c r="A211" s="117"/>
      <c r="B211" s="123"/>
      <c r="C211" s="123"/>
      <c r="D211" s="123"/>
      <c r="K211" s="115"/>
      <c r="L211" s="115"/>
      <c r="M211" s="115"/>
      <c r="N211" s="115"/>
      <c r="O211" s="115"/>
      <c r="P211" s="115"/>
      <c r="Q211" s="115"/>
      <c r="R211" s="115"/>
      <c r="S211" s="17"/>
      <c r="T211" s="13"/>
      <c r="Y211" s="117"/>
      <c r="Z211" s="123"/>
      <c r="AA211" s="123"/>
      <c r="AB211" s="123"/>
      <c r="AC211" s="115"/>
      <c r="AD211" s="115"/>
      <c r="AE211" s="115"/>
      <c r="AF211" s="115"/>
      <c r="AG211" s="115"/>
      <c r="AH211" s="115"/>
      <c r="AI211" s="115"/>
      <c r="AJ211" s="115"/>
      <c r="AK211" s="115"/>
      <c r="AL211" s="115"/>
      <c r="AM211" s="115"/>
      <c r="AN211" s="115"/>
      <c r="AO211" s="115"/>
      <c r="AP211" s="115"/>
      <c r="AQ211" s="25"/>
      <c r="AR211" s="13"/>
      <c r="AU211" s="114"/>
    </row>
    <row r="212" spans="1:47" ht="19.5" x14ac:dyDescent="0.4">
      <c r="A212" s="117"/>
      <c r="B212" s="123"/>
      <c r="C212" s="123"/>
      <c r="D212" s="123"/>
      <c r="S212" s="26"/>
      <c r="T212" s="13"/>
      <c r="Y212" s="117"/>
      <c r="Z212" s="123"/>
      <c r="AA212" s="123"/>
      <c r="AB212" s="123"/>
      <c r="AC212" s="115"/>
      <c r="AD212" s="115"/>
      <c r="AE212" s="115"/>
      <c r="AF212" s="115"/>
      <c r="AG212" s="115"/>
      <c r="AH212" s="115"/>
      <c r="AI212" s="115"/>
      <c r="AJ212" s="115"/>
      <c r="AK212" s="115"/>
      <c r="AL212" s="115"/>
      <c r="AM212" s="115"/>
      <c r="AN212" s="115"/>
      <c r="AO212" s="115"/>
      <c r="AP212" s="115" t="s">
        <v>165</v>
      </c>
      <c r="AQ212" s="13">
        <f>SUBTOTAL(3,AQ202:AQ208)</f>
        <v>3</v>
      </c>
      <c r="AR212" s="13">
        <f>SUBTOTAL(3,AR202:AR208)</f>
        <v>3</v>
      </c>
      <c r="AU212" s="114"/>
    </row>
    <row r="213" spans="1:47" ht="19.5" x14ac:dyDescent="0.4">
      <c r="A213" s="117"/>
      <c r="B213" s="123"/>
      <c r="C213" s="123"/>
      <c r="D213" s="123"/>
      <c r="S213" s="26"/>
      <c r="T213" s="13"/>
      <c r="Y213" s="117"/>
      <c r="Z213" s="123"/>
      <c r="AA213" s="123"/>
      <c r="AB213" s="123"/>
      <c r="AC213" s="115"/>
      <c r="AD213" s="115"/>
      <c r="AE213" s="115"/>
      <c r="AF213" s="115"/>
      <c r="AG213" s="115"/>
      <c r="AH213" s="115"/>
      <c r="AI213" s="115"/>
      <c r="AJ213" s="115"/>
      <c r="AK213" s="115"/>
      <c r="AL213" s="115"/>
      <c r="AM213" s="115"/>
      <c r="AN213" s="115"/>
      <c r="AO213" s="115"/>
      <c r="AP213" s="115"/>
      <c r="AQ213" s="25">
        <v>45272</v>
      </c>
      <c r="AR213" s="13" t="s">
        <v>162</v>
      </c>
      <c r="AU213" s="114"/>
    </row>
    <row r="214" spans="1:47" ht="19.5" x14ac:dyDescent="0.4">
      <c r="A214" s="117"/>
      <c r="B214" s="123"/>
      <c r="C214" s="123"/>
      <c r="D214" s="123"/>
      <c r="N214" s="115"/>
      <c r="O214" s="115"/>
      <c r="P214" s="115"/>
      <c r="Q214" s="115"/>
      <c r="R214" s="115"/>
      <c r="S214" s="17"/>
      <c r="T214" s="13"/>
      <c r="Y214" s="117"/>
      <c r="Z214" s="123"/>
      <c r="AA214" s="123"/>
      <c r="AB214" s="123"/>
      <c r="AC214" s="115"/>
      <c r="AD214" s="115"/>
      <c r="AE214" s="115"/>
      <c r="AF214" s="115"/>
      <c r="AG214" s="115"/>
      <c r="AH214" s="115"/>
      <c r="AI214" s="115"/>
      <c r="AJ214" s="115"/>
      <c r="AK214" s="115"/>
      <c r="AL214" s="115"/>
      <c r="AM214" s="115"/>
      <c r="AN214" s="115"/>
      <c r="AO214" s="115"/>
      <c r="AP214" s="115"/>
      <c r="AQ214" s="25"/>
      <c r="AR214" s="13"/>
      <c r="AU214" s="114"/>
    </row>
    <row r="215" spans="1:47" ht="19.5" x14ac:dyDescent="0.4">
      <c r="A215" s="117"/>
      <c r="B215" s="123"/>
      <c r="C215" s="123"/>
      <c r="D215" s="123"/>
      <c r="S215" s="26"/>
      <c r="T215" s="15"/>
      <c r="Y215" s="117"/>
      <c r="Z215" s="123"/>
      <c r="AA215" s="123"/>
      <c r="AB215" s="123"/>
      <c r="AC215" s="115"/>
      <c r="AD215" s="115"/>
      <c r="AE215" s="115"/>
      <c r="AF215" s="115"/>
      <c r="AG215" s="115"/>
      <c r="AH215" s="115"/>
      <c r="AI215" s="115"/>
      <c r="AJ215" s="115"/>
      <c r="AK215" s="115"/>
      <c r="AL215" s="115"/>
      <c r="AM215" s="115"/>
      <c r="AN215" s="115"/>
      <c r="AO215" s="115"/>
      <c r="AP215" s="115"/>
      <c r="AQ215" s="25">
        <v>45272</v>
      </c>
      <c r="AR215" s="13" t="s">
        <v>162</v>
      </c>
      <c r="AU215" s="114"/>
    </row>
    <row r="216" spans="1:47" ht="19.5" x14ac:dyDescent="0.4">
      <c r="A216" s="117"/>
      <c r="B216" s="123"/>
      <c r="C216" s="123"/>
      <c r="D216" s="123"/>
      <c r="N216" s="115"/>
      <c r="O216" s="115"/>
      <c r="P216" s="115"/>
      <c r="Q216" s="115"/>
      <c r="R216" s="115"/>
      <c r="S216" s="17"/>
      <c r="T216" s="13"/>
      <c r="Y216" s="117"/>
      <c r="Z216" s="123"/>
      <c r="AA216" s="123"/>
      <c r="AB216" s="123"/>
      <c r="AC216" s="115"/>
      <c r="AD216" s="115"/>
      <c r="AE216" s="115"/>
      <c r="AF216" s="115"/>
      <c r="AG216" s="115"/>
      <c r="AH216" s="115"/>
      <c r="AI216" s="115"/>
      <c r="AJ216" s="115"/>
      <c r="AK216" s="115"/>
      <c r="AL216" s="115"/>
      <c r="AM216" s="115"/>
      <c r="AN216" s="115"/>
      <c r="AO216" s="115"/>
      <c r="AP216" s="115"/>
      <c r="AQ216" s="25"/>
      <c r="AR216" s="13"/>
      <c r="AU216" s="114"/>
    </row>
    <row r="217" spans="1:47" ht="19.5" x14ac:dyDescent="0.4">
      <c r="A217" s="117"/>
      <c r="B217" s="123"/>
      <c r="C217" s="123"/>
      <c r="D217" s="123"/>
      <c r="N217" s="115"/>
      <c r="O217" s="115"/>
      <c r="P217" s="115"/>
      <c r="Q217" s="115"/>
      <c r="R217" s="115"/>
      <c r="S217" s="17"/>
      <c r="T217" s="13"/>
      <c r="Y217" s="117"/>
      <c r="Z217" s="123"/>
      <c r="AA217" s="123"/>
      <c r="AB217" s="123"/>
      <c r="AC217" s="115"/>
      <c r="AD217" s="115"/>
      <c r="AE217" s="115"/>
      <c r="AF217" s="115"/>
      <c r="AG217" s="115"/>
      <c r="AH217" s="115"/>
      <c r="AI217" s="115"/>
      <c r="AJ217" s="115"/>
      <c r="AK217" s="115"/>
      <c r="AL217" s="115"/>
      <c r="AM217" s="115"/>
      <c r="AN217" s="115"/>
      <c r="AO217" s="115"/>
      <c r="AP217" s="115"/>
      <c r="AQ217" s="25"/>
      <c r="AR217" s="13"/>
      <c r="AU217" s="114"/>
    </row>
    <row r="218" spans="1:47" ht="19.5" x14ac:dyDescent="0.4">
      <c r="A218" s="117"/>
      <c r="B218" s="123"/>
      <c r="C218" s="123"/>
      <c r="D218" s="123"/>
      <c r="S218" s="26"/>
      <c r="T218" s="13"/>
      <c r="Y218" s="117"/>
      <c r="Z218" s="123"/>
      <c r="AA218" s="123"/>
      <c r="AB218" s="123"/>
      <c r="AC218" s="115"/>
      <c r="AD218" s="115"/>
      <c r="AE218" s="115"/>
      <c r="AF218" s="115"/>
      <c r="AG218" s="115"/>
      <c r="AH218" s="115"/>
      <c r="AI218" s="115"/>
      <c r="AJ218" s="115"/>
      <c r="AK218" s="115"/>
      <c r="AL218" s="115"/>
      <c r="AM218" s="115"/>
      <c r="AN218" s="115"/>
      <c r="AO218" s="115"/>
      <c r="AP218" s="115"/>
      <c r="AQ218" s="25">
        <v>45272</v>
      </c>
      <c r="AR218" s="13" t="s">
        <v>162</v>
      </c>
      <c r="AU218" s="114"/>
    </row>
    <row r="219" spans="1:47" ht="19.5" x14ac:dyDescent="0.4">
      <c r="A219" s="125"/>
      <c r="B219" s="126"/>
      <c r="C219" s="126"/>
      <c r="D219" s="126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26"/>
      <c r="T219" s="13"/>
      <c r="Y219" s="117"/>
      <c r="Z219" s="123"/>
      <c r="AA219" s="123"/>
      <c r="AB219" s="123"/>
      <c r="AC219" s="115"/>
      <c r="AD219" s="115"/>
      <c r="AE219" s="115"/>
      <c r="AF219" s="115"/>
      <c r="AG219" s="115"/>
      <c r="AH219" s="115"/>
      <c r="AI219" s="115"/>
      <c r="AJ219" s="115"/>
      <c r="AK219" s="115"/>
      <c r="AL219" s="115"/>
      <c r="AM219" s="115"/>
      <c r="AN219" s="115"/>
      <c r="AO219" s="115"/>
      <c r="AP219" s="115"/>
      <c r="AQ219" s="25"/>
      <c r="AR219" s="13"/>
      <c r="AU219" s="114"/>
    </row>
    <row r="220" spans="1:47" ht="19.5" x14ac:dyDescent="0.4">
      <c r="A220" s="125"/>
      <c r="B220" s="126"/>
      <c r="C220" s="126"/>
      <c r="D220" s="126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26"/>
      <c r="T220" s="13"/>
      <c r="Y220" s="117"/>
      <c r="Z220" s="123"/>
      <c r="AA220" s="123"/>
      <c r="AB220" s="123"/>
      <c r="AC220" s="115"/>
      <c r="AD220" s="115"/>
      <c r="AE220" s="115"/>
      <c r="AF220" s="115"/>
      <c r="AG220" s="115"/>
      <c r="AH220" s="115"/>
      <c r="AI220" s="115"/>
      <c r="AJ220" s="115"/>
      <c r="AK220" s="115"/>
      <c r="AL220" s="115"/>
      <c r="AM220" s="115"/>
      <c r="AN220" s="115"/>
      <c r="AO220" s="115"/>
      <c r="AP220" s="115"/>
      <c r="AQ220" s="25"/>
      <c r="AR220" s="13"/>
      <c r="AU220" s="114"/>
    </row>
    <row r="221" spans="1:47" ht="19.5" x14ac:dyDescent="0.4">
      <c r="A221" s="125"/>
      <c r="B221" s="126"/>
      <c r="C221" s="126"/>
      <c r="D221" s="126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7"/>
      <c r="T221" s="13"/>
      <c r="Y221" s="117"/>
      <c r="Z221" s="123"/>
      <c r="AA221" s="123"/>
      <c r="AB221" s="123"/>
      <c r="AC221" s="115"/>
      <c r="AD221" s="115"/>
      <c r="AE221" s="115"/>
      <c r="AF221" s="115"/>
      <c r="AG221" s="115"/>
      <c r="AH221" s="115"/>
      <c r="AI221" s="115"/>
      <c r="AJ221" s="115"/>
      <c r="AK221" s="115"/>
      <c r="AL221" s="115"/>
      <c r="AM221" s="115"/>
      <c r="AN221" s="115"/>
      <c r="AO221" s="115"/>
      <c r="AP221" s="115"/>
      <c r="AQ221" s="25"/>
      <c r="AR221" s="13"/>
      <c r="AU221" s="114"/>
    </row>
    <row r="222" spans="1:47" ht="19.5" x14ac:dyDescent="0.4">
      <c r="A222" s="125"/>
      <c r="B222" s="126"/>
      <c r="C222" s="126"/>
      <c r="D222" s="126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26"/>
      <c r="T222" s="13"/>
      <c r="Y222" s="117"/>
      <c r="Z222" s="123"/>
      <c r="AA222" s="123"/>
      <c r="AB222" s="123"/>
      <c r="AC222" s="115"/>
      <c r="AD222" s="115"/>
      <c r="AE222" s="115"/>
      <c r="AF222" s="115"/>
      <c r="AG222" s="115"/>
      <c r="AH222" s="115"/>
      <c r="AI222" s="115"/>
      <c r="AJ222" s="115"/>
      <c r="AK222" s="115"/>
      <c r="AL222" s="115"/>
      <c r="AM222" s="115"/>
      <c r="AN222" s="115"/>
      <c r="AO222" s="115"/>
      <c r="AP222" s="115"/>
      <c r="AQ222" s="25"/>
      <c r="AR222" s="13"/>
      <c r="AU222" s="114"/>
    </row>
    <row r="223" spans="1:47" ht="19.5" x14ac:dyDescent="0.4">
      <c r="S223" s="26"/>
      <c r="T223" s="13"/>
      <c r="Y223" s="117"/>
      <c r="Z223" s="123"/>
      <c r="AA223" s="123"/>
      <c r="AB223" s="123"/>
      <c r="AC223" s="115"/>
      <c r="AD223" s="115"/>
      <c r="AE223" s="115"/>
      <c r="AF223" s="115"/>
      <c r="AG223" s="115"/>
      <c r="AH223" s="115"/>
      <c r="AI223" s="115"/>
      <c r="AJ223" s="115"/>
      <c r="AK223" s="115"/>
      <c r="AL223" s="115"/>
      <c r="AM223" s="115"/>
      <c r="AN223" s="115"/>
      <c r="AO223" s="115"/>
      <c r="AP223" s="115"/>
      <c r="AQ223" s="25">
        <v>45272</v>
      </c>
      <c r="AR223" s="13" t="s">
        <v>162</v>
      </c>
      <c r="AU223" s="114"/>
    </row>
    <row r="224" spans="1:47" ht="19.5" x14ac:dyDescent="0.4">
      <c r="S224" s="26"/>
      <c r="T224" s="13"/>
      <c r="Y224" s="117"/>
      <c r="Z224" s="123"/>
      <c r="AA224" s="123"/>
      <c r="AB224" s="123"/>
      <c r="AC224" s="115"/>
      <c r="AD224" s="115"/>
      <c r="AE224" s="115"/>
      <c r="AF224" s="115"/>
      <c r="AG224" s="115"/>
      <c r="AH224" s="115"/>
      <c r="AI224" s="115"/>
      <c r="AJ224" s="115"/>
      <c r="AK224" s="115"/>
      <c r="AL224" s="115"/>
      <c r="AM224" s="115"/>
      <c r="AN224" s="115"/>
      <c r="AO224" s="115"/>
      <c r="AP224" s="115"/>
      <c r="AQ224" s="25"/>
      <c r="AR224" s="13"/>
      <c r="AU224" s="114"/>
    </row>
    <row r="225" spans="6:47" ht="19.5" x14ac:dyDescent="0.4"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26"/>
      <c r="T225" s="25"/>
      <c r="Y225" s="117"/>
      <c r="Z225" s="123"/>
      <c r="AA225" s="123"/>
      <c r="AB225" s="123"/>
      <c r="AC225" s="115"/>
      <c r="AD225" s="115"/>
      <c r="AE225" s="115"/>
      <c r="AF225" s="115"/>
      <c r="AG225" s="115"/>
      <c r="AH225" s="115"/>
      <c r="AI225" s="115"/>
      <c r="AJ225" s="115"/>
      <c r="AK225" s="115"/>
      <c r="AL225" s="115"/>
      <c r="AM225" s="115"/>
      <c r="AN225" s="115"/>
      <c r="AO225" s="115"/>
      <c r="AP225" s="115"/>
      <c r="AQ225" s="25"/>
      <c r="AR225" s="13"/>
      <c r="AU225" s="114"/>
    </row>
    <row r="226" spans="6:47" ht="19.5" x14ac:dyDescent="0.4">
      <c r="S226" s="26"/>
      <c r="T226" s="25"/>
      <c r="Y226" s="117"/>
      <c r="Z226" s="123"/>
      <c r="AA226" s="123"/>
      <c r="AB226" s="123"/>
      <c r="AC226" s="115"/>
      <c r="AD226" s="115"/>
      <c r="AE226" s="115"/>
      <c r="AF226" s="115"/>
      <c r="AG226" s="115"/>
      <c r="AH226" s="115"/>
      <c r="AI226" s="115"/>
      <c r="AJ226" s="115"/>
      <c r="AK226" s="115"/>
      <c r="AL226" s="115"/>
      <c r="AM226" s="115"/>
      <c r="AN226" s="115"/>
      <c r="AO226" s="115"/>
      <c r="AP226" s="115"/>
      <c r="AQ226" s="25">
        <v>45272</v>
      </c>
      <c r="AR226" s="13" t="s">
        <v>162</v>
      </c>
      <c r="AU226" s="114"/>
    </row>
    <row r="227" spans="6:47" ht="19.5" x14ac:dyDescent="0.4">
      <c r="S227" s="26"/>
      <c r="T227" s="13"/>
      <c r="Y227" s="117"/>
      <c r="Z227" s="123"/>
      <c r="AA227" s="123"/>
      <c r="AB227" s="123"/>
      <c r="AC227" s="115"/>
      <c r="AD227" s="115"/>
      <c r="AE227" s="115"/>
      <c r="AF227" s="115"/>
      <c r="AG227" s="115"/>
      <c r="AH227" s="115"/>
      <c r="AI227" s="115"/>
      <c r="AJ227" s="115"/>
      <c r="AK227" s="115"/>
      <c r="AL227" s="115"/>
      <c r="AM227" s="115"/>
      <c r="AN227" s="115"/>
      <c r="AO227" s="115"/>
      <c r="AP227" s="115"/>
      <c r="AQ227" s="25">
        <v>45272</v>
      </c>
      <c r="AR227" s="15" t="s">
        <v>162</v>
      </c>
      <c r="AU227" s="114"/>
    </row>
    <row r="228" spans="6:47" ht="19.5" x14ac:dyDescent="0.4">
      <c r="S228" s="26"/>
      <c r="T228" s="13"/>
      <c r="Y228" s="117"/>
      <c r="Z228" s="123"/>
      <c r="AA228" s="123"/>
      <c r="AB228" s="123"/>
      <c r="AC228" s="115"/>
      <c r="AD228" s="115"/>
      <c r="AE228" s="115"/>
      <c r="AF228" s="115"/>
      <c r="AG228" s="115"/>
      <c r="AH228" s="115"/>
      <c r="AI228" s="115"/>
      <c r="AJ228" s="115"/>
      <c r="AK228" s="115"/>
      <c r="AL228" s="115"/>
      <c r="AM228" s="115"/>
      <c r="AN228" s="115"/>
      <c r="AO228" s="115"/>
      <c r="AP228" s="115"/>
      <c r="AQ228" s="25">
        <v>45272</v>
      </c>
      <c r="AR228" s="15" t="s">
        <v>162</v>
      </c>
      <c r="AU228" s="114"/>
    </row>
    <row r="229" spans="6:47" ht="19.5" x14ac:dyDescent="0.4"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26"/>
      <c r="T229" s="13"/>
      <c r="Y229" s="117"/>
      <c r="Z229" s="123"/>
      <c r="AA229" s="123"/>
      <c r="AB229" s="123"/>
      <c r="AC229" s="115"/>
      <c r="AD229" s="115"/>
      <c r="AE229" s="115"/>
      <c r="AF229" s="115"/>
      <c r="AG229" s="115"/>
      <c r="AH229" s="115"/>
      <c r="AI229" s="115"/>
      <c r="AJ229" s="115"/>
      <c r="AK229" s="115"/>
      <c r="AL229" s="115"/>
      <c r="AM229" s="115"/>
      <c r="AN229" s="115"/>
      <c r="AO229" s="115"/>
      <c r="AP229" s="115"/>
      <c r="AQ229" s="25"/>
      <c r="AR229" s="15"/>
      <c r="AU229" s="114"/>
    </row>
    <row r="230" spans="6:47" ht="19.5" x14ac:dyDescent="0.4"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7"/>
      <c r="T230" s="13"/>
      <c r="Y230" s="117"/>
      <c r="Z230" s="123"/>
      <c r="AA230" s="123"/>
      <c r="AB230" s="123"/>
      <c r="AC230" s="115"/>
      <c r="AD230" s="115"/>
      <c r="AE230" s="115"/>
      <c r="AF230" s="115"/>
      <c r="AG230" s="115"/>
      <c r="AH230" s="115"/>
      <c r="AI230" s="115"/>
      <c r="AJ230" s="115"/>
      <c r="AK230" s="115"/>
      <c r="AL230" s="115"/>
      <c r="AM230" s="115"/>
      <c r="AN230" s="115"/>
      <c r="AO230" s="115"/>
      <c r="AP230" s="115"/>
      <c r="AQ230" s="25"/>
      <c r="AR230" s="15"/>
      <c r="AU230" s="114"/>
    </row>
    <row r="231" spans="6:47" ht="19.5" x14ac:dyDescent="0.4">
      <c r="S231" s="26"/>
      <c r="T231" s="13"/>
      <c r="Y231" s="117"/>
      <c r="Z231" s="123"/>
      <c r="AA231" s="123"/>
      <c r="AB231" s="123"/>
      <c r="AC231" s="115"/>
      <c r="AD231" s="115"/>
      <c r="AE231" s="115"/>
      <c r="AF231" s="115"/>
      <c r="AG231" s="115"/>
      <c r="AH231" s="115"/>
      <c r="AI231" s="115"/>
      <c r="AJ231" s="115"/>
      <c r="AK231" s="115"/>
      <c r="AL231" s="115"/>
      <c r="AM231" s="115"/>
      <c r="AN231" s="115"/>
      <c r="AO231" s="115"/>
      <c r="AP231" s="115"/>
      <c r="AQ231" s="25">
        <v>45272</v>
      </c>
      <c r="AR231" s="15" t="s">
        <v>162</v>
      </c>
      <c r="AU231" s="114"/>
    </row>
    <row r="232" spans="6:47" ht="19.5" x14ac:dyDescent="0.4"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26"/>
      <c r="T232" s="13"/>
      <c r="Y232" s="117"/>
      <c r="Z232" s="123"/>
      <c r="AA232" s="123"/>
      <c r="AB232" s="123"/>
      <c r="AC232" s="115"/>
      <c r="AD232" s="115"/>
      <c r="AE232" s="115"/>
      <c r="AF232" s="115"/>
      <c r="AG232" s="115"/>
      <c r="AH232" s="115"/>
      <c r="AI232" s="115"/>
      <c r="AJ232" s="115"/>
      <c r="AK232" s="115"/>
      <c r="AL232" s="115"/>
      <c r="AM232" s="115"/>
      <c r="AN232" s="115"/>
      <c r="AO232" s="115"/>
      <c r="AP232" s="115"/>
      <c r="AQ232" s="25"/>
      <c r="AR232" s="15"/>
      <c r="AU232" s="114"/>
    </row>
    <row r="233" spans="6:47" ht="19.5" x14ac:dyDescent="0.4"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26"/>
      <c r="T233" s="13"/>
      <c r="Y233" s="117"/>
      <c r="Z233" s="123"/>
      <c r="AA233" s="123"/>
      <c r="AB233" s="123"/>
      <c r="AC233" s="115"/>
      <c r="AD233" s="115"/>
      <c r="AE233" s="115"/>
      <c r="AF233" s="115"/>
      <c r="AG233" s="115"/>
      <c r="AH233" s="115"/>
      <c r="AI233" s="115"/>
      <c r="AJ233" s="115"/>
      <c r="AK233" s="115"/>
      <c r="AL233" s="115"/>
      <c r="AM233" s="115"/>
      <c r="AN233" s="115"/>
      <c r="AO233" s="115"/>
      <c r="AP233" s="115"/>
      <c r="AQ233" s="25"/>
      <c r="AR233" s="15"/>
      <c r="AU233" s="114"/>
    </row>
    <row r="234" spans="6:47" ht="19.5" x14ac:dyDescent="0.4"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7"/>
      <c r="T234" s="13"/>
      <c r="Y234" s="117"/>
      <c r="Z234" s="123"/>
      <c r="AA234" s="123"/>
      <c r="AB234" s="123"/>
      <c r="AC234" s="115"/>
      <c r="AD234" s="115"/>
      <c r="AE234" s="115"/>
      <c r="AF234" s="115"/>
      <c r="AG234" s="115"/>
      <c r="AH234" s="115"/>
      <c r="AI234" s="115"/>
      <c r="AJ234" s="115"/>
      <c r="AK234" s="115"/>
      <c r="AL234" s="115"/>
      <c r="AM234" s="115"/>
      <c r="AN234" s="115"/>
      <c r="AO234" s="115"/>
      <c r="AP234" s="115"/>
      <c r="AQ234" s="25"/>
      <c r="AR234" s="15"/>
      <c r="AU234" s="114"/>
    </row>
    <row r="235" spans="6:47" ht="19.5" x14ac:dyDescent="0.4"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26"/>
      <c r="T235" s="13"/>
      <c r="Y235" s="117"/>
      <c r="Z235" s="123"/>
      <c r="AA235" s="123"/>
      <c r="AB235" s="123"/>
      <c r="AC235" s="115"/>
      <c r="AD235" s="115"/>
      <c r="AE235" s="115"/>
      <c r="AF235" s="115"/>
      <c r="AG235" s="115"/>
      <c r="AH235" s="115"/>
      <c r="AI235" s="115"/>
      <c r="AJ235" s="115"/>
      <c r="AK235" s="115"/>
      <c r="AL235" s="115"/>
      <c r="AM235" s="115"/>
      <c r="AN235" s="115"/>
      <c r="AO235" s="115"/>
      <c r="AP235" s="115"/>
      <c r="AQ235" s="25"/>
      <c r="AR235" s="15"/>
      <c r="AU235" s="114"/>
    </row>
    <row r="236" spans="6:47" ht="19.5" x14ac:dyDescent="0.4"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7"/>
      <c r="T236" s="13"/>
      <c r="Y236" s="117"/>
      <c r="Z236" s="123"/>
      <c r="AA236" s="123"/>
      <c r="AB236" s="123"/>
      <c r="AC236" s="115"/>
      <c r="AD236" s="115"/>
      <c r="AE236" s="115"/>
      <c r="AF236" s="115"/>
      <c r="AG236" s="115"/>
      <c r="AH236" s="115"/>
      <c r="AI236" s="115"/>
      <c r="AJ236" s="115"/>
      <c r="AK236" s="115"/>
      <c r="AL236" s="115"/>
      <c r="AM236" s="115"/>
      <c r="AN236" s="115"/>
      <c r="AO236" s="115"/>
      <c r="AP236" s="115"/>
      <c r="AQ236" s="25"/>
      <c r="AR236" s="15"/>
      <c r="AU236" s="114"/>
    </row>
    <row r="237" spans="6:47" ht="19.5" x14ac:dyDescent="0.4"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26"/>
      <c r="T237" s="13"/>
      <c r="Y237" s="117"/>
      <c r="Z237" s="123"/>
      <c r="AA237" s="123"/>
      <c r="AB237" s="123"/>
      <c r="AC237" s="115"/>
      <c r="AD237" s="115"/>
      <c r="AE237" s="115"/>
      <c r="AF237" s="115"/>
      <c r="AG237" s="115"/>
      <c r="AH237" s="115"/>
      <c r="AI237" s="115"/>
      <c r="AJ237" s="115"/>
      <c r="AK237" s="115"/>
      <c r="AL237" s="115"/>
      <c r="AM237" s="115"/>
      <c r="AN237" s="115"/>
      <c r="AO237" s="115"/>
      <c r="AP237" s="115"/>
      <c r="AQ237" s="25"/>
      <c r="AR237" s="15"/>
      <c r="AU237" s="114"/>
    </row>
    <row r="238" spans="6:47" ht="19.5" x14ac:dyDescent="0.4">
      <c r="S238" s="26"/>
      <c r="T238" s="13"/>
      <c r="Y238" s="117"/>
      <c r="Z238" s="123"/>
      <c r="AA238" s="123"/>
      <c r="AB238" s="123"/>
      <c r="AC238" s="115"/>
      <c r="AD238" s="115"/>
      <c r="AE238" s="115"/>
      <c r="AF238" s="115"/>
      <c r="AG238" s="115"/>
      <c r="AH238" s="115"/>
      <c r="AI238" s="115"/>
      <c r="AJ238" s="115"/>
      <c r="AK238" s="115"/>
      <c r="AL238" s="115"/>
      <c r="AM238" s="115"/>
      <c r="AN238" s="115"/>
      <c r="AO238" s="115"/>
      <c r="AP238" s="115"/>
      <c r="AQ238" s="25">
        <v>45272</v>
      </c>
      <c r="AR238" s="15" t="s">
        <v>162</v>
      </c>
      <c r="AU238" s="114"/>
    </row>
    <row r="239" spans="6:47" ht="19.5" x14ac:dyDescent="0.4">
      <c r="L239" s="115"/>
      <c r="M239" s="115"/>
      <c r="N239" s="115"/>
      <c r="O239" s="115"/>
      <c r="P239" s="115"/>
      <c r="Q239" s="115"/>
      <c r="R239" s="115"/>
      <c r="S239" s="26"/>
      <c r="T239" s="13"/>
      <c r="Y239" s="117"/>
      <c r="Z239" s="123"/>
      <c r="AA239" s="123"/>
      <c r="AB239" s="123"/>
      <c r="AC239" s="115"/>
      <c r="AD239" s="115"/>
      <c r="AE239" s="115"/>
      <c r="AF239" s="115"/>
      <c r="AG239" s="115"/>
      <c r="AH239" s="115"/>
      <c r="AI239" s="115"/>
      <c r="AJ239" s="115"/>
      <c r="AK239" s="115"/>
      <c r="AL239" s="115"/>
      <c r="AM239" s="115"/>
      <c r="AN239" s="115"/>
      <c r="AO239" s="115"/>
      <c r="AP239" s="115"/>
      <c r="AQ239" s="25"/>
      <c r="AR239" s="15"/>
      <c r="AU239" s="114"/>
    </row>
    <row r="240" spans="6:47" ht="19.5" x14ac:dyDescent="0.4">
      <c r="L240" s="115"/>
      <c r="M240" s="115"/>
      <c r="N240" s="115"/>
      <c r="O240" s="115"/>
      <c r="P240" s="115"/>
      <c r="Q240" s="115"/>
      <c r="R240" s="115"/>
      <c r="S240" s="17"/>
      <c r="T240" s="13"/>
      <c r="Y240" s="117"/>
      <c r="Z240" s="123"/>
      <c r="AA240" s="123"/>
      <c r="AB240" s="123"/>
      <c r="AC240" s="115"/>
      <c r="AD240" s="115"/>
      <c r="AE240" s="115"/>
      <c r="AF240" s="115"/>
      <c r="AG240" s="115"/>
      <c r="AH240" s="115"/>
      <c r="AI240" s="115"/>
      <c r="AJ240" s="115"/>
      <c r="AK240" s="115"/>
      <c r="AL240" s="115"/>
      <c r="AM240" s="115"/>
      <c r="AN240" s="115"/>
      <c r="AO240" s="115"/>
      <c r="AP240" s="115"/>
      <c r="AQ240" s="25"/>
      <c r="AR240" s="15"/>
      <c r="AU240" s="114"/>
    </row>
    <row r="241" spans="6:47" ht="19.5" x14ac:dyDescent="0.4"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26"/>
      <c r="T241" s="13"/>
      <c r="Y241" s="117"/>
      <c r="Z241" s="123"/>
      <c r="AA241" s="123"/>
      <c r="AB241" s="123"/>
      <c r="AC241" s="115"/>
      <c r="AD241" s="115"/>
      <c r="AE241" s="115"/>
      <c r="AF241" s="115"/>
      <c r="AG241" s="115"/>
      <c r="AH241" s="115"/>
      <c r="AI241" s="115"/>
      <c r="AJ241" s="115"/>
      <c r="AK241" s="115"/>
      <c r="AL241" s="115"/>
      <c r="AM241" s="115"/>
      <c r="AN241" s="115"/>
      <c r="AO241" s="115"/>
      <c r="AP241" s="115"/>
      <c r="AQ241" s="25"/>
      <c r="AR241" s="15"/>
      <c r="AU241" s="114"/>
    </row>
    <row r="242" spans="6:47" ht="19.5" x14ac:dyDescent="0.4"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7"/>
      <c r="T242" s="13"/>
      <c r="Y242" s="117"/>
      <c r="Z242" s="123"/>
      <c r="AA242" s="123"/>
      <c r="AB242" s="123"/>
      <c r="AC242" s="115"/>
      <c r="AD242" s="115"/>
      <c r="AE242" s="115"/>
      <c r="AF242" s="115"/>
      <c r="AG242" s="115"/>
      <c r="AH242" s="115"/>
      <c r="AI242" s="115"/>
      <c r="AJ242" s="115"/>
      <c r="AK242" s="115"/>
      <c r="AL242" s="115"/>
      <c r="AM242" s="115"/>
      <c r="AN242" s="115"/>
      <c r="AO242" s="115"/>
      <c r="AP242" s="115"/>
      <c r="AQ242" s="25"/>
      <c r="AR242" s="15"/>
      <c r="AU242" s="114"/>
    </row>
    <row r="243" spans="6:47" ht="19.5" x14ac:dyDescent="0.4"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26"/>
      <c r="T243" s="25"/>
      <c r="Y243" s="117"/>
      <c r="Z243" s="123"/>
      <c r="AA243" s="123"/>
      <c r="AB243" s="123"/>
      <c r="AC243" s="115"/>
      <c r="AD243" s="115"/>
      <c r="AE243" s="115"/>
      <c r="AF243" s="115"/>
      <c r="AG243" s="115"/>
      <c r="AH243" s="115"/>
      <c r="AI243" s="115"/>
      <c r="AJ243" s="115"/>
      <c r="AK243" s="115"/>
      <c r="AL243" s="115"/>
      <c r="AM243" s="115"/>
      <c r="AN243" s="115"/>
      <c r="AO243" s="115"/>
      <c r="AP243" s="115"/>
      <c r="AQ243" s="25"/>
      <c r="AR243" s="15"/>
      <c r="AU243" s="114"/>
    </row>
    <row r="244" spans="6:47" ht="19.5" x14ac:dyDescent="0.4"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7"/>
      <c r="T244" s="13"/>
      <c r="Y244" s="117"/>
      <c r="Z244" s="123"/>
      <c r="AA244" s="123"/>
      <c r="AB244" s="123"/>
      <c r="AC244" s="115"/>
      <c r="AD244" s="115"/>
      <c r="AE244" s="115"/>
      <c r="AF244" s="115"/>
      <c r="AG244" s="115"/>
      <c r="AH244" s="115"/>
      <c r="AI244" s="115"/>
      <c r="AJ244" s="115"/>
      <c r="AK244" s="115"/>
      <c r="AL244" s="115"/>
      <c r="AM244" s="115"/>
      <c r="AN244" s="115"/>
      <c r="AO244" s="115"/>
      <c r="AP244" s="115"/>
      <c r="AQ244" s="25"/>
      <c r="AR244" s="15"/>
      <c r="AU244" s="114"/>
    </row>
    <row r="245" spans="6:47" ht="19.5" x14ac:dyDescent="0.4"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26"/>
      <c r="T245" s="13"/>
      <c r="Y245" s="117"/>
      <c r="Z245" s="123"/>
      <c r="AA245" s="123"/>
      <c r="AB245" s="123"/>
      <c r="AC245" s="115"/>
      <c r="AD245" s="115"/>
      <c r="AE245" s="115"/>
      <c r="AF245" s="115"/>
      <c r="AG245" s="115"/>
      <c r="AH245" s="115"/>
      <c r="AI245" s="115"/>
      <c r="AJ245" s="115"/>
      <c r="AK245" s="115"/>
      <c r="AL245" s="115"/>
      <c r="AM245" s="115"/>
      <c r="AN245" s="115"/>
      <c r="AO245" s="115"/>
      <c r="AP245" s="115"/>
      <c r="AQ245" s="25"/>
      <c r="AR245" s="15"/>
      <c r="AU245" s="114"/>
    </row>
    <row r="246" spans="6:47" ht="19.5" x14ac:dyDescent="0.4">
      <c r="S246" s="26"/>
      <c r="T246" s="13"/>
      <c r="Y246" s="117"/>
      <c r="Z246" s="123"/>
      <c r="AA246" s="123"/>
      <c r="AB246" s="123"/>
      <c r="AC246" s="115"/>
      <c r="AD246" s="115"/>
      <c r="AE246" s="115"/>
      <c r="AF246" s="115"/>
      <c r="AG246" s="115"/>
      <c r="AH246" s="115"/>
      <c r="AI246" s="115"/>
      <c r="AJ246" s="115"/>
      <c r="AK246" s="115"/>
      <c r="AL246" s="115"/>
      <c r="AM246" s="115"/>
      <c r="AN246" s="115"/>
      <c r="AO246" s="115"/>
      <c r="AP246" s="115"/>
      <c r="AQ246" s="25">
        <v>45272</v>
      </c>
      <c r="AR246" s="15" t="s">
        <v>162</v>
      </c>
      <c r="AU246" s="114"/>
    </row>
    <row r="247" spans="6:47" ht="19.5" x14ac:dyDescent="0.4">
      <c r="M247" s="115"/>
      <c r="N247" s="115"/>
      <c r="O247" s="115"/>
      <c r="P247" s="115"/>
      <c r="Q247" s="115"/>
      <c r="R247" s="115"/>
      <c r="S247" s="17"/>
      <c r="T247" s="13"/>
      <c r="Y247" s="117"/>
      <c r="Z247" s="123"/>
      <c r="AA247" s="123"/>
      <c r="AB247" s="123"/>
      <c r="AC247" s="115"/>
      <c r="AD247" s="115"/>
      <c r="AE247" s="115"/>
      <c r="AF247" s="115"/>
      <c r="AG247" s="115"/>
      <c r="AH247" s="115"/>
      <c r="AI247" s="115"/>
      <c r="AJ247" s="115"/>
      <c r="AK247" s="115"/>
      <c r="AL247" s="115"/>
      <c r="AM247" s="115"/>
      <c r="AN247" s="115"/>
      <c r="AO247" s="115"/>
      <c r="AP247" s="115"/>
      <c r="AQ247" s="25"/>
      <c r="AR247" s="15"/>
      <c r="AU247" s="114"/>
    </row>
    <row r="248" spans="6:47" ht="19.5" x14ac:dyDescent="0.4">
      <c r="L248" s="115"/>
      <c r="M248" s="115"/>
      <c r="N248" s="115"/>
      <c r="O248" s="115"/>
      <c r="P248" s="115"/>
      <c r="Q248" s="115"/>
      <c r="R248" s="115"/>
      <c r="S248" s="26"/>
      <c r="T248" s="13"/>
      <c r="Y248" s="117"/>
      <c r="Z248" s="123"/>
      <c r="AA248" s="123"/>
      <c r="AB248" s="123"/>
      <c r="AC248" s="115"/>
      <c r="AD248" s="115"/>
      <c r="AE248" s="115"/>
      <c r="AF248" s="115"/>
      <c r="AG248" s="115"/>
      <c r="AH248" s="115"/>
      <c r="AI248" s="115"/>
      <c r="AJ248" s="115"/>
      <c r="AK248" s="115"/>
      <c r="AL248" s="115"/>
      <c r="AM248" s="115"/>
      <c r="AN248" s="115"/>
      <c r="AO248" s="115"/>
      <c r="AP248" s="115"/>
      <c r="AQ248" s="25"/>
      <c r="AR248" s="15"/>
      <c r="AU248" s="114"/>
    </row>
    <row r="249" spans="6:47" ht="19.5" x14ac:dyDescent="0.4">
      <c r="L249" s="115"/>
      <c r="M249" s="115"/>
      <c r="N249" s="115"/>
      <c r="O249" s="115"/>
      <c r="P249" s="115"/>
      <c r="Q249" s="115"/>
      <c r="R249" s="115"/>
      <c r="S249" s="17"/>
      <c r="T249" s="13"/>
      <c r="Y249" s="117"/>
      <c r="Z249" s="123"/>
      <c r="AA249" s="123"/>
      <c r="AB249" s="123"/>
      <c r="AC249" s="115"/>
      <c r="AD249" s="115"/>
      <c r="AE249" s="115"/>
      <c r="AF249" s="115"/>
      <c r="AG249" s="115"/>
      <c r="AH249" s="115"/>
      <c r="AI249" s="115"/>
      <c r="AJ249" s="115"/>
      <c r="AK249" s="115"/>
      <c r="AL249" s="115"/>
      <c r="AM249" s="115"/>
      <c r="AN249" s="115"/>
      <c r="AO249" s="115"/>
      <c r="AP249" s="115"/>
      <c r="AQ249" s="25"/>
      <c r="AR249" s="15"/>
      <c r="AU249" s="114"/>
    </row>
    <row r="250" spans="6:47" ht="19.5" x14ac:dyDescent="0.4">
      <c r="L250" s="115"/>
      <c r="M250" s="115"/>
      <c r="N250" s="115"/>
      <c r="O250" s="115"/>
      <c r="P250" s="115"/>
      <c r="Q250" s="115"/>
      <c r="R250" s="115"/>
      <c r="S250" s="17"/>
      <c r="T250" s="13"/>
      <c r="Y250" s="117"/>
      <c r="Z250" s="123"/>
      <c r="AA250" s="123"/>
      <c r="AB250" s="123"/>
      <c r="AC250" s="115"/>
      <c r="AD250" s="115"/>
      <c r="AE250" s="115"/>
      <c r="AF250" s="115"/>
      <c r="AG250" s="115"/>
      <c r="AH250" s="115"/>
      <c r="AI250" s="115"/>
      <c r="AJ250" s="115"/>
      <c r="AK250" s="115"/>
      <c r="AL250" s="115"/>
      <c r="AM250" s="115"/>
      <c r="AN250" s="115"/>
      <c r="AO250" s="115"/>
      <c r="AP250" s="115"/>
      <c r="AQ250" s="25"/>
      <c r="AR250" s="15"/>
      <c r="AU250" s="114"/>
    </row>
    <row r="251" spans="6:47" ht="19.5" x14ac:dyDescent="0.4"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26"/>
      <c r="T251" s="13"/>
      <c r="Y251" s="117"/>
      <c r="Z251" s="123"/>
      <c r="AA251" s="123"/>
      <c r="AB251" s="123"/>
      <c r="AC251" s="115"/>
      <c r="AD251" s="115"/>
      <c r="AE251" s="115"/>
      <c r="AF251" s="115"/>
      <c r="AG251" s="115"/>
      <c r="AH251" s="115"/>
      <c r="AI251" s="115"/>
      <c r="AJ251" s="115"/>
      <c r="AK251" s="115"/>
      <c r="AL251" s="115"/>
      <c r="AM251" s="115"/>
      <c r="AN251" s="115"/>
      <c r="AO251" s="115"/>
      <c r="AP251" s="115"/>
      <c r="AQ251" s="25"/>
      <c r="AR251" s="15"/>
      <c r="AU251" s="114"/>
    </row>
    <row r="252" spans="6:47" ht="19.5" x14ac:dyDescent="0.4"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20"/>
      <c r="T252" s="13"/>
      <c r="Y252" s="117"/>
      <c r="Z252" s="123"/>
      <c r="AA252" s="123"/>
      <c r="AB252" s="123"/>
      <c r="AC252" s="115"/>
      <c r="AD252" s="115"/>
      <c r="AE252" s="115"/>
      <c r="AF252" s="115"/>
      <c r="AG252" s="115"/>
      <c r="AH252" s="115"/>
      <c r="AI252" s="115"/>
      <c r="AJ252" s="115"/>
      <c r="AK252" s="115"/>
      <c r="AL252" s="115"/>
      <c r="AM252" s="115"/>
      <c r="AN252" s="115"/>
      <c r="AO252" s="115"/>
      <c r="AP252" s="115"/>
      <c r="AQ252" s="25"/>
      <c r="AR252" s="15"/>
      <c r="AU252" s="114"/>
    </row>
    <row r="253" spans="6:47" ht="19.5" x14ac:dyDescent="0.4"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20"/>
      <c r="T253" s="13"/>
      <c r="Y253" s="117"/>
      <c r="Z253" s="123"/>
      <c r="AA253" s="123"/>
      <c r="AB253" s="123"/>
      <c r="AC253" s="115"/>
      <c r="AD253" s="115"/>
      <c r="AE253" s="115"/>
      <c r="AF253" s="115"/>
      <c r="AG253" s="115"/>
      <c r="AH253" s="115"/>
      <c r="AI253" s="115"/>
      <c r="AJ253" s="115"/>
      <c r="AK253" s="115"/>
      <c r="AL253" s="115"/>
      <c r="AM253" s="115"/>
      <c r="AN253" s="115"/>
      <c r="AO253" s="115"/>
      <c r="AP253" s="115"/>
      <c r="AQ253" s="25"/>
      <c r="AR253" s="15"/>
      <c r="AU253" s="114"/>
    </row>
    <row r="254" spans="6:47" ht="19.5" x14ac:dyDescent="0.4"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25"/>
      <c r="T254" s="15"/>
      <c r="Y254" s="117"/>
      <c r="Z254" s="123"/>
      <c r="AA254" s="123"/>
      <c r="AB254" s="123"/>
      <c r="AC254" s="115"/>
      <c r="AD254" s="115"/>
      <c r="AE254" s="115"/>
      <c r="AF254" s="115"/>
      <c r="AG254" s="115"/>
      <c r="AH254" s="115"/>
      <c r="AI254" s="115"/>
      <c r="AJ254" s="115"/>
      <c r="AK254" s="115"/>
      <c r="AL254" s="115"/>
      <c r="AM254" s="115"/>
      <c r="AN254" s="115"/>
      <c r="AO254" s="115"/>
      <c r="AP254" s="115"/>
      <c r="AQ254" s="25"/>
      <c r="AR254" s="15"/>
      <c r="AU254" s="114"/>
    </row>
    <row r="255" spans="6:47" ht="19.5" x14ac:dyDescent="0.4"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25"/>
      <c r="T255" s="15"/>
      <c r="Y255" s="117"/>
      <c r="Z255" s="123"/>
      <c r="AA255" s="123"/>
      <c r="AB255" s="123"/>
      <c r="AC255" s="115"/>
      <c r="AD255" s="115"/>
      <c r="AE255" s="115"/>
      <c r="AF255" s="115"/>
      <c r="AG255" s="115"/>
      <c r="AH255" s="115"/>
      <c r="AI255" s="115"/>
      <c r="AJ255" s="115"/>
      <c r="AK255" s="115"/>
      <c r="AL255" s="115"/>
      <c r="AM255" s="115"/>
      <c r="AN255" s="115"/>
      <c r="AO255" s="115"/>
      <c r="AP255" s="115"/>
      <c r="AQ255" s="25"/>
      <c r="AR255" s="15"/>
      <c r="AU255" s="114"/>
    </row>
    <row r="256" spans="6:47" ht="19.5" x14ac:dyDescent="0.4"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25"/>
      <c r="T256" s="15"/>
      <c r="Y256" s="117"/>
      <c r="Z256" s="123"/>
      <c r="AA256" s="123"/>
      <c r="AB256" s="123"/>
      <c r="AC256" s="115"/>
      <c r="AD256" s="115"/>
      <c r="AE256" s="115"/>
      <c r="AF256" s="115"/>
      <c r="AG256" s="115"/>
      <c r="AH256" s="115"/>
      <c r="AI256" s="115"/>
      <c r="AJ256" s="115"/>
      <c r="AK256" s="115"/>
      <c r="AL256" s="115"/>
      <c r="AM256" s="115"/>
      <c r="AN256" s="115"/>
      <c r="AO256" s="115"/>
      <c r="AP256" s="115"/>
      <c r="AQ256" s="25"/>
      <c r="AR256" s="15"/>
      <c r="AU256" s="114"/>
    </row>
    <row r="257" spans="8:47" ht="19.5" x14ac:dyDescent="0.4">
      <c r="S257" s="26"/>
      <c r="T257" s="15"/>
      <c r="Y257" s="117"/>
      <c r="Z257" s="123"/>
      <c r="AA257" s="123"/>
      <c r="AB257" s="123"/>
      <c r="AC257" s="115"/>
      <c r="AD257" s="115"/>
      <c r="AE257" s="115"/>
      <c r="AF257" s="115"/>
      <c r="AG257" s="115"/>
      <c r="AH257" s="115"/>
      <c r="AI257" s="115"/>
      <c r="AJ257" s="115"/>
      <c r="AK257" s="115"/>
      <c r="AL257" s="115"/>
      <c r="AM257" s="115"/>
      <c r="AN257" s="115"/>
      <c r="AO257" s="115"/>
      <c r="AP257" s="115"/>
      <c r="AQ257" s="25">
        <v>45272</v>
      </c>
      <c r="AR257" s="15" t="s">
        <v>162</v>
      </c>
      <c r="AU257" s="114"/>
    </row>
    <row r="258" spans="8:47" ht="19.5" x14ac:dyDescent="0.4">
      <c r="S258" s="26"/>
      <c r="T258" s="13"/>
      <c r="Y258" s="117"/>
      <c r="Z258" s="123"/>
      <c r="AA258" s="123"/>
      <c r="AB258" s="123"/>
      <c r="AC258" s="115"/>
      <c r="AD258" s="115"/>
      <c r="AE258" s="115"/>
      <c r="AF258" s="115"/>
      <c r="AG258" s="115"/>
      <c r="AH258" s="115"/>
      <c r="AI258" s="115"/>
      <c r="AJ258" s="115"/>
      <c r="AK258" s="115"/>
      <c r="AL258" s="115"/>
      <c r="AM258" s="115"/>
      <c r="AN258" s="115"/>
      <c r="AO258" s="115"/>
      <c r="AP258" s="115"/>
      <c r="AQ258" s="25"/>
      <c r="AR258" s="15"/>
      <c r="AU258" s="114"/>
    </row>
    <row r="259" spans="8:47" ht="19.5" x14ac:dyDescent="0.4"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26"/>
      <c r="T259" s="13"/>
      <c r="Y259" s="117"/>
      <c r="Z259" s="123"/>
      <c r="AA259" s="123"/>
      <c r="AB259" s="123"/>
      <c r="AC259" s="115"/>
      <c r="AD259" s="115"/>
      <c r="AE259" s="115"/>
      <c r="AF259" s="115"/>
      <c r="AG259" s="115"/>
      <c r="AH259" s="115"/>
      <c r="AI259" s="115"/>
      <c r="AJ259" s="115"/>
      <c r="AK259" s="115"/>
      <c r="AL259" s="115"/>
      <c r="AM259" s="115"/>
      <c r="AN259" s="115"/>
      <c r="AO259" s="115"/>
      <c r="AP259" s="115"/>
      <c r="AQ259" s="25"/>
      <c r="AR259" s="15"/>
      <c r="AU259" s="114"/>
    </row>
    <row r="260" spans="8:47" ht="19.5" x14ac:dyDescent="0.4">
      <c r="S260" s="26"/>
      <c r="T260" s="13"/>
      <c r="Y260" s="117"/>
      <c r="Z260" s="123"/>
      <c r="AA260" s="123"/>
      <c r="AB260" s="123"/>
      <c r="AC260" s="115"/>
      <c r="AD260" s="115"/>
      <c r="AE260" s="115"/>
      <c r="AF260" s="115"/>
      <c r="AG260" s="115"/>
      <c r="AH260" s="115"/>
      <c r="AI260" s="115"/>
      <c r="AJ260" s="115"/>
      <c r="AK260" s="115"/>
      <c r="AL260" s="115"/>
      <c r="AM260" s="115"/>
      <c r="AN260" s="115"/>
      <c r="AO260" s="115"/>
      <c r="AP260" s="115"/>
      <c r="AQ260" s="25">
        <v>45272</v>
      </c>
      <c r="AR260" s="15" t="s">
        <v>162</v>
      </c>
      <c r="AU260" s="114"/>
    </row>
    <row r="261" spans="8:47" ht="19.5" x14ac:dyDescent="0.4">
      <c r="K261" s="115"/>
      <c r="L261" s="115"/>
      <c r="M261" s="115"/>
      <c r="N261" s="115"/>
      <c r="O261" s="115"/>
      <c r="P261" s="115"/>
      <c r="Q261" s="115"/>
      <c r="R261" s="115"/>
      <c r="S261" s="17"/>
      <c r="T261" s="13"/>
      <c r="Y261" s="117"/>
      <c r="Z261" s="123"/>
      <c r="AA261" s="123"/>
      <c r="AB261" s="123"/>
      <c r="AC261" s="115"/>
      <c r="AD261" s="115"/>
      <c r="AE261" s="115"/>
      <c r="AF261" s="115"/>
      <c r="AG261" s="115"/>
      <c r="AH261" s="115"/>
      <c r="AI261" s="115"/>
      <c r="AJ261" s="115"/>
      <c r="AK261" s="115"/>
      <c r="AL261" s="115"/>
      <c r="AM261" s="115"/>
      <c r="AN261" s="115"/>
      <c r="AO261" s="115"/>
      <c r="AP261" s="115"/>
      <c r="AQ261" s="25"/>
      <c r="AR261" s="15"/>
      <c r="AU261" s="114"/>
    </row>
    <row r="262" spans="8:47" ht="19.5" x14ac:dyDescent="0.4">
      <c r="S262" s="26"/>
      <c r="T262" s="13"/>
      <c r="Y262" s="117"/>
      <c r="Z262" s="123"/>
      <c r="AA262" s="123"/>
      <c r="AB262" s="123"/>
      <c r="AC262" s="115"/>
      <c r="AD262" s="115"/>
      <c r="AE262" s="115"/>
      <c r="AF262" s="115"/>
      <c r="AG262" s="115"/>
      <c r="AH262" s="115"/>
      <c r="AI262" s="115"/>
      <c r="AJ262" s="115"/>
      <c r="AK262" s="115"/>
      <c r="AL262" s="115"/>
      <c r="AM262" s="115"/>
      <c r="AN262" s="115"/>
      <c r="AO262" s="115"/>
      <c r="AP262" s="115"/>
      <c r="AQ262" s="25"/>
      <c r="AR262" s="15"/>
      <c r="AU262" s="114"/>
    </row>
    <row r="263" spans="8:47" ht="19.5" x14ac:dyDescent="0.4"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26"/>
      <c r="T263" s="13"/>
      <c r="Y263" s="117"/>
      <c r="Z263" s="123"/>
      <c r="AA263" s="123"/>
      <c r="AB263" s="123"/>
      <c r="AC263" s="115"/>
      <c r="AD263" s="115"/>
      <c r="AE263" s="115"/>
      <c r="AF263" s="115"/>
      <c r="AG263" s="115"/>
      <c r="AH263" s="115"/>
      <c r="AI263" s="115"/>
      <c r="AJ263" s="115"/>
      <c r="AK263" s="115"/>
      <c r="AL263" s="115"/>
      <c r="AM263" s="115"/>
      <c r="AN263" s="115"/>
      <c r="AO263" s="115"/>
      <c r="AP263" s="115"/>
      <c r="AQ263" s="25"/>
      <c r="AR263" s="15"/>
      <c r="AU263" s="114"/>
    </row>
    <row r="264" spans="8:47" ht="19.5" x14ac:dyDescent="0.4">
      <c r="S264" s="26"/>
      <c r="T264" s="13"/>
      <c r="Y264" s="117"/>
      <c r="Z264" s="123"/>
      <c r="AA264" s="123"/>
      <c r="AB264" s="123"/>
      <c r="AC264" s="115"/>
      <c r="AD264" s="115"/>
      <c r="AE264" s="115"/>
      <c r="AF264" s="115"/>
      <c r="AG264" s="115"/>
      <c r="AH264" s="115"/>
      <c r="AI264" s="115"/>
      <c r="AJ264" s="115"/>
      <c r="AK264" s="115"/>
      <c r="AL264" s="115"/>
      <c r="AM264" s="115"/>
      <c r="AN264" s="115"/>
      <c r="AO264" s="115"/>
      <c r="AP264" s="115"/>
      <c r="AQ264" s="25">
        <v>45272</v>
      </c>
      <c r="AR264" s="15" t="s">
        <v>162</v>
      </c>
      <c r="AU264" s="114"/>
    </row>
    <row r="265" spans="8:47" ht="19.5" x14ac:dyDescent="0.4">
      <c r="S265" s="26"/>
      <c r="T265" s="13"/>
      <c r="Y265" s="117"/>
      <c r="Z265" s="123"/>
      <c r="AA265" s="123"/>
      <c r="AB265" s="123"/>
      <c r="AC265" s="115"/>
      <c r="AD265" s="115"/>
      <c r="AE265" s="115"/>
      <c r="AF265" s="115"/>
      <c r="AG265" s="115"/>
      <c r="AH265" s="115"/>
      <c r="AI265" s="115"/>
      <c r="AJ265" s="115"/>
      <c r="AK265" s="115"/>
      <c r="AL265" s="115"/>
      <c r="AM265" s="115"/>
      <c r="AN265" s="115"/>
      <c r="AO265" s="115"/>
      <c r="AP265" s="115" t="s">
        <v>166</v>
      </c>
      <c r="AQ265" s="13">
        <f>SUBTOTAL(3,AQ213:AQ264)</f>
        <v>13</v>
      </c>
      <c r="AR265" s="15">
        <f>SUBTOTAL(3,AR213:AR264)</f>
        <v>13</v>
      </c>
      <c r="AU265" s="114"/>
    </row>
    <row r="266" spans="8:47" ht="19.5" x14ac:dyDescent="0.4">
      <c r="K266" s="115"/>
      <c r="L266" s="115"/>
      <c r="M266" s="115"/>
      <c r="N266" s="115"/>
      <c r="O266" s="115"/>
      <c r="P266" s="115"/>
      <c r="Q266" s="115"/>
      <c r="R266" s="115"/>
      <c r="S266" s="17"/>
      <c r="T266" s="13"/>
      <c r="Y266" s="117"/>
      <c r="Z266" s="123"/>
      <c r="AA266" s="123"/>
      <c r="AB266" s="123"/>
      <c r="AC266" s="115"/>
      <c r="AD266" s="115"/>
      <c r="AE266" s="115"/>
      <c r="AF266" s="115"/>
      <c r="AG266" s="115"/>
      <c r="AH266" s="115"/>
      <c r="AI266" s="115"/>
      <c r="AJ266" s="115"/>
      <c r="AK266" s="115"/>
      <c r="AL266" s="115"/>
      <c r="AM266" s="115"/>
      <c r="AN266" s="115"/>
      <c r="AO266" s="115"/>
      <c r="AP266" s="115"/>
      <c r="AQ266" s="13"/>
      <c r="AR266" s="15"/>
      <c r="AU266" s="114"/>
    </row>
    <row r="267" spans="8:47" ht="19.5" x14ac:dyDescent="0.4">
      <c r="S267" s="26"/>
      <c r="T267" s="13"/>
      <c r="Y267" s="117"/>
      <c r="Z267" s="123"/>
      <c r="AA267" s="123"/>
      <c r="AB267" s="123"/>
      <c r="AC267" s="115"/>
      <c r="AD267" s="115"/>
      <c r="AE267" s="115"/>
      <c r="AF267" s="115"/>
      <c r="AG267" s="115"/>
      <c r="AH267" s="115"/>
      <c r="AI267" s="115"/>
      <c r="AJ267" s="115"/>
      <c r="AK267" s="115"/>
      <c r="AL267" s="115"/>
      <c r="AM267" s="115"/>
      <c r="AN267" s="115"/>
      <c r="AO267" s="115"/>
      <c r="AP267" s="115"/>
      <c r="AQ267" s="25">
        <v>45273</v>
      </c>
      <c r="AR267" s="105" t="s">
        <v>164</v>
      </c>
      <c r="AU267" s="114"/>
    </row>
    <row r="268" spans="8:47" ht="19.5" x14ac:dyDescent="0.4">
      <c r="S268" s="26"/>
      <c r="T268" s="13"/>
      <c r="Y268" s="117"/>
      <c r="Z268" s="123"/>
      <c r="AA268" s="123"/>
      <c r="AB268" s="123"/>
      <c r="AC268" s="115"/>
      <c r="AD268" s="115"/>
      <c r="AE268" s="115"/>
      <c r="AF268" s="115"/>
      <c r="AG268" s="115"/>
      <c r="AH268" s="115"/>
      <c r="AI268" s="115"/>
      <c r="AJ268" s="115"/>
      <c r="AK268" s="115"/>
      <c r="AL268" s="115"/>
      <c r="AM268" s="115"/>
      <c r="AN268" s="115"/>
      <c r="AO268" s="115"/>
      <c r="AP268" s="115"/>
      <c r="AQ268" s="25">
        <v>45273</v>
      </c>
      <c r="AR268" s="15" t="s">
        <v>164</v>
      </c>
      <c r="AU268" s="114"/>
    </row>
    <row r="269" spans="8:47" ht="19.5" x14ac:dyDescent="0.4"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26"/>
      <c r="T269" s="13"/>
      <c r="Y269" s="117"/>
      <c r="Z269" s="123"/>
      <c r="AA269" s="123"/>
      <c r="AB269" s="123"/>
      <c r="AC269" s="115"/>
      <c r="AD269" s="115"/>
      <c r="AE269" s="115"/>
      <c r="AF269" s="115"/>
      <c r="AG269" s="115"/>
      <c r="AH269" s="115"/>
      <c r="AI269" s="115"/>
      <c r="AJ269" s="115"/>
      <c r="AK269" s="115"/>
      <c r="AL269" s="115"/>
      <c r="AM269" s="115"/>
      <c r="AN269" s="115"/>
      <c r="AO269" s="115"/>
      <c r="AP269" s="115"/>
      <c r="AQ269" s="25"/>
      <c r="AR269" s="13"/>
      <c r="AU269" s="114"/>
    </row>
    <row r="270" spans="8:47" ht="19.5" x14ac:dyDescent="0.4">
      <c r="S270" s="26"/>
      <c r="T270" s="13"/>
      <c r="Y270" s="117"/>
      <c r="Z270" s="123"/>
      <c r="AA270" s="123"/>
      <c r="AB270" s="123"/>
      <c r="AC270" s="115"/>
      <c r="AD270" s="115"/>
      <c r="AE270" s="115"/>
      <c r="AF270" s="115"/>
      <c r="AG270" s="115"/>
      <c r="AH270" s="115"/>
      <c r="AI270" s="115"/>
      <c r="AJ270" s="115"/>
      <c r="AK270" s="115"/>
      <c r="AL270" s="115"/>
      <c r="AM270" s="115"/>
      <c r="AN270" s="115"/>
      <c r="AO270" s="115"/>
      <c r="AP270" s="115"/>
      <c r="AQ270" s="25">
        <v>45273</v>
      </c>
      <c r="AR270" s="13" t="s">
        <v>164</v>
      </c>
      <c r="AU270" s="114"/>
    </row>
    <row r="271" spans="8:47" ht="19.5" x14ac:dyDescent="0.4">
      <c r="S271" s="26"/>
      <c r="T271" s="13"/>
      <c r="Y271" s="117"/>
      <c r="Z271" s="123"/>
      <c r="AA271" s="123"/>
      <c r="AB271" s="123"/>
      <c r="AC271" s="115"/>
      <c r="AD271" s="115"/>
      <c r="AE271" s="115"/>
      <c r="AF271" s="115"/>
      <c r="AG271" s="115"/>
      <c r="AH271" s="115"/>
      <c r="AI271" s="115"/>
      <c r="AJ271" s="115"/>
      <c r="AK271" s="115"/>
      <c r="AL271" s="115"/>
      <c r="AM271" s="115"/>
      <c r="AN271" s="115"/>
      <c r="AO271" s="115"/>
      <c r="AP271" s="115"/>
      <c r="AQ271" s="25">
        <v>45273</v>
      </c>
      <c r="AR271" s="15" t="s">
        <v>164</v>
      </c>
      <c r="AU271" s="114"/>
    </row>
    <row r="272" spans="8:47" ht="19.5" x14ac:dyDescent="0.4">
      <c r="S272" s="26"/>
      <c r="T272" s="13"/>
      <c r="Y272" s="117"/>
      <c r="Z272" s="123"/>
      <c r="AA272" s="123"/>
      <c r="AB272" s="123"/>
      <c r="AC272" s="115"/>
      <c r="AD272" s="115"/>
      <c r="AE272" s="115"/>
      <c r="AF272" s="115"/>
      <c r="AG272" s="115"/>
      <c r="AH272" s="115"/>
      <c r="AI272" s="115"/>
      <c r="AJ272" s="115"/>
      <c r="AK272" s="115"/>
      <c r="AL272" s="115"/>
      <c r="AM272" s="115"/>
      <c r="AN272" s="115"/>
      <c r="AO272" s="115"/>
      <c r="AP272" s="115"/>
      <c r="AQ272" s="25">
        <v>45273</v>
      </c>
      <c r="AR272" s="15" t="s">
        <v>162</v>
      </c>
      <c r="AU272" s="114"/>
    </row>
    <row r="273" spans="9:47" ht="19.5" x14ac:dyDescent="0.4">
      <c r="J273" s="115"/>
      <c r="K273" s="115"/>
      <c r="L273" s="115"/>
      <c r="M273" s="115"/>
      <c r="N273" s="115"/>
      <c r="O273" s="115"/>
      <c r="P273" s="115"/>
      <c r="Q273" s="115"/>
      <c r="R273" s="115"/>
      <c r="S273" s="26"/>
      <c r="T273" s="13"/>
      <c r="Y273" s="117"/>
      <c r="Z273" s="123"/>
      <c r="AA273" s="123"/>
      <c r="AB273" s="123"/>
      <c r="AC273" s="115"/>
      <c r="AD273" s="115"/>
      <c r="AE273" s="115"/>
      <c r="AF273" s="115"/>
      <c r="AG273" s="115"/>
      <c r="AH273" s="115"/>
      <c r="AI273" s="115"/>
      <c r="AJ273" s="115"/>
      <c r="AK273" s="115"/>
      <c r="AL273" s="115"/>
      <c r="AM273" s="115"/>
      <c r="AN273" s="115"/>
      <c r="AO273" s="115"/>
      <c r="AP273" s="115"/>
      <c r="AQ273" s="25"/>
      <c r="AR273" s="15"/>
      <c r="AU273" s="114"/>
    </row>
    <row r="274" spans="9:47" ht="19.5" x14ac:dyDescent="0.4">
      <c r="S274" s="26"/>
      <c r="T274" s="13"/>
      <c r="Y274" s="117"/>
      <c r="Z274" s="123"/>
      <c r="AA274" s="123"/>
      <c r="AB274" s="123"/>
      <c r="AC274" s="115"/>
      <c r="AD274" s="115"/>
      <c r="AE274" s="115"/>
      <c r="AF274" s="115"/>
      <c r="AG274" s="115"/>
      <c r="AH274" s="115"/>
      <c r="AI274" s="115"/>
      <c r="AJ274" s="115"/>
      <c r="AK274" s="115"/>
      <c r="AL274" s="115"/>
      <c r="AM274" s="115"/>
      <c r="AN274" s="115"/>
      <c r="AO274" s="115"/>
      <c r="AP274" s="115"/>
      <c r="AQ274" s="25">
        <v>45273</v>
      </c>
      <c r="AR274" s="15" t="s">
        <v>162</v>
      </c>
      <c r="AU274" s="114"/>
    </row>
    <row r="275" spans="9:47" ht="19.5" x14ac:dyDescent="0.4">
      <c r="S275" s="26"/>
      <c r="T275" s="13"/>
      <c r="Y275" s="117"/>
      <c r="Z275" s="123"/>
      <c r="AA275" s="123"/>
      <c r="AB275" s="123"/>
      <c r="AC275" s="115"/>
      <c r="AD275" s="115"/>
      <c r="AE275" s="115"/>
      <c r="AF275" s="115"/>
      <c r="AG275" s="115"/>
      <c r="AH275" s="115"/>
      <c r="AI275" s="115"/>
      <c r="AJ275" s="115"/>
      <c r="AK275" s="115"/>
      <c r="AL275" s="115"/>
      <c r="AM275" s="115"/>
      <c r="AN275" s="115"/>
      <c r="AO275" s="115"/>
      <c r="AP275" s="115"/>
      <c r="AQ275" s="25">
        <v>45273</v>
      </c>
      <c r="AR275" s="15" t="s">
        <v>162</v>
      </c>
      <c r="AU275" s="114"/>
    </row>
    <row r="276" spans="9:47" ht="19.5" x14ac:dyDescent="0.4">
      <c r="S276" s="26"/>
      <c r="T276" s="13"/>
      <c r="Y276" s="117"/>
      <c r="Z276" s="123"/>
      <c r="AA276" s="123"/>
      <c r="AB276" s="123"/>
      <c r="AC276" s="115"/>
      <c r="AD276" s="115"/>
      <c r="AE276" s="115"/>
      <c r="AF276" s="115"/>
      <c r="AG276" s="115"/>
      <c r="AH276" s="115"/>
      <c r="AI276" s="115"/>
      <c r="AJ276" s="115"/>
      <c r="AK276" s="115"/>
      <c r="AL276" s="115"/>
      <c r="AM276" s="115"/>
      <c r="AN276" s="115"/>
      <c r="AO276" s="115"/>
      <c r="AP276" s="115"/>
      <c r="AQ276" s="25">
        <v>45273</v>
      </c>
      <c r="AR276" s="15" t="s">
        <v>162</v>
      </c>
      <c r="AU276" s="114"/>
    </row>
    <row r="277" spans="9:47" ht="19.5" x14ac:dyDescent="0.4"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26"/>
      <c r="T277" s="13"/>
      <c r="Y277" s="117"/>
      <c r="Z277" s="123"/>
      <c r="AA277" s="123"/>
      <c r="AB277" s="123"/>
      <c r="AC277" s="115"/>
      <c r="AD277" s="115"/>
      <c r="AE277" s="115"/>
      <c r="AF277" s="115"/>
      <c r="AG277" s="115"/>
      <c r="AH277" s="115"/>
      <c r="AI277" s="115"/>
      <c r="AJ277" s="115"/>
      <c r="AK277" s="115"/>
      <c r="AL277" s="115"/>
      <c r="AM277" s="115"/>
      <c r="AN277" s="115"/>
      <c r="AO277" s="115"/>
      <c r="AP277" s="115"/>
      <c r="AQ277" s="25"/>
      <c r="AR277" s="15"/>
      <c r="AU277" s="114"/>
    </row>
    <row r="278" spans="9:47" ht="19.5" x14ac:dyDescent="0.4">
      <c r="S278" s="26"/>
      <c r="T278" s="13"/>
      <c r="Y278" s="117"/>
      <c r="Z278" s="123"/>
      <c r="AA278" s="123"/>
      <c r="AB278" s="123"/>
      <c r="AC278" s="115"/>
      <c r="AD278" s="115"/>
      <c r="AE278" s="115"/>
      <c r="AF278" s="115"/>
      <c r="AG278" s="115"/>
      <c r="AH278" s="115"/>
      <c r="AI278" s="115"/>
      <c r="AJ278" s="115"/>
      <c r="AK278" s="115"/>
      <c r="AL278" s="115"/>
      <c r="AM278" s="115"/>
      <c r="AN278" s="115"/>
      <c r="AO278" s="115"/>
      <c r="AP278" s="115"/>
      <c r="AQ278" s="25">
        <v>45273</v>
      </c>
      <c r="AR278" s="15" t="s">
        <v>162</v>
      </c>
      <c r="AU278" s="114"/>
    </row>
    <row r="279" spans="9:47" ht="19.5" x14ac:dyDescent="0.4">
      <c r="S279" s="26"/>
      <c r="T279" s="13"/>
      <c r="Y279" s="117"/>
      <c r="Z279" s="123"/>
      <c r="AA279" s="123"/>
      <c r="AB279" s="123"/>
      <c r="AC279" s="115"/>
      <c r="AD279" s="115"/>
      <c r="AE279" s="115"/>
      <c r="AF279" s="115"/>
      <c r="AG279" s="115"/>
      <c r="AH279" s="115"/>
      <c r="AI279" s="115"/>
      <c r="AJ279" s="115"/>
      <c r="AK279" s="115"/>
      <c r="AL279" s="115"/>
      <c r="AM279" s="115"/>
      <c r="AN279" s="115"/>
      <c r="AO279" s="115"/>
      <c r="AP279" s="115"/>
      <c r="AQ279" s="25">
        <v>45273</v>
      </c>
      <c r="AR279" s="15" t="s">
        <v>162</v>
      </c>
      <c r="AU279" s="114"/>
    </row>
    <row r="280" spans="9:47" ht="19.5" x14ac:dyDescent="0.4">
      <c r="S280" s="26"/>
      <c r="T280" s="13"/>
      <c r="Y280" s="117"/>
      <c r="Z280" s="123"/>
      <c r="AA280" s="123"/>
      <c r="AB280" s="123"/>
      <c r="AC280" s="115"/>
      <c r="AD280" s="115"/>
      <c r="AE280" s="115"/>
      <c r="AF280" s="115"/>
      <c r="AG280" s="124"/>
      <c r="AH280" s="124"/>
      <c r="AI280" s="124"/>
      <c r="AJ280" s="124"/>
      <c r="AK280" s="124"/>
      <c r="AL280" s="124"/>
      <c r="AM280" s="124"/>
      <c r="AN280" s="124"/>
      <c r="AO280" s="124"/>
      <c r="AP280" s="124"/>
      <c r="AQ280" s="25">
        <v>45273</v>
      </c>
      <c r="AR280" s="15" t="s">
        <v>162</v>
      </c>
      <c r="AU280" s="114"/>
    </row>
    <row r="281" spans="9:47" ht="19.5" x14ac:dyDescent="0.4">
      <c r="S281" s="26"/>
      <c r="T281" s="13"/>
      <c r="Y281" s="117"/>
      <c r="Z281" s="123"/>
      <c r="AA281" s="123"/>
      <c r="AB281" s="123"/>
      <c r="AC281" s="115"/>
      <c r="AD281" s="115"/>
      <c r="AE281" s="115"/>
      <c r="AF281" s="115"/>
      <c r="AG281" s="124"/>
      <c r="AH281" s="124"/>
      <c r="AI281" s="124"/>
      <c r="AJ281" s="124"/>
      <c r="AK281" s="124"/>
      <c r="AL281" s="124"/>
      <c r="AM281" s="124"/>
      <c r="AN281" s="124"/>
      <c r="AO281" s="124"/>
      <c r="AP281" s="124"/>
      <c r="AQ281" s="25">
        <v>45273</v>
      </c>
      <c r="AR281" s="15" t="s">
        <v>162</v>
      </c>
      <c r="AU281" s="114"/>
    </row>
    <row r="282" spans="9:47" ht="19.5" x14ac:dyDescent="0.4">
      <c r="K282" s="115"/>
      <c r="L282" s="115"/>
      <c r="M282" s="115"/>
      <c r="N282" s="115"/>
      <c r="O282" s="115"/>
      <c r="P282" s="115"/>
      <c r="Q282" s="115"/>
      <c r="R282" s="115"/>
      <c r="S282" s="17"/>
      <c r="T282" s="13"/>
      <c r="Y282" s="117"/>
      <c r="Z282" s="123"/>
      <c r="AA282" s="123"/>
      <c r="AB282" s="123"/>
      <c r="AC282" s="115"/>
      <c r="AD282" s="115"/>
      <c r="AE282" s="115"/>
      <c r="AF282" s="115"/>
      <c r="AG282" s="124"/>
      <c r="AH282" s="124"/>
      <c r="AI282" s="124"/>
      <c r="AJ282" s="124"/>
      <c r="AK282" s="124"/>
      <c r="AL282" s="124"/>
      <c r="AM282" s="124"/>
      <c r="AN282" s="124"/>
      <c r="AO282" s="124"/>
      <c r="AP282" s="124"/>
      <c r="AQ282" s="25"/>
      <c r="AR282" s="15"/>
      <c r="AU282" s="114"/>
    </row>
    <row r="283" spans="9:47" ht="19.5" x14ac:dyDescent="0.4">
      <c r="S283" s="26"/>
      <c r="T283" s="13"/>
      <c r="Y283" s="117"/>
      <c r="Z283" s="123"/>
      <c r="AA283" s="123"/>
      <c r="AB283" s="123"/>
      <c r="AC283" s="115"/>
      <c r="AD283" s="115"/>
      <c r="AE283" s="115"/>
      <c r="AF283" s="115"/>
      <c r="AG283" s="124"/>
      <c r="AH283" s="124"/>
      <c r="AI283" s="124"/>
      <c r="AJ283" s="124"/>
      <c r="AK283" s="124"/>
      <c r="AL283" s="124"/>
      <c r="AM283" s="124"/>
      <c r="AN283" s="124"/>
      <c r="AO283" s="124"/>
      <c r="AP283" s="124"/>
      <c r="AQ283" s="25">
        <v>45273</v>
      </c>
      <c r="AR283" s="15" t="s">
        <v>162</v>
      </c>
      <c r="AU283" s="114"/>
    </row>
    <row r="284" spans="9:47" ht="19.5" x14ac:dyDescent="0.4">
      <c r="K284" s="115"/>
      <c r="L284" s="115"/>
      <c r="M284" s="115"/>
      <c r="N284" s="115"/>
      <c r="O284" s="115"/>
      <c r="P284" s="115"/>
      <c r="Q284" s="115"/>
      <c r="R284" s="115"/>
      <c r="S284" s="17"/>
      <c r="T284" s="13"/>
      <c r="Y284" s="117"/>
      <c r="Z284" s="123"/>
      <c r="AA284" s="123"/>
      <c r="AB284" s="123"/>
      <c r="AC284" s="115"/>
      <c r="AD284" s="115"/>
      <c r="AE284" s="115"/>
      <c r="AF284" s="115"/>
      <c r="AG284" s="124"/>
      <c r="AH284" s="124"/>
      <c r="AI284" s="124"/>
      <c r="AJ284" s="124"/>
      <c r="AK284" s="124"/>
      <c r="AL284" s="124"/>
      <c r="AM284" s="124"/>
      <c r="AN284" s="124"/>
      <c r="AO284" s="124"/>
      <c r="AP284" s="124"/>
      <c r="AQ284" s="25"/>
      <c r="AR284" s="15"/>
      <c r="AU284" s="114"/>
    </row>
    <row r="285" spans="9:47" ht="19.5" x14ac:dyDescent="0.4">
      <c r="S285" s="26"/>
      <c r="T285" s="13"/>
      <c r="Y285" s="117"/>
      <c r="Z285" s="123"/>
      <c r="AA285" s="123"/>
      <c r="AB285" s="123"/>
      <c r="AC285" s="115"/>
      <c r="AD285" s="115"/>
      <c r="AE285" s="115"/>
      <c r="AF285" s="115"/>
      <c r="AG285" s="124"/>
      <c r="AH285" s="124"/>
      <c r="AI285" s="124"/>
      <c r="AJ285" s="124"/>
      <c r="AK285" s="124"/>
      <c r="AL285" s="124"/>
      <c r="AM285" s="124"/>
      <c r="AN285" s="124"/>
      <c r="AO285" s="124"/>
      <c r="AP285" s="124"/>
      <c r="AQ285" s="25">
        <v>45273</v>
      </c>
      <c r="AR285" s="15" t="s">
        <v>162</v>
      </c>
      <c r="AU285" s="114"/>
    </row>
    <row r="286" spans="9:47" ht="19.5" x14ac:dyDescent="0.4">
      <c r="S286" s="26"/>
      <c r="T286" s="13"/>
      <c r="Y286" s="117"/>
      <c r="Z286" s="123"/>
      <c r="AA286" s="123"/>
      <c r="AB286" s="123"/>
      <c r="AC286" s="115"/>
      <c r="AD286" s="115"/>
      <c r="AE286" s="115"/>
      <c r="AF286" s="115"/>
      <c r="AG286" s="115"/>
      <c r="AH286" s="115"/>
      <c r="AI286" s="115"/>
      <c r="AJ286" s="115"/>
      <c r="AK286" s="115"/>
      <c r="AL286" s="115"/>
      <c r="AM286" s="115"/>
      <c r="AN286" s="115"/>
      <c r="AO286" s="115"/>
      <c r="AP286" s="115"/>
      <c r="AQ286" s="25">
        <v>45273</v>
      </c>
      <c r="AR286" s="13" t="s">
        <v>162</v>
      </c>
      <c r="AU286" s="114"/>
    </row>
    <row r="287" spans="9:47" ht="19.5" x14ac:dyDescent="0.4">
      <c r="S287" s="26"/>
      <c r="T287" s="13"/>
      <c r="Y287" s="117"/>
      <c r="Z287" s="123"/>
      <c r="AA287" s="123"/>
      <c r="AB287" s="123"/>
      <c r="AC287" s="115"/>
      <c r="AD287" s="115"/>
      <c r="AE287" s="115"/>
      <c r="AF287" s="115"/>
      <c r="AG287" s="115"/>
      <c r="AH287" s="115"/>
      <c r="AI287" s="115"/>
      <c r="AJ287" s="115"/>
      <c r="AK287" s="115"/>
      <c r="AL287" s="115"/>
      <c r="AM287" s="115"/>
      <c r="AN287" s="115"/>
      <c r="AO287" s="115"/>
      <c r="AP287" s="115"/>
      <c r="AQ287" s="25">
        <v>45273</v>
      </c>
      <c r="AR287" s="15" t="s">
        <v>162</v>
      </c>
      <c r="AU287" s="114"/>
    </row>
    <row r="288" spans="9:47" ht="19.5" x14ac:dyDescent="0.4">
      <c r="S288" s="26"/>
      <c r="T288" s="13"/>
      <c r="Y288" s="117"/>
      <c r="Z288" s="123"/>
      <c r="AA288" s="123"/>
      <c r="AB288" s="123"/>
      <c r="AC288" s="115"/>
      <c r="AD288" s="115"/>
      <c r="AE288" s="115"/>
      <c r="AF288" s="115"/>
      <c r="AG288" s="115"/>
      <c r="AH288" s="115"/>
      <c r="AI288" s="115"/>
      <c r="AJ288" s="115"/>
      <c r="AK288" s="115"/>
      <c r="AL288" s="115"/>
      <c r="AM288" s="115"/>
      <c r="AN288" s="115"/>
      <c r="AO288" s="115"/>
      <c r="AP288" s="115"/>
      <c r="AQ288" s="25">
        <v>45273</v>
      </c>
      <c r="AR288" s="15" t="s">
        <v>162</v>
      </c>
      <c r="AU288" s="114"/>
    </row>
    <row r="289" spans="6:47" ht="19.5" x14ac:dyDescent="0.4"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26"/>
      <c r="T289" s="25"/>
      <c r="Y289" s="117"/>
      <c r="Z289" s="123"/>
      <c r="AA289" s="123"/>
      <c r="AB289" s="123"/>
      <c r="AC289" s="115"/>
      <c r="AD289" s="115"/>
      <c r="AE289" s="115"/>
      <c r="AF289" s="115"/>
      <c r="AG289" s="115"/>
      <c r="AH289" s="115"/>
      <c r="AI289" s="115"/>
      <c r="AJ289" s="115"/>
      <c r="AK289" s="115"/>
      <c r="AL289" s="115"/>
      <c r="AM289" s="115"/>
      <c r="AN289" s="115"/>
      <c r="AO289" s="115"/>
      <c r="AP289" s="115"/>
      <c r="AQ289" s="25"/>
      <c r="AR289" s="15"/>
      <c r="AU289" s="114"/>
    </row>
    <row r="290" spans="6:47" ht="19.5" x14ac:dyDescent="0.4">
      <c r="S290" s="26"/>
      <c r="T290" s="25"/>
      <c r="Y290" s="117"/>
      <c r="Z290" s="123"/>
      <c r="AA290" s="123"/>
      <c r="AB290" s="123"/>
      <c r="AC290" s="115"/>
      <c r="AD290" s="115"/>
      <c r="AE290" s="115"/>
      <c r="AF290" s="115"/>
      <c r="AG290" s="115"/>
      <c r="AH290" s="115"/>
      <c r="AI290" s="115"/>
      <c r="AJ290" s="115"/>
      <c r="AK290" s="115"/>
      <c r="AL290" s="115"/>
      <c r="AM290" s="115"/>
      <c r="AN290" s="115"/>
      <c r="AO290" s="115"/>
      <c r="AP290" s="115"/>
      <c r="AQ290" s="25">
        <v>45273</v>
      </c>
      <c r="AR290" s="15" t="s">
        <v>162</v>
      </c>
      <c r="AU290" s="114"/>
    </row>
    <row r="291" spans="6:47" ht="19.5" x14ac:dyDescent="0.4">
      <c r="S291" s="26"/>
      <c r="T291" s="13"/>
      <c r="Y291" s="117"/>
      <c r="Z291" s="123"/>
      <c r="AA291" s="123"/>
      <c r="AB291" s="123"/>
      <c r="AC291" s="115"/>
      <c r="AD291" s="115"/>
      <c r="AE291" s="115"/>
      <c r="AF291" s="115"/>
      <c r="AG291" s="115"/>
      <c r="AH291" s="115"/>
      <c r="AI291" s="115"/>
      <c r="AJ291" s="115"/>
      <c r="AK291" s="115"/>
      <c r="AL291" s="115"/>
      <c r="AM291" s="115"/>
      <c r="AN291" s="115"/>
      <c r="AO291" s="115"/>
      <c r="AP291" s="115"/>
      <c r="AQ291" s="25">
        <v>45273</v>
      </c>
      <c r="AR291" s="15" t="s">
        <v>162</v>
      </c>
      <c r="AU291" s="114"/>
    </row>
    <row r="292" spans="6:47" ht="19.5" x14ac:dyDescent="0.4"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26"/>
      <c r="T292" s="13"/>
      <c r="Y292" s="117"/>
      <c r="Z292" s="123"/>
      <c r="AA292" s="123"/>
      <c r="AB292" s="123"/>
      <c r="AC292" s="115"/>
      <c r="AD292" s="115"/>
      <c r="AE292" s="115"/>
      <c r="AF292" s="115"/>
      <c r="AG292" s="115"/>
      <c r="AH292" s="115"/>
      <c r="AI292" s="115"/>
      <c r="AJ292" s="115"/>
      <c r="AK292" s="115"/>
      <c r="AL292" s="115"/>
      <c r="AM292" s="115"/>
      <c r="AN292" s="115"/>
      <c r="AO292" s="115"/>
      <c r="AP292" s="115"/>
      <c r="AQ292" s="25"/>
      <c r="AR292" s="15"/>
      <c r="AU292" s="114"/>
    </row>
    <row r="293" spans="6:47" ht="19.5" x14ac:dyDescent="0.4"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26"/>
      <c r="T293" s="13"/>
      <c r="Y293" s="117"/>
      <c r="Z293" s="123"/>
      <c r="AA293" s="123"/>
      <c r="AB293" s="123"/>
      <c r="AC293" s="115"/>
      <c r="AD293" s="115"/>
      <c r="AE293" s="115"/>
      <c r="AF293" s="115"/>
      <c r="AG293" s="115"/>
      <c r="AH293" s="115"/>
      <c r="AI293" s="115"/>
      <c r="AJ293" s="115"/>
      <c r="AK293" s="115"/>
      <c r="AL293" s="115"/>
      <c r="AM293" s="115"/>
      <c r="AN293" s="115"/>
      <c r="AO293" s="115"/>
      <c r="AP293" s="115"/>
      <c r="AQ293" s="25"/>
      <c r="AR293" s="15"/>
      <c r="AU293" s="114"/>
    </row>
    <row r="294" spans="6:47" ht="19.5" x14ac:dyDescent="0.4">
      <c r="S294" s="26"/>
      <c r="T294" s="13"/>
      <c r="Y294" s="117"/>
      <c r="Z294" s="123"/>
      <c r="AA294" s="123"/>
      <c r="AB294" s="123"/>
      <c r="AC294" s="115"/>
      <c r="AD294" s="115"/>
      <c r="AE294" s="115"/>
      <c r="AF294" s="115"/>
      <c r="AG294" s="115"/>
      <c r="AH294" s="115"/>
      <c r="AI294" s="115"/>
      <c r="AJ294" s="115"/>
      <c r="AK294" s="115"/>
      <c r="AL294" s="115"/>
      <c r="AM294" s="115"/>
      <c r="AN294" s="115"/>
      <c r="AO294" s="115"/>
      <c r="AP294" s="115"/>
      <c r="AQ294" s="25">
        <v>45273</v>
      </c>
      <c r="AR294" s="15" t="s">
        <v>162</v>
      </c>
      <c r="AU294" s="114"/>
    </row>
    <row r="295" spans="6:47" ht="19.5" x14ac:dyDescent="0.4">
      <c r="S295" s="26"/>
      <c r="T295" s="13"/>
      <c r="Y295" s="117"/>
      <c r="Z295" s="123"/>
      <c r="AA295" s="123"/>
      <c r="AB295" s="123"/>
      <c r="AC295" s="115"/>
      <c r="AD295" s="115"/>
      <c r="AE295" s="115"/>
      <c r="AF295" s="115"/>
      <c r="AG295" s="115"/>
      <c r="AH295" s="115"/>
      <c r="AI295" s="115"/>
      <c r="AJ295" s="115"/>
      <c r="AK295" s="115"/>
      <c r="AL295" s="115"/>
      <c r="AM295" s="115"/>
      <c r="AN295" s="115"/>
      <c r="AO295" s="115"/>
      <c r="AP295" s="115"/>
      <c r="AQ295" s="25">
        <v>45273</v>
      </c>
      <c r="AR295" s="15" t="s">
        <v>162</v>
      </c>
      <c r="AU295" s="114"/>
    </row>
    <row r="296" spans="6:47" ht="19.5" x14ac:dyDescent="0.4">
      <c r="S296" s="26"/>
      <c r="T296" s="13"/>
      <c r="Y296" s="117"/>
      <c r="Z296" s="123"/>
      <c r="AA296" s="123"/>
      <c r="AB296" s="123"/>
      <c r="AC296" s="115"/>
      <c r="AD296" s="115"/>
      <c r="AE296" s="115"/>
      <c r="AF296" s="115"/>
      <c r="AG296" s="115"/>
      <c r="AH296" s="115"/>
      <c r="AI296" s="115"/>
      <c r="AJ296" s="115"/>
      <c r="AK296" s="115"/>
      <c r="AL296" s="115"/>
      <c r="AM296" s="115"/>
      <c r="AN296" s="115"/>
      <c r="AO296" s="115"/>
      <c r="AP296" s="115"/>
      <c r="AQ296" s="25">
        <v>45273</v>
      </c>
      <c r="AR296" s="13" t="s">
        <v>163</v>
      </c>
      <c r="AU296" s="114"/>
    </row>
    <row r="297" spans="6:47" ht="19.5" x14ac:dyDescent="0.4">
      <c r="S297" s="26"/>
      <c r="T297" s="13"/>
      <c r="Y297" s="117"/>
      <c r="Z297" s="123"/>
      <c r="AA297" s="123"/>
      <c r="AB297" s="123"/>
      <c r="AC297" s="115"/>
      <c r="AD297" s="115"/>
      <c r="AE297" s="115"/>
      <c r="AF297" s="115"/>
      <c r="AG297" s="115"/>
      <c r="AH297" s="115"/>
      <c r="AI297" s="115"/>
      <c r="AJ297" s="115"/>
      <c r="AK297" s="115"/>
      <c r="AL297" s="115"/>
      <c r="AM297" s="115"/>
      <c r="AN297" s="115"/>
      <c r="AO297" s="115"/>
      <c r="AP297" s="115"/>
      <c r="AQ297" s="25"/>
      <c r="AR297" s="13"/>
      <c r="AU297" s="114"/>
    </row>
    <row r="298" spans="6:47" ht="19.5" x14ac:dyDescent="0.4">
      <c r="S298" s="26"/>
      <c r="T298" s="13"/>
      <c r="Y298" s="117"/>
      <c r="Z298" s="123"/>
      <c r="AA298" s="123"/>
      <c r="AB298" s="123"/>
      <c r="AC298" s="115"/>
      <c r="AD298" s="115"/>
      <c r="AE298" s="115"/>
      <c r="AF298" s="115"/>
      <c r="AG298" s="115"/>
      <c r="AH298" s="115"/>
      <c r="AI298" s="115"/>
      <c r="AJ298" s="115"/>
      <c r="AK298" s="115"/>
      <c r="AL298" s="115"/>
      <c r="AM298" s="115"/>
      <c r="AN298" s="115"/>
      <c r="AO298" s="115"/>
      <c r="AP298" s="115" t="s">
        <v>152</v>
      </c>
      <c r="AQ298" s="13">
        <f>SUBTOTAL(3,AQ267:AQ296)</f>
        <v>22</v>
      </c>
      <c r="AR298" s="13">
        <f>SUBTOTAL(3,AR267:AR296)</f>
        <v>22</v>
      </c>
      <c r="AU298" s="114"/>
    </row>
    <row r="299" spans="6:47" ht="19.5" x14ac:dyDescent="0.4">
      <c r="S299" s="26"/>
      <c r="T299" s="13"/>
      <c r="Y299" s="117"/>
      <c r="Z299" s="123"/>
      <c r="AA299" s="123"/>
      <c r="AB299" s="123"/>
      <c r="AC299" s="115"/>
      <c r="AD299" s="115"/>
      <c r="AE299" s="115"/>
      <c r="AF299" s="115"/>
      <c r="AG299" s="115"/>
      <c r="AH299" s="115"/>
      <c r="AI299" s="115"/>
      <c r="AJ299" s="115"/>
      <c r="AK299" s="115"/>
      <c r="AL299" s="115"/>
      <c r="AM299" s="115"/>
      <c r="AN299" s="115"/>
      <c r="AO299" s="115"/>
      <c r="AP299" s="115"/>
      <c r="AQ299" s="25">
        <v>45274</v>
      </c>
      <c r="AR299" s="15" t="s">
        <v>162</v>
      </c>
      <c r="AU299" s="114"/>
    </row>
    <row r="300" spans="6:47" ht="19.5" x14ac:dyDescent="0.4"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26"/>
      <c r="T300" s="13"/>
      <c r="Y300" s="117"/>
      <c r="Z300" s="123"/>
      <c r="AA300" s="123"/>
      <c r="AB300" s="123"/>
      <c r="AC300" s="115"/>
      <c r="AD300" s="115"/>
      <c r="AE300" s="115"/>
      <c r="AF300" s="115"/>
      <c r="AG300" s="115"/>
      <c r="AH300" s="115"/>
      <c r="AI300" s="115"/>
      <c r="AJ300" s="115"/>
      <c r="AK300" s="115"/>
      <c r="AL300" s="115"/>
      <c r="AM300" s="115"/>
      <c r="AN300" s="115"/>
      <c r="AO300" s="115"/>
      <c r="AP300" s="115"/>
      <c r="AQ300" s="25"/>
      <c r="AR300" s="15"/>
      <c r="AU300" s="114"/>
    </row>
    <row r="301" spans="6:47" ht="19.5" x14ac:dyDescent="0.4"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26"/>
      <c r="T301" s="13"/>
      <c r="Y301" s="117"/>
      <c r="Z301" s="123"/>
      <c r="AA301" s="123"/>
      <c r="AB301" s="123"/>
      <c r="AC301" s="115"/>
      <c r="AD301" s="115"/>
      <c r="AE301" s="115"/>
      <c r="AF301" s="115"/>
      <c r="AG301" s="115"/>
      <c r="AH301" s="115"/>
      <c r="AI301" s="115"/>
      <c r="AJ301" s="115"/>
      <c r="AK301" s="115"/>
      <c r="AL301" s="115"/>
      <c r="AM301" s="115"/>
      <c r="AN301" s="115"/>
      <c r="AO301" s="115"/>
      <c r="AP301" s="115"/>
      <c r="AQ301" s="25"/>
      <c r="AR301" s="15"/>
      <c r="AU301" s="114"/>
    </row>
    <row r="302" spans="6:47" ht="19.5" x14ac:dyDescent="0.4">
      <c r="S302" s="26"/>
      <c r="T302" s="13"/>
      <c r="Y302" s="117"/>
      <c r="Z302" s="123"/>
      <c r="AA302" s="123"/>
      <c r="AB302" s="123"/>
      <c r="AC302" s="115"/>
      <c r="AD302" s="115"/>
      <c r="AE302" s="115"/>
      <c r="AF302" s="115"/>
      <c r="AG302" s="115"/>
      <c r="AH302" s="115"/>
      <c r="AI302" s="115"/>
      <c r="AJ302" s="115"/>
      <c r="AK302" s="115"/>
      <c r="AL302" s="115"/>
      <c r="AM302" s="115"/>
      <c r="AN302" s="115"/>
      <c r="AO302" s="115"/>
      <c r="AP302" s="115"/>
      <c r="AQ302" s="25">
        <v>45274</v>
      </c>
      <c r="AR302" s="15" t="s">
        <v>162</v>
      </c>
      <c r="AU302" s="114"/>
    </row>
    <row r="303" spans="6:47" ht="19.5" x14ac:dyDescent="0.4">
      <c r="J303" s="115"/>
      <c r="K303" s="115"/>
      <c r="L303" s="115"/>
      <c r="M303" s="115"/>
      <c r="N303" s="115"/>
      <c r="O303" s="115"/>
      <c r="P303" s="115"/>
      <c r="Q303" s="115"/>
      <c r="R303" s="115"/>
      <c r="S303" s="26"/>
      <c r="T303" s="13"/>
      <c r="Y303" s="117"/>
      <c r="Z303" s="123"/>
      <c r="AA303" s="123"/>
      <c r="AB303" s="123"/>
      <c r="AC303" s="115"/>
      <c r="AD303" s="115"/>
      <c r="AE303" s="115"/>
      <c r="AF303" s="115"/>
      <c r="AG303" s="115"/>
      <c r="AH303" s="115"/>
      <c r="AI303" s="115"/>
      <c r="AJ303" s="115"/>
      <c r="AK303" s="115"/>
      <c r="AL303" s="115"/>
      <c r="AM303" s="115"/>
      <c r="AN303" s="115"/>
      <c r="AO303" s="115"/>
      <c r="AP303" s="115"/>
      <c r="AQ303" s="25"/>
      <c r="AR303" s="15"/>
      <c r="AU303" s="114"/>
    </row>
    <row r="304" spans="6:47" ht="19.5" x14ac:dyDescent="0.4"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26"/>
      <c r="T304" s="13"/>
      <c r="Y304" s="117"/>
      <c r="Z304" s="123"/>
      <c r="AA304" s="123"/>
      <c r="AB304" s="123"/>
      <c r="AC304" s="115"/>
      <c r="AD304" s="115"/>
      <c r="AE304" s="115"/>
      <c r="AF304" s="115"/>
      <c r="AG304" s="115"/>
      <c r="AH304" s="115"/>
      <c r="AI304" s="115"/>
      <c r="AJ304" s="115"/>
      <c r="AK304" s="115"/>
      <c r="AL304" s="115"/>
      <c r="AM304" s="115"/>
      <c r="AN304" s="115"/>
      <c r="AO304" s="115"/>
      <c r="AP304" s="115"/>
      <c r="AQ304" s="25"/>
      <c r="AR304" s="15"/>
      <c r="AU304" s="114"/>
    </row>
    <row r="305" spans="6:47" ht="19.5" x14ac:dyDescent="0.4"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26"/>
      <c r="T305" s="13"/>
      <c r="Y305" s="117"/>
      <c r="Z305" s="123"/>
      <c r="AA305" s="123"/>
      <c r="AB305" s="123"/>
      <c r="AC305" s="115"/>
      <c r="AD305" s="115"/>
      <c r="AE305" s="115"/>
      <c r="AF305" s="115"/>
      <c r="AG305" s="115"/>
      <c r="AH305" s="115"/>
      <c r="AI305" s="115"/>
      <c r="AJ305" s="115"/>
      <c r="AK305" s="115"/>
      <c r="AL305" s="115"/>
      <c r="AM305" s="115"/>
      <c r="AN305" s="115"/>
      <c r="AO305" s="115"/>
      <c r="AP305" s="115"/>
      <c r="AQ305" s="25"/>
      <c r="AR305" s="15"/>
      <c r="AU305" s="114"/>
    </row>
    <row r="306" spans="6:47" ht="19.5" x14ac:dyDescent="0.4">
      <c r="S306" s="26"/>
      <c r="T306" s="13"/>
      <c r="Y306" s="117"/>
      <c r="Z306" s="123"/>
      <c r="AA306" s="123"/>
      <c r="AB306" s="123"/>
      <c r="AC306" s="115"/>
      <c r="AD306" s="115"/>
      <c r="AE306" s="115"/>
      <c r="AF306" s="115"/>
      <c r="AG306" s="115"/>
      <c r="AH306" s="115"/>
      <c r="AI306" s="115"/>
      <c r="AJ306" s="115"/>
      <c r="AK306" s="115"/>
      <c r="AL306" s="115"/>
      <c r="AM306" s="115"/>
      <c r="AN306" s="115"/>
      <c r="AO306" s="115"/>
      <c r="AP306" s="115"/>
      <c r="AQ306" s="25">
        <v>45274</v>
      </c>
      <c r="AR306" s="15" t="s">
        <v>162</v>
      </c>
      <c r="AU306" s="114"/>
    </row>
    <row r="307" spans="6:47" ht="19.5" x14ac:dyDescent="0.4"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26"/>
      <c r="T307" s="13"/>
      <c r="Y307" s="117"/>
      <c r="Z307" s="123"/>
      <c r="AA307" s="123"/>
      <c r="AB307" s="123"/>
      <c r="AC307" s="115"/>
      <c r="AD307" s="115"/>
      <c r="AE307" s="115"/>
      <c r="AF307" s="115"/>
      <c r="AG307" s="115"/>
      <c r="AH307" s="115"/>
      <c r="AI307" s="115"/>
      <c r="AJ307" s="115"/>
      <c r="AK307" s="115"/>
      <c r="AL307" s="115"/>
      <c r="AM307" s="115"/>
      <c r="AN307" s="115"/>
      <c r="AO307" s="115"/>
      <c r="AP307" s="115"/>
      <c r="AQ307" s="25"/>
      <c r="AR307" s="15"/>
      <c r="AU307" s="114"/>
    </row>
    <row r="308" spans="6:47" ht="19.5" x14ac:dyDescent="0.4">
      <c r="S308" s="26"/>
      <c r="T308" s="13"/>
      <c r="Y308" s="117"/>
      <c r="Z308" s="123"/>
      <c r="AA308" s="123"/>
      <c r="AB308" s="123"/>
      <c r="AC308" s="115"/>
      <c r="AD308" s="115"/>
      <c r="AE308" s="115"/>
      <c r="AF308" s="115"/>
      <c r="AG308" s="115"/>
      <c r="AH308" s="115"/>
      <c r="AI308" s="115"/>
      <c r="AJ308" s="115"/>
      <c r="AK308" s="115"/>
      <c r="AL308" s="115"/>
      <c r="AM308" s="115"/>
      <c r="AN308" s="115"/>
      <c r="AO308" s="115"/>
      <c r="AP308" s="115"/>
      <c r="AQ308" s="25">
        <v>45274</v>
      </c>
      <c r="AR308" s="15" t="s">
        <v>162</v>
      </c>
      <c r="AU308" s="114"/>
    </row>
    <row r="309" spans="6:47" ht="19.5" x14ac:dyDescent="0.4">
      <c r="S309" s="26"/>
      <c r="T309" s="13"/>
      <c r="Y309" s="117"/>
      <c r="Z309" s="123"/>
      <c r="AA309" s="123"/>
      <c r="AB309" s="123"/>
      <c r="AC309" s="115"/>
      <c r="AD309" s="115"/>
      <c r="AE309" s="115"/>
      <c r="AF309" s="115"/>
      <c r="AG309" s="115"/>
      <c r="AH309" s="115"/>
      <c r="AI309" s="115"/>
      <c r="AJ309" s="115"/>
      <c r="AK309" s="115"/>
      <c r="AL309" s="115"/>
      <c r="AM309" s="115"/>
      <c r="AN309" s="115"/>
      <c r="AO309" s="115"/>
      <c r="AP309" s="115"/>
      <c r="AQ309" s="25">
        <v>45274</v>
      </c>
      <c r="AR309" s="15" t="s">
        <v>163</v>
      </c>
      <c r="AU309" s="114"/>
    </row>
    <row r="310" spans="6:47" ht="19.5" x14ac:dyDescent="0.4">
      <c r="K310" s="115"/>
      <c r="L310" s="115"/>
      <c r="M310" s="115"/>
      <c r="N310" s="115"/>
      <c r="O310" s="115"/>
      <c r="P310" s="115"/>
      <c r="Q310" s="115"/>
      <c r="R310" s="115"/>
      <c r="S310" s="17"/>
      <c r="T310" s="13"/>
      <c r="Y310" s="117"/>
      <c r="Z310" s="123"/>
      <c r="AA310" s="123"/>
      <c r="AB310" s="123"/>
      <c r="AC310" s="115"/>
      <c r="AD310" s="115"/>
      <c r="AE310" s="115"/>
      <c r="AF310" s="115"/>
      <c r="AG310" s="115"/>
      <c r="AH310" s="115"/>
      <c r="AI310" s="115"/>
      <c r="AJ310" s="115"/>
      <c r="AK310" s="115"/>
      <c r="AL310" s="115"/>
      <c r="AM310" s="115"/>
      <c r="AN310" s="115"/>
      <c r="AO310" s="115"/>
      <c r="AP310" s="115"/>
      <c r="AQ310" s="25"/>
      <c r="AR310" s="15"/>
      <c r="AU310" s="114"/>
    </row>
    <row r="311" spans="6:47" ht="19.5" x14ac:dyDescent="0.4"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26"/>
      <c r="T311" s="13"/>
      <c r="Y311" s="117"/>
      <c r="Z311" s="123"/>
      <c r="AA311" s="123"/>
      <c r="AB311" s="123"/>
      <c r="AC311" s="115"/>
      <c r="AD311" s="115"/>
      <c r="AE311" s="115"/>
      <c r="AF311" s="115"/>
      <c r="AG311" s="115"/>
      <c r="AH311" s="115"/>
      <c r="AI311" s="115"/>
      <c r="AJ311" s="115"/>
      <c r="AK311" s="115"/>
      <c r="AL311" s="115"/>
      <c r="AM311" s="115"/>
      <c r="AN311" s="115"/>
      <c r="AO311" s="115"/>
      <c r="AP311" s="115"/>
      <c r="AQ311" s="25"/>
      <c r="AR311" s="15"/>
      <c r="AU311" s="114"/>
    </row>
    <row r="312" spans="6:47" ht="19.5" x14ac:dyDescent="0.4">
      <c r="S312" s="26"/>
      <c r="T312" s="25"/>
      <c r="Y312" s="117"/>
      <c r="Z312" s="123"/>
      <c r="AA312" s="123"/>
      <c r="AB312" s="123"/>
      <c r="AC312" s="115"/>
      <c r="AD312" s="115"/>
      <c r="AE312" s="115"/>
      <c r="AF312" s="115"/>
      <c r="AG312" s="115"/>
      <c r="AH312" s="115"/>
      <c r="AI312" s="115"/>
      <c r="AJ312" s="115"/>
      <c r="AK312" s="115"/>
      <c r="AL312" s="115"/>
      <c r="AM312" s="115"/>
      <c r="AN312" s="115"/>
      <c r="AO312" s="115"/>
      <c r="AP312" s="115" t="s">
        <v>167</v>
      </c>
      <c r="AQ312" s="13">
        <f>SUBTOTAL(3,AQ299:AQ309)</f>
        <v>5</v>
      </c>
      <c r="AR312" s="15">
        <f>SUBTOTAL(3,AR299:AR309)</f>
        <v>5</v>
      </c>
      <c r="AU312" s="114"/>
    </row>
    <row r="313" spans="6:47" ht="19.5" x14ac:dyDescent="0.4"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26"/>
      <c r="T313" s="105"/>
      <c r="Y313" s="117"/>
      <c r="Z313" s="123"/>
      <c r="AA313" s="123"/>
      <c r="AB313" s="123"/>
      <c r="AC313" s="115"/>
      <c r="AD313" s="115"/>
      <c r="AE313" s="115"/>
      <c r="AF313" s="115"/>
      <c r="AG313" s="115"/>
      <c r="AH313" s="115"/>
      <c r="AI313" s="115"/>
      <c r="AJ313" s="115"/>
      <c r="AK313" s="115"/>
      <c r="AL313" s="115"/>
      <c r="AM313" s="115"/>
      <c r="AN313" s="115"/>
      <c r="AO313" s="115"/>
      <c r="AP313" s="115"/>
      <c r="AQ313" s="13"/>
      <c r="AR313" s="15"/>
      <c r="AU313" s="114"/>
    </row>
    <row r="314" spans="6:47" ht="19.5" x14ac:dyDescent="0.4">
      <c r="S314" s="26"/>
      <c r="T314" s="105"/>
      <c r="Y314" s="117"/>
      <c r="Z314" s="123"/>
      <c r="AA314" s="123"/>
      <c r="AB314" s="123"/>
      <c r="AC314" s="115"/>
      <c r="AD314" s="115"/>
      <c r="AE314" s="115"/>
      <c r="AF314" s="115"/>
      <c r="AG314" s="115"/>
      <c r="AH314" s="115"/>
      <c r="AI314" s="115"/>
      <c r="AJ314" s="115"/>
      <c r="AK314" s="115"/>
      <c r="AL314" s="115"/>
      <c r="AM314" s="115"/>
      <c r="AN314" s="115"/>
      <c r="AO314" s="115"/>
      <c r="AP314" s="115"/>
      <c r="AQ314" s="13"/>
      <c r="AR314" s="15"/>
      <c r="AU314" s="114"/>
    </row>
    <row r="315" spans="6:47" ht="19.5" x14ac:dyDescent="0.4">
      <c r="K315" s="115"/>
      <c r="L315" s="115"/>
      <c r="M315" s="115"/>
      <c r="N315" s="115"/>
      <c r="O315" s="115"/>
      <c r="P315" s="115"/>
      <c r="Q315" s="115"/>
      <c r="R315" s="115"/>
      <c r="S315" s="17"/>
      <c r="T315" s="15"/>
      <c r="Y315" s="117"/>
      <c r="Z315" s="123"/>
      <c r="AA315" s="123"/>
      <c r="AB315" s="123"/>
      <c r="AC315" s="115"/>
      <c r="AD315" s="115"/>
      <c r="AE315" s="115"/>
      <c r="AF315" s="115"/>
      <c r="AG315" s="115"/>
      <c r="AH315" s="115"/>
      <c r="AI315" s="115"/>
      <c r="AJ315" s="115"/>
      <c r="AK315" s="115"/>
      <c r="AL315" s="115"/>
      <c r="AM315" s="115"/>
      <c r="AN315" s="115"/>
      <c r="AO315" s="115"/>
      <c r="AP315" s="115"/>
      <c r="AQ315" s="13"/>
      <c r="AR315" s="15"/>
      <c r="AU315" s="114"/>
    </row>
    <row r="316" spans="6:47" ht="19.5" x14ac:dyDescent="0.4"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26"/>
      <c r="T316" s="15"/>
      <c r="Y316" s="117"/>
      <c r="Z316" s="123"/>
      <c r="AA316" s="123"/>
      <c r="AB316" s="123"/>
      <c r="AC316" s="115"/>
      <c r="AD316" s="115"/>
      <c r="AE316" s="115"/>
      <c r="AF316" s="115"/>
      <c r="AG316" s="115"/>
      <c r="AH316" s="115"/>
      <c r="AI316" s="115"/>
      <c r="AJ316" s="115"/>
      <c r="AK316" s="115"/>
      <c r="AL316" s="115"/>
      <c r="AM316" s="115"/>
      <c r="AN316" s="115"/>
      <c r="AO316" s="115"/>
      <c r="AP316" s="115"/>
      <c r="AQ316" s="13"/>
      <c r="AR316" s="15"/>
      <c r="AU316" s="114"/>
    </row>
    <row r="317" spans="6:47" ht="19.5" x14ac:dyDescent="0.4"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26"/>
      <c r="T317" s="15"/>
      <c r="Y317" s="117"/>
      <c r="Z317" s="123"/>
      <c r="AA317" s="123"/>
      <c r="AB317" s="123"/>
      <c r="AC317" s="115"/>
      <c r="AD317" s="115"/>
      <c r="AE317" s="115"/>
      <c r="AF317" s="115"/>
      <c r="AG317" s="115"/>
      <c r="AH317" s="115"/>
      <c r="AI317" s="115"/>
      <c r="AJ317" s="115"/>
      <c r="AK317" s="115"/>
      <c r="AL317" s="115"/>
      <c r="AM317" s="115"/>
      <c r="AN317" s="115"/>
      <c r="AO317" s="115"/>
      <c r="AP317" s="115"/>
      <c r="AQ317" s="13"/>
      <c r="AR317" s="15"/>
      <c r="AU317" s="114"/>
    </row>
    <row r="318" spans="6:47" ht="19.5" x14ac:dyDescent="0.4"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26"/>
      <c r="T318" s="15"/>
      <c r="Y318" s="117"/>
      <c r="Z318" s="123"/>
      <c r="AA318" s="123"/>
      <c r="AB318" s="123"/>
      <c r="AC318" s="115"/>
      <c r="AD318" s="115"/>
      <c r="AE318" s="115"/>
      <c r="AF318" s="115"/>
      <c r="AG318" s="115"/>
      <c r="AH318" s="115"/>
      <c r="AI318" s="115"/>
      <c r="AJ318" s="115"/>
      <c r="AK318" s="115"/>
      <c r="AL318" s="115"/>
      <c r="AM318" s="115"/>
      <c r="AN318" s="115"/>
      <c r="AO318" s="115"/>
      <c r="AP318" s="115"/>
      <c r="AQ318" s="13"/>
      <c r="AR318" s="15"/>
      <c r="AU318" s="114"/>
    </row>
    <row r="319" spans="6:47" ht="19.5" x14ac:dyDescent="0.4"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26"/>
      <c r="T319" s="15"/>
      <c r="Y319" s="117"/>
      <c r="Z319" s="123"/>
      <c r="AA319" s="123"/>
      <c r="AB319" s="123"/>
      <c r="AC319" s="115"/>
      <c r="AD319" s="115"/>
      <c r="AE319" s="115"/>
      <c r="AF319" s="115"/>
      <c r="AG319" s="115"/>
      <c r="AH319" s="115"/>
      <c r="AI319" s="115"/>
      <c r="AJ319" s="115"/>
      <c r="AK319" s="115"/>
      <c r="AL319" s="115"/>
      <c r="AM319" s="115"/>
      <c r="AN319" s="115"/>
      <c r="AO319" s="115"/>
      <c r="AP319" s="115"/>
      <c r="AQ319" s="13"/>
      <c r="AR319" s="15"/>
      <c r="AU319" s="114"/>
    </row>
    <row r="320" spans="6:47" ht="19.5" x14ac:dyDescent="0.4">
      <c r="S320" s="26"/>
      <c r="T320" s="15"/>
      <c r="Y320" s="117"/>
      <c r="Z320" s="123"/>
      <c r="AA320" s="123"/>
      <c r="AB320" s="123"/>
      <c r="AC320" s="115"/>
      <c r="AD320" s="115"/>
      <c r="AE320" s="115"/>
      <c r="AF320" s="115"/>
      <c r="AG320" s="115"/>
      <c r="AH320" s="115"/>
      <c r="AI320" s="115"/>
      <c r="AJ320" s="115"/>
      <c r="AK320" s="115"/>
      <c r="AL320" s="115"/>
      <c r="AM320" s="115"/>
      <c r="AN320" s="115"/>
      <c r="AO320" s="115"/>
      <c r="AP320" s="115"/>
      <c r="AQ320" s="25">
        <v>45275</v>
      </c>
      <c r="AR320" s="15" t="s">
        <v>163</v>
      </c>
      <c r="AU320" s="114"/>
    </row>
    <row r="321" spans="6:47" ht="19.5" x14ac:dyDescent="0.4">
      <c r="S321" s="26"/>
      <c r="T321" s="15"/>
      <c r="Y321" s="117"/>
      <c r="Z321" s="123"/>
      <c r="AA321" s="123"/>
      <c r="AB321" s="123"/>
      <c r="AC321" s="115"/>
      <c r="AD321" s="115"/>
      <c r="AE321" s="115"/>
      <c r="AF321" s="115"/>
      <c r="AG321" s="115"/>
      <c r="AH321" s="115"/>
      <c r="AI321" s="115"/>
      <c r="AJ321" s="115"/>
      <c r="AK321" s="115"/>
      <c r="AL321" s="115"/>
      <c r="AM321" s="115"/>
      <c r="AN321" s="115"/>
      <c r="AO321" s="115"/>
      <c r="AP321" s="115" t="s">
        <v>168</v>
      </c>
      <c r="AQ321" s="13">
        <f>SUBTOTAL(3,AQ320:AQ320)</f>
        <v>1</v>
      </c>
      <c r="AR321" s="15">
        <f>SUBTOTAL(3,AR320:AR320)</f>
        <v>1</v>
      </c>
      <c r="AU321" s="114"/>
    </row>
    <row r="322" spans="6:47" ht="19.5" x14ac:dyDescent="0.4">
      <c r="S322" s="26"/>
      <c r="T322" s="15"/>
      <c r="Y322" s="117"/>
      <c r="Z322" s="123"/>
      <c r="AA322" s="123"/>
      <c r="AB322" s="123"/>
      <c r="AC322" s="115"/>
      <c r="AD322" s="115"/>
      <c r="AE322" s="115"/>
      <c r="AF322" s="115"/>
      <c r="AG322" s="115"/>
      <c r="AH322" s="115"/>
      <c r="AI322" s="115"/>
      <c r="AJ322" s="115"/>
      <c r="AK322" s="115"/>
      <c r="AL322" s="115"/>
      <c r="AM322" s="115"/>
      <c r="AN322" s="115"/>
      <c r="AO322" s="115"/>
      <c r="AP322" s="115"/>
      <c r="AQ322" s="25">
        <v>45276</v>
      </c>
      <c r="AR322" s="15" t="s">
        <v>164</v>
      </c>
      <c r="AU322" s="114"/>
    </row>
    <row r="323" spans="6:47" ht="19.5" x14ac:dyDescent="0.4">
      <c r="S323" s="26"/>
      <c r="T323" s="15"/>
      <c r="Y323" s="117"/>
      <c r="Z323" s="123"/>
      <c r="AA323" s="123"/>
      <c r="AB323" s="123"/>
      <c r="AC323" s="115"/>
      <c r="AD323" s="115"/>
      <c r="AE323" s="115"/>
      <c r="AF323" s="115"/>
      <c r="AG323" s="115"/>
      <c r="AH323" s="115"/>
      <c r="AI323" s="115"/>
      <c r="AJ323" s="115"/>
      <c r="AK323" s="115"/>
      <c r="AL323" s="115"/>
      <c r="AM323" s="115"/>
      <c r="AN323" s="115"/>
      <c r="AO323" s="115"/>
      <c r="AP323" s="115"/>
      <c r="AQ323" s="25">
        <v>45276</v>
      </c>
      <c r="AR323" s="15" t="s">
        <v>162</v>
      </c>
      <c r="AU323" s="114"/>
    </row>
    <row r="324" spans="6:47" ht="19.5" x14ac:dyDescent="0.4">
      <c r="S324" s="26"/>
      <c r="T324" s="15"/>
      <c r="Y324" s="117"/>
      <c r="Z324" s="123"/>
      <c r="AA324" s="123"/>
      <c r="AB324" s="123"/>
      <c r="AC324" s="115"/>
      <c r="AD324" s="115"/>
      <c r="AE324" s="115"/>
      <c r="AF324" s="115"/>
      <c r="AG324" s="115"/>
      <c r="AH324" s="115"/>
      <c r="AI324" s="115"/>
      <c r="AJ324" s="115"/>
      <c r="AK324" s="115"/>
      <c r="AL324" s="115"/>
      <c r="AM324" s="115"/>
      <c r="AN324" s="115"/>
      <c r="AO324" s="115"/>
      <c r="AP324" s="115"/>
      <c r="AQ324" s="25">
        <v>45276</v>
      </c>
      <c r="AR324" s="15" t="s">
        <v>162</v>
      </c>
      <c r="AU324" s="114"/>
    </row>
    <row r="325" spans="6:47" ht="19.5" x14ac:dyDescent="0.4">
      <c r="S325" s="26"/>
      <c r="T325" s="15"/>
      <c r="Y325" s="117"/>
      <c r="Z325" s="123"/>
      <c r="AA325" s="123"/>
      <c r="AB325" s="123"/>
      <c r="AC325" s="115"/>
      <c r="AD325" s="115"/>
      <c r="AE325" s="115"/>
      <c r="AF325" s="115"/>
      <c r="AG325" s="115"/>
      <c r="AH325" s="115"/>
      <c r="AI325" s="115"/>
      <c r="AJ325" s="115"/>
      <c r="AK325" s="115"/>
      <c r="AL325" s="115"/>
      <c r="AM325" s="115"/>
      <c r="AN325" s="115"/>
      <c r="AO325" s="115"/>
      <c r="AP325" s="115"/>
      <c r="AQ325" s="25">
        <v>45276</v>
      </c>
      <c r="AR325" s="15" t="s">
        <v>162</v>
      </c>
      <c r="AU325" s="114"/>
    </row>
    <row r="326" spans="6:47" ht="19.5" x14ac:dyDescent="0.4">
      <c r="S326" s="26"/>
      <c r="T326" s="15"/>
      <c r="Y326" s="117"/>
      <c r="Z326" s="123"/>
      <c r="AA326" s="123"/>
      <c r="AB326" s="123"/>
      <c r="AC326" s="115"/>
      <c r="AD326" s="115"/>
      <c r="AE326" s="115"/>
      <c r="AF326" s="115"/>
      <c r="AG326" s="115"/>
      <c r="AH326" s="115"/>
      <c r="AI326" s="115"/>
      <c r="AJ326" s="115"/>
      <c r="AK326" s="115"/>
      <c r="AL326" s="115"/>
      <c r="AM326" s="115"/>
      <c r="AN326" s="115"/>
      <c r="AO326" s="115"/>
      <c r="AP326" s="115"/>
      <c r="AQ326" s="25">
        <v>45276</v>
      </c>
      <c r="AR326" s="15" t="s">
        <v>162</v>
      </c>
      <c r="AU326" s="114"/>
    </row>
    <row r="327" spans="6:47" ht="19.5" x14ac:dyDescent="0.4"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26"/>
      <c r="T327" s="15"/>
      <c r="Y327" s="117"/>
      <c r="Z327" s="123"/>
      <c r="AA327" s="123"/>
      <c r="AB327" s="123"/>
      <c r="AC327" s="115"/>
      <c r="AD327" s="115"/>
      <c r="AE327" s="115"/>
      <c r="AF327" s="115"/>
      <c r="AG327" s="115"/>
      <c r="AH327" s="115"/>
      <c r="AI327" s="115"/>
      <c r="AJ327" s="115"/>
      <c r="AK327" s="115"/>
      <c r="AL327" s="115"/>
      <c r="AM327" s="115"/>
      <c r="AN327" s="115"/>
      <c r="AO327" s="115"/>
      <c r="AP327" s="115"/>
      <c r="AQ327" s="25"/>
      <c r="AR327" s="15"/>
      <c r="AU327" s="114"/>
    </row>
    <row r="328" spans="6:47" ht="19.5" x14ac:dyDescent="0.4">
      <c r="S328" s="26"/>
      <c r="T328" s="15"/>
      <c r="Y328" s="117"/>
      <c r="Z328" s="123"/>
      <c r="AA328" s="123"/>
      <c r="AB328" s="123"/>
      <c r="AC328" s="115"/>
      <c r="AD328" s="115"/>
      <c r="AE328" s="115"/>
      <c r="AF328" s="115"/>
      <c r="AG328" s="115"/>
      <c r="AH328" s="115"/>
      <c r="AI328" s="115"/>
      <c r="AJ328" s="115"/>
      <c r="AK328" s="115"/>
      <c r="AL328" s="115"/>
      <c r="AM328" s="115"/>
      <c r="AN328" s="115"/>
      <c r="AO328" s="115"/>
      <c r="AP328" s="115"/>
      <c r="AQ328" s="25">
        <v>45276</v>
      </c>
      <c r="AR328" s="15" t="s">
        <v>162</v>
      </c>
      <c r="AU328" s="114"/>
    </row>
    <row r="329" spans="6:47" ht="19.5" x14ac:dyDescent="0.4">
      <c r="S329" s="26"/>
      <c r="T329" s="15"/>
      <c r="Y329" s="117"/>
      <c r="Z329" s="123"/>
      <c r="AA329" s="123"/>
      <c r="AB329" s="123"/>
      <c r="AC329" s="115"/>
      <c r="AD329" s="115"/>
      <c r="AE329" s="115"/>
      <c r="AF329" s="115"/>
      <c r="AG329" s="115"/>
      <c r="AH329" s="115"/>
      <c r="AI329" s="115"/>
      <c r="AJ329" s="115"/>
      <c r="AK329" s="115"/>
      <c r="AL329" s="115"/>
      <c r="AM329" s="115"/>
      <c r="AN329" s="115"/>
      <c r="AO329" s="115"/>
      <c r="AP329" s="115"/>
      <c r="AQ329" s="25">
        <v>45276</v>
      </c>
      <c r="AR329" s="15" t="s">
        <v>162</v>
      </c>
      <c r="AU329" s="114"/>
    </row>
    <row r="330" spans="6:47" ht="19.5" x14ac:dyDescent="0.4">
      <c r="K330" s="115"/>
      <c r="L330" s="115"/>
      <c r="M330" s="115"/>
      <c r="N330" s="115"/>
      <c r="O330" s="115"/>
      <c r="P330" s="115"/>
      <c r="Q330" s="115"/>
      <c r="R330" s="115"/>
      <c r="S330" s="17"/>
      <c r="T330" s="15"/>
      <c r="Y330" s="117"/>
      <c r="Z330" s="123"/>
      <c r="AA330" s="123"/>
      <c r="AB330" s="123"/>
      <c r="AC330" s="115"/>
      <c r="AD330" s="115"/>
      <c r="AE330" s="115"/>
      <c r="AF330" s="115"/>
      <c r="AG330" s="115"/>
      <c r="AH330" s="115"/>
      <c r="AI330" s="115"/>
      <c r="AJ330" s="115"/>
      <c r="AK330" s="115"/>
      <c r="AL330" s="115"/>
      <c r="AM330" s="115"/>
      <c r="AN330" s="115"/>
      <c r="AO330" s="115"/>
      <c r="AP330" s="115"/>
      <c r="AQ330" s="25"/>
      <c r="AR330" s="15"/>
      <c r="AU330" s="114"/>
    </row>
    <row r="331" spans="6:47" ht="19.5" x14ac:dyDescent="0.4"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26"/>
      <c r="T331" s="15"/>
      <c r="Y331" s="117"/>
      <c r="Z331" s="123"/>
      <c r="AA331" s="123"/>
      <c r="AB331" s="123"/>
      <c r="AC331" s="115"/>
      <c r="AD331" s="115"/>
      <c r="AE331" s="115"/>
      <c r="AF331" s="115"/>
      <c r="AG331" s="115"/>
      <c r="AH331" s="115"/>
      <c r="AI331" s="115"/>
      <c r="AJ331" s="115"/>
      <c r="AK331" s="115"/>
      <c r="AL331" s="115"/>
      <c r="AM331" s="115"/>
      <c r="AN331" s="115"/>
      <c r="AO331" s="115"/>
      <c r="AP331" s="115"/>
      <c r="AQ331" s="25"/>
      <c r="AR331" s="15"/>
      <c r="AU331" s="114"/>
    </row>
    <row r="332" spans="6:47" ht="19.5" x14ac:dyDescent="0.4"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26"/>
      <c r="T332" s="15"/>
      <c r="Y332" s="117"/>
      <c r="Z332" s="123"/>
      <c r="AA332" s="123"/>
      <c r="AB332" s="123"/>
      <c r="AC332" s="115"/>
      <c r="AD332" s="115"/>
      <c r="AE332" s="115"/>
      <c r="AF332" s="115"/>
      <c r="AG332" s="115"/>
      <c r="AH332" s="115"/>
      <c r="AI332" s="115"/>
      <c r="AJ332" s="115"/>
      <c r="AK332" s="115"/>
      <c r="AL332" s="115"/>
      <c r="AM332" s="115"/>
      <c r="AN332" s="115"/>
      <c r="AO332" s="115"/>
      <c r="AP332" s="115"/>
      <c r="AQ332" s="25"/>
      <c r="AR332" s="15"/>
      <c r="AU332" s="114"/>
    </row>
    <row r="333" spans="6:47" ht="19.5" x14ac:dyDescent="0.4"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26"/>
      <c r="T333" s="15"/>
      <c r="Y333" s="117"/>
      <c r="Z333" s="123"/>
      <c r="AA333" s="123"/>
      <c r="AB333" s="123"/>
      <c r="AC333" s="115"/>
      <c r="AD333" s="115"/>
      <c r="AE333" s="115"/>
      <c r="AF333" s="115"/>
      <c r="AG333" s="115"/>
      <c r="AH333" s="115"/>
      <c r="AI333" s="115"/>
      <c r="AJ333" s="115"/>
      <c r="AK333" s="115"/>
      <c r="AL333" s="115"/>
      <c r="AM333" s="115"/>
      <c r="AN333" s="115"/>
      <c r="AO333" s="115"/>
      <c r="AP333" s="115"/>
      <c r="AQ333" s="25"/>
      <c r="AR333" s="15"/>
      <c r="AU333" s="114"/>
    </row>
    <row r="334" spans="6:47" ht="19.5" x14ac:dyDescent="0.4">
      <c r="S334" s="26"/>
      <c r="T334" s="15"/>
      <c r="X334" s="115"/>
      <c r="Y334" s="117"/>
      <c r="Z334" s="123"/>
      <c r="AA334" s="123"/>
      <c r="AB334" s="123"/>
      <c r="AC334" s="115"/>
      <c r="AD334" s="115"/>
      <c r="AE334" s="115"/>
      <c r="AF334" s="115"/>
      <c r="AG334" s="115"/>
      <c r="AH334" s="115"/>
      <c r="AI334" s="115"/>
      <c r="AJ334" s="115"/>
      <c r="AK334" s="115"/>
      <c r="AL334" s="115"/>
      <c r="AM334" s="115"/>
      <c r="AN334" s="115"/>
      <c r="AO334" s="115"/>
      <c r="AP334" s="115"/>
      <c r="AQ334" s="25">
        <v>45276</v>
      </c>
      <c r="AR334" s="15" t="s">
        <v>162</v>
      </c>
      <c r="AU334" s="114"/>
    </row>
    <row r="335" spans="6:47" ht="19.5" x14ac:dyDescent="0.4">
      <c r="S335" s="26"/>
      <c r="T335" s="15"/>
      <c r="X335" s="115"/>
      <c r="Y335" s="117"/>
      <c r="Z335" s="123"/>
      <c r="AA335" s="123"/>
      <c r="AB335" s="123"/>
      <c r="AC335" s="115"/>
      <c r="AD335" s="115"/>
      <c r="AE335" s="115"/>
      <c r="AF335" s="115"/>
      <c r="AG335" s="115"/>
      <c r="AH335" s="115"/>
      <c r="AI335" s="115"/>
      <c r="AJ335" s="115"/>
      <c r="AK335" s="115"/>
      <c r="AL335" s="115"/>
      <c r="AM335" s="115"/>
      <c r="AN335" s="115"/>
      <c r="AO335" s="115"/>
      <c r="AP335" s="115"/>
      <c r="AQ335" s="25">
        <v>45276</v>
      </c>
      <c r="AR335" s="15" t="s">
        <v>162</v>
      </c>
      <c r="AU335" s="114"/>
    </row>
    <row r="336" spans="6:47" ht="19.5" x14ac:dyDescent="0.4">
      <c r="S336" s="26"/>
      <c r="T336" s="15"/>
      <c r="X336" s="115"/>
      <c r="Y336" s="117"/>
      <c r="Z336" s="123"/>
      <c r="AA336" s="123"/>
      <c r="AB336" s="123"/>
      <c r="AC336" s="115"/>
      <c r="AD336" s="115"/>
      <c r="AE336" s="115"/>
      <c r="AF336" s="115"/>
      <c r="AG336" s="115"/>
      <c r="AH336" s="115"/>
      <c r="AI336" s="115"/>
      <c r="AJ336" s="115"/>
      <c r="AK336" s="115"/>
      <c r="AL336" s="115"/>
      <c r="AM336" s="115"/>
      <c r="AN336" s="115"/>
      <c r="AO336" s="115"/>
      <c r="AP336" s="115"/>
      <c r="AQ336" s="25">
        <v>45276</v>
      </c>
      <c r="AR336" s="15" t="s">
        <v>162</v>
      </c>
      <c r="AU336" s="114"/>
    </row>
    <row r="337" spans="6:47" ht="19.5" x14ac:dyDescent="0.4">
      <c r="K337" s="115"/>
      <c r="L337" s="115"/>
      <c r="M337" s="115"/>
      <c r="N337" s="115"/>
      <c r="O337" s="115"/>
      <c r="P337" s="115"/>
      <c r="Q337" s="115"/>
      <c r="R337" s="115"/>
      <c r="S337" s="17"/>
      <c r="T337" s="15"/>
      <c r="X337" s="115"/>
      <c r="Y337" s="117"/>
      <c r="Z337" s="123"/>
      <c r="AA337" s="123"/>
      <c r="AB337" s="123"/>
      <c r="AC337" s="115"/>
      <c r="AD337" s="115"/>
      <c r="AE337" s="115"/>
      <c r="AF337" s="115"/>
      <c r="AG337" s="115"/>
      <c r="AH337" s="115"/>
      <c r="AI337" s="115"/>
      <c r="AJ337" s="115"/>
      <c r="AK337" s="115"/>
      <c r="AL337" s="115"/>
      <c r="AM337" s="115"/>
      <c r="AN337" s="115"/>
      <c r="AO337" s="115"/>
      <c r="AP337" s="115"/>
      <c r="AQ337" s="25"/>
      <c r="AR337" s="15"/>
      <c r="AU337" s="114"/>
    </row>
    <row r="338" spans="6:47" ht="19.5" x14ac:dyDescent="0.4"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26"/>
      <c r="T338" s="15"/>
      <c r="X338" s="115"/>
      <c r="Y338" s="117"/>
      <c r="Z338" s="123"/>
      <c r="AA338" s="123"/>
      <c r="AB338" s="123"/>
      <c r="AC338" s="115"/>
      <c r="AD338" s="115"/>
      <c r="AE338" s="115"/>
      <c r="AF338" s="115"/>
      <c r="AG338" s="115"/>
      <c r="AH338" s="115"/>
      <c r="AI338" s="115"/>
      <c r="AJ338" s="115"/>
      <c r="AK338" s="115"/>
      <c r="AL338" s="115"/>
      <c r="AM338" s="115"/>
      <c r="AN338" s="115"/>
      <c r="AO338" s="115"/>
      <c r="AP338" s="115"/>
      <c r="AQ338" s="25"/>
      <c r="AR338" s="15"/>
      <c r="AU338" s="114"/>
    </row>
    <row r="339" spans="6:47" ht="19.5" x14ac:dyDescent="0.4"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7"/>
      <c r="T339" s="15"/>
      <c r="X339" s="115"/>
      <c r="Y339" s="117"/>
      <c r="Z339" s="123"/>
      <c r="AA339" s="123"/>
      <c r="AB339" s="123"/>
      <c r="AC339" s="115"/>
      <c r="AD339" s="115"/>
      <c r="AE339" s="115"/>
      <c r="AF339" s="115"/>
      <c r="AG339" s="115"/>
      <c r="AH339" s="115"/>
      <c r="AI339" s="115"/>
      <c r="AJ339" s="115"/>
      <c r="AK339" s="115"/>
      <c r="AL339" s="115"/>
      <c r="AM339" s="115"/>
      <c r="AN339" s="115"/>
      <c r="AO339" s="115"/>
      <c r="AP339" s="115"/>
      <c r="AQ339" s="25"/>
      <c r="AR339" s="15"/>
      <c r="AU339" s="114"/>
    </row>
    <row r="340" spans="6:47" ht="19.5" x14ac:dyDescent="0.4">
      <c r="S340" s="26"/>
      <c r="T340" s="15"/>
      <c r="X340" s="115"/>
      <c r="Y340" s="117"/>
      <c r="Z340" s="123"/>
      <c r="AA340" s="123"/>
      <c r="AB340" s="123"/>
      <c r="AC340" s="115"/>
      <c r="AD340" s="115"/>
      <c r="AE340" s="115"/>
      <c r="AF340" s="115"/>
      <c r="AG340" s="115"/>
      <c r="AH340" s="115"/>
      <c r="AI340" s="115"/>
      <c r="AJ340" s="115"/>
      <c r="AK340" s="115"/>
      <c r="AL340" s="115"/>
      <c r="AM340" s="115"/>
      <c r="AN340" s="115"/>
      <c r="AO340" s="115"/>
      <c r="AP340" s="115"/>
      <c r="AQ340" s="25"/>
      <c r="AR340" s="15"/>
      <c r="AU340" s="114"/>
    </row>
    <row r="341" spans="6:47" ht="19.5" x14ac:dyDescent="0.4"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26"/>
      <c r="T341" s="15"/>
      <c r="X341" s="115"/>
      <c r="Y341" s="117"/>
      <c r="Z341" s="123"/>
      <c r="AA341" s="123"/>
      <c r="AB341" s="123"/>
      <c r="AC341" s="115"/>
      <c r="AD341" s="115"/>
      <c r="AE341" s="115"/>
      <c r="AF341" s="115"/>
      <c r="AG341" s="115"/>
      <c r="AH341" s="115"/>
      <c r="AI341" s="115"/>
      <c r="AJ341" s="115"/>
      <c r="AK341" s="115"/>
      <c r="AL341" s="115"/>
      <c r="AM341" s="115"/>
      <c r="AN341" s="115"/>
      <c r="AO341" s="115"/>
      <c r="AP341" s="115"/>
      <c r="AQ341" s="25"/>
      <c r="AR341" s="15"/>
      <c r="AU341" s="114"/>
    </row>
    <row r="342" spans="6:47" ht="19.5" x14ac:dyDescent="0.4">
      <c r="S342" s="26"/>
      <c r="T342" s="15"/>
      <c r="X342" s="115"/>
      <c r="Y342" s="117"/>
      <c r="Z342" s="123"/>
      <c r="AA342" s="123"/>
      <c r="AB342" s="123"/>
      <c r="AC342" s="115"/>
      <c r="AD342" s="115"/>
      <c r="AE342" s="115"/>
      <c r="AF342" s="115"/>
      <c r="AG342" s="115"/>
      <c r="AH342" s="115"/>
      <c r="AI342" s="115"/>
      <c r="AJ342" s="115"/>
      <c r="AK342" s="115"/>
      <c r="AL342" s="115"/>
      <c r="AM342" s="115"/>
      <c r="AN342" s="115"/>
      <c r="AO342" s="115"/>
      <c r="AP342" s="115"/>
      <c r="AQ342" s="25">
        <v>45276</v>
      </c>
      <c r="AR342" s="15" t="s">
        <v>162</v>
      </c>
      <c r="AU342" s="114"/>
    </row>
    <row r="343" spans="6:47" ht="19.5" x14ac:dyDescent="0.4">
      <c r="K343" s="115"/>
      <c r="L343" s="115"/>
      <c r="M343" s="115"/>
      <c r="N343" s="115"/>
      <c r="O343" s="115"/>
      <c r="P343" s="115"/>
      <c r="Q343" s="115"/>
      <c r="R343" s="115"/>
      <c r="S343" s="17"/>
      <c r="T343" s="15"/>
      <c r="X343" s="115"/>
      <c r="Y343" s="117"/>
      <c r="Z343" s="123"/>
      <c r="AA343" s="123"/>
      <c r="AB343" s="123"/>
      <c r="AC343" s="115"/>
      <c r="AD343" s="115"/>
      <c r="AE343" s="115"/>
      <c r="AF343" s="115"/>
      <c r="AG343" s="115"/>
      <c r="AH343" s="115"/>
      <c r="AI343" s="115"/>
      <c r="AJ343" s="115"/>
      <c r="AK343" s="115"/>
      <c r="AL343" s="115"/>
      <c r="AM343" s="115"/>
      <c r="AN343" s="115"/>
      <c r="AO343" s="115"/>
      <c r="AP343" s="115"/>
      <c r="AQ343" s="25"/>
      <c r="AR343" s="15"/>
      <c r="AU343" s="114"/>
    </row>
    <row r="344" spans="6:47" ht="19.5" x14ac:dyDescent="0.4">
      <c r="S344" s="26"/>
      <c r="T344" s="15"/>
      <c r="X344" s="115"/>
      <c r="Y344" s="117"/>
      <c r="Z344" s="123"/>
      <c r="AA344" s="123"/>
      <c r="AB344" s="123"/>
      <c r="AC344" s="115"/>
      <c r="AD344" s="115"/>
      <c r="AE344" s="115"/>
      <c r="AF344" s="115"/>
      <c r="AG344" s="115"/>
      <c r="AH344" s="115"/>
      <c r="AI344" s="115"/>
      <c r="AJ344" s="115"/>
      <c r="AK344" s="115"/>
      <c r="AL344" s="115"/>
      <c r="AM344" s="115"/>
      <c r="AN344" s="115"/>
      <c r="AO344" s="115"/>
      <c r="AP344" s="115"/>
      <c r="AQ344" s="25">
        <v>45276</v>
      </c>
      <c r="AR344" s="15" t="s">
        <v>162</v>
      </c>
      <c r="AU344" s="114"/>
    </row>
    <row r="345" spans="6:47" ht="19.5" x14ac:dyDescent="0.4">
      <c r="K345" s="115"/>
      <c r="L345" s="115"/>
      <c r="M345" s="115"/>
      <c r="N345" s="115"/>
      <c r="O345" s="115"/>
      <c r="P345" s="115"/>
      <c r="Q345" s="115"/>
      <c r="R345" s="115"/>
      <c r="S345" s="17"/>
      <c r="T345" s="15"/>
      <c r="X345" s="115"/>
      <c r="Y345" s="117"/>
      <c r="Z345" s="123"/>
      <c r="AA345" s="123"/>
      <c r="AB345" s="123"/>
      <c r="AC345" s="115"/>
      <c r="AD345" s="115"/>
      <c r="AE345" s="115"/>
      <c r="AF345" s="115"/>
      <c r="AG345" s="115"/>
      <c r="AH345" s="115"/>
      <c r="AI345" s="115"/>
      <c r="AJ345" s="115"/>
      <c r="AK345" s="115"/>
      <c r="AL345" s="115"/>
      <c r="AM345" s="115"/>
      <c r="AN345" s="115"/>
      <c r="AO345" s="115"/>
      <c r="AP345" s="115"/>
      <c r="AQ345" s="25"/>
      <c r="AR345" s="15"/>
      <c r="AU345" s="114"/>
    </row>
    <row r="346" spans="6:47" ht="19.5" x14ac:dyDescent="0.4">
      <c r="J346" s="115"/>
      <c r="K346" s="115"/>
      <c r="L346" s="115"/>
      <c r="M346" s="115"/>
      <c r="N346" s="115"/>
      <c r="O346" s="115"/>
      <c r="P346" s="115"/>
      <c r="Q346" s="115"/>
      <c r="R346" s="115"/>
      <c r="S346" s="26"/>
      <c r="T346" s="15"/>
      <c r="X346" s="115"/>
      <c r="Y346" s="117"/>
      <c r="Z346" s="123"/>
      <c r="AA346" s="123"/>
      <c r="AB346" s="123"/>
      <c r="AC346" s="115"/>
      <c r="AD346" s="115"/>
      <c r="AE346" s="115"/>
      <c r="AF346" s="115"/>
      <c r="AG346" s="115"/>
      <c r="AH346" s="115"/>
      <c r="AI346" s="115"/>
      <c r="AJ346" s="115"/>
      <c r="AK346" s="115"/>
      <c r="AL346" s="115"/>
      <c r="AM346" s="115"/>
      <c r="AN346" s="115"/>
      <c r="AO346" s="115"/>
      <c r="AP346" s="115"/>
      <c r="AQ346" s="25"/>
      <c r="AR346" s="15"/>
      <c r="AU346" s="114"/>
    </row>
    <row r="347" spans="6:47" ht="19.5" x14ac:dyDescent="0.4">
      <c r="J347" s="115"/>
      <c r="K347" s="115"/>
      <c r="L347" s="115"/>
      <c r="M347" s="115"/>
      <c r="N347" s="115"/>
      <c r="O347" s="115"/>
      <c r="P347" s="115"/>
      <c r="Q347" s="115"/>
      <c r="R347" s="115"/>
      <c r="S347" s="17"/>
      <c r="T347" s="15"/>
      <c r="X347" s="115"/>
      <c r="Y347" s="117"/>
      <c r="Z347" s="123"/>
      <c r="AA347" s="123"/>
      <c r="AB347" s="123"/>
      <c r="AC347" s="115"/>
      <c r="AD347" s="115"/>
      <c r="AE347" s="115"/>
      <c r="AF347" s="115"/>
      <c r="AG347" s="115"/>
      <c r="AH347" s="115"/>
      <c r="AI347" s="115"/>
      <c r="AJ347" s="115"/>
      <c r="AK347" s="115"/>
      <c r="AL347" s="115"/>
      <c r="AM347" s="115"/>
      <c r="AN347" s="115"/>
      <c r="AO347" s="115"/>
      <c r="AP347" s="115"/>
      <c r="AQ347" s="25"/>
      <c r="AR347" s="15"/>
      <c r="AU347" s="114"/>
    </row>
    <row r="348" spans="6:47" ht="19.5" x14ac:dyDescent="0.4">
      <c r="S348" s="26"/>
      <c r="T348" s="15"/>
      <c r="X348" s="115"/>
      <c r="Y348" s="117"/>
      <c r="Z348" s="123"/>
      <c r="AA348" s="123"/>
      <c r="AB348" s="123"/>
      <c r="AC348" s="115"/>
      <c r="AD348" s="115"/>
      <c r="AE348" s="115"/>
      <c r="AF348" s="115"/>
      <c r="AG348" s="115"/>
      <c r="AH348" s="115"/>
      <c r="AI348" s="115"/>
      <c r="AJ348" s="115"/>
      <c r="AK348" s="115"/>
      <c r="AL348" s="115"/>
      <c r="AM348" s="115"/>
      <c r="AN348" s="115"/>
      <c r="AO348" s="115"/>
      <c r="AP348" s="115"/>
      <c r="AQ348" s="25">
        <v>45276</v>
      </c>
      <c r="AR348" s="15" t="s">
        <v>162</v>
      </c>
      <c r="AU348" s="114"/>
    </row>
    <row r="349" spans="6:47" ht="19.5" x14ac:dyDescent="0.4">
      <c r="S349" s="26"/>
      <c r="T349" s="15"/>
      <c r="X349" s="115"/>
      <c r="Y349" s="117"/>
      <c r="Z349" s="123"/>
      <c r="AA349" s="123"/>
      <c r="AB349" s="123"/>
      <c r="AC349" s="115"/>
      <c r="AD349" s="115"/>
      <c r="AE349" s="115"/>
      <c r="AF349" s="115"/>
      <c r="AG349" s="115"/>
      <c r="AH349" s="115"/>
      <c r="AI349" s="115"/>
      <c r="AJ349" s="115"/>
      <c r="AK349" s="115"/>
      <c r="AL349" s="115"/>
      <c r="AM349" s="115"/>
      <c r="AN349" s="115"/>
      <c r="AO349" s="115"/>
      <c r="AP349" s="115"/>
      <c r="AQ349" s="25">
        <v>45276</v>
      </c>
      <c r="AR349" s="15" t="s">
        <v>162</v>
      </c>
      <c r="AU349" s="114"/>
    </row>
    <row r="350" spans="6:47" ht="19.5" x14ac:dyDescent="0.4">
      <c r="S350" s="26"/>
      <c r="T350" s="15"/>
      <c r="X350" s="115"/>
      <c r="Y350" s="117"/>
      <c r="Z350" s="123"/>
      <c r="AA350" s="123"/>
      <c r="AB350" s="123"/>
      <c r="AC350" s="115"/>
      <c r="AD350" s="115"/>
      <c r="AE350" s="115"/>
      <c r="AF350" s="115"/>
      <c r="AG350" s="115"/>
      <c r="AH350" s="115"/>
      <c r="AI350" s="115"/>
      <c r="AJ350" s="115"/>
      <c r="AK350" s="115"/>
      <c r="AL350" s="115"/>
      <c r="AM350" s="115"/>
      <c r="AN350" s="115"/>
      <c r="AO350" s="115"/>
      <c r="AP350" s="115"/>
      <c r="AQ350" s="25">
        <v>45276</v>
      </c>
      <c r="AR350" s="15" t="s">
        <v>162</v>
      </c>
      <c r="AU350" s="114"/>
    </row>
    <row r="351" spans="6:47" ht="19.5" x14ac:dyDescent="0.4">
      <c r="S351" s="26"/>
      <c r="T351" s="15"/>
      <c r="X351" s="115"/>
      <c r="Y351" s="117"/>
      <c r="Z351" s="123"/>
      <c r="AA351" s="123"/>
      <c r="AB351" s="123"/>
      <c r="AC351" s="115"/>
      <c r="AD351" s="115"/>
      <c r="AE351" s="115"/>
      <c r="AF351" s="115"/>
      <c r="AG351" s="115"/>
      <c r="AH351" s="115"/>
      <c r="AI351" s="115"/>
      <c r="AJ351" s="115"/>
      <c r="AK351" s="115"/>
      <c r="AL351" s="115"/>
      <c r="AM351" s="115"/>
      <c r="AN351" s="115"/>
      <c r="AO351" s="115"/>
      <c r="AP351" s="115"/>
      <c r="AQ351" s="25"/>
      <c r="AR351" s="15"/>
      <c r="AU351" s="114"/>
    </row>
    <row r="352" spans="6:47" ht="19.5" x14ac:dyDescent="0.4">
      <c r="K352" s="115"/>
      <c r="L352" s="115"/>
      <c r="M352" s="115"/>
      <c r="N352" s="115"/>
      <c r="O352" s="115"/>
      <c r="P352" s="115"/>
      <c r="Q352" s="115"/>
      <c r="R352" s="115"/>
      <c r="S352" s="17"/>
      <c r="T352" s="15"/>
      <c r="X352" s="115"/>
      <c r="Y352" s="117"/>
      <c r="Z352" s="123"/>
      <c r="AA352" s="123"/>
      <c r="AB352" s="123"/>
      <c r="AC352" s="115"/>
      <c r="AD352" s="115"/>
      <c r="AE352" s="115"/>
      <c r="AF352" s="115"/>
      <c r="AG352" s="115"/>
      <c r="AH352" s="115"/>
      <c r="AI352" s="115"/>
      <c r="AJ352" s="115"/>
      <c r="AK352" s="115"/>
      <c r="AL352" s="115"/>
      <c r="AM352" s="115"/>
      <c r="AN352" s="115"/>
      <c r="AO352" s="115"/>
      <c r="AP352" s="115"/>
      <c r="AQ352" s="25"/>
      <c r="AR352" s="15"/>
      <c r="AU352" s="114"/>
    </row>
    <row r="353" spans="8:47" ht="19.5" x14ac:dyDescent="0.4">
      <c r="S353" s="26"/>
      <c r="T353" s="15"/>
      <c r="X353" s="115"/>
      <c r="Y353" s="117"/>
      <c r="Z353" s="123"/>
      <c r="AA353" s="123"/>
      <c r="AB353" s="123"/>
      <c r="AC353" s="115"/>
      <c r="AD353" s="115"/>
      <c r="AE353" s="115"/>
      <c r="AF353" s="115"/>
      <c r="AG353" s="115"/>
      <c r="AH353" s="115"/>
      <c r="AI353" s="115"/>
      <c r="AJ353" s="115"/>
      <c r="AK353" s="115"/>
      <c r="AL353" s="115"/>
      <c r="AM353" s="115"/>
      <c r="AN353" s="115"/>
      <c r="AO353" s="115"/>
      <c r="AP353" s="115"/>
      <c r="AQ353" s="25">
        <v>45276</v>
      </c>
      <c r="AR353" s="15" t="s">
        <v>162</v>
      </c>
      <c r="AU353" s="114"/>
    </row>
    <row r="354" spans="8:47" ht="19.5" x14ac:dyDescent="0.4">
      <c r="S354" s="26"/>
      <c r="T354" s="15"/>
      <c r="X354" s="115"/>
      <c r="Y354" s="117"/>
      <c r="Z354" s="123"/>
      <c r="AA354" s="123"/>
      <c r="AB354" s="123"/>
      <c r="AC354" s="115"/>
      <c r="AD354" s="115"/>
      <c r="AE354" s="115"/>
      <c r="AF354" s="115"/>
      <c r="AG354" s="115"/>
      <c r="AH354" s="115"/>
      <c r="AI354" s="115"/>
      <c r="AJ354" s="115"/>
      <c r="AK354" s="115"/>
      <c r="AL354" s="115"/>
      <c r="AM354" s="115"/>
      <c r="AN354" s="115"/>
      <c r="AO354" s="115"/>
      <c r="AP354" s="115"/>
      <c r="AQ354" s="25">
        <v>45276</v>
      </c>
      <c r="AR354" s="15" t="s">
        <v>162</v>
      </c>
      <c r="AU354" s="114"/>
    </row>
    <row r="355" spans="8:47" ht="19.5" x14ac:dyDescent="0.4">
      <c r="K355" s="115"/>
      <c r="L355" s="115"/>
      <c r="M355" s="115"/>
      <c r="N355" s="115"/>
      <c r="O355" s="115"/>
      <c r="P355" s="115"/>
      <c r="Q355" s="115"/>
      <c r="R355" s="115"/>
      <c r="S355" s="17"/>
      <c r="T355" s="15"/>
      <c r="X355" s="115"/>
      <c r="Y355" s="117"/>
      <c r="Z355" s="123"/>
      <c r="AA355" s="123"/>
      <c r="AB355" s="123"/>
      <c r="AC355" s="115"/>
      <c r="AD355" s="115"/>
      <c r="AE355" s="115"/>
      <c r="AF355" s="115"/>
      <c r="AG355" s="115"/>
      <c r="AH355" s="115"/>
      <c r="AI355" s="115"/>
      <c r="AJ355" s="115"/>
      <c r="AK355" s="115"/>
      <c r="AL355" s="115"/>
      <c r="AM355" s="115"/>
      <c r="AN355" s="115"/>
      <c r="AO355" s="115"/>
      <c r="AP355" s="115"/>
      <c r="AQ355" s="25"/>
      <c r="AR355" s="15"/>
      <c r="AU355" s="114"/>
    </row>
    <row r="356" spans="8:47" ht="19.5" x14ac:dyDescent="0.4"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26"/>
      <c r="T356" s="15"/>
      <c r="X356" s="115"/>
      <c r="Y356" s="117"/>
      <c r="Z356" s="123"/>
      <c r="AA356" s="123"/>
      <c r="AB356" s="123"/>
      <c r="AC356" s="115"/>
      <c r="AD356" s="115"/>
      <c r="AE356" s="115"/>
      <c r="AF356" s="115"/>
      <c r="AG356" s="115"/>
      <c r="AH356" s="115"/>
      <c r="AI356" s="115"/>
      <c r="AJ356" s="115"/>
      <c r="AK356" s="115"/>
      <c r="AL356" s="115"/>
      <c r="AM356" s="115"/>
      <c r="AN356" s="115"/>
      <c r="AO356" s="115"/>
      <c r="AP356" s="115"/>
      <c r="AQ356" s="25"/>
      <c r="AR356" s="15"/>
      <c r="AU356" s="114"/>
    </row>
    <row r="357" spans="8:47" ht="19.5" x14ac:dyDescent="0.4"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7"/>
      <c r="T357" s="15"/>
      <c r="X357" s="115"/>
      <c r="Y357" s="117"/>
      <c r="Z357" s="123"/>
      <c r="AA357" s="123"/>
      <c r="AB357" s="123"/>
      <c r="AC357" s="115"/>
      <c r="AD357" s="115"/>
      <c r="AE357" s="115"/>
      <c r="AF357" s="115"/>
      <c r="AG357" s="115"/>
      <c r="AH357" s="115"/>
      <c r="AI357" s="115"/>
      <c r="AJ357" s="115"/>
      <c r="AK357" s="115"/>
      <c r="AL357" s="115"/>
      <c r="AM357" s="115"/>
      <c r="AN357" s="115"/>
      <c r="AO357" s="115"/>
      <c r="AP357" s="115"/>
      <c r="AQ357" s="25"/>
      <c r="AR357" s="15"/>
      <c r="AU357" s="114"/>
    </row>
    <row r="358" spans="8:47" ht="19.5" x14ac:dyDescent="0.4"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26"/>
      <c r="T358" s="15"/>
      <c r="X358" s="115"/>
      <c r="Y358" s="117"/>
      <c r="Z358" s="123"/>
      <c r="AA358" s="123"/>
      <c r="AB358" s="123"/>
      <c r="AC358" s="115"/>
      <c r="AD358" s="115"/>
      <c r="AE358" s="115"/>
      <c r="AF358" s="115"/>
      <c r="AG358" s="115"/>
      <c r="AH358" s="115"/>
      <c r="AI358" s="115"/>
      <c r="AJ358" s="115"/>
      <c r="AK358" s="115"/>
      <c r="AL358" s="115"/>
      <c r="AM358" s="115"/>
      <c r="AN358" s="115"/>
      <c r="AO358" s="115"/>
      <c r="AP358" s="115"/>
      <c r="AQ358" s="25"/>
      <c r="AR358" s="15"/>
      <c r="AU358" s="114"/>
    </row>
    <row r="359" spans="8:47" ht="19.5" x14ac:dyDescent="0.4">
      <c r="S359" s="26"/>
      <c r="T359" s="15"/>
      <c r="X359" s="115"/>
      <c r="Y359" s="117"/>
      <c r="Z359" s="123"/>
      <c r="AA359" s="123"/>
      <c r="AB359" s="123"/>
      <c r="AC359" s="115"/>
      <c r="AD359" s="115"/>
      <c r="AE359" s="115"/>
      <c r="AF359" s="115"/>
      <c r="AG359" s="115"/>
      <c r="AH359" s="115"/>
      <c r="AI359" s="115"/>
      <c r="AJ359" s="115"/>
      <c r="AK359" s="115"/>
      <c r="AL359" s="115"/>
      <c r="AM359" s="115"/>
      <c r="AN359" s="115"/>
      <c r="AO359" s="115"/>
      <c r="AP359" s="115" t="s">
        <v>169</v>
      </c>
      <c r="AQ359" s="13">
        <f>SUBTOTAL(3,AQ322:AQ354)</f>
        <v>17</v>
      </c>
      <c r="AR359" s="15">
        <f>SUBTOTAL(3,AR322:AR354)</f>
        <v>17</v>
      </c>
      <c r="AU359" s="114"/>
    </row>
    <row r="360" spans="8:47" ht="19.5" x14ac:dyDescent="0.4"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26"/>
      <c r="T360" s="15"/>
      <c r="X360" s="115"/>
      <c r="Y360" s="117"/>
      <c r="Z360" s="123"/>
      <c r="AA360" s="123"/>
      <c r="AB360" s="123"/>
      <c r="AC360" s="115"/>
      <c r="AD360" s="115"/>
      <c r="AE360" s="115"/>
      <c r="AF360" s="115"/>
      <c r="AG360" s="115"/>
      <c r="AH360" s="115"/>
      <c r="AI360" s="115"/>
      <c r="AJ360" s="115"/>
      <c r="AK360" s="115"/>
      <c r="AL360" s="115"/>
      <c r="AM360" s="115"/>
      <c r="AN360" s="115"/>
      <c r="AO360" s="115"/>
      <c r="AP360" s="115"/>
      <c r="AQ360" s="13"/>
      <c r="AR360" s="15"/>
      <c r="AU360" s="114"/>
    </row>
    <row r="361" spans="8:47" ht="19.5" x14ac:dyDescent="0.4">
      <c r="S361" s="26"/>
      <c r="T361" s="15"/>
      <c r="X361" s="115"/>
      <c r="Y361" s="117"/>
      <c r="Z361" s="123"/>
      <c r="AA361" s="123"/>
      <c r="AB361" s="123"/>
      <c r="AC361" s="115"/>
      <c r="AD361" s="115"/>
      <c r="AE361" s="115"/>
      <c r="AF361" s="115"/>
      <c r="AG361" s="115"/>
      <c r="AH361" s="115"/>
      <c r="AI361" s="115"/>
      <c r="AJ361" s="115"/>
      <c r="AK361" s="115"/>
      <c r="AL361" s="115"/>
      <c r="AM361" s="115"/>
      <c r="AN361" s="115"/>
      <c r="AO361" s="115"/>
      <c r="AP361" s="115"/>
      <c r="AQ361" s="25">
        <v>45277</v>
      </c>
      <c r="AR361" s="15" t="s">
        <v>162</v>
      </c>
      <c r="AU361" s="114"/>
    </row>
    <row r="362" spans="8:47" ht="19.5" x14ac:dyDescent="0.4">
      <c r="K362" s="115"/>
      <c r="L362" s="115"/>
      <c r="M362" s="115"/>
      <c r="N362" s="115"/>
      <c r="O362" s="115"/>
      <c r="P362" s="115"/>
      <c r="Q362" s="115"/>
      <c r="R362" s="115"/>
      <c r="S362" s="17"/>
      <c r="T362" s="15"/>
      <c r="X362" s="115"/>
      <c r="Y362" s="117"/>
      <c r="Z362" s="123"/>
      <c r="AA362" s="123"/>
      <c r="AB362" s="123"/>
      <c r="AC362" s="115"/>
      <c r="AD362" s="115"/>
      <c r="AE362" s="115"/>
      <c r="AF362" s="115"/>
      <c r="AG362" s="115"/>
      <c r="AH362" s="115"/>
      <c r="AI362" s="115"/>
      <c r="AJ362" s="115"/>
      <c r="AK362" s="115"/>
      <c r="AL362" s="115"/>
      <c r="AM362" s="115"/>
      <c r="AN362" s="115"/>
      <c r="AO362" s="115"/>
      <c r="AP362" s="115"/>
      <c r="AQ362" s="25"/>
      <c r="AR362" s="15"/>
      <c r="AU362" s="114"/>
    </row>
    <row r="363" spans="8:47" ht="19.5" x14ac:dyDescent="0.4"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26"/>
      <c r="T363" s="15"/>
      <c r="X363" s="115"/>
      <c r="Y363" s="117"/>
      <c r="Z363" s="123"/>
      <c r="AA363" s="123"/>
      <c r="AB363" s="123"/>
      <c r="AC363" s="115"/>
      <c r="AD363" s="115"/>
      <c r="AE363" s="115"/>
      <c r="AF363" s="115"/>
      <c r="AG363" s="115"/>
      <c r="AH363" s="115"/>
      <c r="AI363" s="115"/>
      <c r="AJ363" s="115"/>
      <c r="AK363" s="115"/>
      <c r="AL363" s="115"/>
      <c r="AM363" s="115"/>
      <c r="AN363" s="115"/>
      <c r="AO363" s="115"/>
      <c r="AP363" s="115"/>
      <c r="AQ363" s="25"/>
      <c r="AR363" s="15"/>
      <c r="AU363" s="114"/>
    </row>
    <row r="364" spans="8:47" ht="19.5" x14ac:dyDescent="0.4"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7"/>
      <c r="T364" s="15"/>
      <c r="X364" s="115"/>
      <c r="Y364" s="117"/>
      <c r="Z364" s="123"/>
      <c r="AA364" s="123"/>
      <c r="AB364" s="123"/>
      <c r="AC364" s="115"/>
      <c r="AD364" s="115"/>
      <c r="AE364" s="115"/>
      <c r="AF364" s="115"/>
      <c r="AG364" s="115"/>
      <c r="AH364" s="115"/>
      <c r="AI364" s="115"/>
      <c r="AJ364" s="115"/>
      <c r="AK364" s="115"/>
      <c r="AL364" s="115"/>
      <c r="AM364" s="115"/>
      <c r="AN364" s="115"/>
      <c r="AO364" s="115"/>
      <c r="AP364" s="115"/>
      <c r="AQ364" s="25"/>
      <c r="AR364" s="15"/>
      <c r="AU364" s="114"/>
    </row>
    <row r="365" spans="8:47" ht="19.5" x14ac:dyDescent="0.4"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7"/>
      <c r="T365" s="15"/>
      <c r="X365" s="115"/>
      <c r="Y365" s="117"/>
      <c r="Z365" s="123"/>
      <c r="AA365" s="123"/>
      <c r="AB365" s="123"/>
      <c r="AC365" s="115"/>
      <c r="AD365" s="115"/>
      <c r="AE365" s="115"/>
      <c r="AF365" s="115"/>
      <c r="AG365" s="115"/>
      <c r="AH365" s="115"/>
      <c r="AI365" s="115"/>
      <c r="AJ365" s="115"/>
      <c r="AK365" s="115"/>
      <c r="AL365" s="115"/>
      <c r="AM365" s="115"/>
      <c r="AN365" s="115"/>
      <c r="AO365" s="115"/>
      <c r="AP365" s="115"/>
      <c r="AQ365" s="25"/>
      <c r="AR365" s="15"/>
      <c r="AU365" s="114"/>
    </row>
    <row r="366" spans="8:47" ht="19.5" x14ac:dyDescent="0.4">
      <c r="S366" s="26"/>
      <c r="T366" s="15"/>
      <c r="X366" s="115"/>
      <c r="Y366" s="117"/>
      <c r="Z366" s="123"/>
      <c r="AA366" s="123"/>
      <c r="AB366" s="123"/>
      <c r="AC366" s="115"/>
      <c r="AD366" s="115"/>
      <c r="AE366" s="115"/>
      <c r="AF366" s="115"/>
      <c r="AG366" s="115"/>
      <c r="AH366" s="115"/>
      <c r="AI366" s="115"/>
      <c r="AJ366" s="115"/>
      <c r="AK366" s="115"/>
      <c r="AL366" s="115"/>
      <c r="AM366" s="115"/>
      <c r="AN366" s="115"/>
      <c r="AO366" s="115"/>
      <c r="AP366" s="115"/>
      <c r="AQ366" s="25">
        <v>45277</v>
      </c>
      <c r="AR366" s="15" t="s">
        <v>162</v>
      </c>
      <c r="AU366" s="114"/>
    </row>
    <row r="367" spans="8:47" ht="19.5" x14ac:dyDescent="0.4">
      <c r="J367" s="115"/>
      <c r="K367" s="115"/>
      <c r="L367" s="115"/>
      <c r="M367" s="115"/>
      <c r="N367" s="115"/>
      <c r="O367" s="115"/>
      <c r="P367" s="115"/>
      <c r="Q367" s="115"/>
      <c r="R367" s="115"/>
      <c r="S367" s="17"/>
      <c r="T367" s="15"/>
      <c r="X367" s="115"/>
      <c r="Y367" s="117"/>
      <c r="Z367" s="123"/>
      <c r="AA367" s="123"/>
      <c r="AB367" s="123"/>
      <c r="AC367" s="115"/>
      <c r="AD367" s="115"/>
      <c r="AE367" s="115"/>
      <c r="AF367" s="115"/>
      <c r="AG367" s="115"/>
      <c r="AH367" s="115"/>
      <c r="AI367" s="115"/>
      <c r="AJ367" s="115"/>
      <c r="AK367" s="115"/>
      <c r="AL367" s="115"/>
      <c r="AM367" s="115"/>
      <c r="AN367" s="115"/>
      <c r="AO367" s="115"/>
      <c r="AP367" s="115"/>
      <c r="AQ367" s="131"/>
      <c r="AR367" s="13"/>
      <c r="AU367" s="114"/>
    </row>
    <row r="368" spans="8:47" ht="19.5" x14ac:dyDescent="0.4">
      <c r="S368" s="26"/>
      <c r="T368" s="15"/>
      <c r="X368" s="115"/>
      <c r="Y368" s="117"/>
      <c r="Z368" s="123"/>
      <c r="AA368" s="123"/>
      <c r="AB368" s="123"/>
      <c r="AC368" s="115"/>
      <c r="AD368" s="115"/>
      <c r="AE368" s="115"/>
      <c r="AF368" s="115"/>
      <c r="AG368" s="115"/>
      <c r="AH368" s="115"/>
      <c r="AI368" s="115"/>
      <c r="AJ368" s="115"/>
      <c r="AK368" s="115"/>
      <c r="AL368" s="115"/>
      <c r="AM368" s="115"/>
      <c r="AN368" s="115"/>
      <c r="AO368" s="115"/>
      <c r="AP368" s="115"/>
      <c r="AQ368" s="26">
        <v>45277</v>
      </c>
      <c r="AR368" s="13" t="s">
        <v>162</v>
      </c>
      <c r="AU368" s="114"/>
    </row>
    <row r="369" spans="6:47" ht="19.5" x14ac:dyDescent="0.4">
      <c r="S369" s="26"/>
      <c r="T369" s="15"/>
      <c r="X369" s="115"/>
      <c r="Y369" s="117"/>
      <c r="Z369" s="123"/>
      <c r="AA369" s="123"/>
      <c r="AB369" s="123"/>
      <c r="AC369" s="115"/>
      <c r="AD369" s="115"/>
      <c r="AE369" s="115"/>
      <c r="AF369" s="115"/>
      <c r="AG369" s="115"/>
      <c r="AH369" s="115"/>
      <c r="AI369" s="115"/>
      <c r="AJ369" s="115"/>
      <c r="AK369" s="115"/>
      <c r="AL369" s="115"/>
      <c r="AM369" s="115"/>
      <c r="AN369" s="115"/>
      <c r="AO369" s="115"/>
      <c r="AP369" s="115"/>
      <c r="AQ369" s="26">
        <v>45277</v>
      </c>
      <c r="AR369" s="15" t="s">
        <v>162</v>
      </c>
      <c r="AU369" s="114"/>
    </row>
    <row r="370" spans="6:47" ht="19.5" x14ac:dyDescent="0.4"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26"/>
      <c r="T370" s="15"/>
      <c r="X370" s="115"/>
      <c r="Y370" s="117"/>
      <c r="Z370" s="123"/>
      <c r="AA370" s="123"/>
      <c r="AB370" s="123"/>
      <c r="AC370" s="115"/>
      <c r="AD370" s="115"/>
      <c r="AE370" s="115"/>
      <c r="AF370" s="115"/>
      <c r="AG370" s="115"/>
      <c r="AH370" s="115"/>
      <c r="AI370" s="115"/>
      <c r="AJ370" s="115"/>
      <c r="AK370" s="115"/>
      <c r="AL370" s="115"/>
      <c r="AM370" s="115"/>
      <c r="AN370" s="115"/>
      <c r="AO370" s="115"/>
      <c r="AP370" s="115"/>
      <c r="AQ370" s="26"/>
      <c r="AR370" s="15"/>
      <c r="AU370" s="114"/>
    </row>
    <row r="371" spans="6:47" ht="19.5" x14ac:dyDescent="0.4">
      <c r="S371" s="26"/>
      <c r="T371" s="15"/>
      <c r="X371" s="115"/>
      <c r="Y371" s="117"/>
      <c r="Z371" s="123"/>
      <c r="AA371" s="123"/>
      <c r="AB371" s="123"/>
      <c r="AC371" s="115"/>
      <c r="AD371" s="115"/>
      <c r="AE371" s="115"/>
      <c r="AF371" s="115"/>
      <c r="AG371" s="115"/>
      <c r="AH371" s="115"/>
      <c r="AI371" s="115"/>
      <c r="AJ371" s="115"/>
      <c r="AK371" s="115"/>
      <c r="AL371" s="115"/>
      <c r="AM371" s="115"/>
      <c r="AN371" s="115"/>
      <c r="AO371" s="115"/>
      <c r="AP371" s="115"/>
      <c r="AQ371" s="26">
        <v>45277</v>
      </c>
      <c r="AR371" s="15" t="s">
        <v>162</v>
      </c>
      <c r="AU371" s="114"/>
    </row>
    <row r="372" spans="6:47" ht="19.5" x14ac:dyDescent="0.4">
      <c r="S372" s="26"/>
      <c r="T372" s="15"/>
      <c r="X372" s="115"/>
      <c r="Y372" s="117"/>
      <c r="Z372" s="123"/>
      <c r="AA372" s="123"/>
      <c r="AB372" s="123"/>
      <c r="AC372" s="115"/>
      <c r="AD372" s="115"/>
      <c r="AE372" s="115"/>
      <c r="AF372" s="115"/>
      <c r="AG372" s="115"/>
      <c r="AH372" s="115"/>
      <c r="AI372" s="115"/>
      <c r="AJ372" s="115"/>
      <c r="AK372" s="115"/>
      <c r="AL372" s="115"/>
      <c r="AM372" s="115"/>
      <c r="AN372" s="115"/>
      <c r="AO372" s="115"/>
      <c r="AP372" s="115" t="s">
        <v>160</v>
      </c>
      <c r="AQ372" s="17">
        <f>SUBTOTAL(3,AQ361:AQ371)</f>
        <v>5</v>
      </c>
      <c r="AR372" s="15">
        <f>SUBTOTAL(3,AR361:AR371)</f>
        <v>5</v>
      </c>
      <c r="AU372" s="114"/>
    </row>
    <row r="373" spans="6:47" ht="19.5" x14ac:dyDescent="0.4"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26"/>
      <c r="T373" s="15"/>
      <c r="X373" s="115"/>
      <c r="Y373" s="117"/>
      <c r="Z373" s="123"/>
      <c r="AA373" s="123"/>
      <c r="AB373" s="123"/>
      <c r="AC373" s="115"/>
      <c r="AD373" s="115"/>
      <c r="AE373" s="115"/>
      <c r="AF373" s="115"/>
      <c r="AG373" s="115"/>
      <c r="AH373" s="115"/>
      <c r="AI373" s="115"/>
      <c r="AJ373" s="115"/>
      <c r="AK373" s="115"/>
      <c r="AL373" s="115"/>
      <c r="AM373" s="115"/>
      <c r="AN373" s="115"/>
      <c r="AO373" s="115"/>
      <c r="AP373" s="115"/>
      <c r="AQ373" s="17"/>
      <c r="AR373" s="15"/>
      <c r="AU373" s="114"/>
    </row>
    <row r="374" spans="6:47" ht="19.5" x14ac:dyDescent="0.4"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26"/>
      <c r="T374" s="15"/>
      <c r="X374" s="115"/>
      <c r="Y374" s="117"/>
      <c r="Z374" s="123"/>
      <c r="AA374" s="123"/>
      <c r="AB374" s="123"/>
      <c r="AC374" s="115"/>
      <c r="AD374" s="115"/>
      <c r="AE374" s="115"/>
      <c r="AF374" s="115"/>
      <c r="AG374" s="115"/>
      <c r="AH374" s="115"/>
      <c r="AI374" s="115"/>
      <c r="AJ374" s="115"/>
      <c r="AK374" s="115"/>
      <c r="AL374" s="115"/>
      <c r="AM374" s="115"/>
      <c r="AN374" s="115"/>
      <c r="AO374" s="115"/>
      <c r="AP374" s="115"/>
      <c r="AQ374" s="17"/>
      <c r="AR374" s="15"/>
      <c r="AU374" s="114"/>
    </row>
    <row r="375" spans="6:47" ht="19.5" x14ac:dyDescent="0.4">
      <c r="S375" s="26"/>
      <c r="T375" s="15"/>
      <c r="X375" s="115"/>
      <c r="Y375" s="117"/>
      <c r="Z375" s="123"/>
      <c r="AA375" s="123"/>
      <c r="AB375" s="123"/>
      <c r="AC375" s="115"/>
      <c r="AD375" s="115"/>
      <c r="AE375" s="115"/>
      <c r="AF375" s="115"/>
      <c r="AG375" s="115"/>
      <c r="AH375" s="115"/>
      <c r="AI375" s="115"/>
      <c r="AJ375" s="115"/>
      <c r="AK375" s="115"/>
      <c r="AL375" s="115"/>
      <c r="AM375" s="115"/>
      <c r="AN375" s="115"/>
      <c r="AO375" s="115"/>
      <c r="AP375" s="115"/>
      <c r="AQ375" s="26">
        <v>45278</v>
      </c>
      <c r="AR375" s="15" t="s">
        <v>164</v>
      </c>
      <c r="AU375" s="114"/>
    </row>
    <row r="376" spans="6:47" ht="19.5" x14ac:dyDescent="0.4">
      <c r="S376" s="26"/>
      <c r="T376" s="15"/>
      <c r="X376" s="115"/>
      <c r="Y376" s="117"/>
      <c r="Z376" s="123"/>
      <c r="AA376" s="123"/>
      <c r="AB376" s="123"/>
      <c r="AC376" s="115"/>
      <c r="AD376" s="115"/>
      <c r="AE376" s="115"/>
      <c r="AF376" s="115"/>
      <c r="AG376" s="115"/>
      <c r="AH376" s="115"/>
      <c r="AI376" s="115"/>
      <c r="AJ376" s="115"/>
      <c r="AK376" s="115"/>
      <c r="AL376" s="115"/>
      <c r="AM376" s="115"/>
      <c r="AN376" s="115"/>
      <c r="AO376" s="115"/>
      <c r="AP376" s="115"/>
      <c r="AQ376" s="26">
        <v>45278</v>
      </c>
      <c r="AR376" s="15" t="s">
        <v>164</v>
      </c>
      <c r="AU376" s="114"/>
    </row>
    <row r="377" spans="6:47" ht="19.5" x14ac:dyDescent="0.4"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26"/>
      <c r="T377" s="15"/>
      <c r="X377" s="115"/>
      <c r="Y377" s="117"/>
      <c r="Z377" s="123"/>
      <c r="AA377" s="123"/>
      <c r="AB377" s="123"/>
      <c r="AC377" s="115"/>
      <c r="AD377" s="115"/>
      <c r="AE377" s="115"/>
      <c r="AF377" s="115"/>
      <c r="AG377" s="115"/>
      <c r="AH377" s="115"/>
      <c r="AI377" s="115"/>
      <c r="AJ377" s="115"/>
      <c r="AK377" s="115"/>
      <c r="AL377" s="115"/>
      <c r="AM377" s="115"/>
      <c r="AN377" s="115"/>
      <c r="AO377" s="115"/>
      <c r="AP377" s="115"/>
      <c r="AQ377" s="26"/>
      <c r="AR377" s="15"/>
      <c r="AU377" s="114"/>
    </row>
    <row r="378" spans="6:47" ht="19.5" x14ac:dyDescent="0.4">
      <c r="S378" s="26"/>
      <c r="T378" s="15"/>
      <c r="X378" s="115"/>
      <c r="Y378" s="117"/>
      <c r="Z378" s="123"/>
      <c r="AA378" s="123"/>
      <c r="AB378" s="123"/>
      <c r="AC378" s="115"/>
      <c r="AD378" s="115"/>
      <c r="AE378" s="115"/>
      <c r="AF378" s="115"/>
      <c r="AG378" s="115"/>
      <c r="AH378" s="115"/>
      <c r="AI378" s="115"/>
      <c r="AJ378" s="115"/>
      <c r="AK378" s="115"/>
      <c r="AL378" s="115"/>
      <c r="AM378" s="115"/>
      <c r="AN378" s="115"/>
      <c r="AO378" s="115"/>
      <c r="AP378" s="115"/>
      <c r="AQ378" s="26">
        <v>45278</v>
      </c>
      <c r="AR378" s="15" t="s">
        <v>162</v>
      </c>
      <c r="AU378" s="114"/>
    </row>
    <row r="379" spans="6:47" ht="19.5" x14ac:dyDescent="0.4">
      <c r="J379" s="115"/>
      <c r="K379" s="115"/>
      <c r="L379" s="115"/>
      <c r="M379" s="115"/>
      <c r="N379" s="115"/>
      <c r="O379" s="115"/>
      <c r="P379" s="115"/>
      <c r="Q379" s="115"/>
      <c r="R379" s="115"/>
      <c r="S379" s="17"/>
      <c r="T379" s="15"/>
      <c r="X379" s="115"/>
      <c r="Y379" s="117"/>
      <c r="Z379" s="123"/>
      <c r="AA379" s="123"/>
      <c r="AB379" s="123"/>
      <c r="AC379" s="115"/>
      <c r="AD379" s="115"/>
      <c r="AE379" s="115"/>
      <c r="AF379" s="115"/>
      <c r="AG379" s="115"/>
      <c r="AH379" s="115"/>
      <c r="AI379" s="115"/>
      <c r="AJ379" s="115"/>
      <c r="AK379" s="115"/>
      <c r="AL379" s="115"/>
      <c r="AM379" s="115"/>
      <c r="AN379" s="115"/>
      <c r="AO379" s="115"/>
      <c r="AP379" s="115"/>
      <c r="AQ379" s="26"/>
      <c r="AR379" s="15"/>
      <c r="AU379" s="114"/>
    </row>
    <row r="380" spans="6:47" ht="19.5" x14ac:dyDescent="0.4"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26"/>
      <c r="T380" s="15"/>
      <c r="X380" s="115"/>
      <c r="Y380" s="117"/>
      <c r="Z380" s="123"/>
      <c r="AA380" s="123"/>
      <c r="AB380" s="123"/>
      <c r="AC380" s="115"/>
      <c r="AD380" s="115"/>
      <c r="AE380" s="115"/>
      <c r="AF380" s="115"/>
      <c r="AG380" s="115"/>
      <c r="AH380" s="115"/>
      <c r="AI380" s="115"/>
      <c r="AJ380" s="115"/>
      <c r="AK380" s="115"/>
      <c r="AL380" s="115"/>
      <c r="AM380" s="115"/>
      <c r="AN380" s="115"/>
      <c r="AO380" s="115"/>
      <c r="AP380" s="115"/>
      <c r="AQ380" s="26"/>
      <c r="AR380" s="15"/>
      <c r="AU380" s="114"/>
    </row>
    <row r="381" spans="6:47" ht="19.5" x14ac:dyDescent="0.4"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7"/>
      <c r="T381" s="15"/>
      <c r="X381" s="115"/>
      <c r="Y381" s="117"/>
      <c r="Z381" s="123"/>
      <c r="AA381" s="123"/>
      <c r="AB381" s="123"/>
      <c r="AC381" s="115"/>
      <c r="AD381" s="115"/>
      <c r="AE381" s="115"/>
      <c r="AF381" s="115"/>
      <c r="AG381" s="115"/>
      <c r="AH381" s="115"/>
      <c r="AI381" s="115"/>
      <c r="AJ381" s="115"/>
      <c r="AK381" s="115"/>
      <c r="AL381" s="115"/>
      <c r="AM381" s="115"/>
      <c r="AN381" s="115"/>
      <c r="AO381" s="115"/>
      <c r="AP381" s="115"/>
      <c r="AQ381" s="26"/>
      <c r="AR381" s="15"/>
      <c r="AU381" s="114"/>
    </row>
    <row r="382" spans="6:47" ht="19.5" x14ac:dyDescent="0.4">
      <c r="S382" s="26"/>
      <c r="T382" s="15"/>
      <c r="X382" s="115"/>
      <c r="Y382" s="117"/>
      <c r="Z382" s="123"/>
      <c r="AA382" s="123"/>
      <c r="AB382" s="123"/>
      <c r="AC382" s="115"/>
      <c r="AD382" s="115"/>
      <c r="AE382" s="115"/>
      <c r="AF382" s="115"/>
      <c r="AG382" s="115"/>
      <c r="AH382" s="115"/>
      <c r="AI382" s="115"/>
      <c r="AJ382" s="115"/>
      <c r="AK382" s="115"/>
      <c r="AL382" s="115"/>
      <c r="AM382" s="115"/>
      <c r="AN382" s="115"/>
      <c r="AO382" s="115"/>
      <c r="AP382" s="115"/>
      <c r="AQ382" s="26">
        <v>45278</v>
      </c>
      <c r="AR382" s="15" t="s">
        <v>142</v>
      </c>
      <c r="AU382" s="114"/>
    </row>
    <row r="383" spans="6:47" ht="19.5" x14ac:dyDescent="0.4">
      <c r="S383" s="26"/>
      <c r="T383" s="15"/>
      <c r="X383" s="115"/>
      <c r="Y383" s="117"/>
      <c r="Z383" s="123"/>
      <c r="AA383" s="123"/>
      <c r="AB383" s="123"/>
      <c r="AC383" s="115"/>
      <c r="AD383" s="115"/>
      <c r="AE383" s="115"/>
      <c r="AF383" s="115"/>
      <c r="AG383" s="115"/>
      <c r="AH383" s="115"/>
      <c r="AI383" s="115"/>
      <c r="AJ383" s="115"/>
      <c r="AK383" s="115"/>
      <c r="AL383" s="115"/>
      <c r="AM383" s="115"/>
      <c r="AN383" s="115"/>
      <c r="AO383" s="115"/>
      <c r="AP383" s="115"/>
      <c r="AQ383" s="26">
        <v>45278</v>
      </c>
      <c r="AR383" s="15" t="s">
        <v>162</v>
      </c>
      <c r="AU383" s="114"/>
    </row>
    <row r="384" spans="6:47" ht="19.5" x14ac:dyDescent="0.4">
      <c r="S384" s="26"/>
      <c r="T384" s="15"/>
      <c r="X384" s="115"/>
      <c r="Y384" s="117"/>
      <c r="Z384" s="123"/>
      <c r="AA384" s="123"/>
      <c r="AB384" s="123"/>
      <c r="AC384" s="115"/>
      <c r="AD384" s="115"/>
      <c r="AE384" s="115"/>
      <c r="AF384" s="115"/>
      <c r="AG384" s="115"/>
      <c r="AH384" s="115"/>
      <c r="AI384" s="115"/>
      <c r="AJ384" s="115"/>
      <c r="AK384" s="115"/>
      <c r="AL384" s="115"/>
      <c r="AM384" s="115"/>
      <c r="AN384" s="115"/>
      <c r="AO384" s="115"/>
      <c r="AP384" s="115"/>
      <c r="AQ384" s="26">
        <v>45278</v>
      </c>
      <c r="AR384" s="15" t="s">
        <v>162</v>
      </c>
      <c r="AU384" s="114"/>
    </row>
    <row r="385" spans="6:47" ht="19.5" x14ac:dyDescent="0.4">
      <c r="J385" s="115"/>
      <c r="K385" s="115"/>
      <c r="L385" s="115"/>
      <c r="M385" s="115"/>
      <c r="N385" s="115"/>
      <c r="O385" s="115"/>
      <c r="P385" s="115"/>
      <c r="Q385" s="115"/>
      <c r="R385" s="115"/>
      <c r="S385" s="17"/>
      <c r="T385" s="15"/>
      <c r="X385" s="115"/>
      <c r="Y385" s="117"/>
      <c r="Z385" s="123"/>
      <c r="AA385" s="123"/>
      <c r="AB385" s="123"/>
      <c r="AC385" s="115"/>
      <c r="AD385" s="115"/>
      <c r="AE385" s="115"/>
      <c r="AF385" s="115"/>
      <c r="AG385" s="115"/>
      <c r="AH385" s="115"/>
      <c r="AI385" s="115"/>
      <c r="AJ385" s="115"/>
      <c r="AK385" s="115"/>
      <c r="AL385" s="115"/>
      <c r="AM385" s="115"/>
      <c r="AN385" s="115"/>
      <c r="AO385" s="115"/>
      <c r="AP385" s="115"/>
      <c r="AQ385" s="26"/>
      <c r="AR385" s="15"/>
      <c r="AU385" s="114"/>
    </row>
    <row r="386" spans="6:47" ht="19.5" x14ac:dyDescent="0.4"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26"/>
      <c r="T386" s="15"/>
      <c r="X386" s="115"/>
      <c r="Y386" s="117"/>
      <c r="Z386" s="123"/>
      <c r="AA386" s="123"/>
      <c r="AB386" s="123"/>
      <c r="AC386" s="115"/>
      <c r="AD386" s="115"/>
      <c r="AE386" s="115"/>
      <c r="AF386" s="115"/>
      <c r="AG386" s="115"/>
      <c r="AH386" s="115"/>
      <c r="AI386" s="115"/>
      <c r="AJ386" s="115"/>
      <c r="AK386" s="115"/>
      <c r="AL386" s="115"/>
      <c r="AM386" s="115"/>
      <c r="AN386" s="115"/>
      <c r="AO386" s="115"/>
      <c r="AP386" s="115"/>
      <c r="AQ386" s="26"/>
      <c r="AR386" s="15"/>
      <c r="AU386" s="114"/>
    </row>
    <row r="387" spans="6:47" ht="19.5" x14ac:dyDescent="0.4"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26"/>
      <c r="T387" s="15"/>
      <c r="X387" s="115"/>
      <c r="Y387" s="117"/>
      <c r="Z387" s="123"/>
      <c r="AA387" s="123"/>
      <c r="AB387" s="123"/>
      <c r="AC387" s="115"/>
      <c r="AD387" s="115"/>
      <c r="AE387" s="115"/>
      <c r="AF387" s="115"/>
      <c r="AG387" s="115"/>
      <c r="AH387" s="115"/>
      <c r="AI387" s="115"/>
      <c r="AJ387" s="115"/>
      <c r="AK387" s="115"/>
      <c r="AL387" s="115"/>
      <c r="AM387" s="115"/>
      <c r="AN387" s="115"/>
      <c r="AO387" s="115"/>
      <c r="AP387" s="115"/>
      <c r="AQ387" s="26"/>
      <c r="AR387" s="15"/>
      <c r="AU387" s="114"/>
    </row>
    <row r="388" spans="6:47" ht="19.5" x14ac:dyDescent="0.4"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7"/>
      <c r="T388" s="15"/>
      <c r="X388" s="115"/>
      <c r="Y388" s="117"/>
      <c r="Z388" s="123"/>
      <c r="AA388" s="123"/>
      <c r="AB388" s="123"/>
      <c r="AC388" s="115"/>
      <c r="AD388" s="115"/>
      <c r="AE388" s="115"/>
      <c r="AF388" s="115"/>
      <c r="AG388" s="115"/>
      <c r="AH388" s="115"/>
      <c r="AI388" s="115"/>
      <c r="AJ388" s="115"/>
      <c r="AK388" s="115"/>
      <c r="AL388" s="115"/>
      <c r="AM388" s="115"/>
      <c r="AN388" s="115"/>
      <c r="AO388" s="115"/>
      <c r="AP388" s="115"/>
      <c r="AQ388" s="26"/>
      <c r="AR388" s="15"/>
      <c r="AU388" s="114"/>
    </row>
    <row r="389" spans="6:47" ht="19.5" x14ac:dyDescent="0.4"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26"/>
      <c r="T389" s="15"/>
      <c r="X389" s="115"/>
      <c r="Y389" s="117"/>
      <c r="Z389" s="123"/>
      <c r="AA389" s="123"/>
      <c r="AB389" s="123"/>
      <c r="AC389" s="115"/>
      <c r="AD389" s="115"/>
      <c r="AE389" s="115"/>
      <c r="AF389" s="115"/>
      <c r="AG389" s="115"/>
      <c r="AH389" s="115"/>
      <c r="AI389" s="115"/>
      <c r="AJ389" s="115"/>
      <c r="AK389" s="115"/>
      <c r="AL389" s="115"/>
      <c r="AM389" s="115"/>
      <c r="AN389" s="115"/>
      <c r="AO389" s="115"/>
      <c r="AP389" s="115"/>
      <c r="AQ389" s="26"/>
      <c r="AR389" s="15"/>
      <c r="AU389" s="114"/>
    </row>
    <row r="390" spans="6:47" ht="19.5" x14ac:dyDescent="0.4">
      <c r="S390" s="26"/>
      <c r="T390" s="15"/>
      <c r="X390" s="115"/>
      <c r="Y390" s="117"/>
      <c r="Z390" s="123"/>
      <c r="AA390" s="123"/>
      <c r="AB390" s="123"/>
      <c r="AC390" s="115"/>
      <c r="AD390" s="115"/>
      <c r="AE390" s="115"/>
      <c r="AF390" s="115"/>
      <c r="AG390" s="115"/>
      <c r="AH390" s="115"/>
      <c r="AI390" s="115"/>
      <c r="AJ390" s="115"/>
      <c r="AK390" s="115"/>
      <c r="AL390" s="115"/>
      <c r="AM390" s="115"/>
      <c r="AN390" s="115"/>
      <c r="AO390" s="115"/>
      <c r="AP390" s="115"/>
      <c r="AQ390" s="26">
        <v>45278</v>
      </c>
      <c r="AR390" s="15" t="s">
        <v>162</v>
      </c>
      <c r="AU390" s="114"/>
    </row>
    <row r="391" spans="6:47" ht="19.5" x14ac:dyDescent="0.4"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26"/>
      <c r="T391" s="15"/>
      <c r="X391" s="115"/>
      <c r="Y391" s="117"/>
      <c r="Z391" s="123"/>
      <c r="AA391" s="123"/>
      <c r="AB391" s="123"/>
      <c r="AC391" s="115"/>
      <c r="AD391" s="115"/>
      <c r="AE391" s="115"/>
      <c r="AF391" s="115"/>
      <c r="AG391" s="115"/>
      <c r="AH391" s="115"/>
      <c r="AI391" s="115"/>
      <c r="AJ391" s="115"/>
      <c r="AK391" s="115"/>
      <c r="AL391" s="115"/>
      <c r="AM391" s="115"/>
      <c r="AN391" s="115"/>
      <c r="AO391" s="115"/>
      <c r="AP391" s="115"/>
      <c r="AQ391" s="26"/>
      <c r="AR391" s="15"/>
      <c r="AU391" s="114"/>
    </row>
    <row r="392" spans="6:47" ht="19.5" x14ac:dyDescent="0.4">
      <c r="S392" s="26"/>
      <c r="T392" s="15"/>
      <c r="X392" s="115"/>
      <c r="Y392" s="117"/>
      <c r="Z392" s="123"/>
      <c r="AA392" s="123"/>
      <c r="AB392" s="123"/>
      <c r="AC392" s="115"/>
      <c r="AD392" s="115"/>
      <c r="AE392" s="115"/>
      <c r="AF392" s="115"/>
      <c r="AG392" s="115"/>
      <c r="AH392" s="115"/>
      <c r="AI392" s="115"/>
      <c r="AJ392" s="115"/>
      <c r="AK392" s="115"/>
      <c r="AL392" s="115"/>
      <c r="AM392" s="115"/>
      <c r="AN392" s="115"/>
      <c r="AO392" s="115"/>
      <c r="AP392" s="115"/>
      <c r="AQ392" s="26">
        <v>45278</v>
      </c>
      <c r="AR392" s="15" t="s">
        <v>163</v>
      </c>
      <c r="AU392" s="114"/>
    </row>
    <row r="393" spans="6:47" ht="19.5" x14ac:dyDescent="0.4">
      <c r="S393" s="26"/>
      <c r="T393" s="15"/>
      <c r="X393" s="115"/>
      <c r="Y393" s="117"/>
      <c r="Z393" s="123"/>
      <c r="AA393" s="123"/>
      <c r="AB393" s="123"/>
      <c r="AC393" s="115"/>
      <c r="AD393" s="115"/>
      <c r="AE393" s="115"/>
      <c r="AF393" s="115"/>
      <c r="AG393" s="115"/>
      <c r="AH393" s="115"/>
      <c r="AI393" s="115"/>
      <c r="AJ393" s="115"/>
      <c r="AK393" s="115"/>
      <c r="AL393" s="115"/>
      <c r="AM393" s="115"/>
      <c r="AN393" s="115"/>
      <c r="AO393" s="115"/>
      <c r="AP393" s="115"/>
      <c r="AQ393" s="26">
        <v>45278</v>
      </c>
      <c r="AR393" s="105" t="s">
        <v>163</v>
      </c>
      <c r="AU393" s="114"/>
    </row>
    <row r="394" spans="6:47" ht="19.5" x14ac:dyDescent="0.4">
      <c r="S394" s="25"/>
      <c r="T394" s="13"/>
      <c r="X394" s="115"/>
      <c r="Y394" s="117"/>
      <c r="Z394" s="123"/>
      <c r="AA394" s="123"/>
      <c r="AB394" s="123"/>
      <c r="AC394" s="115"/>
      <c r="AD394" s="115"/>
      <c r="AE394" s="115"/>
      <c r="AF394" s="115"/>
      <c r="AG394" s="115"/>
      <c r="AH394" s="115"/>
      <c r="AI394" s="115"/>
      <c r="AJ394" s="115"/>
      <c r="AK394" s="115"/>
      <c r="AL394" s="115"/>
      <c r="AM394" s="115"/>
      <c r="AN394" s="115"/>
      <c r="AO394" s="115"/>
      <c r="AP394" s="115"/>
      <c r="AQ394" s="26">
        <v>45278</v>
      </c>
      <c r="AR394" s="15" t="s">
        <v>163</v>
      </c>
      <c r="AU394" s="114"/>
    </row>
    <row r="395" spans="6:47" ht="19.5" x14ac:dyDescent="0.4"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25"/>
      <c r="T395" s="13"/>
      <c r="X395" s="115"/>
      <c r="Y395" s="117"/>
      <c r="Z395" s="123"/>
      <c r="AA395" s="123"/>
      <c r="AB395" s="123"/>
      <c r="AC395" s="115"/>
      <c r="AD395" s="115"/>
      <c r="AE395" s="115"/>
      <c r="AF395" s="115"/>
      <c r="AG395" s="115"/>
      <c r="AH395" s="115"/>
      <c r="AI395" s="115"/>
      <c r="AJ395" s="115"/>
      <c r="AK395" s="115"/>
      <c r="AL395" s="115"/>
      <c r="AM395" s="115"/>
      <c r="AN395" s="115"/>
      <c r="AO395" s="115"/>
      <c r="AP395" s="115"/>
      <c r="AQ395" s="26"/>
      <c r="AR395" s="15"/>
      <c r="AU395" s="114"/>
    </row>
    <row r="396" spans="6:47" ht="19.5" x14ac:dyDescent="0.4"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25"/>
      <c r="T396" s="13"/>
      <c r="X396" s="115"/>
      <c r="Y396" s="117"/>
      <c r="Z396" s="123"/>
      <c r="AA396" s="123"/>
      <c r="AB396" s="123"/>
      <c r="AC396" s="115"/>
      <c r="AD396" s="115"/>
      <c r="AE396" s="115"/>
      <c r="AF396" s="115"/>
      <c r="AG396" s="115"/>
      <c r="AH396" s="115"/>
      <c r="AI396" s="115"/>
      <c r="AJ396" s="115"/>
      <c r="AK396" s="115"/>
      <c r="AL396" s="115"/>
      <c r="AM396" s="115"/>
      <c r="AN396" s="115"/>
      <c r="AO396" s="115"/>
      <c r="AP396" s="115"/>
      <c r="AQ396" s="26"/>
      <c r="AR396" s="15"/>
      <c r="AU396" s="114"/>
    </row>
    <row r="397" spans="6:47" ht="19.5" x14ac:dyDescent="0.4"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25"/>
      <c r="T397" s="13"/>
      <c r="X397" s="115"/>
      <c r="Y397" s="117"/>
      <c r="Z397" s="123"/>
      <c r="AA397" s="123"/>
      <c r="AB397" s="123"/>
      <c r="AC397" s="115"/>
      <c r="AD397" s="115"/>
      <c r="AE397" s="115"/>
      <c r="AF397" s="115"/>
      <c r="AG397" s="115"/>
      <c r="AH397" s="115"/>
      <c r="AI397" s="115"/>
      <c r="AJ397" s="115"/>
      <c r="AK397" s="115"/>
      <c r="AL397" s="115"/>
      <c r="AM397" s="115"/>
      <c r="AN397" s="115"/>
      <c r="AO397" s="115"/>
      <c r="AP397" s="115"/>
      <c r="AQ397" s="26"/>
      <c r="AR397" s="15"/>
      <c r="AU397" s="114"/>
    </row>
    <row r="398" spans="6:47" ht="19.5" x14ac:dyDescent="0.4"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25"/>
      <c r="T398" s="13"/>
      <c r="X398" s="115"/>
      <c r="Y398" s="117"/>
      <c r="Z398" s="123"/>
      <c r="AA398" s="123"/>
      <c r="AB398" s="123"/>
      <c r="AC398" s="115"/>
      <c r="AD398" s="115"/>
      <c r="AE398" s="115"/>
      <c r="AF398" s="115"/>
      <c r="AG398" s="115"/>
      <c r="AH398" s="115"/>
      <c r="AI398" s="115"/>
      <c r="AJ398" s="115"/>
      <c r="AK398" s="115"/>
      <c r="AL398" s="115"/>
      <c r="AM398" s="115"/>
      <c r="AN398" s="115"/>
      <c r="AO398" s="115"/>
      <c r="AP398" s="115"/>
      <c r="AQ398" s="26"/>
      <c r="AR398" s="15"/>
      <c r="AU398" s="114"/>
    </row>
    <row r="399" spans="6:47" ht="19.5" x14ac:dyDescent="0.4"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25"/>
      <c r="T399" s="13"/>
      <c r="X399" s="115"/>
      <c r="Y399" s="117"/>
      <c r="Z399" s="123"/>
      <c r="AA399" s="123"/>
      <c r="AB399" s="123"/>
      <c r="AC399" s="115"/>
      <c r="AD399" s="115"/>
      <c r="AE399" s="115"/>
      <c r="AF399" s="115"/>
      <c r="AG399" s="115"/>
      <c r="AH399" s="115"/>
      <c r="AI399" s="115"/>
      <c r="AJ399" s="115"/>
      <c r="AK399" s="115"/>
      <c r="AL399" s="115"/>
      <c r="AM399" s="115"/>
      <c r="AN399" s="115"/>
      <c r="AO399" s="115"/>
      <c r="AP399" s="115"/>
      <c r="AQ399" s="26"/>
      <c r="AR399" s="15"/>
      <c r="AU399" s="114"/>
    </row>
    <row r="400" spans="6:47" ht="19.5" x14ac:dyDescent="0.4"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25"/>
      <c r="T400" s="13"/>
      <c r="X400" s="115"/>
      <c r="Y400" s="117"/>
      <c r="Z400" s="123"/>
      <c r="AA400" s="123"/>
      <c r="AB400" s="123"/>
      <c r="AC400" s="115"/>
      <c r="AD400" s="115"/>
      <c r="AE400" s="115"/>
      <c r="AF400" s="115"/>
      <c r="AG400" s="115"/>
      <c r="AH400" s="115"/>
      <c r="AI400" s="115"/>
      <c r="AJ400" s="115"/>
      <c r="AK400" s="115"/>
      <c r="AL400" s="115"/>
      <c r="AM400" s="115"/>
      <c r="AN400" s="115"/>
      <c r="AO400" s="115"/>
      <c r="AP400" s="115"/>
      <c r="AQ400" s="26"/>
      <c r="AR400" s="15"/>
      <c r="AU400" s="114"/>
    </row>
    <row r="401" spans="10:47" ht="19.5" x14ac:dyDescent="0.4">
      <c r="S401" s="25"/>
      <c r="T401" s="13"/>
      <c r="X401" s="115"/>
      <c r="Y401" s="117"/>
      <c r="Z401" s="123"/>
      <c r="AA401" s="123"/>
      <c r="AB401" s="123"/>
      <c r="AC401" s="115"/>
      <c r="AD401" s="115"/>
      <c r="AE401" s="115"/>
      <c r="AF401" s="115"/>
      <c r="AG401" s="115"/>
      <c r="AH401" s="115"/>
      <c r="AI401" s="115"/>
      <c r="AJ401" s="115"/>
      <c r="AK401" s="115"/>
      <c r="AL401" s="115"/>
      <c r="AM401" s="115"/>
      <c r="AN401" s="115"/>
      <c r="AO401" s="115"/>
      <c r="AP401" s="115"/>
      <c r="AQ401" s="26">
        <v>45278</v>
      </c>
      <c r="AR401" s="15" t="s">
        <v>163</v>
      </c>
      <c r="AU401" s="114"/>
    </row>
    <row r="402" spans="10:47" ht="19.5" x14ac:dyDescent="0.4">
      <c r="S402" s="25"/>
      <c r="T402" s="13"/>
      <c r="X402" s="115"/>
      <c r="Y402" s="117"/>
      <c r="Z402" s="123"/>
      <c r="AA402" s="123"/>
      <c r="AB402" s="123"/>
      <c r="AC402" s="115"/>
      <c r="AD402" s="115"/>
      <c r="AE402" s="115"/>
      <c r="AF402" s="115"/>
      <c r="AG402" s="115"/>
      <c r="AH402" s="115"/>
      <c r="AI402" s="115"/>
      <c r="AJ402" s="115"/>
      <c r="AK402" s="115"/>
      <c r="AL402" s="115"/>
      <c r="AM402" s="115"/>
      <c r="AN402" s="115"/>
      <c r="AO402" s="115"/>
      <c r="AP402" s="115"/>
      <c r="AQ402" s="26"/>
      <c r="AR402" s="15"/>
      <c r="AU402" s="114"/>
    </row>
    <row r="403" spans="10:47" ht="19.5" x14ac:dyDescent="0.4">
      <c r="J403" s="115"/>
      <c r="K403" s="115"/>
      <c r="L403" s="115"/>
      <c r="M403" s="115"/>
      <c r="N403" s="115"/>
      <c r="O403" s="115"/>
      <c r="P403" s="115"/>
      <c r="Q403" s="115"/>
      <c r="R403" s="115"/>
      <c r="S403" s="13"/>
      <c r="T403" s="13"/>
      <c r="X403" s="115"/>
      <c r="Y403" s="117"/>
      <c r="Z403" s="123"/>
      <c r="AA403" s="123"/>
      <c r="AB403" s="123"/>
      <c r="AC403" s="115"/>
      <c r="AD403" s="115"/>
      <c r="AE403" s="115"/>
      <c r="AF403" s="115"/>
      <c r="AG403" s="115"/>
      <c r="AH403" s="115"/>
      <c r="AI403" s="115"/>
      <c r="AJ403" s="115"/>
      <c r="AK403" s="115"/>
      <c r="AL403" s="115"/>
      <c r="AM403" s="115"/>
      <c r="AN403" s="115"/>
      <c r="AO403" s="115"/>
      <c r="AP403" s="115"/>
      <c r="AQ403" s="26"/>
      <c r="AR403" s="15"/>
      <c r="AU403" s="114"/>
    </row>
    <row r="404" spans="10:47" ht="19.5" x14ac:dyDescent="0.4">
      <c r="S404" s="25"/>
      <c r="T404" s="13"/>
      <c r="X404" s="115"/>
      <c r="Y404" s="117"/>
      <c r="Z404" s="123"/>
      <c r="AA404" s="123"/>
      <c r="AB404" s="123"/>
      <c r="AC404" s="115"/>
      <c r="AD404" s="115"/>
      <c r="AE404" s="115"/>
      <c r="AF404" s="115"/>
      <c r="AG404" s="115"/>
      <c r="AH404" s="115"/>
      <c r="AI404" s="115"/>
      <c r="AJ404" s="115"/>
      <c r="AK404" s="115"/>
      <c r="AL404" s="115"/>
      <c r="AM404" s="115"/>
      <c r="AN404" s="115"/>
      <c r="AO404" s="115"/>
      <c r="AP404" s="115"/>
      <c r="AQ404" s="26">
        <v>45278</v>
      </c>
      <c r="AR404" s="15" t="s">
        <v>163</v>
      </c>
      <c r="AU404" s="114"/>
    </row>
    <row r="405" spans="10:47" ht="19.5" x14ac:dyDescent="0.4">
      <c r="J405" s="115"/>
      <c r="K405" s="115"/>
      <c r="L405" s="115"/>
      <c r="M405" s="115"/>
      <c r="N405" s="115"/>
      <c r="O405" s="115"/>
      <c r="P405" s="115"/>
      <c r="Q405" s="115"/>
      <c r="R405" s="115"/>
      <c r="S405" s="13"/>
      <c r="T405" s="13"/>
      <c r="X405" s="115"/>
      <c r="Y405" s="117"/>
      <c r="Z405" s="123"/>
      <c r="AA405" s="123"/>
      <c r="AB405" s="123"/>
      <c r="AC405" s="115"/>
      <c r="AD405" s="115"/>
      <c r="AE405" s="115"/>
      <c r="AF405" s="115"/>
      <c r="AG405" s="115"/>
      <c r="AH405" s="115"/>
      <c r="AI405" s="115"/>
      <c r="AJ405" s="115"/>
      <c r="AK405" s="115"/>
      <c r="AL405" s="115"/>
      <c r="AM405" s="115"/>
      <c r="AN405" s="115"/>
      <c r="AO405" s="115"/>
      <c r="AP405" s="115"/>
      <c r="AQ405" s="26"/>
      <c r="AR405" s="13"/>
      <c r="AU405" s="114"/>
    </row>
    <row r="406" spans="10:47" ht="19.5" x14ac:dyDescent="0.4">
      <c r="S406" s="25"/>
      <c r="T406" s="13"/>
      <c r="X406" s="115"/>
      <c r="Y406" s="117"/>
      <c r="Z406" s="123"/>
      <c r="AA406" s="123"/>
      <c r="AB406" s="123"/>
      <c r="AC406" s="115"/>
      <c r="AD406" s="115"/>
      <c r="AE406" s="115"/>
      <c r="AF406" s="115"/>
      <c r="AG406" s="115"/>
      <c r="AH406" s="115"/>
      <c r="AI406" s="115"/>
      <c r="AJ406" s="115"/>
      <c r="AK406" s="115"/>
      <c r="AL406" s="115"/>
      <c r="AM406" s="115"/>
      <c r="AN406" s="115"/>
      <c r="AO406" s="115"/>
      <c r="AP406" s="115" t="s">
        <v>153</v>
      </c>
      <c r="AQ406" s="17">
        <f>SUBTOTAL(3,AQ375:AQ404)</f>
        <v>12</v>
      </c>
      <c r="AR406" s="13">
        <f>SUBTOTAL(3,AR375:AR404)</f>
        <v>12</v>
      </c>
      <c r="AU406" s="114"/>
    </row>
    <row r="407" spans="10:47" ht="19.5" x14ac:dyDescent="0.4">
      <c r="J407" s="115"/>
      <c r="K407" s="115"/>
      <c r="L407" s="115"/>
      <c r="M407" s="115"/>
      <c r="N407" s="115"/>
      <c r="O407" s="115"/>
      <c r="P407" s="115"/>
      <c r="Q407" s="115"/>
      <c r="R407" s="115"/>
      <c r="S407" s="13"/>
      <c r="T407" s="13"/>
      <c r="X407" s="115"/>
      <c r="Y407" s="117"/>
      <c r="Z407" s="123"/>
      <c r="AA407" s="123"/>
      <c r="AB407" s="123"/>
      <c r="AC407" s="115"/>
      <c r="AD407" s="115"/>
      <c r="AE407" s="115"/>
      <c r="AF407" s="115"/>
      <c r="AG407" s="115"/>
      <c r="AH407" s="115"/>
      <c r="AI407" s="115"/>
      <c r="AJ407" s="115"/>
      <c r="AK407" s="115"/>
      <c r="AL407" s="115"/>
      <c r="AM407" s="115"/>
      <c r="AN407" s="115"/>
      <c r="AO407" s="115"/>
      <c r="AP407" s="115"/>
      <c r="AQ407" s="17"/>
      <c r="AR407" s="13"/>
      <c r="AU407" s="114"/>
    </row>
    <row r="408" spans="10:47" ht="19.5" x14ac:dyDescent="0.4">
      <c r="S408" s="25"/>
      <c r="T408" s="13"/>
      <c r="X408" s="115"/>
      <c r="Y408" s="117"/>
      <c r="Z408" s="123"/>
      <c r="AA408" s="123"/>
      <c r="AB408" s="123"/>
      <c r="AC408" s="115"/>
      <c r="AD408" s="115"/>
      <c r="AE408" s="115"/>
      <c r="AF408" s="115"/>
      <c r="AG408" s="115"/>
      <c r="AH408" s="115"/>
      <c r="AI408" s="115"/>
      <c r="AJ408" s="115"/>
      <c r="AK408" s="115"/>
      <c r="AL408" s="115"/>
      <c r="AM408" s="115"/>
      <c r="AN408" s="115"/>
      <c r="AO408" s="115"/>
      <c r="AP408" s="115"/>
      <c r="AQ408" s="26">
        <v>45279</v>
      </c>
      <c r="AR408" s="25" t="s">
        <v>162</v>
      </c>
      <c r="AU408" s="114"/>
    </row>
    <row r="409" spans="10:47" ht="19.5" x14ac:dyDescent="0.4">
      <c r="S409" s="25"/>
      <c r="T409" s="13"/>
      <c r="X409" s="115"/>
      <c r="Y409" s="117"/>
      <c r="Z409" s="123"/>
      <c r="AA409" s="123"/>
      <c r="AB409" s="123"/>
      <c r="AC409" s="115"/>
      <c r="AD409" s="115"/>
      <c r="AE409" s="115"/>
      <c r="AF409" s="115"/>
      <c r="AG409" s="115"/>
      <c r="AH409" s="115"/>
      <c r="AI409" s="115"/>
      <c r="AJ409" s="115"/>
      <c r="AK409" s="115"/>
      <c r="AL409" s="115"/>
      <c r="AM409" s="115"/>
      <c r="AN409" s="115"/>
      <c r="AO409" s="115"/>
      <c r="AP409" s="115"/>
      <c r="AQ409" s="26">
        <v>45279</v>
      </c>
      <c r="AR409" s="13" t="s">
        <v>162</v>
      </c>
      <c r="AU409" s="114"/>
    </row>
    <row r="410" spans="10:47" ht="19.5" x14ac:dyDescent="0.4">
      <c r="J410" s="115"/>
      <c r="K410" s="115"/>
      <c r="L410" s="115"/>
      <c r="M410" s="115"/>
      <c r="N410" s="115"/>
      <c r="O410" s="115"/>
      <c r="P410" s="115"/>
      <c r="Q410" s="115"/>
      <c r="R410" s="115"/>
      <c r="S410" s="20"/>
      <c r="T410" s="13"/>
      <c r="X410" s="115"/>
      <c r="Y410" s="117"/>
      <c r="Z410" s="123"/>
      <c r="AA410" s="123"/>
      <c r="AB410" s="123"/>
      <c r="AC410" s="115"/>
      <c r="AD410" s="115"/>
      <c r="AE410" s="115"/>
      <c r="AF410" s="115"/>
      <c r="AG410" s="115"/>
      <c r="AH410" s="115"/>
      <c r="AI410" s="115"/>
      <c r="AJ410" s="115"/>
      <c r="AK410" s="115"/>
      <c r="AL410" s="115"/>
      <c r="AM410" s="115"/>
      <c r="AN410" s="115"/>
      <c r="AO410" s="115"/>
      <c r="AP410" s="115"/>
      <c r="AQ410" s="26"/>
      <c r="AR410" s="13"/>
      <c r="AU410" s="114"/>
    </row>
    <row r="411" spans="10:47" ht="19.5" x14ac:dyDescent="0.4">
      <c r="J411" s="115"/>
      <c r="K411" s="115"/>
      <c r="L411" s="115"/>
      <c r="M411" s="115"/>
      <c r="N411" s="115"/>
      <c r="O411" s="115"/>
      <c r="P411" s="115"/>
      <c r="Q411" s="115"/>
      <c r="R411" s="115"/>
      <c r="S411" s="20"/>
      <c r="T411" s="13"/>
      <c r="X411" s="115"/>
      <c r="Y411" s="117"/>
      <c r="Z411" s="123"/>
      <c r="AA411" s="123"/>
      <c r="AB411" s="123"/>
      <c r="AC411" s="115"/>
      <c r="AD411" s="115"/>
      <c r="AE411" s="115"/>
      <c r="AF411" s="115"/>
      <c r="AG411" s="115"/>
      <c r="AH411" s="115"/>
      <c r="AI411" s="115"/>
      <c r="AJ411" s="115"/>
      <c r="AK411" s="115"/>
      <c r="AL411" s="115"/>
      <c r="AM411" s="115"/>
      <c r="AN411" s="115"/>
      <c r="AO411" s="115"/>
      <c r="AP411" s="115"/>
      <c r="AQ411" s="26"/>
      <c r="AR411" s="13"/>
      <c r="AU411" s="114"/>
    </row>
    <row r="412" spans="10:47" ht="19.5" x14ac:dyDescent="0.4">
      <c r="S412" s="26"/>
      <c r="T412" s="13"/>
      <c r="X412" s="115"/>
      <c r="Y412" s="117"/>
      <c r="Z412" s="123"/>
      <c r="AA412" s="123"/>
      <c r="AB412" s="123"/>
      <c r="AC412" s="115"/>
      <c r="AD412" s="115"/>
      <c r="AE412" s="115"/>
      <c r="AF412" s="115"/>
      <c r="AG412" s="115"/>
      <c r="AH412" s="115"/>
      <c r="AI412" s="115"/>
      <c r="AJ412" s="115"/>
      <c r="AK412" s="115"/>
      <c r="AL412" s="115"/>
      <c r="AM412" s="115"/>
      <c r="AN412" s="115"/>
      <c r="AO412" s="115"/>
      <c r="AP412" s="115"/>
      <c r="AQ412" s="26">
        <v>45279</v>
      </c>
      <c r="AR412" s="13" t="s">
        <v>162</v>
      </c>
      <c r="AU412" s="114"/>
    </row>
    <row r="413" spans="10:47" ht="19.5" x14ac:dyDescent="0.4">
      <c r="S413" s="26"/>
      <c r="T413" s="13"/>
      <c r="X413" s="115"/>
      <c r="Y413" s="117"/>
      <c r="Z413" s="123"/>
      <c r="AA413" s="123"/>
      <c r="AB413" s="123"/>
      <c r="AC413" s="115"/>
      <c r="AD413" s="115"/>
      <c r="AE413" s="115"/>
      <c r="AF413" s="115"/>
      <c r="AG413" s="115"/>
      <c r="AH413" s="115"/>
      <c r="AI413" s="115"/>
      <c r="AJ413" s="115"/>
      <c r="AK413" s="115"/>
      <c r="AL413" s="115"/>
      <c r="AM413" s="115"/>
      <c r="AN413" s="115"/>
      <c r="AO413" s="115"/>
      <c r="AP413" s="115"/>
      <c r="AQ413" s="26">
        <v>45279</v>
      </c>
      <c r="AR413" s="13" t="s">
        <v>162</v>
      </c>
      <c r="AU413" s="114"/>
    </row>
    <row r="414" spans="10:47" ht="19.5" x14ac:dyDescent="0.4">
      <c r="S414" s="129"/>
      <c r="T414" s="13"/>
      <c r="X414" s="115"/>
      <c r="Y414" s="117"/>
      <c r="Z414" s="123"/>
      <c r="AA414" s="123"/>
      <c r="AB414" s="123"/>
      <c r="AC414" s="115"/>
      <c r="AD414" s="115"/>
      <c r="AE414" s="115"/>
      <c r="AF414" s="115"/>
      <c r="AG414" s="115"/>
      <c r="AH414" s="115"/>
      <c r="AI414" s="115"/>
      <c r="AJ414" s="115"/>
      <c r="AK414" s="115"/>
      <c r="AL414" s="115"/>
      <c r="AM414" s="115"/>
      <c r="AN414" s="115"/>
      <c r="AO414" s="115"/>
      <c r="AP414" s="115"/>
      <c r="AQ414" s="26"/>
      <c r="AR414" s="13"/>
      <c r="AU414" s="114"/>
    </row>
    <row r="415" spans="10:47" ht="19.5" x14ac:dyDescent="0.4">
      <c r="S415" s="26"/>
      <c r="T415" s="13"/>
      <c r="X415" s="115"/>
      <c r="Y415" s="117"/>
      <c r="Z415" s="123"/>
      <c r="AA415" s="123"/>
      <c r="AB415" s="123"/>
      <c r="AC415" s="115"/>
      <c r="AD415" s="115"/>
      <c r="AE415" s="115"/>
      <c r="AF415" s="115"/>
      <c r="AG415" s="115"/>
      <c r="AH415" s="115"/>
      <c r="AI415" s="115"/>
      <c r="AJ415" s="115"/>
      <c r="AK415" s="115"/>
      <c r="AL415" s="115"/>
      <c r="AM415" s="115"/>
      <c r="AN415" s="115"/>
      <c r="AO415" s="115"/>
      <c r="AP415" s="115"/>
      <c r="AQ415" s="26">
        <v>45279</v>
      </c>
      <c r="AR415" s="13" t="s">
        <v>162</v>
      </c>
      <c r="AU415" s="114"/>
    </row>
    <row r="416" spans="10:47" ht="19.5" x14ac:dyDescent="0.4">
      <c r="S416" s="26"/>
      <c r="T416" s="13"/>
      <c r="X416" s="115"/>
      <c r="Y416" s="117"/>
      <c r="Z416" s="123"/>
      <c r="AA416" s="123"/>
      <c r="AB416" s="123"/>
      <c r="AC416" s="115"/>
      <c r="AD416" s="115"/>
      <c r="AE416" s="115"/>
      <c r="AF416" s="115"/>
      <c r="AG416" s="115"/>
      <c r="AH416" s="115"/>
      <c r="AI416" s="115"/>
      <c r="AJ416" s="115"/>
      <c r="AK416" s="115"/>
      <c r="AL416" s="115"/>
      <c r="AM416" s="115"/>
      <c r="AN416" s="115"/>
      <c r="AO416" s="115"/>
      <c r="AP416" s="115"/>
      <c r="AQ416" s="26">
        <v>45279</v>
      </c>
      <c r="AR416" s="13" t="s">
        <v>162</v>
      </c>
      <c r="AU416" s="114"/>
    </row>
    <row r="417" spans="19:47" ht="19.5" x14ac:dyDescent="0.4">
      <c r="S417" s="26"/>
      <c r="T417" s="13"/>
      <c r="X417" s="115"/>
      <c r="Y417" s="117"/>
      <c r="Z417" s="123"/>
      <c r="AA417" s="123"/>
      <c r="AB417" s="123"/>
      <c r="AC417" s="115"/>
      <c r="AD417" s="115"/>
      <c r="AE417" s="115"/>
      <c r="AF417" s="115"/>
      <c r="AG417" s="115"/>
      <c r="AH417" s="115"/>
      <c r="AI417" s="115"/>
      <c r="AJ417" s="115"/>
      <c r="AK417" s="115"/>
      <c r="AL417" s="115"/>
      <c r="AM417" s="115"/>
      <c r="AN417" s="115"/>
      <c r="AO417" s="115"/>
      <c r="AP417" s="115" t="s">
        <v>170</v>
      </c>
      <c r="AQ417" s="17">
        <f>SUBTOTAL(3,AQ408:AQ416)</f>
        <v>6</v>
      </c>
      <c r="AR417" s="13">
        <f>SUBTOTAL(3,AR408:AR416)</f>
        <v>6</v>
      </c>
      <c r="AU417" s="114"/>
    </row>
    <row r="418" spans="19:47" ht="19.5" x14ac:dyDescent="0.4">
      <c r="S418" s="129"/>
      <c r="T418" s="13"/>
      <c r="X418" s="115"/>
      <c r="Y418" s="117"/>
      <c r="Z418" s="123"/>
      <c r="AA418" s="123"/>
      <c r="AB418" s="123"/>
      <c r="AC418" s="115"/>
      <c r="AD418" s="115"/>
      <c r="AE418" s="115"/>
      <c r="AF418" s="115"/>
      <c r="AG418" s="115"/>
      <c r="AH418" s="115"/>
      <c r="AI418" s="115"/>
      <c r="AJ418" s="115"/>
      <c r="AK418" s="115"/>
      <c r="AL418" s="115"/>
      <c r="AM418" s="115"/>
      <c r="AN418" s="115"/>
      <c r="AO418" s="115"/>
      <c r="AP418" s="115"/>
      <c r="AQ418" s="17"/>
      <c r="AR418" s="13"/>
      <c r="AU418" s="114"/>
    </row>
    <row r="419" spans="19:47" ht="19.5" x14ac:dyDescent="0.4">
      <c r="S419" s="26"/>
      <c r="T419" s="13"/>
      <c r="X419" s="115"/>
      <c r="Y419" s="117"/>
      <c r="Z419" s="123"/>
      <c r="AA419" s="123"/>
      <c r="AB419" s="123"/>
      <c r="AC419" s="115"/>
      <c r="AD419" s="115"/>
      <c r="AE419" s="115"/>
      <c r="AF419" s="115"/>
      <c r="AG419" s="115"/>
      <c r="AH419" s="115"/>
      <c r="AI419" s="115"/>
      <c r="AJ419" s="115"/>
      <c r="AK419" s="115"/>
      <c r="AL419" s="115"/>
      <c r="AM419" s="115"/>
      <c r="AN419" s="115"/>
      <c r="AO419" s="115"/>
      <c r="AP419" s="115"/>
      <c r="AQ419" s="26">
        <v>45280</v>
      </c>
      <c r="AR419" s="13" t="s">
        <v>162</v>
      </c>
      <c r="AU419" s="114"/>
    </row>
    <row r="420" spans="19:47" ht="19.5" x14ac:dyDescent="0.4">
      <c r="S420" s="26"/>
      <c r="T420" s="13"/>
      <c r="X420" s="115"/>
      <c r="Y420" s="116"/>
      <c r="Z420" s="123"/>
      <c r="AA420" s="123"/>
      <c r="AB420" s="123"/>
      <c r="AC420" s="115"/>
      <c r="AD420" s="115"/>
      <c r="AE420" s="115"/>
      <c r="AF420" s="115"/>
      <c r="AG420" s="115"/>
      <c r="AH420" s="115"/>
      <c r="AI420" s="115"/>
      <c r="AJ420" s="115"/>
      <c r="AK420" s="115"/>
      <c r="AL420" s="115"/>
      <c r="AM420" s="115"/>
      <c r="AN420" s="115"/>
      <c r="AO420" s="115"/>
      <c r="AP420" s="115"/>
      <c r="AQ420" s="26">
        <v>45280</v>
      </c>
      <c r="AR420" s="13" t="s">
        <v>162</v>
      </c>
      <c r="AU420" s="114"/>
    </row>
    <row r="421" spans="19:47" ht="19.5" x14ac:dyDescent="0.4">
      <c r="S421" s="26"/>
      <c r="T421" s="13"/>
      <c r="X421" s="115"/>
      <c r="Y421" s="116"/>
      <c r="Z421" s="123"/>
      <c r="AA421" s="123"/>
      <c r="AB421" s="123"/>
      <c r="AC421" s="115"/>
      <c r="AD421" s="115"/>
      <c r="AE421" s="115"/>
      <c r="AF421" s="115"/>
      <c r="AG421" s="115"/>
      <c r="AH421" s="115"/>
      <c r="AI421" s="115"/>
      <c r="AJ421" s="115"/>
      <c r="AK421" s="115"/>
      <c r="AL421" s="115"/>
      <c r="AM421" s="115"/>
      <c r="AN421" s="115"/>
      <c r="AO421" s="115"/>
      <c r="AP421" s="115"/>
      <c r="AQ421" s="26">
        <v>45280</v>
      </c>
      <c r="AR421" s="13" t="s">
        <v>162</v>
      </c>
      <c r="AU421" s="114"/>
    </row>
    <row r="422" spans="19:47" ht="19.5" x14ac:dyDescent="0.4">
      <c r="S422" s="26"/>
      <c r="T422" s="13"/>
      <c r="X422" s="115"/>
      <c r="Y422" s="116"/>
      <c r="Z422" s="123"/>
      <c r="AA422" s="123"/>
      <c r="AB422" s="123"/>
      <c r="AC422" s="115"/>
      <c r="AD422" s="115"/>
      <c r="AE422" s="115"/>
      <c r="AF422" s="115"/>
      <c r="AG422" s="115"/>
      <c r="AH422" s="115"/>
      <c r="AI422" s="115"/>
      <c r="AJ422" s="115"/>
      <c r="AK422" s="115"/>
      <c r="AL422" s="115"/>
      <c r="AM422" s="115"/>
      <c r="AN422" s="115"/>
      <c r="AO422" s="115"/>
      <c r="AP422" s="115"/>
      <c r="AQ422" s="26">
        <v>45280</v>
      </c>
      <c r="AR422" s="13" t="s">
        <v>162</v>
      </c>
      <c r="AU422" s="114"/>
    </row>
    <row r="423" spans="19:47" ht="19.5" x14ac:dyDescent="0.4">
      <c r="S423" s="129"/>
      <c r="T423" s="13"/>
      <c r="X423" s="115"/>
      <c r="Y423" s="116"/>
      <c r="Z423" s="123"/>
      <c r="AA423" s="123"/>
      <c r="AB423" s="123"/>
      <c r="AC423" s="115"/>
      <c r="AD423" s="115"/>
      <c r="AE423" s="115"/>
      <c r="AF423" s="115"/>
      <c r="AG423" s="115"/>
      <c r="AH423" s="115"/>
      <c r="AI423" s="115"/>
      <c r="AJ423" s="115"/>
      <c r="AK423" s="115"/>
      <c r="AL423" s="115"/>
      <c r="AM423" s="115"/>
      <c r="AN423" s="115"/>
      <c r="AO423" s="115"/>
      <c r="AP423" s="115"/>
      <c r="AQ423" s="26"/>
      <c r="AR423" s="13"/>
      <c r="AU423" s="114"/>
    </row>
    <row r="424" spans="19:47" ht="19.5" x14ac:dyDescent="0.4">
      <c r="S424" s="26"/>
      <c r="T424" s="13"/>
      <c r="X424" s="115"/>
      <c r="Y424" s="116"/>
      <c r="Z424" s="123"/>
      <c r="AA424" s="123"/>
      <c r="AB424" s="123"/>
      <c r="AC424" s="115"/>
      <c r="AD424" s="115"/>
      <c r="AE424" s="115"/>
      <c r="AF424" s="115"/>
      <c r="AG424" s="115"/>
      <c r="AH424" s="115"/>
      <c r="AI424" s="115"/>
      <c r="AJ424" s="115"/>
      <c r="AK424" s="115"/>
      <c r="AL424" s="115"/>
      <c r="AM424" s="115"/>
      <c r="AN424" s="115"/>
      <c r="AO424" s="115"/>
      <c r="AP424" s="115"/>
      <c r="AQ424" s="26">
        <v>45280</v>
      </c>
      <c r="AR424" s="13" t="s">
        <v>162</v>
      </c>
      <c r="AU424" s="114"/>
    </row>
    <row r="425" spans="19:47" ht="19.5" x14ac:dyDescent="0.4">
      <c r="S425" s="130"/>
      <c r="T425" s="119"/>
      <c r="X425" s="115"/>
      <c r="Y425" s="116"/>
      <c r="Z425" s="123"/>
      <c r="AA425" s="123"/>
      <c r="AB425" s="123"/>
      <c r="AC425" s="115"/>
      <c r="AD425" s="115"/>
      <c r="AE425" s="115"/>
      <c r="AF425" s="115"/>
      <c r="AG425" s="115"/>
      <c r="AH425" s="115"/>
      <c r="AI425" s="115"/>
      <c r="AJ425" s="115"/>
      <c r="AK425" s="115"/>
      <c r="AL425" s="115"/>
      <c r="AM425" s="115"/>
      <c r="AN425" s="115"/>
      <c r="AO425" s="115"/>
      <c r="AP425" s="115"/>
      <c r="AQ425" s="26"/>
      <c r="AR425" s="13"/>
      <c r="AU425" s="114"/>
    </row>
    <row r="426" spans="19:47" ht="19.5" x14ac:dyDescent="0.4">
      <c r="S426" s="130"/>
      <c r="T426" s="119"/>
      <c r="X426" s="115"/>
      <c r="Y426" s="116"/>
      <c r="Z426" s="123"/>
      <c r="AA426" s="123"/>
      <c r="AB426" s="123"/>
      <c r="AC426" s="115"/>
      <c r="AD426" s="115"/>
      <c r="AE426" s="115"/>
      <c r="AF426" s="115"/>
      <c r="AG426" s="115"/>
      <c r="AH426" s="115"/>
      <c r="AI426" s="115"/>
      <c r="AJ426" s="115"/>
      <c r="AK426" s="115"/>
      <c r="AL426" s="115"/>
      <c r="AM426" s="115"/>
      <c r="AN426" s="115"/>
      <c r="AO426" s="115"/>
      <c r="AP426" s="115"/>
      <c r="AQ426" s="26"/>
      <c r="AR426" s="13"/>
      <c r="AU426" s="114"/>
    </row>
    <row r="427" spans="19:47" ht="19.5" x14ac:dyDescent="0.4">
      <c r="X427" s="115"/>
      <c r="Y427" s="116"/>
      <c r="Z427" s="123"/>
      <c r="AA427" s="123"/>
      <c r="AB427" s="123"/>
      <c r="AC427" s="115"/>
      <c r="AD427" s="115"/>
      <c r="AE427" s="115"/>
      <c r="AF427" s="115"/>
      <c r="AG427" s="115"/>
      <c r="AH427" s="115"/>
      <c r="AI427" s="115"/>
      <c r="AJ427" s="115"/>
      <c r="AK427" s="115"/>
      <c r="AL427" s="115"/>
      <c r="AM427" s="115"/>
      <c r="AN427" s="115"/>
      <c r="AO427" s="115"/>
      <c r="AP427" s="115"/>
      <c r="AQ427" s="26">
        <v>45280</v>
      </c>
      <c r="AR427" s="13" t="s">
        <v>162</v>
      </c>
      <c r="AU427" s="114"/>
    </row>
    <row r="428" spans="19:47" ht="19.5" x14ac:dyDescent="0.4">
      <c r="X428" s="115"/>
      <c r="Y428" s="116"/>
      <c r="Z428" s="123"/>
      <c r="AA428" s="123"/>
      <c r="AB428" s="123"/>
      <c r="AC428" s="115"/>
      <c r="AD428" s="115"/>
      <c r="AE428" s="115"/>
      <c r="AF428" s="115"/>
      <c r="AG428" s="115"/>
      <c r="AH428" s="115"/>
      <c r="AI428" s="115"/>
      <c r="AJ428" s="115"/>
      <c r="AK428" s="115"/>
      <c r="AL428" s="115"/>
      <c r="AM428" s="115"/>
      <c r="AN428" s="115"/>
      <c r="AO428" s="115"/>
      <c r="AP428" s="115"/>
      <c r="AQ428" s="26">
        <v>45280</v>
      </c>
      <c r="AR428" s="13" t="s">
        <v>162</v>
      </c>
      <c r="AU428" s="114"/>
    </row>
    <row r="429" spans="19:47" ht="19.5" x14ac:dyDescent="0.4">
      <c r="X429" s="115"/>
      <c r="Y429" s="116"/>
      <c r="Z429" s="123"/>
      <c r="AA429" s="123"/>
      <c r="AB429" s="123"/>
      <c r="AC429" s="115"/>
      <c r="AD429" s="115"/>
      <c r="AE429" s="115"/>
      <c r="AF429" s="115"/>
      <c r="AG429" s="115"/>
      <c r="AH429" s="115"/>
      <c r="AI429" s="115"/>
      <c r="AJ429" s="115"/>
      <c r="AK429" s="115"/>
      <c r="AL429" s="115"/>
      <c r="AM429" s="115"/>
      <c r="AN429" s="115"/>
      <c r="AO429" s="115"/>
      <c r="AP429" s="115"/>
      <c r="AQ429" s="26">
        <v>45280</v>
      </c>
      <c r="AR429" s="13" t="s">
        <v>162</v>
      </c>
      <c r="AU429" s="114"/>
    </row>
    <row r="430" spans="19:47" ht="19.5" x14ac:dyDescent="0.4">
      <c r="W430" s="115"/>
      <c r="X430" s="115"/>
      <c r="Y430" s="116"/>
      <c r="Z430" s="123"/>
      <c r="AA430" s="123"/>
      <c r="AB430" s="123"/>
      <c r="AC430" s="115"/>
      <c r="AD430" s="115"/>
      <c r="AE430" s="115"/>
      <c r="AF430" s="115"/>
      <c r="AG430" s="115"/>
      <c r="AH430" s="115"/>
      <c r="AI430" s="115"/>
      <c r="AJ430" s="115"/>
      <c r="AK430" s="115"/>
      <c r="AL430" s="115"/>
      <c r="AM430" s="115"/>
      <c r="AN430" s="115"/>
      <c r="AO430" s="115"/>
      <c r="AP430" s="115"/>
      <c r="AQ430" s="26">
        <v>45280</v>
      </c>
      <c r="AR430" s="13" t="s">
        <v>162</v>
      </c>
      <c r="AU430" s="114"/>
    </row>
    <row r="431" spans="19:47" ht="19.5" x14ac:dyDescent="0.4">
      <c r="W431" s="115"/>
      <c r="X431" s="115"/>
      <c r="Y431" s="116"/>
      <c r="Z431" s="123"/>
      <c r="AA431" s="123"/>
      <c r="AB431" s="123"/>
      <c r="AC431" s="115"/>
      <c r="AD431" s="115"/>
      <c r="AE431" s="115"/>
      <c r="AF431" s="115"/>
      <c r="AG431" s="115"/>
      <c r="AH431" s="115"/>
      <c r="AI431" s="115"/>
      <c r="AJ431" s="115"/>
      <c r="AK431" s="115"/>
      <c r="AL431" s="115"/>
      <c r="AM431" s="115"/>
      <c r="AN431" s="115"/>
      <c r="AO431" s="115"/>
      <c r="AP431" s="115"/>
      <c r="AQ431" s="26">
        <v>45280</v>
      </c>
      <c r="AR431" s="13" t="s">
        <v>162</v>
      </c>
      <c r="AU431" s="114"/>
    </row>
    <row r="432" spans="19:47" ht="19.5" x14ac:dyDescent="0.4">
      <c r="U432" s="115"/>
      <c r="V432" s="115"/>
      <c r="W432" s="115"/>
      <c r="X432" s="115"/>
      <c r="Y432" s="116"/>
      <c r="Z432" s="123"/>
      <c r="AA432" s="123"/>
      <c r="AB432" s="123"/>
      <c r="AC432" s="115"/>
      <c r="AD432" s="115"/>
      <c r="AE432" s="115"/>
      <c r="AF432" s="115"/>
      <c r="AG432" s="115"/>
      <c r="AH432" s="115"/>
      <c r="AI432" s="115"/>
      <c r="AJ432" s="115"/>
      <c r="AK432" s="115"/>
      <c r="AL432" s="115"/>
      <c r="AM432" s="115"/>
      <c r="AN432" s="115"/>
      <c r="AO432" s="115"/>
      <c r="AP432" s="115"/>
      <c r="AQ432" s="26">
        <v>45280</v>
      </c>
      <c r="AR432" s="13" t="s">
        <v>162</v>
      </c>
      <c r="AU432" s="114"/>
    </row>
    <row r="433" spans="21:47" x14ac:dyDescent="0.4">
      <c r="U433" s="115"/>
      <c r="V433" s="115"/>
      <c r="W433" s="115"/>
      <c r="X433" s="115"/>
      <c r="Y433" s="115"/>
      <c r="Z433" s="122"/>
      <c r="AA433" s="122"/>
      <c r="AB433" s="122"/>
      <c r="AC433" s="115"/>
      <c r="AD433" s="115"/>
      <c r="AE433" s="115"/>
      <c r="AF433" s="115"/>
      <c r="AG433" s="115"/>
      <c r="AH433" s="115"/>
      <c r="AI433" s="115"/>
      <c r="AJ433" s="115"/>
      <c r="AK433" s="115"/>
      <c r="AL433" s="115"/>
      <c r="AM433" s="115"/>
      <c r="AN433" s="115"/>
      <c r="AO433" s="115"/>
      <c r="AP433" s="115"/>
      <c r="AQ433" s="26">
        <v>45280</v>
      </c>
      <c r="AR433" s="13" t="s">
        <v>162</v>
      </c>
      <c r="AU433" s="114"/>
    </row>
    <row r="434" spans="21:47" x14ac:dyDescent="0.4">
      <c r="U434" s="115"/>
      <c r="V434" s="115"/>
      <c r="W434" s="115"/>
      <c r="X434" s="115"/>
      <c r="Y434" s="115"/>
      <c r="Z434" s="122"/>
      <c r="AA434" s="122"/>
      <c r="AB434" s="122"/>
      <c r="AC434" s="115"/>
      <c r="AD434" s="115"/>
      <c r="AE434" s="115"/>
      <c r="AF434" s="115"/>
      <c r="AG434" s="115"/>
      <c r="AH434" s="115"/>
      <c r="AI434" s="115"/>
      <c r="AJ434" s="115"/>
      <c r="AK434" s="115"/>
      <c r="AL434" s="115"/>
      <c r="AM434" s="115"/>
      <c r="AN434" s="115"/>
      <c r="AO434" s="115"/>
      <c r="AP434" s="115"/>
      <c r="AQ434" s="26">
        <v>45280</v>
      </c>
      <c r="AR434" s="13" t="s">
        <v>162</v>
      </c>
      <c r="AU434" s="114"/>
    </row>
    <row r="435" spans="21:47" x14ac:dyDescent="0.4">
      <c r="U435" s="115"/>
      <c r="V435" s="115"/>
      <c r="W435" s="115"/>
      <c r="X435" s="115"/>
      <c r="Y435" s="115"/>
      <c r="Z435" s="122"/>
      <c r="AA435" s="122"/>
      <c r="AB435" s="122"/>
      <c r="AC435" s="115"/>
      <c r="AD435" s="115"/>
      <c r="AE435" s="115"/>
      <c r="AF435" s="115"/>
      <c r="AG435" s="115"/>
      <c r="AH435" s="115"/>
      <c r="AI435" s="115"/>
      <c r="AJ435" s="115"/>
      <c r="AK435" s="115"/>
      <c r="AL435" s="115"/>
      <c r="AM435" s="115"/>
      <c r="AN435" s="115"/>
      <c r="AO435" s="115"/>
      <c r="AP435" s="115" t="s">
        <v>171</v>
      </c>
      <c r="AQ435" s="17">
        <f>SUBTOTAL(3,AQ419:AQ434)</f>
        <v>13</v>
      </c>
      <c r="AR435" s="13">
        <f>SUBTOTAL(3,AR419:AR434)</f>
        <v>13</v>
      </c>
      <c r="AU435" s="114"/>
    </row>
    <row r="436" spans="21:47" x14ac:dyDescent="0.4">
      <c r="U436" s="115"/>
      <c r="V436" s="115"/>
      <c r="W436" s="115"/>
      <c r="X436" s="115"/>
      <c r="Y436" s="115"/>
      <c r="Z436" s="122"/>
      <c r="AA436" s="122"/>
      <c r="AB436" s="122"/>
      <c r="AC436" s="115"/>
      <c r="AD436" s="115"/>
      <c r="AE436" s="115"/>
      <c r="AF436" s="115"/>
      <c r="AG436" s="115"/>
      <c r="AH436" s="115"/>
      <c r="AI436" s="115"/>
      <c r="AJ436" s="115"/>
      <c r="AK436" s="115"/>
      <c r="AL436" s="115"/>
      <c r="AM436" s="115"/>
      <c r="AN436" s="115"/>
      <c r="AO436" s="115"/>
      <c r="AP436" s="115"/>
      <c r="AQ436" s="26">
        <v>45283</v>
      </c>
      <c r="AR436" s="13" t="s">
        <v>162</v>
      </c>
      <c r="AU436" s="114"/>
    </row>
    <row r="437" spans="21:47" x14ac:dyDescent="0.4">
      <c r="U437" s="115"/>
      <c r="V437" s="115"/>
      <c r="W437" s="115"/>
      <c r="X437" s="115"/>
      <c r="Y437" s="115"/>
      <c r="Z437" s="122"/>
      <c r="AA437" s="122"/>
      <c r="AB437" s="122"/>
      <c r="AC437" s="115"/>
      <c r="AD437" s="115"/>
      <c r="AE437" s="115"/>
      <c r="AF437" s="115"/>
      <c r="AG437" s="115"/>
      <c r="AH437" s="115"/>
      <c r="AI437" s="115"/>
      <c r="AJ437" s="115"/>
      <c r="AK437" s="115"/>
      <c r="AL437" s="115"/>
      <c r="AM437" s="115"/>
      <c r="AN437" s="115"/>
      <c r="AO437" s="115"/>
      <c r="AP437" s="115"/>
      <c r="AQ437" s="26">
        <v>45283</v>
      </c>
      <c r="AR437" s="13" t="s">
        <v>162</v>
      </c>
      <c r="AU437" s="114"/>
    </row>
    <row r="438" spans="21:47" x14ac:dyDescent="0.4">
      <c r="U438" s="115"/>
      <c r="V438" s="115"/>
      <c r="W438" s="115"/>
      <c r="X438" s="115"/>
      <c r="Y438" s="115"/>
      <c r="Z438" s="122"/>
      <c r="AA438" s="122"/>
      <c r="AB438" s="122"/>
      <c r="AC438" s="115"/>
      <c r="AD438" s="115"/>
      <c r="AE438" s="115"/>
      <c r="AF438" s="115"/>
      <c r="AG438" s="115"/>
      <c r="AH438" s="115"/>
      <c r="AI438" s="115"/>
      <c r="AJ438" s="115"/>
      <c r="AK438" s="115"/>
      <c r="AL438" s="115"/>
      <c r="AM438" s="115"/>
      <c r="AN438" s="115"/>
      <c r="AO438" s="115"/>
      <c r="AP438" s="115"/>
      <c r="AQ438" s="26">
        <v>45283</v>
      </c>
      <c r="AR438" s="13" t="s">
        <v>162</v>
      </c>
      <c r="AU438" s="114"/>
    </row>
    <row r="439" spans="21:47" x14ac:dyDescent="0.4">
      <c r="U439" s="115"/>
      <c r="V439" s="115"/>
      <c r="W439" s="115"/>
      <c r="X439" s="115"/>
      <c r="Y439" s="115"/>
      <c r="Z439" s="122"/>
      <c r="AA439" s="122"/>
      <c r="AB439" s="122"/>
      <c r="AC439" s="115"/>
      <c r="AD439" s="115"/>
      <c r="AE439" s="115"/>
      <c r="AF439" s="115"/>
      <c r="AG439" s="115"/>
      <c r="AH439" s="115"/>
      <c r="AI439" s="115"/>
      <c r="AJ439" s="115"/>
      <c r="AK439" s="115"/>
      <c r="AL439" s="115"/>
      <c r="AM439" s="115"/>
      <c r="AN439" s="115"/>
      <c r="AO439" s="115"/>
      <c r="AP439" s="115"/>
      <c r="AQ439" s="26">
        <v>45283</v>
      </c>
      <c r="AR439" s="13" t="s">
        <v>162</v>
      </c>
      <c r="AU439" s="114"/>
    </row>
    <row r="440" spans="21:47" x14ac:dyDescent="0.4">
      <c r="U440" s="115"/>
      <c r="V440" s="115"/>
      <c r="W440" s="115"/>
      <c r="X440" s="115"/>
      <c r="Y440" s="115"/>
      <c r="Z440" s="122"/>
      <c r="AA440" s="122"/>
      <c r="AB440" s="122"/>
      <c r="AC440" s="115"/>
      <c r="AD440" s="115"/>
      <c r="AE440" s="115"/>
      <c r="AF440" s="115"/>
      <c r="AG440" s="115"/>
      <c r="AH440" s="115"/>
      <c r="AI440" s="115"/>
      <c r="AJ440" s="115"/>
      <c r="AK440" s="115"/>
      <c r="AL440" s="115"/>
      <c r="AM440" s="115"/>
      <c r="AN440" s="115"/>
      <c r="AO440" s="115"/>
      <c r="AP440" s="115"/>
      <c r="AQ440" s="26">
        <v>45283</v>
      </c>
      <c r="AR440" s="13" t="s">
        <v>162</v>
      </c>
      <c r="AU440" s="114"/>
    </row>
    <row r="441" spans="21:47" x14ac:dyDescent="0.4">
      <c r="U441" s="115"/>
      <c r="V441" s="115"/>
      <c r="W441" s="115"/>
      <c r="X441" s="115"/>
      <c r="Y441" s="115"/>
      <c r="Z441" s="122"/>
      <c r="AA441" s="122"/>
      <c r="AB441" s="122"/>
      <c r="AC441" s="115"/>
      <c r="AD441" s="115"/>
      <c r="AE441" s="115"/>
      <c r="AF441" s="115"/>
      <c r="AG441" s="115"/>
      <c r="AH441" s="115"/>
      <c r="AI441" s="115"/>
      <c r="AJ441" s="115"/>
      <c r="AK441" s="115"/>
      <c r="AL441" s="115"/>
      <c r="AM441" s="115"/>
      <c r="AN441" s="115"/>
      <c r="AO441" s="115"/>
      <c r="AP441" s="115"/>
      <c r="AQ441" s="26">
        <v>45283</v>
      </c>
      <c r="AR441" s="13" t="s">
        <v>162</v>
      </c>
      <c r="AU441" s="114"/>
    </row>
    <row r="442" spans="21:47" x14ac:dyDescent="0.4">
      <c r="U442" s="115"/>
      <c r="V442" s="115"/>
      <c r="W442" s="115"/>
      <c r="X442" s="115"/>
      <c r="Y442" s="115"/>
      <c r="Z442" s="122"/>
      <c r="AA442" s="122"/>
      <c r="AB442" s="122"/>
      <c r="AC442" s="115"/>
      <c r="AD442" s="115"/>
      <c r="AE442" s="115"/>
      <c r="AF442" s="115"/>
      <c r="AG442" s="115"/>
      <c r="AH442" s="115"/>
      <c r="AI442" s="115"/>
      <c r="AJ442" s="115"/>
      <c r="AK442" s="115"/>
      <c r="AL442" s="115"/>
      <c r="AM442" s="115"/>
      <c r="AN442" s="115"/>
      <c r="AO442" s="115"/>
      <c r="AP442" s="115"/>
      <c r="AQ442" s="26">
        <v>45283</v>
      </c>
      <c r="AR442" s="13" t="s">
        <v>162</v>
      </c>
      <c r="AU442" s="114"/>
    </row>
    <row r="443" spans="21:47" x14ac:dyDescent="0.4">
      <c r="U443" s="115"/>
      <c r="V443" s="115"/>
      <c r="W443" s="115"/>
      <c r="X443" s="115"/>
      <c r="Y443" s="115"/>
      <c r="Z443" s="122"/>
      <c r="AA443" s="122"/>
      <c r="AB443" s="122"/>
      <c r="AC443" s="115"/>
      <c r="AD443" s="115"/>
      <c r="AE443" s="115"/>
      <c r="AF443" s="115"/>
      <c r="AG443" s="115"/>
      <c r="AH443" s="115"/>
      <c r="AI443" s="115"/>
      <c r="AJ443" s="115"/>
      <c r="AK443" s="115"/>
      <c r="AL443" s="115"/>
      <c r="AM443" s="115"/>
      <c r="AN443" s="115"/>
      <c r="AO443" s="115"/>
      <c r="AP443" s="115"/>
      <c r="AQ443" s="26">
        <v>45283</v>
      </c>
      <c r="AR443" s="13" t="s">
        <v>162</v>
      </c>
      <c r="AU443" s="114"/>
    </row>
    <row r="444" spans="21:47" x14ac:dyDescent="0.4">
      <c r="U444" s="115"/>
      <c r="V444" s="115"/>
      <c r="W444" s="115"/>
      <c r="X444" s="115"/>
      <c r="Y444" s="115"/>
      <c r="Z444" s="122"/>
      <c r="AA444" s="122"/>
      <c r="AB444" s="122"/>
      <c r="AC444" s="115"/>
      <c r="AD444" s="115"/>
      <c r="AE444" s="115"/>
      <c r="AF444" s="115"/>
      <c r="AG444" s="115"/>
      <c r="AH444" s="115"/>
      <c r="AI444" s="115"/>
      <c r="AJ444" s="115"/>
      <c r="AK444" s="115"/>
      <c r="AL444" s="115"/>
      <c r="AM444" s="115"/>
      <c r="AN444" s="115"/>
      <c r="AO444" s="115"/>
      <c r="AP444" s="115"/>
      <c r="AQ444" s="26">
        <v>45283</v>
      </c>
      <c r="AR444" s="13" t="s">
        <v>162</v>
      </c>
      <c r="AU444" s="114"/>
    </row>
    <row r="445" spans="21:47" x14ac:dyDescent="0.4">
      <c r="U445" s="115"/>
      <c r="V445" s="115"/>
      <c r="W445" s="115"/>
      <c r="X445" s="115"/>
      <c r="Y445" s="115"/>
      <c r="Z445" s="122"/>
      <c r="AA445" s="122"/>
      <c r="AB445" s="122"/>
      <c r="AC445" s="115"/>
      <c r="AD445" s="115"/>
      <c r="AE445" s="115"/>
      <c r="AF445" s="115"/>
      <c r="AG445" s="115"/>
      <c r="AH445" s="115"/>
      <c r="AI445" s="115"/>
      <c r="AJ445" s="115"/>
      <c r="AK445" s="115"/>
      <c r="AL445" s="115"/>
      <c r="AM445" s="115"/>
      <c r="AN445" s="115"/>
      <c r="AO445" s="115"/>
      <c r="AP445" s="115"/>
      <c r="AQ445" s="26">
        <v>45283</v>
      </c>
      <c r="AR445" s="13" t="s">
        <v>162</v>
      </c>
      <c r="AU445" s="114"/>
    </row>
    <row r="446" spans="21:47" x14ac:dyDescent="0.4">
      <c r="U446" s="115"/>
      <c r="V446" s="115"/>
      <c r="W446" s="115"/>
      <c r="X446" s="115"/>
      <c r="Y446" s="115"/>
      <c r="Z446" s="122"/>
      <c r="AA446" s="122"/>
      <c r="AB446" s="122"/>
      <c r="AC446" s="115"/>
      <c r="AD446" s="115"/>
      <c r="AE446" s="115"/>
      <c r="AF446" s="115"/>
      <c r="AG446" s="115"/>
      <c r="AH446" s="115"/>
      <c r="AI446" s="115"/>
      <c r="AJ446" s="115"/>
      <c r="AK446" s="115"/>
      <c r="AL446" s="115"/>
      <c r="AM446" s="115"/>
      <c r="AN446" s="115"/>
      <c r="AO446" s="115"/>
      <c r="AP446" s="115"/>
      <c r="AQ446" s="26">
        <v>45283</v>
      </c>
      <c r="AR446" s="13" t="s">
        <v>163</v>
      </c>
      <c r="AU446" s="114"/>
    </row>
    <row r="447" spans="21:47" x14ac:dyDescent="0.4">
      <c r="U447" s="115"/>
      <c r="V447" s="115"/>
      <c r="W447" s="115"/>
      <c r="X447" s="115"/>
      <c r="Y447" s="115"/>
      <c r="Z447" s="122"/>
      <c r="AA447" s="122"/>
      <c r="AB447" s="122"/>
      <c r="AC447" s="115"/>
      <c r="AD447" s="115"/>
      <c r="AE447" s="115"/>
      <c r="AF447" s="115"/>
      <c r="AG447" s="115"/>
      <c r="AH447" s="115"/>
      <c r="AI447" s="115"/>
      <c r="AJ447" s="115"/>
      <c r="AK447" s="115"/>
      <c r="AL447" s="115"/>
      <c r="AM447" s="115"/>
      <c r="AN447" s="115"/>
      <c r="AO447" s="115"/>
      <c r="AP447" s="115"/>
      <c r="AQ447" s="26">
        <v>45283</v>
      </c>
      <c r="AR447" s="13" t="s">
        <v>163</v>
      </c>
      <c r="AU447" s="114"/>
    </row>
    <row r="448" spans="21:47" x14ac:dyDescent="0.4">
      <c r="U448" s="115"/>
      <c r="V448" s="115"/>
      <c r="W448" s="115"/>
      <c r="X448" s="115"/>
      <c r="Y448" s="115"/>
      <c r="Z448" s="122"/>
      <c r="AA448" s="122"/>
      <c r="AB448" s="122"/>
      <c r="AC448" s="115"/>
      <c r="AD448" s="115"/>
      <c r="AE448" s="115"/>
      <c r="AF448" s="115"/>
      <c r="AG448" s="115"/>
      <c r="AH448" s="115"/>
      <c r="AI448" s="115"/>
      <c r="AJ448" s="115"/>
      <c r="AK448" s="115"/>
      <c r="AL448" s="115"/>
      <c r="AM448" s="115"/>
      <c r="AN448" s="115"/>
      <c r="AO448" s="115"/>
      <c r="AP448" s="115"/>
      <c r="AQ448" s="26">
        <v>45283</v>
      </c>
      <c r="AR448" s="13" t="s">
        <v>163</v>
      </c>
      <c r="AU448" s="114"/>
    </row>
    <row r="449" spans="21:47" x14ac:dyDescent="0.4">
      <c r="U449" s="115"/>
      <c r="V449" s="115"/>
      <c r="W449" s="115"/>
      <c r="X449" s="115"/>
      <c r="Y449" s="115"/>
      <c r="Z449" s="122"/>
      <c r="AA449" s="122"/>
      <c r="AB449" s="122"/>
      <c r="AC449" s="115"/>
      <c r="AD449" s="115"/>
      <c r="AE449" s="115"/>
      <c r="AF449" s="115"/>
      <c r="AG449" s="115"/>
      <c r="AH449" s="115"/>
      <c r="AI449" s="115"/>
      <c r="AJ449" s="115"/>
      <c r="AK449" s="115"/>
      <c r="AL449" s="115"/>
      <c r="AM449" s="115"/>
      <c r="AN449" s="115"/>
      <c r="AO449" s="115"/>
      <c r="AP449" s="115" t="s">
        <v>161</v>
      </c>
      <c r="AQ449" s="17">
        <f>SUBTOTAL(3,AQ436:AQ448)</f>
        <v>13</v>
      </c>
      <c r="AR449" s="13">
        <f>SUBTOTAL(3,AR436:AR448)</f>
        <v>13</v>
      </c>
      <c r="AU449" s="114"/>
    </row>
    <row r="450" spans="21:47" x14ac:dyDescent="0.4">
      <c r="U450" s="115"/>
      <c r="V450" s="115"/>
      <c r="W450" s="115"/>
      <c r="X450" s="115"/>
      <c r="Y450" s="115"/>
      <c r="Z450" s="122"/>
      <c r="AA450" s="122"/>
      <c r="AB450" s="122"/>
      <c r="AC450" s="115"/>
      <c r="AD450" s="115"/>
      <c r="AE450" s="115"/>
      <c r="AF450" s="115"/>
      <c r="AG450" s="115"/>
      <c r="AH450" s="115"/>
      <c r="AI450" s="115"/>
      <c r="AJ450" s="115"/>
      <c r="AK450" s="115"/>
      <c r="AL450" s="115"/>
      <c r="AM450" s="115"/>
      <c r="AN450" s="115"/>
      <c r="AO450" s="115"/>
      <c r="AP450" s="115"/>
      <c r="AQ450" s="26">
        <v>45285</v>
      </c>
      <c r="AR450" s="13" t="s">
        <v>163</v>
      </c>
      <c r="AU450" s="114"/>
    </row>
    <row r="451" spans="21:47" x14ac:dyDescent="0.4">
      <c r="U451" s="115"/>
      <c r="V451" s="115"/>
      <c r="W451" s="115"/>
      <c r="X451" s="115"/>
      <c r="Y451" s="115"/>
      <c r="Z451" s="122"/>
      <c r="AA451" s="122"/>
      <c r="AB451" s="122"/>
      <c r="AC451" s="115"/>
      <c r="AD451" s="115"/>
      <c r="AE451" s="115"/>
      <c r="AF451" s="115"/>
      <c r="AG451" s="115"/>
      <c r="AH451" s="115"/>
      <c r="AI451" s="115"/>
      <c r="AJ451" s="115"/>
      <c r="AK451" s="115"/>
      <c r="AL451" s="115"/>
      <c r="AM451" s="115"/>
      <c r="AN451" s="115"/>
      <c r="AO451" s="115"/>
      <c r="AP451" s="115" t="s">
        <v>172</v>
      </c>
      <c r="AQ451" s="17">
        <f>SUBTOTAL(3,AQ450:AQ450)</f>
        <v>1</v>
      </c>
      <c r="AR451" s="13">
        <f>SUBTOTAL(3,AR450:AR450)</f>
        <v>1</v>
      </c>
      <c r="AU451" s="114"/>
    </row>
    <row r="452" spans="21:47" x14ac:dyDescent="0.4">
      <c r="U452" s="115"/>
      <c r="V452" s="115"/>
      <c r="W452" s="115"/>
      <c r="X452" s="115"/>
      <c r="Y452" s="115"/>
      <c r="Z452" s="122"/>
      <c r="AA452" s="122"/>
      <c r="AB452" s="122"/>
      <c r="AC452" s="115"/>
      <c r="AD452" s="115"/>
      <c r="AE452" s="115"/>
      <c r="AF452" s="115"/>
      <c r="AG452" s="115"/>
      <c r="AH452" s="115"/>
      <c r="AI452" s="115"/>
      <c r="AJ452" s="115"/>
      <c r="AK452" s="115"/>
      <c r="AL452" s="115"/>
      <c r="AM452" s="115"/>
      <c r="AN452" s="115"/>
      <c r="AO452" s="115"/>
      <c r="AP452" s="115"/>
      <c r="AQ452" s="26">
        <v>45299</v>
      </c>
      <c r="AR452" s="13" t="s">
        <v>164</v>
      </c>
      <c r="AU452" s="114"/>
    </row>
    <row r="453" spans="21:47" x14ac:dyDescent="0.4">
      <c r="U453" s="115"/>
      <c r="V453" s="115"/>
      <c r="W453" s="115"/>
      <c r="X453" s="115"/>
      <c r="Y453" s="115"/>
      <c r="Z453" s="122"/>
      <c r="AA453" s="122"/>
      <c r="AB453" s="122"/>
      <c r="AC453" s="115"/>
      <c r="AD453" s="115"/>
      <c r="AE453" s="115"/>
      <c r="AF453" s="115"/>
      <c r="AG453" s="115"/>
      <c r="AH453" s="115"/>
      <c r="AI453" s="115"/>
      <c r="AJ453" s="115"/>
      <c r="AK453" s="115"/>
      <c r="AL453" s="115"/>
      <c r="AM453" s="115"/>
      <c r="AN453" s="115"/>
      <c r="AO453" s="115"/>
      <c r="AP453" s="115"/>
      <c r="AQ453" s="26">
        <v>45299</v>
      </c>
      <c r="AR453" s="13" t="s">
        <v>162</v>
      </c>
      <c r="AU453" s="114"/>
    </row>
    <row r="454" spans="21:47" x14ac:dyDescent="0.4">
      <c r="U454" s="115"/>
      <c r="V454" s="115"/>
      <c r="W454" s="115"/>
      <c r="X454" s="115"/>
      <c r="Y454" s="115"/>
      <c r="Z454" s="122"/>
      <c r="AA454" s="122"/>
      <c r="AB454" s="122"/>
      <c r="AC454" s="115"/>
      <c r="AD454" s="115"/>
      <c r="AE454" s="115"/>
      <c r="AF454" s="115"/>
      <c r="AG454" s="115"/>
      <c r="AH454" s="115"/>
      <c r="AI454" s="115"/>
      <c r="AJ454" s="115"/>
      <c r="AK454" s="115"/>
      <c r="AL454" s="115"/>
      <c r="AM454" s="115"/>
      <c r="AN454" s="115"/>
      <c r="AO454" s="115"/>
      <c r="AP454" s="115"/>
      <c r="AQ454" s="26">
        <v>45299</v>
      </c>
      <c r="AR454" s="13" t="s">
        <v>162</v>
      </c>
      <c r="AU454" s="114"/>
    </row>
    <row r="455" spans="21:47" x14ac:dyDescent="0.4">
      <c r="U455" s="115"/>
      <c r="V455" s="115"/>
      <c r="W455" s="115"/>
      <c r="X455" s="115"/>
      <c r="Y455" s="115"/>
      <c r="Z455" s="122"/>
      <c r="AA455" s="122"/>
      <c r="AB455" s="122"/>
      <c r="AC455" s="115"/>
      <c r="AD455" s="115"/>
      <c r="AE455" s="115"/>
      <c r="AF455" s="115"/>
      <c r="AG455" s="115"/>
      <c r="AH455" s="115"/>
      <c r="AI455" s="115"/>
      <c r="AJ455" s="115"/>
      <c r="AK455" s="115"/>
      <c r="AL455" s="115"/>
      <c r="AM455" s="115"/>
      <c r="AN455" s="115"/>
      <c r="AO455" s="115"/>
      <c r="AP455" s="115"/>
      <c r="AQ455" s="26">
        <v>45299</v>
      </c>
      <c r="AR455" s="15" t="s">
        <v>162</v>
      </c>
      <c r="AU455" s="114"/>
    </row>
    <row r="456" spans="21:47" x14ac:dyDescent="0.4">
      <c r="U456" s="115"/>
      <c r="V456" s="115"/>
      <c r="W456" s="115"/>
      <c r="X456" s="115"/>
      <c r="Y456" s="115"/>
      <c r="Z456" s="122"/>
      <c r="AA456" s="122"/>
      <c r="AB456" s="122"/>
      <c r="AC456" s="115"/>
      <c r="AD456" s="115"/>
      <c r="AE456" s="115"/>
      <c r="AF456" s="115"/>
      <c r="AG456" s="115"/>
      <c r="AH456" s="115"/>
      <c r="AI456" s="115"/>
      <c r="AJ456" s="115"/>
      <c r="AK456" s="115"/>
      <c r="AL456" s="115"/>
      <c r="AM456" s="115"/>
      <c r="AN456" s="115"/>
      <c r="AO456" s="115"/>
      <c r="AP456" s="115" t="s">
        <v>173</v>
      </c>
      <c r="AQ456" s="17">
        <f>SUBTOTAL(3,AQ452:AQ455)</f>
        <v>4</v>
      </c>
      <c r="AR456" s="13">
        <f>SUBTOTAL(3,AR452:AR455)</f>
        <v>4</v>
      </c>
      <c r="AU456" s="114"/>
    </row>
    <row r="457" spans="21:47" x14ac:dyDescent="0.4">
      <c r="U457" s="115"/>
      <c r="V457" s="115"/>
      <c r="W457" s="115"/>
      <c r="X457" s="115"/>
      <c r="Y457" s="115"/>
      <c r="Z457" s="122"/>
      <c r="AA457" s="122"/>
      <c r="AB457" s="122"/>
      <c r="AC457" s="115"/>
      <c r="AD457" s="115"/>
      <c r="AE457" s="115"/>
      <c r="AF457" s="115"/>
      <c r="AG457" s="115"/>
      <c r="AH457" s="115"/>
      <c r="AI457" s="115"/>
      <c r="AJ457" s="115"/>
      <c r="AK457" s="115"/>
      <c r="AL457" s="115"/>
      <c r="AM457" s="115"/>
      <c r="AN457" s="115"/>
      <c r="AO457" s="115"/>
      <c r="AP457" s="115" t="s">
        <v>145</v>
      </c>
      <c r="AQ457" s="17">
        <f>SUBTOTAL(3,AQ2:AQ455)</f>
        <v>136</v>
      </c>
      <c r="AR457" s="13">
        <f>SUBTOTAL(3,AR2:AR455)</f>
        <v>136</v>
      </c>
      <c r="AU457" s="114"/>
    </row>
    <row r="458" spans="21:47" x14ac:dyDescent="0.4">
      <c r="U458" s="115"/>
      <c r="V458" s="115"/>
      <c r="W458" s="115"/>
      <c r="X458" s="115"/>
      <c r="Y458" s="115"/>
      <c r="Z458" s="122"/>
      <c r="AA458" s="122"/>
      <c r="AB458" s="122"/>
      <c r="AC458" s="115"/>
      <c r="AD458" s="115"/>
      <c r="AE458" s="115"/>
      <c r="AF458" s="115"/>
      <c r="AG458" s="115"/>
      <c r="AH458" s="115"/>
      <c r="AI458" s="115"/>
      <c r="AJ458" s="115"/>
      <c r="AK458" s="115"/>
      <c r="AL458" s="115"/>
      <c r="AM458" s="115"/>
      <c r="AN458" s="115" t="s">
        <v>145</v>
      </c>
      <c r="AO458" s="115"/>
      <c r="AP458" s="115"/>
      <c r="AQ458" s="26"/>
      <c r="AR458" s="13"/>
      <c r="AU458" s="114"/>
    </row>
    <row r="459" spans="21:47" x14ac:dyDescent="0.4">
      <c r="U459" s="115"/>
      <c r="V459" s="115"/>
      <c r="W459" s="115"/>
      <c r="X459" s="115"/>
      <c r="Y459" s="115"/>
      <c r="Z459" s="122"/>
      <c r="AA459" s="122"/>
      <c r="AB459" s="122"/>
      <c r="AC459" s="115"/>
      <c r="AD459" s="115"/>
      <c r="AE459" s="115"/>
      <c r="AF459" s="115"/>
      <c r="AG459" s="115"/>
      <c r="AH459" s="115"/>
      <c r="AI459" s="115"/>
      <c r="AJ459" s="115"/>
      <c r="AK459" s="115"/>
      <c r="AL459" s="115"/>
      <c r="AM459" s="115"/>
      <c r="AN459" s="115"/>
      <c r="AO459" s="115"/>
      <c r="AP459" s="115"/>
      <c r="AQ459" s="17"/>
      <c r="AR459" s="13"/>
      <c r="AU459" s="114"/>
    </row>
    <row r="460" spans="21:47" x14ac:dyDescent="0.4">
      <c r="U460" s="115"/>
      <c r="V460" s="115"/>
      <c r="W460" s="115"/>
      <c r="X460" s="115"/>
      <c r="Y460" s="115"/>
      <c r="Z460" s="122"/>
      <c r="AA460" s="122"/>
      <c r="AB460" s="122"/>
      <c r="AC460" s="115"/>
      <c r="AD460" s="115"/>
      <c r="AE460" s="115"/>
      <c r="AF460" s="115"/>
      <c r="AG460" s="115"/>
      <c r="AH460" s="115"/>
      <c r="AI460" s="115"/>
      <c r="AJ460" s="115"/>
      <c r="AK460" s="115"/>
      <c r="AL460" s="115"/>
      <c r="AM460" s="115"/>
      <c r="AN460" s="115"/>
      <c r="AO460" s="115"/>
      <c r="AP460" s="115"/>
      <c r="AQ460" s="26"/>
      <c r="AR460" s="13"/>
      <c r="AU460" s="114"/>
    </row>
    <row r="461" spans="21:47" x14ac:dyDescent="0.4">
      <c r="U461" s="115"/>
      <c r="V461" s="115"/>
      <c r="W461" s="115"/>
      <c r="X461" s="115"/>
      <c r="Y461" s="115"/>
      <c r="Z461" s="122"/>
      <c r="AA461" s="122"/>
      <c r="AB461" s="122"/>
      <c r="AC461" s="115"/>
      <c r="AD461" s="115"/>
      <c r="AE461" s="115"/>
      <c r="AF461" s="115"/>
      <c r="AG461" s="115"/>
      <c r="AH461" s="115"/>
      <c r="AI461" s="115"/>
      <c r="AJ461" s="115"/>
      <c r="AK461" s="115"/>
      <c r="AL461" s="115"/>
      <c r="AM461" s="115"/>
      <c r="AN461" s="115"/>
      <c r="AO461" s="115"/>
      <c r="AP461" s="115"/>
      <c r="AQ461" s="17"/>
      <c r="AR461" s="13"/>
      <c r="AU461" s="114"/>
    </row>
    <row r="462" spans="21:47" x14ac:dyDescent="0.4">
      <c r="U462" s="115"/>
      <c r="V462" s="115"/>
      <c r="W462" s="115"/>
      <c r="X462" s="115"/>
      <c r="Y462" s="115"/>
      <c r="Z462" s="122"/>
      <c r="AA462" s="122"/>
      <c r="AB462" s="122"/>
      <c r="AC462" s="115"/>
      <c r="AD462" s="115"/>
      <c r="AE462" s="115"/>
      <c r="AF462" s="115"/>
      <c r="AG462" s="115"/>
      <c r="AH462" s="115"/>
      <c r="AI462" s="115"/>
      <c r="AJ462" s="115"/>
      <c r="AK462" s="115"/>
      <c r="AL462" s="115"/>
      <c r="AM462" s="115"/>
      <c r="AN462" s="115"/>
      <c r="AO462" s="115"/>
      <c r="AP462" s="115"/>
      <c r="AQ462" s="26"/>
      <c r="AR462" s="13"/>
      <c r="AU462" s="114"/>
    </row>
    <row r="463" spans="21:47" x14ac:dyDescent="0.4">
      <c r="U463" s="115"/>
      <c r="V463" s="115"/>
      <c r="W463" s="115"/>
      <c r="X463" s="115"/>
      <c r="Y463" s="115"/>
      <c r="Z463" s="122"/>
      <c r="AA463" s="122"/>
      <c r="AB463" s="122"/>
      <c r="AC463" s="115"/>
      <c r="AD463" s="115"/>
      <c r="AE463" s="115"/>
      <c r="AF463" s="115"/>
      <c r="AG463" s="115"/>
      <c r="AH463" s="115"/>
      <c r="AI463" s="115"/>
      <c r="AJ463" s="115"/>
      <c r="AK463" s="115"/>
      <c r="AL463" s="115"/>
      <c r="AM463" s="115"/>
      <c r="AN463" s="115"/>
      <c r="AO463" s="115"/>
      <c r="AP463" s="115"/>
      <c r="AQ463" s="26"/>
      <c r="AR463" s="13"/>
      <c r="AU463" s="114"/>
    </row>
    <row r="464" spans="21:47" x14ac:dyDescent="0.4">
      <c r="U464" s="115"/>
      <c r="V464" s="115"/>
      <c r="W464" s="115"/>
      <c r="X464" s="115"/>
      <c r="Y464" s="115"/>
      <c r="Z464" s="122"/>
      <c r="AA464" s="122"/>
      <c r="AB464" s="122"/>
      <c r="AC464" s="115"/>
      <c r="AD464" s="115"/>
      <c r="AE464" s="115"/>
      <c r="AF464" s="115"/>
      <c r="AG464" s="115"/>
      <c r="AH464" s="115"/>
      <c r="AI464" s="115"/>
      <c r="AJ464" s="115"/>
      <c r="AK464" s="115"/>
      <c r="AL464" s="115"/>
      <c r="AM464" s="115"/>
      <c r="AN464" s="115"/>
      <c r="AO464" s="115"/>
      <c r="AP464" s="115"/>
      <c r="AQ464" s="26"/>
      <c r="AR464" s="13"/>
      <c r="AU464" s="114"/>
    </row>
    <row r="465" spans="21:47" x14ac:dyDescent="0.4">
      <c r="U465" s="115"/>
      <c r="V465" s="115"/>
      <c r="W465" s="115"/>
      <c r="X465" s="115"/>
      <c r="Y465" s="115"/>
      <c r="Z465" s="122"/>
      <c r="AA465" s="122"/>
      <c r="AB465" s="122"/>
      <c r="AC465" s="115"/>
      <c r="AD465" s="115"/>
      <c r="AE465" s="115"/>
      <c r="AF465" s="115"/>
      <c r="AG465" s="115"/>
      <c r="AH465" s="115"/>
      <c r="AI465" s="115"/>
      <c r="AJ465" s="115"/>
      <c r="AK465" s="115"/>
      <c r="AL465" s="115"/>
      <c r="AM465" s="115"/>
      <c r="AN465" s="115"/>
      <c r="AO465" s="115"/>
      <c r="AP465" s="115"/>
      <c r="AQ465" s="17"/>
      <c r="AR465" s="13"/>
      <c r="AU465" s="114"/>
    </row>
    <row r="466" spans="21:47" x14ac:dyDescent="0.4">
      <c r="U466" s="115"/>
      <c r="V466" s="115"/>
      <c r="W466" s="115"/>
      <c r="X466" s="115"/>
      <c r="Y466" s="115"/>
      <c r="Z466" s="122"/>
      <c r="AA466" s="122"/>
      <c r="AB466" s="122"/>
      <c r="AC466" s="115"/>
      <c r="AD466" s="115"/>
      <c r="AE466" s="115"/>
      <c r="AF466" s="115"/>
      <c r="AG466" s="115"/>
      <c r="AH466" s="115"/>
      <c r="AI466" s="115"/>
      <c r="AJ466" s="115"/>
      <c r="AK466" s="115"/>
      <c r="AL466" s="115"/>
      <c r="AM466" s="115"/>
      <c r="AN466" s="115"/>
      <c r="AO466" s="115"/>
      <c r="AP466" s="115"/>
      <c r="AQ466" s="26"/>
      <c r="AR466" s="13"/>
      <c r="AU466" s="114"/>
    </row>
    <row r="467" spans="21:47" x14ac:dyDescent="0.4">
      <c r="U467" s="115"/>
      <c r="V467" s="115"/>
      <c r="W467" s="115"/>
      <c r="X467" s="115"/>
      <c r="Y467" s="115"/>
      <c r="Z467" s="122"/>
      <c r="AA467" s="122"/>
      <c r="AB467" s="122"/>
      <c r="AC467" s="115"/>
      <c r="AD467" s="115"/>
      <c r="AE467" s="115"/>
      <c r="AF467" s="115"/>
      <c r="AG467" s="115"/>
      <c r="AH467" s="115"/>
      <c r="AI467" s="115"/>
      <c r="AJ467" s="115"/>
      <c r="AK467" s="115"/>
      <c r="AL467" s="115"/>
      <c r="AM467" s="115"/>
      <c r="AN467" s="115"/>
      <c r="AO467" s="115"/>
      <c r="AP467" s="115"/>
      <c r="AQ467" s="17"/>
      <c r="AR467" s="13"/>
      <c r="AU467" s="114"/>
    </row>
    <row r="468" spans="21:47" x14ac:dyDescent="0.4">
      <c r="U468" s="115"/>
      <c r="V468" s="115"/>
      <c r="W468" s="115"/>
      <c r="X468" s="115"/>
      <c r="Y468" s="115"/>
      <c r="Z468" s="122"/>
      <c r="AA468" s="122"/>
      <c r="AB468" s="122"/>
      <c r="AC468" s="115"/>
      <c r="AD468" s="115"/>
      <c r="AE468" s="115"/>
      <c r="AF468" s="115"/>
      <c r="AG468" s="115"/>
      <c r="AH468" s="115"/>
      <c r="AI468" s="115"/>
      <c r="AJ468" s="115"/>
      <c r="AK468" s="115"/>
      <c r="AL468" s="115"/>
      <c r="AM468" s="115"/>
      <c r="AN468" s="115"/>
      <c r="AO468" s="115"/>
      <c r="AP468" s="115"/>
      <c r="AQ468" s="26"/>
      <c r="AR468" s="13"/>
      <c r="AU468" s="114"/>
    </row>
    <row r="469" spans="21:47" x14ac:dyDescent="0.4">
      <c r="U469" s="115"/>
      <c r="V469" s="115"/>
      <c r="W469" s="115"/>
      <c r="X469" s="115"/>
      <c r="Y469" s="115"/>
      <c r="Z469" s="122"/>
      <c r="AA469" s="122"/>
      <c r="AB469" s="122"/>
      <c r="AC469" s="115"/>
      <c r="AD469" s="115"/>
      <c r="AE469" s="115"/>
      <c r="AF469" s="115"/>
      <c r="AG469" s="115"/>
      <c r="AH469" s="115"/>
      <c r="AI469" s="115"/>
      <c r="AJ469" s="115"/>
      <c r="AK469" s="115"/>
      <c r="AL469" s="115"/>
      <c r="AM469" s="115"/>
      <c r="AN469" s="115"/>
      <c r="AO469" s="115"/>
      <c r="AP469" s="115"/>
      <c r="AQ469" s="17"/>
      <c r="AR469" s="13"/>
      <c r="AU469" s="114"/>
    </row>
    <row r="470" spans="21:47" x14ac:dyDescent="0.4">
      <c r="U470" s="115"/>
      <c r="V470" s="115"/>
      <c r="W470" s="115"/>
      <c r="X470" s="115"/>
      <c r="Y470" s="115"/>
      <c r="Z470" s="122"/>
      <c r="AA470" s="122"/>
      <c r="AB470" s="122"/>
      <c r="AC470" s="115"/>
      <c r="AD470" s="115"/>
      <c r="AE470" s="115"/>
      <c r="AF470" s="115"/>
      <c r="AG470" s="115"/>
      <c r="AH470" s="115"/>
      <c r="AI470" s="115"/>
      <c r="AJ470" s="115"/>
      <c r="AK470" s="115"/>
      <c r="AL470" s="115"/>
      <c r="AM470" s="115"/>
      <c r="AN470" s="115"/>
      <c r="AO470" s="115"/>
      <c r="AP470" s="115"/>
      <c r="AQ470" s="17"/>
      <c r="AR470" s="13"/>
      <c r="AU470" s="114"/>
    </row>
    <row r="471" spans="21:47" x14ac:dyDescent="0.4">
      <c r="U471" s="115"/>
      <c r="V471" s="115"/>
      <c r="W471" s="115"/>
      <c r="X471" s="115"/>
      <c r="Y471" s="115"/>
      <c r="Z471" s="122"/>
      <c r="AA471" s="122"/>
      <c r="AB471" s="122"/>
      <c r="AC471" s="115"/>
      <c r="AD471" s="115"/>
      <c r="AE471" s="115"/>
      <c r="AF471" s="115"/>
      <c r="AG471" s="115"/>
      <c r="AH471" s="115"/>
      <c r="AI471" s="115"/>
      <c r="AJ471" s="115"/>
      <c r="AK471" s="115"/>
      <c r="AL471" s="115"/>
      <c r="AM471" s="115"/>
      <c r="AN471" s="115"/>
      <c r="AO471" s="115"/>
      <c r="AP471" s="115"/>
      <c r="AQ471" s="17"/>
      <c r="AR471" s="13"/>
      <c r="AU471" s="114"/>
    </row>
    <row r="472" spans="21:47" x14ac:dyDescent="0.4">
      <c r="U472" s="115"/>
      <c r="V472" s="115"/>
      <c r="W472" s="115"/>
      <c r="X472" s="115"/>
      <c r="Y472" s="115"/>
      <c r="Z472" s="122"/>
      <c r="AA472" s="122"/>
      <c r="AB472" s="122"/>
      <c r="AC472" s="115"/>
      <c r="AD472" s="115"/>
      <c r="AE472" s="115"/>
      <c r="AF472" s="115"/>
      <c r="AG472" s="115"/>
      <c r="AH472" s="115"/>
      <c r="AI472" s="115"/>
      <c r="AJ472" s="115"/>
      <c r="AK472" s="115"/>
      <c r="AL472" s="115"/>
      <c r="AM472" s="115"/>
      <c r="AN472" s="115"/>
      <c r="AO472" s="115"/>
      <c r="AP472" s="115"/>
      <c r="AQ472" s="26"/>
      <c r="AR472" s="13"/>
      <c r="AU472" s="114"/>
    </row>
    <row r="473" spans="21:47" x14ac:dyDescent="0.4">
      <c r="U473" s="115"/>
      <c r="V473" s="115"/>
      <c r="W473" s="115"/>
      <c r="X473" s="115"/>
      <c r="Y473" s="115"/>
      <c r="Z473" s="122"/>
      <c r="AA473" s="122"/>
      <c r="AB473" s="122"/>
      <c r="AC473" s="115"/>
      <c r="AD473" s="115"/>
      <c r="AE473" s="115"/>
      <c r="AF473" s="115"/>
      <c r="AG473" s="115"/>
      <c r="AH473" s="115"/>
      <c r="AI473" s="115"/>
      <c r="AJ473" s="115"/>
      <c r="AK473" s="115"/>
      <c r="AL473" s="115"/>
      <c r="AM473" s="115"/>
      <c r="AN473" s="115"/>
      <c r="AO473" s="115"/>
      <c r="AP473" s="115"/>
      <c r="AQ473" s="17"/>
      <c r="AR473" s="13"/>
      <c r="AU473" s="114"/>
    </row>
    <row r="474" spans="21:47" x14ac:dyDescent="0.4">
      <c r="U474" s="115"/>
      <c r="V474" s="115"/>
      <c r="W474" s="115"/>
      <c r="X474" s="115"/>
      <c r="Y474" s="115"/>
      <c r="Z474" s="122"/>
      <c r="AA474" s="122"/>
      <c r="AB474" s="122"/>
      <c r="AC474" s="115"/>
      <c r="AD474" s="115"/>
      <c r="AE474" s="115"/>
      <c r="AF474" s="115"/>
      <c r="AG474" s="115"/>
      <c r="AH474" s="115"/>
      <c r="AI474" s="115"/>
      <c r="AJ474" s="115"/>
      <c r="AK474" s="115"/>
      <c r="AL474" s="115"/>
      <c r="AM474" s="115"/>
      <c r="AN474" s="115"/>
      <c r="AO474" s="115"/>
      <c r="AP474" s="115"/>
      <c r="AQ474" s="26"/>
      <c r="AR474" s="13"/>
      <c r="AU474" s="114"/>
    </row>
    <row r="475" spans="21:47" x14ac:dyDescent="0.4">
      <c r="U475" s="115"/>
      <c r="V475" s="115"/>
      <c r="W475" s="115"/>
      <c r="X475" s="115"/>
      <c r="Y475" s="115"/>
      <c r="Z475" s="122"/>
      <c r="AA475" s="122"/>
      <c r="AB475" s="122"/>
      <c r="AC475" s="115"/>
      <c r="AD475" s="115"/>
      <c r="AE475" s="115"/>
      <c r="AF475" s="115"/>
      <c r="AG475" s="115"/>
      <c r="AH475" s="115"/>
      <c r="AI475" s="115"/>
      <c r="AJ475" s="115"/>
      <c r="AK475" s="115"/>
      <c r="AL475" s="115"/>
      <c r="AM475" s="115"/>
      <c r="AN475" s="115"/>
      <c r="AO475" s="115"/>
      <c r="AP475" s="115"/>
      <c r="AQ475" s="17"/>
      <c r="AR475" s="13"/>
      <c r="AU475" s="114"/>
    </row>
    <row r="476" spans="21:47" x14ac:dyDescent="0.4">
      <c r="U476" s="115"/>
      <c r="V476" s="115"/>
      <c r="W476" s="115"/>
      <c r="X476" s="115"/>
      <c r="Y476" s="115"/>
      <c r="Z476" s="122"/>
      <c r="AA476" s="122"/>
      <c r="AB476" s="122"/>
      <c r="AC476" s="115"/>
      <c r="AD476" s="115"/>
      <c r="AE476" s="115"/>
      <c r="AF476" s="115"/>
      <c r="AG476" s="115"/>
      <c r="AH476" s="115"/>
      <c r="AI476" s="115"/>
      <c r="AJ476" s="115"/>
      <c r="AK476" s="115"/>
      <c r="AL476" s="115"/>
      <c r="AM476" s="115"/>
      <c r="AN476" s="115"/>
      <c r="AO476" s="115"/>
      <c r="AP476" s="115"/>
      <c r="AQ476" s="26"/>
      <c r="AR476" s="25"/>
      <c r="AU476" s="114"/>
    </row>
    <row r="477" spans="21:47" x14ac:dyDescent="0.4">
      <c r="U477" s="115"/>
      <c r="V477" s="115"/>
      <c r="W477" s="115"/>
      <c r="X477" s="115"/>
      <c r="Y477" s="115"/>
      <c r="Z477" s="122"/>
      <c r="AA477" s="122"/>
      <c r="AB477" s="122"/>
      <c r="AC477" s="115"/>
      <c r="AD477" s="115"/>
      <c r="AE477" s="115"/>
      <c r="AF477" s="115"/>
      <c r="AG477" s="115"/>
      <c r="AH477" s="115"/>
      <c r="AI477" s="115"/>
      <c r="AJ477" s="115"/>
      <c r="AK477" s="115"/>
      <c r="AL477" s="115"/>
      <c r="AM477" s="115"/>
      <c r="AN477" s="115"/>
      <c r="AO477" s="115"/>
      <c r="AP477" s="115"/>
      <c r="AQ477" s="17"/>
      <c r="AR477" s="13"/>
      <c r="AU477" s="114"/>
    </row>
    <row r="478" spans="21:47" x14ac:dyDescent="0.4">
      <c r="U478" s="115"/>
      <c r="V478" s="115"/>
      <c r="W478" s="115"/>
      <c r="X478" s="115"/>
      <c r="Y478" s="115"/>
      <c r="Z478" s="122"/>
      <c r="AA478" s="122"/>
      <c r="AB478" s="122"/>
      <c r="AC478" s="115"/>
      <c r="AD478" s="115"/>
      <c r="AE478" s="115"/>
      <c r="AF478" s="115"/>
      <c r="AG478" s="115"/>
      <c r="AH478" s="115"/>
      <c r="AI478" s="115"/>
      <c r="AJ478" s="115"/>
      <c r="AK478" s="115"/>
      <c r="AL478" s="115"/>
      <c r="AM478" s="115"/>
      <c r="AN478" s="115"/>
      <c r="AO478" s="115"/>
      <c r="AP478" s="115"/>
      <c r="AQ478" s="17"/>
      <c r="AR478" s="13"/>
      <c r="AU478" s="114"/>
    </row>
    <row r="479" spans="21:47" x14ac:dyDescent="0.4">
      <c r="U479" s="115"/>
      <c r="V479" s="115"/>
      <c r="W479" s="115"/>
      <c r="X479" s="115"/>
      <c r="Y479" s="115"/>
      <c r="Z479" s="122"/>
      <c r="AA479" s="122"/>
      <c r="AB479" s="122"/>
      <c r="AC479" s="115"/>
      <c r="AD479" s="115"/>
      <c r="AE479" s="115"/>
      <c r="AF479" s="115"/>
      <c r="AG479" s="115"/>
      <c r="AH479" s="115"/>
      <c r="AI479" s="115"/>
      <c r="AJ479" s="115"/>
      <c r="AK479" s="115"/>
      <c r="AL479" s="115"/>
      <c r="AM479" s="115"/>
      <c r="AN479" s="115"/>
      <c r="AO479" s="115"/>
      <c r="AP479" s="115"/>
      <c r="AQ479" s="26"/>
      <c r="AR479" s="15"/>
      <c r="AU479" s="114"/>
    </row>
    <row r="480" spans="21:47" x14ac:dyDescent="0.4">
      <c r="U480" s="115"/>
      <c r="V480" s="115"/>
      <c r="W480" s="115"/>
      <c r="X480" s="115"/>
      <c r="Y480" s="115"/>
      <c r="Z480" s="122"/>
      <c r="AA480" s="122"/>
      <c r="AB480" s="122"/>
      <c r="AC480" s="115"/>
      <c r="AD480" s="115"/>
      <c r="AE480" s="115"/>
      <c r="AF480" s="115"/>
      <c r="AG480" s="115"/>
      <c r="AH480" s="115"/>
      <c r="AI480" s="115"/>
      <c r="AJ480" s="115"/>
      <c r="AK480" s="115"/>
      <c r="AL480" s="115"/>
      <c r="AM480" s="115"/>
      <c r="AN480" s="115"/>
      <c r="AO480" s="115"/>
      <c r="AP480" s="115"/>
      <c r="AQ480" s="26"/>
      <c r="AR480" s="15"/>
      <c r="AU480" s="114"/>
    </row>
    <row r="481" spans="21:47" x14ac:dyDescent="0.4">
      <c r="U481" s="115"/>
      <c r="V481" s="115"/>
      <c r="W481" s="115"/>
      <c r="X481" s="115"/>
      <c r="Y481" s="115"/>
      <c r="Z481" s="122"/>
      <c r="AA481" s="122"/>
      <c r="AB481" s="122"/>
      <c r="AC481" s="115"/>
      <c r="AD481" s="115"/>
      <c r="AE481" s="115"/>
      <c r="AF481" s="115"/>
      <c r="AG481" s="115"/>
      <c r="AH481" s="115"/>
      <c r="AI481" s="115"/>
      <c r="AJ481" s="115"/>
      <c r="AK481" s="115"/>
      <c r="AL481" s="115"/>
      <c r="AM481" s="115"/>
      <c r="AN481" s="115"/>
      <c r="AO481" s="115"/>
      <c r="AP481" s="115"/>
      <c r="AQ481" s="26"/>
      <c r="AR481" s="15"/>
      <c r="AU481" s="114"/>
    </row>
    <row r="482" spans="21:47" x14ac:dyDescent="0.4">
      <c r="U482" s="115"/>
      <c r="V482" s="115"/>
      <c r="W482" s="115"/>
      <c r="X482" s="115"/>
      <c r="Y482" s="115"/>
      <c r="Z482" s="122"/>
      <c r="AA482" s="122"/>
      <c r="AB482" s="122"/>
      <c r="AC482" s="115"/>
      <c r="AD482" s="115"/>
      <c r="AE482" s="115"/>
      <c r="AF482" s="115"/>
      <c r="AG482" s="115"/>
      <c r="AH482" s="115"/>
      <c r="AI482" s="115"/>
      <c r="AJ482" s="115"/>
      <c r="AK482" s="115"/>
      <c r="AL482" s="115"/>
      <c r="AM482" s="115"/>
      <c r="AN482" s="115"/>
      <c r="AO482" s="115"/>
      <c r="AP482" s="115"/>
      <c r="AQ482" s="26"/>
      <c r="AR482" s="15"/>
      <c r="AU482" s="114"/>
    </row>
    <row r="483" spans="21:47" x14ac:dyDescent="0.4">
      <c r="U483" s="115"/>
      <c r="V483" s="115"/>
      <c r="W483" s="115"/>
      <c r="X483" s="115"/>
      <c r="Y483" s="115"/>
      <c r="Z483" s="122"/>
      <c r="AA483" s="122"/>
      <c r="AB483" s="122"/>
      <c r="AC483" s="115"/>
      <c r="AD483" s="115"/>
      <c r="AE483" s="115"/>
      <c r="AF483" s="115"/>
      <c r="AG483" s="115"/>
      <c r="AH483" s="115"/>
      <c r="AI483" s="115"/>
      <c r="AJ483" s="115"/>
      <c r="AK483" s="115"/>
      <c r="AL483" s="115"/>
      <c r="AM483" s="115"/>
      <c r="AN483" s="115"/>
      <c r="AO483" s="115"/>
      <c r="AP483" s="115"/>
      <c r="AQ483" s="26"/>
      <c r="AR483" s="15"/>
      <c r="AU483" s="114"/>
    </row>
    <row r="484" spans="21:47" x14ac:dyDescent="0.4">
      <c r="U484" s="115"/>
      <c r="V484" s="115"/>
      <c r="W484" s="115"/>
      <c r="X484" s="115"/>
      <c r="Y484" s="115"/>
      <c r="Z484" s="122"/>
      <c r="AA484" s="122"/>
      <c r="AB484" s="122"/>
      <c r="AC484" s="115"/>
      <c r="AD484" s="115"/>
      <c r="AE484" s="115"/>
      <c r="AF484" s="115"/>
      <c r="AG484" s="115"/>
      <c r="AH484" s="115"/>
      <c r="AI484" s="115"/>
      <c r="AJ484" s="115"/>
      <c r="AK484" s="115"/>
      <c r="AL484" s="115"/>
      <c r="AM484" s="115"/>
      <c r="AN484" s="115"/>
      <c r="AO484" s="115"/>
      <c r="AP484" s="115"/>
      <c r="AQ484" s="26"/>
      <c r="AR484" s="15"/>
      <c r="AU484" s="114"/>
    </row>
    <row r="485" spans="21:47" x14ac:dyDescent="0.4">
      <c r="U485" s="115"/>
      <c r="V485" s="115"/>
      <c r="W485" s="115"/>
      <c r="X485" s="115"/>
      <c r="Y485" s="115"/>
      <c r="Z485" s="122"/>
      <c r="AA485" s="122"/>
      <c r="AB485" s="122"/>
      <c r="AC485" s="115"/>
      <c r="AD485" s="115"/>
      <c r="AE485" s="115"/>
      <c r="AF485" s="115"/>
      <c r="AG485" s="115"/>
      <c r="AH485" s="115"/>
      <c r="AI485" s="115"/>
      <c r="AJ485" s="115"/>
      <c r="AK485" s="115"/>
      <c r="AL485" s="115"/>
      <c r="AM485" s="115"/>
      <c r="AN485" s="115"/>
      <c r="AO485" s="115"/>
      <c r="AP485" s="115"/>
      <c r="AQ485" s="26"/>
      <c r="AR485" s="15"/>
      <c r="AU485" s="114"/>
    </row>
    <row r="486" spans="21:47" x14ac:dyDescent="0.4">
      <c r="U486" s="115"/>
      <c r="V486" s="115"/>
      <c r="W486" s="115"/>
      <c r="X486" s="115"/>
      <c r="Y486" s="115"/>
      <c r="Z486" s="122"/>
      <c r="AA486" s="122"/>
      <c r="AB486" s="122"/>
      <c r="AC486" s="115"/>
      <c r="AD486" s="115"/>
      <c r="AE486" s="115"/>
      <c r="AF486" s="115"/>
      <c r="AG486" s="115"/>
      <c r="AH486" s="115"/>
      <c r="AI486" s="115"/>
      <c r="AJ486" s="115"/>
      <c r="AK486" s="115"/>
      <c r="AL486" s="115"/>
      <c r="AM486" s="115"/>
      <c r="AN486" s="115"/>
      <c r="AO486" s="115"/>
      <c r="AP486" s="115"/>
      <c r="AQ486" s="26"/>
      <c r="AR486" s="15"/>
      <c r="AU486" s="114"/>
    </row>
    <row r="487" spans="21:47" x14ac:dyDescent="0.4">
      <c r="U487" s="115"/>
      <c r="V487" s="115"/>
      <c r="W487" s="115"/>
      <c r="X487" s="115"/>
      <c r="Y487" s="115"/>
      <c r="Z487" s="122"/>
      <c r="AA487" s="122"/>
      <c r="AB487" s="122"/>
      <c r="AC487" s="115"/>
      <c r="AD487" s="115"/>
      <c r="AE487" s="115"/>
      <c r="AF487" s="115"/>
      <c r="AG487" s="115"/>
      <c r="AH487" s="115"/>
      <c r="AI487" s="115"/>
      <c r="AJ487" s="115"/>
      <c r="AK487" s="115"/>
      <c r="AL487" s="115"/>
      <c r="AM487" s="115"/>
      <c r="AN487" s="115"/>
      <c r="AO487" s="115"/>
      <c r="AP487" s="115"/>
      <c r="AQ487" s="17"/>
      <c r="AR487" s="15"/>
      <c r="AU487" s="114"/>
    </row>
    <row r="488" spans="21:47" x14ac:dyDescent="0.4">
      <c r="U488" s="115"/>
      <c r="V488" s="115"/>
      <c r="W488" s="115"/>
      <c r="X488" s="115"/>
      <c r="Y488" s="115"/>
      <c r="Z488" s="122"/>
      <c r="AA488" s="122"/>
      <c r="AB488" s="122"/>
      <c r="AC488" s="115"/>
      <c r="AD488" s="115"/>
      <c r="AE488" s="115"/>
      <c r="AF488" s="115"/>
      <c r="AG488" s="115"/>
      <c r="AH488" s="115"/>
      <c r="AI488" s="115"/>
      <c r="AJ488" s="115"/>
      <c r="AK488" s="115"/>
      <c r="AL488" s="115"/>
      <c r="AM488" s="115"/>
      <c r="AN488" s="115"/>
      <c r="AO488" s="115"/>
      <c r="AP488" s="115"/>
      <c r="AQ488" s="26"/>
      <c r="AR488" s="15"/>
      <c r="AU488" s="114"/>
    </row>
    <row r="489" spans="21:47" x14ac:dyDescent="0.4">
      <c r="U489" s="115"/>
      <c r="V489" s="115"/>
      <c r="W489" s="115"/>
      <c r="X489" s="115"/>
      <c r="Y489" s="115"/>
      <c r="Z489" s="122"/>
      <c r="AA489" s="122"/>
      <c r="AB489" s="122"/>
      <c r="AC489" s="115"/>
      <c r="AD489" s="115"/>
      <c r="AE489" s="115"/>
      <c r="AF489" s="115"/>
      <c r="AG489" s="115"/>
      <c r="AH489" s="115"/>
      <c r="AI489" s="115"/>
      <c r="AJ489" s="115"/>
      <c r="AK489" s="115"/>
      <c r="AL489" s="115"/>
      <c r="AM489" s="115"/>
      <c r="AN489" s="115"/>
      <c r="AO489" s="115"/>
      <c r="AP489" s="115"/>
      <c r="AQ489" s="26"/>
      <c r="AR489" s="13"/>
      <c r="AU489" s="114"/>
    </row>
    <row r="490" spans="21:47" x14ac:dyDescent="0.4">
      <c r="U490" s="115"/>
      <c r="V490" s="115"/>
      <c r="W490" s="115"/>
      <c r="X490" s="115"/>
      <c r="Y490" s="115"/>
      <c r="Z490" s="122"/>
      <c r="AA490" s="122"/>
      <c r="AB490" s="122"/>
      <c r="AC490" s="115"/>
      <c r="AD490" s="115"/>
      <c r="AE490" s="115"/>
      <c r="AF490" s="115"/>
      <c r="AG490" s="115"/>
      <c r="AH490" s="115"/>
      <c r="AI490" s="115"/>
      <c r="AJ490" s="115"/>
      <c r="AK490" s="115"/>
      <c r="AL490" s="115"/>
      <c r="AM490" s="115"/>
      <c r="AN490" s="115"/>
      <c r="AO490" s="115"/>
      <c r="AP490" s="115"/>
      <c r="AQ490" s="26"/>
      <c r="AR490" s="13"/>
      <c r="AU490" s="114"/>
    </row>
    <row r="491" spans="21:47" x14ac:dyDescent="0.4">
      <c r="U491" s="115"/>
      <c r="V491" s="115"/>
      <c r="W491" s="115"/>
      <c r="X491" s="115"/>
      <c r="Y491" s="115"/>
      <c r="Z491" s="122"/>
      <c r="AA491" s="122"/>
      <c r="AB491" s="122"/>
      <c r="AC491" s="115"/>
      <c r="AD491" s="115"/>
      <c r="AE491" s="115"/>
      <c r="AF491" s="115"/>
      <c r="AG491" s="115"/>
      <c r="AH491" s="115"/>
      <c r="AI491" s="115"/>
      <c r="AJ491" s="115"/>
      <c r="AK491" s="115"/>
      <c r="AL491" s="115"/>
      <c r="AM491" s="115"/>
      <c r="AN491" s="115"/>
      <c r="AO491" s="115"/>
      <c r="AP491" s="115"/>
      <c r="AQ491" s="26"/>
      <c r="AR491" s="13"/>
      <c r="AU491" s="114"/>
    </row>
    <row r="492" spans="21:47" x14ac:dyDescent="0.4">
      <c r="U492" s="115"/>
      <c r="V492" s="115"/>
      <c r="W492" s="115"/>
      <c r="X492" s="115"/>
      <c r="Y492" s="115"/>
      <c r="Z492" s="122"/>
      <c r="AA492" s="122"/>
      <c r="AB492" s="122"/>
      <c r="AC492" s="115"/>
      <c r="AD492" s="115"/>
      <c r="AE492" s="115"/>
      <c r="AF492" s="115"/>
      <c r="AG492" s="115"/>
      <c r="AH492" s="115"/>
      <c r="AI492" s="115"/>
      <c r="AJ492" s="115"/>
      <c r="AK492" s="115"/>
      <c r="AL492" s="115"/>
      <c r="AM492" s="115"/>
      <c r="AN492" s="115"/>
      <c r="AO492" s="115"/>
      <c r="AP492" s="115"/>
      <c r="AQ492" s="26"/>
      <c r="AR492" s="13"/>
      <c r="AU492" s="114"/>
    </row>
    <row r="493" spans="21:47" x14ac:dyDescent="0.4">
      <c r="U493" s="115"/>
      <c r="V493" s="115"/>
      <c r="W493" s="115"/>
      <c r="X493" s="115"/>
      <c r="Y493" s="115"/>
      <c r="Z493" s="122"/>
      <c r="AA493" s="122"/>
      <c r="AB493" s="122"/>
      <c r="AC493" s="115"/>
      <c r="AD493" s="115"/>
      <c r="AE493" s="115"/>
      <c r="AF493" s="115"/>
      <c r="AG493" s="115"/>
      <c r="AH493" s="115"/>
      <c r="AI493" s="115"/>
      <c r="AJ493" s="115"/>
      <c r="AK493" s="115"/>
      <c r="AL493" s="115"/>
      <c r="AM493" s="115"/>
      <c r="AN493" s="115"/>
      <c r="AO493" s="115"/>
      <c r="AP493" s="115"/>
      <c r="AQ493" s="26"/>
      <c r="AR493" s="13"/>
      <c r="AU493" s="114"/>
    </row>
    <row r="494" spans="21:47" x14ac:dyDescent="0.4">
      <c r="U494" s="115"/>
      <c r="V494" s="115"/>
      <c r="W494" s="115"/>
      <c r="X494" s="115"/>
      <c r="Y494" s="115"/>
      <c r="Z494" s="122"/>
      <c r="AA494" s="122"/>
      <c r="AB494" s="122"/>
      <c r="AC494" s="115"/>
      <c r="AD494" s="115"/>
      <c r="AE494" s="115"/>
      <c r="AF494" s="115"/>
      <c r="AG494" s="115"/>
      <c r="AH494" s="115"/>
      <c r="AI494" s="115"/>
      <c r="AJ494" s="115"/>
      <c r="AK494" s="115"/>
      <c r="AL494" s="115"/>
      <c r="AM494" s="115"/>
      <c r="AN494" s="115"/>
      <c r="AO494" s="115"/>
      <c r="AP494" s="115"/>
      <c r="AQ494" s="26"/>
      <c r="AR494" s="13"/>
      <c r="AU494" s="114"/>
    </row>
    <row r="495" spans="21:47" x14ac:dyDescent="0.4">
      <c r="U495" s="115"/>
      <c r="V495" s="115"/>
      <c r="W495" s="115"/>
      <c r="X495" s="115"/>
      <c r="Y495" s="115"/>
      <c r="Z495" s="122"/>
      <c r="AA495" s="122"/>
      <c r="AB495" s="122"/>
      <c r="AC495" s="115"/>
      <c r="AD495" s="115"/>
      <c r="AE495" s="115"/>
      <c r="AF495" s="115"/>
      <c r="AG495" s="115"/>
      <c r="AH495" s="115"/>
      <c r="AI495" s="115"/>
      <c r="AJ495" s="115"/>
      <c r="AK495" s="115"/>
      <c r="AL495" s="115"/>
      <c r="AM495" s="115"/>
      <c r="AN495" s="115"/>
      <c r="AO495" s="115"/>
      <c r="AP495" s="115"/>
      <c r="AQ495" s="26"/>
      <c r="AR495" s="13"/>
      <c r="AU495" s="114"/>
    </row>
    <row r="496" spans="21:47" x14ac:dyDescent="0.4">
      <c r="U496" s="115"/>
      <c r="V496" s="115"/>
      <c r="W496" s="115"/>
      <c r="X496" s="115"/>
      <c r="Y496" s="115"/>
      <c r="Z496" s="122"/>
      <c r="AA496" s="122"/>
      <c r="AB496" s="122"/>
      <c r="AC496" s="115"/>
      <c r="AD496" s="115"/>
      <c r="AE496" s="115"/>
      <c r="AF496" s="115"/>
      <c r="AG496" s="115"/>
      <c r="AH496" s="115"/>
      <c r="AI496" s="115"/>
      <c r="AJ496" s="115"/>
      <c r="AK496" s="115"/>
      <c r="AL496" s="115"/>
      <c r="AM496" s="115"/>
      <c r="AN496" s="115"/>
      <c r="AO496" s="115"/>
      <c r="AP496" s="115"/>
      <c r="AQ496" s="26"/>
      <c r="AR496" s="13"/>
      <c r="AU496" s="114"/>
    </row>
    <row r="497" spans="20:47" x14ac:dyDescent="0.4">
      <c r="U497" s="115"/>
      <c r="V497" s="115"/>
      <c r="W497" s="115"/>
      <c r="X497" s="115"/>
      <c r="Y497" s="115"/>
      <c r="Z497" s="122"/>
      <c r="AA497" s="122"/>
      <c r="AB497" s="122"/>
      <c r="AC497" s="115"/>
      <c r="AD497" s="115"/>
      <c r="AE497" s="115"/>
      <c r="AF497" s="115"/>
      <c r="AG497" s="115"/>
      <c r="AH497" s="115"/>
      <c r="AI497" s="115"/>
      <c r="AJ497" s="115"/>
      <c r="AK497" s="115"/>
      <c r="AL497" s="115"/>
      <c r="AM497" s="115"/>
      <c r="AN497" s="115"/>
      <c r="AO497" s="115"/>
      <c r="AP497" s="115"/>
      <c r="AQ497" s="26"/>
      <c r="AR497" s="13"/>
      <c r="AU497" s="114"/>
    </row>
    <row r="498" spans="20:47" x14ac:dyDescent="0.4">
      <c r="U498" s="115"/>
      <c r="V498" s="115"/>
      <c r="W498" s="115"/>
      <c r="X498" s="115"/>
      <c r="Y498" s="115"/>
      <c r="Z498" s="122"/>
      <c r="AA498" s="122"/>
      <c r="AB498" s="122"/>
      <c r="AC498" s="115"/>
      <c r="AD498" s="115"/>
      <c r="AE498" s="115"/>
      <c r="AF498" s="115"/>
      <c r="AG498" s="115"/>
      <c r="AH498" s="115"/>
      <c r="AI498" s="115"/>
      <c r="AJ498" s="115"/>
      <c r="AK498" s="115"/>
      <c r="AL498" s="115"/>
      <c r="AM498" s="115"/>
      <c r="AN498" s="115"/>
      <c r="AO498" s="115"/>
      <c r="AP498" s="115"/>
      <c r="AQ498" s="26"/>
      <c r="AR498" s="13"/>
      <c r="AU498" s="114"/>
    </row>
    <row r="499" spans="20:47" x14ac:dyDescent="0.4">
      <c r="U499" s="115"/>
      <c r="V499" s="115"/>
      <c r="W499" s="115"/>
      <c r="X499" s="115"/>
      <c r="Y499" s="115"/>
      <c r="Z499" s="122"/>
      <c r="AA499" s="122"/>
      <c r="AB499" s="122"/>
      <c r="AC499" s="115"/>
      <c r="AD499" s="115"/>
      <c r="AE499" s="115"/>
      <c r="AF499" s="115"/>
      <c r="AG499" s="115"/>
      <c r="AH499" s="115"/>
      <c r="AI499" s="115"/>
      <c r="AJ499" s="115"/>
      <c r="AK499" s="115"/>
      <c r="AL499" s="115"/>
      <c r="AM499" s="115"/>
      <c r="AN499" s="115"/>
      <c r="AO499" s="115"/>
      <c r="AP499" s="115"/>
      <c r="AQ499" s="26"/>
      <c r="AR499" s="13"/>
      <c r="AU499" s="114"/>
    </row>
    <row r="500" spans="20:47" x14ac:dyDescent="0.4">
      <c r="U500" s="115"/>
      <c r="V500" s="115"/>
      <c r="W500" s="115"/>
      <c r="X500" s="115"/>
      <c r="Y500" s="115"/>
      <c r="Z500" s="122"/>
      <c r="AA500" s="122"/>
      <c r="AB500" s="122"/>
      <c r="AC500" s="115"/>
      <c r="AD500" s="115"/>
      <c r="AE500" s="115"/>
      <c r="AF500" s="115"/>
      <c r="AG500" s="115"/>
      <c r="AH500" s="115"/>
      <c r="AI500" s="115"/>
      <c r="AJ500" s="115"/>
      <c r="AK500" s="115"/>
      <c r="AL500" s="115"/>
      <c r="AM500" s="115"/>
      <c r="AN500" s="115"/>
      <c r="AO500" s="115"/>
      <c r="AP500" s="115"/>
      <c r="AQ500" s="17"/>
      <c r="AR500" s="13"/>
      <c r="AU500" s="114"/>
    </row>
    <row r="501" spans="20:47" x14ac:dyDescent="0.4">
      <c r="U501" s="115"/>
      <c r="V501" s="115"/>
      <c r="W501" s="115"/>
      <c r="X501" s="115"/>
      <c r="Y501" s="115"/>
      <c r="Z501" s="122"/>
      <c r="AA501" s="122"/>
      <c r="AB501" s="122"/>
      <c r="AC501" s="115"/>
      <c r="AD501" s="115"/>
      <c r="AE501" s="115"/>
      <c r="AF501" s="115"/>
      <c r="AG501" s="115"/>
      <c r="AH501" s="115"/>
      <c r="AI501" s="115"/>
      <c r="AJ501" s="115"/>
      <c r="AK501" s="115"/>
      <c r="AL501" s="115"/>
      <c r="AM501" s="115"/>
      <c r="AN501" s="115"/>
      <c r="AO501" s="115"/>
      <c r="AP501" s="115"/>
      <c r="AQ501" s="26"/>
      <c r="AR501" s="13"/>
      <c r="AU501" s="114"/>
    </row>
    <row r="502" spans="20:47" x14ac:dyDescent="0.4">
      <c r="U502" s="115"/>
      <c r="V502" s="115"/>
      <c r="W502" s="115"/>
      <c r="X502" s="115"/>
      <c r="Y502" s="115"/>
      <c r="Z502" s="122"/>
      <c r="AA502" s="122"/>
      <c r="AB502" s="122"/>
      <c r="AC502" s="115"/>
      <c r="AD502" s="115"/>
      <c r="AE502" s="115"/>
      <c r="AF502" s="115"/>
      <c r="AG502" s="115"/>
      <c r="AH502" s="115"/>
      <c r="AI502" s="115"/>
      <c r="AJ502" s="115"/>
      <c r="AK502" s="115"/>
      <c r="AL502" s="115"/>
      <c r="AM502" s="115"/>
      <c r="AN502" s="115"/>
      <c r="AO502" s="115"/>
      <c r="AP502" s="115"/>
      <c r="AQ502" s="26"/>
      <c r="AR502" s="13"/>
      <c r="AU502" s="114"/>
    </row>
    <row r="503" spans="20:47" x14ac:dyDescent="0.4">
      <c r="U503" s="115"/>
      <c r="V503" s="115"/>
      <c r="W503" s="115"/>
      <c r="X503" s="115"/>
      <c r="Y503" s="115"/>
      <c r="Z503" s="122"/>
      <c r="AA503" s="122"/>
      <c r="AB503" s="122"/>
      <c r="AC503" s="115"/>
      <c r="AD503" s="115"/>
      <c r="AE503" s="115"/>
      <c r="AF503" s="115"/>
      <c r="AG503" s="115"/>
      <c r="AH503" s="115"/>
      <c r="AI503" s="115"/>
      <c r="AJ503" s="115"/>
      <c r="AK503" s="115"/>
      <c r="AL503" s="115"/>
      <c r="AM503" s="115"/>
      <c r="AN503" s="115"/>
      <c r="AO503" s="115"/>
      <c r="AP503" s="115"/>
      <c r="AQ503" s="26"/>
      <c r="AR503" s="13"/>
      <c r="AU503" s="114"/>
    </row>
    <row r="504" spans="20:47" x14ac:dyDescent="0.4">
      <c r="U504" s="115"/>
      <c r="V504" s="115"/>
      <c r="W504" s="115"/>
      <c r="X504" s="115"/>
      <c r="Y504" s="115"/>
      <c r="Z504" s="122"/>
      <c r="AA504" s="122"/>
      <c r="AB504" s="122"/>
      <c r="AC504" s="115"/>
      <c r="AD504" s="115"/>
      <c r="AE504" s="115"/>
      <c r="AF504" s="115"/>
      <c r="AG504" s="115"/>
      <c r="AH504" s="115"/>
      <c r="AI504" s="115"/>
      <c r="AJ504" s="115"/>
      <c r="AK504" s="115"/>
      <c r="AL504" s="115"/>
      <c r="AM504" s="115"/>
      <c r="AN504" s="115"/>
      <c r="AO504" s="115"/>
      <c r="AP504" s="115"/>
      <c r="AQ504" s="17"/>
      <c r="AR504" s="13"/>
      <c r="AU504" s="114"/>
    </row>
    <row r="505" spans="20:47" x14ac:dyDescent="0.4">
      <c r="U505" s="115"/>
      <c r="V505" s="115"/>
      <c r="W505" s="115"/>
      <c r="X505" s="115"/>
      <c r="Y505" s="115"/>
      <c r="Z505" s="122"/>
      <c r="AA505" s="122"/>
      <c r="AB505" s="122"/>
      <c r="AC505" s="115"/>
      <c r="AD505" s="115"/>
      <c r="AE505" s="115"/>
      <c r="AF505" s="115"/>
      <c r="AG505" s="115"/>
      <c r="AH505" s="115"/>
      <c r="AI505" s="115"/>
      <c r="AJ505" s="115"/>
      <c r="AK505" s="115"/>
      <c r="AL505" s="115"/>
      <c r="AM505" s="115"/>
      <c r="AN505" s="115"/>
      <c r="AO505" s="115"/>
      <c r="AP505" s="115"/>
      <c r="AQ505" s="26"/>
      <c r="AR505" s="13"/>
      <c r="AU505" s="114"/>
    </row>
    <row r="506" spans="20:47" x14ac:dyDescent="0.4">
      <c r="U506" s="115"/>
      <c r="V506" s="115"/>
      <c r="W506" s="115"/>
      <c r="X506" s="115"/>
      <c r="Y506" s="115"/>
      <c r="Z506" s="122"/>
      <c r="AA506" s="122"/>
      <c r="AB506" s="122"/>
      <c r="AC506" s="115"/>
      <c r="AD506" s="115"/>
      <c r="AE506" s="115"/>
      <c r="AF506" s="115"/>
      <c r="AG506" s="115"/>
      <c r="AH506" s="115"/>
      <c r="AI506" s="115"/>
      <c r="AJ506" s="115"/>
      <c r="AK506" s="115"/>
      <c r="AL506" s="115"/>
      <c r="AM506" s="115"/>
      <c r="AN506" s="115"/>
      <c r="AO506" s="115"/>
      <c r="AP506" s="115"/>
      <c r="AQ506" s="17"/>
      <c r="AR506" s="13"/>
      <c r="AU506" s="114"/>
    </row>
    <row r="507" spans="20:47" x14ac:dyDescent="0.4">
      <c r="U507" s="115"/>
      <c r="V507" s="115"/>
      <c r="W507" s="115"/>
      <c r="X507" s="115"/>
      <c r="Y507" s="115"/>
      <c r="Z507" s="122"/>
      <c r="AA507" s="122"/>
      <c r="AB507" s="122"/>
      <c r="AC507" s="115"/>
      <c r="AD507" s="115"/>
      <c r="AE507" s="115"/>
      <c r="AF507" s="115"/>
      <c r="AG507" s="115"/>
      <c r="AH507" s="115"/>
      <c r="AI507" s="115"/>
      <c r="AJ507" s="115"/>
      <c r="AK507" s="115"/>
      <c r="AL507" s="115"/>
      <c r="AM507" s="115"/>
      <c r="AN507" s="115"/>
      <c r="AO507" s="115"/>
      <c r="AP507" s="115"/>
      <c r="AQ507" s="26"/>
      <c r="AR507" s="13"/>
      <c r="AU507" s="114"/>
    </row>
    <row r="508" spans="20:47" x14ac:dyDescent="0.4">
      <c r="U508" s="115"/>
      <c r="V508" s="115"/>
      <c r="W508" s="115"/>
      <c r="X508" s="115"/>
      <c r="Y508" s="115"/>
      <c r="Z508" s="122"/>
      <c r="AA508" s="122"/>
      <c r="AB508" s="122"/>
      <c r="AC508" s="115"/>
      <c r="AD508" s="115"/>
      <c r="AE508" s="115"/>
      <c r="AF508" s="115"/>
      <c r="AG508" s="115"/>
      <c r="AH508" s="115"/>
      <c r="AI508" s="115"/>
      <c r="AJ508" s="115"/>
      <c r="AK508" s="115"/>
      <c r="AL508" s="115"/>
      <c r="AM508" s="115"/>
      <c r="AN508" s="115"/>
      <c r="AO508" s="115"/>
      <c r="AP508" s="115"/>
      <c r="AQ508" s="26"/>
      <c r="AR508" s="15"/>
      <c r="AU508" s="114"/>
    </row>
    <row r="509" spans="20:47" x14ac:dyDescent="0.4">
      <c r="U509" s="115"/>
      <c r="V509" s="115"/>
      <c r="W509" s="115"/>
      <c r="X509" s="115"/>
      <c r="Y509" s="115"/>
      <c r="Z509" s="122"/>
      <c r="AA509" s="122"/>
      <c r="AB509" s="122"/>
      <c r="AC509" s="115"/>
      <c r="AD509" s="115"/>
      <c r="AE509" s="115"/>
      <c r="AF509" s="115"/>
      <c r="AG509" s="115"/>
      <c r="AH509" s="115"/>
      <c r="AI509" s="115"/>
      <c r="AJ509" s="115"/>
      <c r="AK509" s="115"/>
      <c r="AL509" s="115"/>
      <c r="AM509" s="115"/>
      <c r="AN509" s="115"/>
      <c r="AO509" s="115"/>
      <c r="AP509" s="115"/>
      <c r="AQ509" s="17"/>
      <c r="AR509" s="15"/>
      <c r="AU509" s="114"/>
    </row>
    <row r="510" spans="20:47" x14ac:dyDescent="0.4">
      <c r="U510" s="115"/>
      <c r="V510" s="115"/>
      <c r="W510" s="115"/>
      <c r="X510" s="115"/>
      <c r="Y510" s="115"/>
      <c r="Z510" s="122"/>
      <c r="AA510" s="122"/>
      <c r="AB510" s="122"/>
      <c r="AC510" s="115"/>
      <c r="AD510" s="115"/>
      <c r="AE510" s="115"/>
      <c r="AF510" s="115"/>
      <c r="AG510" s="115"/>
      <c r="AH510" s="115"/>
      <c r="AI510" s="115"/>
      <c r="AJ510" s="115"/>
      <c r="AK510" s="115"/>
      <c r="AL510" s="115"/>
      <c r="AM510" s="115"/>
      <c r="AN510" s="115"/>
      <c r="AO510" s="115"/>
      <c r="AP510" s="115"/>
      <c r="AQ510" s="17"/>
      <c r="AR510" s="15"/>
      <c r="AU510" s="114"/>
    </row>
    <row r="511" spans="20:47" x14ac:dyDescent="0.4">
      <c r="T511" s="115"/>
      <c r="U511" s="115"/>
      <c r="V511" s="115"/>
      <c r="W511" s="115"/>
      <c r="X511" s="115"/>
      <c r="Y511" s="115"/>
      <c r="Z511" s="122"/>
      <c r="AA511" s="122"/>
      <c r="AB511" s="122"/>
      <c r="AC511" s="115"/>
      <c r="AD511" s="115"/>
      <c r="AE511" s="115"/>
      <c r="AF511" s="115"/>
      <c r="AG511" s="115"/>
      <c r="AH511" s="115"/>
      <c r="AI511" s="115"/>
      <c r="AJ511" s="115"/>
      <c r="AK511" s="115"/>
      <c r="AL511" s="115"/>
      <c r="AM511" s="115"/>
      <c r="AN511" s="115"/>
      <c r="AO511" s="115"/>
      <c r="AP511" s="115"/>
      <c r="AQ511" s="26"/>
      <c r="AR511" s="15"/>
      <c r="AU511" s="114"/>
    </row>
    <row r="512" spans="20:47" x14ac:dyDescent="0.4">
      <c r="T512" s="115"/>
      <c r="U512" s="115"/>
      <c r="V512" s="115"/>
      <c r="W512" s="115"/>
      <c r="X512" s="115"/>
      <c r="Y512" s="115"/>
      <c r="Z512" s="122"/>
      <c r="AA512" s="122"/>
      <c r="AB512" s="122"/>
      <c r="AC512" s="115"/>
      <c r="AD512" s="115"/>
      <c r="AE512" s="115"/>
      <c r="AF512" s="115"/>
      <c r="AG512" s="115"/>
      <c r="AH512" s="115"/>
      <c r="AI512" s="115"/>
      <c r="AJ512" s="115"/>
      <c r="AK512" s="115"/>
      <c r="AL512" s="115"/>
      <c r="AM512" s="115"/>
      <c r="AN512" s="115"/>
      <c r="AO512" s="115"/>
      <c r="AP512" s="115"/>
      <c r="AQ512" s="17"/>
      <c r="AR512" s="15"/>
      <c r="AU512" s="114"/>
    </row>
    <row r="513" spans="20:47" x14ac:dyDescent="0.4">
      <c r="T513" s="115"/>
      <c r="U513" s="115"/>
      <c r="V513" s="115"/>
      <c r="W513" s="115"/>
      <c r="X513" s="115"/>
      <c r="Y513" s="115"/>
      <c r="Z513" s="122"/>
      <c r="AA513" s="122"/>
      <c r="AB513" s="122"/>
      <c r="AC513" s="115"/>
      <c r="AD513" s="115"/>
      <c r="AE513" s="115"/>
      <c r="AF513" s="115"/>
      <c r="AG513" s="115"/>
      <c r="AH513" s="115"/>
      <c r="AI513" s="115"/>
      <c r="AJ513" s="115"/>
      <c r="AK513" s="115"/>
      <c r="AL513" s="115"/>
      <c r="AM513" s="115"/>
      <c r="AN513" s="115"/>
      <c r="AO513" s="115"/>
      <c r="AP513" s="115"/>
      <c r="AQ513" s="26"/>
      <c r="AR513" s="15"/>
      <c r="AU513" s="114"/>
    </row>
    <row r="514" spans="20:47" x14ac:dyDescent="0.4">
      <c r="T514" s="115"/>
      <c r="U514" s="115"/>
      <c r="V514" s="115"/>
      <c r="W514" s="115"/>
      <c r="X514" s="115"/>
      <c r="Y514" s="115"/>
      <c r="Z514" s="122"/>
      <c r="AA514" s="122"/>
      <c r="AB514" s="122"/>
      <c r="AC514" s="115"/>
      <c r="AD514" s="115"/>
      <c r="AE514" s="115"/>
      <c r="AF514" s="115"/>
      <c r="AG514" s="115"/>
      <c r="AH514" s="115"/>
      <c r="AI514" s="115"/>
      <c r="AJ514" s="115"/>
      <c r="AK514" s="115"/>
      <c r="AL514" s="115"/>
      <c r="AM514" s="115"/>
      <c r="AN514" s="115"/>
      <c r="AO514" s="115"/>
      <c r="AP514" s="115"/>
      <c r="AQ514" s="26"/>
      <c r="AR514" s="15"/>
      <c r="AU514" s="114"/>
    </row>
    <row r="515" spans="20:47" x14ac:dyDescent="0.4">
      <c r="T515" s="115"/>
      <c r="U515" s="115"/>
      <c r="V515" s="115"/>
      <c r="W515" s="115"/>
      <c r="X515" s="115"/>
      <c r="Y515" s="115"/>
      <c r="Z515" s="122"/>
      <c r="AA515" s="122"/>
      <c r="AB515" s="122"/>
      <c r="AC515" s="115"/>
      <c r="AD515" s="115"/>
      <c r="AE515" s="115"/>
      <c r="AF515" s="115"/>
      <c r="AG515" s="115"/>
      <c r="AH515" s="115"/>
      <c r="AI515" s="115"/>
      <c r="AJ515" s="115"/>
      <c r="AK515" s="115"/>
      <c r="AL515" s="115"/>
      <c r="AM515" s="115"/>
      <c r="AN515" s="115"/>
      <c r="AO515" s="115"/>
      <c r="AP515" s="115"/>
      <c r="AQ515" s="17"/>
      <c r="AR515" s="15"/>
      <c r="AU515" s="114"/>
    </row>
    <row r="516" spans="20:47" x14ac:dyDescent="0.4">
      <c r="T516" s="115"/>
      <c r="U516" s="115"/>
      <c r="V516" s="115"/>
      <c r="W516" s="115"/>
      <c r="X516" s="115"/>
      <c r="Y516" s="115"/>
      <c r="Z516" s="122"/>
      <c r="AA516" s="122"/>
      <c r="AB516" s="122"/>
      <c r="AC516" s="115"/>
      <c r="AD516" s="115"/>
      <c r="AE516" s="115"/>
      <c r="AF516" s="115"/>
      <c r="AG516" s="115"/>
      <c r="AH516" s="115"/>
      <c r="AI516" s="115"/>
      <c r="AJ516" s="115"/>
      <c r="AK516" s="115"/>
      <c r="AL516" s="115"/>
      <c r="AM516" s="115"/>
      <c r="AN516" s="115"/>
      <c r="AO516" s="115"/>
      <c r="AP516" s="115"/>
      <c r="AQ516" s="26"/>
      <c r="AR516" s="15"/>
      <c r="AU516" s="114"/>
    </row>
    <row r="517" spans="20:47" x14ac:dyDescent="0.4">
      <c r="T517" s="115"/>
      <c r="U517" s="115"/>
      <c r="V517" s="115"/>
      <c r="W517" s="115"/>
      <c r="X517" s="115"/>
      <c r="Y517" s="115"/>
      <c r="Z517" s="122"/>
      <c r="AA517" s="122"/>
      <c r="AB517" s="122"/>
      <c r="AC517" s="115"/>
      <c r="AD517" s="115"/>
      <c r="AE517" s="115"/>
      <c r="AF517" s="115"/>
      <c r="AG517" s="115"/>
      <c r="AH517" s="115"/>
      <c r="AI517" s="115"/>
      <c r="AJ517" s="115"/>
      <c r="AK517" s="115"/>
      <c r="AL517" s="115"/>
      <c r="AM517" s="115"/>
      <c r="AN517" s="115"/>
      <c r="AO517" s="115"/>
      <c r="AP517" s="115"/>
      <c r="AQ517" s="17"/>
      <c r="AR517" s="15"/>
      <c r="AU517" s="114"/>
    </row>
    <row r="518" spans="20:47" x14ac:dyDescent="0.4">
      <c r="T518" s="115"/>
      <c r="U518" s="115"/>
      <c r="V518" s="115"/>
      <c r="W518" s="115"/>
      <c r="X518" s="115"/>
      <c r="Y518" s="115"/>
      <c r="Z518" s="122"/>
      <c r="AA518" s="122"/>
      <c r="AB518" s="122"/>
      <c r="AC518" s="115"/>
      <c r="AD518" s="115"/>
      <c r="AE518" s="115"/>
      <c r="AF518" s="115"/>
      <c r="AG518" s="115"/>
      <c r="AH518" s="115"/>
      <c r="AI518" s="115"/>
      <c r="AJ518" s="115"/>
      <c r="AK518" s="115"/>
      <c r="AL518" s="115"/>
      <c r="AM518" s="115"/>
      <c r="AN518" s="115"/>
      <c r="AO518" s="115"/>
      <c r="AP518" s="115"/>
      <c r="AQ518" s="17"/>
      <c r="AR518" s="15"/>
      <c r="AU518" s="114"/>
    </row>
    <row r="519" spans="20:47" x14ac:dyDescent="0.4">
      <c r="T519" s="115"/>
      <c r="U519" s="115"/>
      <c r="V519" s="115"/>
      <c r="W519" s="115"/>
      <c r="X519" s="115"/>
      <c r="Y519" s="115"/>
      <c r="Z519" s="122"/>
      <c r="AA519" s="122"/>
      <c r="AB519" s="122"/>
      <c r="AC519" s="115"/>
      <c r="AD519" s="115"/>
      <c r="AE519" s="115"/>
      <c r="AF519" s="115"/>
      <c r="AG519" s="115"/>
      <c r="AH519" s="115"/>
      <c r="AI519" s="115"/>
      <c r="AJ519" s="115"/>
      <c r="AK519" s="115"/>
      <c r="AL519" s="115"/>
      <c r="AM519" s="115"/>
      <c r="AN519" s="115"/>
      <c r="AO519" s="115"/>
      <c r="AP519" s="115"/>
      <c r="AQ519" s="26"/>
      <c r="AR519" s="15"/>
      <c r="AU519" s="114"/>
    </row>
    <row r="520" spans="20:47" x14ac:dyDescent="0.4">
      <c r="T520" s="115"/>
      <c r="U520" s="115"/>
      <c r="V520" s="115"/>
      <c r="W520" s="115"/>
      <c r="X520" s="115"/>
      <c r="Y520" s="115"/>
      <c r="Z520" s="122"/>
      <c r="AA520" s="122"/>
      <c r="AB520" s="122"/>
      <c r="AC520" s="115"/>
      <c r="AD520" s="115"/>
      <c r="AE520" s="115"/>
      <c r="AF520" s="115"/>
      <c r="AG520" s="115"/>
      <c r="AH520" s="115"/>
      <c r="AI520" s="115"/>
      <c r="AJ520" s="115"/>
      <c r="AK520" s="115"/>
      <c r="AL520" s="115"/>
      <c r="AM520" s="115"/>
      <c r="AN520" s="115"/>
      <c r="AO520" s="115"/>
      <c r="AP520" s="115"/>
      <c r="AQ520" s="26"/>
      <c r="AR520" s="15"/>
      <c r="AU520" s="114"/>
    </row>
    <row r="521" spans="20:47" x14ac:dyDescent="0.4">
      <c r="T521" s="115"/>
      <c r="U521" s="115"/>
      <c r="V521" s="115"/>
      <c r="W521" s="115"/>
      <c r="X521" s="115"/>
      <c r="Y521" s="115"/>
      <c r="Z521" s="122"/>
      <c r="AA521" s="122"/>
      <c r="AB521" s="122"/>
      <c r="AC521" s="115"/>
      <c r="AD521" s="115"/>
      <c r="AE521" s="115"/>
      <c r="AF521" s="115"/>
      <c r="AG521" s="115"/>
      <c r="AH521" s="115"/>
      <c r="AI521" s="115"/>
      <c r="AJ521" s="115"/>
      <c r="AK521" s="115"/>
      <c r="AL521" s="115"/>
      <c r="AM521" s="115"/>
      <c r="AN521" s="115"/>
      <c r="AO521" s="115"/>
      <c r="AP521" s="115"/>
      <c r="AQ521" s="26"/>
      <c r="AR521" s="15"/>
      <c r="AU521" s="114"/>
    </row>
    <row r="522" spans="20:47" x14ac:dyDescent="0.4">
      <c r="T522" s="115"/>
      <c r="U522" s="115"/>
      <c r="V522" s="115"/>
      <c r="W522" s="115"/>
      <c r="X522" s="115"/>
      <c r="Y522" s="115"/>
      <c r="Z522" s="122"/>
      <c r="AA522" s="122"/>
      <c r="AB522" s="122"/>
      <c r="AC522" s="115"/>
      <c r="AD522" s="115"/>
      <c r="AE522" s="115"/>
      <c r="AF522" s="115"/>
      <c r="AG522" s="115"/>
      <c r="AH522" s="115"/>
      <c r="AI522" s="115"/>
      <c r="AJ522" s="115"/>
      <c r="AK522" s="115"/>
      <c r="AL522" s="115"/>
      <c r="AM522" s="115"/>
      <c r="AN522" s="115"/>
      <c r="AO522" s="115"/>
      <c r="AP522" s="115"/>
      <c r="AQ522" s="26"/>
      <c r="AR522" s="15"/>
      <c r="AU522" s="114"/>
    </row>
    <row r="523" spans="20:47" x14ac:dyDescent="0.4">
      <c r="T523" s="115"/>
      <c r="U523" s="115"/>
      <c r="V523" s="115"/>
      <c r="W523" s="115"/>
      <c r="X523" s="115"/>
      <c r="Y523" s="115"/>
      <c r="Z523" s="122"/>
      <c r="AA523" s="122"/>
      <c r="AB523" s="122"/>
      <c r="AC523" s="115"/>
      <c r="AD523" s="115"/>
      <c r="AE523" s="115"/>
      <c r="AF523" s="115"/>
      <c r="AG523" s="115"/>
      <c r="AH523" s="115"/>
      <c r="AI523" s="115"/>
      <c r="AJ523" s="115"/>
      <c r="AK523" s="115"/>
      <c r="AL523" s="115"/>
      <c r="AM523" s="115"/>
      <c r="AN523" s="115"/>
      <c r="AO523" s="115"/>
      <c r="AP523" s="115"/>
      <c r="AQ523" s="26"/>
      <c r="AR523" s="15"/>
      <c r="AU523" s="114"/>
    </row>
    <row r="524" spans="20:47" x14ac:dyDescent="0.4">
      <c r="T524" s="115"/>
      <c r="U524" s="115"/>
      <c r="V524" s="115"/>
      <c r="W524" s="115"/>
      <c r="X524" s="115"/>
      <c r="Y524" s="115"/>
      <c r="Z524" s="122"/>
      <c r="AA524" s="122"/>
      <c r="AB524" s="122"/>
      <c r="AC524" s="115"/>
      <c r="AD524" s="115"/>
      <c r="AE524" s="115"/>
      <c r="AF524" s="115"/>
      <c r="AG524" s="115"/>
      <c r="AH524" s="115"/>
      <c r="AI524" s="115"/>
      <c r="AJ524" s="115"/>
      <c r="AK524" s="115"/>
      <c r="AL524" s="115"/>
      <c r="AM524" s="115"/>
      <c r="AN524" s="115"/>
      <c r="AO524" s="115"/>
      <c r="AP524" s="115"/>
      <c r="AQ524" s="26"/>
      <c r="AR524" s="15"/>
      <c r="AU524" s="114"/>
    </row>
    <row r="525" spans="20:47" x14ac:dyDescent="0.4">
      <c r="T525" s="115"/>
      <c r="U525" s="115"/>
      <c r="V525" s="115"/>
      <c r="W525" s="115"/>
      <c r="X525" s="115"/>
      <c r="Y525" s="115"/>
      <c r="Z525" s="122"/>
      <c r="AA525" s="122"/>
      <c r="AB525" s="122"/>
      <c r="AC525" s="115"/>
      <c r="AD525" s="115"/>
      <c r="AE525" s="115"/>
      <c r="AF525" s="115"/>
      <c r="AG525" s="115"/>
      <c r="AH525" s="115"/>
      <c r="AI525" s="115"/>
      <c r="AJ525" s="115"/>
      <c r="AK525" s="115"/>
      <c r="AL525" s="115"/>
      <c r="AM525" s="115"/>
      <c r="AN525" s="115"/>
      <c r="AO525" s="115"/>
      <c r="AP525" s="115"/>
      <c r="AQ525" s="26"/>
      <c r="AR525" s="15"/>
      <c r="AU525" s="114"/>
    </row>
    <row r="526" spans="20:47" x14ac:dyDescent="0.4">
      <c r="T526" s="115"/>
      <c r="U526" s="115"/>
      <c r="V526" s="115"/>
      <c r="W526" s="115"/>
      <c r="X526" s="115"/>
      <c r="Y526" s="115"/>
      <c r="Z526" s="122"/>
      <c r="AA526" s="122"/>
      <c r="AB526" s="122"/>
      <c r="AC526" s="115"/>
      <c r="AD526" s="115"/>
      <c r="AE526" s="115"/>
      <c r="AF526" s="115"/>
      <c r="AG526" s="115"/>
      <c r="AH526" s="115"/>
      <c r="AI526" s="115"/>
      <c r="AJ526" s="115"/>
      <c r="AK526" s="115"/>
      <c r="AL526" s="115"/>
      <c r="AM526" s="115"/>
      <c r="AN526" s="115"/>
      <c r="AO526" s="115"/>
      <c r="AP526" s="115"/>
      <c r="AQ526" s="17"/>
      <c r="AR526" s="15"/>
      <c r="AU526" s="114"/>
    </row>
    <row r="527" spans="20:47" x14ac:dyDescent="0.4">
      <c r="T527" s="115"/>
      <c r="U527" s="115"/>
      <c r="V527" s="115"/>
      <c r="W527" s="115"/>
      <c r="X527" s="115"/>
      <c r="Y527" s="115"/>
      <c r="Z527" s="122"/>
      <c r="AA527" s="122"/>
      <c r="AB527" s="122"/>
      <c r="AC527" s="115"/>
      <c r="AD527" s="115"/>
      <c r="AE527" s="115"/>
      <c r="AF527" s="115"/>
      <c r="AG527" s="115"/>
      <c r="AH527" s="115"/>
      <c r="AI527" s="115"/>
      <c r="AJ527" s="115"/>
      <c r="AK527" s="115"/>
      <c r="AL527" s="115"/>
      <c r="AM527" s="115"/>
      <c r="AN527" s="115"/>
      <c r="AO527" s="115"/>
      <c r="AP527" s="115"/>
      <c r="AQ527" s="26"/>
      <c r="AR527" s="15"/>
      <c r="AU527" s="114"/>
    </row>
    <row r="528" spans="20:47" x14ac:dyDescent="0.4">
      <c r="T528" s="115"/>
      <c r="U528" s="115"/>
      <c r="V528" s="115"/>
      <c r="W528" s="115"/>
      <c r="X528" s="115"/>
      <c r="Y528" s="115"/>
      <c r="Z528" s="122"/>
      <c r="AA528" s="122"/>
      <c r="AB528" s="122"/>
      <c r="AC528" s="115"/>
      <c r="AD528" s="115"/>
      <c r="AE528" s="115"/>
      <c r="AF528" s="115"/>
      <c r="AG528" s="115"/>
      <c r="AH528" s="115"/>
      <c r="AI528" s="115"/>
      <c r="AJ528" s="115"/>
      <c r="AK528" s="115"/>
      <c r="AL528" s="115"/>
      <c r="AM528" s="115"/>
      <c r="AN528" s="115"/>
      <c r="AO528" s="115"/>
      <c r="AP528" s="115"/>
      <c r="AQ528" s="26"/>
      <c r="AR528" s="15"/>
      <c r="AU528" s="114"/>
    </row>
    <row r="529" spans="5:47" x14ac:dyDescent="0.4">
      <c r="T529" s="115"/>
      <c r="U529" s="115"/>
      <c r="V529" s="115"/>
      <c r="W529" s="115"/>
      <c r="X529" s="115"/>
      <c r="Y529" s="115"/>
      <c r="Z529" s="122"/>
      <c r="AA529" s="122"/>
      <c r="AB529" s="122"/>
      <c r="AC529" s="115"/>
      <c r="AD529" s="115"/>
      <c r="AE529" s="115"/>
      <c r="AF529" s="115"/>
      <c r="AG529" s="115"/>
      <c r="AH529" s="115"/>
      <c r="AI529" s="115"/>
      <c r="AJ529" s="115"/>
      <c r="AK529" s="115"/>
      <c r="AL529" s="115"/>
      <c r="AM529" s="115"/>
      <c r="AN529" s="115"/>
      <c r="AO529" s="115"/>
      <c r="AP529" s="115"/>
      <c r="AQ529" s="26"/>
      <c r="AR529" s="15"/>
      <c r="AU529" s="114"/>
    </row>
    <row r="530" spans="5:47" x14ac:dyDescent="0.4">
      <c r="T530" s="115"/>
      <c r="U530" s="115"/>
      <c r="V530" s="115"/>
      <c r="W530" s="115"/>
      <c r="X530" s="115"/>
      <c r="Y530" s="115"/>
      <c r="Z530" s="122"/>
      <c r="AA530" s="122"/>
      <c r="AB530" s="122"/>
      <c r="AC530" s="115"/>
      <c r="AD530" s="115"/>
      <c r="AE530" s="115"/>
      <c r="AF530" s="115"/>
      <c r="AG530" s="115"/>
      <c r="AH530" s="115"/>
      <c r="AI530" s="115"/>
      <c r="AJ530" s="115"/>
      <c r="AK530" s="115"/>
      <c r="AL530" s="115"/>
      <c r="AM530" s="115"/>
      <c r="AN530" s="115"/>
      <c r="AO530" s="115"/>
      <c r="AP530" s="115"/>
      <c r="AQ530" s="26"/>
      <c r="AR530" s="13"/>
      <c r="AU530" s="114"/>
    </row>
    <row r="531" spans="5:47" x14ac:dyDescent="0.4">
      <c r="T531" s="115"/>
      <c r="U531" s="115"/>
      <c r="V531" s="115"/>
      <c r="W531" s="115"/>
      <c r="X531" s="115"/>
      <c r="Y531" s="115"/>
      <c r="Z531" s="122"/>
      <c r="AA531" s="122"/>
      <c r="AB531" s="122"/>
      <c r="AC531" s="115"/>
      <c r="AD531" s="115"/>
      <c r="AE531" s="115"/>
      <c r="AF531" s="115"/>
      <c r="AG531" s="115"/>
      <c r="AH531" s="115"/>
      <c r="AI531" s="115"/>
      <c r="AJ531" s="115"/>
      <c r="AK531" s="115"/>
      <c r="AL531" s="115"/>
      <c r="AM531" s="115"/>
      <c r="AN531" s="115"/>
      <c r="AO531" s="115"/>
      <c r="AP531" s="115"/>
      <c r="AQ531" s="17"/>
      <c r="AR531" s="13"/>
      <c r="AU531" s="114"/>
    </row>
    <row r="532" spans="5:47" x14ac:dyDescent="0.4">
      <c r="T532" s="115"/>
      <c r="U532" s="115"/>
      <c r="V532" s="115"/>
      <c r="W532" s="115"/>
      <c r="X532" s="115"/>
      <c r="Y532" s="115"/>
      <c r="Z532" s="122"/>
      <c r="AA532" s="122"/>
      <c r="AB532" s="122"/>
      <c r="AC532" s="115"/>
      <c r="AD532" s="115"/>
      <c r="AE532" s="115"/>
      <c r="AF532" s="115"/>
      <c r="AG532" s="115"/>
      <c r="AH532" s="115"/>
      <c r="AI532" s="115"/>
      <c r="AJ532" s="115"/>
      <c r="AK532" s="115"/>
      <c r="AL532" s="115"/>
      <c r="AM532" s="115"/>
      <c r="AN532" s="115"/>
      <c r="AO532" s="115"/>
      <c r="AP532" s="115"/>
      <c r="AQ532" s="26"/>
      <c r="AR532" s="13"/>
      <c r="AU532" s="114"/>
    </row>
    <row r="533" spans="5:47" x14ac:dyDescent="0.4">
      <c r="T533" s="115"/>
      <c r="U533" s="115"/>
      <c r="V533" s="115"/>
      <c r="W533" s="115"/>
      <c r="X533" s="115"/>
      <c r="Y533" s="115"/>
      <c r="Z533" s="122"/>
      <c r="AA533" s="122"/>
      <c r="AB533" s="122"/>
      <c r="AC533" s="115"/>
      <c r="AD533" s="115"/>
      <c r="AE533" s="115"/>
      <c r="AF533" s="115"/>
      <c r="AG533" s="115"/>
      <c r="AH533" s="115"/>
      <c r="AI533" s="115"/>
      <c r="AJ533" s="115"/>
      <c r="AK533" s="115"/>
      <c r="AL533" s="115"/>
      <c r="AM533" s="115"/>
      <c r="AN533" s="115"/>
      <c r="AO533" s="115"/>
      <c r="AP533" s="115"/>
      <c r="AQ533" s="26"/>
      <c r="AR533" s="13"/>
      <c r="AU533" s="114"/>
    </row>
    <row r="534" spans="5:47" x14ac:dyDescent="0.4">
      <c r="T534" s="115"/>
      <c r="U534" s="115"/>
      <c r="V534" s="115"/>
      <c r="W534" s="115"/>
      <c r="X534" s="115"/>
      <c r="Y534" s="115"/>
      <c r="Z534" s="122"/>
      <c r="AA534" s="122"/>
      <c r="AB534" s="122"/>
      <c r="AC534" s="115"/>
      <c r="AD534" s="115"/>
      <c r="AE534" s="115"/>
      <c r="AF534" s="115"/>
      <c r="AG534" s="115"/>
      <c r="AH534" s="115"/>
      <c r="AI534" s="115"/>
      <c r="AJ534" s="115"/>
      <c r="AK534" s="115"/>
      <c r="AL534" s="115"/>
      <c r="AM534" s="115"/>
      <c r="AN534" s="115"/>
      <c r="AO534" s="115"/>
      <c r="AP534" s="115"/>
      <c r="AQ534" s="26"/>
      <c r="AR534" s="13"/>
      <c r="AU534" s="114"/>
    </row>
    <row r="535" spans="5:47" x14ac:dyDescent="0.4">
      <c r="T535" s="115"/>
      <c r="U535" s="115"/>
      <c r="V535" s="115"/>
      <c r="W535" s="115"/>
      <c r="X535" s="115"/>
      <c r="Y535" s="115"/>
      <c r="Z535" s="122"/>
      <c r="AA535" s="122"/>
      <c r="AB535" s="122"/>
      <c r="AC535" s="115"/>
      <c r="AD535" s="115"/>
      <c r="AE535" s="115"/>
      <c r="AF535" s="115"/>
      <c r="AG535" s="115"/>
      <c r="AH535" s="115"/>
      <c r="AI535" s="115"/>
      <c r="AJ535" s="115"/>
      <c r="AK535" s="115"/>
      <c r="AL535" s="115"/>
      <c r="AM535" s="115"/>
      <c r="AN535" s="115"/>
      <c r="AO535" s="115"/>
      <c r="AP535" s="115"/>
      <c r="AQ535" s="26"/>
      <c r="AR535" s="13"/>
      <c r="AU535" s="114"/>
    </row>
    <row r="536" spans="5:47" x14ac:dyDescent="0.4">
      <c r="T536" s="115"/>
      <c r="U536" s="115"/>
      <c r="V536" s="115"/>
      <c r="W536" s="115"/>
      <c r="X536" s="115"/>
      <c r="Y536" s="115"/>
      <c r="Z536" s="122"/>
      <c r="AA536" s="122"/>
      <c r="AB536" s="122"/>
      <c r="AC536" s="115"/>
      <c r="AD536" s="115"/>
      <c r="AE536" s="115"/>
      <c r="AF536" s="115"/>
      <c r="AG536" s="115"/>
      <c r="AH536" s="115"/>
      <c r="AI536" s="115"/>
      <c r="AJ536" s="115"/>
      <c r="AK536" s="115"/>
      <c r="AL536" s="115"/>
      <c r="AM536" s="115"/>
      <c r="AN536" s="115"/>
      <c r="AO536" s="115"/>
      <c r="AP536" s="115"/>
      <c r="AQ536" s="26"/>
      <c r="AR536" s="13"/>
      <c r="AU536" s="114"/>
    </row>
    <row r="537" spans="5:47" x14ac:dyDescent="0.4">
      <c r="T537" s="115"/>
      <c r="U537" s="115"/>
      <c r="V537" s="115"/>
      <c r="W537" s="115"/>
      <c r="X537" s="115"/>
      <c r="Y537" s="115"/>
      <c r="Z537" s="122"/>
      <c r="AA537" s="122"/>
      <c r="AB537" s="122"/>
      <c r="AC537" s="115"/>
      <c r="AD537" s="115"/>
      <c r="AE537" s="115"/>
      <c r="AF537" s="115"/>
      <c r="AG537" s="115"/>
      <c r="AH537" s="115"/>
      <c r="AI537" s="115"/>
      <c r="AJ537" s="115"/>
      <c r="AK537" s="115"/>
      <c r="AL537" s="115"/>
      <c r="AM537" s="115"/>
      <c r="AN537" s="115"/>
      <c r="AO537" s="115"/>
      <c r="AP537" s="115"/>
      <c r="AQ537" s="26"/>
      <c r="AR537" s="13"/>
      <c r="AU537" s="114"/>
    </row>
    <row r="538" spans="5:47" x14ac:dyDescent="0.4">
      <c r="T538" s="115"/>
      <c r="U538" s="115"/>
      <c r="V538" s="115"/>
      <c r="W538" s="115"/>
      <c r="X538" s="115"/>
      <c r="Y538" s="115"/>
      <c r="Z538" s="122"/>
      <c r="AA538" s="122"/>
      <c r="AB538" s="122"/>
      <c r="AC538" s="115"/>
      <c r="AD538" s="115"/>
      <c r="AE538" s="115"/>
      <c r="AF538" s="115"/>
      <c r="AG538" s="115"/>
      <c r="AH538" s="115"/>
      <c r="AI538" s="115"/>
      <c r="AJ538" s="115"/>
      <c r="AK538" s="115"/>
      <c r="AL538" s="115"/>
      <c r="AM538" s="115"/>
      <c r="AN538" s="115"/>
      <c r="AO538" s="115"/>
      <c r="AP538" s="115"/>
      <c r="AQ538" s="17"/>
      <c r="AR538" s="13"/>
      <c r="AU538" s="114"/>
    </row>
    <row r="539" spans="5:47" x14ac:dyDescent="0.4">
      <c r="T539" s="115"/>
      <c r="U539" s="115"/>
      <c r="V539" s="115"/>
      <c r="W539" s="115"/>
      <c r="X539" s="115"/>
      <c r="Y539" s="115"/>
      <c r="Z539" s="122"/>
      <c r="AA539" s="122"/>
      <c r="AB539" s="122"/>
      <c r="AC539" s="115"/>
      <c r="AD539" s="115"/>
      <c r="AE539" s="115"/>
      <c r="AF539" s="115"/>
      <c r="AG539" s="115"/>
      <c r="AH539" s="115"/>
      <c r="AI539" s="115"/>
      <c r="AJ539" s="115"/>
      <c r="AK539" s="115"/>
      <c r="AL539" s="115"/>
      <c r="AM539" s="115"/>
      <c r="AN539" s="115"/>
      <c r="AO539" s="115"/>
      <c r="AP539" s="115"/>
      <c r="AQ539" s="26"/>
      <c r="AR539" s="13"/>
      <c r="AU539" s="114"/>
    </row>
    <row r="540" spans="5:47" x14ac:dyDescent="0.4">
      <c r="T540" s="115"/>
      <c r="U540" s="115"/>
      <c r="V540" s="115"/>
      <c r="W540" s="115"/>
      <c r="X540" s="115"/>
      <c r="Y540" s="115"/>
      <c r="Z540" s="122"/>
      <c r="AA540" s="122"/>
      <c r="AB540" s="122"/>
      <c r="AC540" s="115"/>
      <c r="AD540" s="115"/>
      <c r="AE540" s="115"/>
      <c r="AF540" s="115"/>
      <c r="AG540" s="115"/>
      <c r="AH540" s="115"/>
      <c r="AI540" s="115"/>
      <c r="AJ540" s="115"/>
      <c r="AK540" s="115"/>
      <c r="AL540" s="115"/>
      <c r="AM540" s="115"/>
      <c r="AN540" s="115"/>
      <c r="AO540" s="115"/>
      <c r="AP540" s="115"/>
      <c r="AQ540" s="26"/>
      <c r="AR540" s="13"/>
      <c r="AU540" s="114"/>
    </row>
    <row r="541" spans="5:47" x14ac:dyDescent="0.4"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22"/>
      <c r="AA541" s="122"/>
      <c r="AB541" s="122"/>
      <c r="AC541" s="115"/>
      <c r="AD541" s="115"/>
      <c r="AE541" s="115"/>
      <c r="AF541" s="115"/>
      <c r="AG541" s="115"/>
      <c r="AH541" s="115"/>
      <c r="AI541" s="115"/>
      <c r="AJ541" s="115"/>
      <c r="AK541" s="115"/>
      <c r="AL541" s="115"/>
      <c r="AM541" s="115"/>
      <c r="AN541" s="115"/>
      <c r="AO541" s="115"/>
      <c r="AP541" s="115"/>
      <c r="AQ541" s="26"/>
      <c r="AR541" s="13"/>
      <c r="AU541" s="114"/>
    </row>
    <row r="542" spans="5:47" x14ac:dyDescent="0.4"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22"/>
      <c r="AA542" s="122"/>
      <c r="AB542" s="122"/>
      <c r="AC542" s="115"/>
      <c r="AD542" s="115"/>
      <c r="AE542" s="115"/>
      <c r="AF542" s="115"/>
      <c r="AG542" s="115"/>
      <c r="AH542" s="115"/>
      <c r="AI542" s="115"/>
      <c r="AJ542" s="115"/>
      <c r="AK542" s="115"/>
      <c r="AL542" s="115"/>
      <c r="AM542" s="115"/>
      <c r="AN542" s="115"/>
      <c r="AO542" s="115"/>
      <c r="AP542" s="115"/>
      <c r="AQ542" s="26"/>
      <c r="AR542" s="13"/>
      <c r="AU542" s="114"/>
    </row>
    <row r="543" spans="5:47" x14ac:dyDescent="0.4"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22"/>
      <c r="AA543" s="122"/>
      <c r="AB543" s="122"/>
      <c r="AC543" s="115"/>
      <c r="AD543" s="115"/>
      <c r="AE543" s="115"/>
      <c r="AF543" s="115"/>
      <c r="AG543" s="115"/>
      <c r="AH543" s="115"/>
      <c r="AI543" s="115"/>
      <c r="AJ543" s="115"/>
      <c r="AK543" s="115"/>
      <c r="AL543" s="115"/>
      <c r="AM543" s="115"/>
      <c r="AN543" s="115"/>
      <c r="AO543" s="115"/>
      <c r="AP543" s="115"/>
      <c r="AQ543" s="26"/>
      <c r="AR543" s="13"/>
      <c r="AU543" s="114"/>
    </row>
    <row r="544" spans="5:47" x14ac:dyDescent="0.4"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22"/>
      <c r="AA544" s="122"/>
      <c r="AB544" s="122"/>
      <c r="AC544" s="115"/>
      <c r="AD544" s="115"/>
      <c r="AE544" s="115"/>
      <c r="AF544" s="115"/>
      <c r="AG544" s="115"/>
      <c r="AH544" s="115"/>
      <c r="AI544" s="115"/>
      <c r="AJ544" s="115"/>
      <c r="AK544" s="115"/>
      <c r="AL544" s="115"/>
      <c r="AM544" s="115"/>
      <c r="AN544" s="115"/>
      <c r="AO544" s="115"/>
      <c r="AP544" s="115"/>
      <c r="AQ544" s="26"/>
      <c r="AR544" s="13"/>
      <c r="AU544" s="114"/>
    </row>
    <row r="545" spans="4:47" x14ac:dyDescent="0.4"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22"/>
      <c r="AA545" s="122"/>
      <c r="AB545" s="122"/>
      <c r="AC545" s="115"/>
      <c r="AD545" s="115"/>
      <c r="AE545" s="115"/>
      <c r="AF545" s="115"/>
      <c r="AG545" s="115"/>
      <c r="AH545" s="115"/>
      <c r="AI545" s="115"/>
      <c r="AJ545" s="115"/>
      <c r="AK545" s="115"/>
      <c r="AL545" s="115"/>
      <c r="AM545" s="115"/>
      <c r="AN545" s="115"/>
      <c r="AO545" s="115"/>
      <c r="AP545" s="115"/>
      <c r="AQ545" s="26"/>
      <c r="AR545" s="13"/>
      <c r="AU545" s="114"/>
    </row>
    <row r="546" spans="4:47" x14ac:dyDescent="0.4"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22"/>
      <c r="AA546" s="122"/>
      <c r="AB546" s="122"/>
      <c r="AC546" s="115"/>
      <c r="AD546" s="115"/>
      <c r="AE546" s="115"/>
      <c r="AF546" s="115"/>
      <c r="AG546" s="115"/>
      <c r="AH546" s="115"/>
      <c r="AI546" s="115"/>
      <c r="AJ546" s="115"/>
      <c r="AK546" s="115"/>
      <c r="AL546" s="115"/>
      <c r="AM546" s="115"/>
      <c r="AN546" s="115"/>
      <c r="AO546" s="115"/>
      <c r="AP546" s="115"/>
      <c r="AQ546" s="26"/>
      <c r="AR546" s="13"/>
      <c r="AU546" s="114"/>
    </row>
    <row r="547" spans="4:47" x14ac:dyDescent="0.4"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22"/>
      <c r="AA547" s="122"/>
      <c r="AB547" s="122"/>
      <c r="AC547" s="115"/>
      <c r="AD547" s="115"/>
      <c r="AE547" s="115"/>
      <c r="AF547" s="115"/>
      <c r="AG547" s="115"/>
      <c r="AH547" s="115"/>
      <c r="AI547" s="115"/>
      <c r="AJ547" s="115"/>
      <c r="AK547" s="115"/>
      <c r="AL547" s="115"/>
      <c r="AM547" s="115"/>
      <c r="AN547" s="115"/>
      <c r="AO547" s="115"/>
      <c r="AP547" s="115"/>
      <c r="AQ547" s="26"/>
      <c r="AR547" s="13"/>
      <c r="AU547" s="114"/>
    </row>
    <row r="548" spans="4:47" x14ac:dyDescent="0.4"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22"/>
      <c r="AA548" s="122"/>
      <c r="AB548" s="122"/>
      <c r="AC548" s="115"/>
      <c r="AD548" s="115"/>
      <c r="AE548" s="115"/>
      <c r="AF548" s="115"/>
      <c r="AG548" s="115"/>
      <c r="AH548" s="115"/>
      <c r="AI548" s="115"/>
      <c r="AJ548" s="115"/>
      <c r="AK548" s="115"/>
      <c r="AL548" s="115"/>
      <c r="AM548" s="115"/>
      <c r="AN548" s="115"/>
      <c r="AO548" s="115"/>
      <c r="AP548" s="115"/>
      <c r="AQ548" s="26"/>
      <c r="AR548" s="13"/>
      <c r="AU548" s="114"/>
    </row>
    <row r="549" spans="4:47" x14ac:dyDescent="0.4"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22"/>
      <c r="AA549" s="122"/>
      <c r="AB549" s="122"/>
      <c r="AC549" s="115"/>
      <c r="AD549" s="115"/>
      <c r="AE549" s="115"/>
      <c r="AF549" s="115"/>
      <c r="AG549" s="115"/>
      <c r="AH549" s="115"/>
      <c r="AI549" s="115"/>
      <c r="AJ549" s="115"/>
      <c r="AK549" s="115"/>
      <c r="AL549" s="115"/>
      <c r="AM549" s="115"/>
      <c r="AN549" s="115"/>
      <c r="AO549" s="115"/>
      <c r="AP549" s="115"/>
      <c r="AQ549" s="26"/>
      <c r="AR549" s="13"/>
      <c r="AU549" s="114"/>
    </row>
    <row r="550" spans="4:47" x14ac:dyDescent="0.4"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22"/>
      <c r="AA550" s="122"/>
      <c r="AB550" s="122"/>
      <c r="AC550" s="115"/>
      <c r="AD550" s="115"/>
      <c r="AE550" s="115"/>
      <c r="AF550" s="115"/>
      <c r="AG550" s="115"/>
      <c r="AH550" s="115"/>
      <c r="AI550" s="115"/>
      <c r="AJ550" s="115"/>
      <c r="AK550" s="115"/>
      <c r="AL550" s="115"/>
      <c r="AM550" s="115"/>
      <c r="AN550" s="115"/>
      <c r="AO550" s="115"/>
      <c r="AP550" s="115"/>
      <c r="AQ550" s="26"/>
      <c r="AR550" s="13"/>
      <c r="AU550" s="114"/>
    </row>
    <row r="551" spans="4:47" x14ac:dyDescent="0.4"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22"/>
      <c r="AA551" s="122"/>
      <c r="AB551" s="122"/>
      <c r="AC551" s="115"/>
      <c r="AD551" s="115"/>
      <c r="AE551" s="115"/>
      <c r="AF551" s="115"/>
      <c r="AG551" s="115"/>
      <c r="AH551" s="115"/>
      <c r="AI551" s="115"/>
      <c r="AJ551" s="115"/>
      <c r="AK551" s="115"/>
      <c r="AL551" s="115"/>
      <c r="AM551" s="115"/>
      <c r="AN551" s="115"/>
      <c r="AO551" s="115"/>
      <c r="AP551" s="115"/>
      <c r="AQ551" s="26"/>
      <c r="AR551" s="13"/>
      <c r="AU551" s="114"/>
    </row>
    <row r="552" spans="4:47" x14ac:dyDescent="0.4"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22"/>
      <c r="AA552" s="122"/>
      <c r="AB552" s="122"/>
      <c r="AC552" s="115"/>
      <c r="AD552" s="115"/>
      <c r="AE552" s="115"/>
      <c r="AF552" s="115"/>
      <c r="AG552" s="115"/>
      <c r="AH552" s="115"/>
      <c r="AI552" s="115"/>
      <c r="AJ552" s="115"/>
      <c r="AK552" s="115"/>
      <c r="AL552" s="115"/>
      <c r="AM552" s="115"/>
      <c r="AN552" s="115"/>
      <c r="AO552" s="115"/>
      <c r="AP552" s="115"/>
      <c r="AQ552" s="26"/>
      <c r="AR552" s="13"/>
      <c r="AU552" s="114"/>
    </row>
    <row r="553" spans="4:47" x14ac:dyDescent="0.4"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22"/>
      <c r="AA553" s="122"/>
      <c r="AB553" s="122"/>
      <c r="AC553" s="115"/>
      <c r="AD553" s="115"/>
      <c r="AE553" s="115"/>
      <c r="AF553" s="115"/>
      <c r="AG553" s="115"/>
      <c r="AH553" s="115"/>
      <c r="AI553" s="115"/>
      <c r="AJ553" s="115"/>
      <c r="AK553" s="115"/>
      <c r="AL553" s="115"/>
      <c r="AM553" s="115"/>
      <c r="AN553" s="115"/>
      <c r="AO553" s="115"/>
      <c r="AP553" s="115"/>
      <c r="AQ553" s="26"/>
      <c r="AR553" s="13"/>
      <c r="AU553" s="114"/>
    </row>
    <row r="554" spans="4:47" x14ac:dyDescent="0.4"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22"/>
      <c r="AA554" s="122"/>
      <c r="AB554" s="122"/>
      <c r="AC554" s="115"/>
      <c r="AD554" s="115"/>
      <c r="AE554" s="115"/>
      <c r="AF554" s="115"/>
      <c r="AG554" s="115"/>
      <c r="AH554" s="115"/>
      <c r="AI554" s="115"/>
      <c r="AJ554" s="115"/>
      <c r="AK554" s="115"/>
      <c r="AL554" s="115"/>
      <c r="AM554" s="115"/>
      <c r="AN554" s="115"/>
      <c r="AO554" s="115"/>
      <c r="AP554" s="115"/>
      <c r="AQ554" s="26"/>
      <c r="AR554" s="13"/>
      <c r="AU554" s="114"/>
    </row>
    <row r="555" spans="4:47" x14ac:dyDescent="0.4"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22"/>
      <c r="AA555" s="122"/>
      <c r="AB555" s="122"/>
      <c r="AC555" s="115"/>
      <c r="AD555" s="115"/>
      <c r="AE555" s="115"/>
      <c r="AF555" s="115"/>
      <c r="AG555" s="115"/>
      <c r="AH555" s="115"/>
      <c r="AI555" s="115"/>
      <c r="AJ555" s="115"/>
      <c r="AK555" s="115"/>
      <c r="AL555" s="115"/>
      <c r="AM555" s="115"/>
      <c r="AN555" s="115"/>
      <c r="AO555" s="115"/>
      <c r="AP555" s="115"/>
      <c r="AQ555" s="26"/>
      <c r="AR555" s="13"/>
      <c r="AU555" s="114"/>
    </row>
    <row r="556" spans="4:47" x14ac:dyDescent="0.4"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22"/>
      <c r="AA556" s="122"/>
      <c r="AB556" s="122"/>
      <c r="AC556" s="115"/>
      <c r="AD556" s="115"/>
      <c r="AE556" s="115"/>
      <c r="AF556" s="115"/>
      <c r="AG556" s="115"/>
      <c r="AH556" s="115"/>
      <c r="AI556" s="115"/>
      <c r="AJ556" s="115"/>
      <c r="AK556" s="115"/>
      <c r="AL556" s="115"/>
      <c r="AM556" s="115"/>
      <c r="AN556" s="115"/>
      <c r="AO556" s="115"/>
      <c r="AP556" s="115"/>
      <c r="AQ556" s="26"/>
      <c r="AR556" s="13"/>
      <c r="AU556" s="114"/>
    </row>
    <row r="557" spans="4:47" x14ac:dyDescent="0.4"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22"/>
      <c r="AA557" s="122"/>
      <c r="AB557" s="122"/>
      <c r="AC557" s="115"/>
      <c r="AD557" s="115"/>
      <c r="AE557" s="115"/>
      <c r="AF557" s="115"/>
      <c r="AG557" s="115"/>
      <c r="AH557" s="115"/>
      <c r="AI557" s="115"/>
      <c r="AJ557" s="115"/>
      <c r="AK557" s="115"/>
      <c r="AL557" s="115"/>
      <c r="AM557" s="115"/>
      <c r="AN557" s="115"/>
      <c r="AO557" s="115"/>
      <c r="AP557" s="115"/>
      <c r="AQ557" s="17"/>
      <c r="AR557" s="13"/>
      <c r="AU557" s="114"/>
    </row>
    <row r="558" spans="4:47" x14ac:dyDescent="0.4"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22"/>
      <c r="AA558" s="122"/>
      <c r="AB558" s="122"/>
      <c r="AC558" s="115"/>
      <c r="AD558" s="115"/>
      <c r="AE558" s="115"/>
      <c r="AF558" s="115"/>
      <c r="AG558" s="115"/>
      <c r="AH558" s="115"/>
      <c r="AI558" s="115"/>
      <c r="AJ558" s="115"/>
      <c r="AK558" s="115"/>
      <c r="AL558" s="115"/>
      <c r="AM558" s="115"/>
      <c r="AN558" s="115"/>
      <c r="AO558" s="115"/>
      <c r="AP558" s="115"/>
      <c r="AQ558" s="26"/>
      <c r="AR558" s="13"/>
      <c r="AU558" s="114"/>
    </row>
    <row r="559" spans="4:47" x14ac:dyDescent="0.4"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22"/>
      <c r="AA559" s="122"/>
      <c r="AB559" s="122"/>
      <c r="AC559" s="115"/>
      <c r="AD559" s="115"/>
      <c r="AE559" s="115"/>
      <c r="AF559" s="115"/>
      <c r="AG559" s="115"/>
      <c r="AH559" s="115"/>
      <c r="AI559" s="115"/>
      <c r="AJ559" s="115"/>
      <c r="AK559" s="115"/>
      <c r="AL559" s="115"/>
      <c r="AM559" s="115"/>
      <c r="AN559" s="115"/>
      <c r="AO559" s="115"/>
      <c r="AP559" s="115"/>
      <c r="AQ559" s="26"/>
      <c r="AR559" s="13"/>
      <c r="AU559" s="114"/>
    </row>
    <row r="560" spans="4:47" x14ac:dyDescent="0.4"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22"/>
      <c r="AA560" s="122"/>
      <c r="AB560" s="122"/>
      <c r="AC560" s="115"/>
      <c r="AD560" s="115"/>
      <c r="AE560" s="115"/>
      <c r="AF560" s="115"/>
      <c r="AG560" s="115"/>
      <c r="AH560" s="115"/>
      <c r="AI560" s="115"/>
      <c r="AJ560" s="115"/>
      <c r="AK560" s="115"/>
      <c r="AL560" s="115"/>
      <c r="AM560" s="115"/>
      <c r="AN560" s="115"/>
      <c r="AO560" s="115"/>
      <c r="AP560" s="115"/>
      <c r="AQ560" s="26"/>
      <c r="AR560" s="13"/>
      <c r="AU560" s="114"/>
    </row>
    <row r="561" spans="3:47" x14ac:dyDescent="0.4"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22"/>
      <c r="AA561" s="122"/>
      <c r="AB561" s="122"/>
      <c r="AC561" s="115"/>
      <c r="AD561" s="115"/>
      <c r="AE561" s="115"/>
      <c r="AF561" s="115"/>
      <c r="AG561" s="115"/>
      <c r="AH561" s="115"/>
      <c r="AI561" s="115"/>
      <c r="AJ561" s="115"/>
      <c r="AK561" s="115"/>
      <c r="AL561" s="115"/>
      <c r="AM561" s="115"/>
      <c r="AN561" s="115"/>
      <c r="AO561" s="115"/>
      <c r="AP561" s="115"/>
      <c r="AQ561" s="26"/>
      <c r="AR561" s="15"/>
      <c r="AU561" s="114"/>
    </row>
    <row r="562" spans="3:47" x14ac:dyDescent="0.4"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22"/>
      <c r="AA562" s="122"/>
      <c r="AB562" s="122"/>
      <c r="AC562" s="115"/>
      <c r="AD562" s="115"/>
      <c r="AE562" s="115"/>
      <c r="AF562" s="115"/>
      <c r="AG562" s="115"/>
      <c r="AH562" s="115"/>
      <c r="AI562" s="115"/>
      <c r="AJ562" s="115"/>
      <c r="AK562" s="115"/>
      <c r="AL562" s="115"/>
      <c r="AM562" s="115"/>
      <c r="AN562" s="115"/>
      <c r="AO562" s="115"/>
      <c r="AP562" s="115"/>
      <c r="AQ562" s="26"/>
      <c r="AR562" s="15"/>
      <c r="AU562" s="114"/>
    </row>
    <row r="563" spans="3:47" x14ac:dyDescent="0.4"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22"/>
      <c r="AA563" s="122"/>
      <c r="AB563" s="122"/>
      <c r="AC563" s="115"/>
      <c r="AD563" s="115"/>
      <c r="AE563" s="115"/>
      <c r="AF563" s="115"/>
      <c r="AG563" s="115"/>
      <c r="AH563" s="115"/>
      <c r="AI563" s="115"/>
      <c r="AJ563" s="115"/>
      <c r="AK563" s="115"/>
      <c r="AL563" s="115"/>
      <c r="AM563" s="115"/>
      <c r="AN563" s="115"/>
      <c r="AO563" s="115"/>
      <c r="AP563" s="115"/>
      <c r="AQ563" s="26"/>
      <c r="AR563" s="15"/>
      <c r="AU563" s="114"/>
    </row>
    <row r="564" spans="3:47" x14ac:dyDescent="0.4"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22"/>
      <c r="AA564" s="122"/>
      <c r="AB564" s="122"/>
      <c r="AC564" s="115"/>
      <c r="AD564" s="115"/>
      <c r="AE564" s="115"/>
      <c r="AF564" s="115"/>
      <c r="AG564" s="115"/>
      <c r="AH564" s="115"/>
      <c r="AI564" s="115"/>
      <c r="AJ564" s="115"/>
      <c r="AK564" s="115"/>
      <c r="AL564" s="115"/>
      <c r="AM564" s="115"/>
      <c r="AN564" s="115"/>
      <c r="AO564" s="115"/>
      <c r="AP564" s="115"/>
      <c r="AQ564" s="26"/>
      <c r="AR564" s="13"/>
      <c r="AU564" s="114"/>
    </row>
    <row r="565" spans="3:47" x14ac:dyDescent="0.4"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22"/>
      <c r="AA565" s="122"/>
      <c r="AB565" s="122"/>
      <c r="AC565" s="115"/>
      <c r="AD565" s="115"/>
      <c r="AE565" s="115"/>
      <c r="AF565" s="115"/>
      <c r="AG565" s="115"/>
      <c r="AH565" s="115"/>
      <c r="AI565" s="115"/>
      <c r="AJ565" s="115"/>
      <c r="AK565" s="115"/>
      <c r="AL565" s="115"/>
      <c r="AM565" s="115"/>
      <c r="AN565" s="115"/>
      <c r="AO565" s="115"/>
      <c r="AP565" s="115"/>
      <c r="AQ565" s="26"/>
      <c r="AR565" s="13"/>
      <c r="AU565" s="114"/>
    </row>
    <row r="566" spans="3:47" x14ac:dyDescent="0.4"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22"/>
      <c r="AA566" s="122"/>
      <c r="AB566" s="122"/>
      <c r="AC566" s="115"/>
      <c r="AD566" s="115"/>
      <c r="AE566" s="115"/>
      <c r="AF566" s="115"/>
      <c r="AG566" s="115"/>
      <c r="AH566" s="115"/>
      <c r="AI566" s="115"/>
      <c r="AJ566" s="115"/>
      <c r="AK566" s="115"/>
      <c r="AL566" s="115"/>
      <c r="AM566" s="115"/>
      <c r="AN566" s="115"/>
      <c r="AO566" s="115"/>
      <c r="AP566" s="115"/>
      <c r="AQ566" s="26"/>
      <c r="AR566" s="13"/>
      <c r="AU566" s="114"/>
    </row>
    <row r="567" spans="3:47" x14ac:dyDescent="0.4"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22"/>
      <c r="AA567" s="122"/>
      <c r="AB567" s="122"/>
      <c r="AC567" s="115"/>
      <c r="AD567" s="115"/>
      <c r="AE567" s="115"/>
      <c r="AF567" s="115"/>
      <c r="AG567" s="115"/>
      <c r="AH567" s="115"/>
      <c r="AI567" s="115"/>
      <c r="AJ567" s="115"/>
      <c r="AK567" s="115"/>
      <c r="AL567" s="115"/>
      <c r="AM567" s="115"/>
      <c r="AN567" s="115"/>
      <c r="AO567" s="115"/>
      <c r="AP567" s="115"/>
      <c r="AQ567" s="17"/>
      <c r="AR567" s="13"/>
      <c r="AU567" s="114"/>
    </row>
    <row r="568" spans="3:47" x14ac:dyDescent="0.4"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22"/>
      <c r="AA568" s="122"/>
      <c r="AB568" s="122"/>
      <c r="AC568" s="115"/>
      <c r="AD568" s="115"/>
      <c r="AE568" s="115"/>
      <c r="AF568" s="115"/>
      <c r="AG568" s="115"/>
      <c r="AH568" s="115"/>
      <c r="AI568" s="115"/>
      <c r="AJ568" s="115"/>
      <c r="AK568" s="115"/>
      <c r="AL568" s="115"/>
      <c r="AM568" s="115"/>
      <c r="AN568" s="115"/>
      <c r="AO568" s="115"/>
      <c r="AP568" s="115"/>
      <c r="AQ568" s="26"/>
      <c r="AR568" s="13"/>
      <c r="AU568" s="114"/>
    </row>
    <row r="569" spans="3:47" x14ac:dyDescent="0.4"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22"/>
      <c r="AA569" s="122"/>
      <c r="AB569" s="122"/>
      <c r="AC569" s="115"/>
      <c r="AD569" s="115"/>
      <c r="AE569" s="115"/>
      <c r="AF569" s="115"/>
      <c r="AG569" s="115"/>
      <c r="AH569" s="115"/>
      <c r="AI569" s="115"/>
      <c r="AJ569" s="115"/>
      <c r="AK569" s="115"/>
      <c r="AL569" s="115"/>
      <c r="AM569" s="115"/>
      <c r="AN569" s="115"/>
      <c r="AO569" s="115"/>
      <c r="AP569" s="115"/>
      <c r="AQ569" s="26"/>
      <c r="AR569" s="25"/>
      <c r="AU569" s="114"/>
    </row>
    <row r="570" spans="3:47" x14ac:dyDescent="0.4"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22"/>
      <c r="AA570" s="122"/>
      <c r="AB570" s="122"/>
      <c r="AC570" s="115"/>
      <c r="AD570" s="115"/>
      <c r="AE570" s="115"/>
      <c r="AF570" s="115"/>
      <c r="AG570" s="115"/>
      <c r="AH570" s="115"/>
      <c r="AI570" s="115"/>
      <c r="AJ570" s="115"/>
      <c r="AK570" s="115"/>
      <c r="AL570" s="115"/>
      <c r="AM570" s="115"/>
      <c r="AN570" s="115"/>
      <c r="AO570" s="115"/>
      <c r="AP570" s="115"/>
      <c r="AQ570" s="26"/>
      <c r="AR570" s="13"/>
      <c r="AU570" s="114"/>
    </row>
    <row r="571" spans="3:47" x14ac:dyDescent="0.4"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22"/>
      <c r="AA571" s="122"/>
      <c r="AB571" s="122"/>
      <c r="AC571" s="115"/>
      <c r="AD571" s="115"/>
      <c r="AE571" s="115"/>
      <c r="AF571" s="115"/>
      <c r="AG571" s="115"/>
      <c r="AH571" s="115"/>
      <c r="AI571" s="115"/>
      <c r="AJ571" s="115"/>
      <c r="AK571" s="115"/>
      <c r="AL571" s="115"/>
      <c r="AM571" s="115"/>
      <c r="AN571" s="115"/>
      <c r="AO571" s="115"/>
      <c r="AP571" s="115"/>
      <c r="AQ571" s="26"/>
      <c r="AR571" s="13"/>
      <c r="AU571" s="114"/>
    </row>
    <row r="572" spans="3:47" x14ac:dyDescent="0.4"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22"/>
      <c r="AA572" s="122"/>
      <c r="AB572" s="122"/>
      <c r="AC572" s="115"/>
      <c r="AD572" s="115"/>
      <c r="AE572" s="115"/>
      <c r="AF572" s="115"/>
      <c r="AG572" s="115"/>
      <c r="AH572" s="115"/>
      <c r="AI572" s="115"/>
      <c r="AJ572" s="115"/>
      <c r="AK572" s="115"/>
      <c r="AL572" s="115"/>
      <c r="AM572" s="115"/>
      <c r="AN572" s="115"/>
      <c r="AO572" s="115"/>
      <c r="AP572" s="115"/>
      <c r="AQ572" s="26"/>
      <c r="AR572" s="13"/>
      <c r="AU572" s="114"/>
    </row>
    <row r="573" spans="3:47" x14ac:dyDescent="0.4"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22"/>
      <c r="AA573" s="122"/>
      <c r="AB573" s="122"/>
      <c r="AC573" s="115"/>
      <c r="AD573" s="115"/>
      <c r="AE573" s="115"/>
      <c r="AF573" s="115"/>
      <c r="AG573" s="115"/>
      <c r="AH573" s="115"/>
      <c r="AI573" s="115"/>
      <c r="AJ573" s="115"/>
      <c r="AK573" s="115"/>
      <c r="AL573" s="115"/>
      <c r="AM573" s="115"/>
      <c r="AN573" s="115"/>
      <c r="AO573" s="115"/>
      <c r="AP573" s="115"/>
      <c r="AQ573" s="26"/>
      <c r="AR573" s="13"/>
      <c r="AU573" s="114"/>
    </row>
    <row r="574" spans="3:47" x14ac:dyDescent="0.4"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22"/>
      <c r="AA574" s="122"/>
      <c r="AB574" s="122"/>
      <c r="AC574" s="115"/>
      <c r="AD574" s="115"/>
      <c r="AE574" s="115"/>
      <c r="AF574" s="115"/>
      <c r="AQ574" s="26"/>
      <c r="AR574" s="13"/>
      <c r="AU574" s="114"/>
    </row>
    <row r="575" spans="3:47" x14ac:dyDescent="0.4"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22"/>
      <c r="AA575" s="122"/>
      <c r="AB575" s="122"/>
      <c r="AC575" s="115"/>
      <c r="AD575" s="115"/>
      <c r="AE575" s="115"/>
      <c r="AF575" s="115"/>
      <c r="AG575" s="115"/>
      <c r="AH575" s="115"/>
      <c r="AI575" s="115"/>
      <c r="AJ575" s="115"/>
      <c r="AK575" s="115"/>
      <c r="AL575" s="115"/>
      <c r="AM575" s="115"/>
      <c r="AN575" s="115"/>
      <c r="AO575" s="115"/>
      <c r="AP575" s="115"/>
      <c r="AQ575" s="26"/>
      <c r="AR575" s="13"/>
      <c r="AU575" s="114"/>
    </row>
    <row r="576" spans="3:47" x14ac:dyDescent="0.4"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22"/>
      <c r="AA576" s="122"/>
      <c r="AB576" s="122"/>
      <c r="AC576" s="115"/>
      <c r="AD576" s="115"/>
      <c r="AE576" s="115"/>
      <c r="AF576" s="115"/>
      <c r="AG576" s="115"/>
      <c r="AH576" s="115"/>
      <c r="AI576" s="115"/>
      <c r="AJ576" s="115"/>
      <c r="AK576" s="115"/>
      <c r="AL576" s="115"/>
      <c r="AM576" s="115"/>
      <c r="AN576" s="115"/>
      <c r="AO576" s="115"/>
      <c r="AP576" s="115"/>
      <c r="AQ576" s="17"/>
      <c r="AR576" s="13"/>
      <c r="AU576" s="114"/>
    </row>
    <row r="577" spans="1:47" x14ac:dyDescent="0.4"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22"/>
      <c r="AA577" s="122"/>
      <c r="AB577" s="122"/>
      <c r="AC577" s="115"/>
      <c r="AD577" s="115"/>
      <c r="AE577" s="115"/>
      <c r="AF577" s="115"/>
      <c r="AG577" s="115"/>
      <c r="AH577" s="115"/>
      <c r="AI577" s="115"/>
      <c r="AJ577" s="115"/>
      <c r="AK577" s="115"/>
      <c r="AL577" s="115"/>
      <c r="AM577" s="115"/>
      <c r="AN577" s="115"/>
      <c r="AO577" s="115"/>
      <c r="AP577" s="115"/>
      <c r="AQ577" s="26"/>
      <c r="AR577" s="13"/>
      <c r="AU577" s="114"/>
    </row>
    <row r="578" spans="1:47" x14ac:dyDescent="0.4"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22"/>
      <c r="AA578" s="122"/>
      <c r="AB578" s="122"/>
      <c r="AC578" s="115"/>
      <c r="AD578" s="115"/>
      <c r="AE578" s="115"/>
      <c r="AF578" s="115"/>
      <c r="AG578" s="115"/>
      <c r="AH578" s="115"/>
      <c r="AI578" s="115"/>
      <c r="AJ578" s="115"/>
      <c r="AK578" s="115"/>
      <c r="AL578" s="115"/>
      <c r="AM578" s="115"/>
      <c r="AN578" s="115"/>
      <c r="AO578" s="115"/>
      <c r="AP578" s="115"/>
      <c r="AQ578" s="26"/>
      <c r="AR578" s="15"/>
      <c r="AU578" s="114"/>
    </row>
    <row r="579" spans="1:47" x14ac:dyDescent="0.4"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22"/>
      <c r="AA579" s="122"/>
      <c r="AB579" s="122"/>
      <c r="AC579" s="115"/>
      <c r="AD579" s="115"/>
      <c r="AE579" s="115"/>
      <c r="AF579" s="115"/>
      <c r="AG579" s="115"/>
      <c r="AH579" s="115"/>
      <c r="AI579" s="115"/>
      <c r="AJ579" s="115"/>
      <c r="AK579" s="115"/>
      <c r="AL579" s="115"/>
      <c r="AM579" s="115"/>
      <c r="AN579" s="115"/>
      <c r="AO579" s="115"/>
      <c r="AP579" s="115"/>
      <c r="AQ579" s="17"/>
      <c r="AR579" s="15"/>
      <c r="AU579" s="114"/>
    </row>
    <row r="580" spans="1:47" x14ac:dyDescent="0.4"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22"/>
      <c r="AA580" s="122"/>
      <c r="AB580" s="122"/>
      <c r="AC580" s="115"/>
      <c r="AD580" s="115"/>
      <c r="AE580" s="115"/>
      <c r="AF580" s="115"/>
      <c r="AG580" s="115"/>
      <c r="AH580" s="115"/>
      <c r="AI580" s="115"/>
      <c r="AJ580" s="115"/>
      <c r="AK580" s="115"/>
      <c r="AL580" s="115"/>
      <c r="AM580" s="115"/>
      <c r="AN580" s="115"/>
      <c r="AO580" s="115"/>
      <c r="AP580" s="115"/>
      <c r="AQ580" s="26"/>
      <c r="AR580" s="15"/>
      <c r="AU580" s="114"/>
    </row>
    <row r="581" spans="1:47" x14ac:dyDescent="0.4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22"/>
      <c r="AA581" s="122"/>
      <c r="AB581" s="122"/>
      <c r="AC581" s="115"/>
      <c r="AD581" s="115"/>
      <c r="AE581" s="115"/>
      <c r="AF581" s="115"/>
      <c r="AG581" s="115"/>
      <c r="AH581" s="115"/>
      <c r="AI581" s="115"/>
      <c r="AJ581" s="115"/>
      <c r="AK581" s="115"/>
      <c r="AL581" s="115"/>
      <c r="AM581" s="115"/>
      <c r="AN581" s="115"/>
      <c r="AO581" s="115"/>
      <c r="AP581" s="115"/>
      <c r="AQ581" s="26"/>
      <c r="AR581" s="15"/>
      <c r="AU581" s="114"/>
    </row>
    <row r="582" spans="1:47" x14ac:dyDescent="0.4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22"/>
      <c r="AA582" s="122"/>
      <c r="AB582" s="122"/>
      <c r="AC582" s="115"/>
      <c r="AD582" s="115"/>
      <c r="AE582" s="115"/>
      <c r="AF582" s="115"/>
      <c r="AG582" s="115"/>
      <c r="AH582" s="115"/>
      <c r="AI582" s="115"/>
      <c r="AJ582" s="115"/>
      <c r="AK582" s="115"/>
      <c r="AL582" s="115"/>
      <c r="AM582" s="115"/>
      <c r="AN582" s="115"/>
      <c r="AO582" s="115"/>
      <c r="AP582" s="115"/>
      <c r="AQ582" s="17"/>
      <c r="AR582" s="13"/>
      <c r="AU582" s="114"/>
    </row>
    <row r="583" spans="1:47" x14ac:dyDescent="0.4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22"/>
      <c r="AA583" s="122"/>
      <c r="AB583" s="122"/>
      <c r="AC583" s="115"/>
      <c r="AD583" s="115"/>
      <c r="AE583" s="115"/>
      <c r="AF583" s="115"/>
      <c r="AG583" s="115"/>
      <c r="AH583" s="115"/>
      <c r="AI583" s="115"/>
      <c r="AJ583" s="115"/>
      <c r="AK583" s="115"/>
      <c r="AL583" s="115"/>
      <c r="AM583" s="115"/>
      <c r="AN583" s="115"/>
      <c r="AO583" s="115"/>
      <c r="AP583" s="115"/>
      <c r="AQ583" s="17"/>
      <c r="AR583" s="13"/>
      <c r="AU583" s="114"/>
    </row>
    <row r="584" spans="1:47" x14ac:dyDescent="0.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22"/>
      <c r="AA584" s="122"/>
      <c r="AB584" s="122"/>
      <c r="AC584" s="115"/>
      <c r="AD584" s="115"/>
      <c r="AE584" s="115"/>
      <c r="AF584" s="115"/>
      <c r="AG584" s="115"/>
      <c r="AH584" s="115"/>
      <c r="AI584" s="115"/>
      <c r="AJ584" s="115"/>
      <c r="AK584" s="115"/>
      <c r="AL584" s="115"/>
      <c r="AM584" s="115"/>
      <c r="AN584" s="115"/>
      <c r="AO584" s="115"/>
      <c r="AP584" s="115"/>
      <c r="AQ584" s="26"/>
      <c r="AR584" s="13"/>
      <c r="AU584" s="114"/>
    </row>
    <row r="585" spans="1:47" x14ac:dyDescent="0.4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22"/>
      <c r="AA585" s="122"/>
      <c r="AB585" s="122"/>
      <c r="AC585" s="115"/>
      <c r="AD585" s="115"/>
      <c r="AE585" s="115"/>
      <c r="AF585" s="115"/>
      <c r="AG585" s="115"/>
      <c r="AH585" s="115"/>
      <c r="AI585" s="115"/>
      <c r="AJ585" s="115"/>
      <c r="AK585" s="115"/>
      <c r="AL585" s="115"/>
      <c r="AM585" s="115"/>
      <c r="AN585" s="115"/>
      <c r="AO585" s="115"/>
      <c r="AP585" s="115"/>
      <c r="AQ585" s="26"/>
      <c r="AR585" s="13"/>
      <c r="AU585" s="114"/>
    </row>
    <row r="586" spans="1:47" x14ac:dyDescent="0.4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22"/>
      <c r="AA586" s="122"/>
      <c r="AB586" s="122"/>
      <c r="AC586" s="115"/>
      <c r="AD586" s="115"/>
      <c r="AE586" s="115"/>
      <c r="AF586" s="115"/>
      <c r="AG586" s="115"/>
      <c r="AH586" s="115"/>
      <c r="AI586" s="115"/>
      <c r="AJ586" s="115"/>
      <c r="AK586" s="115"/>
      <c r="AL586" s="115"/>
      <c r="AM586" s="115"/>
      <c r="AN586" s="115"/>
      <c r="AO586" s="115"/>
      <c r="AP586" s="115"/>
      <c r="AQ586" s="17"/>
      <c r="AR586" s="13"/>
      <c r="AU586" s="114"/>
    </row>
    <row r="587" spans="1:47" x14ac:dyDescent="0.4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22"/>
      <c r="AA587" s="122"/>
      <c r="AB587" s="122"/>
      <c r="AC587" s="115"/>
      <c r="AD587" s="115"/>
      <c r="AE587" s="115"/>
      <c r="AF587" s="115"/>
      <c r="AG587" s="115"/>
      <c r="AH587" s="115"/>
      <c r="AI587" s="115"/>
      <c r="AJ587" s="115"/>
      <c r="AK587" s="115"/>
      <c r="AL587" s="115"/>
      <c r="AM587" s="115"/>
      <c r="AN587" s="115"/>
      <c r="AO587" s="115"/>
      <c r="AP587" s="115"/>
      <c r="AQ587" s="26"/>
      <c r="AR587" s="15"/>
      <c r="AU587" s="114"/>
    </row>
    <row r="588" spans="1:47" x14ac:dyDescent="0.4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22"/>
      <c r="AA588" s="122"/>
      <c r="AB588" s="122"/>
      <c r="AC588" s="115"/>
      <c r="AD588" s="115"/>
      <c r="AE588" s="115"/>
      <c r="AF588" s="115"/>
      <c r="AG588" s="115"/>
      <c r="AH588" s="115"/>
      <c r="AI588" s="115"/>
      <c r="AJ588" s="115"/>
      <c r="AK588" s="115"/>
      <c r="AL588" s="115"/>
      <c r="AM588" s="115"/>
      <c r="AN588" s="115"/>
      <c r="AO588" s="115"/>
      <c r="AP588" s="115"/>
      <c r="AQ588" s="26"/>
      <c r="AR588" s="15"/>
      <c r="AU588" s="114"/>
    </row>
    <row r="589" spans="1:47" x14ac:dyDescent="0.4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22"/>
      <c r="AA589" s="122"/>
      <c r="AB589" s="122"/>
      <c r="AC589" s="115"/>
      <c r="AD589" s="115"/>
      <c r="AE589" s="115"/>
      <c r="AF589" s="115"/>
      <c r="AG589" s="115"/>
      <c r="AH589" s="115"/>
      <c r="AI589" s="115"/>
      <c r="AJ589" s="115"/>
      <c r="AK589" s="115"/>
      <c r="AL589" s="115"/>
      <c r="AM589" s="115"/>
      <c r="AN589" s="115"/>
      <c r="AO589" s="115"/>
      <c r="AP589" s="115"/>
      <c r="AQ589" s="26"/>
      <c r="AR589" s="15"/>
      <c r="AU589" s="114"/>
    </row>
    <row r="590" spans="1:47" x14ac:dyDescent="0.4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22"/>
      <c r="AA590" s="122"/>
      <c r="AB590" s="122"/>
      <c r="AC590" s="115"/>
      <c r="AD590" s="115"/>
      <c r="AE590" s="115"/>
      <c r="AF590" s="115"/>
      <c r="AG590" s="115"/>
      <c r="AH590" s="115"/>
      <c r="AI590" s="115"/>
      <c r="AJ590" s="115"/>
      <c r="AK590" s="115"/>
      <c r="AL590" s="115"/>
      <c r="AM590" s="115"/>
      <c r="AN590" s="115"/>
      <c r="AO590" s="115"/>
      <c r="AP590" s="115"/>
      <c r="AQ590" s="26"/>
      <c r="AR590" s="13"/>
      <c r="AU590" s="114"/>
    </row>
    <row r="591" spans="1:47" x14ac:dyDescent="0.4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22"/>
      <c r="AA591" s="122"/>
      <c r="AB591" s="122"/>
      <c r="AC591" s="115"/>
      <c r="AD591" s="115"/>
      <c r="AE591" s="115"/>
      <c r="AF591" s="115"/>
      <c r="AG591" s="115"/>
      <c r="AH591" s="115"/>
      <c r="AI591" s="115"/>
      <c r="AJ591" s="115"/>
      <c r="AK591" s="115"/>
      <c r="AL591" s="115"/>
      <c r="AM591" s="115"/>
      <c r="AN591" s="115"/>
      <c r="AO591" s="115"/>
      <c r="AP591" s="115"/>
      <c r="AQ591" s="26"/>
      <c r="AR591" s="25"/>
      <c r="AU591" s="114"/>
    </row>
    <row r="592" spans="1:47" x14ac:dyDescent="0.4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22"/>
      <c r="AA592" s="122"/>
      <c r="AB592" s="122"/>
      <c r="AC592" s="115"/>
      <c r="AD592" s="115"/>
      <c r="AE592" s="115"/>
      <c r="AF592" s="115"/>
      <c r="AG592" s="115"/>
      <c r="AH592" s="115"/>
      <c r="AI592" s="115"/>
      <c r="AJ592" s="115"/>
      <c r="AK592" s="115"/>
      <c r="AL592" s="115"/>
      <c r="AM592" s="115"/>
      <c r="AN592" s="115"/>
      <c r="AO592" s="115"/>
      <c r="AP592" s="115"/>
      <c r="AQ592" s="26"/>
      <c r="AR592" s="13"/>
      <c r="AU592" s="114"/>
    </row>
    <row r="593" spans="1:47" x14ac:dyDescent="0.4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22"/>
      <c r="AA593" s="122"/>
      <c r="AB593" s="122"/>
      <c r="AC593" s="115"/>
      <c r="AD593" s="115"/>
      <c r="AE593" s="115"/>
      <c r="AF593" s="115"/>
      <c r="AG593" s="115"/>
      <c r="AH593" s="115"/>
      <c r="AI593" s="115"/>
      <c r="AJ593" s="115"/>
      <c r="AK593" s="115"/>
      <c r="AL593" s="115"/>
      <c r="AM593" s="115"/>
      <c r="AN593" s="115"/>
      <c r="AO593" s="115"/>
      <c r="AP593" s="115"/>
      <c r="AQ593" s="26"/>
      <c r="AR593" s="13"/>
      <c r="AU593" s="114"/>
    </row>
    <row r="594" spans="1:47" x14ac:dyDescent="0.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22"/>
      <c r="AA594" s="122"/>
      <c r="AB594" s="122"/>
      <c r="AC594" s="115"/>
      <c r="AD594" s="115"/>
      <c r="AE594" s="115"/>
      <c r="AF594" s="115"/>
      <c r="AG594" s="115"/>
      <c r="AH594" s="115"/>
      <c r="AI594" s="115"/>
      <c r="AJ594" s="115"/>
      <c r="AK594" s="115"/>
      <c r="AL594" s="115"/>
      <c r="AM594" s="115"/>
      <c r="AN594" s="115"/>
      <c r="AO594" s="115"/>
      <c r="AP594" s="115"/>
      <c r="AQ594" s="26"/>
      <c r="AR594" s="13"/>
      <c r="AU594" s="114"/>
    </row>
    <row r="595" spans="1:47" x14ac:dyDescent="0.4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22"/>
      <c r="AA595" s="122"/>
      <c r="AB595" s="122"/>
      <c r="AC595" s="115"/>
      <c r="AD595" s="115"/>
      <c r="AE595" s="115"/>
      <c r="AF595" s="115"/>
      <c r="AG595" s="115"/>
      <c r="AH595" s="115"/>
      <c r="AI595" s="115"/>
      <c r="AJ595" s="115"/>
      <c r="AK595" s="115"/>
      <c r="AL595" s="115"/>
      <c r="AM595" s="115"/>
      <c r="AN595" s="115"/>
      <c r="AO595" s="115"/>
      <c r="AP595" s="115"/>
      <c r="AQ595" s="26"/>
      <c r="AR595" s="13"/>
      <c r="AU595" s="114"/>
    </row>
    <row r="596" spans="1:47" x14ac:dyDescent="0.4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22"/>
      <c r="AA596" s="122"/>
      <c r="AB596" s="122"/>
      <c r="AC596" s="115"/>
      <c r="AD596" s="115"/>
      <c r="AE596" s="115"/>
      <c r="AF596" s="115"/>
      <c r="AG596" s="115"/>
      <c r="AH596" s="115"/>
      <c r="AI596" s="115"/>
      <c r="AJ596" s="115"/>
      <c r="AK596" s="115"/>
      <c r="AL596" s="115"/>
      <c r="AM596" s="115"/>
      <c r="AN596" s="115"/>
      <c r="AO596" s="115"/>
      <c r="AP596" s="115"/>
      <c r="AQ596" s="26"/>
      <c r="AR596" s="13"/>
      <c r="AU596" s="114"/>
    </row>
    <row r="597" spans="1:47" x14ac:dyDescent="0.4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22"/>
      <c r="AA597" s="122"/>
      <c r="AB597" s="122"/>
      <c r="AC597" s="115"/>
      <c r="AD597" s="115"/>
      <c r="AE597" s="115"/>
      <c r="AF597" s="115"/>
      <c r="AG597" s="115"/>
      <c r="AH597" s="115"/>
      <c r="AI597" s="115"/>
      <c r="AJ597" s="115"/>
      <c r="AK597" s="115"/>
      <c r="AL597" s="115"/>
      <c r="AM597" s="115"/>
      <c r="AN597" s="115"/>
      <c r="AO597" s="115"/>
      <c r="AP597" s="115"/>
      <c r="AQ597" s="26"/>
      <c r="AR597" s="13"/>
      <c r="AU597" s="114"/>
    </row>
    <row r="598" spans="1:47" x14ac:dyDescent="0.4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22"/>
      <c r="AA598" s="122"/>
      <c r="AB598" s="122"/>
      <c r="AC598" s="115"/>
      <c r="AD598" s="115"/>
      <c r="AE598" s="115"/>
      <c r="AF598" s="115"/>
      <c r="AG598" s="115"/>
      <c r="AH598" s="115"/>
      <c r="AI598" s="115"/>
      <c r="AJ598" s="115"/>
      <c r="AK598" s="115"/>
      <c r="AL598" s="115"/>
      <c r="AM598" s="115"/>
      <c r="AN598" s="115"/>
      <c r="AO598" s="115"/>
      <c r="AP598" s="115"/>
      <c r="AQ598" s="26"/>
      <c r="AR598" s="13"/>
      <c r="AU598" s="114"/>
    </row>
    <row r="599" spans="1:47" x14ac:dyDescent="0.4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22"/>
      <c r="AA599" s="122"/>
      <c r="AB599" s="122"/>
      <c r="AC599" s="115"/>
      <c r="AD599" s="115"/>
      <c r="AE599" s="115"/>
      <c r="AF599" s="115"/>
      <c r="AG599" s="115"/>
      <c r="AH599" s="115"/>
      <c r="AI599" s="115"/>
      <c r="AJ599" s="115"/>
      <c r="AK599" s="115"/>
      <c r="AL599" s="115"/>
      <c r="AM599" s="115"/>
      <c r="AN599" s="115"/>
      <c r="AO599" s="115"/>
      <c r="AP599" s="115"/>
      <c r="AQ599" s="26"/>
      <c r="AR599" s="13"/>
      <c r="AU599" s="114"/>
    </row>
    <row r="600" spans="1:47" x14ac:dyDescent="0.4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22"/>
      <c r="AA600" s="122"/>
      <c r="AB600" s="122"/>
      <c r="AC600" s="115"/>
      <c r="AD600" s="115"/>
      <c r="AE600" s="115"/>
      <c r="AF600" s="115"/>
      <c r="AG600" s="115"/>
      <c r="AH600" s="115"/>
      <c r="AI600" s="115"/>
      <c r="AJ600" s="115"/>
      <c r="AK600" s="115"/>
      <c r="AL600" s="115"/>
      <c r="AM600" s="115"/>
      <c r="AN600" s="115"/>
      <c r="AO600" s="115"/>
      <c r="AP600" s="115"/>
      <c r="AQ600" s="26"/>
      <c r="AR600" s="13"/>
      <c r="AU600" s="114"/>
    </row>
    <row r="601" spans="1:47" x14ac:dyDescent="0.4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22"/>
      <c r="AA601" s="122"/>
      <c r="AB601" s="122"/>
      <c r="AC601" s="115"/>
      <c r="AD601" s="115"/>
      <c r="AE601" s="115"/>
      <c r="AF601" s="115"/>
      <c r="AG601" s="115"/>
      <c r="AH601" s="115"/>
      <c r="AI601" s="115"/>
      <c r="AJ601" s="115"/>
      <c r="AK601" s="115"/>
      <c r="AL601" s="115"/>
      <c r="AM601" s="115"/>
      <c r="AN601" s="115"/>
      <c r="AO601" s="115"/>
      <c r="AP601" s="115"/>
      <c r="AQ601" s="26"/>
      <c r="AR601" s="13"/>
      <c r="AU601" s="114"/>
    </row>
    <row r="602" spans="1:47" x14ac:dyDescent="0.4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22"/>
      <c r="AA602" s="122"/>
      <c r="AB602" s="122"/>
      <c r="AC602" s="115"/>
      <c r="AD602" s="115"/>
      <c r="AE602" s="115"/>
      <c r="AF602" s="115"/>
      <c r="AG602" s="115"/>
      <c r="AH602" s="115"/>
      <c r="AI602" s="115"/>
      <c r="AJ602" s="115"/>
      <c r="AK602" s="115"/>
      <c r="AL602" s="115"/>
      <c r="AM602" s="115"/>
      <c r="AN602" s="115"/>
      <c r="AO602" s="115"/>
      <c r="AP602" s="115"/>
      <c r="AQ602" s="26"/>
      <c r="AR602" s="15"/>
      <c r="AU602" s="114"/>
    </row>
    <row r="603" spans="1:47" x14ac:dyDescent="0.4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22"/>
      <c r="AA603" s="122"/>
      <c r="AB603" s="122"/>
      <c r="AC603" s="115"/>
      <c r="AD603" s="115"/>
      <c r="AE603" s="115"/>
      <c r="AF603" s="115"/>
      <c r="AG603" s="115"/>
      <c r="AH603" s="115"/>
      <c r="AI603" s="115"/>
      <c r="AJ603" s="115"/>
      <c r="AK603" s="115"/>
      <c r="AL603" s="115"/>
      <c r="AM603" s="115"/>
      <c r="AN603" s="115"/>
      <c r="AO603" s="115"/>
      <c r="AP603" s="115"/>
      <c r="AQ603" s="26"/>
      <c r="AR603" s="15"/>
      <c r="AU603" s="114"/>
    </row>
    <row r="604" spans="1:47" x14ac:dyDescent="0.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22"/>
      <c r="AA604" s="122"/>
      <c r="AB604" s="122"/>
      <c r="AC604" s="115"/>
      <c r="AD604" s="115"/>
      <c r="AE604" s="115"/>
      <c r="AF604" s="115"/>
      <c r="AG604" s="115"/>
      <c r="AH604" s="115"/>
      <c r="AI604" s="115"/>
      <c r="AJ604" s="115"/>
      <c r="AK604" s="115"/>
      <c r="AL604" s="115"/>
      <c r="AM604" s="115"/>
      <c r="AN604" s="115"/>
      <c r="AO604" s="115"/>
      <c r="AP604" s="115"/>
      <c r="AQ604" s="26"/>
      <c r="AR604" s="15"/>
      <c r="AU604" s="114"/>
    </row>
    <row r="605" spans="1:47" x14ac:dyDescent="0.4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22"/>
      <c r="AA605" s="122"/>
      <c r="AB605" s="122"/>
      <c r="AC605" s="115"/>
      <c r="AD605" s="115"/>
      <c r="AE605" s="115"/>
      <c r="AF605" s="115"/>
      <c r="AG605" s="115"/>
      <c r="AH605" s="115"/>
      <c r="AI605" s="115"/>
      <c r="AJ605" s="115"/>
      <c r="AK605" s="115"/>
      <c r="AL605" s="115"/>
      <c r="AM605" s="115"/>
      <c r="AN605" s="115"/>
      <c r="AO605" s="115"/>
      <c r="AP605" s="115"/>
      <c r="AQ605" s="26"/>
      <c r="AR605" s="15"/>
      <c r="AU605" s="114"/>
    </row>
    <row r="606" spans="1:47" x14ac:dyDescent="0.4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22"/>
      <c r="AA606" s="122"/>
      <c r="AB606" s="122"/>
      <c r="AC606" s="115"/>
      <c r="AD606" s="115"/>
      <c r="AE606" s="115"/>
      <c r="AF606" s="115"/>
      <c r="AG606" s="115"/>
      <c r="AH606" s="115"/>
      <c r="AI606" s="115"/>
      <c r="AJ606" s="115"/>
      <c r="AK606" s="115"/>
      <c r="AL606" s="115"/>
      <c r="AM606" s="115"/>
      <c r="AN606" s="115"/>
      <c r="AO606" s="115"/>
      <c r="AP606" s="115"/>
      <c r="AQ606" s="26"/>
      <c r="AR606" s="13"/>
      <c r="AU606" s="114"/>
    </row>
    <row r="607" spans="1:47" x14ac:dyDescent="0.4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22"/>
      <c r="AA607" s="122"/>
      <c r="AB607" s="122"/>
      <c r="AC607" s="115"/>
      <c r="AD607" s="115"/>
      <c r="AE607" s="115"/>
      <c r="AF607" s="115"/>
      <c r="AG607" s="115"/>
      <c r="AH607" s="115"/>
      <c r="AI607" s="115"/>
      <c r="AJ607" s="115"/>
      <c r="AK607" s="115"/>
      <c r="AL607" s="115"/>
      <c r="AM607" s="115"/>
      <c r="AN607" s="115"/>
      <c r="AO607" s="115"/>
      <c r="AP607" s="115"/>
      <c r="AQ607" s="26"/>
      <c r="AR607" s="15"/>
      <c r="AU607" s="114"/>
    </row>
    <row r="608" spans="1:47" x14ac:dyDescent="0.4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22"/>
      <c r="AA608" s="122"/>
      <c r="AB608" s="122"/>
      <c r="AC608" s="115"/>
      <c r="AD608" s="115"/>
      <c r="AE608" s="115"/>
      <c r="AF608" s="115"/>
      <c r="AG608" s="115"/>
      <c r="AH608" s="115"/>
      <c r="AI608" s="115"/>
      <c r="AJ608" s="115"/>
      <c r="AK608" s="115"/>
      <c r="AL608" s="115"/>
      <c r="AM608" s="115"/>
      <c r="AN608" s="115"/>
      <c r="AO608" s="115"/>
      <c r="AP608" s="115"/>
      <c r="AQ608" s="26"/>
      <c r="AR608" s="15"/>
      <c r="AU608" s="114"/>
    </row>
    <row r="609" spans="1:47" x14ac:dyDescent="0.4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22"/>
      <c r="AA609" s="122"/>
      <c r="AB609" s="122"/>
      <c r="AC609" s="115"/>
      <c r="AD609" s="115"/>
      <c r="AE609" s="115"/>
      <c r="AF609" s="115"/>
      <c r="AG609" s="115"/>
      <c r="AH609" s="115"/>
      <c r="AI609" s="115"/>
      <c r="AJ609" s="115"/>
      <c r="AK609" s="115"/>
      <c r="AL609" s="115"/>
      <c r="AM609" s="115"/>
      <c r="AN609" s="115"/>
      <c r="AO609" s="115"/>
      <c r="AP609" s="115"/>
      <c r="AQ609" s="26"/>
      <c r="AR609" s="15"/>
      <c r="AU609" s="114"/>
    </row>
    <row r="610" spans="1:47" x14ac:dyDescent="0.4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22"/>
      <c r="AA610" s="122"/>
      <c r="AB610" s="122"/>
      <c r="AC610" s="115"/>
      <c r="AD610" s="115"/>
      <c r="AE610" s="115"/>
      <c r="AF610" s="115"/>
      <c r="AG610" s="115"/>
      <c r="AH610" s="115"/>
      <c r="AI610" s="115"/>
      <c r="AJ610" s="115"/>
      <c r="AK610" s="115"/>
      <c r="AL610" s="115"/>
      <c r="AM610" s="115"/>
      <c r="AN610" s="115"/>
      <c r="AO610" s="115"/>
      <c r="AP610" s="115"/>
      <c r="AQ610" s="26"/>
      <c r="AR610" s="15"/>
      <c r="AU610" s="114"/>
    </row>
    <row r="611" spans="1:47" x14ac:dyDescent="0.4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22"/>
      <c r="AA611" s="122"/>
      <c r="AB611" s="122"/>
      <c r="AC611" s="115"/>
      <c r="AD611" s="115"/>
      <c r="AE611" s="115"/>
      <c r="AF611" s="115"/>
      <c r="AG611" s="115"/>
      <c r="AH611" s="115"/>
      <c r="AI611" s="115"/>
      <c r="AJ611" s="115"/>
      <c r="AK611" s="115"/>
      <c r="AL611" s="115"/>
      <c r="AM611" s="115"/>
      <c r="AN611" s="115"/>
      <c r="AO611" s="115"/>
      <c r="AP611" s="115"/>
      <c r="AQ611" s="26"/>
      <c r="AR611" s="15"/>
      <c r="AU611" s="114"/>
    </row>
    <row r="612" spans="1:47" x14ac:dyDescent="0.4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22"/>
      <c r="AA612" s="122"/>
      <c r="AB612" s="122"/>
      <c r="AC612" s="115"/>
      <c r="AD612" s="115"/>
      <c r="AE612" s="115"/>
      <c r="AF612" s="115"/>
      <c r="AG612" s="115"/>
      <c r="AH612" s="115"/>
      <c r="AI612" s="115"/>
      <c r="AJ612" s="115"/>
      <c r="AK612" s="115"/>
      <c r="AL612" s="115"/>
      <c r="AM612" s="115"/>
      <c r="AN612" s="115"/>
      <c r="AO612" s="115"/>
      <c r="AP612" s="115"/>
      <c r="AQ612" s="26"/>
      <c r="AR612" s="105"/>
      <c r="AU612" s="114"/>
    </row>
    <row r="613" spans="1:47" x14ac:dyDescent="0.4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22"/>
      <c r="AA613" s="122"/>
      <c r="AB613" s="122"/>
      <c r="AC613" s="115"/>
      <c r="AD613" s="115"/>
      <c r="AE613" s="115"/>
      <c r="AF613" s="115"/>
      <c r="AG613" s="115"/>
      <c r="AH613" s="115"/>
      <c r="AI613" s="115"/>
      <c r="AJ613" s="115"/>
      <c r="AK613" s="115"/>
      <c r="AL613" s="115"/>
      <c r="AM613" s="115"/>
      <c r="AN613" s="115"/>
      <c r="AO613" s="115"/>
      <c r="AP613" s="115"/>
      <c r="AQ613" s="17"/>
      <c r="AR613" s="15"/>
      <c r="AU613" s="114"/>
    </row>
    <row r="614" spans="1:47" x14ac:dyDescent="0.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22"/>
      <c r="AA614" s="122"/>
      <c r="AB614" s="122"/>
      <c r="AC614" s="115"/>
      <c r="AD614" s="115"/>
      <c r="AE614" s="115"/>
      <c r="AF614" s="115"/>
      <c r="AG614" s="115"/>
      <c r="AH614" s="115"/>
      <c r="AI614" s="115"/>
      <c r="AJ614" s="115"/>
      <c r="AK614" s="115"/>
      <c r="AL614" s="115"/>
      <c r="AM614" s="115"/>
      <c r="AN614" s="115"/>
      <c r="AO614" s="115"/>
      <c r="AP614" s="115"/>
      <c r="AQ614" s="26"/>
      <c r="AR614" s="15"/>
      <c r="AU614" s="114"/>
    </row>
    <row r="615" spans="1:47" x14ac:dyDescent="0.4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22"/>
      <c r="AA615" s="122"/>
      <c r="AB615" s="122"/>
      <c r="AC615" s="115"/>
      <c r="AD615" s="115"/>
      <c r="AE615" s="115"/>
      <c r="AF615" s="115"/>
      <c r="AG615" s="115"/>
      <c r="AH615" s="115"/>
      <c r="AI615" s="115"/>
      <c r="AJ615" s="115"/>
      <c r="AK615" s="115"/>
      <c r="AL615" s="115"/>
      <c r="AM615" s="115"/>
      <c r="AN615" s="115"/>
      <c r="AO615" s="115"/>
      <c r="AP615" s="115"/>
      <c r="AQ615" s="26"/>
      <c r="AR615" s="15"/>
      <c r="AU615" s="114"/>
    </row>
    <row r="616" spans="1:47" x14ac:dyDescent="0.4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22"/>
      <c r="AA616" s="122"/>
      <c r="AB616" s="122"/>
      <c r="AC616" s="115"/>
      <c r="AD616" s="115"/>
      <c r="AE616" s="115"/>
      <c r="AF616" s="115"/>
      <c r="AG616" s="115"/>
      <c r="AH616" s="115"/>
      <c r="AI616" s="115"/>
      <c r="AJ616" s="115"/>
      <c r="AK616" s="115"/>
      <c r="AL616" s="115"/>
      <c r="AM616" s="115"/>
      <c r="AN616" s="115"/>
      <c r="AO616" s="115"/>
      <c r="AP616" s="115"/>
      <c r="AQ616" s="26"/>
      <c r="AR616" s="105"/>
      <c r="AU616" s="114"/>
    </row>
    <row r="617" spans="1:47" x14ac:dyDescent="0.4">
      <c r="AQ617" s="26"/>
      <c r="AR617" s="15"/>
      <c r="AU617" s="114"/>
    </row>
    <row r="618" spans="1:47" x14ac:dyDescent="0.4">
      <c r="AA618" s="122"/>
      <c r="AB618" s="122"/>
      <c r="AC618" s="115"/>
      <c r="AD618" s="115"/>
      <c r="AE618" s="115"/>
      <c r="AF618" s="115"/>
      <c r="AG618" s="115"/>
      <c r="AH618" s="115"/>
      <c r="AI618" s="115"/>
      <c r="AJ618" s="115"/>
      <c r="AK618" s="115"/>
      <c r="AL618" s="115"/>
      <c r="AM618" s="115"/>
      <c r="AN618" s="115"/>
      <c r="AO618" s="115"/>
      <c r="AP618" s="115"/>
      <c r="AQ618" s="26"/>
      <c r="AR618" s="15"/>
      <c r="AU618" s="114"/>
    </row>
    <row r="619" spans="1:47" x14ac:dyDescent="0.4">
      <c r="W619" s="115"/>
      <c r="X619" s="115"/>
      <c r="Y619" s="115"/>
      <c r="Z619" s="122"/>
      <c r="AA619" s="122"/>
      <c r="AB619" s="122"/>
      <c r="AC619" s="115"/>
      <c r="AD619" s="115"/>
      <c r="AE619" s="115"/>
      <c r="AF619" s="115"/>
      <c r="AG619" s="115"/>
      <c r="AH619" s="115"/>
      <c r="AI619" s="115"/>
      <c r="AJ619" s="115"/>
      <c r="AK619" s="115"/>
      <c r="AL619" s="115"/>
      <c r="AM619" s="115"/>
      <c r="AN619" s="115"/>
      <c r="AO619" s="115"/>
      <c r="AP619" s="115"/>
      <c r="AQ619" s="26"/>
      <c r="AR619" s="15"/>
      <c r="AU619" s="114"/>
    </row>
    <row r="620" spans="1:47" x14ac:dyDescent="0.4"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22"/>
      <c r="AA620" s="122"/>
      <c r="AB620" s="122"/>
      <c r="AC620" s="115"/>
      <c r="AD620" s="115"/>
      <c r="AE620" s="115"/>
      <c r="AF620" s="115"/>
      <c r="AG620" s="115"/>
      <c r="AH620" s="115"/>
      <c r="AI620" s="115"/>
      <c r="AJ620" s="115"/>
      <c r="AK620" s="115"/>
      <c r="AL620" s="115"/>
      <c r="AM620" s="115"/>
      <c r="AN620" s="115"/>
      <c r="AO620" s="115"/>
      <c r="AP620" s="115"/>
      <c r="AQ620" s="26"/>
      <c r="AR620" s="15"/>
      <c r="AU620" s="114"/>
    </row>
    <row r="621" spans="1:47" x14ac:dyDescent="0.4"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22"/>
      <c r="AA621" s="122"/>
      <c r="AB621" s="122"/>
      <c r="AC621" s="115"/>
      <c r="AD621" s="115"/>
      <c r="AE621" s="115"/>
      <c r="AF621" s="115"/>
      <c r="AG621" s="115"/>
      <c r="AH621" s="115"/>
      <c r="AI621" s="115"/>
      <c r="AJ621" s="115"/>
      <c r="AK621" s="115"/>
      <c r="AL621" s="115"/>
      <c r="AM621" s="115"/>
      <c r="AN621" s="115"/>
      <c r="AO621" s="115"/>
      <c r="AP621" s="115"/>
      <c r="AQ621" s="17"/>
      <c r="AR621" s="15"/>
      <c r="AU621" s="114"/>
    </row>
    <row r="622" spans="1:47" x14ac:dyDescent="0.4"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22"/>
      <c r="AA622" s="122"/>
      <c r="AB622" s="122"/>
      <c r="AC622" s="115"/>
      <c r="AD622" s="115"/>
      <c r="AE622" s="115"/>
      <c r="AF622" s="115"/>
      <c r="AG622" s="115"/>
      <c r="AH622" s="115"/>
      <c r="AI622" s="115"/>
      <c r="AJ622" s="115"/>
      <c r="AK622" s="115"/>
      <c r="AL622" s="115"/>
      <c r="AM622" s="115"/>
      <c r="AN622" s="115"/>
      <c r="AO622" s="115"/>
      <c r="AP622" s="115"/>
      <c r="AQ622" s="26"/>
      <c r="AR622" s="15"/>
      <c r="AU622" s="114"/>
    </row>
    <row r="623" spans="1:47" x14ac:dyDescent="0.4"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22"/>
      <c r="AA623" s="122"/>
      <c r="AB623" s="122"/>
      <c r="AC623" s="115"/>
      <c r="AD623" s="115"/>
      <c r="AE623" s="115"/>
      <c r="AF623" s="115"/>
      <c r="AG623" s="115"/>
      <c r="AH623" s="115"/>
      <c r="AI623" s="115"/>
      <c r="AJ623" s="115"/>
      <c r="AK623" s="115"/>
      <c r="AL623" s="115"/>
      <c r="AM623" s="115"/>
      <c r="AN623" s="115"/>
      <c r="AO623" s="115"/>
      <c r="AP623" s="115"/>
      <c r="AQ623" s="26"/>
      <c r="AR623" s="15"/>
      <c r="AU623" s="114"/>
    </row>
    <row r="624" spans="1:47" x14ac:dyDescent="0.4"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22"/>
      <c r="AA624" s="122"/>
      <c r="AB624" s="122"/>
      <c r="AC624" s="115"/>
      <c r="AD624" s="115"/>
      <c r="AE624" s="115"/>
      <c r="AF624" s="115"/>
      <c r="AG624" s="115"/>
      <c r="AH624" s="115"/>
      <c r="AI624" s="115"/>
      <c r="AJ624" s="115"/>
      <c r="AK624" s="115"/>
      <c r="AL624" s="115"/>
      <c r="AM624" s="115"/>
      <c r="AN624" s="115"/>
      <c r="AO624" s="115"/>
      <c r="AP624" s="115"/>
      <c r="AQ624" s="26"/>
      <c r="AR624" s="15"/>
      <c r="AU624" s="114"/>
    </row>
    <row r="625" spans="2:47" x14ac:dyDescent="0.4"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22"/>
      <c r="AA625" s="122"/>
      <c r="AB625" s="122"/>
      <c r="AC625" s="115"/>
      <c r="AD625" s="115"/>
      <c r="AE625" s="115"/>
      <c r="AF625" s="115"/>
      <c r="AG625" s="115"/>
      <c r="AH625" s="115"/>
      <c r="AI625" s="115"/>
      <c r="AJ625" s="115"/>
      <c r="AK625" s="115"/>
      <c r="AL625" s="115"/>
      <c r="AM625" s="115"/>
      <c r="AN625" s="115"/>
      <c r="AO625" s="115"/>
      <c r="AP625" s="115"/>
      <c r="AQ625" s="26"/>
      <c r="AR625" s="15"/>
      <c r="AU625" s="114"/>
    </row>
    <row r="626" spans="2:47" x14ac:dyDescent="0.4"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22"/>
      <c r="AA626" s="122"/>
      <c r="AB626" s="122"/>
      <c r="AC626" s="115"/>
      <c r="AD626" s="115"/>
      <c r="AE626" s="115"/>
      <c r="AF626" s="115"/>
      <c r="AG626" s="115"/>
      <c r="AH626" s="115"/>
      <c r="AI626" s="115"/>
      <c r="AJ626" s="115"/>
      <c r="AK626" s="115"/>
      <c r="AL626" s="115"/>
      <c r="AM626" s="115"/>
      <c r="AN626" s="115"/>
      <c r="AO626" s="115"/>
      <c r="AP626" s="115"/>
      <c r="AQ626" s="26"/>
      <c r="AR626" s="15"/>
      <c r="AU626" s="114"/>
    </row>
    <row r="627" spans="2:47" x14ac:dyDescent="0.4"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22"/>
      <c r="AA627" s="122"/>
      <c r="AB627" s="122"/>
      <c r="AC627" s="115"/>
      <c r="AD627" s="115"/>
      <c r="AE627" s="115"/>
      <c r="AF627" s="115"/>
      <c r="AG627" s="115"/>
      <c r="AH627" s="115"/>
      <c r="AI627" s="115"/>
      <c r="AJ627" s="115"/>
      <c r="AK627" s="115"/>
      <c r="AL627" s="115"/>
      <c r="AM627" s="115"/>
      <c r="AN627" s="115"/>
      <c r="AO627" s="115"/>
      <c r="AP627" s="115"/>
      <c r="AQ627" s="26"/>
      <c r="AR627" s="15"/>
      <c r="AU627" s="114"/>
    </row>
    <row r="628" spans="2:47" x14ac:dyDescent="0.4"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22"/>
      <c r="AA628" s="122"/>
      <c r="AB628" s="122"/>
      <c r="AC628" s="115"/>
      <c r="AD628" s="115"/>
      <c r="AE628" s="115"/>
      <c r="AF628" s="115"/>
      <c r="AG628" s="115"/>
      <c r="AH628" s="115"/>
      <c r="AI628" s="115"/>
      <c r="AJ628" s="115"/>
      <c r="AK628" s="115"/>
      <c r="AL628" s="115"/>
      <c r="AM628" s="115"/>
      <c r="AN628" s="115"/>
      <c r="AO628" s="115"/>
      <c r="AP628" s="115"/>
      <c r="AQ628" s="26"/>
      <c r="AR628" s="15"/>
      <c r="AU628" s="114"/>
    </row>
    <row r="629" spans="2:47" x14ac:dyDescent="0.4"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22"/>
      <c r="AA629" s="122"/>
      <c r="AB629" s="122"/>
      <c r="AC629" s="115"/>
      <c r="AD629" s="115"/>
      <c r="AE629" s="115"/>
      <c r="AF629" s="115"/>
      <c r="AG629" s="115"/>
      <c r="AH629" s="115"/>
      <c r="AI629" s="115"/>
      <c r="AJ629" s="115"/>
      <c r="AK629" s="115"/>
      <c r="AL629" s="115"/>
      <c r="AM629" s="115"/>
      <c r="AN629" s="115"/>
      <c r="AO629" s="115"/>
      <c r="AP629" s="115"/>
      <c r="AQ629" s="17"/>
      <c r="AR629" s="15"/>
      <c r="AU629" s="114"/>
    </row>
    <row r="630" spans="2:47" x14ac:dyDescent="0.4"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22"/>
      <c r="AA630" s="122"/>
      <c r="AB630" s="122"/>
      <c r="AC630" s="115"/>
      <c r="AD630" s="115"/>
      <c r="AE630" s="115"/>
      <c r="AF630" s="115"/>
      <c r="AG630" s="115"/>
      <c r="AH630" s="115"/>
      <c r="AI630" s="115"/>
      <c r="AJ630" s="115"/>
      <c r="AK630" s="115"/>
      <c r="AL630" s="115"/>
      <c r="AM630" s="115"/>
      <c r="AN630" s="115"/>
      <c r="AO630" s="115"/>
      <c r="AP630" s="115"/>
      <c r="AQ630" s="26"/>
      <c r="AR630" s="15"/>
      <c r="AU630" s="114"/>
    </row>
    <row r="631" spans="2:47" x14ac:dyDescent="0.4"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22"/>
      <c r="AA631" s="122"/>
      <c r="AB631" s="122"/>
      <c r="AC631" s="115"/>
      <c r="AD631" s="115"/>
      <c r="AE631" s="115"/>
      <c r="AF631" s="115"/>
      <c r="AG631" s="115"/>
      <c r="AH631" s="115"/>
      <c r="AI631" s="115"/>
      <c r="AJ631" s="115"/>
      <c r="AK631" s="115"/>
      <c r="AL631" s="115"/>
      <c r="AM631" s="115"/>
      <c r="AN631" s="115"/>
      <c r="AO631" s="115"/>
      <c r="AP631" s="115"/>
      <c r="AQ631" s="26"/>
      <c r="AR631" s="15"/>
      <c r="AU631" s="114"/>
    </row>
    <row r="632" spans="2:47" x14ac:dyDescent="0.4"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22"/>
      <c r="AA632" s="122"/>
      <c r="AB632" s="122"/>
      <c r="AC632" s="115"/>
      <c r="AD632" s="115"/>
      <c r="AE632" s="115"/>
      <c r="AF632" s="115"/>
      <c r="AG632" s="115"/>
      <c r="AH632" s="115"/>
      <c r="AI632" s="115"/>
      <c r="AJ632" s="115"/>
      <c r="AK632" s="115"/>
      <c r="AL632" s="115"/>
      <c r="AM632" s="115"/>
      <c r="AN632" s="115"/>
      <c r="AO632" s="115"/>
      <c r="AP632" s="115"/>
      <c r="AQ632" s="26"/>
      <c r="AR632" s="15"/>
      <c r="AU632" s="114"/>
    </row>
    <row r="633" spans="2:47" x14ac:dyDescent="0.4"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22"/>
      <c r="AA633" s="122"/>
      <c r="AB633" s="122"/>
      <c r="AC633" s="115"/>
      <c r="AD633" s="115"/>
      <c r="AE633" s="115"/>
      <c r="AF633" s="115"/>
      <c r="AG633" s="115"/>
      <c r="AH633" s="115"/>
      <c r="AI633" s="115"/>
      <c r="AJ633" s="115"/>
      <c r="AK633" s="115"/>
      <c r="AL633" s="115"/>
      <c r="AM633" s="115"/>
      <c r="AN633" s="115"/>
      <c r="AO633" s="115"/>
      <c r="AP633" s="115"/>
      <c r="AQ633" s="26"/>
      <c r="AR633" s="15"/>
      <c r="AU633" s="114"/>
    </row>
    <row r="634" spans="2:47" x14ac:dyDescent="0.4"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22"/>
      <c r="AA634" s="122"/>
      <c r="AB634" s="122"/>
      <c r="AC634" s="115"/>
      <c r="AD634" s="115"/>
      <c r="AE634" s="115"/>
      <c r="AF634" s="115"/>
      <c r="AG634" s="115"/>
      <c r="AH634" s="115"/>
      <c r="AI634" s="115"/>
      <c r="AJ634" s="115"/>
      <c r="AK634" s="115"/>
      <c r="AL634" s="115"/>
      <c r="AM634" s="115"/>
      <c r="AN634" s="115"/>
      <c r="AO634" s="115"/>
      <c r="AP634" s="115"/>
      <c r="AQ634" s="26"/>
      <c r="AR634" s="15"/>
      <c r="AU634" s="114"/>
    </row>
    <row r="635" spans="2:47" x14ac:dyDescent="0.4"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22"/>
      <c r="AA635" s="122"/>
      <c r="AB635" s="122"/>
      <c r="AC635" s="115"/>
      <c r="AD635" s="115"/>
      <c r="AE635" s="115"/>
      <c r="AF635" s="115"/>
      <c r="AG635" s="115"/>
      <c r="AH635" s="115"/>
      <c r="AI635" s="115"/>
      <c r="AJ635" s="115"/>
      <c r="AK635" s="115"/>
      <c r="AL635" s="115"/>
      <c r="AM635" s="115"/>
      <c r="AN635" s="115"/>
      <c r="AO635" s="115"/>
      <c r="AP635" s="115"/>
      <c r="AQ635" s="26"/>
      <c r="AR635" s="15"/>
      <c r="AU635" s="114"/>
    </row>
    <row r="636" spans="2:47" x14ac:dyDescent="0.4"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22"/>
      <c r="AA636" s="122"/>
      <c r="AB636" s="122"/>
      <c r="AC636" s="115"/>
      <c r="AD636" s="115"/>
      <c r="AE636" s="115"/>
      <c r="AF636" s="115"/>
      <c r="AG636" s="115"/>
      <c r="AH636" s="115"/>
      <c r="AI636" s="115"/>
      <c r="AJ636" s="115"/>
      <c r="AK636" s="115"/>
      <c r="AL636" s="115"/>
      <c r="AM636" s="115"/>
      <c r="AN636" s="115"/>
      <c r="AO636" s="115"/>
      <c r="AP636" s="115"/>
      <c r="AQ636" s="26"/>
      <c r="AR636" s="15"/>
      <c r="AU636" s="114"/>
    </row>
    <row r="637" spans="2:47" x14ac:dyDescent="0.4"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22"/>
      <c r="AA637" s="122"/>
      <c r="AB637" s="122"/>
      <c r="AC637" s="115"/>
      <c r="AD637" s="115"/>
      <c r="AE637" s="115"/>
      <c r="AF637" s="115"/>
      <c r="AG637" s="115"/>
      <c r="AH637" s="115"/>
      <c r="AI637" s="115"/>
      <c r="AJ637" s="115"/>
      <c r="AK637" s="115"/>
      <c r="AL637" s="115"/>
      <c r="AM637" s="115"/>
      <c r="AN637" s="115"/>
      <c r="AO637" s="115"/>
      <c r="AP637" s="115"/>
      <c r="AQ637" s="17"/>
      <c r="AR637" s="15"/>
      <c r="AU637" s="114"/>
    </row>
    <row r="638" spans="2:47" x14ac:dyDescent="0.4"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22"/>
      <c r="AA638" s="122"/>
      <c r="AB638" s="122"/>
      <c r="AC638" s="115"/>
      <c r="AD638" s="115"/>
      <c r="AE638" s="115"/>
      <c r="AF638" s="115"/>
      <c r="AG638" s="115"/>
      <c r="AH638" s="115"/>
      <c r="AI638" s="115"/>
      <c r="AJ638" s="115"/>
      <c r="AK638" s="115"/>
      <c r="AL638" s="115"/>
      <c r="AM638" s="115"/>
      <c r="AN638" s="115"/>
      <c r="AO638" s="115"/>
      <c r="AP638" s="115"/>
      <c r="AQ638" s="26"/>
      <c r="AR638" s="15"/>
      <c r="AU638" s="114"/>
    </row>
    <row r="639" spans="2:47" x14ac:dyDescent="0.4"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22"/>
      <c r="AA639" s="122"/>
      <c r="AB639" s="122"/>
      <c r="AC639" s="115"/>
      <c r="AD639" s="115"/>
      <c r="AE639" s="115"/>
      <c r="AF639" s="115"/>
      <c r="AG639" s="115"/>
      <c r="AH639" s="115"/>
      <c r="AI639" s="115"/>
      <c r="AJ639" s="115"/>
      <c r="AK639" s="115"/>
      <c r="AL639" s="115"/>
      <c r="AM639" s="115"/>
      <c r="AN639" s="115"/>
      <c r="AO639" s="115"/>
      <c r="AP639" s="115"/>
      <c r="AQ639" s="26"/>
      <c r="AR639" s="15"/>
      <c r="AU639" s="114"/>
    </row>
    <row r="640" spans="2:47" x14ac:dyDescent="0.4"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22"/>
      <c r="AA640" s="122"/>
      <c r="AB640" s="122"/>
      <c r="AC640" s="115"/>
      <c r="AD640" s="115"/>
      <c r="AE640" s="115"/>
      <c r="AF640" s="115"/>
      <c r="AG640" s="115"/>
      <c r="AH640" s="115"/>
      <c r="AI640" s="115"/>
      <c r="AJ640" s="115"/>
      <c r="AK640" s="115"/>
      <c r="AL640" s="115"/>
      <c r="AM640" s="115"/>
      <c r="AN640" s="115"/>
      <c r="AO640" s="115"/>
      <c r="AP640" s="115"/>
      <c r="AQ640" s="26"/>
      <c r="AR640" s="15"/>
      <c r="AU640" s="114"/>
    </row>
    <row r="641" spans="1:47" x14ac:dyDescent="0.4"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22"/>
      <c r="AA641" s="122"/>
      <c r="AB641" s="122"/>
      <c r="AC641" s="115"/>
      <c r="AD641" s="115"/>
      <c r="AE641" s="115"/>
      <c r="AF641" s="115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115"/>
      <c r="AQ641" s="26"/>
      <c r="AR641" s="15"/>
      <c r="AU641" s="114"/>
    </row>
    <row r="642" spans="1:47" x14ac:dyDescent="0.4"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22"/>
      <c r="AA642" s="122"/>
      <c r="AB642" s="122"/>
      <c r="AC642" s="115"/>
      <c r="AD642" s="115"/>
      <c r="AE642" s="115"/>
      <c r="AF642" s="115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115"/>
      <c r="AQ642" s="26"/>
      <c r="AR642" s="15"/>
      <c r="AU642" s="114"/>
    </row>
    <row r="643" spans="1:47" x14ac:dyDescent="0.4"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22"/>
      <c r="AA643" s="122"/>
      <c r="AB643" s="122"/>
      <c r="AC643" s="115"/>
      <c r="AD643" s="115"/>
      <c r="AE643" s="115"/>
      <c r="AF643" s="115"/>
      <c r="AG643" s="115"/>
      <c r="AH643" s="115"/>
      <c r="AI643" s="115"/>
      <c r="AJ643" s="115"/>
      <c r="AK643" s="115"/>
      <c r="AL643" s="115"/>
      <c r="AM643" s="115"/>
      <c r="AN643" s="115"/>
      <c r="AO643" s="115"/>
      <c r="AP643" s="115"/>
      <c r="AQ643" s="26"/>
      <c r="AR643" s="15"/>
      <c r="AU643" s="114"/>
    </row>
    <row r="644" spans="1:47" x14ac:dyDescent="0.4"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22"/>
      <c r="AA644" s="122"/>
      <c r="AB644" s="122"/>
      <c r="AC644" s="115"/>
      <c r="AD644" s="115"/>
      <c r="AE644" s="115"/>
      <c r="AF644" s="115"/>
      <c r="AG644" s="115"/>
      <c r="AH644" s="115"/>
      <c r="AI644" s="115"/>
      <c r="AJ644" s="115"/>
      <c r="AK644" s="115"/>
      <c r="AL644" s="115"/>
      <c r="AM644" s="115"/>
      <c r="AN644" s="115"/>
      <c r="AO644" s="115"/>
      <c r="AP644" s="115"/>
      <c r="AQ644" s="26"/>
      <c r="AR644" s="15"/>
      <c r="AU644" s="114"/>
    </row>
    <row r="645" spans="1:47" x14ac:dyDescent="0.4"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22"/>
      <c r="AA645" s="122"/>
      <c r="AB645" s="122"/>
      <c r="AC645" s="115"/>
      <c r="AD645" s="115"/>
      <c r="AE645" s="115"/>
      <c r="AF645" s="115"/>
      <c r="AG645" s="115"/>
      <c r="AH645" s="115"/>
      <c r="AI645" s="115"/>
      <c r="AJ645" s="115"/>
      <c r="AK645" s="115"/>
      <c r="AL645" s="115"/>
      <c r="AM645" s="115"/>
      <c r="AN645" s="115"/>
      <c r="AO645" s="115"/>
      <c r="AP645" s="115"/>
      <c r="AQ645" s="26"/>
      <c r="AR645" s="15"/>
      <c r="AU645" s="114"/>
    </row>
    <row r="646" spans="1:47" x14ac:dyDescent="0.4"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22"/>
      <c r="AA646" s="122"/>
      <c r="AB646" s="122"/>
      <c r="AC646" s="115"/>
      <c r="AD646" s="115"/>
      <c r="AE646" s="115"/>
      <c r="AF646" s="115"/>
      <c r="AG646" s="115"/>
      <c r="AH646" s="115"/>
      <c r="AI646" s="115"/>
      <c r="AJ646" s="115"/>
      <c r="AK646" s="115"/>
      <c r="AL646" s="115"/>
      <c r="AM646" s="115"/>
      <c r="AN646" s="115"/>
      <c r="AO646" s="115"/>
      <c r="AP646" s="115"/>
      <c r="AQ646" s="17"/>
      <c r="AR646" s="15"/>
      <c r="AU646" s="114"/>
    </row>
    <row r="647" spans="1:47" x14ac:dyDescent="0.4"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22"/>
      <c r="AA647" s="122"/>
      <c r="AB647" s="122"/>
      <c r="AC647" s="115"/>
      <c r="AD647" s="115"/>
      <c r="AE647" s="115"/>
      <c r="AF647" s="115"/>
      <c r="AG647" s="115"/>
      <c r="AH647" s="115"/>
      <c r="AI647" s="115"/>
      <c r="AJ647" s="115"/>
      <c r="AK647" s="115"/>
      <c r="AL647" s="115"/>
      <c r="AM647" s="115"/>
      <c r="AN647" s="115"/>
      <c r="AO647" s="115"/>
      <c r="AP647" s="115"/>
      <c r="AQ647" s="26"/>
      <c r="AR647" s="15"/>
      <c r="AU647" s="114"/>
    </row>
    <row r="648" spans="1:47" x14ac:dyDescent="0.4"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22"/>
      <c r="AA648" s="122"/>
      <c r="AB648" s="122"/>
      <c r="AC648" s="115"/>
      <c r="AD648" s="115"/>
      <c r="AE648" s="115"/>
      <c r="AF648" s="115"/>
      <c r="AG648" s="115"/>
      <c r="AH648" s="115"/>
      <c r="AI648" s="115"/>
      <c r="AJ648" s="115"/>
      <c r="AK648" s="115"/>
      <c r="AL648" s="115"/>
      <c r="AM648" s="115"/>
      <c r="AN648" s="115"/>
      <c r="AO648" s="115"/>
      <c r="AP648" s="115"/>
      <c r="AQ648" s="17"/>
      <c r="AR648" s="15"/>
      <c r="AU648" s="114"/>
    </row>
    <row r="649" spans="1:47" x14ac:dyDescent="0.4"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22"/>
      <c r="AA649" s="122"/>
      <c r="AB649" s="122"/>
      <c r="AC649" s="115"/>
      <c r="AD649" s="115"/>
      <c r="AE649" s="115"/>
      <c r="AF649" s="115"/>
      <c r="AG649" s="115"/>
      <c r="AH649" s="115"/>
      <c r="AI649" s="115"/>
      <c r="AJ649" s="115"/>
      <c r="AK649" s="115"/>
      <c r="AL649" s="115"/>
      <c r="AM649" s="115"/>
      <c r="AN649" s="115"/>
      <c r="AO649" s="115"/>
      <c r="AP649" s="115"/>
      <c r="AQ649" s="26"/>
      <c r="AR649" s="15"/>
      <c r="AU649" s="114"/>
    </row>
    <row r="650" spans="1:47" x14ac:dyDescent="0.4"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22"/>
      <c r="AA650" s="122"/>
      <c r="AB650" s="122"/>
      <c r="AC650" s="115"/>
      <c r="AD650" s="115"/>
      <c r="AE650" s="115"/>
      <c r="AF650" s="115"/>
      <c r="AG650" s="115"/>
      <c r="AH650" s="115"/>
      <c r="AI650" s="115"/>
      <c r="AJ650" s="115"/>
      <c r="AK650" s="115"/>
      <c r="AL650" s="115"/>
      <c r="AM650" s="115"/>
      <c r="AN650" s="115"/>
      <c r="AO650" s="115"/>
      <c r="AP650" s="115"/>
      <c r="AQ650" s="17"/>
      <c r="AR650" s="15"/>
      <c r="AU650" s="114"/>
    </row>
    <row r="651" spans="1:47" x14ac:dyDescent="0.4"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22"/>
      <c r="AA651" s="122"/>
      <c r="AB651" s="122"/>
      <c r="AC651" s="115"/>
      <c r="AD651" s="115"/>
      <c r="AE651" s="115"/>
      <c r="AF651" s="115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115"/>
      <c r="AQ651" s="26"/>
      <c r="AR651" s="15"/>
      <c r="AU651" s="114"/>
    </row>
    <row r="652" spans="1:47" x14ac:dyDescent="0.4"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22"/>
      <c r="AA652" s="122"/>
      <c r="AB652" s="122"/>
      <c r="AC652" s="115"/>
      <c r="AD652" s="115"/>
      <c r="AE652" s="115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115"/>
      <c r="AQ652" s="26"/>
      <c r="AR652" s="15"/>
      <c r="AU652" s="114"/>
    </row>
    <row r="653" spans="1:47" x14ac:dyDescent="0.4"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22"/>
      <c r="AA653" s="122"/>
      <c r="AB653" s="122"/>
      <c r="AC653" s="115"/>
      <c r="AD653" s="115"/>
      <c r="AE653" s="115"/>
      <c r="AF653" s="115"/>
      <c r="AG653" s="115"/>
      <c r="AH653" s="115"/>
      <c r="AI653" s="115"/>
      <c r="AJ653" s="115"/>
      <c r="AK653" s="115"/>
      <c r="AL653" s="115"/>
      <c r="AM653" s="115"/>
      <c r="AN653" s="115"/>
      <c r="AO653" s="115"/>
      <c r="AP653" s="115"/>
      <c r="AQ653" s="17"/>
      <c r="AR653" s="15"/>
      <c r="AU653" s="114"/>
    </row>
    <row r="654" spans="1:47" x14ac:dyDescent="0.4"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22"/>
      <c r="AA654" s="122"/>
      <c r="AB654" s="122"/>
      <c r="AC654" s="115"/>
      <c r="AD654" s="115"/>
      <c r="AE654" s="115"/>
      <c r="AF654" s="115"/>
      <c r="AG654" s="115"/>
      <c r="AH654" s="115"/>
      <c r="AI654" s="115"/>
      <c r="AJ654" s="115"/>
      <c r="AK654" s="115"/>
      <c r="AL654" s="115"/>
      <c r="AM654" s="115"/>
      <c r="AN654" s="115"/>
      <c r="AO654" s="115"/>
      <c r="AP654" s="115"/>
      <c r="AQ654" s="26"/>
      <c r="AR654" s="15"/>
      <c r="AU654" s="114"/>
    </row>
    <row r="655" spans="1:47" x14ac:dyDescent="0.4"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22"/>
      <c r="AA655" s="122"/>
      <c r="AB655" s="122"/>
      <c r="AC655" s="115"/>
      <c r="AD655" s="115"/>
      <c r="AE655" s="115"/>
      <c r="AF655" s="115"/>
      <c r="AG655" s="115"/>
      <c r="AH655" s="115"/>
      <c r="AI655" s="115"/>
      <c r="AJ655" s="115"/>
      <c r="AK655" s="115"/>
      <c r="AL655" s="115"/>
      <c r="AM655" s="115"/>
      <c r="AN655" s="115"/>
      <c r="AO655" s="115"/>
      <c r="AP655" s="115"/>
      <c r="AQ655" s="26"/>
      <c r="AR655" s="15"/>
      <c r="AU655" s="114"/>
    </row>
    <row r="656" spans="1:47" x14ac:dyDescent="0.4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22"/>
      <c r="AA656" s="122"/>
      <c r="AB656" s="122"/>
      <c r="AC656" s="115"/>
      <c r="AD656" s="115"/>
      <c r="AE656" s="115"/>
      <c r="AF656" s="115"/>
      <c r="AG656" s="115"/>
      <c r="AH656" s="115"/>
      <c r="AI656" s="115"/>
      <c r="AJ656" s="115"/>
      <c r="AK656" s="115"/>
      <c r="AL656" s="115"/>
      <c r="AM656" s="115"/>
      <c r="AN656" s="115"/>
      <c r="AO656" s="115"/>
      <c r="AP656" s="115"/>
      <c r="AQ656" s="26"/>
      <c r="AR656" s="105"/>
      <c r="AU656" s="114"/>
    </row>
    <row r="657" spans="1:47" x14ac:dyDescent="0.4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22"/>
      <c r="AA657" s="122"/>
      <c r="AB657" s="122"/>
      <c r="AC657" s="115"/>
      <c r="AD657" s="115"/>
      <c r="AE657" s="115"/>
      <c r="AF657" s="115"/>
      <c r="AG657" s="115"/>
      <c r="AH657" s="115"/>
      <c r="AI657" s="115"/>
      <c r="AJ657" s="115"/>
      <c r="AK657" s="115"/>
      <c r="AL657" s="115"/>
      <c r="AM657" s="115"/>
      <c r="AN657" s="115"/>
      <c r="AO657" s="115"/>
      <c r="AP657" s="115"/>
      <c r="AQ657" s="17"/>
      <c r="AR657" s="15"/>
      <c r="AU657" s="114"/>
    </row>
    <row r="658" spans="1:47" x14ac:dyDescent="0.4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22"/>
      <c r="AA658" s="122"/>
      <c r="AB658" s="122"/>
      <c r="AC658" s="115"/>
      <c r="AD658" s="115"/>
      <c r="AE658" s="115"/>
      <c r="AF658" s="115"/>
      <c r="AG658" s="115"/>
      <c r="AH658" s="115"/>
      <c r="AI658" s="115"/>
      <c r="AJ658" s="115"/>
      <c r="AK658" s="115"/>
      <c r="AL658" s="115"/>
      <c r="AM658" s="115"/>
      <c r="AN658" s="115"/>
      <c r="AO658" s="115"/>
      <c r="AP658" s="115"/>
      <c r="AQ658" s="17"/>
      <c r="AR658" s="15"/>
      <c r="AU658" s="114"/>
    </row>
    <row r="659" spans="1:47" x14ac:dyDescent="0.4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22"/>
      <c r="AA659" s="122"/>
      <c r="AB659" s="122"/>
      <c r="AC659" s="115"/>
      <c r="AD659" s="115"/>
      <c r="AE659" s="115"/>
      <c r="AF659" s="115"/>
      <c r="AG659" s="115"/>
      <c r="AH659" s="115"/>
      <c r="AI659" s="115"/>
      <c r="AJ659" s="115"/>
      <c r="AK659" s="115"/>
      <c r="AL659" s="115"/>
      <c r="AM659" s="115"/>
      <c r="AN659" s="115"/>
      <c r="AO659" s="115"/>
      <c r="AP659" s="115"/>
      <c r="AQ659" s="26"/>
      <c r="AR659" s="15"/>
      <c r="AU659" s="114"/>
    </row>
    <row r="660" spans="1:47" x14ac:dyDescent="0.4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22"/>
      <c r="AA660" s="122"/>
      <c r="AB660" s="122"/>
      <c r="AC660" s="115"/>
      <c r="AD660" s="115"/>
      <c r="AE660" s="115"/>
      <c r="AF660" s="115"/>
      <c r="AG660" s="115"/>
      <c r="AH660" s="115"/>
      <c r="AI660" s="115"/>
      <c r="AJ660" s="115"/>
      <c r="AK660" s="115"/>
      <c r="AL660" s="115"/>
      <c r="AM660" s="115"/>
      <c r="AN660" s="115"/>
      <c r="AO660" s="115"/>
      <c r="AP660" s="115"/>
      <c r="AQ660" s="26"/>
      <c r="AR660" s="15"/>
      <c r="AU660" s="114"/>
    </row>
    <row r="661" spans="1:47" x14ac:dyDescent="0.4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22"/>
      <c r="AA661" s="122"/>
      <c r="AB661" s="122"/>
      <c r="AC661" s="115"/>
      <c r="AD661" s="115"/>
      <c r="AE661" s="115"/>
      <c r="AF661" s="115"/>
      <c r="AG661" s="115"/>
      <c r="AH661" s="115"/>
      <c r="AI661" s="115"/>
      <c r="AJ661" s="115"/>
      <c r="AK661" s="115"/>
      <c r="AL661" s="115"/>
      <c r="AM661" s="115"/>
      <c r="AN661" s="115"/>
      <c r="AO661" s="115"/>
      <c r="AP661" s="115"/>
      <c r="AQ661" s="26"/>
      <c r="AR661" s="15"/>
      <c r="AU661" s="114"/>
    </row>
    <row r="662" spans="1:47" x14ac:dyDescent="0.4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22"/>
      <c r="AA662" s="122"/>
      <c r="AB662" s="122"/>
      <c r="AC662" s="115"/>
      <c r="AD662" s="115"/>
      <c r="AE662" s="115"/>
      <c r="AF662" s="115"/>
      <c r="AG662" s="115"/>
      <c r="AH662" s="115"/>
      <c r="AI662" s="115"/>
      <c r="AJ662" s="115"/>
      <c r="AK662" s="115"/>
      <c r="AL662" s="115"/>
      <c r="AM662" s="115"/>
      <c r="AN662" s="115"/>
      <c r="AO662" s="115"/>
      <c r="AP662" s="115"/>
      <c r="AQ662" s="26"/>
      <c r="AR662" s="15"/>
      <c r="AU662" s="114"/>
    </row>
    <row r="663" spans="1:47" x14ac:dyDescent="0.4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22"/>
      <c r="AA663" s="122"/>
      <c r="AB663" s="122"/>
      <c r="AC663" s="115"/>
      <c r="AD663" s="115"/>
      <c r="AE663" s="115"/>
      <c r="AF663" s="115"/>
      <c r="AG663" s="115"/>
      <c r="AH663" s="115"/>
      <c r="AI663" s="115"/>
      <c r="AJ663" s="115"/>
      <c r="AK663" s="115"/>
      <c r="AL663" s="115"/>
      <c r="AM663" s="115"/>
      <c r="AN663" s="115"/>
      <c r="AO663" s="115"/>
      <c r="AP663" s="115"/>
      <c r="AQ663" s="26"/>
      <c r="AR663" s="15"/>
      <c r="AU663" s="114"/>
    </row>
    <row r="664" spans="1:47" x14ac:dyDescent="0.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22"/>
      <c r="AA664" s="122"/>
      <c r="AB664" s="122"/>
      <c r="AC664" s="115"/>
      <c r="AD664" s="115"/>
      <c r="AE664" s="115"/>
      <c r="AF664" s="115"/>
      <c r="AG664" s="115"/>
      <c r="AH664" s="115"/>
      <c r="AI664" s="115"/>
      <c r="AJ664" s="115"/>
      <c r="AK664" s="115"/>
      <c r="AL664" s="115"/>
      <c r="AM664" s="115"/>
      <c r="AN664" s="115"/>
      <c r="AO664" s="115"/>
      <c r="AP664" s="115"/>
      <c r="AQ664" s="26"/>
      <c r="AR664" s="15"/>
      <c r="AU664" s="114"/>
    </row>
    <row r="665" spans="1:47" x14ac:dyDescent="0.4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22"/>
      <c r="AA665" s="122"/>
      <c r="AB665" s="122"/>
      <c r="AC665" s="115"/>
      <c r="AD665" s="115"/>
      <c r="AE665" s="115"/>
      <c r="AF665" s="115"/>
      <c r="AG665" s="115"/>
      <c r="AH665" s="115"/>
      <c r="AI665" s="115"/>
      <c r="AJ665" s="115"/>
      <c r="AK665" s="115"/>
      <c r="AL665" s="115"/>
      <c r="AM665" s="115"/>
      <c r="AN665" s="115"/>
      <c r="AO665" s="115"/>
      <c r="AP665" s="115"/>
      <c r="AQ665" s="26"/>
      <c r="AR665" s="15"/>
      <c r="AU665" s="114"/>
    </row>
    <row r="666" spans="1:47" x14ac:dyDescent="0.4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22"/>
      <c r="AA666" s="122"/>
      <c r="AB666" s="122"/>
      <c r="AC666" s="115"/>
      <c r="AD666" s="115"/>
      <c r="AE666" s="115"/>
      <c r="AF666" s="115"/>
      <c r="AG666" s="115"/>
      <c r="AH666" s="115"/>
      <c r="AI666" s="115"/>
      <c r="AJ666" s="115"/>
      <c r="AK666" s="115"/>
      <c r="AL666" s="115"/>
      <c r="AM666" s="115"/>
      <c r="AN666" s="115"/>
      <c r="AO666" s="115"/>
      <c r="AP666" s="115"/>
      <c r="AQ666" s="26"/>
      <c r="AR666" s="15"/>
      <c r="AU666" s="114"/>
    </row>
    <row r="667" spans="1:47" x14ac:dyDescent="0.4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22"/>
      <c r="AA667" s="122"/>
      <c r="AB667" s="122"/>
      <c r="AC667" s="115"/>
      <c r="AD667" s="115"/>
      <c r="AE667" s="115"/>
      <c r="AF667" s="115"/>
      <c r="AG667" s="115"/>
      <c r="AH667" s="115"/>
      <c r="AI667" s="115"/>
      <c r="AJ667" s="115"/>
      <c r="AK667" s="115"/>
      <c r="AL667" s="115"/>
      <c r="AM667" s="115"/>
      <c r="AN667" s="115"/>
      <c r="AO667" s="115"/>
      <c r="AP667" s="115"/>
      <c r="AQ667" s="26"/>
      <c r="AR667" s="105"/>
      <c r="AU667" s="114"/>
    </row>
    <row r="668" spans="1:47" x14ac:dyDescent="0.4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22"/>
      <c r="AA668" s="122"/>
      <c r="AB668" s="122"/>
      <c r="AC668" s="115"/>
      <c r="AD668" s="115"/>
      <c r="AE668" s="115"/>
      <c r="AF668" s="115"/>
      <c r="AG668" s="115"/>
      <c r="AH668" s="115"/>
      <c r="AI668" s="115"/>
      <c r="AJ668" s="115"/>
      <c r="AK668" s="115"/>
      <c r="AL668" s="115"/>
      <c r="AM668" s="115"/>
      <c r="AN668" s="115"/>
      <c r="AO668" s="115"/>
      <c r="AP668" s="115"/>
      <c r="AQ668" s="26"/>
      <c r="AR668" s="15"/>
      <c r="AU668" s="114"/>
    </row>
    <row r="669" spans="1:47" x14ac:dyDescent="0.4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22"/>
      <c r="AA669" s="122"/>
      <c r="AB669" s="122"/>
      <c r="AC669" s="115"/>
      <c r="AD669" s="115"/>
      <c r="AE669" s="115"/>
      <c r="AF669" s="115"/>
      <c r="AG669" s="115"/>
      <c r="AH669" s="115"/>
      <c r="AI669" s="115"/>
      <c r="AJ669" s="115"/>
      <c r="AK669" s="115"/>
      <c r="AL669" s="115"/>
      <c r="AM669" s="115"/>
      <c r="AN669" s="115"/>
      <c r="AO669" s="115"/>
      <c r="AP669" s="115"/>
      <c r="AQ669" s="26"/>
      <c r="AR669" s="15"/>
      <c r="AU669" s="114"/>
    </row>
    <row r="670" spans="1:47" x14ac:dyDescent="0.4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22"/>
      <c r="AA670" s="122"/>
      <c r="AB670" s="122"/>
      <c r="AC670" s="115"/>
      <c r="AD670" s="115"/>
      <c r="AE670" s="115"/>
      <c r="AF670" s="115"/>
      <c r="AG670" s="115"/>
      <c r="AH670" s="115"/>
      <c r="AI670" s="115"/>
      <c r="AJ670" s="115"/>
      <c r="AK670" s="115"/>
      <c r="AL670" s="115"/>
      <c r="AM670" s="115"/>
      <c r="AN670" s="115"/>
      <c r="AO670" s="115"/>
      <c r="AP670" s="115"/>
      <c r="AQ670" s="26"/>
      <c r="AR670" s="13"/>
      <c r="AU670" s="114"/>
    </row>
    <row r="671" spans="1:47" x14ac:dyDescent="0.4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22"/>
      <c r="AA671" s="122"/>
      <c r="AB671" s="122"/>
      <c r="AC671" s="115"/>
      <c r="AD671" s="115"/>
      <c r="AE671" s="115"/>
      <c r="AF671" s="115"/>
      <c r="AG671" s="115"/>
      <c r="AH671" s="115"/>
      <c r="AI671" s="115"/>
      <c r="AJ671" s="115"/>
      <c r="AK671" s="115"/>
      <c r="AL671" s="115"/>
      <c r="AM671" s="115"/>
      <c r="AN671" s="115"/>
      <c r="AO671" s="115"/>
      <c r="AP671" s="115"/>
      <c r="AQ671" s="17"/>
      <c r="AR671" s="13"/>
      <c r="AU671" s="114"/>
    </row>
    <row r="672" spans="1:47" x14ac:dyDescent="0.4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22"/>
      <c r="AA672" s="122"/>
      <c r="AB672" s="122"/>
      <c r="AC672" s="115"/>
      <c r="AD672" s="115"/>
      <c r="AE672" s="115"/>
      <c r="AF672" s="115"/>
      <c r="AG672" s="115"/>
      <c r="AH672" s="115"/>
      <c r="AI672" s="115"/>
      <c r="AJ672" s="115"/>
      <c r="AK672" s="115"/>
      <c r="AL672" s="115"/>
      <c r="AM672" s="115"/>
      <c r="AN672" s="115"/>
      <c r="AO672" s="115"/>
      <c r="AP672" s="115"/>
      <c r="AQ672" s="26"/>
      <c r="AR672" s="13"/>
      <c r="AU672" s="114"/>
    </row>
    <row r="673" spans="1:47" x14ac:dyDescent="0.4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22"/>
      <c r="AA673" s="122"/>
      <c r="AB673" s="122"/>
      <c r="AC673" s="115"/>
      <c r="AD673" s="115"/>
      <c r="AE673" s="115"/>
      <c r="AF673" s="115"/>
      <c r="AG673" s="115"/>
      <c r="AH673" s="115"/>
      <c r="AI673" s="115"/>
      <c r="AJ673" s="115"/>
      <c r="AK673" s="115"/>
      <c r="AL673" s="115"/>
      <c r="AM673" s="115"/>
      <c r="AN673" s="115"/>
      <c r="AO673" s="115"/>
      <c r="AP673" s="115"/>
      <c r="AQ673" s="26"/>
      <c r="AR673" s="13"/>
      <c r="AU673" s="114"/>
    </row>
    <row r="674" spans="1:47" x14ac:dyDescent="0.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22"/>
      <c r="AA674" s="122"/>
      <c r="AB674" s="122"/>
      <c r="AC674" s="115"/>
      <c r="AD674" s="115"/>
      <c r="AE674" s="115"/>
      <c r="AF674" s="115"/>
      <c r="AG674" s="115"/>
      <c r="AH674" s="115"/>
      <c r="AI674" s="115"/>
      <c r="AJ674" s="115"/>
      <c r="AK674" s="115"/>
      <c r="AL674" s="115"/>
      <c r="AM674" s="115"/>
      <c r="AN674" s="115"/>
      <c r="AO674" s="115"/>
      <c r="AP674" s="115"/>
      <c r="AQ674" s="26"/>
      <c r="AR674" s="13"/>
      <c r="AU674" s="114"/>
    </row>
    <row r="675" spans="1:47" x14ac:dyDescent="0.4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22"/>
      <c r="AA675" s="122"/>
      <c r="AB675" s="122"/>
      <c r="AC675" s="115"/>
      <c r="AD675" s="115"/>
      <c r="AE675" s="115"/>
      <c r="AF675" s="115"/>
      <c r="AG675" s="115"/>
      <c r="AH675" s="115"/>
      <c r="AI675" s="115"/>
      <c r="AJ675" s="115"/>
      <c r="AK675" s="115"/>
      <c r="AL675" s="115"/>
      <c r="AM675" s="115"/>
      <c r="AN675" s="115"/>
      <c r="AO675" s="115"/>
      <c r="AP675" s="115"/>
      <c r="AQ675" s="26"/>
      <c r="AR675" s="13"/>
      <c r="AU675" s="114"/>
    </row>
    <row r="676" spans="1:47" x14ac:dyDescent="0.4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22"/>
      <c r="AA676" s="122"/>
      <c r="AB676" s="122"/>
      <c r="AC676" s="115"/>
      <c r="AD676" s="115"/>
      <c r="AE676" s="115"/>
      <c r="AF676" s="115"/>
      <c r="AG676" s="115"/>
      <c r="AH676" s="115"/>
      <c r="AI676" s="115"/>
      <c r="AJ676" s="115"/>
      <c r="AK676" s="115"/>
      <c r="AL676" s="115"/>
      <c r="AM676" s="115"/>
      <c r="AN676" s="115"/>
      <c r="AO676" s="115"/>
      <c r="AP676" s="115"/>
      <c r="AQ676" s="26"/>
      <c r="AR676" s="13"/>
      <c r="AU676" s="114"/>
    </row>
    <row r="677" spans="1:47" x14ac:dyDescent="0.4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22"/>
      <c r="AA677" s="122"/>
      <c r="AB677" s="122"/>
      <c r="AC677" s="115"/>
      <c r="AD677" s="115"/>
      <c r="AE677" s="115"/>
      <c r="AF677" s="115"/>
      <c r="AG677" s="115"/>
      <c r="AH677" s="115"/>
      <c r="AI677" s="115"/>
      <c r="AJ677" s="115"/>
      <c r="AK677" s="115"/>
      <c r="AL677" s="115"/>
      <c r="AM677" s="115"/>
      <c r="AN677" s="115"/>
      <c r="AO677" s="115"/>
      <c r="AP677" s="115"/>
      <c r="AQ677" s="26"/>
      <c r="AR677" s="13"/>
      <c r="AU677" s="114"/>
    </row>
    <row r="678" spans="1:47" x14ac:dyDescent="0.4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22"/>
      <c r="AA678" s="122"/>
      <c r="AB678" s="122"/>
      <c r="AC678" s="115"/>
      <c r="AD678" s="115"/>
      <c r="AE678" s="115"/>
      <c r="AF678" s="115"/>
      <c r="AG678" s="115"/>
      <c r="AH678" s="115"/>
      <c r="AI678" s="115"/>
      <c r="AJ678" s="115"/>
      <c r="AK678" s="115"/>
      <c r="AL678" s="115"/>
      <c r="AM678" s="115"/>
      <c r="AN678" s="115"/>
      <c r="AO678" s="115"/>
      <c r="AP678" s="115"/>
      <c r="AQ678" s="17"/>
      <c r="AR678" s="13"/>
      <c r="AU678" s="114"/>
    </row>
    <row r="679" spans="1:47" x14ac:dyDescent="0.4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22"/>
      <c r="AA679" s="122"/>
      <c r="AB679" s="122"/>
      <c r="AC679" s="115"/>
      <c r="AD679" s="115"/>
      <c r="AE679" s="115"/>
      <c r="AF679" s="115"/>
      <c r="AG679" s="115"/>
      <c r="AH679" s="115"/>
      <c r="AI679" s="115"/>
      <c r="AJ679" s="115"/>
      <c r="AK679" s="115"/>
      <c r="AL679" s="115"/>
      <c r="AM679" s="115"/>
      <c r="AN679" s="115"/>
      <c r="AO679" s="115"/>
      <c r="AP679" s="115"/>
      <c r="AQ679" s="26"/>
      <c r="AR679" s="13"/>
      <c r="AU679" s="114"/>
    </row>
    <row r="680" spans="1:47" x14ac:dyDescent="0.4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22"/>
      <c r="AA680" s="122"/>
      <c r="AB680" s="122"/>
      <c r="AC680" s="115"/>
      <c r="AD680" s="115"/>
      <c r="AE680" s="115"/>
      <c r="AF680" s="115"/>
      <c r="AG680" s="115"/>
      <c r="AH680" s="115"/>
      <c r="AI680" s="115"/>
      <c r="AJ680" s="115"/>
      <c r="AK680" s="115"/>
      <c r="AL680" s="115"/>
      <c r="AM680" s="115"/>
      <c r="AN680" s="115"/>
      <c r="AO680" s="115"/>
      <c r="AP680" s="115"/>
      <c r="AQ680" s="26"/>
      <c r="AR680" s="13"/>
      <c r="AU680" s="114"/>
    </row>
    <row r="681" spans="1:47" x14ac:dyDescent="0.4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22"/>
      <c r="AA681" s="122"/>
      <c r="AB681" s="122"/>
      <c r="AC681" s="115"/>
      <c r="AD681" s="115"/>
      <c r="AE681" s="115"/>
      <c r="AF681" s="115"/>
      <c r="AG681" s="115"/>
      <c r="AH681" s="115"/>
      <c r="AI681" s="115"/>
      <c r="AJ681" s="115"/>
      <c r="AK681" s="115"/>
      <c r="AL681" s="115"/>
      <c r="AM681" s="115"/>
      <c r="AN681" s="115"/>
      <c r="AO681" s="115"/>
      <c r="AP681" s="115"/>
      <c r="AQ681" s="26"/>
      <c r="AR681" s="13"/>
      <c r="AU681" s="114"/>
    </row>
    <row r="682" spans="1:47" x14ac:dyDescent="0.4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22"/>
      <c r="AA682" s="122"/>
      <c r="AB682" s="122"/>
      <c r="AC682" s="115"/>
      <c r="AD682" s="115"/>
      <c r="AE682" s="115"/>
      <c r="AF682" s="115"/>
      <c r="AG682" s="115"/>
      <c r="AH682" s="115"/>
      <c r="AI682" s="115"/>
      <c r="AJ682" s="115"/>
      <c r="AK682" s="115"/>
      <c r="AL682" s="115"/>
      <c r="AM682" s="115"/>
      <c r="AN682" s="115"/>
      <c r="AO682" s="115"/>
      <c r="AP682" s="115"/>
      <c r="AQ682" s="26"/>
      <c r="AR682" s="13"/>
      <c r="AU682" s="114"/>
    </row>
    <row r="683" spans="1:47" x14ac:dyDescent="0.4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22"/>
      <c r="AA683" s="122"/>
      <c r="AB683" s="122"/>
      <c r="AC683" s="115"/>
      <c r="AD683" s="115"/>
      <c r="AE683" s="115"/>
      <c r="AF683" s="115"/>
      <c r="AG683" s="115"/>
      <c r="AH683" s="115"/>
      <c r="AI683" s="115"/>
      <c r="AJ683" s="115"/>
      <c r="AK683" s="115"/>
      <c r="AL683" s="115"/>
      <c r="AM683" s="115"/>
      <c r="AN683" s="115"/>
      <c r="AO683" s="115"/>
      <c r="AP683" s="115"/>
      <c r="AQ683" s="26"/>
      <c r="AR683" s="25"/>
      <c r="AU683" s="114"/>
    </row>
    <row r="684" spans="1:47" x14ac:dyDescent="0.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22"/>
      <c r="AA684" s="122"/>
      <c r="AB684" s="122"/>
      <c r="AC684" s="115"/>
      <c r="AD684" s="115"/>
      <c r="AE684" s="115"/>
      <c r="AF684" s="115"/>
      <c r="AG684" s="115"/>
      <c r="AH684" s="115"/>
      <c r="AI684" s="115"/>
      <c r="AJ684" s="115"/>
      <c r="AK684" s="115"/>
      <c r="AL684" s="115"/>
      <c r="AM684" s="115"/>
      <c r="AN684" s="115"/>
      <c r="AO684" s="115"/>
      <c r="AP684" s="115"/>
      <c r="AQ684" s="17"/>
      <c r="AR684" s="13"/>
      <c r="AU684" s="114"/>
    </row>
    <row r="685" spans="1:47" x14ac:dyDescent="0.4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22"/>
      <c r="AA685" s="122"/>
      <c r="AB685" s="122"/>
      <c r="AC685" s="115"/>
      <c r="AD685" s="115"/>
      <c r="AE685" s="115"/>
      <c r="AF685" s="115"/>
      <c r="AG685" s="115"/>
      <c r="AH685" s="115"/>
      <c r="AI685" s="115"/>
      <c r="AJ685" s="115"/>
      <c r="AK685" s="115"/>
      <c r="AL685" s="115"/>
      <c r="AM685" s="115"/>
      <c r="AN685" s="115"/>
      <c r="AO685" s="115"/>
      <c r="AP685" s="115"/>
      <c r="AQ685" s="26"/>
      <c r="AR685" s="15"/>
      <c r="AU685" s="114"/>
    </row>
    <row r="686" spans="1:47" x14ac:dyDescent="0.4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22"/>
      <c r="AA686" s="122"/>
      <c r="AB686" s="122"/>
      <c r="AC686" s="115"/>
      <c r="AD686" s="115"/>
      <c r="AE686" s="115"/>
      <c r="AF686" s="115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115"/>
      <c r="AQ686" s="26"/>
      <c r="AR686" s="15"/>
      <c r="AU686" s="114"/>
    </row>
    <row r="687" spans="1:47" x14ac:dyDescent="0.4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22"/>
      <c r="AA687" s="122"/>
      <c r="AB687" s="122"/>
      <c r="AC687" s="115"/>
      <c r="AD687" s="115"/>
      <c r="AE687" s="115"/>
      <c r="AF687" s="115"/>
      <c r="AG687" s="115"/>
      <c r="AH687" s="115"/>
      <c r="AI687" s="115"/>
      <c r="AJ687" s="115"/>
      <c r="AK687" s="115"/>
      <c r="AL687" s="115"/>
      <c r="AM687" s="115"/>
      <c r="AN687" s="115"/>
      <c r="AO687" s="115"/>
      <c r="AP687" s="115"/>
      <c r="AQ687" s="17"/>
      <c r="AR687" s="15"/>
      <c r="AU687" s="114"/>
    </row>
    <row r="688" spans="1:47" x14ac:dyDescent="0.4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22"/>
      <c r="AA688" s="122"/>
      <c r="AB688" s="122"/>
      <c r="AC688" s="115"/>
      <c r="AD688" s="115"/>
      <c r="AE688" s="115"/>
      <c r="AF688" s="115"/>
      <c r="AG688" s="115"/>
      <c r="AH688" s="115"/>
      <c r="AI688" s="115"/>
      <c r="AJ688" s="115"/>
      <c r="AK688" s="115"/>
      <c r="AL688" s="115"/>
      <c r="AM688" s="115"/>
      <c r="AN688" s="115"/>
      <c r="AO688" s="115"/>
      <c r="AP688" s="115"/>
      <c r="AQ688" s="26"/>
      <c r="AR688" s="15"/>
      <c r="AU688" s="114"/>
    </row>
    <row r="689" spans="1:47" x14ac:dyDescent="0.4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22"/>
      <c r="AA689" s="122"/>
      <c r="AB689" s="122"/>
      <c r="AC689" s="115"/>
      <c r="AD689" s="115"/>
      <c r="AE689" s="115"/>
      <c r="AF689" s="115"/>
      <c r="AG689" s="115"/>
      <c r="AH689" s="115"/>
      <c r="AI689" s="115"/>
      <c r="AJ689" s="115"/>
      <c r="AK689" s="115"/>
      <c r="AL689" s="115"/>
      <c r="AM689" s="115"/>
      <c r="AN689" s="115"/>
      <c r="AO689" s="115"/>
      <c r="AP689" s="115"/>
      <c r="AQ689" s="26"/>
      <c r="AR689" s="15"/>
      <c r="AU689" s="114"/>
    </row>
    <row r="690" spans="1:47" x14ac:dyDescent="0.4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22"/>
      <c r="AA690" s="122"/>
      <c r="AB690" s="122"/>
      <c r="AC690" s="115"/>
      <c r="AD690" s="115"/>
      <c r="AE690" s="115"/>
      <c r="AF690" s="115"/>
      <c r="AG690" s="115"/>
      <c r="AH690" s="115"/>
      <c r="AI690" s="115"/>
      <c r="AJ690" s="115"/>
      <c r="AK690" s="115"/>
      <c r="AL690" s="115"/>
      <c r="AM690" s="115"/>
      <c r="AN690" s="115"/>
      <c r="AO690" s="115"/>
      <c r="AP690" s="115"/>
      <c r="AQ690" s="26"/>
      <c r="AR690" s="13"/>
      <c r="AU690" s="114"/>
    </row>
    <row r="691" spans="1:47" x14ac:dyDescent="0.4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22"/>
      <c r="AA691" s="122"/>
      <c r="AB691" s="122"/>
      <c r="AC691" s="115"/>
      <c r="AD691" s="115"/>
      <c r="AE691" s="115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115"/>
      <c r="AQ691" s="26"/>
      <c r="AR691" s="13"/>
      <c r="AU691" s="114"/>
    </row>
    <row r="692" spans="1:47" x14ac:dyDescent="0.4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22"/>
      <c r="AA692" s="122"/>
      <c r="AB692" s="122"/>
      <c r="AC692" s="115"/>
      <c r="AD692" s="115"/>
      <c r="AE692" s="115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115"/>
      <c r="AQ692" s="26"/>
      <c r="AR692" s="13"/>
      <c r="AU692" s="114"/>
    </row>
    <row r="693" spans="1:47" x14ac:dyDescent="0.4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22"/>
      <c r="AA693" s="122"/>
      <c r="AB693" s="122"/>
      <c r="AC693" s="115"/>
      <c r="AD693" s="115"/>
      <c r="AE693" s="115"/>
      <c r="AF693" s="115"/>
      <c r="AG693" s="115"/>
      <c r="AH693" s="115"/>
      <c r="AI693" s="115"/>
      <c r="AJ693" s="115"/>
      <c r="AK693" s="115"/>
      <c r="AL693" s="115"/>
      <c r="AM693" s="115"/>
      <c r="AN693" s="115"/>
      <c r="AO693" s="115"/>
      <c r="AP693" s="115"/>
      <c r="AQ693" s="26"/>
      <c r="AR693" s="13"/>
      <c r="AU693" s="114"/>
    </row>
    <row r="694" spans="1:47" x14ac:dyDescent="0.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22"/>
      <c r="AA694" s="122"/>
      <c r="AB694" s="122"/>
      <c r="AC694" s="115"/>
      <c r="AD694" s="115"/>
      <c r="AE694" s="115"/>
      <c r="AF694" s="115"/>
      <c r="AG694" s="115"/>
      <c r="AH694" s="115"/>
      <c r="AI694" s="115"/>
      <c r="AJ694" s="115"/>
      <c r="AK694" s="115"/>
      <c r="AL694" s="115"/>
      <c r="AM694" s="115"/>
      <c r="AN694" s="115"/>
      <c r="AO694" s="115"/>
      <c r="AP694" s="115"/>
      <c r="AQ694" s="26"/>
      <c r="AR694" s="13"/>
      <c r="AU694" s="114"/>
    </row>
    <row r="695" spans="1:47" x14ac:dyDescent="0.4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22"/>
      <c r="AA695" s="122"/>
      <c r="AB695" s="122"/>
      <c r="AC695" s="115"/>
      <c r="AD695" s="115"/>
      <c r="AE695" s="115"/>
      <c r="AF695" s="115"/>
      <c r="AG695" s="115"/>
      <c r="AH695" s="115"/>
      <c r="AI695" s="115"/>
      <c r="AJ695" s="115"/>
      <c r="AK695" s="115"/>
      <c r="AL695" s="115"/>
      <c r="AM695" s="115"/>
      <c r="AN695" s="115"/>
      <c r="AO695" s="115"/>
      <c r="AP695" s="115"/>
      <c r="AQ695" s="26"/>
      <c r="AR695" s="13"/>
      <c r="AU695" s="114"/>
    </row>
    <row r="696" spans="1:47" x14ac:dyDescent="0.4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22"/>
      <c r="AA696" s="122"/>
      <c r="AB696" s="122"/>
      <c r="AC696" s="115"/>
      <c r="AD696" s="115"/>
      <c r="AE696" s="115"/>
      <c r="AF696" s="115"/>
      <c r="AG696" s="115"/>
      <c r="AH696" s="115"/>
      <c r="AI696" s="115"/>
      <c r="AJ696" s="115"/>
      <c r="AK696" s="115"/>
      <c r="AL696" s="115"/>
      <c r="AM696" s="115"/>
      <c r="AN696" s="115"/>
      <c r="AO696" s="115"/>
      <c r="AP696" s="115"/>
      <c r="AQ696" s="26"/>
      <c r="AR696" s="13"/>
      <c r="AU696" s="114"/>
    </row>
    <row r="697" spans="1:47" x14ac:dyDescent="0.4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22"/>
      <c r="AA697" s="122"/>
      <c r="AB697" s="122"/>
      <c r="AC697" s="115"/>
      <c r="AD697" s="115"/>
      <c r="AE697" s="115"/>
      <c r="AF697" s="115"/>
      <c r="AG697" s="115"/>
      <c r="AH697" s="115"/>
      <c r="AI697" s="115"/>
      <c r="AJ697" s="115"/>
      <c r="AK697" s="115"/>
      <c r="AL697" s="115"/>
      <c r="AM697" s="115"/>
      <c r="AN697" s="115"/>
      <c r="AO697" s="115"/>
      <c r="AP697" s="115"/>
      <c r="AQ697" s="26"/>
      <c r="AR697" s="13"/>
      <c r="AU697" s="114"/>
    </row>
    <row r="698" spans="1:47" x14ac:dyDescent="0.4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22"/>
      <c r="AA698" s="122"/>
      <c r="AB698" s="122"/>
      <c r="AC698" s="115"/>
      <c r="AD698" s="115"/>
      <c r="AE698" s="115"/>
      <c r="AF698" s="115"/>
      <c r="AG698" s="115"/>
      <c r="AH698" s="115"/>
      <c r="AI698" s="115"/>
      <c r="AJ698" s="115"/>
      <c r="AK698" s="115"/>
      <c r="AL698" s="115"/>
      <c r="AM698" s="115"/>
      <c r="AN698" s="115"/>
      <c r="AO698" s="115"/>
      <c r="AP698" s="115"/>
      <c r="AQ698" s="17"/>
      <c r="AR698" s="13"/>
      <c r="AU698" s="114"/>
    </row>
    <row r="699" spans="1:47" x14ac:dyDescent="0.4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22"/>
      <c r="AA699" s="122"/>
      <c r="AB699" s="122"/>
      <c r="AC699" s="115"/>
      <c r="AD699" s="115"/>
      <c r="AE699" s="115"/>
      <c r="AF699" s="115"/>
      <c r="AG699" s="115"/>
      <c r="AH699" s="115"/>
      <c r="AI699" s="115"/>
      <c r="AJ699" s="115"/>
      <c r="AK699" s="115"/>
      <c r="AL699" s="115"/>
      <c r="AM699" s="115"/>
      <c r="AN699" s="115"/>
      <c r="AO699" s="115"/>
      <c r="AP699" s="115"/>
      <c r="AQ699" s="26"/>
      <c r="AR699" s="13"/>
      <c r="AU699" s="114"/>
    </row>
    <row r="700" spans="1:47" x14ac:dyDescent="0.4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22"/>
      <c r="AA700" s="122"/>
      <c r="AB700" s="122"/>
      <c r="AC700" s="115"/>
      <c r="AD700" s="115"/>
      <c r="AE700" s="115"/>
      <c r="AF700" s="115"/>
      <c r="AG700" s="115"/>
      <c r="AH700" s="115"/>
      <c r="AI700" s="115"/>
      <c r="AJ700" s="115"/>
      <c r="AK700" s="115"/>
      <c r="AL700" s="115"/>
      <c r="AM700" s="115"/>
      <c r="AN700" s="115"/>
      <c r="AO700" s="115"/>
      <c r="AP700" s="115"/>
      <c r="AQ700" s="17"/>
      <c r="AR700" s="13"/>
      <c r="AU700" s="114"/>
    </row>
    <row r="701" spans="1:47" x14ac:dyDescent="0.4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22"/>
      <c r="AA701" s="122"/>
      <c r="AB701" s="122"/>
      <c r="AC701" s="115"/>
      <c r="AD701" s="115"/>
      <c r="AE701" s="115"/>
      <c r="AF701" s="115"/>
      <c r="AG701" s="115"/>
      <c r="AH701" s="115"/>
      <c r="AI701" s="115"/>
      <c r="AJ701" s="115"/>
      <c r="AK701" s="115"/>
      <c r="AL701" s="115"/>
      <c r="AM701" s="115"/>
      <c r="AN701" s="115"/>
      <c r="AO701" s="115"/>
      <c r="AP701" s="115"/>
      <c r="AQ701" s="26"/>
      <c r="AR701" s="13"/>
      <c r="AU701" s="114"/>
    </row>
    <row r="702" spans="1:47" x14ac:dyDescent="0.4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22"/>
      <c r="AA702" s="122"/>
      <c r="AB702" s="122"/>
      <c r="AC702" s="115"/>
      <c r="AD702" s="115"/>
      <c r="AE702" s="115"/>
      <c r="AF702" s="115"/>
      <c r="AG702" s="115"/>
      <c r="AH702" s="115"/>
      <c r="AI702" s="115"/>
      <c r="AJ702" s="115"/>
      <c r="AK702" s="115"/>
      <c r="AL702" s="115"/>
      <c r="AM702" s="115"/>
      <c r="AN702" s="115"/>
      <c r="AO702" s="115"/>
      <c r="AP702" s="115"/>
      <c r="AQ702" s="26"/>
      <c r="AR702" s="13"/>
      <c r="AU702" s="114"/>
    </row>
    <row r="703" spans="1:47" x14ac:dyDescent="0.4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22"/>
      <c r="AA703" s="122"/>
      <c r="AB703" s="122"/>
      <c r="AC703" s="115"/>
      <c r="AD703" s="115"/>
      <c r="AE703" s="115"/>
      <c r="AF703" s="115"/>
      <c r="AG703" s="115"/>
      <c r="AH703" s="115"/>
      <c r="AI703" s="115"/>
      <c r="AJ703" s="115"/>
      <c r="AK703" s="115"/>
      <c r="AL703" s="115"/>
      <c r="AM703" s="115"/>
      <c r="AN703" s="115"/>
      <c r="AO703" s="115"/>
      <c r="AP703" s="115"/>
      <c r="AQ703" s="26"/>
      <c r="AR703" s="13"/>
      <c r="AU703" s="114"/>
    </row>
    <row r="704" spans="1:47" x14ac:dyDescent="0.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22"/>
      <c r="AA704" s="122"/>
      <c r="AB704" s="122"/>
      <c r="AC704" s="115"/>
      <c r="AD704" s="115"/>
      <c r="AE704" s="115"/>
      <c r="AF704" s="115"/>
      <c r="AG704" s="115"/>
      <c r="AH704" s="115"/>
      <c r="AI704" s="115"/>
      <c r="AJ704" s="115"/>
      <c r="AK704" s="115"/>
      <c r="AL704" s="115"/>
      <c r="AM704" s="115"/>
      <c r="AN704" s="115"/>
      <c r="AO704" s="115"/>
      <c r="AP704" s="115"/>
      <c r="AQ704" s="26"/>
      <c r="AR704" s="15"/>
      <c r="AU704" s="114"/>
    </row>
    <row r="705" spans="1:48" x14ac:dyDescent="0.4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22"/>
      <c r="AA705" s="122"/>
      <c r="AB705" s="122"/>
      <c r="AC705" s="115"/>
      <c r="AD705" s="115"/>
      <c r="AE705" s="115"/>
      <c r="AF705" s="115"/>
      <c r="AG705" s="115"/>
      <c r="AH705" s="115"/>
      <c r="AI705" s="115"/>
      <c r="AJ705" s="115"/>
      <c r="AK705" s="115"/>
      <c r="AL705" s="115"/>
      <c r="AM705" s="115"/>
      <c r="AN705" s="115"/>
      <c r="AO705" s="115"/>
      <c r="AP705" s="115"/>
      <c r="AQ705" s="26"/>
      <c r="AR705" s="15"/>
      <c r="AU705" s="114"/>
    </row>
    <row r="706" spans="1:48" x14ac:dyDescent="0.4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22"/>
      <c r="AA706" s="122"/>
      <c r="AB706" s="122"/>
      <c r="AC706" s="115"/>
      <c r="AD706" s="115"/>
      <c r="AE706" s="115"/>
      <c r="AF706" s="115"/>
      <c r="AG706" s="115"/>
      <c r="AH706" s="115"/>
      <c r="AI706" s="115"/>
      <c r="AJ706" s="115"/>
      <c r="AK706" s="115"/>
      <c r="AL706" s="115"/>
      <c r="AM706" s="115"/>
      <c r="AN706" s="115"/>
      <c r="AO706" s="115"/>
      <c r="AP706" s="115"/>
      <c r="AQ706" s="26"/>
      <c r="AR706" s="15"/>
      <c r="AU706" s="114"/>
    </row>
    <row r="707" spans="1:48" x14ac:dyDescent="0.4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22"/>
      <c r="AA707" s="122"/>
      <c r="AB707" s="122"/>
      <c r="AC707" s="115"/>
      <c r="AD707" s="115"/>
      <c r="AE707" s="115"/>
      <c r="AF707" s="115"/>
      <c r="AG707" s="115"/>
      <c r="AH707" s="115"/>
      <c r="AI707" s="115"/>
      <c r="AJ707" s="115"/>
      <c r="AK707" s="115"/>
      <c r="AL707" s="115"/>
      <c r="AM707" s="115"/>
      <c r="AN707" s="115"/>
      <c r="AO707" s="115"/>
      <c r="AP707" s="115"/>
      <c r="AQ707" s="26"/>
      <c r="AR707" s="13"/>
      <c r="AU707" s="114"/>
    </row>
    <row r="708" spans="1:48" x14ac:dyDescent="0.4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22"/>
      <c r="AA708" s="122"/>
      <c r="AB708" s="122"/>
      <c r="AC708" s="115"/>
      <c r="AD708" s="115"/>
      <c r="AE708" s="115"/>
      <c r="AF708" s="115"/>
      <c r="AG708" s="115"/>
      <c r="AH708" s="115"/>
      <c r="AI708" s="115"/>
      <c r="AJ708" s="115"/>
      <c r="AK708" s="115"/>
      <c r="AL708" s="115"/>
      <c r="AM708" s="115"/>
      <c r="AN708" s="115"/>
      <c r="AO708" s="115"/>
      <c r="AP708" s="115"/>
      <c r="AQ708" s="26"/>
      <c r="AR708" s="15"/>
      <c r="AU708" s="114"/>
    </row>
    <row r="709" spans="1:48" x14ac:dyDescent="0.4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22"/>
      <c r="AA709" s="122"/>
      <c r="AB709" s="122"/>
      <c r="AC709" s="115"/>
      <c r="AD709" s="115"/>
      <c r="AE709" s="115"/>
      <c r="AF709" s="115"/>
      <c r="AG709" s="115"/>
      <c r="AH709" s="115"/>
      <c r="AI709" s="115"/>
      <c r="AJ709" s="115"/>
      <c r="AK709" s="115"/>
      <c r="AL709" s="115"/>
      <c r="AM709" s="115"/>
      <c r="AN709" s="115"/>
      <c r="AO709" s="115"/>
      <c r="AP709" s="115"/>
      <c r="AQ709" s="26"/>
      <c r="AR709" s="15"/>
      <c r="AU709" s="114"/>
      <c r="AV709" s="120"/>
    </row>
    <row r="710" spans="1:48" x14ac:dyDescent="0.4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22"/>
      <c r="AA710" s="122"/>
      <c r="AB710" s="122"/>
      <c r="AC710" s="115"/>
      <c r="AD710" s="115"/>
      <c r="AE710" s="115"/>
      <c r="AF710" s="115"/>
      <c r="AG710" s="115"/>
      <c r="AH710" s="115"/>
      <c r="AI710" s="115"/>
      <c r="AJ710" s="115"/>
      <c r="AK710" s="115"/>
      <c r="AL710" s="115"/>
      <c r="AM710" s="115"/>
      <c r="AN710" s="115"/>
      <c r="AO710" s="115"/>
      <c r="AP710" s="115"/>
      <c r="AQ710" s="26"/>
      <c r="AR710" s="15"/>
      <c r="AU710" s="114"/>
      <c r="AV710" s="120"/>
    </row>
    <row r="711" spans="1:48" x14ac:dyDescent="0.4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22"/>
      <c r="AA711" s="122"/>
      <c r="AB711" s="122"/>
      <c r="AC711" s="115"/>
      <c r="AD711" s="115"/>
      <c r="AE711" s="115"/>
      <c r="AF711" s="115"/>
      <c r="AG711" s="115"/>
      <c r="AH711" s="115"/>
      <c r="AI711" s="115"/>
      <c r="AJ711" s="115"/>
      <c r="AK711" s="115"/>
      <c r="AL711" s="115"/>
      <c r="AM711" s="115"/>
      <c r="AN711" s="115"/>
      <c r="AO711" s="115"/>
      <c r="AP711" s="115"/>
      <c r="AQ711" s="26"/>
      <c r="AR711" s="15"/>
      <c r="AU711" s="114"/>
      <c r="AV711" s="120"/>
    </row>
    <row r="712" spans="1:48" x14ac:dyDescent="0.4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22"/>
      <c r="AA712" s="122"/>
      <c r="AB712" s="122"/>
      <c r="AC712" s="115"/>
      <c r="AD712" s="115"/>
      <c r="AE712" s="115"/>
      <c r="AF712" s="115"/>
      <c r="AG712" s="115"/>
      <c r="AH712" s="115"/>
      <c r="AI712" s="115"/>
      <c r="AJ712" s="115"/>
      <c r="AK712" s="115"/>
      <c r="AL712" s="115"/>
      <c r="AM712" s="115"/>
      <c r="AN712" s="115"/>
      <c r="AO712" s="115"/>
      <c r="AP712" s="115"/>
      <c r="AQ712" s="26"/>
      <c r="AR712" s="15"/>
      <c r="AU712" s="114"/>
      <c r="AV712" s="120"/>
    </row>
    <row r="713" spans="1:48" x14ac:dyDescent="0.4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22"/>
      <c r="AA713" s="122"/>
      <c r="AB713" s="122"/>
      <c r="AC713" s="115"/>
      <c r="AD713" s="115"/>
      <c r="AE713" s="115"/>
      <c r="AF713" s="115"/>
      <c r="AG713" s="115"/>
      <c r="AH713" s="115"/>
      <c r="AI713" s="115"/>
      <c r="AJ713" s="115"/>
      <c r="AK713" s="115"/>
      <c r="AL713" s="115"/>
      <c r="AM713" s="115"/>
      <c r="AN713" s="115"/>
      <c r="AO713" s="115"/>
      <c r="AP713" s="115"/>
      <c r="AQ713" s="26"/>
      <c r="AR713" s="15"/>
      <c r="AU713" s="114"/>
      <c r="AV713" s="120"/>
    </row>
    <row r="714" spans="1:48" x14ac:dyDescent="0.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22"/>
      <c r="AA714" s="122"/>
      <c r="AB714" s="122"/>
      <c r="AC714" s="115"/>
      <c r="AD714" s="115"/>
      <c r="AE714" s="115"/>
      <c r="AF714" s="115"/>
      <c r="AG714" s="115"/>
      <c r="AH714" s="115"/>
      <c r="AI714" s="115"/>
      <c r="AJ714" s="115"/>
      <c r="AK714" s="115"/>
      <c r="AL714" s="115"/>
      <c r="AM714" s="115"/>
      <c r="AN714" s="115"/>
      <c r="AO714" s="115"/>
      <c r="AP714" s="115"/>
      <c r="AQ714" s="26"/>
      <c r="AR714" s="15"/>
      <c r="AU714" s="114"/>
      <c r="AV714" s="120"/>
    </row>
    <row r="715" spans="1:48" x14ac:dyDescent="0.4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22"/>
      <c r="AA715" s="122"/>
      <c r="AB715" s="122"/>
      <c r="AC715" s="115"/>
      <c r="AD715" s="115"/>
      <c r="AE715" s="115"/>
      <c r="AF715" s="115"/>
      <c r="AG715" s="115"/>
      <c r="AH715" s="115"/>
      <c r="AI715" s="115"/>
      <c r="AJ715" s="115"/>
      <c r="AK715" s="115"/>
      <c r="AL715" s="115"/>
      <c r="AM715" s="115"/>
      <c r="AN715" s="115"/>
      <c r="AO715" s="115"/>
      <c r="AP715" s="115"/>
      <c r="AQ715" s="26"/>
      <c r="AR715" s="15"/>
      <c r="AU715" s="114"/>
      <c r="AV715" s="120"/>
    </row>
    <row r="716" spans="1:48" x14ac:dyDescent="0.4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22"/>
      <c r="AA716" s="122"/>
      <c r="AB716" s="122"/>
      <c r="AC716" s="115"/>
      <c r="AD716" s="115"/>
      <c r="AE716" s="115"/>
      <c r="AF716" s="115"/>
      <c r="AG716" s="115"/>
      <c r="AH716" s="115"/>
      <c r="AI716" s="115"/>
      <c r="AJ716" s="115"/>
      <c r="AK716" s="115"/>
      <c r="AL716" s="115"/>
      <c r="AM716" s="115"/>
      <c r="AN716" s="115"/>
      <c r="AO716" s="115"/>
      <c r="AP716" s="115"/>
      <c r="AQ716" s="17"/>
      <c r="AR716" s="15"/>
      <c r="AU716" s="114"/>
      <c r="AV716" s="120"/>
    </row>
    <row r="717" spans="1:48" x14ac:dyDescent="0.4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22"/>
      <c r="AA717" s="122"/>
      <c r="AB717" s="122"/>
      <c r="AC717" s="115"/>
      <c r="AD717" s="115"/>
      <c r="AE717" s="115"/>
      <c r="AF717" s="115"/>
      <c r="AG717" s="115"/>
      <c r="AH717" s="115"/>
      <c r="AI717" s="115"/>
      <c r="AJ717" s="115"/>
      <c r="AK717" s="115"/>
      <c r="AL717" s="115"/>
      <c r="AM717" s="115"/>
      <c r="AN717" s="115"/>
      <c r="AO717" s="115"/>
      <c r="AP717" s="115"/>
      <c r="AQ717" s="26"/>
      <c r="AR717" s="15"/>
      <c r="AU717" s="114"/>
      <c r="AV717" s="120"/>
    </row>
    <row r="718" spans="1:48" x14ac:dyDescent="0.4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22"/>
      <c r="AA718" s="122"/>
      <c r="AB718" s="122"/>
      <c r="AC718" s="115"/>
      <c r="AD718" s="115"/>
      <c r="AE718" s="115"/>
      <c r="AF718" s="115"/>
      <c r="AG718" s="115"/>
      <c r="AH718" s="115"/>
      <c r="AI718" s="115"/>
      <c r="AJ718" s="115"/>
      <c r="AK718" s="115"/>
      <c r="AL718" s="115"/>
      <c r="AM718" s="115"/>
      <c r="AN718" s="115"/>
      <c r="AO718" s="115"/>
      <c r="AP718" s="115"/>
      <c r="AQ718" s="26"/>
      <c r="AR718" s="15"/>
      <c r="AU718" s="114"/>
    </row>
    <row r="719" spans="1:48" x14ac:dyDescent="0.4">
      <c r="AQ719" s="26"/>
      <c r="AR719" s="15"/>
      <c r="AU719" s="114"/>
    </row>
    <row r="720" spans="1:48" x14ac:dyDescent="0.4">
      <c r="AD720" s="115"/>
      <c r="AE720" s="115"/>
      <c r="AF720" s="115"/>
      <c r="AG720" s="115"/>
      <c r="AH720" s="115"/>
      <c r="AI720" s="115"/>
      <c r="AJ720" s="115"/>
      <c r="AK720" s="115"/>
      <c r="AL720" s="115"/>
      <c r="AM720" s="115"/>
      <c r="AN720" s="115"/>
      <c r="AO720" s="115"/>
      <c r="AP720" s="115"/>
      <c r="AQ720" s="17"/>
      <c r="AR720" s="15"/>
      <c r="AU720" s="114"/>
    </row>
    <row r="721" spans="4:51" x14ac:dyDescent="0.4">
      <c r="AD721" s="115"/>
      <c r="AE721" s="115"/>
      <c r="AF721" s="115"/>
      <c r="AG721" s="115"/>
      <c r="AH721" s="115"/>
      <c r="AI721" s="115"/>
      <c r="AJ721" s="115"/>
      <c r="AK721" s="115"/>
      <c r="AL721" s="115"/>
      <c r="AM721" s="115"/>
      <c r="AN721" s="115"/>
      <c r="AO721" s="115"/>
      <c r="AP721" s="115"/>
      <c r="AQ721" s="17"/>
      <c r="AR721" s="15"/>
      <c r="AU721" s="114"/>
    </row>
    <row r="722" spans="4:51" x14ac:dyDescent="0.4">
      <c r="AB722" s="122"/>
      <c r="AC722" s="115"/>
      <c r="AD722" s="115"/>
      <c r="AE722" s="115"/>
      <c r="AF722" s="115"/>
      <c r="AG722" s="115"/>
      <c r="AH722" s="115"/>
      <c r="AI722" s="115"/>
      <c r="AJ722" s="115"/>
      <c r="AK722" s="115"/>
      <c r="AL722" s="115"/>
      <c r="AM722" s="115"/>
      <c r="AN722" s="115"/>
      <c r="AO722" s="115"/>
      <c r="AP722" s="115"/>
      <c r="AQ722" s="17"/>
      <c r="AR722" s="15"/>
      <c r="AU722" s="114"/>
    </row>
    <row r="723" spans="4:51" x14ac:dyDescent="0.4">
      <c r="W723" s="115"/>
      <c r="X723" s="115"/>
      <c r="Y723" s="115"/>
      <c r="Z723" s="122"/>
      <c r="AA723" s="122"/>
      <c r="AB723" s="122"/>
      <c r="AC723" s="115"/>
      <c r="AD723" s="115"/>
      <c r="AE723" s="115"/>
      <c r="AF723" s="115"/>
      <c r="AG723" s="115"/>
      <c r="AH723" s="115"/>
      <c r="AI723" s="115"/>
      <c r="AJ723" s="115"/>
      <c r="AK723" s="115"/>
      <c r="AL723" s="115"/>
      <c r="AM723" s="115"/>
      <c r="AN723" s="115"/>
      <c r="AO723" s="115"/>
      <c r="AP723" s="115"/>
      <c r="AQ723" s="26"/>
      <c r="AR723" s="15"/>
      <c r="AU723" s="114"/>
    </row>
    <row r="724" spans="4:51" x14ac:dyDescent="0.4">
      <c r="W724" s="115"/>
      <c r="X724" s="115"/>
      <c r="Y724" s="115"/>
      <c r="Z724" s="122"/>
      <c r="AA724" s="122"/>
      <c r="AB724" s="122"/>
      <c r="AC724" s="115"/>
      <c r="AD724" s="115"/>
      <c r="AE724" s="115"/>
      <c r="AF724" s="115"/>
      <c r="AG724" s="115"/>
      <c r="AH724" s="115"/>
      <c r="AI724" s="115"/>
      <c r="AJ724" s="115"/>
      <c r="AK724" s="115"/>
      <c r="AL724" s="115"/>
      <c r="AM724" s="115"/>
      <c r="AN724" s="115"/>
      <c r="AO724" s="115"/>
      <c r="AP724" s="115"/>
      <c r="AQ724" s="17"/>
      <c r="AR724" s="15"/>
      <c r="AU724" s="114"/>
    </row>
    <row r="725" spans="4:51" x14ac:dyDescent="0.4">
      <c r="V725" s="115"/>
      <c r="W725" s="115"/>
      <c r="X725" s="115"/>
      <c r="Y725" s="115"/>
      <c r="Z725" s="122"/>
      <c r="AA725" s="122"/>
      <c r="AB725" s="122"/>
      <c r="AC725" s="115"/>
      <c r="AD725" s="115"/>
      <c r="AE725" s="115"/>
      <c r="AF725" s="115"/>
      <c r="AG725" s="115"/>
      <c r="AH725" s="115"/>
      <c r="AI725" s="115"/>
      <c r="AJ725" s="115"/>
      <c r="AK725" s="115"/>
      <c r="AL725" s="115"/>
      <c r="AM725" s="115"/>
      <c r="AN725" s="115"/>
      <c r="AO725" s="115"/>
      <c r="AP725" s="115"/>
      <c r="AQ725" s="26"/>
      <c r="AR725" s="15"/>
      <c r="AU725" s="114"/>
    </row>
    <row r="726" spans="4:51" x14ac:dyDescent="0.4">
      <c r="V726" s="115"/>
      <c r="W726" s="115"/>
      <c r="X726" s="115"/>
      <c r="Y726" s="115"/>
      <c r="Z726" s="122"/>
      <c r="AA726" s="122"/>
      <c r="AB726" s="122"/>
      <c r="AC726" s="115"/>
      <c r="AD726" s="115"/>
      <c r="AE726" s="115"/>
      <c r="AF726" s="115"/>
      <c r="AG726" s="115"/>
      <c r="AH726" s="115"/>
      <c r="AI726" s="115"/>
      <c r="AJ726" s="115"/>
      <c r="AK726" s="115"/>
      <c r="AL726" s="115"/>
      <c r="AM726" s="115"/>
      <c r="AN726" s="115"/>
      <c r="AO726" s="115"/>
      <c r="AP726" s="115"/>
      <c r="AQ726" s="17"/>
      <c r="AR726" s="15"/>
      <c r="AU726" s="114"/>
    </row>
    <row r="727" spans="4:51" x14ac:dyDescent="0.4">
      <c r="V727" s="115"/>
      <c r="W727" s="115"/>
      <c r="X727" s="115"/>
      <c r="Y727" s="115"/>
      <c r="Z727" s="122"/>
      <c r="AA727" s="122"/>
      <c r="AB727" s="122"/>
      <c r="AC727" s="115"/>
      <c r="AD727" s="115"/>
      <c r="AE727" s="115"/>
      <c r="AF727" s="115"/>
      <c r="AG727" s="115"/>
      <c r="AH727" s="115"/>
      <c r="AI727" s="115"/>
      <c r="AJ727" s="115"/>
      <c r="AK727" s="115"/>
      <c r="AL727" s="115"/>
      <c r="AM727" s="115"/>
      <c r="AN727" s="115"/>
      <c r="AO727" s="115"/>
      <c r="AP727" s="115"/>
      <c r="AQ727" s="17"/>
      <c r="AR727" s="15"/>
      <c r="AU727" s="114"/>
    </row>
    <row r="728" spans="4:51" x14ac:dyDescent="0.4">
      <c r="V728" s="115"/>
      <c r="W728" s="115"/>
      <c r="X728" s="115"/>
      <c r="Y728" s="115"/>
      <c r="Z728" s="122"/>
      <c r="AA728" s="122"/>
      <c r="AB728" s="122"/>
      <c r="AC728" s="115"/>
      <c r="AD728" s="115"/>
      <c r="AE728" s="115"/>
      <c r="AF728" s="115"/>
      <c r="AG728" s="115"/>
      <c r="AH728" s="115"/>
      <c r="AI728" s="115"/>
      <c r="AJ728" s="115"/>
      <c r="AK728" s="115"/>
      <c r="AL728" s="115"/>
      <c r="AM728" s="115"/>
      <c r="AN728" s="115"/>
      <c r="AO728" s="115"/>
      <c r="AP728" s="115"/>
      <c r="AQ728" s="17"/>
      <c r="AR728" s="15"/>
      <c r="AU728" s="114"/>
    </row>
    <row r="729" spans="4:51" x14ac:dyDescent="0.4">
      <c r="V729" s="115"/>
      <c r="W729" s="115"/>
      <c r="X729" s="115"/>
      <c r="Y729" s="115"/>
      <c r="Z729" s="122"/>
      <c r="AA729" s="122"/>
      <c r="AB729" s="122"/>
      <c r="AC729" s="115"/>
      <c r="AD729" s="115"/>
      <c r="AE729" s="115"/>
      <c r="AF729" s="115"/>
      <c r="AG729" s="115"/>
      <c r="AH729" s="115"/>
      <c r="AI729" s="115"/>
      <c r="AJ729" s="115"/>
      <c r="AK729" s="115"/>
      <c r="AL729" s="115"/>
      <c r="AM729" s="115"/>
      <c r="AN729" s="115"/>
      <c r="AO729" s="115"/>
      <c r="AP729" s="115"/>
      <c r="AQ729" s="26"/>
      <c r="AR729" s="15"/>
      <c r="AU729" s="114"/>
    </row>
    <row r="730" spans="4:51" x14ac:dyDescent="0.4">
      <c r="V730" s="115"/>
      <c r="W730" s="115"/>
      <c r="X730" s="115"/>
      <c r="Y730" s="115"/>
      <c r="Z730" s="122"/>
      <c r="AA730" s="122"/>
      <c r="AB730" s="122"/>
      <c r="AC730" s="115"/>
      <c r="AD730" s="115"/>
      <c r="AE730" s="115"/>
      <c r="AF730" s="115"/>
      <c r="AG730" s="115"/>
      <c r="AH730" s="115"/>
      <c r="AI730" s="115"/>
      <c r="AJ730" s="115"/>
      <c r="AK730" s="115"/>
      <c r="AL730" s="115"/>
      <c r="AM730" s="115"/>
      <c r="AN730" s="115"/>
      <c r="AO730" s="115"/>
      <c r="AP730" s="115"/>
      <c r="AQ730" s="17"/>
      <c r="AR730" s="15"/>
      <c r="AU730" s="114"/>
    </row>
    <row r="731" spans="4:51" ht="19.5" x14ac:dyDescent="0.4">
      <c r="AQ731" s="26"/>
      <c r="AR731" s="15"/>
      <c r="AV731" s="116"/>
      <c r="AW731" s="116"/>
      <c r="AX731" s="116"/>
      <c r="AY731" s="116"/>
    </row>
    <row r="732" spans="4:51" ht="19.5" x14ac:dyDescent="0.4">
      <c r="AA732" s="122"/>
      <c r="AB732" s="122"/>
      <c r="AC732" s="115"/>
      <c r="AD732" s="115"/>
      <c r="AE732" s="115"/>
      <c r="AF732" s="115"/>
      <c r="AG732" s="115"/>
      <c r="AH732" s="115"/>
      <c r="AI732" s="115"/>
      <c r="AJ732" s="115"/>
      <c r="AK732" s="115"/>
      <c r="AL732" s="115"/>
      <c r="AM732" s="115"/>
      <c r="AN732" s="115"/>
      <c r="AO732" s="115"/>
      <c r="AP732" s="115"/>
      <c r="AQ732" s="17"/>
      <c r="AR732" s="15"/>
      <c r="AV732" s="117"/>
      <c r="AW732" s="116"/>
      <c r="AX732" s="116"/>
      <c r="AY732" s="116"/>
    </row>
    <row r="733" spans="4:51" ht="19.5" x14ac:dyDescent="0.4">
      <c r="S733" s="115"/>
      <c r="T733" s="115"/>
      <c r="U733" s="115"/>
      <c r="V733" s="115"/>
      <c r="W733" s="115"/>
      <c r="X733" s="115"/>
      <c r="Y733" s="115"/>
      <c r="Z733" s="122"/>
      <c r="AA733" s="122"/>
      <c r="AB733" s="122"/>
      <c r="AC733" s="115"/>
      <c r="AD733" s="115"/>
      <c r="AE733" s="115"/>
      <c r="AF733" s="115"/>
      <c r="AG733" s="115"/>
      <c r="AH733" s="115"/>
      <c r="AI733" s="115"/>
      <c r="AJ733" s="115"/>
      <c r="AK733" s="115"/>
      <c r="AL733" s="115"/>
      <c r="AM733" s="115"/>
      <c r="AN733" s="115"/>
      <c r="AO733" s="115"/>
      <c r="AP733" s="115"/>
      <c r="AQ733" s="26"/>
      <c r="AR733" s="15"/>
      <c r="AV733" s="117"/>
      <c r="AW733" s="116"/>
      <c r="AX733" s="116"/>
      <c r="AY733" s="116"/>
    </row>
    <row r="734" spans="4:51" ht="19.5" x14ac:dyDescent="0.4"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22"/>
      <c r="AA734" s="122"/>
      <c r="AB734" s="122"/>
      <c r="AC734" s="115"/>
      <c r="AD734" s="115"/>
      <c r="AE734" s="115"/>
      <c r="AF734" s="115"/>
      <c r="AG734" s="115"/>
      <c r="AH734" s="115"/>
      <c r="AI734" s="115"/>
      <c r="AJ734" s="115"/>
      <c r="AK734" s="115"/>
      <c r="AL734" s="115"/>
      <c r="AM734" s="115"/>
      <c r="AN734" s="115"/>
      <c r="AO734" s="115"/>
      <c r="AP734" s="115"/>
      <c r="AQ734" s="26"/>
      <c r="AR734" s="13"/>
      <c r="AV734" s="117"/>
      <c r="AW734" s="116"/>
      <c r="AX734" s="116"/>
      <c r="AY734" s="116"/>
    </row>
    <row r="735" spans="4:51" ht="19.5" x14ac:dyDescent="0.4"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22"/>
      <c r="AA735" s="122"/>
      <c r="AB735" s="122"/>
      <c r="AC735" s="115"/>
      <c r="AD735" s="115"/>
      <c r="AE735" s="115"/>
      <c r="AF735" s="115"/>
      <c r="AG735" s="115"/>
      <c r="AH735" s="115"/>
      <c r="AI735" s="115"/>
      <c r="AJ735" s="115"/>
      <c r="AK735" s="115"/>
      <c r="AL735" s="115"/>
      <c r="AM735" s="115"/>
      <c r="AN735" s="115"/>
      <c r="AO735" s="115"/>
      <c r="AP735" s="115"/>
      <c r="AQ735" s="26"/>
      <c r="AR735" s="15"/>
      <c r="AV735" s="117"/>
      <c r="AW735" s="116"/>
      <c r="AX735" s="116"/>
      <c r="AY735" s="116"/>
    </row>
    <row r="736" spans="4:51" ht="19.5" x14ac:dyDescent="0.4"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22"/>
      <c r="AA736" s="122"/>
      <c r="AB736" s="122"/>
      <c r="AC736" s="115"/>
      <c r="AD736" s="115"/>
      <c r="AE736" s="115"/>
      <c r="AF736" s="115"/>
      <c r="AG736" s="115"/>
      <c r="AH736" s="115"/>
      <c r="AI736" s="115"/>
      <c r="AJ736" s="115"/>
      <c r="AK736" s="115"/>
      <c r="AL736" s="115"/>
      <c r="AM736" s="115"/>
      <c r="AN736" s="115"/>
      <c r="AO736" s="115"/>
      <c r="AP736" s="115"/>
      <c r="AQ736" s="17"/>
      <c r="AR736" s="15"/>
      <c r="AV736" s="117"/>
      <c r="AW736" s="116"/>
      <c r="AX736" s="116"/>
      <c r="AY736" s="116"/>
    </row>
    <row r="737" spans="1:51" ht="19.5" x14ac:dyDescent="0.4"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22"/>
      <c r="AA737" s="122"/>
      <c r="AB737" s="122"/>
      <c r="AC737" s="115"/>
      <c r="AD737" s="115"/>
      <c r="AE737" s="115"/>
      <c r="AF737" s="115"/>
      <c r="AG737" s="115"/>
      <c r="AH737" s="115"/>
      <c r="AI737" s="115"/>
      <c r="AJ737" s="115"/>
      <c r="AK737" s="115"/>
      <c r="AL737" s="115"/>
      <c r="AM737" s="115"/>
      <c r="AN737" s="115"/>
      <c r="AO737" s="115"/>
      <c r="AP737" s="115"/>
      <c r="AQ737" s="26"/>
      <c r="AR737" s="15"/>
      <c r="AV737" s="117"/>
      <c r="AW737" s="116"/>
      <c r="AX737" s="116"/>
      <c r="AY737" s="116"/>
    </row>
    <row r="738" spans="1:51" ht="19.5" x14ac:dyDescent="0.4"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22"/>
      <c r="AA738" s="122"/>
      <c r="AB738" s="122"/>
      <c r="AC738" s="115"/>
      <c r="AD738" s="115"/>
      <c r="AE738" s="115"/>
      <c r="AF738" s="115"/>
      <c r="AG738" s="115"/>
      <c r="AH738" s="115"/>
      <c r="AI738" s="115"/>
      <c r="AJ738" s="115"/>
      <c r="AK738" s="115"/>
      <c r="AL738" s="115"/>
      <c r="AM738" s="115"/>
      <c r="AN738" s="115"/>
      <c r="AO738" s="115"/>
      <c r="AP738" s="115"/>
      <c r="AQ738" s="26"/>
      <c r="AR738" s="15"/>
      <c r="AV738" s="117"/>
      <c r="AW738" s="116"/>
      <c r="AX738" s="116"/>
      <c r="AY738" s="116"/>
    </row>
    <row r="739" spans="1:51" ht="19.5" x14ac:dyDescent="0.4"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22"/>
      <c r="AA739" s="122"/>
      <c r="AB739" s="122"/>
      <c r="AC739" s="115"/>
      <c r="AD739" s="115"/>
      <c r="AE739" s="115"/>
      <c r="AF739" s="115"/>
      <c r="AG739" s="115"/>
      <c r="AH739" s="115"/>
      <c r="AI739" s="115"/>
      <c r="AJ739" s="115"/>
      <c r="AK739" s="115"/>
      <c r="AL739" s="115"/>
      <c r="AM739" s="115"/>
      <c r="AN739" s="115"/>
      <c r="AO739" s="115"/>
      <c r="AP739" s="115"/>
      <c r="AQ739" s="17"/>
      <c r="AR739" s="15"/>
      <c r="AV739" s="117"/>
      <c r="AW739" s="116"/>
      <c r="AX739" s="116"/>
      <c r="AY739" s="116"/>
    </row>
    <row r="740" spans="1:51" ht="19.5" x14ac:dyDescent="0.4"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22"/>
      <c r="AA740" s="122"/>
      <c r="AB740" s="122"/>
      <c r="AC740" s="115"/>
      <c r="AD740" s="115"/>
      <c r="AE740" s="115"/>
      <c r="AF740" s="115"/>
      <c r="AG740" s="115"/>
      <c r="AH740" s="115"/>
      <c r="AI740" s="115"/>
      <c r="AJ740" s="115"/>
      <c r="AK740" s="115"/>
      <c r="AL740" s="115"/>
      <c r="AM740" s="115"/>
      <c r="AN740" s="115"/>
      <c r="AO740" s="115"/>
      <c r="AP740" s="115"/>
      <c r="AQ740" s="26"/>
      <c r="AR740" s="15"/>
      <c r="AV740" s="117"/>
      <c r="AW740" s="116"/>
      <c r="AX740" s="116"/>
      <c r="AY740" s="116"/>
    </row>
    <row r="741" spans="1:51" ht="19.5" x14ac:dyDescent="0.4">
      <c r="AQ741" s="26"/>
      <c r="AR741" s="15"/>
      <c r="AV741" s="117"/>
      <c r="AW741" s="116"/>
      <c r="AX741" s="116"/>
      <c r="AY741" s="116"/>
    </row>
    <row r="742" spans="1:51" ht="19.5" x14ac:dyDescent="0.4">
      <c r="AA742" s="122"/>
      <c r="AB742" s="122"/>
      <c r="AC742" s="115"/>
      <c r="AD742" s="115"/>
      <c r="AE742" s="115"/>
      <c r="AF742" s="115"/>
      <c r="AG742" s="115"/>
      <c r="AH742" s="115"/>
      <c r="AI742" s="115"/>
      <c r="AJ742" s="115"/>
      <c r="AK742" s="115"/>
      <c r="AL742" s="115"/>
      <c r="AM742" s="115"/>
      <c r="AN742" s="115"/>
      <c r="AO742" s="115"/>
      <c r="AP742" s="115"/>
      <c r="AQ742" s="17"/>
      <c r="AR742" s="15"/>
      <c r="AV742" s="117"/>
      <c r="AW742" s="116"/>
      <c r="AX742" s="116"/>
      <c r="AY742" s="116"/>
    </row>
    <row r="743" spans="1:51" ht="19.5" x14ac:dyDescent="0.4">
      <c r="X743" s="115"/>
      <c r="Y743" s="115"/>
      <c r="Z743" s="122"/>
      <c r="AA743" s="122"/>
      <c r="AB743" s="122"/>
      <c r="AC743" s="115"/>
      <c r="AD743" s="115"/>
      <c r="AE743" s="115"/>
      <c r="AF743" s="115"/>
      <c r="AG743" s="115"/>
      <c r="AH743" s="115"/>
      <c r="AI743" s="115"/>
      <c r="AJ743" s="115"/>
      <c r="AK743" s="115"/>
      <c r="AL743" s="115"/>
      <c r="AM743" s="115"/>
      <c r="AN743" s="115"/>
      <c r="AO743" s="115"/>
      <c r="AP743" s="115"/>
      <c r="AQ743" s="26"/>
      <c r="AR743" s="15"/>
      <c r="AV743" s="117"/>
      <c r="AW743" s="116"/>
      <c r="AX743" s="116"/>
      <c r="AY743" s="116"/>
    </row>
    <row r="744" spans="1:51" ht="19.5" x14ac:dyDescent="0.4">
      <c r="X744" s="115"/>
      <c r="Y744" s="115"/>
      <c r="Z744" s="122"/>
      <c r="AA744" s="122"/>
      <c r="AB744" s="122"/>
      <c r="AC744" s="115"/>
      <c r="AD744" s="115"/>
      <c r="AE744" s="115"/>
      <c r="AF744" s="115"/>
      <c r="AG744" s="115"/>
      <c r="AH744" s="115"/>
      <c r="AI744" s="115"/>
      <c r="AJ744" s="115"/>
      <c r="AK744" s="115"/>
      <c r="AL744" s="115"/>
      <c r="AM744" s="115"/>
      <c r="AN744" s="115"/>
      <c r="AO744" s="115"/>
      <c r="AP744" s="115"/>
      <c r="AQ744" s="17"/>
      <c r="AR744" s="15"/>
      <c r="AV744" s="117"/>
      <c r="AW744" s="116"/>
      <c r="AX744" s="116"/>
      <c r="AY744" s="116"/>
    </row>
    <row r="745" spans="1:51" ht="19.5" x14ac:dyDescent="0.4">
      <c r="W745" s="115"/>
      <c r="X745" s="115"/>
      <c r="Y745" s="115"/>
      <c r="Z745" s="122"/>
      <c r="AA745" s="122"/>
      <c r="AB745" s="122"/>
      <c r="AC745" s="115"/>
      <c r="AD745" s="115"/>
      <c r="AE745" s="115"/>
      <c r="AF745" s="115"/>
      <c r="AG745" s="115"/>
      <c r="AH745" s="115"/>
      <c r="AI745" s="115"/>
      <c r="AJ745" s="115"/>
      <c r="AK745" s="115"/>
      <c r="AL745" s="115"/>
      <c r="AM745" s="115"/>
      <c r="AN745" s="115"/>
      <c r="AO745" s="115"/>
      <c r="AP745" s="115"/>
      <c r="AQ745" s="26"/>
      <c r="AR745" s="15"/>
      <c r="AV745" s="117"/>
      <c r="AW745" s="116"/>
      <c r="AX745" s="116"/>
      <c r="AY745" s="116"/>
    </row>
    <row r="746" spans="1:51" ht="19.5" x14ac:dyDescent="0.4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22"/>
      <c r="AA746" s="122"/>
      <c r="AB746" s="122"/>
      <c r="AC746" s="115"/>
      <c r="AD746" s="115"/>
      <c r="AE746" s="115"/>
      <c r="AF746" s="115"/>
      <c r="AG746" s="115"/>
      <c r="AH746" s="115"/>
      <c r="AI746" s="115"/>
      <c r="AJ746" s="115"/>
      <c r="AK746" s="115"/>
      <c r="AL746" s="115"/>
      <c r="AM746" s="115"/>
      <c r="AN746" s="115"/>
      <c r="AO746" s="115"/>
      <c r="AP746" s="115"/>
      <c r="AQ746" s="26"/>
      <c r="AR746" s="15"/>
      <c r="AV746" s="117"/>
      <c r="AW746" s="116"/>
      <c r="AX746" s="116"/>
      <c r="AY746" s="116"/>
    </row>
    <row r="747" spans="1:51" ht="19.5" x14ac:dyDescent="0.4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22"/>
      <c r="AA747" s="122"/>
      <c r="AB747" s="122"/>
      <c r="AC747" s="115"/>
      <c r="AD747" s="115"/>
      <c r="AE747" s="115"/>
      <c r="AF747" s="115"/>
      <c r="AG747" s="115"/>
      <c r="AH747" s="115"/>
      <c r="AI747" s="115"/>
      <c r="AJ747" s="115"/>
      <c r="AK747" s="115"/>
      <c r="AL747" s="115"/>
      <c r="AM747" s="115"/>
      <c r="AN747" s="115"/>
      <c r="AO747" s="115"/>
      <c r="AP747" s="115"/>
      <c r="AQ747" s="26"/>
      <c r="AR747" s="15"/>
      <c r="AV747" s="117"/>
      <c r="AW747" s="116"/>
      <c r="AX747" s="116"/>
      <c r="AY747" s="116"/>
    </row>
    <row r="748" spans="1:51" ht="19.5" x14ac:dyDescent="0.4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22"/>
      <c r="AA748" s="122"/>
      <c r="AB748" s="122"/>
      <c r="AC748" s="115"/>
      <c r="AD748" s="115"/>
      <c r="AE748" s="115"/>
      <c r="AF748" s="115"/>
      <c r="AG748" s="115"/>
      <c r="AH748" s="115"/>
      <c r="AI748" s="115"/>
      <c r="AJ748" s="115"/>
      <c r="AK748" s="115"/>
      <c r="AL748" s="115"/>
      <c r="AM748" s="115"/>
      <c r="AN748" s="115"/>
      <c r="AO748" s="115"/>
      <c r="AP748" s="115"/>
      <c r="AQ748" s="26"/>
      <c r="AR748" s="15"/>
      <c r="AV748" s="117"/>
      <c r="AW748" s="116"/>
      <c r="AX748" s="116"/>
      <c r="AY748" s="116"/>
    </row>
    <row r="749" spans="1:51" ht="19.5" x14ac:dyDescent="0.4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22"/>
      <c r="AA749" s="122"/>
      <c r="AB749" s="122"/>
      <c r="AC749" s="115"/>
      <c r="AD749" s="115"/>
      <c r="AE749" s="115"/>
      <c r="AF749" s="115"/>
      <c r="AG749" s="115"/>
      <c r="AH749" s="115"/>
      <c r="AI749" s="115"/>
      <c r="AJ749" s="115"/>
      <c r="AK749" s="115"/>
      <c r="AL749" s="115"/>
      <c r="AM749" s="115"/>
      <c r="AN749" s="115"/>
      <c r="AO749" s="115"/>
      <c r="AP749" s="115"/>
      <c r="AQ749" s="26"/>
      <c r="AR749" s="105"/>
      <c r="AV749" s="117"/>
      <c r="AW749" s="116"/>
      <c r="AX749" s="116"/>
      <c r="AY749" s="116"/>
    </row>
    <row r="750" spans="1:51" ht="19.5" x14ac:dyDescent="0.4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22"/>
      <c r="AA750" s="122"/>
      <c r="AB750" s="122"/>
      <c r="AC750" s="115"/>
      <c r="AD750" s="115"/>
      <c r="AE750" s="115"/>
      <c r="AF750" s="115"/>
      <c r="AG750" s="115"/>
      <c r="AH750" s="115"/>
      <c r="AI750" s="115"/>
      <c r="AJ750" s="115"/>
      <c r="AK750" s="115"/>
      <c r="AL750" s="115"/>
      <c r="AM750" s="115"/>
      <c r="AN750" s="115"/>
      <c r="AO750" s="115"/>
      <c r="AP750" s="115"/>
      <c r="AQ750" s="26"/>
      <c r="AR750" s="105"/>
      <c r="AV750" s="117"/>
      <c r="AW750" s="116"/>
      <c r="AX750" s="116"/>
      <c r="AY750" s="116"/>
    </row>
    <row r="751" spans="1:51" ht="19.5" x14ac:dyDescent="0.4">
      <c r="AQ751" s="26"/>
      <c r="AR751" s="13"/>
      <c r="AV751" s="117"/>
      <c r="AW751" s="116"/>
      <c r="AX751" s="116"/>
      <c r="AY751" s="116"/>
    </row>
    <row r="752" spans="1:51" ht="19.5" x14ac:dyDescent="0.4">
      <c r="X752" s="115"/>
      <c r="Y752" s="115"/>
      <c r="Z752" s="122"/>
      <c r="AA752" s="122"/>
      <c r="AB752" s="122"/>
      <c r="AC752" s="115"/>
      <c r="AD752" s="115"/>
      <c r="AE752" s="115"/>
      <c r="AF752" s="115"/>
      <c r="AG752" s="115"/>
      <c r="AH752" s="115"/>
      <c r="AI752" s="115"/>
      <c r="AJ752" s="115"/>
      <c r="AK752" s="115"/>
      <c r="AL752" s="115"/>
      <c r="AM752" s="115"/>
      <c r="AN752" s="115"/>
      <c r="AO752" s="115"/>
      <c r="AP752" s="115"/>
      <c r="AQ752" s="26"/>
      <c r="AR752" s="13"/>
      <c r="AV752" s="117"/>
      <c r="AW752" s="116"/>
      <c r="AX752" s="116"/>
      <c r="AY752" s="116"/>
    </row>
    <row r="753" spans="3:51" ht="19.5" x14ac:dyDescent="0.4">
      <c r="S753" s="115"/>
      <c r="T753" s="115"/>
      <c r="U753" s="115"/>
      <c r="V753" s="115"/>
      <c r="W753" s="115"/>
      <c r="X753" s="115"/>
      <c r="Y753" s="115"/>
      <c r="Z753" s="122"/>
      <c r="AA753" s="122"/>
      <c r="AB753" s="122"/>
      <c r="AC753" s="115"/>
      <c r="AD753" s="115"/>
      <c r="AE753" s="115"/>
      <c r="AF753" s="115"/>
      <c r="AG753" s="115"/>
      <c r="AH753" s="115"/>
      <c r="AI753" s="115"/>
      <c r="AJ753" s="115"/>
      <c r="AK753" s="115"/>
      <c r="AL753" s="115"/>
      <c r="AM753" s="115"/>
      <c r="AN753" s="115"/>
      <c r="AO753" s="115"/>
      <c r="AP753" s="115"/>
      <c r="AQ753" s="26"/>
      <c r="AR753" s="13"/>
      <c r="AV753" s="117"/>
      <c r="AW753" s="116"/>
      <c r="AX753" s="116"/>
      <c r="AY753" s="116"/>
    </row>
    <row r="754" spans="3:51" ht="19.5" x14ac:dyDescent="0.4">
      <c r="AQ754" s="26"/>
      <c r="AR754" s="13"/>
      <c r="AV754" s="117"/>
      <c r="AW754" s="116"/>
      <c r="AX754" s="116"/>
      <c r="AY754" s="116"/>
    </row>
    <row r="755" spans="3:51" ht="19.5" x14ac:dyDescent="0.4"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22"/>
      <c r="AA755" s="122"/>
      <c r="AB755" s="122"/>
      <c r="AC755" s="115"/>
      <c r="AD755" s="115"/>
      <c r="AE755" s="115"/>
      <c r="AF755" s="115"/>
      <c r="AG755" s="115"/>
      <c r="AH755" s="115"/>
      <c r="AI755" s="115"/>
      <c r="AJ755" s="115"/>
      <c r="AK755" s="115"/>
      <c r="AL755" s="115"/>
      <c r="AM755" s="115"/>
      <c r="AN755" s="115"/>
      <c r="AO755" s="115"/>
      <c r="AP755" s="115"/>
      <c r="AQ755" s="26"/>
      <c r="AR755" s="13"/>
      <c r="AV755" s="117"/>
      <c r="AW755" s="116"/>
      <c r="AX755" s="116"/>
      <c r="AY755" s="116"/>
    </row>
    <row r="756" spans="3:51" ht="19.5" x14ac:dyDescent="0.4"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22"/>
      <c r="AA756" s="122"/>
      <c r="AB756" s="122"/>
      <c r="AC756" s="115"/>
      <c r="AD756" s="115"/>
      <c r="AE756" s="115"/>
      <c r="AF756" s="115"/>
      <c r="AG756" s="115"/>
      <c r="AH756" s="115"/>
      <c r="AI756" s="115"/>
      <c r="AJ756" s="115"/>
      <c r="AK756" s="115"/>
      <c r="AL756" s="115"/>
      <c r="AM756" s="115"/>
      <c r="AN756" s="115"/>
      <c r="AO756" s="115"/>
      <c r="AP756" s="115"/>
      <c r="AQ756" s="26"/>
      <c r="AR756" s="13"/>
      <c r="AV756" s="117"/>
      <c r="AW756" s="116"/>
      <c r="AX756" s="116"/>
      <c r="AY756" s="116"/>
    </row>
    <row r="757" spans="3:51" ht="19.5" x14ac:dyDescent="0.4"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22"/>
      <c r="AA757" s="122"/>
      <c r="AB757" s="122"/>
      <c r="AC757" s="115"/>
      <c r="AD757" s="115"/>
      <c r="AE757" s="115"/>
      <c r="AF757" s="115"/>
      <c r="AG757" s="115"/>
      <c r="AH757" s="115"/>
      <c r="AI757" s="115"/>
      <c r="AJ757" s="115"/>
      <c r="AK757" s="115"/>
      <c r="AL757" s="115"/>
      <c r="AM757" s="115"/>
      <c r="AN757" s="115"/>
      <c r="AO757" s="115"/>
      <c r="AP757" s="115"/>
      <c r="AQ757" s="26"/>
      <c r="AR757" s="13"/>
      <c r="AV757" s="117"/>
      <c r="AW757" s="116"/>
      <c r="AX757" s="116"/>
      <c r="AY757" s="116"/>
    </row>
    <row r="758" spans="3:51" ht="19.5" x14ac:dyDescent="0.4"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22"/>
      <c r="AA758" s="122"/>
      <c r="AB758" s="122"/>
      <c r="AC758" s="115"/>
      <c r="AD758" s="115"/>
      <c r="AE758" s="115"/>
      <c r="AF758" s="115"/>
      <c r="AG758" s="115"/>
      <c r="AH758" s="115"/>
      <c r="AI758" s="115"/>
      <c r="AJ758" s="115"/>
      <c r="AK758" s="115"/>
      <c r="AL758" s="115"/>
      <c r="AM758" s="115"/>
      <c r="AN758" s="115"/>
      <c r="AO758" s="115"/>
      <c r="AP758" s="115"/>
      <c r="AQ758" s="26"/>
      <c r="AR758" s="13"/>
      <c r="AV758" s="117"/>
      <c r="AW758" s="116"/>
      <c r="AX758" s="116"/>
      <c r="AY758" s="116"/>
    </row>
    <row r="759" spans="3:51" ht="19.5" x14ac:dyDescent="0.4"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22"/>
      <c r="AA759" s="122"/>
      <c r="AB759" s="122"/>
      <c r="AC759" s="115"/>
      <c r="AD759" s="115"/>
      <c r="AE759" s="115"/>
      <c r="AF759" s="115"/>
      <c r="AG759" s="115"/>
      <c r="AH759" s="115"/>
      <c r="AI759" s="115"/>
      <c r="AJ759" s="115"/>
      <c r="AK759" s="115"/>
      <c r="AL759" s="115"/>
      <c r="AM759" s="115"/>
      <c r="AN759" s="115"/>
      <c r="AO759" s="115"/>
      <c r="AP759" s="115"/>
      <c r="AQ759" s="26"/>
      <c r="AR759" s="13"/>
      <c r="AV759" s="117"/>
      <c r="AW759" s="116"/>
      <c r="AX759" s="116"/>
      <c r="AY759" s="116"/>
    </row>
    <row r="760" spans="3:51" ht="19.5" x14ac:dyDescent="0.4"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22"/>
      <c r="AA760" s="122"/>
      <c r="AB760" s="122"/>
      <c r="AC760" s="115"/>
      <c r="AD760" s="115"/>
      <c r="AE760" s="115"/>
      <c r="AF760" s="115"/>
      <c r="AG760" s="115"/>
      <c r="AH760" s="115"/>
      <c r="AI760" s="115"/>
      <c r="AJ760" s="115"/>
      <c r="AK760" s="115"/>
      <c r="AL760" s="115"/>
      <c r="AM760" s="115"/>
      <c r="AN760" s="115"/>
      <c r="AO760" s="115"/>
      <c r="AP760" s="115"/>
      <c r="AQ760" s="26"/>
      <c r="AR760" s="13"/>
      <c r="AV760" s="117"/>
      <c r="AW760" s="116"/>
      <c r="AX760" s="116"/>
      <c r="AY760" s="116"/>
    </row>
    <row r="761" spans="3:51" ht="19.5" x14ac:dyDescent="0.4"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22"/>
      <c r="AA761" s="122"/>
      <c r="AB761" s="122"/>
      <c r="AC761" s="115"/>
      <c r="AD761" s="115"/>
      <c r="AE761" s="115"/>
      <c r="AF761" s="115"/>
      <c r="AG761" s="115"/>
      <c r="AH761" s="115"/>
      <c r="AI761" s="115"/>
      <c r="AJ761" s="115"/>
      <c r="AK761" s="115"/>
      <c r="AL761" s="115"/>
      <c r="AM761" s="115"/>
      <c r="AN761" s="115"/>
      <c r="AO761" s="115"/>
      <c r="AP761" s="115"/>
      <c r="AQ761" s="26"/>
      <c r="AR761" s="13"/>
      <c r="AV761" s="117"/>
      <c r="AW761" s="116"/>
      <c r="AX761" s="116"/>
      <c r="AY761" s="116"/>
    </row>
    <row r="762" spans="3:51" ht="19.5" x14ac:dyDescent="0.4"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22"/>
      <c r="AA762" s="122"/>
      <c r="AB762" s="122"/>
      <c r="AC762" s="115"/>
      <c r="AD762" s="115"/>
      <c r="AE762" s="115"/>
      <c r="AF762" s="115"/>
      <c r="AG762" s="115"/>
      <c r="AH762" s="115"/>
      <c r="AI762" s="115"/>
      <c r="AJ762" s="115"/>
      <c r="AK762" s="115"/>
      <c r="AL762" s="115"/>
      <c r="AM762" s="115"/>
      <c r="AN762" s="115"/>
      <c r="AO762" s="115"/>
      <c r="AP762" s="115"/>
      <c r="AQ762" s="26"/>
      <c r="AR762" s="13"/>
      <c r="AV762" s="117"/>
      <c r="AW762" s="116"/>
      <c r="AX762" s="116"/>
      <c r="AY762" s="116"/>
    </row>
    <row r="763" spans="3:51" ht="19.5" x14ac:dyDescent="0.4">
      <c r="AQ763" s="26"/>
      <c r="AR763" s="15"/>
      <c r="AV763" s="117"/>
      <c r="AW763" s="116"/>
      <c r="AX763" s="116"/>
      <c r="AY763" s="116"/>
    </row>
    <row r="764" spans="3:51" ht="19.5" x14ac:dyDescent="0.4"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22"/>
      <c r="AA764" s="122"/>
      <c r="AB764" s="122"/>
      <c r="AC764" s="115"/>
      <c r="AD764" s="115"/>
      <c r="AE764" s="115"/>
      <c r="AF764" s="115"/>
      <c r="AG764" s="115"/>
      <c r="AH764" s="115"/>
      <c r="AI764" s="115"/>
      <c r="AJ764" s="115"/>
      <c r="AK764" s="115"/>
      <c r="AL764" s="115"/>
      <c r="AM764" s="115"/>
      <c r="AN764" s="115"/>
      <c r="AO764" s="115"/>
      <c r="AP764" s="115"/>
      <c r="AQ764" s="26"/>
      <c r="AR764" s="15"/>
      <c r="AV764" s="117"/>
      <c r="AW764" s="116"/>
      <c r="AX764" s="116"/>
      <c r="AY764" s="116"/>
    </row>
    <row r="765" spans="3:51" ht="19.5" x14ac:dyDescent="0.4"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22"/>
      <c r="AA765" s="122"/>
      <c r="AB765" s="122"/>
      <c r="AC765" s="115"/>
      <c r="AD765" s="115"/>
      <c r="AE765" s="115"/>
      <c r="AF765" s="115"/>
      <c r="AG765" s="115"/>
      <c r="AH765" s="115"/>
      <c r="AI765" s="115"/>
      <c r="AJ765" s="115"/>
      <c r="AK765" s="115"/>
      <c r="AL765" s="115"/>
      <c r="AM765" s="115"/>
      <c r="AN765" s="115"/>
      <c r="AO765" s="115"/>
      <c r="AP765" s="115"/>
      <c r="AQ765" s="17"/>
      <c r="AR765" s="15"/>
      <c r="AV765" s="117"/>
      <c r="AW765" s="116"/>
      <c r="AX765" s="116"/>
      <c r="AY765" s="116"/>
    </row>
    <row r="766" spans="3:51" ht="19.5" x14ac:dyDescent="0.4">
      <c r="AQ766" s="26"/>
      <c r="AR766" s="15"/>
      <c r="AV766" s="117"/>
      <c r="AW766" s="116"/>
      <c r="AX766" s="116"/>
      <c r="AY766" s="116"/>
    </row>
    <row r="767" spans="3:51" ht="19.5" x14ac:dyDescent="0.4">
      <c r="AQ767" s="26"/>
      <c r="AR767" s="13"/>
      <c r="AV767" s="117"/>
      <c r="AW767" s="116"/>
      <c r="AX767" s="116"/>
      <c r="AY767" s="116"/>
    </row>
    <row r="768" spans="3:51" ht="19.5" x14ac:dyDescent="0.4">
      <c r="W768" s="115"/>
      <c r="X768" s="115"/>
      <c r="Y768" s="115"/>
      <c r="Z768" s="122"/>
      <c r="AA768" s="122"/>
      <c r="AB768" s="122"/>
      <c r="AC768" s="115"/>
      <c r="AD768" s="115"/>
      <c r="AE768" s="115"/>
      <c r="AF768" s="115"/>
      <c r="AG768" s="115"/>
      <c r="AH768" s="115"/>
      <c r="AI768" s="115"/>
      <c r="AJ768" s="115"/>
      <c r="AK768" s="115"/>
      <c r="AL768" s="115"/>
      <c r="AM768" s="115"/>
      <c r="AN768" s="115"/>
      <c r="AO768" s="115"/>
      <c r="AP768" s="115"/>
      <c r="AQ768" s="26"/>
      <c r="AR768" s="13"/>
      <c r="AV768" s="117"/>
      <c r="AW768" s="116"/>
      <c r="AX768" s="116"/>
      <c r="AY768" s="116"/>
    </row>
    <row r="769" spans="1:51" ht="19.5" x14ac:dyDescent="0.4"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22"/>
      <c r="AA769" s="122"/>
      <c r="AB769" s="122"/>
      <c r="AC769" s="115"/>
      <c r="AD769" s="115"/>
      <c r="AE769" s="115"/>
      <c r="AF769" s="115"/>
      <c r="AG769" s="115"/>
      <c r="AH769" s="115"/>
      <c r="AI769" s="115"/>
      <c r="AJ769" s="115"/>
      <c r="AK769" s="115"/>
      <c r="AL769" s="115"/>
      <c r="AM769" s="115"/>
      <c r="AN769" s="115"/>
      <c r="AO769" s="115"/>
      <c r="AP769" s="115"/>
      <c r="AQ769" s="26"/>
      <c r="AR769" s="13"/>
      <c r="AV769" s="117"/>
      <c r="AW769" s="116"/>
      <c r="AX769" s="116"/>
      <c r="AY769" s="116"/>
    </row>
    <row r="770" spans="1:51" ht="19.5" x14ac:dyDescent="0.4"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22"/>
      <c r="AA770" s="122"/>
      <c r="AB770" s="122"/>
      <c r="AC770" s="115"/>
      <c r="AD770" s="115"/>
      <c r="AE770" s="115"/>
      <c r="AF770" s="115"/>
      <c r="AG770" s="115"/>
      <c r="AH770" s="115"/>
      <c r="AI770" s="115"/>
      <c r="AJ770" s="115"/>
      <c r="AK770" s="115"/>
      <c r="AL770" s="115"/>
      <c r="AM770" s="115"/>
      <c r="AN770" s="115"/>
      <c r="AO770" s="115"/>
      <c r="AP770" s="115"/>
      <c r="AQ770" s="17"/>
      <c r="AR770" s="13"/>
      <c r="AV770" s="117"/>
      <c r="AW770" s="116"/>
      <c r="AX770" s="116"/>
      <c r="AY770" s="116"/>
    </row>
    <row r="771" spans="1:51" ht="19.5" x14ac:dyDescent="0.4"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22"/>
      <c r="AA771" s="122"/>
      <c r="AB771" s="122"/>
      <c r="AC771" s="115"/>
      <c r="AD771" s="115"/>
      <c r="AE771" s="115"/>
      <c r="AF771" s="115"/>
      <c r="AG771" s="115"/>
      <c r="AH771" s="115"/>
      <c r="AI771" s="115"/>
      <c r="AJ771" s="115"/>
      <c r="AK771" s="115"/>
      <c r="AL771" s="115"/>
      <c r="AM771" s="115"/>
      <c r="AN771" s="115"/>
      <c r="AO771" s="115"/>
      <c r="AP771" s="115"/>
      <c r="AQ771" s="26"/>
      <c r="AR771" s="25"/>
      <c r="AV771" s="117"/>
      <c r="AW771" s="116"/>
      <c r="AX771" s="116"/>
      <c r="AY771" s="116"/>
    </row>
    <row r="772" spans="1:51" ht="19.5" x14ac:dyDescent="0.4"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22"/>
      <c r="AA772" s="122"/>
      <c r="AB772" s="122"/>
      <c r="AC772" s="115"/>
      <c r="AD772" s="115"/>
      <c r="AE772" s="115"/>
      <c r="AF772" s="115"/>
      <c r="AG772" s="115"/>
      <c r="AH772" s="115"/>
      <c r="AI772" s="115"/>
      <c r="AJ772" s="115"/>
      <c r="AK772" s="115"/>
      <c r="AL772" s="115"/>
      <c r="AM772" s="115"/>
      <c r="AN772" s="115"/>
      <c r="AO772" s="115"/>
      <c r="AP772" s="115"/>
      <c r="AQ772" s="17"/>
      <c r="AR772" s="13"/>
      <c r="AV772" s="117"/>
      <c r="AW772" s="116"/>
      <c r="AX772" s="116"/>
      <c r="AY772" s="116"/>
    </row>
    <row r="773" spans="1:51" ht="19.5" x14ac:dyDescent="0.4"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22"/>
      <c r="AA773" s="122"/>
      <c r="AB773" s="122"/>
      <c r="AC773" s="115"/>
      <c r="AD773" s="115"/>
      <c r="AE773" s="115"/>
      <c r="AF773" s="115"/>
      <c r="AG773" s="115"/>
      <c r="AH773" s="115"/>
      <c r="AI773" s="115"/>
      <c r="AJ773" s="115"/>
      <c r="AK773" s="115"/>
      <c r="AL773" s="115"/>
      <c r="AM773" s="115"/>
      <c r="AN773" s="115"/>
      <c r="AO773" s="115"/>
      <c r="AP773" s="115"/>
      <c r="AQ773" s="26"/>
      <c r="AR773" s="13"/>
      <c r="AV773" s="117"/>
      <c r="AW773" s="116"/>
      <c r="AX773" s="116"/>
      <c r="AY773" s="116"/>
    </row>
    <row r="774" spans="1:51" ht="19.5" x14ac:dyDescent="0.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22"/>
      <c r="AA774" s="122"/>
      <c r="AB774" s="122"/>
      <c r="AC774" s="115"/>
      <c r="AD774" s="115"/>
      <c r="AE774" s="115"/>
      <c r="AF774" s="115"/>
      <c r="AG774" s="115"/>
      <c r="AH774" s="115"/>
      <c r="AI774" s="115"/>
      <c r="AJ774" s="115"/>
      <c r="AK774" s="115"/>
      <c r="AL774" s="115"/>
      <c r="AM774" s="115"/>
      <c r="AN774" s="115"/>
      <c r="AO774" s="115"/>
      <c r="AP774" s="115"/>
      <c r="AQ774" s="26"/>
      <c r="AR774" s="13"/>
      <c r="AV774" s="117"/>
      <c r="AW774" s="116"/>
      <c r="AX774" s="116"/>
      <c r="AY774" s="116"/>
    </row>
    <row r="775" spans="1:51" ht="19.5" x14ac:dyDescent="0.4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22"/>
      <c r="AA775" s="122"/>
      <c r="AB775" s="122"/>
      <c r="AC775" s="115"/>
      <c r="AD775" s="115"/>
      <c r="AE775" s="115"/>
      <c r="AF775" s="115"/>
      <c r="AG775" s="115"/>
      <c r="AH775" s="115"/>
      <c r="AI775" s="115"/>
      <c r="AJ775" s="115"/>
      <c r="AK775" s="115"/>
      <c r="AL775" s="115"/>
      <c r="AM775" s="115"/>
      <c r="AN775" s="115"/>
      <c r="AO775" s="115"/>
      <c r="AP775" s="115"/>
      <c r="AQ775" s="26"/>
      <c r="AR775" s="13"/>
      <c r="AV775" s="117"/>
      <c r="AW775" s="116"/>
      <c r="AX775" s="116"/>
      <c r="AY775" s="116"/>
    </row>
    <row r="776" spans="1:51" ht="19.5" x14ac:dyDescent="0.4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22"/>
      <c r="AA776" s="122"/>
      <c r="AB776" s="122"/>
      <c r="AC776" s="115"/>
      <c r="AD776" s="115"/>
      <c r="AE776" s="115"/>
      <c r="AF776" s="115"/>
      <c r="AG776" s="115"/>
      <c r="AH776" s="115"/>
      <c r="AI776" s="115"/>
      <c r="AJ776" s="115"/>
      <c r="AK776" s="115"/>
      <c r="AL776" s="115"/>
      <c r="AM776" s="115"/>
      <c r="AN776" s="115"/>
      <c r="AO776" s="115"/>
      <c r="AP776" s="115"/>
      <c r="AQ776" s="26"/>
      <c r="AR776" s="13"/>
      <c r="AV776" s="117"/>
      <c r="AW776" s="116"/>
      <c r="AX776" s="116"/>
      <c r="AY776" s="116"/>
    </row>
    <row r="777" spans="1:51" ht="19.5" x14ac:dyDescent="0.4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22"/>
      <c r="AA777" s="122"/>
      <c r="AB777" s="122"/>
      <c r="AC777" s="115"/>
      <c r="AD777" s="115"/>
      <c r="AE777" s="115"/>
      <c r="AF777" s="115"/>
      <c r="AG777" s="115"/>
      <c r="AH777" s="115"/>
      <c r="AI777" s="115"/>
      <c r="AJ777" s="115"/>
      <c r="AK777" s="115"/>
      <c r="AL777" s="115"/>
      <c r="AM777" s="115"/>
      <c r="AN777" s="115"/>
      <c r="AO777" s="115"/>
      <c r="AP777" s="115"/>
      <c r="AQ777" s="26"/>
      <c r="AR777" s="13"/>
      <c r="AV777" s="117"/>
      <c r="AW777" s="116"/>
      <c r="AX777" s="116"/>
      <c r="AY777" s="116"/>
    </row>
    <row r="778" spans="1:51" ht="19.5" x14ac:dyDescent="0.4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22"/>
      <c r="AA778" s="122"/>
      <c r="AB778" s="122"/>
      <c r="AC778" s="115"/>
      <c r="AD778" s="115"/>
      <c r="AE778" s="115"/>
      <c r="AF778" s="115"/>
      <c r="AG778" s="115"/>
      <c r="AH778" s="115"/>
      <c r="AI778" s="115"/>
      <c r="AJ778" s="115"/>
      <c r="AK778" s="115"/>
      <c r="AL778" s="115"/>
      <c r="AM778" s="115"/>
      <c r="AN778" s="115"/>
      <c r="AO778" s="115"/>
      <c r="AP778" s="115"/>
      <c r="AQ778" s="26"/>
      <c r="AR778" s="13"/>
      <c r="AV778" s="117"/>
      <c r="AW778" s="116"/>
      <c r="AX778" s="116"/>
      <c r="AY778" s="116"/>
    </row>
    <row r="779" spans="1:51" ht="19.5" x14ac:dyDescent="0.4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22"/>
      <c r="AA779" s="122"/>
      <c r="AB779" s="122"/>
      <c r="AC779" s="115"/>
      <c r="AD779" s="115"/>
      <c r="AE779" s="115"/>
      <c r="AF779" s="115"/>
      <c r="AG779" s="115"/>
      <c r="AH779" s="115"/>
      <c r="AI779" s="115"/>
      <c r="AJ779" s="115"/>
      <c r="AK779" s="115"/>
      <c r="AL779" s="115"/>
      <c r="AM779" s="115"/>
      <c r="AN779" s="115"/>
      <c r="AO779" s="115"/>
      <c r="AP779" s="115"/>
      <c r="AQ779" s="26"/>
      <c r="AR779" s="13"/>
      <c r="AV779" s="117"/>
      <c r="AW779" s="116"/>
      <c r="AX779" s="116"/>
      <c r="AY779" s="116"/>
    </row>
    <row r="780" spans="1:51" ht="19.5" x14ac:dyDescent="0.4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22"/>
      <c r="AA780" s="122"/>
      <c r="AB780" s="122"/>
      <c r="AC780" s="115"/>
      <c r="AD780" s="115"/>
      <c r="AE780" s="115"/>
      <c r="AF780" s="115"/>
      <c r="AG780" s="115"/>
      <c r="AH780" s="115"/>
      <c r="AI780" s="115"/>
      <c r="AJ780" s="115"/>
      <c r="AK780" s="115"/>
      <c r="AL780" s="115"/>
      <c r="AM780" s="115"/>
      <c r="AN780" s="115"/>
      <c r="AO780" s="115"/>
      <c r="AP780" s="115"/>
      <c r="AQ780" s="26"/>
      <c r="AR780" s="13"/>
      <c r="AV780" s="117"/>
      <c r="AW780" s="116"/>
      <c r="AX780" s="116"/>
      <c r="AY780" s="116"/>
    </row>
    <row r="781" spans="1:51" ht="19.5" x14ac:dyDescent="0.4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22"/>
      <c r="AA781" s="122"/>
      <c r="AB781" s="122"/>
      <c r="AC781" s="115"/>
      <c r="AD781" s="115"/>
      <c r="AE781" s="115"/>
      <c r="AF781" s="115"/>
      <c r="AG781" s="115"/>
      <c r="AH781" s="115"/>
      <c r="AI781" s="115"/>
      <c r="AJ781" s="115"/>
      <c r="AK781" s="115"/>
      <c r="AL781" s="115"/>
      <c r="AM781" s="115"/>
      <c r="AN781" s="115"/>
      <c r="AO781" s="115"/>
      <c r="AP781" s="115"/>
      <c r="AQ781" s="26"/>
      <c r="AR781" s="15"/>
      <c r="AV781" s="117"/>
      <c r="AW781" s="116"/>
      <c r="AX781" s="116"/>
      <c r="AY781" s="116"/>
    </row>
    <row r="782" spans="1:51" ht="19.5" x14ac:dyDescent="0.4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22"/>
      <c r="AA782" s="122"/>
      <c r="AB782" s="122"/>
      <c r="AC782" s="115"/>
      <c r="AD782" s="115"/>
      <c r="AE782" s="115"/>
      <c r="AF782" s="115"/>
      <c r="AG782" s="115"/>
      <c r="AH782" s="115"/>
      <c r="AI782" s="115"/>
      <c r="AJ782" s="115"/>
      <c r="AK782" s="115"/>
      <c r="AL782" s="115"/>
      <c r="AM782" s="115"/>
      <c r="AN782" s="115"/>
      <c r="AO782" s="115"/>
      <c r="AP782" s="115"/>
      <c r="AQ782" s="26"/>
      <c r="AR782" s="15"/>
      <c r="AV782" s="117"/>
      <c r="AW782" s="116"/>
      <c r="AX782" s="116"/>
      <c r="AY782" s="116"/>
    </row>
    <row r="783" spans="1:51" ht="19.5" x14ac:dyDescent="0.4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22"/>
      <c r="AA783" s="122"/>
      <c r="AB783" s="122"/>
      <c r="AC783" s="115"/>
      <c r="AD783" s="115"/>
      <c r="AE783" s="115"/>
      <c r="AF783" s="115"/>
      <c r="AG783" s="115"/>
      <c r="AH783" s="115"/>
      <c r="AI783" s="115"/>
      <c r="AJ783" s="115"/>
      <c r="AK783" s="115"/>
      <c r="AL783" s="115"/>
      <c r="AM783" s="115"/>
      <c r="AN783" s="115"/>
      <c r="AO783" s="115"/>
      <c r="AP783" s="115"/>
      <c r="AQ783" s="26"/>
      <c r="AR783" s="15"/>
      <c r="AV783" s="117"/>
      <c r="AW783" s="116"/>
      <c r="AX783" s="116"/>
      <c r="AY783" s="116"/>
    </row>
    <row r="784" spans="1:51" ht="19.5" x14ac:dyDescent="0.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22"/>
      <c r="AA784" s="122"/>
      <c r="AB784" s="122"/>
      <c r="AC784" s="115"/>
      <c r="AD784" s="115"/>
      <c r="AE784" s="115"/>
      <c r="AF784" s="115"/>
      <c r="AG784" s="115"/>
      <c r="AH784" s="115"/>
      <c r="AI784" s="115"/>
      <c r="AJ784" s="115"/>
      <c r="AK784" s="115"/>
      <c r="AL784" s="115"/>
      <c r="AM784" s="115"/>
      <c r="AN784" s="115"/>
      <c r="AO784" s="115"/>
      <c r="AP784" s="115"/>
      <c r="AQ784" s="26"/>
      <c r="AR784" s="15"/>
      <c r="AV784" s="117"/>
      <c r="AW784" s="116"/>
      <c r="AX784" s="116"/>
      <c r="AY784" s="116"/>
    </row>
    <row r="785" spans="1:51" ht="19.5" x14ac:dyDescent="0.4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22"/>
      <c r="AA785" s="122"/>
      <c r="AB785" s="122"/>
      <c r="AC785" s="115"/>
      <c r="AD785" s="115"/>
      <c r="AE785" s="115"/>
      <c r="AF785" s="115"/>
      <c r="AG785" s="115"/>
      <c r="AH785" s="115"/>
      <c r="AI785" s="115"/>
      <c r="AJ785" s="115"/>
      <c r="AK785" s="115"/>
      <c r="AL785" s="115"/>
      <c r="AM785" s="115"/>
      <c r="AN785" s="115"/>
      <c r="AO785" s="115"/>
      <c r="AP785" s="115"/>
      <c r="AQ785" s="26"/>
      <c r="AR785" s="25"/>
      <c r="AV785" s="117"/>
      <c r="AW785" s="116"/>
      <c r="AX785" s="116"/>
      <c r="AY785" s="116"/>
    </row>
    <row r="786" spans="1:51" ht="19.5" x14ac:dyDescent="0.4">
      <c r="AQ786" s="26"/>
      <c r="AR786" s="15"/>
      <c r="AV786" s="117"/>
      <c r="AW786" s="116"/>
      <c r="AX786" s="116"/>
      <c r="AY786" s="116"/>
    </row>
    <row r="787" spans="1:51" ht="19.5" x14ac:dyDescent="0.4">
      <c r="Y787" s="115"/>
      <c r="Z787" s="122"/>
      <c r="AA787" s="122"/>
      <c r="AB787" s="122"/>
      <c r="AC787" s="115"/>
      <c r="AD787" s="115"/>
      <c r="AE787" s="115"/>
      <c r="AF787" s="115"/>
      <c r="AG787" s="115"/>
      <c r="AH787" s="115"/>
      <c r="AI787" s="115"/>
      <c r="AJ787" s="115"/>
      <c r="AK787" s="115"/>
      <c r="AL787" s="115"/>
      <c r="AM787" s="115"/>
      <c r="AN787" s="115"/>
      <c r="AO787" s="115"/>
      <c r="AP787" s="115"/>
      <c r="AQ787" s="26"/>
      <c r="AR787" s="15"/>
      <c r="AV787" s="117"/>
      <c r="AW787" s="116"/>
      <c r="AX787" s="116"/>
      <c r="AY787" s="116"/>
    </row>
    <row r="788" spans="1:51" ht="19.5" x14ac:dyDescent="0.4">
      <c r="W788" s="115"/>
      <c r="X788" s="115"/>
      <c r="Y788" s="115"/>
      <c r="Z788" s="122"/>
      <c r="AA788" s="122"/>
      <c r="AB788" s="122"/>
      <c r="AC788" s="115"/>
      <c r="AD788" s="115"/>
      <c r="AE788" s="115"/>
      <c r="AF788" s="115"/>
      <c r="AG788" s="115"/>
      <c r="AH788" s="115"/>
      <c r="AI788" s="115"/>
      <c r="AJ788" s="115"/>
      <c r="AK788" s="115"/>
      <c r="AL788" s="115"/>
      <c r="AM788" s="115"/>
      <c r="AN788" s="115"/>
      <c r="AO788" s="115"/>
      <c r="AP788" s="115"/>
      <c r="AQ788" s="26"/>
      <c r="AR788" s="15"/>
      <c r="AV788" s="117"/>
      <c r="AW788" s="116"/>
      <c r="AX788" s="116"/>
      <c r="AY788" s="116"/>
    </row>
    <row r="789" spans="1:51" ht="19.5" x14ac:dyDescent="0.4">
      <c r="W789" s="115"/>
      <c r="X789" s="115"/>
      <c r="Y789" s="115"/>
      <c r="Z789" s="122"/>
      <c r="AA789" s="122"/>
      <c r="AB789" s="122"/>
      <c r="AC789" s="115"/>
      <c r="AD789" s="115"/>
      <c r="AE789" s="115"/>
      <c r="AF789" s="115"/>
      <c r="AG789" s="115"/>
      <c r="AH789" s="115"/>
      <c r="AI789" s="115"/>
      <c r="AJ789" s="115"/>
      <c r="AK789" s="115"/>
      <c r="AL789" s="115"/>
      <c r="AM789" s="115"/>
      <c r="AN789" s="115"/>
      <c r="AO789" s="115"/>
      <c r="AP789" s="115"/>
      <c r="AQ789" s="17"/>
      <c r="AR789" s="15"/>
      <c r="AV789" s="117"/>
      <c r="AW789" s="116"/>
      <c r="AX789" s="116"/>
      <c r="AY789" s="116"/>
    </row>
    <row r="790" spans="1:51" ht="19.5" x14ac:dyDescent="0.4">
      <c r="T790" s="115"/>
      <c r="U790" s="115"/>
      <c r="V790" s="115"/>
      <c r="W790" s="115"/>
      <c r="X790" s="115"/>
      <c r="Y790" s="115"/>
      <c r="Z790" s="122"/>
      <c r="AA790" s="122"/>
      <c r="AB790" s="122"/>
      <c r="AC790" s="115"/>
      <c r="AD790" s="115"/>
      <c r="AE790" s="115"/>
      <c r="AF790" s="115"/>
      <c r="AG790" s="115"/>
      <c r="AH790" s="115"/>
      <c r="AI790" s="115"/>
      <c r="AJ790" s="115"/>
      <c r="AK790" s="115"/>
      <c r="AL790" s="115"/>
      <c r="AM790" s="115"/>
      <c r="AN790" s="115"/>
      <c r="AO790" s="115"/>
      <c r="AP790" s="115"/>
      <c r="AQ790" s="26"/>
      <c r="AR790" s="15"/>
      <c r="AV790" s="117"/>
      <c r="AW790" s="116"/>
      <c r="AX790" s="116"/>
      <c r="AY790" s="116"/>
    </row>
    <row r="791" spans="1:51" ht="19.5" x14ac:dyDescent="0.4">
      <c r="T791" s="115"/>
      <c r="U791" s="115"/>
      <c r="V791" s="115"/>
      <c r="W791" s="115"/>
      <c r="X791" s="115"/>
      <c r="Y791" s="115"/>
      <c r="Z791" s="122"/>
      <c r="AA791" s="122"/>
      <c r="AB791" s="122"/>
      <c r="AC791" s="115"/>
      <c r="AD791" s="115"/>
      <c r="AE791" s="115"/>
      <c r="AF791" s="115"/>
      <c r="AG791" s="115"/>
      <c r="AH791" s="115"/>
      <c r="AI791" s="115"/>
      <c r="AJ791" s="115"/>
      <c r="AK791" s="115"/>
      <c r="AL791" s="115"/>
      <c r="AM791" s="115"/>
      <c r="AN791" s="115"/>
      <c r="AO791" s="115"/>
      <c r="AP791" s="115"/>
      <c r="AQ791" s="17"/>
      <c r="AR791" s="15"/>
      <c r="AV791" s="117"/>
      <c r="AW791" s="116"/>
      <c r="AX791" s="116"/>
      <c r="AY791" s="116"/>
    </row>
    <row r="792" spans="1:51" ht="19.5" x14ac:dyDescent="0.4">
      <c r="T792" s="115"/>
      <c r="U792" s="115"/>
      <c r="V792" s="115"/>
      <c r="W792" s="115"/>
      <c r="X792" s="115"/>
      <c r="Y792" s="115"/>
      <c r="Z792" s="122"/>
      <c r="AA792" s="122"/>
      <c r="AB792" s="122"/>
      <c r="AC792" s="115"/>
      <c r="AD792" s="115"/>
      <c r="AE792" s="115"/>
      <c r="AF792" s="115"/>
      <c r="AG792" s="115"/>
      <c r="AH792" s="115"/>
      <c r="AI792" s="115"/>
      <c r="AJ792" s="115"/>
      <c r="AK792" s="115"/>
      <c r="AL792" s="115"/>
      <c r="AM792" s="115"/>
      <c r="AN792" s="115"/>
      <c r="AO792" s="115"/>
      <c r="AP792" s="115"/>
      <c r="AQ792" s="26"/>
      <c r="AR792" s="15"/>
      <c r="AV792" s="117"/>
      <c r="AW792" s="116"/>
      <c r="AX792" s="116"/>
      <c r="AY792" s="116"/>
    </row>
    <row r="793" spans="1:51" ht="19.5" x14ac:dyDescent="0.4">
      <c r="T793" s="115"/>
      <c r="U793" s="115"/>
      <c r="V793" s="115"/>
      <c r="W793" s="115"/>
      <c r="X793" s="115"/>
      <c r="Y793" s="115"/>
      <c r="Z793" s="122"/>
      <c r="AA793" s="122"/>
      <c r="AB793" s="122"/>
      <c r="AC793" s="115"/>
      <c r="AD793" s="115"/>
      <c r="AE793" s="115"/>
      <c r="AF793" s="115"/>
      <c r="AG793" s="115"/>
      <c r="AH793" s="115"/>
      <c r="AI793" s="115"/>
      <c r="AJ793" s="115"/>
      <c r="AK793" s="115"/>
      <c r="AL793" s="115"/>
      <c r="AM793" s="115"/>
      <c r="AN793" s="115"/>
      <c r="AO793" s="115"/>
      <c r="AP793" s="115"/>
      <c r="AQ793" s="17"/>
      <c r="AR793" s="13"/>
      <c r="AV793" s="117"/>
      <c r="AW793" s="116"/>
      <c r="AX793" s="116"/>
      <c r="AY793" s="116"/>
    </row>
    <row r="794" spans="1:51" ht="19.5" x14ac:dyDescent="0.4">
      <c r="T794" s="115"/>
      <c r="U794" s="115"/>
      <c r="V794" s="115"/>
      <c r="W794" s="115"/>
      <c r="X794" s="115"/>
      <c r="Y794" s="115"/>
      <c r="Z794" s="122"/>
      <c r="AA794" s="122"/>
      <c r="AB794" s="122"/>
      <c r="AC794" s="115"/>
      <c r="AD794" s="115"/>
      <c r="AE794" s="115"/>
      <c r="AF794" s="115"/>
      <c r="AG794" s="115"/>
      <c r="AH794" s="115"/>
      <c r="AI794" s="115"/>
      <c r="AJ794" s="115"/>
      <c r="AK794" s="115"/>
      <c r="AL794" s="115"/>
      <c r="AM794" s="115"/>
      <c r="AN794" s="115"/>
      <c r="AO794" s="115"/>
      <c r="AP794" s="115"/>
      <c r="AQ794" s="17"/>
      <c r="AR794" s="13"/>
      <c r="AV794" s="117"/>
      <c r="AW794" s="116"/>
      <c r="AX794" s="116"/>
      <c r="AY794" s="116"/>
    </row>
    <row r="795" spans="1:51" ht="19.5" x14ac:dyDescent="0.4">
      <c r="AQ795" s="26"/>
      <c r="AR795" s="13"/>
      <c r="AV795" s="117"/>
      <c r="AW795" s="116"/>
      <c r="AX795" s="116"/>
      <c r="AY795" s="116"/>
    </row>
    <row r="796" spans="1:51" ht="19.5" x14ac:dyDescent="0.4">
      <c r="Y796" s="115"/>
      <c r="Z796" s="122"/>
      <c r="AA796" s="122"/>
      <c r="AB796" s="122"/>
      <c r="AC796" s="115"/>
      <c r="AD796" s="115"/>
      <c r="AE796" s="115"/>
      <c r="AF796" s="115"/>
      <c r="AG796" s="115"/>
      <c r="AH796" s="115"/>
      <c r="AI796" s="115"/>
      <c r="AJ796" s="115"/>
      <c r="AK796" s="115"/>
      <c r="AL796" s="115"/>
      <c r="AM796" s="115"/>
      <c r="AN796" s="115"/>
      <c r="AO796" s="115"/>
      <c r="AP796" s="115"/>
      <c r="AQ796" s="17"/>
      <c r="AR796" s="13"/>
      <c r="AV796" s="117"/>
      <c r="AW796" s="116"/>
      <c r="AX796" s="116"/>
      <c r="AY796" s="116"/>
    </row>
    <row r="797" spans="1:51" ht="19.5" x14ac:dyDescent="0.4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22"/>
      <c r="AA797" s="122"/>
      <c r="AB797" s="122"/>
      <c r="AC797" s="115"/>
      <c r="AD797" s="115"/>
      <c r="AE797" s="115"/>
      <c r="AF797" s="115"/>
      <c r="AG797" s="115"/>
      <c r="AH797" s="115"/>
      <c r="AI797" s="115"/>
      <c r="AJ797" s="115"/>
      <c r="AK797" s="115"/>
      <c r="AL797" s="115"/>
      <c r="AM797" s="115"/>
      <c r="AN797" s="115"/>
      <c r="AO797" s="115"/>
      <c r="AP797" s="115"/>
      <c r="AQ797" s="26"/>
      <c r="AR797" s="13"/>
      <c r="AV797" s="117"/>
      <c r="AW797" s="116"/>
      <c r="AX797" s="116"/>
      <c r="AY797" s="116"/>
    </row>
    <row r="798" spans="1:51" ht="19.5" x14ac:dyDescent="0.4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22"/>
      <c r="AA798" s="122"/>
      <c r="AB798" s="122"/>
      <c r="AC798" s="115"/>
      <c r="AD798" s="115"/>
      <c r="AE798" s="115"/>
      <c r="AF798" s="115"/>
      <c r="AG798" s="115"/>
      <c r="AH798" s="115"/>
      <c r="AI798" s="115"/>
      <c r="AJ798" s="115"/>
      <c r="AK798" s="115"/>
      <c r="AL798" s="115"/>
      <c r="AM798" s="115"/>
      <c r="AN798" s="115"/>
      <c r="AO798" s="115"/>
      <c r="AP798" s="115"/>
      <c r="AQ798" s="26"/>
      <c r="AR798" s="13"/>
      <c r="AV798" s="117"/>
      <c r="AW798" s="116"/>
      <c r="AX798" s="116"/>
      <c r="AY798" s="116"/>
    </row>
    <row r="799" spans="1:51" ht="19.5" x14ac:dyDescent="0.4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22"/>
      <c r="AA799" s="122"/>
      <c r="AB799" s="122"/>
      <c r="AC799" s="115"/>
      <c r="AD799" s="115"/>
      <c r="AE799" s="115"/>
      <c r="AF799" s="115"/>
      <c r="AG799" s="115"/>
      <c r="AH799" s="115"/>
      <c r="AI799" s="115"/>
      <c r="AJ799" s="115"/>
      <c r="AK799" s="115"/>
      <c r="AL799" s="115"/>
      <c r="AM799" s="115"/>
      <c r="AN799" s="115"/>
      <c r="AO799" s="115"/>
      <c r="AP799" s="115"/>
      <c r="AQ799" s="26"/>
      <c r="AR799" s="13"/>
      <c r="AV799" s="117"/>
      <c r="AW799" s="116"/>
      <c r="AX799" s="116"/>
      <c r="AY799" s="116"/>
    </row>
    <row r="800" spans="1:51" ht="19.5" x14ac:dyDescent="0.4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22"/>
      <c r="AA800" s="122"/>
      <c r="AB800" s="122"/>
      <c r="AC800" s="115"/>
      <c r="AD800" s="115"/>
      <c r="AE800" s="115"/>
      <c r="AF800" s="115"/>
      <c r="AG800" s="115"/>
      <c r="AH800" s="115"/>
      <c r="AI800" s="115"/>
      <c r="AJ800" s="115"/>
      <c r="AK800" s="115"/>
      <c r="AL800" s="115"/>
      <c r="AM800" s="115"/>
      <c r="AN800" s="115"/>
      <c r="AO800" s="115"/>
      <c r="AP800" s="115"/>
      <c r="AQ800" s="26"/>
      <c r="AR800" s="13"/>
      <c r="AV800" s="117"/>
      <c r="AW800" s="116"/>
      <c r="AX800" s="116"/>
      <c r="AY800" s="116"/>
    </row>
    <row r="801" spans="1:51" ht="19.5" x14ac:dyDescent="0.4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22"/>
      <c r="AA801" s="122"/>
      <c r="AB801" s="122"/>
      <c r="AC801" s="115"/>
      <c r="AD801" s="115"/>
      <c r="AE801" s="115"/>
      <c r="AF801" s="115"/>
      <c r="AG801" s="115"/>
      <c r="AH801" s="115"/>
      <c r="AI801" s="115"/>
      <c r="AJ801" s="115"/>
      <c r="AK801" s="115"/>
      <c r="AL801" s="115"/>
      <c r="AM801" s="115"/>
      <c r="AN801" s="115"/>
      <c r="AO801" s="115"/>
      <c r="AP801" s="115"/>
      <c r="AQ801" s="17"/>
      <c r="AR801" s="13"/>
      <c r="AV801" s="117"/>
      <c r="AW801" s="116"/>
      <c r="AX801" s="116"/>
      <c r="AY801" s="116"/>
    </row>
    <row r="802" spans="1:51" ht="19.5" x14ac:dyDescent="0.4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22"/>
      <c r="AA802" s="122"/>
      <c r="AB802" s="122"/>
      <c r="AC802" s="115"/>
      <c r="AD802" s="115"/>
      <c r="AE802" s="115"/>
      <c r="AF802" s="115"/>
      <c r="AG802" s="115"/>
      <c r="AH802" s="115"/>
      <c r="AI802" s="115"/>
      <c r="AJ802" s="115"/>
      <c r="AK802" s="115"/>
      <c r="AL802" s="115"/>
      <c r="AM802" s="115"/>
      <c r="AN802" s="115"/>
      <c r="AO802" s="115"/>
      <c r="AP802" s="115"/>
      <c r="AQ802" s="26"/>
      <c r="AR802" s="13"/>
      <c r="AV802" s="117"/>
      <c r="AW802" s="116"/>
      <c r="AX802" s="116"/>
      <c r="AY802" s="116"/>
    </row>
    <row r="803" spans="1:51" ht="19.5" x14ac:dyDescent="0.4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22"/>
      <c r="AA803" s="122"/>
      <c r="AB803" s="122"/>
      <c r="AC803" s="115"/>
      <c r="AD803" s="115"/>
      <c r="AE803" s="115"/>
      <c r="AF803" s="115"/>
      <c r="AG803" s="115"/>
      <c r="AH803" s="115"/>
      <c r="AI803" s="115"/>
      <c r="AJ803" s="115"/>
      <c r="AK803" s="115"/>
      <c r="AL803" s="115"/>
      <c r="AM803" s="115"/>
      <c r="AN803" s="115"/>
      <c r="AO803" s="115"/>
      <c r="AP803" s="115"/>
      <c r="AQ803" s="26"/>
      <c r="AR803" s="15"/>
      <c r="AV803" s="117"/>
      <c r="AW803" s="116"/>
      <c r="AX803" s="116"/>
      <c r="AY803" s="116"/>
    </row>
    <row r="804" spans="1:51" ht="19.5" x14ac:dyDescent="0.4">
      <c r="AQ804" s="26"/>
      <c r="AR804" s="15"/>
      <c r="AV804" s="117"/>
      <c r="AW804" s="116"/>
      <c r="AX804" s="116"/>
      <c r="AY804" s="116"/>
    </row>
    <row r="805" spans="1:51" ht="19.5" x14ac:dyDescent="0.4">
      <c r="X805" s="115"/>
      <c r="Y805" s="115"/>
      <c r="Z805" s="122"/>
      <c r="AA805" s="122"/>
      <c r="AB805" s="122"/>
      <c r="AC805" s="115"/>
      <c r="AD805" s="115"/>
      <c r="AE805" s="115"/>
      <c r="AF805" s="115"/>
      <c r="AG805" s="115"/>
      <c r="AH805" s="115"/>
      <c r="AI805" s="115"/>
      <c r="AJ805" s="115"/>
      <c r="AK805" s="115"/>
      <c r="AL805" s="115"/>
      <c r="AM805" s="115"/>
      <c r="AN805" s="115"/>
      <c r="AO805" s="115"/>
      <c r="AP805" s="115"/>
      <c r="AQ805" s="26"/>
      <c r="AR805" s="13"/>
      <c r="AV805" s="117"/>
      <c r="AW805" s="116"/>
      <c r="AX805" s="116"/>
      <c r="AY805" s="116"/>
    </row>
    <row r="806" spans="1:51" ht="19.5" x14ac:dyDescent="0.4">
      <c r="V806" s="115"/>
      <c r="W806" s="115"/>
      <c r="X806" s="115"/>
      <c r="Y806" s="115"/>
      <c r="Z806" s="122"/>
      <c r="AA806" s="122"/>
      <c r="AB806" s="122"/>
      <c r="AC806" s="115"/>
      <c r="AD806" s="115"/>
      <c r="AE806" s="115"/>
      <c r="AF806" s="115"/>
      <c r="AG806" s="115"/>
      <c r="AH806" s="115"/>
      <c r="AI806" s="115"/>
      <c r="AJ806" s="115"/>
      <c r="AK806" s="115"/>
      <c r="AL806" s="115"/>
      <c r="AM806" s="115"/>
      <c r="AN806" s="115"/>
      <c r="AO806" s="115"/>
      <c r="AP806" s="115"/>
      <c r="AQ806" s="26"/>
      <c r="AR806" s="15"/>
      <c r="AV806" s="117"/>
      <c r="AW806" s="116"/>
      <c r="AX806" s="116"/>
      <c r="AY806" s="116"/>
    </row>
    <row r="807" spans="1:51" ht="19.5" x14ac:dyDescent="0.4">
      <c r="V807" s="115"/>
      <c r="W807" s="115"/>
      <c r="X807" s="115"/>
      <c r="Y807" s="115"/>
      <c r="Z807" s="122"/>
      <c r="AA807" s="122"/>
      <c r="AB807" s="122"/>
      <c r="AC807" s="115"/>
      <c r="AD807" s="115"/>
      <c r="AE807" s="115"/>
      <c r="AF807" s="115"/>
      <c r="AG807" s="115"/>
      <c r="AH807" s="115"/>
      <c r="AI807" s="115"/>
      <c r="AJ807" s="115"/>
      <c r="AK807" s="115"/>
      <c r="AL807" s="115"/>
      <c r="AM807" s="115"/>
      <c r="AN807" s="115"/>
      <c r="AO807" s="115"/>
      <c r="AP807" s="115"/>
      <c r="AQ807" s="26"/>
      <c r="AR807" s="15"/>
      <c r="AV807" s="117"/>
      <c r="AW807" s="116"/>
      <c r="AX807" s="116"/>
      <c r="AY807" s="116"/>
    </row>
    <row r="808" spans="1:51" ht="19.5" x14ac:dyDescent="0.4">
      <c r="V808" s="115"/>
      <c r="W808" s="115"/>
      <c r="X808" s="115"/>
      <c r="Y808" s="115"/>
      <c r="Z808" s="122"/>
      <c r="AA808" s="122"/>
      <c r="AB808" s="122"/>
      <c r="AC808" s="115"/>
      <c r="AD808" s="115"/>
      <c r="AE808" s="115"/>
      <c r="AF808" s="115"/>
      <c r="AG808" s="115"/>
      <c r="AH808" s="115"/>
      <c r="AI808" s="115"/>
      <c r="AJ808" s="115"/>
      <c r="AK808" s="115"/>
      <c r="AL808" s="115"/>
      <c r="AM808" s="115"/>
      <c r="AN808" s="115"/>
      <c r="AO808" s="115"/>
      <c r="AP808" s="115"/>
      <c r="AQ808" s="17"/>
      <c r="AR808" s="15"/>
      <c r="AV808" s="117"/>
      <c r="AW808" s="116"/>
      <c r="AX808" s="116"/>
      <c r="AY808" s="116"/>
    </row>
    <row r="809" spans="1:51" ht="19.5" x14ac:dyDescent="0.4">
      <c r="U809" s="115"/>
      <c r="V809" s="115"/>
      <c r="W809" s="115"/>
      <c r="X809" s="115"/>
      <c r="Y809" s="115"/>
      <c r="Z809" s="122"/>
      <c r="AA809" s="122"/>
      <c r="AB809" s="122"/>
      <c r="AC809" s="115"/>
      <c r="AD809" s="115"/>
      <c r="AE809" s="115"/>
      <c r="AF809" s="115"/>
      <c r="AG809" s="115"/>
      <c r="AH809" s="115"/>
      <c r="AI809" s="115"/>
      <c r="AJ809" s="115"/>
      <c r="AK809" s="115"/>
      <c r="AL809" s="115"/>
      <c r="AM809" s="115"/>
      <c r="AN809" s="115"/>
      <c r="AO809" s="115"/>
      <c r="AP809" s="115"/>
      <c r="AQ809" s="26"/>
      <c r="AR809" s="15"/>
      <c r="AV809" s="117"/>
      <c r="AW809" s="116"/>
      <c r="AX809" s="116"/>
      <c r="AY809" s="116"/>
    </row>
    <row r="810" spans="1:51" ht="19.5" x14ac:dyDescent="0.4">
      <c r="U810" s="115"/>
      <c r="V810" s="115"/>
      <c r="W810" s="115"/>
      <c r="X810" s="115"/>
      <c r="Y810" s="115"/>
      <c r="Z810" s="122"/>
      <c r="AA810" s="122"/>
      <c r="AB810" s="122"/>
      <c r="AC810" s="115"/>
      <c r="AD810" s="115"/>
      <c r="AE810" s="115"/>
      <c r="AF810" s="115"/>
      <c r="AG810" s="115"/>
      <c r="AH810" s="115"/>
      <c r="AI810" s="115"/>
      <c r="AJ810" s="115"/>
      <c r="AK810" s="115"/>
      <c r="AL810" s="115"/>
      <c r="AM810" s="115"/>
      <c r="AN810" s="115"/>
      <c r="AO810" s="115"/>
      <c r="AP810" s="115"/>
      <c r="AQ810" s="26"/>
      <c r="AR810" s="15"/>
      <c r="AV810" s="117"/>
      <c r="AW810" s="116"/>
      <c r="AX810" s="116"/>
      <c r="AY810" s="116"/>
    </row>
    <row r="811" spans="1:51" ht="19.5" x14ac:dyDescent="0.4">
      <c r="U811" s="115"/>
      <c r="V811" s="115"/>
      <c r="W811" s="115"/>
      <c r="X811" s="115"/>
      <c r="Y811" s="115"/>
      <c r="Z811" s="122"/>
      <c r="AA811" s="122"/>
      <c r="AB811" s="122"/>
      <c r="AC811" s="115"/>
      <c r="AD811" s="115"/>
      <c r="AE811" s="115"/>
      <c r="AF811" s="115"/>
      <c r="AG811" s="115"/>
      <c r="AH811" s="115"/>
      <c r="AI811" s="115"/>
      <c r="AJ811" s="115"/>
      <c r="AK811" s="115"/>
      <c r="AL811" s="115"/>
      <c r="AM811" s="115"/>
      <c r="AN811" s="115"/>
      <c r="AO811" s="115"/>
      <c r="AP811" s="115"/>
      <c r="AQ811" s="26"/>
      <c r="AR811" s="105"/>
      <c r="AV811" s="117"/>
      <c r="AW811" s="116"/>
      <c r="AX811" s="116"/>
      <c r="AY811" s="116"/>
    </row>
    <row r="812" spans="1:51" ht="19.5" x14ac:dyDescent="0.4">
      <c r="U812" s="115"/>
      <c r="V812" s="115"/>
      <c r="W812" s="115"/>
      <c r="X812" s="115"/>
      <c r="Y812" s="115"/>
      <c r="Z812" s="122"/>
      <c r="AA812" s="122"/>
      <c r="AB812" s="122"/>
      <c r="AC812" s="115"/>
      <c r="AD812" s="115"/>
      <c r="AE812" s="115"/>
      <c r="AF812" s="115"/>
      <c r="AG812" s="115"/>
      <c r="AH812" s="115"/>
      <c r="AI812" s="115"/>
      <c r="AJ812" s="115"/>
      <c r="AK812" s="115"/>
      <c r="AL812" s="115"/>
      <c r="AM812" s="115"/>
      <c r="AN812" s="115"/>
      <c r="AO812" s="115"/>
      <c r="AP812" s="115"/>
      <c r="AQ812" s="17"/>
      <c r="AR812" s="15"/>
      <c r="AV812" s="117"/>
      <c r="AW812" s="116"/>
      <c r="AX812" s="116"/>
      <c r="AY812" s="116"/>
    </row>
    <row r="813" spans="1:51" ht="19.5" x14ac:dyDescent="0.4">
      <c r="U813" s="115"/>
      <c r="V813" s="115"/>
      <c r="W813" s="115"/>
      <c r="X813" s="115"/>
      <c r="Y813" s="115"/>
      <c r="Z813" s="122"/>
      <c r="AA813" s="122"/>
      <c r="AB813" s="122"/>
      <c r="AC813" s="115"/>
      <c r="AD813" s="115"/>
      <c r="AE813" s="115"/>
      <c r="AF813" s="115"/>
      <c r="AG813" s="115"/>
      <c r="AH813" s="115"/>
      <c r="AI813" s="115"/>
      <c r="AJ813" s="115"/>
      <c r="AK813" s="115"/>
      <c r="AL813" s="115"/>
      <c r="AM813" s="115"/>
      <c r="AN813" s="115"/>
      <c r="AO813" s="115"/>
      <c r="AP813" s="115"/>
      <c r="AQ813" s="26"/>
      <c r="AR813" s="15"/>
      <c r="AV813" s="117"/>
      <c r="AW813" s="116"/>
      <c r="AX813" s="116"/>
      <c r="AY813" s="116"/>
    </row>
    <row r="814" spans="1:51" ht="19.5" x14ac:dyDescent="0.4">
      <c r="U814" s="115"/>
      <c r="V814" s="115"/>
      <c r="W814" s="115"/>
      <c r="X814" s="115"/>
      <c r="Y814" s="115"/>
      <c r="Z814" s="122"/>
      <c r="AA814" s="122"/>
      <c r="AB814" s="122"/>
      <c r="AC814" s="115"/>
      <c r="AD814" s="115"/>
      <c r="AE814" s="115"/>
      <c r="AF814" s="115"/>
      <c r="AG814" s="115"/>
      <c r="AH814" s="115"/>
      <c r="AI814" s="115"/>
      <c r="AJ814" s="115"/>
      <c r="AK814" s="115"/>
      <c r="AL814" s="115"/>
      <c r="AM814" s="115"/>
      <c r="AN814" s="115"/>
      <c r="AO814" s="115"/>
      <c r="AP814" s="115"/>
      <c r="AQ814" s="17"/>
      <c r="AR814" s="15"/>
      <c r="AV814" s="117"/>
      <c r="AW814" s="116"/>
      <c r="AX814" s="116"/>
      <c r="AY814" s="116"/>
    </row>
    <row r="815" spans="1:51" ht="19.5" x14ac:dyDescent="0.4"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22"/>
      <c r="AA815" s="122"/>
      <c r="AB815" s="122"/>
      <c r="AC815" s="115"/>
      <c r="AD815" s="115"/>
      <c r="AE815" s="115"/>
      <c r="AF815" s="115"/>
      <c r="AG815" s="115"/>
      <c r="AH815" s="115"/>
      <c r="AI815" s="115"/>
      <c r="AJ815" s="115"/>
      <c r="AK815" s="115"/>
      <c r="AL815" s="115"/>
      <c r="AM815" s="115"/>
      <c r="AN815" s="115"/>
      <c r="AO815" s="115"/>
      <c r="AP815" s="115"/>
      <c r="AQ815" s="26"/>
      <c r="AR815" s="15"/>
      <c r="AV815" s="117"/>
      <c r="AW815" s="116"/>
      <c r="AX815" s="116"/>
      <c r="AY815" s="116"/>
    </row>
    <row r="816" spans="1:51" ht="19.5" x14ac:dyDescent="0.4"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22"/>
      <c r="AA816" s="122"/>
      <c r="AB816" s="122"/>
      <c r="AC816" s="115"/>
      <c r="AD816" s="115"/>
      <c r="AE816" s="115"/>
      <c r="AF816" s="115"/>
      <c r="AG816" s="115"/>
      <c r="AH816" s="115"/>
      <c r="AI816" s="115"/>
      <c r="AJ816" s="115"/>
      <c r="AK816" s="115"/>
      <c r="AL816" s="115"/>
      <c r="AM816" s="115"/>
      <c r="AN816" s="115"/>
      <c r="AO816" s="115"/>
      <c r="AP816" s="115"/>
      <c r="AQ816" s="17"/>
      <c r="AR816" s="15"/>
      <c r="AV816" s="117"/>
      <c r="AW816" s="116"/>
      <c r="AX816" s="116"/>
      <c r="AY816" s="116"/>
    </row>
    <row r="817" spans="1:51" ht="19.5" x14ac:dyDescent="0.4"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22"/>
      <c r="AA817" s="122"/>
      <c r="AB817" s="122"/>
      <c r="AC817" s="115"/>
      <c r="AD817" s="115"/>
      <c r="AE817" s="115"/>
      <c r="AF817" s="115"/>
      <c r="AG817" s="115"/>
      <c r="AH817" s="115"/>
      <c r="AI817" s="115"/>
      <c r="AJ817" s="115"/>
      <c r="AK817" s="115"/>
      <c r="AL817" s="115"/>
      <c r="AM817" s="115"/>
      <c r="AN817" s="115"/>
      <c r="AO817" s="115"/>
      <c r="AP817" s="115"/>
      <c r="AQ817" s="26"/>
      <c r="AR817" s="15"/>
      <c r="AV817" s="117"/>
      <c r="AW817" s="116"/>
      <c r="AX817" s="116"/>
      <c r="AY817" s="116"/>
    </row>
    <row r="818" spans="1:51" ht="19.5" x14ac:dyDescent="0.4"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22"/>
      <c r="AA818" s="122"/>
      <c r="AB818" s="122"/>
      <c r="AC818" s="115"/>
      <c r="AD818" s="115"/>
      <c r="AE818" s="115"/>
      <c r="AF818" s="115"/>
      <c r="AG818" s="115"/>
      <c r="AH818" s="115"/>
      <c r="AI818" s="115"/>
      <c r="AJ818" s="115"/>
      <c r="AK818" s="115"/>
      <c r="AL818" s="115"/>
      <c r="AM818" s="115"/>
      <c r="AN818" s="115"/>
      <c r="AO818" s="115"/>
      <c r="AP818" s="115"/>
      <c r="AQ818" s="17"/>
      <c r="AR818" s="15"/>
      <c r="AV818" s="117"/>
      <c r="AW818" s="116"/>
      <c r="AX818" s="116"/>
      <c r="AY818" s="116"/>
    </row>
    <row r="819" spans="1:51" ht="19.5" x14ac:dyDescent="0.4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22"/>
      <c r="AA819" s="122"/>
      <c r="AB819" s="122"/>
      <c r="AC819" s="115"/>
      <c r="AD819" s="115"/>
      <c r="AE819" s="115"/>
      <c r="AF819" s="115"/>
      <c r="AG819" s="115"/>
      <c r="AH819" s="115"/>
      <c r="AI819" s="115"/>
      <c r="AJ819" s="115"/>
      <c r="AK819" s="115"/>
      <c r="AL819" s="115"/>
      <c r="AM819" s="115"/>
      <c r="AN819" s="115"/>
      <c r="AO819" s="115"/>
      <c r="AP819" s="115"/>
      <c r="AQ819" s="26"/>
      <c r="AR819" s="15"/>
      <c r="AV819" s="117"/>
      <c r="AW819" s="116"/>
      <c r="AX819" s="116"/>
      <c r="AY819" s="116"/>
    </row>
    <row r="820" spans="1:51" ht="19.5" x14ac:dyDescent="0.4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22"/>
      <c r="AA820" s="122"/>
      <c r="AB820" s="122"/>
      <c r="AC820" s="115"/>
      <c r="AD820" s="115"/>
      <c r="AE820" s="115"/>
      <c r="AF820" s="115"/>
      <c r="AG820" s="115"/>
      <c r="AH820" s="115"/>
      <c r="AI820" s="115"/>
      <c r="AJ820" s="115"/>
      <c r="AK820" s="115"/>
      <c r="AL820" s="115"/>
      <c r="AM820" s="115"/>
      <c r="AN820" s="115"/>
      <c r="AO820" s="115"/>
      <c r="AP820" s="115"/>
      <c r="AQ820" s="26"/>
      <c r="AR820" s="15"/>
      <c r="AV820" s="117"/>
      <c r="AW820" s="116"/>
      <c r="AX820" s="116"/>
      <c r="AY820" s="116"/>
    </row>
    <row r="821" spans="1:51" ht="19.5" x14ac:dyDescent="0.4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22"/>
      <c r="AA821" s="122"/>
      <c r="AB821" s="122"/>
      <c r="AC821" s="115"/>
      <c r="AD821" s="115"/>
      <c r="AE821" s="115"/>
      <c r="AF821" s="115"/>
      <c r="AG821" s="115"/>
      <c r="AH821" s="115"/>
      <c r="AI821" s="115"/>
      <c r="AJ821" s="115"/>
      <c r="AK821" s="115"/>
      <c r="AL821" s="115"/>
      <c r="AM821" s="115"/>
      <c r="AN821" s="115"/>
      <c r="AO821" s="115"/>
      <c r="AP821" s="115"/>
      <c r="AQ821" s="26"/>
      <c r="AR821" s="15"/>
      <c r="AV821" s="117"/>
      <c r="AW821" s="116"/>
      <c r="AX821" s="116"/>
      <c r="AY821" s="116"/>
    </row>
    <row r="822" spans="1:51" ht="19.5" x14ac:dyDescent="0.4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22"/>
      <c r="AA822" s="122"/>
      <c r="AB822" s="122"/>
      <c r="AC822" s="115"/>
      <c r="AD822" s="115"/>
      <c r="AE822" s="115"/>
      <c r="AF822" s="115"/>
      <c r="AG822" s="115"/>
      <c r="AH822" s="115"/>
      <c r="AI822" s="115"/>
      <c r="AJ822" s="115"/>
      <c r="AK822" s="115"/>
      <c r="AL822" s="115"/>
      <c r="AM822" s="115"/>
      <c r="AN822" s="115"/>
      <c r="AO822" s="115"/>
      <c r="AP822" s="115"/>
      <c r="AQ822" s="26"/>
      <c r="AR822" s="15"/>
      <c r="AV822" s="117"/>
      <c r="AW822" s="116"/>
      <c r="AX822" s="116"/>
      <c r="AY822" s="116"/>
    </row>
    <row r="823" spans="1:51" ht="19.5" x14ac:dyDescent="0.4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22"/>
      <c r="AA823" s="122"/>
      <c r="AB823" s="122"/>
      <c r="AC823" s="115"/>
      <c r="AD823" s="115"/>
      <c r="AE823" s="115"/>
      <c r="AF823" s="115"/>
      <c r="AG823" s="115"/>
      <c r="AH823" s="115"/>
      <c r="AI823" s="115"/>
      <c r="AJ823" s="115"/>
      <c r="AK823" s="115"/>
      <c r="AL823" s="115"/>
      <c r="AM823" s="115"/>
      <c r="AN823" s="115"/>
      <c r="AO823" s="115"/>
      <c r="AP823" s="115"/>
      <c r="AQ823" s="26"/>
      <c r="AR823" s="15"/>
      <c r="AV823" s="117"/>
      <c r="AW823" s="116"/>
      <c r="AX823" s="116"/>
      <c r="AY823" s="116"/>
    </row>
    <row r="824" spans="1:51" ht="19.5" x14ac:dyDescent="0.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22"/>
      <c r="AA824" s="122"/>
      <c r="AB824" s="122"/>
      <c r="AC824" s="115"/>
      <c r="AD824" s="115"/>
      <c r="AE824" s="115"/>
      <c r="AF824" s="115"/>
      <c r="AG824" s="115"/>
      <c r="AH824" s="115"/>
      <c r="AI824" s="115"/>
      <c r="AJ824" s="115"/>
      <c r="AK824" s="115"/>
      <c r="AL824" s="115"/>
      <c r="AM824" s="115"/>
      <c r="AN824" s="115"/>
      <c r="AO824" s="115"/>
      <c r="AP824" s="115"/>
      <c r="AQ824" s="26"/>
      <c r="AR824" s="15"/>
      <c r="AV824" s="117"/>
      <c r="AW824" s="116"/>
      <c r="AX824" s="116"/>
      <c r="AY824" s="116"/>
    </row>
    <row r="825" spans="1:51" ht="19.5" x14ac:dyDescent="0.4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22"/>
      <c r="AA825" s="122"/>
      <c r="AB825" s="122"/>
      <c r="AC825" s="115"/>
      <c r="AD825" s="115"/>
      <c r="AE825" s="115"/>
      <c r="AF825" s="115"/>
      <c r="AG825" s="115"/>
      <c r="AH825" s="115"/>
      <c r="AI825" s="115"/>
      <c r="AJ825" s="115"/>
      <c r="AK825" s="115"/>
      <c r="AL825" s="115"/>
      <c r="AM825" s="115"/>
      <c r="AN825" s="115"/>
      <c r="AO825" s="115"/>
      <c r="AP825" s="115"/>
      <c r="AQ825" s="17"/>
      <c r="AR825" s="15"/>
      <c r="AV825" s="117"/>
      <c r="AW825" s="116"/>
      <c r="AX825" s="116"/>
      <c r="AY825" s="116"/>
    </row>
    <row r="826" spans="1:51" ht="19.5" x14ac:dyDescent="0.4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22"/>
      <c r="AA826" s="122"/>
      <c r="AB826" s="122"/>
      <c r="AC826" s="115"/>
      <c r="AD826" s="115"/>
      <c r="AE826" s="115"/>
      <c r="AF826" s="115"/>
      <c r="AG826" s="115"/>
      <c r="AH826" s="115"/>
      <c r="AI826" s="115"/>
      <c r="AJ826" s="115"/>
      <c r="AK826" s="115"/>
      <c r="AL826" s="115"/>
      <c r="AM826" s="115"/>
      <c r="AN826" s="115"/>
      <c r="AO826" s="115"/>
      <c r="AP826" s="115"/>
      <c r="AQ826" s="26"/>
      <c r="AR826" s="15"/>
      <c r="AV826" s="117"/>
      <c r="AW826" s="116"/>
      <c r="AX826" s="116"/>
      <c r="AY826" s="116"/>
    </row>
    <row r="827" spans="1:51" ht="19.5" x14ac:dyDescent="0.4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22"/>
      <c r="AA827" s="122"/>
      <c r="AB827" s="122"/>
      <c r="AC827" s="115"/>
      <c r="AD827" s="115"/>
      <c r="AE827" s="115"/>
      <c r="AF827" s="115"/>
      <c r="AG827" s="115"/>
      <c r="AH827" s="115"/>
      <c r="AI827" s="115"/>
      <c r="AJ827" s="115"/>
      <c r="AK827" s="115"/>
      <c r="AL827" s="115"/>
      <c r="AM827" s="115"/>
      <c r="AN827" s="115"/>
      <c r="AO827" s="115"/>
      <c r="AP827" s="115"/>
      <c r="AQ827" s="17"/>
      <c r="AR827" s="15"/>
      <c r="AV827" s="117"/>
      <c r="AW827" s="116"/>
      <c r="AX827" s="116"/>
      <c r="AY827" s="116"/>
    </row>
    <row r="828" spans="1:51" ht="19.5" x14ac:dyDescent="0.4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22"/>
      <c r="AA828" s="122"/>
      <c r="AB828" s="122"/>
      <c r="AC828" s="115"/>
      <c r="AD828" s="115"/>
      <c r="AE828" s="115"/>
      <c r="AF828" s="115"/>
      <c r="AG828" s="115"/>
      <c r="AH828" s="115"/>
      <c r="AI828" s="115"/>
      <c r="AJ828" s="115"/>
      <c r="AK828" s="115"/>
      <c r="AL828" s="115"/>
      <c r="AM828" s="115"/>
      <c r="AN828" s="115"/>
      <c r="AO828" s="115"/>
      <c r="AP828" s="115"/>
      <c r="AQ828" s="26"/>
      <c r="AR828" s="15"/>
      <c r="AV828" s="117"/>
      <c r="AW828" s="116"/>
      <c r="AX828" s="116"/>
      <c r="AY828" s="116"/>
    </row>
    <row r="829" spans="1:51" ht="19.5" x14ac:dyDescent="0.4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22"/>
      <c r="AA829" s="122"/>
      <c r="AB829" s="122"/>
      <c r="AC829" s="115"/>
      <c r="AD829" s="115"/>
      <c r="AE829" s="115"/>
      <c r="AF829" s="115"/>
      <c r="AG829" s="115"/>
      <c r="AH829" s="115"/>
      <c r="AI829" s="115"/>
      <c r="AJ829" s="115"/>
      <c r="AK829" s="115"/>
      <c r="AL829" s="115"/>
      <c r="AM829" s="115"/>
      <c r="AN829" s="115"/>
      <c r="AO829" s="115"/>
      <c r="AP829" s="115"/>
      <c r="AQ829" s="20"/>
      <c r="AR829" s="15"/>
      <c r="AV829" s="117"/>
      <c r="AW829" s="116"/>
      <c r="AX829" s="116"/>
      <c r="AY829" s="116"/>
    </row>
    <row r="830" spans="1:51" ht="19.5" x14ac:dyDescent="0.4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22"/>
      <c r="AA830" s="122"/>
      <c r="AB830" s="122"/>
      <c r="AC830" s="115"/>
      <c r="AD830" s="115"/>
      <c r="AE830" s="115"/>
      <c r="AF830" s="115"/>
      <c r="AG830" s="115"/>
      <c r="AH830" s="115"/>
      <c r="AI830" s="115"/>
      <c r="AJ830" s="115"/>
      <c r="AK830" s="115"/>
      <c r="AL830" s="115"/>
      <c r="AM830" s="115"/>
      <c r="AN830" s="115"/>
      <c r="AO830" s="115"/>
      <c r="AP830" s="115"/>
      <c r="AQ830" s="20"/>
      <c r="AR830" s="15"/>
      <c r="AV830" s="117"/>
      <c r="AW830" s="116"/>
      <c r="AX830" s="116"/>
      <c r="AY830" s="116"/>
    </row>
    <row r="831" spans="1:51" ht="19.5" x14ac:dyDescent="0.4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22"/>
      <c r="AA831" s="122"/>
      <c r="AB831" s="122"/>
      <c r="AC831" s="115"/>
      <c r="AD831" s="115"/>
      <c r="AE831" s="115"/>
      <c r="AF831" s="115"/>
      <c r="AG831" s="115"/>
      <c r="AH831" s="115"/>
      <c r="AI831" s="115"/>
      <c r="AJ831" s="115"/>
      <c r="AK831" s="115"/>
      <c r="AL831" s="115"/>
      <c r="AM831" s="115"/>
      <c r="AN831" s="115"/>
      <c r="AO831" s="115"/>
      <c r="AP831" s="115"/>
      <c r="AQ831" s="20"/>
      <c r="AR831" s="15"/>
      <c r="AV831" s="117"/>
      <c r="AW831" s="116"/>
      <c r="AX831" s="116"/>
      <c r="AY831" s="116"/>
    </row>
    <row r="832" spans="1:51" ht="19.5" x14ac:dyDescent="0.4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22"/>
      <c r="AA832" s="122"/>
      <c r="AB832" s="122"/>
      <c r="AC832" s="115"/>
      <c r="AD832" s="115"/>
      <c r="AE832" s="115"/>
      <c r="AF832" s="115"/>
      <c r="AG832" s="115"/>
      <c r="AH832" s="115"/>
      <c r="AI832" s="115"/>
      <c r="AJ832" s="115"/>
      <c r="AK832" s="115"/>
      <c r="AL832" s="115"/>
      <c r="AM832" s="115"/>
      <c r="AN832" s="115"/>
      <c r="AO832" s="115"/>
      <c r="AP832" s="115"/>
      <c r="AQ832" s="20"/>
      <c r="AR832" s="15"/>
      <c r="AV832" s="117"/>
      <c r="AW832" s="116"/>
      <c r="AX832" s="116"/>
      <c r="AY832" s="116"/>
    </row>
    <row r="833" spans="1:51" ht="19.5" x14ac:dyDescent="0.4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22"/>
      <c r="AA833" s="122"/>
      <c r="AB833" s="122"/>
      <c r="AC833" s="115"/>
      <c r="AD833" s="115"/>
      <c r="AE833" s="115"/>
      <c r="AF833" s="115"/>
      <c r="AG833" s="115"/>
      <c r="AH833" s="115"/>
      <c r="AI833" s="115"/>
      <c r="AJ833" s="115"/>
      <c r="AK833" s="115"/>
      <c r="AL833" s="115"/>
      <c r="AM833" s="115"/>
      <c r="AN833" s="115"/>
      <c r="AO833" s="115"/>
      <c r="AP833" s="115"/>
      <c r="AQ833" s="25"/>
      <c r="AR833" s="15"/>
      <c r="AV833" s="117"/>
      <c r="AW833" s="116"/>
      <c r="AX833" s="116"/>
      <c r="AY833" s="116"/>
    </row>
    <row r="834" spans="1:51" ht="19.5" x14ac:dyDescent="0.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22"/>
      <c r="AA834" s="122"/>
      <c r="AB834" s="122"/>
      <c r="AC834" s="115"/>
      <c r="AD834" s="115"/>
      <c r="AE834" s="115"/>
      <c r="AF834" s="115"/>
      <c r="AG834" s="115"/>
      <c r="AH834" s="115"/>
      <c r="AI834" s="115"/>
      <c r="AJ834" s="115"/>
      <c r="AK834" s="115"/>
      <c r="AL834" s="115"/>
      <c r="AM834" s="115"/>
      <c r="AN834" s="115"/>
      <c r="AO834" s="115"/>
      <c r="AP834" s="115"/>
      <c r="AQ834" s="13"/>
      <c r="AR834" s="15"/>
      <c r="AV834" s="117"/>
      <c r="AW834" s="116"/>
      <c r="AX834" s="116"/>
      <c r="AY834" s="116"/>
    </row>
    <row r="835" spans="1:51" ht="19.5" x14ac:dyDescent="0.4">
      <c r="AQ835" s="25"/>
      <c r="AR835" s="15"/>
      <c r="AV835" s="117"/>
      <c r="AW835" s="116"/>
      <c r="AX835" s="116"/>
      <c r="AY835" s="116"/>
    </row>
    <row r="836" spans="1:51" ht="19.5" x14ac:dyDescent="0.4">
      <c r="W836" s="115"/>
      <c r="X836" s="115"/>
      <c r="Y836" s="115"/>
      <c r="Z836" s="122"/>
      <c r="AA836" s="122"/>
      <c r="AB836" s="122"/>
      <c r="AC836" s="115"/>
      <c r="AD836" s="115"/>
      <c r="AE836" s="115"/>
      <c r="AF836" s="115"/>
      <c r="AG836" s="115"/>
      <c r="AH836" s="115"/>
      <c r="AI836" s="115"/>
      <c r="AJ836" s="115"/>
      <c r="AK836" s="115"/>
      <c r="AL836" s="115"/>
      <c r="AM836" s="115"/>
      <c r="AN836" s="115"/>
      <c r="AO836" s="115"/>
      <c r="AP836" s="115"/>
      <c r="AQ836" s="13"/>
      <c r="AR836" s="15"/>
      <c r="AV836" s="117"/>
      <c r="AW836" s="116"/>
      <c r="AX836" s="116"/>
      <c r="AY836" s="116"/>
    </row>
    <row r="837" spans="1:51" ht="19.5" x14ac:dyDescent="0.4"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22"/>
      <c r="AA837" s="122"/>
      <c r="AB837" s="122"/>
      <c r="AC837" s="115"/>
      <c r="AD837" s="115"/>
      <c r="AE837" s="115"/>
      <c r="AF837" s="115"/>
      <c r="AG837" s="115"/>
      <c r="AH837" s="115"/>
      <c r="AI837" s="115"/>
      <c r="AJ837" s="115"/>
      <c r="AK837" s="115"/>
      <c r="AL837" s="115"/>
      <c r="AM837" s="115"/>
      <c r="AN837" s="115"/>
      <c r="AO837" s="115"/>
      <c r="AP837" s="115"/>
      <c r="AQ837" s="25"/>
      <c r="AR837" s="15"/>
      <c r="AV837" s="117"/>
      <c r="AW837" s="116"/>
      <c r="AX837" s="116"/>
      <c r="AY837" s="116"/>
    </row>
    <row r="838" spans="1:51" ht="19.5" x14ac:dyDescent="0.4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22"/>
      <c r="AA838" s="122"/>
      <c r="AB838" s="122"/>
      <c r="AC838" s="115"/>
      <c r="AD838" s="115"/>
      <c r="AE838" s="115"/>
      <c r="AF838" s="115"/>
      <c r="AG838" s="115"/>
      <c r="AH838" s="115"/>
      <c r="AI838" s="115"/>
      <c r="AJ838" s="115"/>
      <c r="AK838" s="115"/>
      <c r="AL838" s="115"/>
      <c r="AM838" s="115"/>
      <c r="AN838" s="115"/>
      <c r="AO838" s="115"/>
      <c r="AP838" s="115"/>
      <c r="AQ838" s="25"/>
      <c r="AR838" s="15"/>
      <c r="AV838" s="117"/>
      <c r="AW838" s="116"/>
      <c r="AX838" s="116"/>
      <c r="AY838" s="116"/>
    </row>
    <row r="839" spans="1:51" ht="19.5" x14ac:dyDescent="0.4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22"/>
      <c r="AA839" s="122"/>
      <c r="AB839" s="122"/>
      <c r="AC839" s="115"/>
      <c r="AD839" s="115"/>
      <c r="AE839" s="115"/>
      <c r="AF839" s="115"/>
      <c r="AG839" s="115"/>
      <c r="AH839" s="115"/>
      <c r="AI839" s="115"/>
      <c r="AJ839" s="115"/>
      <c r="AK839" s="115"/>
      <c r="AL839" s="115"/>
      <c r="AM839" s="115"/>
      <c r="AN839" s="115"/>
      <c r="AO839" s="115"/>
      <c r="AP839" s="115"/>
      <c r="AQ839" s="13"/>
      <c r="AR839" s="15"/>
      <c r="AV839" s="117"/>
      <c r="AW839" s="116"/>
      <c r="AX839" s="116"/>
      <c r="AY839" s="116"/>
    </row>
    <row r="840" spans="1:51" ht="19.5" x14ac:dyDescent="0.4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22"/>
      <c r="AA840" s="122"/>
      <c r="AB840" s="122"/>
      <c r="AC840" s="115"/>
      <c r="AD840" s="115"/>
      <c r="AE840" s="115"/>
      <c r="AF840" s="115"/>
      <c r="AG840" s="115"/>
      <c r="AH840" s="115"/>
      <c r="AI840" s="115"/>
      <c r="AJ840" s="115"/>
      <c r="AK840" s="115"/>
      <c r="AL840" s="115"/>
      <c r="AM840" s="115"/>
      <c r="AN840" s="115"/>
      <c r="AO840" s="115"/>
      <c r="AP840" s="115"/>
      <c r="AQ840" s="25"/>
      <c r="AR840" s="15"/>
      <c r="AV840" s="117"/>
      <c r="AW840" s="116"/>
      <c r="AX840" s="116"/>
      <c r="AY840" s="116"/>
    </row>
    <row r="841" spans="1:51" ht="19.5" x14ac:dyDescent="0.4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22"/>
      <c r="AA841" s="122"/>
      <c r="AB841" s="122"/>
      <c r="AC841" s="115"/>
      <c r="AD841" s="115"/>
      <c r="AE841" s="115"/>
      <c r="AF841" s="115"/>
      <c r="AG841" s="115"/>
      <c r="AH841" s="115"/>
      <c r="AI841" s="115"/>
      <c r="AJ841" s="115"/>
      <c r="AK841" s="115"/>
      <c r="AL841" s="115"/>
      <c r="AM841" s="115"/>
      <c r="AN841" s="115"/>
      <c r="AO841" s="115"/>
      <c r="AP841" s="115"/>
      <c r="AQ841" s="13"/>
      <c r="AR841" s="15"/>
      <c r="AV841" s="117"/>
      <c r="AW841" s="116"/>
      <c r="AX841" s="116"/>
      <c r="AY841" s="116"/>
    </row>
    <row r="842" spans="1:51" ht="19.5" x14ac:dyDescent="0.4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22"/>
      <c r="AA842" s="122"/>
      <c r="AB842" s="122"/>
      <c r="AC842" s="115"/>
      <c r="AD842" s="115"/>
      <c r="AE842" s="115"/>
      <c r="AF842" s="115"/>
      <c r="AG842" s="115"/>
      <c r="AH842" s="115"/>
      <c r="AI842" s="115"/>
      <c r="AJ842" s="115"/>
      <c r="AK842" s="115"/>
      <c r="AL842" s="115"/>
      <c r="AM842" s="115"/>
      <c r="AN842" s="115"/>
      <c r="AO842" s="115"/>
      <c r="AP842" s="115"/>
      <c r="AQ842" s="25"/>
      <c r="AR842" s="15"/>
      <c r="AV842" s="117"/>
      <c r="AW842" s="116"/>
      <c r="AX842" s="116"/>
      <c r="AY842" s="116"/>
    </row>
    <row r="843" spans="1:51" ht="19.5" x14ac:dyDescent="0.4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22"/>
      <c r="AA843" s="122"/>
      <c r="AB843" s="122"/>
      <c r="AC843" s="115"/>
      <c r="AD843" s="115"/>
      <c r="AE843" s="115"/>
      <c r="AF843" s="115"/>
      <c r="AG843" s="115"/>
      <c r="AH843" s="115"/>
      <c r="AI843" s="115"/>
      <c r="AJ843" s="115"/>
      <c r="AK843" s="115"/>
      <c r="AL843" s="115"/>
      <c r="AM843" s="115"/>
      <c r="AN843" s="115"/>
      <c r="AO843" s="115"/>
      <c r="AP843" s="115"/>
      <c r="AQ843" s="26"/>
      <c r="AR843" s="15"/>
      <c r="AV843" s="117"/>
      <c r="AW843" s="116"/>
      <c r="AX843" s="116"/>
      <c r="AY843" s="116"/>
    </row>
    <row r="844" spans="1:51" ht="19.5" x14ac:dyDescent="0.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22"/>
      <c r="AA844" s="122"/>
      <c r="AB844" s="122"/>
      <c r="AC844" s="115"/>
      <c r="AD844" s="115"/>
      <c r="AE844" s="115"/>
      <c r="AF844" s="115"/>
      <c r="AG844" s="115"/>
      <c r="AH844" s="115"/>
      <c r="AI844" s="115"/>
      <c r="AJ844" s="115"/>
      <c r="AK844" s="115"/>
      <c r="AL844" s="115"/>
      <c r="AM844" s="115"/>
      <c r="AN844" s="115"/>
      <c r="AO844" s="115"/>
      <c r="AP844" s="115"/>
      <c r="AQ844" s="17"/>
      <c r="AR844" s="13"/>
      <c r="AV844" s="117"/>
      <c r="AW844" s="116"/>
      <c r="AX844" s="116"/>
      <c r="AY844" s="116"/>
    </row>
    <row r="845" spans="1:51" ht="19.5" x14ac:dyDescent="0.4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22"/>
      <c r="AA845" s="122"/>
      <c r="AB845" s="122"/>
      <c r="AC845" s="115"/>
      <c r="AD845" s="115"/>
      <c r="AE845" s="115"/>
      <c r="AF845" s="115"/>
      <c r="AG845" s="115"/>
      <c r="AH845" s="115"/>
      <c r="AI845" s="115"/>
      <c r="AJ845" s="115"/>
      <c r="AK845" s="115"/>
      <c r="AL845" s="115"/>
      <c r="AM845" s="115"/>
      <c r="AN845" s="115"/>
      <c r="AO845" s="115"/>
      <c r="AP845" s="115"/>
      <c r="AQ845" s="26"/>
      <c r="AR845" s="13"/>
      <c r="AV845" s="117"/>
      <c r="AW845" s="116"/>
      <c r="AX845" s="116"/>
      <c r="AY845" s="116"/>
    </row>
    <row r="846" spans="1:51" ht="19.5" x14ac:dyDescent="0.4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22"/>
      <c r="AA846" s="122"/>
      <c r="AB846" s="122"/>
      <c r="AC846" s="115"/>
      <c r="AD846" s="115"/>
      <c r="AE846" s="115"/>
      <c r="AF846" s="115"/>
      <c r="AG846" s="115"/>
      <c r="AH846" s="115"/>
      <c r="AI846" s="115"/>
      <c r="AJ846" s="115"/>
      <c r="AK846" s="115"/>
      <c r="AL846" s="115"/>
      <c r="AM846" s="115"/>
      <c r="AN846" s="115"/>
      <c r="AO846" s="115"/>
      <c r="AP846" s="115"/>
      <c r="AQ846" s="17"/>
      <c r="AR846" s="13"/>
      <c r="AV846" s="117"/>
      <c r="AW846" s="116"/>
      <c r="AX846" s="116"/>
      <c r="AY846" s="116"/>
    </row>
    <row r="847" spans="1:51" ht="19.5" x14ac:dyDescent="0.4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22"/>
      <c r="AA847" s="122"/>
      <c r="AB847" s="122"/>
      <c r="AC847" s="115"/>
      <c r="AD847" s="115"/>
      <c r="AE847" s="115"/>
      <c r="AF847" s="115"/>
      <c r="AG847" s="115"/>
      <c r="AH847" s="115"/>
      <c r="AI847" s="115"/>
      <c r="AJ847" s="115"/>
      <c r="AK847" s="115"/>
      <c r="AL847" s="115"/>
      <c r="AM847" s="115"/>
      <c r="AN847" s="115"/>
      <c r="AO847" s="115"/>
      <c r="AP847" s="115"/>
      <c r="AQ847" s="26"/>
      <c r="AR847" s="15"/>
      <c r="AV847" s="117"/>
      <c r="AW847" s="116"/>
      <c r="AX847" s="116"/>
      <c r="AY847" s="116"/>
    </row>
    <row r="848" spans="1:51" ht="19.5" x14ac:dyDescent="0.4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22"/>
      <c r="AA848" s="122"/>
      <c r="AB848" s="122"/>
      <c r="AC848" s="115"/>
      <c r="AD848" s="115"/>
      <c r="AE848" s="115"/>
      <c r="AF848" s="115"/>
      <c r="AG848" s="115"/>
      <c r="AH848" s="115"/>
      <c r="AI848" s="115"/>
      <c r="AJ848" s="115"/>
      <c r="AK848" s="115"/>
      <c r="AL848" s="115"/>
      <c r="AM848" s="115"/>
      <c r="AN848" s="115"/>
      <c r="AO848" s="115"/>
      <c r="AP848" s="115"/>
      <c r="AQ848" s="17"/>
      <c r="AR848" s="15"/>
      <c r="AV848" s="117"/>
      <c r="AW848" s="116"/>
      <c r="AX848" s="116"/>
      <c r="AY848" s="116"/>
    </row>
    <row r="849" spans="1:51" ht="19.5" x14ac:dyDescent="0.4">
      <c r="AQ849" s="26"/>
      <c r="AR849" s="105"/>
      <c r="AV849" s="117"/>
      <c r="AW849" s="116"/>
      <c r="AX849" s="116"/>
      <c r="AY849" s="116"/>
    </row>
    <row r="850" spans="1:51" ht="19.5" x14ac:dyDescent="0.4">
      <c r="W850" s="115"/>
      <c r="X850" s="115"/>
      <c r="Y850" s="115"/>
      <c r="Z850" s="122"/>
      <c r="AA850" s="122"/>
      <c r="AB850" s="122"/>
      <c r="AC850" s="115"/>
      <c r="AD850" s="115"/>
      <c r="AE850" s="115"/>
      <c r="AF850" s="115"/>
      <c r="AG850" s="115"/>
      <c r="AH850" s="115"/>
      <c r="AI850" s="115"/>
      <c r="AJ850" s="115"/>
      <c r="AK850" s="115"/>
      <c r="AL850" s="115"/>
      <c r="AM850" s="115"/>
      <c r="AN850" s="115"/>
      <c r="AO850" s="115"/>
      <c r="AP850" s="115"/>
      <c r="AQ850" s="17"/>
      <c r="AR850" s="15"/>
      <c r="AV850" s="117"/>
      <c r="AW850" s="116"/>
      <c r="AX850" s="116"/>
      <c r="AY850" s="116"/>
    </row>
    <row r="851" spans="1:51" ht="19.5" x14ac:dyDescent="0.4">
      <c r="T851" s="115"/>
      <c r="U851" s="115"/>
      <c r="V851" s="115"/>
      <c r="W851" s="115"/>
      <c r="X851" s="115"/>
      <c r="Y851" s="115"/>
      <c r="Z851" s="122"/>
      <c r="AA851" s="122"/>
      <c r="AB851" s="122"/>
      <c r="AC851" s="115"/>
      <c r="AD851" s="115"/>
      <c r="AE851" s="115"/>
      <c r="AF851" s="115"/>
      <c r="AG851" s="115"/>
      <c r="AH851" s="115"/>
      <c r="AI851" s="115"/>
      <c r="AJ851" s="115"/>
      <c r="AK851" s="115"/>
      <c r="AL851" s="115"/>
      <c r="AM851" s="115"/>
      <c r="AN851" s="115"/>
      <c r="AO851" s="115"/>
      <c r="AP851" s="115"/>
      <c r="AQ851" s="26"/>
      <c r="AR851" s="15"/>
      <c r="AV851" s="117"/>
      <c r="AW851" s="116"/>
      <c r="AX851" s="116"/>
      <c r="AY851" s="116"/>
    </row>
    <row r="852" spans="1:51" ht="19.5" x14ac:dyDescent="0.4">
      <c r="T852" s="115"/>
      <c r="U852" s="115"/>
      <c r="V852" s="115"/>
      <c r="W852" s="115"/>
      <c r="X852" s="115"/>
      <c r="Y852" s="115"/>
      <c r="Z852" s="122"/>
      <c r="AA852" s="122"/>
      <c r="AB852" s="122"/>
      <c r="AC852" s="115"/>
      <c r="AD852" s="115"/>
      <c r="AE852" s="115"/>
      <c r="AF852" s="115"/>
      <c r="AG852" s="115"/>
      <c r="AH852" s="115"/>
      <c r="AI852" s="115"/>
      <c r="AJ852" s="115"/>
      <c r="AK852" s="115"/>
      <c r="AL852" s="115"/>
      <c r="AM852" s="115"/>
      <c r="AN852" s="115"/>
      <c r="AO852" s="115"/>
      <c r="AP852" s="115"/>
      <c r="AQ852" s="17"/>
      <c r="AR852" s="15"/>
      <c r="AV852" s="117"/>
      <c r="AW852" s="116"/>
      <c r="AX852" s="116"/>
      <c r="AY852" s="116"/>
    </row>
    <row r="853" spans="1:51" ht="19.5" x14ac:dyDescent="0.4"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22"/>
      <c r="AA853" s="122"/>
      <c r="AB853" s="122"/>
      <c r="AC853" s="115"/>
      <c r="AD853" s="115"/>
      <c r="AE853" s="115"/>
      <c r="AF853" s="115"/>
      <c r="AG853" s="115"/>
      <c r="AH853" s="115"/>
      <c r="AI853" s="115"/>
      <c r="AJ853" s="115"/>
      <c r="AK853" s="115"/>
      <c r="AL853" s="115"/>
      <c r="AM853" s="115"/>
      <c r="AN853" s="115"/>
      <c r="AO853" s="115"/>
      <c r="AP853" s="115"/>
      <c r="AQ853" s="26"/>
      <c r="AR853" s="15"/>
      <c r="AV853" s="117"/>
      <c r="AW853" s="116"/>
      <c r="AX853" s="116"/>
      <c r="AY853" s="116"/>
    </row>
    <row r="854" spans="1:51" ht="19.5" x14ac:dyDescent="0.4"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22"/>
      <c r="AA854" s="122"/>
      <c r="AB854" s="122"/>
      <c r="AC854" s="115"/>
      <c r="AD854" s="115"/>
      <c r="AE854" s="115"/>
      <c r="AF854" s="115"/>
      <c r="AG854" s="115"/>
      <c r="AH854" s="115"/>
      <c r="AI854" s="115"/>
      <c r="AJ854" s="115"/>
      <c r="AK854" s="115"/>
      <c r="AL854" s="115"/>
      <c r="AM854" s="115"/>
      <c r="AN854" s="115"/>
      <c r="AO854" s="115"/>
      <c r="AP854" s="115"/>
      <c r="AQ854" s="17"/>
      <c r="AR854" s="15"/>
      <c r="AV854" s="117"/>
      <c r="AW854" s="116"/>
      <c r="AX854" s="116"/>
      <c r="AY854" s="116"/>
    </row>
    <row r="855" spans="1:51" ht="19.5" x14ac:dyDescent="0.4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22"/>
      <c r="AA855" s="122"/>
      <c r="AB855" s="122"/>
      <c r="AC855" s="115"/>
      <c r="AD855" s="115"/>
      <c r="AE855" s="115"/>
      <c r="AF855" s="115"/>
      <c r="AG855" s="115"/>
      <c r="AH855" s="115"/>
      <c r="AI855" s="115"/>
      <c r="AJ855" s="115"/>
      <c r="AK855" s="115"/>
      <c r="AL855" s="115"/>
      <c r="AM855" s="115"/>
      <c r="AN855" s="115"/>
      <c r="AO855" s="115"/>
      <c r="AP855" s="115"/>
      <c r="AQ855" s="26"/>
      <c r="AR855" s="15"/>
      <c r="AV855" s="117"/>
      <c r="AW855" s="116"/>
      <c r="AX855" s="116"/>
      <c r="AY855" s="116"/>
    </row>
    <row r="856" spans="1:51" ht="19.5" x14ac:dyDescent="0.4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22"/>
      <c r="AA856" s="122"/>
      <c r="AB856" s="122"/>
      <c r="AC856" s="115"/>
      <c r="AD856" s="115"/>
      <c r="AE856" s="115"/>
      <c r="AF856" s="115"/>
      <c r="AG856" s="115"/>
      <c r="AH856" s="115"/>
      <c r="AI856" s="115"/>
      <c r="AJ856" s="115"/>
      <c r="AK856" s="115"/>
      <c r="AL856" s="115"/>
      <c r="AM856" s="115"/>
      <c r="AN856" s="115"/>
      <c r="AO856" s="115"/>
      <c r="AP856" s="115"/>
      <c r="AQ856" s="26"/>
      <c r="AR856" s="15"/>
      <c r="AV856" s="117"/>
      <c r="AW856" s="116"/>
      <c r="AX856" s="116"/>
      <c r="AY856" s="116"/>
    </row>
    <row r="857" spans="1:51" ht="19.5" x14ac:dyDescent="0.4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22"/>
      <c r="AA857" s="122"/>
      <c r="AB857" s="122"/>
      <c r="AC857" s="115"/>
      <c r="AD857" s="115"/>
      <c r="AE857" s="115"/>
      <c r="AF857" s="115"/>
      <c r="AG857" s="115"/>
      <c r="AH857" s="115"/>
      <c r="AI857" s="115"/>
      <c r="AJ857" s="115"/>
      <c r="AK857" s="115"/>
      <c r="AL857" s="115"/>
      <c r="AM857" s="115"/>
      <c r="AN857" s="115"/>
      <c r="AO857" s="115"/>
      <c r="AP857" s="115"/>
      <c r="AQ857" s="17"/>
      <c r="AR857" s="15"/>
      <c r="AV857" s="117"/>
      <c r="AW857" s="116"/>
      <c r="AX857" s="116"/>
      <c r="AY857" s="116"/>
    </row>
    <row r="858" spans="1:51" ht="19.5" x14ac:dyDescent="0.4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22"/>
      <c r="AA858" s="122"/>
      <c r="AB858" s="122"/>
      <c r="AC858" s="115"/>
      <c r="AD858" s="115"/>
      <c r="AE858" s="115"/>
      <c r="AF858" s="115"/>
      <c r="AG858" s="115"/>
      <c r="AH858" s="115"/>
      <c r="AI858" s="115"/>
      <c r="AJ858" s="115"/>
      <c r="AK858" s="115"/>
      <c r="AL858" s="115"/>
      <c r="AM858" s="115"/>
      <c r="AN858" s="115"/>
      <c r="AO858" s="115"/>
      <c r="AP858" s="115"/>
      <c r="AQ858" s="26"/>
      <c r="AR858" s="15"/>
      <c r="AV858" s="117"/>
      <c r="AW858" s="116"/>
      <c r="AX858" s="116"/>
      <c r="AY858" s="116"/>
    </row>
    <row r="859" spans="1:51" ht="19.5" x14ac:dyDescent="0.4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22"/>
      <c r="AA859" s="122"/>
      <c r="AB859" s="122"/>
      <c r="AC859" s="115"/>
      <c r="AD859" s="115"/>
      <c r="AE859" s="115"/>
      <c r="AF859" s="115"/>
      <c r="AG859" s="115"/>
      <c r="AH859" s="115"/>
      <c r="AI859" s="115"/>
      <c r="AJ859" s="115"/>
      <c r="AK859" s="115"/>
      <c r="AL859" s="115"/>
      <c r="AM859" s="115"/>
      <c r="AN859" s="115"/>
      <c r="AO859" s="115"/>
      <c r="AP859" s="115"/>
      <c r="AQ859" s="17"/>
      <c r="AR859" s="15"/>
      <c r="AV859" s="117"/>
      <c r="AW859" s="116"/>
      <c r="AX859" s="116"/>
      <c r="AY859" s="116"/>
    </row>
    <row r="860" spans="1:51" ht="19.5" x14ac:dyDescent="0.4">
      <c r="AQ860" s="26"/>
      <c r="AR860" s="15"/>
      <c r="AV860" s="117"/>
      <c r="AW860" s="116"/>
      <c r="AX860" s="116"/>
      <c r="AY860" s="116"/>
    </row>
    <row r="861" spans="1:51" ht="19.5" x14ac:dyDescent="0.4">
      <c r="W861" s="115"/>
      <c r="X861" s="115"/>
      <c r="Y861" s="115"/>
      <c r="Z861" s="122"/>
      <c r="AA861" s="122"/>
      <c r="AB861" s="122"/>
      <c r="AC861" s="115"/>
      <c r="AD861" s="115"/>
      <c r="AE861" s="115"/>
      <c r="AF861" s="115"/>
      <c r="AG861" s="115"/>
      <c r="AH861" s="115"/>
      <c r="AI861" s="115"/>
      <c r="AJ861" s="115"/>
      <c r="AK861" s="115"/>
      <c r="AL861" s="115"/>
      <c r="AM861" s="115"/>
      <c r="AN861" s="115"/>
      <c r="AO861" s="115"/>
      <c r="AP861" s="115"/>
      <c r="AQ861" s="17"/>
      <c r="AR861" s="15"/>
      <c r="AV861" s="117"/>
      <c r="AW861" s="116"/>
      <c r="AX861" s="116"/>
      <c r="AY861" s="116"/>
    </row>
    <row r="862" spans="1:51" ht="19.5" x14ac:dyDescent="0.4">
      <c r="AQ862" s="26"/>
      <c r="AR862" s="15"/>
      <c r="AV862" s="117"/>
      <c r="AW862" s="116"/>
      <c r="AX862" s="116"/>
      <c r="AY862" s="116"/>
    </row>
    <row r="863" spans="1:51" ht="19.5" x14ac:dyDescent="0.4">
      <c r="W863" s="115"/>
      <c r="X863" s="115"/>
      <c r="Y863" s="115"/>
      <c r="Z863" s="122"/>
      <c r="AA863" s="122"/>
      <c r="AB863" s="122"/>
      <c r="AC863" s="115"/>
      <c r="AD863" s="115"/>
      <c r="AE863" s="115"/>
      <c r="AF863" s="115"/>
      <c r="AG863" s="115"/>
      <c r="AH863" s="115"/>
      <c r="AI863" s="115"/>
      <c r="AJ863" s="115"/>
      <c r="AK863" s="115"/>
      <c r="AL863" s="115"/>
      <c r="AM863" s="115"/>
      <c r="AN863" s="115"/>
      <c r="AO863" s="115"/>
      <c r="AP863" s="115"/>
      <c r="AQ863" s="17"/>
      <c r="AR863" s="15"/>
      <c r="AV863" s="117"/>
      <c r="AW863" s="116"/>
      <c r="AX863" s="116"/>
      <c r="AY863" s="116"/>
    </row>
    <row r="864" spans="1:51" ht="19.5" x14ac:dyDescent="0.4">
      <c r="AQ864" s="26"/>
      <c r="AR864" s="15"/>
      <c r="AV864" s="117"/>
      <c r="AW864" s="116"/>
      <c r="AX864" s="116"/>
      <c r="AY864" s="116"/>
    </row>
    <row r="865" spans="2:51" ht="19.5" x14ac:dyDescent="0.4">
      <c r="W865" s="115"/>
      <c r="X865" s="115"/>
      <c r="Y865" s="115"/>
      <c r="Z865" s="122"/>
      <c r="AA865" s="122"/>
      <c r="AB865" s="122"/>
      <c r="AC865" s="115"/>
      <c r="AD865" s="115"/>
      <c r="AE865" s="115"/>
      <c r="AF865" s="115"/>
      <c r="AG865" s="115"/>
      <c r="AH865" s="115"/>
      <c r="AI865" s="115"/>
      <c r="AJ865" s="115"/>
      <c r="AK865" s="115"/>
      <c r="AL865" s="115"/>
      <c r="AM865" s="115"/>
      <c r="AN865" s="115"/>
      <c r="AO865" s="115"/>
      <c r="AP865" s="115"/>
      <c r="AQ865" s="17"/>
      <c r="AR865" s="15"/>
      <c r="AV865" s="117"/>
      <c r="AW865" s="116"/>
      <c r="AX865" s="116"/>
      <c r="AY865" s="116"/>
    </row>
    <row r="866" spans="2:51" ht="19.5" x14ac:dyDescent="0.4"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22"/>
      <c r="AA866" s="122"/>
      <c r="AB866" s="122"/>
      <c r="AC866" s="115"/>
      <c r="AD866" s="115"/>
      <c r="AE866" s="115"/>
      <c r="AF866" s="115"/>
      <c r="AG866" s="115"/>
      <c r="AH866" s="115"/>
      <c r="AI866" s="115"/>
      <c r="AJ866" s="115"/>
      <c r="AK866" s="115"/>
      <c r="AL866" s="115"/>
      <c r="AM866" s="115"/>
      <c r="AN866" s="115"/>
      <c r="AO866" s="115"/>
      <c r="AP866" s="115"/>
      <c r="AQ866" s="26"/>
      <c r="AR866" s="15"/>
      <c r="AV866" s="117"/>
      <c r="AW866" s="116"/>
      <c r="AX866" s="116"/>
      <c r="AY866" s="116"/>
    </row>
    <row r="867" spans="2:51" ht="19.5" x14ac:dyDescent="0.4"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22"/>
      <c r="AA867" s="122"/>
      <c r="AB867" s="122"/>
      <c r="AC867" s="115"/>
      <c r="AD867" s="115"/>
      <c r="AE867" s="115"/>
      <c r="AF867" s="115"/>
      <c r="AG867" s="115"/>
      <c r="AH867" s="115"/>
      <c r="AI867" s="115"/>
      <c r="AJ867" s="115"/>
      <c r="AK867" s="115"/>
      <c r="AL867" s="115"/>
      <c r="AM867" s="115"/>
      <c r="AN867" s="115"/>
      <c r="AO867" s="115"/>
      <c r="AP867" s="115"/>
      <c r="AQ867" s="17"/>
      <c r="AR867" s="15"/>
      <c r="AV867" s="117"/>
      <c r="AW867" s="116"/>
      <c r="AX867" s="116"/>
      <c r="AY867" s="116"/>
    </row>
    <row r="868" spans="2:51" ht="19.5" x14ac:dyDescent="0.4"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22"/>
      <c r="AA868" s="122"/>
      <c r="AB868" s="122"/>
      <c r="AC868" s="115"/>
      <c r="AD868" s="115"/>
      <c r="AE868" s="115"/>
      <c r="AF868" s="115"/>
      <c r="AG868" s="115"/>
      <c r="AH868" s="115"/>
      <c r="AI868" s="115"/>
      <c r="AJ868" s="115"/>
      <c r="AK868" s="115"/>
      <c r="AL868" s="115"/>
      <c r="AM868" s="115"/>
      <c r="AN868" s="115"/>
      <c r="AO868" s="115"/>
      <c r="AP868" s="115"/>
      <c r="AQ868" s="26"/>
      <c r="AR868" s="15"/>
      <c r="AV868" s="117"/>
      <c r="AW868" s="116"/>
      <c r="AX868" s="116"/>
      <c r="AY868" s="116"/>
    </row>
    <row r="869" spans="2:51" ht="19.5" x14ac:dyDescent="0.4">
      <c r="AQ869" s="26"/>
      <c r="AR869" s="15"/>
      <c r="AV869" s="117"/>
      <c r="AW869" s="116"/>
      <c r="AX869" s="116"/>
      <c r="AY869" s="116"/>
    </row>
    <row r="870" spans="2:51" ht="19.5" x14ac:dyDescent="0.4">
      <c r="W870" s="115"/>
      <c r="X870" s="115"/>
      <c r="Y870" s="115"/>
      <c r="Z870" s="122"/>
      <c r="AA870" s="122"/>
      <c r="AB870" s="122"/>
      <c r="AC870" s="115"/>
      <c r="AD870" s="115"/>
      <c r="AE870" s="115"/>
      <c r="AF870" s="115"/>
      <c r="AG870" s="115"/>
      <c r="AH870" s="115"/>
      <c r="AI870" s="115"/>
      <c r="AJ870" s="115"/>
      <c r="AK870" s="115"/>
      <c r="AL870" s="115"/>
      <c r="AM870" s="115"/>
      <c r="AN870" s="115"/>
      <c r="AO870" s="115"/>
      <c r="AP870" s="115"/>
      <c r="AQ870" s="17"/>
      <c r="AR870" s="15"/>
      <c r="AV870" s="117"/>
      <c r="AW870" s="116"/>
      <c r="AX870" s="116"/>
      <c r="AY870" s="116"/>
    </row>
    <row r="871" spans="2:51" ht="19.5" x14ac:dyDescent="0.4">
      <c r="U871" s="115"/>
      <c r="V871" s="115"/>
      <c r="W871" s="115"/>
      <c r="X871" s="115"/>
      <c r="Y871" s="115"/>
      <c r="Z871" s="122"/>
      <c r="AA871" s="122"/>
      <c r="AB871" s="122"/>
      <c r="AC871" s="115"/>
      <c r="AD871" s="115"/>
      <c r="AE871" s="115"/>
      <c r="AF871" s="115"/>
      <c r="AG871" s="115"/>
      <c r="AH871" s="115"/>
      <c r="AI871" s="115"/>
      <c r="AJ871" s="115"/>
      <c r="AK871" s="115"/>
      <c r="AL871" s="115"/>
      <c r="AM871" s="115"/>
      <c r="AN871" s="115"/>
      <c r="AO871" s="115"/>
      <c r="AP871" s="115"/>
      <c r="AQ871" s="26"/>
      <c r="AR871" s="15"/>
      <c r="AV871" s="117"/>
      <c r="AW871" s="116"/>
      <c r="AX871" s="116"/>
      <c r="AY871" s="116"/>
    </row>
    <row r="872" spans="2:51" ht="19.5" x14ac:dyDescent="0.4">
      <c r="U872" s="115"/>
      <c r="V872" s="115"/>
      <c r="W872" s="115"/>
      <c r="X872" s="115"/>
      <c r="Y872" s="115"/>
      <c r="Z872" s="122"/>
      <c r="AA872" s="122"/>
      <c r="AB872" s="122"/>
      <c r="AC872" s="115"/>
      <c r="AD872" s="115"/>
      <c r="AE872" s="115"/>
      <c r="AF872" s="115"/>
      <c r="AG872" s="115"/>
      <c r="AH872" s="115"/>
      <c r="AI872" s="115"/>
      <c r="AJ872" s="115"/>
      <c r="AK872" s="115"/>
      <c r="AL872" s="115"/>
      <c r="AM872" s="115"/>
      <c r="AN872" s="115"/>
      <c r="AO872" s="115"/>
      <c r="AP872" s="115"/>
      <c r="AQ872" s="17"/>
      <c r="AR872" s="13"/>
      <c r="AV872" s="117"/>
      <c r="AW872" s="116"/>
      <c r="AX872" s="116"/>
      <c r="AY872" s="116"/>
    </row>
    <row r="873" spans="2:51" ht="19.5" x14ac:dyDescent="0.4">
      <c r="T873" s="115"/>
      <c r="U873" s="115"/>
      <c r="V873" s="115"/>
      <c r="W873" s="115"/>
      <c r="X873" s="115"/>
      <c r="Y873" s="115"/>
      <c r="Z873" s="122"/>
      <c r="AA873" s="122"/>
      <c r="AB873" s="122"/>
      <c r="AC873" s="115"/>
      <c r="AD873" s="115"/>
      <c r="AE873" s="115"/>
      <c r="AF873" s="115"/>
      <c r="AG873" s="115"/>
      <c r="AH873" s="115"/>
      <c r="AI873" s="115"/>
      <c r="AJ873" s="115"/>
      <c r="AK873" s="115"/>
      <c r="AL873" s="115"/>
      <c r="AM873" s="115"/>
      <c r="AN873" s="115"/>
      <c r="AO873" s="115"/>
      <c r="AP873" s="115"/>
      <c r="AQ873" s="26"/>
      <c r="AR873" s="13"/>
      <c r="AV873" s="117"/>
      <c r="AW873" s="116"/>
      <c r="AX873" s="116"/>
      <c r="AY873" s="116"/>
    </row>
    <row r="874" spans="2:51" ht="19.5" x14ac:dyDescent="0.4">
      <c r="T874" s="115"/>
      <c r="U874" s="115"/>
      <c r="V874" s="115"/>
      <c r="W874" s="115"/>
      <c r="X874" s="115"/>
      <c r="Y874" s="115"/>
      <c r="Z874" s="122"/>
      <c r="AA874" s="122"/>
      <c r="AB874" s="122"/>
      <c r="AC874" s="115"/>
      <c r="AD874" s="115"/>
      <c r="AE874" s="115"/>
      <c r="AF874" s="115"/>
      <c r="AG874" s="115"/>
      <c r="AH874" s="115"/>
      <c r="AI874" s="115"/>
      <c r="AJ874" s="115"/>
      <c r="AK874" s="115"/>
      <c r="AL874" s="115"/>
      <c r="AM874" s="115"/>
      <c r="AN874" s="115"/>
      <c r="AO874" s="115"/>
      <c r="AP874" s="115"/>
      <c r="AQ874" s="17"/>
      <c r="AR874" s="13"/>
      <c r="AV874" s="117"/>
      <c r="AW874" s="116"/>
      <c r="AX874" s="116"/>
      <c r="AY874" s="116"/>
    </row>
    <row r="875" spans="2:51" ht="19.5" x14ac:dyDescent="0.4"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22"/>
      <c r="AA875" s="122"/>
      <c r="AB875" s="122"/>
      <c r="AC875" s="115"/>
      <c r="AD875" s="115"/>
      <c r="AE875" s="115"/>
      <c r="AF875" s="115"/>
      <c r="AG875" s="115"/>
      <c r="AH875" s="115"/>
      <c r="AI875" s="115"/>
      <c r="AJ875" s="115"/>
      <c r="AK875" s="115"/>
      <c r="AL875" s="115"/>
      <c r="AM875" s="115"/>
      <c r="AN875" s="115"/>
      <c r="AO875" s="115"/>
      <c r="AP875" s="115"/>
      <c r="AQ875" s="26"/>
      <c r="AR875" s="15"/>
      <c r="AV875" s="117"/>
      <c r="AW875" s="116"/>
      <c r="AX875" s="116"/>
      <c r="AY875" s="116"/>
    </row>
    <row r="876" spans="2:51" ht="19.5" x14ac:dyDescent="0.4"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22"/>
      <c r="AA876" s="122"/>
      <c r="AB876" s="122"/>
      <c r="AC876" s="115"/>
      <c r="AD876" s="115"/>
      <c r="AE876" s="115"/>
      <c r="AF876" s="115"/>
      <c r="AG876" s="115"/>
      <c r="AH876" s="115"/>
      <c r="AI876" s="115"/>
      <c r="AJ876" s="115"/>
      <c r="AK876" s="115"/>
      <c r="AL876" s="115"/>
      <c r="AM876" s="115"/>
      <c r="AN876" s="115"/>
      <c r="AO876" s="115"/>
      <c r="AP876" s="115"/>
      <c r="AQ876" s="17"/>
      <c r="AR876" s="15"/>
      <c r="AV876" s="117"/>
      <c r="AW876" s="116"/>
      <c r="AX876" s="116"/>
      <c r="AY876" s="116"/>
    </row>
    <row r="877" spans="2:51" ht="19.5" x14ac:dyDescent="0.4"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22"/>
      <c r="AA877" s="122"/>
      <c r="AB877" s="122"/>
      <c r="AC877" s="115"/>
      <c r="AD877" s="115"/>
      <c r="AE877" s="115"/>
      <c r="AF877" s="115"/>
      <c r="AG877" s="115"/>
      <c r="AH877" s="115"/>
      <c r="AI877" s="115"/>
      <c r="AJ877" s="115"/>
      <c r="AK877" s="115"/>
      <c r="AL877" s="115"/>
      <c r="AM877" s="115"/>
      <c r="AN877" s="115"/>
      <c r="AO877" s="115"/>
      <c r="AP877" s="115"/>
      <c r="AQ877" s="26"/>
      <c r="AR877" s="105"/>
      <c r="AV877" s="117"/>
      <c r="AW877" s="116"/>
      <c r="AX877" s="116"/>
      <c r="AY877" s="116"/>
    </row>
    <row r="878" spans="2:51" ht="19.5" x14ac:dyDescent="0.4"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22"/>
      <c r="AA878" s="122"/>
      <c r="AB878" s="122"/>
      <c r="AC878" s="115"/>
      <c r="AD878" s="115"/>
      <c r="AE878" s="115"/>
      <c r="AF878" s="115"/>
      <c r="AG878" s="115"/>
      <c r="AH878" s="115"/>
      <c r="AI878" s="115"/>
      <c r="AJ878" s="115"/>
      <c r="AK878" s="115"/>
      <c r="AL878" s="115"/>
      <c r="AM878" s="115"/>
      <c r="AN878" s="115"/>
      <c r="AO878" s="115"/>
      <c r="AP878" s="115"/>
      <c r="AQ878" s="17"/>
      <c r="AR878" s="15"/>
      <c r="AV878" s="117"/>
      <c r="AW878" s="116"/>
      <c r="AX878" s="116"/>
      <c r="AY878" s="116"/>
    </row>
    <row r="879" spans="2:51" ht="19.5" x14ac:dyDescent="0.4"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22"/>
      <c r="AA879" s="122"/>
      <c r="AB879" s="122"/>
      <c r="AC879" s="115"/>
      <c r="AD879" s="115"/>
      <c r="AE879" s="115"/>
      <c r="AF879" s="115"/>
      <c r="AG879" s="115"/>
      <c r="AH879" s="115"/>
      <c r="AI879" s="115"/>
      <c r="AJ879" s="115"/>
      <c r="AK879" s="115"/>
      <c r="AL879" s="115"/>
      <c r="AM879" s="115"/>
      <c r="AN879" s="115"/>
      <c r="AO879" s="115"/>
      <c r="AP879" s="115"/>
      <c r="AQ879" s="26"/>
      <c r="AR879" s="15"/>
      <c r="AV879" s="117"/>
      <c r="AW879" s="116"/>
      <c r="AX879" s="116"/>
      <c r="AY879" s="116"/>
    </row>
    <row r="880" spans="2:51" ht="19.5" x14ac:dyDescent="0.4"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22"/>
      <c r="AA880" s="122"/>
      <c r="AB880" s="122"/>
      <c r="AC880" s="115"/>
      <c r="AD880" s="115"/>
      <c r="AE880" s="115"/>
      <c r="AF880" s="115"/>
      <c r="AG880" s="115"/>
      <c r="AH880" s="115"/>
      <c r="AI880" s="115"/>
      <c r="AJ880" s="115"/>
      <c r="AK880" s="115"/>
      <c r="AL880" s="115"/>
      <c r="AM880" s="115"/>
      <c r="AN880" s="115"/>
      <c r="AO880" s="115"/>
      <c r="AP880" s="115"/>
      <c r="AQ880" s="26"/>
      <c r="AR880" s="15"/>
      <c r="AV880" s="117"/>
      <c r="AW880" s="116"/>
      <c r="AX880" s="116"/>
      <c r="AY880" s="116"/>
    </row>
    <row r="881" spans="1:51" ht="19.5" x14ac:dyDescent="0.4">
      <c r="AQ881" s="26"/>
      <c r="AR881" s="15"/>
      <c r="AV881" s="117"/>
      <c r="AW881" s="116"/>
      <c r="AX881" s="116"/>
      <c r="AY881" s="116"/>
    </row>
    <row r="882" spans="1:51" ht="19.5" x14ac:dyDescent="0.4">
      <c r="V882" s="115"/>
      <c r="W882" s="115"/>
      <c r="X882" s="115"/>
      <c r="Y882" s="115"/>
      <c r="Z882" s="122"/>
      <c r="AA882" s="122"/>
      <c r="AB882" s="122"/>
      <c r="AC882" s="115"/>
      <c r="AD882" s="115"/>
      <c r="AE882" s="115"/>
      <c r="AF882" s="115"/>
      <c r="AG882" s="115"/>
      <c r="AH882" s="115"/>
      <c r="AI882" s="115"/>
      <c r="AJ882" s="115"/>
      <c r="AK882" s="115"/>
      <c r="AL882" s="115"/>
      <c r="AM882" s="115"/>
      <c r="AN882" s="115"/>
      <c r="AO882" s="115"/>
      <c r="AP882" s="115"/>
      <c r="AQ882" s="26"/>
      <c r="AR882" s="15"/>
      <c r="AV882" s="117"/>
      <c r="AW882" s="116"/>
      <c r="AX882" s="116"/>
      <c r="AY882" s="116"/>
    </row>
    <row r="883" spans="1:51" ht="19.5" x14ac:dyDescent="0.4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22"/>
      <c r="AA883" s="122"/>
      <c r="AB883" s="122"/>
      <c r="AC883" s="115"/>
      <c r="AD883" s="115"/>
      <c r="AE883" s="115"/>
      <c r="AF883" s="115"/>
      <c r="AG883" s="115"/>
      <c r="AH883" s="115"/>
      <c r="AI883" s="115"/>
      <c r="AJ883" s="115"/>
      <c r="AK883" s="115"/>
      <c r="AL883" s="115"/>
      <c r="AM883" s="115"/>
      <c r="AN883" s="115"/>
      <c r="AO883" s="115"/>
      <c r="AP883" s="115"/>
      <c r="AQ883" s="26"/>
      <c r="AR883" s="15"/>
      <c r="AV883" s="117"/>
      <c r="AW883" s="116"/>
      <c r="AX883" s="116"/>
      <c r="AY883" s="116"/>
    </row>
    <row r="884" spans="1:51" ht="19.5" x14ac:dyDescent="0.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22"/>
      <c r="AA884" s="122"/>
      <c r="AB884" s="122"/>
      <c r="AC884" s="115"/>
      <c r="AD884" s="115"/>
      <c r="AE884" s="115"/>
      <c r="AF884" s="115"/>
      <c r="AG884" s="115"/>
      <c r="AH884" s="115"/>
      <c r="AI884" s="115"/>
      <c r="AJ884" s="115"/>
      <c r="AK884" s="115"/>
      <c r="AL884" s="115"/>
      <c r="AM884" s="115"/>
      <c r="AN884" s="115"/>
      <c r="AO884" s="115"/>
      <c r="AP884" s="115"/>
      <c r="AQ884" s="26"/>
      <c r="AR884" s="15"/>
      <c r="AV884" s="117"/>
      <c r="AW884" s="116"/>
      <c r="AX884" s="116"/>
      <c r="AY884" s="116"/>
    </row>
    <row r="885" spans="1:51" ht="19.5" x14ac:dyDescent="0.4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22"/>
      <c r="AA885" s="122"/>
      <c r="AB885" s="122"/>
      <c r="AC885" s="115"/>
      <c r="AD885" s="115"/>
      <c r="AE885" s="115"/>
      <c r="AF885" s="115"/>
      <c r="AG885" s="115"/>
      <c r="AH885" s="115"/>
      <c r="AI885" s="115"/>
      <c r="AJ885" s="115"/>
      <c r="AK885" s="115"/>
      <c r="AL885" s="115"/>
      <c r="AM885" s="115"/>
      <c r="AN885" s="115"/>
      <c r="AO885" s="115"/>
      <c r="AP885" s="115"/>
      <c r="AQ885" s="17"/>
      <c r="AR885" s="15"/>
      <c r="AV885" s="117"/>
      <c r="AW885" s="116"/>
      <c r="AX885" s="116"/>
      <c r="AY885" s="116"/>
    </row>
    <row r="886" spans="1:51" ht="19.5" x14ac:dyDescent="0.4">
      <c r="AQ886" s="26"/>
      <c r="AR886" s="15"/>
      <c r="AV886" s="117"/>
      <c r="AW886" s="116"/>
      <c r="AX886" s="116"/>
      <c r="AY886" s="116"/>
    </row>
    <row r="887" spans="1:51" ht="19.5" x14ac:dyDescent="0.4">
      <c r="W887" s="115"/>
      <c r="X887" s="115"/>
      <c r="Y887" s="115"/>
      <c r="Z887" s="122"/>
      <c r="AA887" s="122"/>
      <c r="AB887" s="122"/>
      <c r="AC887" s="115"/>
      <c r="AD887" s="115"/>
      <c r="AE887" s="115"/>
      <c r="AF887" s="115"/>
      <c r="AG887" s="115"/>
      <c r="AH887" s="115"/>
      <c r="AI887" s="115"/>
      <c r="AJ887" s="115"/>
      <c r="AK887" s="115"/>
      <c r="AL887" s="115"/>
      <c r="AM887" s="115"/>
      <c r="AN887" s="115"/>
      <c r="AO887" s="115"/>
      <c r="AP887" s="115"/>
      <c r="AQ887" s="17"/>
      <c r="AR887" s="15"/>
      <c r="AV887" s="117"/>
      <c r="AW887" s="116"/>
      <c r="AX887" s="116"/>
      <c r="AY887" s="116"/>
    </row>
    <row r="888" spans="1:51" ht="19.5" x14ac:dyDescent="0.4">
      <c r="V888" s="115"/>
      <c r="W888" s="115"/>
      <c r="X888" s="115"/>
      <c r="Y888" s="115"/>
      <c r="Z888" s="122"/>
      <c r="AA888" s="122"/>
      <c r="AB888" s="122"/>
      <c r="AC888" s="115"/>
      <c r="AD888" s="115"/>
      <c r="AE888" s="115"/>
      <c r="AF888" s="115"/>
      <c r="AG888" s="115"/>
      <c r="AH888" s="115"/>
      <c r="AI888" s="115"/>
      <c r="AJ888" s="115"/>
      <c r="AK888" s="115"/>
      <c r="AL888" s="115"/>
      <c r="AM888" s="115"/>
      <c r="AN888" s="115"/>
      <c r="AO888" s="115"/>
      <c r="AP888" s="115"/>
      <c r="AQ888" s="26"/>
      <c r="AR888" s="15"/>
      <c r="AV888" s="117"/>
      <c r="AW888" s="116"/>
      <c r="AX888" s="116"/>
      <c r="AY888" s="116"/>
    </row>
    <row r="889" spans="1:51" ht="19.5" x14ac:dyDescent="0.4"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22"/>
      <c r="AA889" s="122"/>
      <c r="AB889" s="122"/>
      <c r="AC889" s="115"/>
      <c r="AD889" s="115"/>
      <c r="AE889" s="115"/>
      <c r="AF889" s="115"/>
      <c r="AG889" s="115"/>
      <c r="AH889" s="115"/>
      <c r="AI889" s="115"/>
      <c r="AJ889" s="115"/>
      <c r="AK889" s="115"/>
      <c r="AL889" s="115"/>
      <c r="AM889" s="115"/>
      <c r="AN889" s="115"/>
      <c r="AO889" s="115"/>
      <c r="AP889" s="115"/>
      <c r="AQ889" s="26"/>
      <c r="AR889" s="15"/>
      <c r="AV889" s="117"/>
      <c r="AW889" s="116"/>
      <c r="AX889" s="116"/>
      <c r="AY889" s="116"/>
    </row>
    <row r="890" spans="1:51" ht="19.5" x14ac:dyDescent="0.4"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22"/>
      <c r="AA890" s="122"/>
      <c r="AB890" s="122"/>
      <c r="AC890" s="115"/>
      <c r="AD890" s="115"/>
      <c r="AE890" s="115"/>
      <c r="AF890" s="115"/>
      <c r="AG890" s="115"/>
      <c r="AH890" s="115"/>
      <c r="AI890" s="115"/>
      <c r="AJ890" s="115"/>
      <c r="AK890" s="115"/>
      <c r="AL890" s="115"/>
      <c r="AM890" s="115"/>
      <c r="AN890" s="115"/>
      <c r="AO890" s="115"/>
      <c r="AP890" s="115"/>
      <c r="AQ890" s="26"/>
      <c r="AR890" s="15"/>
      <c r="AV890" s="117"/>
      <c r="AW890" s="116"/>
      <c r="AX890" s="116"/>
      <c r="AY890" s="116"/>
    </row>
    <row r="891" spans="1:51" ht="19.5" x14ac:dyDescent="0.4"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22"/>
      <c r="AA891" s="122"/>
      <c r="AB891" s="122"/>
      <c r="AC891" s="115"/>
      <c r="AD891" s="115"/>
      <c r="AE891" s="115"/>
      <c r="AF891" s="115"/>
      <c r="AG891" s="115"/>
      <c r="AH891" s="115"/>
      <c r="AI891" s="115"/>
      <c r="AJ891" s="115"/>
      <c r="AK891" s="115"/>
      <c r="AL891" s="115"/>
      <c r="AM891" s="115"/>
      <c r="AN891" s="115"/>
      <c r="AO891" s="115"/>
      <c r="AP891" s="115"/>
      <c r="AQ891" s="26"/>
      <c r="AR891" s="15"/>
      <c r="AV891" s="117"/>
      <c r="AW891" s="116"/>
      <c r="AX891" s="116"/>
      <c r="AY891" s="116"/>
    </row>
    <row r="892" spans="1:51" ht="19.5" x14ac:dyDescent="0.4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22"/>
      <c r="AA892" s="122"/>
      <c r="AB892" s="122"/>
      <c r="AC892" s="115"/>
      <c r="AD892" s="115"/>
      <c r="AE892" s="115"/>
      <c r="AF892" s="115"/>
      <c r="AG892" s="115"/>
      <c r="AH892" s="115"/>
      <c r="AI892" s="115"/>
      <c r="AJ892" s="115"/>
      <c r="AK892" s="115"/>
      <c r="AL892" s="115"/>
      <c r="AM892" s="115"/>
      <c r="AN892" s="115"/>
      <c r="AO892" s="115"/>
      <c r="AP892" s="115"/>
      <c r="AQ892" s="26"/>
      <c r="AR892" s="15"/>
      <c r="AV892" s="117"/>
      <c r="AW892" s="116"/>
      <c r="AX892" s="116"/>
      <c r="AY892" s="116"/>
    </row>
    <row r="893" spans="1:51" ht="19.5" x14ac:dyDescent="0.4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22"/>
      <c r="AA893" s="122"/>
      <c r="AB893" s="122"/>
      <c r="AC893" s="115"/>
      <c r="AD893" s="115"/>
      <c r="AE893" s="115"/>
      <c r="AF893" s="115"/>
      <c r="AG893" s="115"/>
      <c r="AH893" s="115"/>
      <c r="AI893" s="115"/>
      <c r="AJ893" s="115"/>
      <c r="AK893" s="115"/>
      <c r="AL893" s="115"/>
      <c r="AM893" s="115"/>
      <c r="AN893" s="115"/>
      <c r="AO893" s="115"/>
      <c r="AP893" s="115"/>
      <c r="AQ893" s="26"/>
      <c r="AR893" s="15"/>
      <c r="AV893" s="117"/>
      <c r="AW893" s="116"/>
      <c r="AX893" s="116"/>
      <c r="AY893" s="116"/>
    </row>
    <row r="894" spans="1:51" ht="19.5" x14ac:dyDescent="0.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22"/>
      <c r="AA894" s="122"/>
      <c r="AB894" s="122"/>
      <c r="AC894" s="115"/>
      <c r="AD894" s="115"/>
      <c r="AE894" s="115"/>
      <c r="AF894" s="115"/>
      <c r="AG894" s="115"/>
      <c r="AH894" s="115"/>
      <c r="AI894" s="115"/>
      <c r="AJ894" s="115"/>
      <c r="AK894" s="115"/>
      <c r="AL894" s="115"/>
      <c r="AM894" s="115"/>
      <c r="AN894" s="115"/>
      <c r="AO894" s="115"/>
      <c r="AP894" s="115"/>
      <c r="AQ894" s="17"/>
      <c r="AR894" s="15"/>
      <c r="AV894" s="117"/>
      <c r="AW894" s="116"/>
      <c r="AX894" s="116"/>
      <c r="AY894" s="116"/>
    </row>
    <row r="895" spans="1:51" ht="19.5" x14ac:dyDescent="0.4">
      <c r="AQ895" s="26"/>
      <c r="AR895" s="15"/>
      <c r="AV895" s="117"/>
      <c r="AW895" s="116"/>
      <c r="AX895" s="116"/>
      <c r="AY895" s="116"/>
    </row>
    <row r="896" spans="1:51" ht="19.5" x14ac:dyDescent="0.4">
      <c r="W896" s="115"/>
      <c r="X896" s="115"/>
      <c r="Y896" s="115"/>
      <c r="Z896" s="122"/>
      <c r="AA896" s="122"/>
      <c r="AB896" s="122"/>
      <c r="AC896" s="115"/>
      <c r="AD896" s="115"/>
      <c r="AE896" s="115"/>
      <c r="AF896" s="115"/>
      <c r="AG896" s="115"/>
      <c r="AH896" s="115"/>
      <c r="AI896" s="115"/>
      <c r="AJ896" s="115"/>
      <c r="AK896" s="115"/>
      <c r="AL896" s="115"/>
      <c r="AM896" s="115"/>
      <c r="AN896" s="115"/>
      <c r="AO896" s="115"/>
      <c r="AP896" s="115"/>
      <c r="AQ896" s="17"/>
      <c r="AR896" s="13"/>
      <c r="AV896" s="117"/>
      <c r="AW896" s="116"/>
      <c r="AX896" s="116"/>
      <c r="AY896" s="116"/>
    </row>
    <row r="897" spans="1:51" ht="19.5" x14ac:dyDescent="0.4">
      <c r="W897" s="115"/>
      <c r="X897" s="115"/>
      <c r="Y897" s="115"/>
      <c r="Z897" s="122"/>
      <c r="AA897" s="122"/>
      <c r="AB897" s="122"/>
      <c r="AC897" s="115"/>
      <c r="AD897" s="115"/>
      <c r="AE897" s="115"/>
      <c r="AF897" s="115"/>
      <c r="AG897" s="115"/>
      <c r="AH897" s="115"/>
      <c r="AI897" s="115"/>
      <c r="AJ897" s="115"/>
      <c r="AK897" s="115"/>
      <c r="AL897" s="115"/>
      <c r="AM897" s="115"/>
      <c r="AN897" s="115"/>
      <c r="AO897" s="115"/>
      <c r="AP897" s="115"/>
      <c r="AQ897" s="17"/>
      <c r="AR897" s="13"/>
      <c r="AV897" s="117"/>
      <c r="AW897" s="116"/>
      <c r="AX897" s="116"/>
      <c r="AY897" s="116"/>
    </row>
    <row r="898" spans="1:51" ht="19.5" x14ac:dyDescent="0.4">
      <c r="AQ898" s="26"/>
      <c r="AR898" s="13"/>
      <c r="AV898" s="117"/>
      <c r="AW898" s="116"/>
      <c r="AX898" s="116"/>
      <c r="AY898" s="116"/>
    </row>
    <row r="899" spans="1:51" ht="19.5" x14ac:dyDescent="0.4">
      <c r="AQ899" s="26"/>
      <c r="AR899" s="13"/>
      <c r="AV899" s="116"/>
      <c r="AW899" s="116"/>
      <c r="AX899" s="116"/>
      <c r="AY899" s="116"/>
    </row>
    <row r="900" spans="1:51" ht="19.5" x14ac:dyDescent="0.4"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22"/>
      <c r="AA900" s="122"/>
      <c r="AB900" s="122"/>
      <c r="AC900" s="115"/>
      <c r="AD900" s="115"/>
      <c r="AE900" s="115"/>
      <c r="AF900" s="115"/>
      <c r="AG900" s="115"/>
      <c r="AH900" s="115"/>
      <c r="AI900" s="115"/>
      <c r="AJ900" s="115"/>
      <c r="AK900" s="115"/>
      <c r="AL900" s="115"/>
      <c r="AM900" s="115"/>
      <c r="AN900" s="115"/>
      <c r="AO900" s="115"/>
      <c r="AP900" s="115"/>
      <c r="AQ900" s="26"/>
      <c r="AR900" s="13"/>
      <c r="AV900" s="118"/>
      <c r="AW900" s="118"/>
      <c r="AX900" s="118"/>
      <c r="AY900" s="118"/>
    </row>
    <row r="901" spans="1:51" ht="19.5" x14ac:dyDescent="0.4"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22"/>
      <c r="AA901" s="122"/>
      <c r="AB901" s="122"/>
      <c r="AC901" s="115"/>
      <c r="AD901" s="115"/>
      <c r="AE901" s="115"/>
      <c r="AF901" s="115"/>
      <c r="AG901" s="115"/>
      <c r="AH901" s="115"/>
      <c r="AI901" s="115"/>
      <c r="AJ901" s="115"/>
      <c r="AK901" s="115"/>
      <c r="AL901" s="115"/>
      <c r="AM901" s="115"/>
      <c r="AN901" s="115"/>
      <c r="AO901" s="115"/>
      <c r="AP901" s="115"/>
      <c r="AQ901" s="26"/>
      <c r="AR901" s="13"/>
      <c r="AV901" s="118"/>
      <c r="AW901" s="118"/>
      <c r="AX901" s="118"/>
      <c r="AY901" s="118"/>
    </row>
    <row r="902" spans="1:51" ht="19.5" x14ac:dyDescent="0.4"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22"/>
      <c r="AA902" s="122"/>
      <c r="AB902" s="122"/>
      <c r="AC902" s="115"/>
      <c r="AD902" s="115"/>
      <c r="AE902" s="115"/>
      <c r="AF902" s="115"/>
      <c r="AG902" s="115"/>
      <c r="AH902" s="115"/>
      <c r="AI902" s="115"/>
      <c r="AJ902" s="115"/>
      <c r="AK902" s="115"/>
      <c r="AL902" s="115"/>
      <c r="AM902" s="115"/>
      <c r="AN902" s="115"/>
      <c r="AO902" s="115"/>
      <c r="AP902" s="115"/>
      <c r="AQ902" s="26"/>
      <c r="AR902" s="13"/>
      <c r="AV902" s="118"/>
      <c r="AW902" s="118"/>
      <c r="AX902" s="118"/>
      <c r="AY902" s="118"/>
    </row>
    <row r="903" spans="1:51" ht="19.5" x14ac:dyDescent="0.4"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22"/>
      <c r="AA903" s="122"/>
      <c r="AB903" s="122"/>
      <c r="AC903" s="115"/>
      <c r="AD903" s="115"/>
      <c r="AE903" s="115"/>
      <c r="AF903" s="115"/>
      <c r="AG903" s="115"/>
      <c r="AH903" s="115"/>
      <c r="AI903" s="115"/>
      <c r="AJ903" s="115"/>
      <c r="AK903" s="115"/>
      <c r="AL903" s="115"/>
      <c r="AM903" s="115"/>
      <c r="AN903" s="115"/>
      <c r="AO903" s="115"/>
      <c r="AP903" s="115"/>
      <c r="AQ903" s="26"/>
      <c r="AR903" s="15"/>
      <c r="AV903" s="118"/>
      <c r="AW903" s="118"/>
      <c r="AX903" s="118"/>
      <c r="AY903" s="118"/>
    </row>
    <row r="904" spans="1:51" ht="19.5" x14ac:dyDescent="0.4"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22"/>
      <c r="AA904" s="122"/>
      <c r="AB904" s="122"/>
      <c r="AC904" s="115"/>
      <c r="AD904" s="115"/>
      <c r="AE904" s="115"/>
      <c r="AF904" s="115"/>
      <c r="AG904" s="115"/>
      <c r="AH904" s="115"/>
      <c r="AI904" s="115"/>
      <c r="AJ904" s="115"/>
      <c r="AK904" s="115"/>
      <c r="AL904" s="115"/>
      <c r="AM904" s="115"/>
      <c r="AN904" s="115"/>
      <c r="AO904" s="115"/>
      <c r="AP904" s="115"/>
      <c r="AQ904" s="26"/>
      <c r="AR904" s="15"/>
      <c r="AV904" s="118"/>
      <c r="AW904" s="118"/>
      <c r="AX904" s="118"/>
      <c r="AY904" s="118"/>
    </row>
    <row r="905" spans="1:51" ht="19.5" x14ac:dyDescent="0.4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22"/>
      <c r="AA905" s="122"/>
      <c r="AB905" s="122"/>
      <c r="AC905" s="115"/>
      <c r="AD905" s="115"/>
      <c r="AE905" s="115"/>
      <c r="AF905" s="115"/>
      <c r="AG905" s="115"/>
      <c r="AH905" s="115"/>
      <c r="AI905" s="115"/>
      <c r="AJ905" s="115"/>
      <c r="AK905" s="115"/>
      <c r="AL905" s="115"/>
      <c r="AM905" s="115"/>
      <c r="AN905" s="115"/>
      <c r="AO905" s="115"/>
      <c r="AP905" s="115"/>
      <c r="AQ905" s="26"/>
      <c r="AR905" s="15"/>
      <c r="AV905" s="118"/>
      <c r="AW905" s="118"/>
      <c r="AX905" s="118"/>
      <c r="AY905" s="118"/>
    </row>
    <row r="906" spans="1:51" ht="19.5" x14ac:dyDescent="0.4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22"/>
      <c r="AA906" s="122"/>
      <c r="AB906" s="122"/>
      <c r="AC906" s="115"/>
      <c r="AD906" s="115"/>
      <c r="AE906" s="115"/>
      <c r="AF906" s="115"/>
      <c r="AG906" s="115"/>
      <c r="AH906" s="115"/>
      <c r="AI906" s="115"/>
      <c r="AJ906" s="115"/>
      <c r="AK906" s="115"/>
      <c r="AL906" s="115"/>
      <c r="AM906" s="115"/>
      <c r="AN906" s="115"/>
      <c r="AO906" s="115"/>
      <c r="AP906" s="115"/>
      <c r="AQ906" s="26"/>
      <c r="AR906" s="15"/>
      <c r="AV906" s="118"/>
      <c r="AW906" s="118"/>
      <c r="AX906" s="118"/>
      <c r="AY906" s="118"/>
    </row>
    <row r="907" spans="1:51" ht="20.25" customHeight="1" x14ac:dyDescent="0.4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22"/>
      <c r="AA907" s="122"/>
      <c r="AB907" s="122"/>
      <c r="AC907" s="115"/>
      <c r="AD907" s="115"/>
      <c r="AE907" s="115"/>
      <c r="AF907" s="115"/>
      <c r="AG907" s="115"/>
      <c r="AH907" s="115"/>
      <c r="AI907" s="115"/>
      <c r="AJ907" s="115"/>
      <c r="AK907" s="115"/>
      <c r="AL907" s="115"/>
      <c r="AM907" s="115"/>
      <c r="AN907" s="115"/>
      <c r="AO907" s="115"/>
      <c r="AP907" s="115"/>
      <c r="AQ907" s="26"/>
      <c r="AR907" s="15"/>
      <c r="AV907" s="118"/>
      <c r="AW907" s="118"/>
      <c r="AX907" s="118"/>
      <c r="AY907" s="118"/>
    </row>
    <row r="908" spans="1:51" x14ac:dyDescent="0.4">
      <c r="AQ908" s="26"/>
      <c r="AR908" s="15"/>
    </row>
    <row r="909" spans="1:51" x14ac:dyDescent="0.4">
      <c r="AQ909" s="26"/>
      <c r="AR909" s="13"/>
    </row>
    <row r="910" spans="1:51" x14ac:dyDescent="0.4">
      <c r="U910" s="115"/>
      <c r="V910" s="115"/>
      <c r="W910" s="115"/>
      <c r="X910" s="115"/>
      <c r="Y910" s="115"/>
      <c r="Z910" s="122"/>
      <c r="AA910" s="122"/>
      <c r="AB910" s="122"/>
      <c r="AC910" s="115"/>
      <c r="AD910" s="115"/>
      <c r="AE910" s="115"/>
      <c r="AF910" s="115"/>
      <c r="AG910" s="115"/>
      <c r="AH910" s="115"/>
      <c r="AI910" s="115"/>
      <c r="AJ910" s="115"/>
      <c r="AK910" s="115"/>
      <c r="AL910" s="115"/>
      <c r="AM910" s="115"/>
      <c r="AN910" s="115"/>
      <c r="AO910" s="115"/>
      <c r="AP910" s="115"/>
      <c r="AQ910" s="26"/>
      <c r="AR910" s="13"/>
    </row>
    <row r="911" spans="1:51" x14ac:dyDescent="0.4">
      <c r="U911" s="115"/>
      <c r="V911" s="115"/>
      <c r="W911" s="115"/>
      <c r="X911" s="115"/>
      <c r="Y911" s="115"/>
      <c r="Z911" s="122"/>
      <c r="AA911" s="122"/>
      <c r="AB911" s="122"/>
      <c r="AC911" s="115"/>
      <c r="AD911" s="115"/>
      <c r="AE911" s="115"/>
      <c r="AF911" s="115"/>
      <c r="AG911" s="115"/>
      <c r="AH911" s="115"/>
      <c r="AI911" s="115"/>
      <c r="AJ911" s="115"/>
      <c r="AK911" s="115"/>
      <c r="AL911" s="115"/>
      <c r="AM911" s="115"/>
      <c r="AN911" s="115"/>
      <c r="AO911" s="115"/>
      <c r="AP911" s="115"/>
      <c r="AQ911" s="17"/>
      <c r="AR911" s="13"/>
    </row>
    <row r="912" spans="1:51" x14ac:dyDescent="0.4"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22"/>
      <c r="AA912" s="122"/>
      <c r="AB912" s="122"/>
      <c r="AC912" s="115"/>
      <c r="AD912" s="115"/>
      <c r="AE912" s="115"/>
      <c r="AF912" s="115"/>
      <c r="AG912" s="115"/>
      <c r="AH912" s="115"/>
      <c r="AI912" s="115"/>
      <c r="AJ912" s="115"/>
      <c r="AK912" s="115"/>
      <c r="AL912" s="115"/>
      <c r="AM912" s="115"/>
      <c r="AN912" s="115"/>
      <c r="AO912" s="115"/>
      <c r="AP912" s="115"/>
      <c r="AQ912" s="26"/>
      <c r="AR912" s="13"/>
    </row>
    <row r="913" spans="1:44" x14ac:dyDescent="0.4"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22"/>
      <c r="AA913" s="122"/>
      <c r="AB913" s="122"/>
      <c r="AC913" s="115"/>
      <c r="AD913" s="115"/>
      <c r="AE913" s="115"/>
      <c r="AF913" s="115"/>
      <c r="AG913" s="115"/>
      <c r="AH913" s="115"/>
      <c r="AI913" s="115"/>
      <c r="AJ913" s="115"/>
      <c r="AK913" s="115"/>
      <c r="AL913" s="115"/>
      <c r="AM913" s="115"/>
      <c r="AN913" s="115"/>
      <c r="AO913" s="115"/>
      <c r="AP913" s="115"/>
      <c r="AQ913" s="26"/>
      <c r="AR913" s="13"/>
    </row>
    <row r="914" spans="1:44" x14ac:dyDescent="0.4">
      <c r="AQ914" s="26"/>
      <c r="AR914" s="13"/>
    </row>
    <row r="915" spans="1:44" x14ac:dyDescent="0.4"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22"/>
      <c r="AA915" s="122"/>
      <c r="AB915" s="122"/>
      <c r="AC915" s="115"/>
      <c r="AD915" s="115"/>
      <c r="AE915" s="115"/>
      <c r="AF915" s="115"/>
      <c r="AG915" s="115"/>
      <c r="AH915" s="115"/>
      <c r="AI915" s="115"/>
      <c r="AJ915" s="115"/>
      <c r="AK915" s="115"/>
      <c r="AL915" s="115"/>
      <c r="AM915" s="115"/>
      <c r="AN915" s="115"/>
      <c r="AO915" s="115"/>
      <c r="AP915" s="115"/>
      <c r="AQ915" s="26"/>
      <c r="AR915" s="13"/>
    </row>
    <row r="916" spans="1:44" x14ac:dyDescent="0.4"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22"/>
      <c r="AA916" s="122"/>
      <c r="AB916" s="122"/>
      <c r="AC916" s="115"/>
      <c r="AD916" s="115"/>
      <c r="AE916" s="115"/>
      <c r="AF916" s="115"/>
      <c r="AG916" s="115"/>
      <c r="AH916" s="115"/>
      <c r="AI916" s="115"/>
      <c r="AJ916" s="115"/>
      <c r="AK916" s="115"/>
      <c r="AL916" s="115"/>
      <c r="AM916" s="115"/>
      <c r="AN916" s="115"/>
      <c r="AO916" s="115"/>
      <c r="AP916" s="115"/>
      <c r="AQ916" s="26"/>
      <c r="AR916" s="13"/>
    </row>
    <row r="917" spans="1:44" x14ac:dyDescent="0.4">
      <c r="AQ917" s="26"/>
      <c r="AR917" s="13"/>
    </row>
    <row r="918" spans="1:44" x14ac:dyDescent="0.4"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22"/>
      <c r="AA918" s="122"/>
      <c r="AB918" s="122"/>
      <c r="AC918" s="115"/>
      <c r="AD918" s="115"/>
      <c r="AE918" s="115"/>
      <c r="AF918" s="115"/>
      <c r="AG918" s="115"/>
      <c r="AH918" s="115"/>
      <c r="AI918" s="115"/>
      <c r="AJ918" s="115"/>
      <c r="AK918" s="115"/>
      <c r="AL918" s="115"/>
      <c r="AM918" s="115"/>
      <c r="AN918" s="115"/>
      <c r="AO918" s="115"/>
      <c r="AP918" s="115"/>
      <c r="AQ918" s="26"/>
      <c r="AR918" s="13"/>
    </row>
    <row r="919" spans="1:44" x14ac:dyDescent="0.4">
      <c r="AQ919" s="26"/>
      <c r="AR919" s="13"/>
    </row>
    <row r="920" spans="1:44" x14ac:dyDescent="0.4">
      <c r="T920" s="115"/>
      <c r="U920" s="115"/>
      <c r="V920" s="115"/>
      <c r="W920" s="115"/>
      <c r="X920" s="115"/>
      <c r="Y920" s="115"/>
      <c r="Z920" s="122"/>
      <c r="AA920" s="122"/>
      <c r="AB920" s="122"/>
      <c r="AC920" s="115"/>
      <c r="AD920" s="115"/>
      <c r="AE920" s="115"/>
      <c r="AF920" s="115"/>
      <c r="AG920" s="115"/>
      <c r="AH920" s="115"/>
      <c r="AI920" s="115"/>
      <c r="AJ920" s="115"/>
      <c r="AK920" s="115"/>
      <c r="AL920" s="115"/>
      <c r="AM920" s="115"/>
      <c r="AN920" s="115"/>
      <c r="AO920" s="115"/>
      <c r="AP920" s="115"/>
      <c r="AQ920" s="26"/>
      <c r="AR920" s="13"/>
    </row>
    <row r="921" spans="1:44" x14ac:dyDescent="0.4">
      <c r="AQ921" s="26"/>
      <c r="AR921" s="13"/>
    </row>
    <row r="922" spans="1:44" x14ac:dyDescent="0.4"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22"/>
      <c r="AA922" s="122"/>
      <c r="AB922" s="122"/>
      <c r="AC922" s="115"/>
      <c r="AD922" s="115"/>
      <c r="AE922" s="115"/>
      <c r="AF922" s="115"/>
      <c r="AG922" s="115"/>
      <c r="AH922" s="115"/>
      <c r="AI922" s="115"/>
      <c r="AJ922" s="115"/>
      <c r="AK922" s="115"/>
      <c r="AL922" s="115"/>
      <c r="AM922" s="115"/>
      <c r="AN922" s="115"/>
      <c r="AO922" s="115"/>
      <c r="AP922" s="115"/>
      <c r="AQ922" s="26"/>
      <c r="AR922" s="15"/>
    </row>
    <row r="923" spans="1:44" x14ac:dyDescent="0.4"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22"/>
      <c r="AA923" s="122"/>
      <c r="AB923" s="122"/>
      <c r="AC923" s="115"/>
      <c r="AD923" s="115"/>
      <c r="AE923" s="115"/>
      <c r="AF923" s="115"/>
      <c r="AG923" s="115"/>
      <c r="AH923" s="115"/>
      <c r="AI923" s="115"/>
      <c r="AJ923" s="115"/>
      <c r="AK923" s="115"/>
      <c r="AL923" s="115"/>
      <c r="AM923" s="115"/>
      <c r="AN923" s="115"/>
      <c r="AO923" s="115"/>
      <c r="AP923" s="115"/>
      <c r="AQ923" s="26"/>
      <c r="AR923" s="15"/>
    </row>
    <row r="924" spans="1:44" x14ac:dyDescent="0.4"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22"/>
      <c r="AA924" s="122"/>
      <c r="AB924" s="122"/>
      <c r="AC924" s="115"/>
      <c r="AD924" s="115"/>
      <c r="AE924" s="115"/>
      <c r="AF924" s="115"/>
      <c r="AG924" s="115"/>
      <c r="AH924" s="115"/>
      <c r="AI924" s="115"/>
      <c r="AJ924" s="115"/>
      <c r="AK924" s="115"/>
      <c r="AL924" s="115"/>
      <c r="AM924" s="115"/>
      <c r="AN924" s="115"/>
      <c r="AO924" s="115"/>
      <c r="AP924" s="115"/>
      <c r="AQ924" s="26"/>
      <c r="AR924" s="15"/>
    </row>
    <row r="925" spans="1:44" x14ac:dyDescent="0.4">
      <c r="AQ925" s="26"/>
      <c r="AR925" s="13"/>
    </row>
    <row r="926" spans="1:44" x14ac:dyDescent="0.4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22"/>
      <c r="AA926" s="122"/>
      <c r="AB926" s="122"/>
      <c r="AC926" s="115"/>
      <c r="AD926" s="115"/>
      <c r="AE926" s="115"/>
      <c r="AF926" s="115"/>
      <c r="AG926" s="115"/>
      <c r="AH926" s="115"/>
      <c r="AI926" s="115"/>
      <c r="AJ926" s="115"/>
      <c r="AK926" s="115"/>
      <c r="AL926" s="115"/>
      <c r="AM926" s="115"/>
      <c r="AN926" s="115"/>
      <c r="AO926" s="115"/>
      <c r="AP926" s="115"/>
      <c r="AQ926" s="26"/>
      <c r="AR926" s="15"/>
    </row>
    <row r="927" spans="1:44" x14ac:dyDescent="0.4">
      <c r="AQ927" s="26"/>
      <c r="AR927" s="15"/>
    </row>
    <row r="928" spans="1:44" x14ac:dyDescent="0.4">
      <c r="AQ928" s="26"/>
      <c r="AR928" s="15"/>
    </row>
    <row r="929" spans="3:44" x14ac:dyDescent="0.4"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22"/>
      <c r="AA929" s="122"/>
      <c r="AB929" s="122"/>
      <c r="AC929" s="115"/>
      <c r="AD929" s="115"/>
      <c r="AE929" s="115"/>
      <c r="AF929" s="115"/>
      <c r="AG929" s="115"/>
      <c r="AH929" s="115"/>
      <c r="AI929" s="115"/>
      <c r="AJ929" s="115"/>
      <c r="AK929" s="115"/>
      <c r="AL929" s="115"/>
      <c r="AM929" s="115"/>
      <c r="AN929" s="115"/>
      <c r="AO929" s="115"/>
      <c r="AP929" s="115"/>
      <c r="AQ929" s="26"/>
      <c r="AR929" s="15"/>
    </row>
    <row r="930" spans="3:44" x14ac:dyDescent="0.4"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22"/>
      <c r="AA930" s="122"/>
      <c r="AB930" s="122"/>
      <c r="AC930" s="115"/>
      <c r="AD930" s="115"/>
      <c r="AE930" s="115"/>
      <c r="AF930" s="115"/>
      <c r="AG930" s="115"/>
      <c r="AH930" s="115"/>
      <c r="AI930" s="115"/>
      <c r="AJ930" s="115"/>
      <c r="AK930" s="115"/>
      <c r="AL930" s="115"/>
      <c r="AM930" s="115"/>
      <c r="AN930" s="115"/>
      <c r="AO930" s="115"/>
      <c r="AP930" s="115"/>
      <c r="AQ930" s="26"/>
      <c r="AR930" s="15"/>
    </row>
    <row r="931" spans="3:44" x14ac:dyDescent="0.4">
      <c r="AQ931" s="26"/>
      <c r="AR931" s="15"/>
    </row>
    <row r="932" spans="3:44" x14ac:dyDescent="0.4">
      <c r="S932" s="115"/>
      <c r="T932" s="115"/>
      <c r="U932" s="115"/>
      <c r="V932" s="115"/>
      <c r="W932" s="115"/>
      <c r="X932" s="115"/>
      <c r="Y932" s="115"/>
      <c r="Z932" s="122"/>
      <c r="AA932" s="122"/>
      <c r="AB932" s="122"/>
      <c r="AC932" s="115"/>
      <c r="AD932" s="115"/>
      <c r="AE932" s="115"/>
      <c r="AF932" s="115"/>
      <c r="AG932" s="115"/>
      <c r="AH932" s="115"/>
      <c r="AI932" s="115"/>
      <c r="AJ932" s="115"/>
      <c r="AK932" s="115"/>
      <c r="AL932" s="115"/>
      <c r="AM932" s="115"/>
      <c r="AN932" s="115"/>
      <c r="AO932" s="115"/>
      <c r="AP932" s="115"/>
      <c r="AQ932" s="26"/>
      <c r="AR932" s="15"/>
    </row>
    <row r="933" spans="3:44" x14ac:dyDescent="0.4"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22"/>
      <c r="AA933" s="122"/>
      <c r="AB933" s="122"/>
      <c r="AC933" s="115"/>
      <c r="AD933" s="115"/>
      <c r="AE933" s="115"/>
      <c r="AF933" s="115"/>
      <c r="AG933" s="115"/>
      <c r="AH933" s="115"/>
      <c r="AI933" s="115"/>
      <c r="AJ933" s="115"/>
      <c r="AK933" s="115"/>
      <c r="AL933" s="115"/>
      <c r="AM933" s="115"/>
      <c r="AN933" s="115"/>
      <c r="AO933" s="115"/>
      <c r="AP933" s="115"/>
      <c r="AQ933" s="26"/>
      <c r="AR933" s="15"/>
    </row>
    <row r="934" spans="3:44" x14ac:dyDescent="0.4"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22"/>
      <c r="AA934" s="122"/>
      <c r="AB934" s="122"/>
      <c r="AC934" s="115"/>
      <c r="AD934" s="115"/>
      <c r="AE934" s="115"/>
      <c r="AF934" s="115"/>
      <c r="AG934" s="115"/>
      <c r="AH934" s="115"/>
      <c r="AI934" s="115"/>
      <c r="AJ934" s="115"/>
      <c r="AK934" s="115"/>
      <c r="AL934" s="115"/>
      <c r="AM934" s="115"/>
      <c r="AN934" s="115"/>
      <c r="AO934" s="115"/>
      <c r="AP934" s="115"/>
      <c r="AQ934" s="26"/>
      <c r="AR934" s="15"/>
    </row>
    <row r="935" spans="3:44" x14ac:dyDescent="0.4"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22"/>
      <c r="AA935" s="122"/>
      <c r="AB935" s="122"/>
      <c r="AC935" s="115"/>
      <c r="AD935" s="115"/>
      <c r="AE935" s="115"/>
      <c r="AF935" s="115"/>
      <c r="AG935" s="115"/>
      <c r="AH935" s="115"/>
      <c r="AI935" s="115"/>
      <c r="AJ935" s="115"/>
      <c r="AK935" s="115"/>
      <c r="AL935" s="115"/>
      <c r="AM935" s="115"/>
      <c r="AN935" s="115"/>
      <c r="AO935" s="115"/>
      <c r="AP935" s="115"/>
      <c r="AQ935" s="26"/>
      <c r="AR935" s="15"/>
    </row>
    <row r="936" spans="3:44" x14ac:dyDescent="0.4"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22"/>
      <c r="AA936" s="122"/>
      <c r="AB936" s="122"/>
      <c r="AC936" s="115"/>
      <c r="AD936" s="115"/>
      <c r="AE936" s="115"/>
      <c r="AF936" s="115"/>
      <c r="AG936" s="115"/>
      <c r="AH936" s="115"/>
      <c r="AI936" s="115"/>
      <c r="AJ936" s="115"/>
      <c r="AK936" s="115"/>
      <c r="AL936" s="115"/>
      <c r="AM936" s="115"/>
      <c r="AN936" s="115"/>
      <c r="AO936" s="115"/>
      <c r="AP936" s="115"/>
      <c r="AQ936" s="26"/>
      <c r="AR936" s="15"/>
    </row>
    <row r="937" spans="3:44" x14ac:dyDescent="0.4">
      <c r="AQ937" s="26"/>
      <c r="AR937" s="15"/>
    </row>
    <row r="938" spans="3:44" x14ac:dyDescent="0.4">
      <c r="V938" s="115"/>
      <c r="W938" s="115"/>
      <c r="X938" s="115"/>
      <c r="Y938" s="115"/>
      <c r="Z938" s="122"/>
      <c r="AA938" s="122"/>
      <c r="AB938" s="122"/>
      <c r="AC938" s="115"/>
      <c r="AD938" s="115"/>
      <c r="AE938" s="115"/>
      <c r="AF938" s="115"/>
      <c r="AG938" s="115"/>
      <c r="AH938" s="115"/>
      <c r="AI938" s="115"/>
      <c r="AJ938" s="115"/>
      <c r="AK938" s="115"/>
      <c r="AL938" s="115"/>
      <c r="AM938" s="115"/>
      <c r="AN938" s="115"/>
      <c r="AO938" s="115"/>
      <c r="AP938" s="115"/>
      <c r="AQ938" s="17"/>
      <c r="AR938" s="15"/>
    </row>
    <row r="939" spans="3:44" x14ac:dyDescent="0.4">
      <c r="AQ939" s="26"/>
      <c r="AR939" s="15"/>
    </row>
    <row r="940" spans="3:44" x14ac:dyDescent="0.4">
      <c r="T940" s="115"/>
      <c r="U940" s="115"/>
      <c r="V940" s="115"/>
      <c r="W940" s="115"/>
      <c r="X940" s="115"/>
      <c r="Y940" s="115"/>
      <c r="Z940" s="122"/>
      <c r="AA940" s="122"/>
      <c r="AB940" s="122"/>
      <c r="AC940" s="115"/>
      <c r="AD940" s="115"/>
      <c r="AE940" s="115"/>
      <c r="AF940" s="115"/>
      <c r="AG940" s="115"/>
      <c r="AH940" s="115"/>
      <c r="AI940" s="115"/>
      <c r="AJ940" s="115"/>
      <c r="AK940" s="115"/>
      <c r="AL940" s="115"/>
      <c r="AM940" s="115"/>
      <c r="AN940" s="115"/>
      <c r="AO940" s="115"/>
      <c r="AP940" s="115"/>
      <c r="AQ940" s="26"/>
      <c r="AR940" s="15"/>
    </row>
    <row r="941" spans="3:44" x14ac:dyDescent="0.4">
      <c r="AQ941" s="26"/>
      <c r="AR941" s="15"/>
    </row>
    <row r="942" spans="3:44" x14ac:dyDescent="0.4">
      <c r="AQ942" s="26"/>
      <c r="AR942" s="15"/>
    </row>
    <row r="943" spans="3:44" x14ac:dyDescent="0.4"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22"/>
      <c r="AA943" s="122"/>
      <c r="AB943" s="122"/>
      <c r="AC943" s="115"/>
      <c r="AD943" s="115"/>
      <c r="AE943" s="115"/>
      <c r="AF943" s="115"/>
      <c r="AG943" s="115"/>
      <c r="AH943" s="115"/>
      <c r="AI943" s="115"/>
      <c r="AJ943" s="115"/>
      <c r="AK943" s="115"/>
      <c r="AL943" s="115"/>
      <c r="AM943" s="115"/>
      <c r="AN943" s="115"/>
      <c r="AO943" s="115"/>
      <c r="AP943" s="115"/>
      <c r="AQ943" s="26"/>
      <c r="AR943" s="15"/>
    </row>
    <row r="944" spans="3:44" x14ac:dyDescent="0.4"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22"/>
      <c r="AA944" s="122"/>
      <c r="AB944" s="122"/>
      <c r="AC944" s="115"/>
      <c r="AD944" s="115"/>
      <c r="AE944" s="115"/>
      <c r="AF944" s="115"/>
      <c r="AG944" s="115"/>
      <c r="AH944" s="115"/>
      <c r="AI944" s="115"/>
      <c r="AJ944" s="115"/>
      <c r="AK944" s="115"/>
      <c r="AL944" s="115"/>
      <c r="AM944" s="115"/>
      <c r="AN944" s="115"/>
      <c r="AO944" s="115"/>
      <c r="AP944" s="115"/>
      <c r="AQ944" s="26"/>
      <c r="AR944" s="15"/>
    </row>
    <row r="945" spans="1:44" x14ac:dyDescent="0.4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22"/>
      <c r="AA945" s="122"/>
      <c r="AB945" s="122"/>
      <c r="AC945" s="115"/>
      <c r="AD945" s="115"/>
      <c r="AE945" s="115"/>
      <c r="AF945" s="115"/>
      <c r="AG945" s="115"/>
      <c r="AH945" s="115"/>
      <c r="AI945" s="115"/>
      <c r="AJ945" s="115"/>
      <c r="AK945" s="115"/>
      <c r="AL945" s="115"/>
      <c r="AM945" s="115"/>
      <c r="AN945" s="115"/>
      <c r="AO945" s="115"/>
      <c r="AP945" s="115"/>
      <c r="AQ945" s="26"/>
      <c r="AR945" s="15"/>
    </row>
    <row r="946" spans="1:44" x14ac:dyDescent="0.4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22"/>
      <c r="AA946" s="122"/>
      <c r="AB946" s="122"/>
      <c r="AC946" s="115"/>
      <c r="AD946" s="115"/>
      <c r="AE946" s="115"/>
      <c r="AF946" s="115"/>
      <c r="AG946" s="115"/>
      <c r="AH946" s="115"/>
      <c r="AI946" s="115"/>
      <c r="AJ946" s="115"/>
      <c r="AK946" s="115"/>
      <c r="AL946" s="115"/>
      <c r="AM946" s="115"/>
      <c r="AN946" s="115"/>
      <c r="AO946" s="115"/>
      <c r="AP946" s="115"/>
      <c r="AQ946" s="26"/>
      <c r="AR946" s="15"/>
    </row>
    <row r="947" spans="1:44" x14ac:dyDescent="0.4">
      <c r="AQ947" s="26"/>
      <c r="AR947" s="15"/>
    </row>
    <row r="948" spans="1:44" x14ac:dyDescent="0.4">
      <c r="V948" s="115"/>
      <c r="W948" s="115"/>
      <c r="X948" s="115"/>
      <c r="Y948" s="115"/>
      <c r="Z948" s="122"/>
      <c r="AA948" s="122"/>
      <c r="AB948" s="122"/>
      <c r="AC948" s="115"/>
      <c r="AD948" s="115"/>
      <c r="AE948" s="115"/>
      <c r="AF948" s="115"/>
      <c r="AG948" s="115"/>
      <c r="AH948" s="115"/>
      <c r="AI948" s="115"/>
      <c r="AJ948" s="115"/>
      <c r="AK948" s="115"/>
      <c r="AL948" s="115"/>
      <c r="AM948" s="115"/>
      <c r="AN948" s="115"/>
      <c r="AO948" s="115"/>
      <c r="AP948" s="115"/>
      <c r="AQ948" s="17"/>
      <c r="AR948" s="15"/>
    </row>
    <row r="949" spans="1:44" x14ac:dyDescent="0.4">
      <c r="AQ949" s="26"/>
      <c r="AR949" s="15"/>
    </row>
    <row r="950" spans="1:44" x14ac:dyDescent="0.4"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22"/>
      <c r="AA950" s="122"/>
      <c r="AB950" s="122"/>
      <c r="AC950" s="115"/>
      <c r="AD950" s="115"/>
      <c r="AE950" s="115"/>
      <c r="AF950" s="115"/>
      <c r="AG950" s="115"/>
      <c r="AH950" s="115"/>
      <c r="AI950" s="115"/>
      <c r="AJ950" s="115"/>
      <c r="AK950" s="115"/>
      <c r="AL950" s="115"/>
      <c r="AM950" s="115"/>
      <c r="AN950" s="115"/>
      <c r="AO950" s="115"/>
      <c r="AP950" s="115"/>
      <c r="AQ950" s="26"/>
      <c r="AR950" s="15"/>
    </row>
    <row r="951" spans="1:44" x14ac:dyDescent="0.4"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22"/>
      <c r="AA951" s="122"/>
      <c r="AB951" s="122"/>
      <c r="AC951" s="115"/>
      <c r="AD951" s="115"/>
      <c r="AE951" s="115"/>
      <c r="AF951" s="115"/>
      <c r="AG951" s="115"/>
      <c r="AH951" s="115"/>
      <c r="AI951" s="115"/>
      <c r="AJ951" s="115"/>
      <c r="AK951" s="115"/>
      <c r="AL951" s="115"/>
      <c r="AM951" s="115"/>
      <c r="AN951" s="115"/>
      <c r="AO951" s="115"/>
      <c r="AP951" s="115"/>
      <c r="AQ951" s="26"/>
      <c r="AR951" s="15"/>
    </row>
    <row r="952" spans="1:44" x14ac:dyDescent="0.4"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22"/>
      <c r="AA952" s="122"/>
      <c r="AB952" s="122"/>
      <c r="AC952" s="115"/>
      <c r="AD952" s="115"/>
      <c r="AE952" s="115"/>
      <c r="AF952" s="115"/>
      <c r="AG952" s="115"/>
      <c r="AH952" s="115"/>
      <c r="AI952" s="115"/>
      <c r="AJ952" s="115"/>
      <c r="AK952" s="115"/>
      <c r="AL952" s="115"/>
      <c r="AM952" s="115"/>
      <c r="AN952" s="115"/>
      <c r="AO952" s="115"/>
      <c r="AP952" s="115"/>
      <c r="AQ952" s="17"/>
      <c r="AR952" s="15"/>
    </row>
    <row r="953" spans="1:44" x14ac:dyDescent="0.4">
      <c r="AQ953" s="26"/>
      <c r="AR953" s="15"/>
    </row>
    <row r="954" spans="1:44" x14ac:dyDescent="0.4"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22"/>
      <c r="AA954" s="122"/>
      <c r="AB954" s="122"/>
      <c r="AC954" s="115"/>
      <c r="AD954" s="115"/>
      <c r="AE954" s="115"/>
      <c r="AF954" s="115"/>
      <c r="AG954" s="115"/>
      <c r="AH954" s="115"/>
      <c r="AI954" s="115"/>
      <c r="AJ954" s="115"/>
      <c r="AK954" s="115"/>
      <c r="AL954" s="115"/>
      <c r="AM954" s="115"/>
      <c r="AN954" s="115"/>
      <c r="AO954" s="115"/>
      <c r="AP954" s="115"/>
      <c r="AQ954" s="26"/>
      <c r="AR954" s="15"/>
    </row>
    <row r="955" spans="1:44" x14ac:dyDescent="0.4"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22"/>
      <c r="AA955" s="122"/>
      <c r="AB955" s="122"/>
      <c r="AC955" s="115"/>
      <c r="AD955" s="115"/>
      <c r="AE955" s="115"/>
      <c r="AF955" s="115"/>
      <c r="AG955" s="115"/>
      <c r="AH955" s="115"/>
      <c r="AI955" s="115"/>
      <c r="AJ955" s="115"/>
      <c r="AK955" s="115"/>
      <c r="AL955" s="115"/>
      <c r="AM955" s="115"/>
      <c r="AN955" s="115"/>
      <c r="AO955" s="115"/>
      <c r="AP955" s="115"/>
      <c r="AQ955" s="17"/>
      <c r="AR955" s="15"/>
    </row>
    <row r="956" spans="1:44" x14ac:dyDescent="0.4">
      <c r="AQ956" s="26"/>
      <c r="AR956" s="15"/>
    </row>
    <row r="957" spans="1:44" x14ac:dyDescent="0.4">
      <c r="V957" s="115"/>
      <c r="W957" s="115"/>
      <c r="X957" s="115"/>
      <c r="Y957" s="115"/>
      <c r="Z957" s="122"/>
      <c r="AA957" s="122"/>
      <c r="AB957" s="122"/>
      <c r="AC957" s="115"/>
      <c r="AD957" s="115"/>
      <c r="AE957" s="115"/>
      <c r="AF957" s="115"/>
      <c r="AG957" s="115"/>
      <c r="AH957" s="115"/>
      <c r="AI957" s="115"/>
      <c r="AJ957" s="115"/>
      <c r="AK957" s="115"/>
      <c r="AL957" s="115"/>
      <c r="AM957" s="115"/>
      <c r="AN957" s="115"/>
      <c r="AO957" s="115"/>
      <c r="AP957" s="115"/>
      <c r="AQ957" s="17"/>
      <c r="AR957" s="15"/>
    </row>
    <row r="958" spans="1:44" x14ac:dyDescent="0.4"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22"/>
      <c r="AA958" s="122"/>
      <c r="AB958" s="122"/>
      <c r="AC958" s="115"/>
      <c r="AD958" s="115"/>
      <c r="AE958" s="115"/>
      <c r="AF958" s="115"/>
      <c r="AG958" s="115"/>
      <c r="AH958" s="115"/>
      <c r="AI958" s="115"/>
      <c r="AJ958" s="115"/>
      <c r="AK958" s="115"/>
      <c r="AL958" s="115"/>
      <c r="AM958" s="115"/>
      <c r="AN958" s="115"/>
      <c r="AO958" s="115"/>
      <c r="AP958" s="115"/>
      <c r="AQ958" s="26"/>
      <c r="AR958" s="15"/>
    </row>
    <row r="959" spans="1:44" x14ac:dyDescent="0.4"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22"/>
      <c r="AA959" s="122"/>
      <c r="AB959" s="122"/>
      <c r="AC959" s="115"/>
      <c r="AD959" s="115"/>
      <c r="AE959" s="115"/>
      <c r="AF959" s="115"/>
      <c r="AG959" s="115"/>
      <c r="AH959" s="115"/>
      <c r="AI959" s="115"/>
      <c r="AJ959" s="115"/>
      <c r="AK959" s="115"/>
      <c r="AL959" s="115"/>
      <c r="AM959" s="115"/>
      <c r="AN959" s="115"/>
      <c r="AO959" s="115"/>
      <c r="AP959" s="115"/>
      <c r="AQ959" s="17"/>
      <c r="AR959" s="15"/>
    </row>
    <row r="960" spans="1:44" x14ac:dyDescent="0.4">
      <c r="AQ960" s="26"/>
      <c r="AR960" s="15"/>
    </row>
    <row r="961" spans="3:44" x14ac:dyDescent="0.4">
      <c r="AQ961" s="26"/>
      <c r="AR961" s="15"/>
    </row>
    <row r="962" spans="3:44" x14ac:dyDescent="0.4">
      <c r="U962" s="115"/>
      <c r="V962" s="115"/>
      <c r="W962" s="115"/>
      <c r="X962" s="115"/>
      <c r="Y962" s="115"/>
      <c r="Z962" s="122"/>
      <c r="AA962" s="122"/>
      <c r="AB962" s="122"/>
      <c r="AC962" s="115"/>
      <c r="AD962" s="115"/>
      <c r="AE962" s="115"/>
      <c r="AF962" s="115"/>
      <c r="AG962" s="115"/>
      <c r="AH962" s="115"/>
      <c r="AI962" s="115"/>
      <c r="AJ962" s="115"/>
      <c r="AK962" s="115"/>
      <c r="AL962" s="115"/>
      <c r="AM962" s="115"/>
      <c r="AN962" s="115"/>
      <c r="AO962" s="115"/>
      <c r="AP962" s="115"/>
      <c r="AQ962" s="26"/>
      <c r="AR962" s="15"/>
    </row>
    <row r="963" spans="3:44" x14ac:dyDescent="0.4">
      <c r="S963" s="115"/>
      <c r="T963" s="115"/>
      <c r="U963" s="115"/>
      <c r="V963" s="115"/>
      <c r="W963" s="115"/>
      <c r="X963" s="115"/>
      <c r="Y963" s="115"/>
      <c r="Z963" s="122"/>
      <c r="AA963" s="122"/>
      <c r="AB963" s="122"/>
      <c r="AC963" s="115"/>
      <c r="AD963" s="115"/>
      <c r="AE963" s="115"/>
      <c r="AF963" s="115"/>
      <c r="AG963" s="115"/>
      <c r="AH963" s="115"/>
      <c r="AI963" s="115"/>
      <c r="AJ963" s="115"/>
      <c r="AK963" s="115"/>
      <c r="AL963" s="115"/>
      <c r="AM963" s="115"/>
      <c r="AN963" s="115"/>
      <c r="AO963" s="115"/>
      <c r="AP963" s="115"/>
      <c r="AQ963" s="26"/>
      <c r="AR963" s="15"/>
    </row>
    <row r="964" spans="3:44" x14ac:dyDescent="0.4">
      <c r="S964" s="115"/>
      <c r="T964" s="115"/>
      <c r="U964" s="115"/>
      <c r="V964" s="115"/>
      <c r="W964" s="115"/>
      <c r="X964" s="115"/>
      <c r="Y964" s="115"/>
      <c r="Z964" s="122"/>
      <c r="AA964" s="122"/>
      <c r="AB964" s="122"/>
      <c r="AC964" s="115"/>
      <c r="AD964" s="115"/>
      <c r="AE964" s="115"/>
      <c r="AF964" s="115"/>
      <c r="AG964" s="115"/>
      <c r="AH964" s="115"/>
      <c r="AI964" s="115"/>
      <c r="AJ964" s="115"/>
      <c r="AK964" s="115"/>
      <c r="AL964" s="115"/>
      <c r="AM964" s="115"/>
      <c r="AN964" s="115"/>
      <c r="AO964" s="115"/>
      <c r="AP964" s="115"/>
      <c r="AQ964" s="26"/>
      <c r="AR964" s="15"/>
    </row>
    <row r="965" spans="3:44" x14ac:dyDescent="0.4"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22"/>
      <c r="AA965" s="122"/>
      <c r="AB965" s="122"/>
      <c r="AC965" s="115"/>
      <c r="AD965" s="115"/>
      <c r="AE965" s="115"/>
      <c r="AF965" s="115"/>
      <c r="AG965" s="115"/>
      <c r="AH965" s="115"/>
      <c r="AI965" s="115"/>
      <c r="AJ965" s="115"/>
      <c r="AK965" s="115"/>
      <c r="AL965" s="115"/>
      <c r="AM965" s="115"/>
      <c r="AN965" s="115"/>
      <c r="AO965" s="115"/>
      <c r="AP965" s="115"/>
      <c r="AQ965" s="26"/>
      <c r="AR965" s="15"/>
    </row>
    <row r="966" spans="3:44" x14ac:dyDescent="0.4"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22"/>
      <c r="AA966" s="122"/>
      <c r="AB966" s="122"/>
      <c r="AC966" s="115"/>
      <c r="AD966" s="115"/>
      <c r="AE966" s="115"/>
      <c r="AF966" s="115"/>
      <c r="AG966" s="115"/>
      <c r="AH966" s="115"/>
      <c r="AI966" s="115"/>
      <c r="AJ966" s="115"/>
      <c r="AK966" s="115"/>
      <c r="AL966" s="115"/>
      <c r="AM966" s="115"/>
      <c r="AN966" s="115"/>
      <c r="AO966" s="115"/>
      <c r="AP966" s="115"/>
      <c r="AQ966" s="26"/>
      <c r="AR966" s="15"/>
    </row>
    <row r="967" spans="3:44" x14ac:dyDescent="0.4">
      <c r="AQ967" s="26"/>
      <c r="AR967" s="15"/>
    </row>
    <row r="968" spans="3:44" x14ac:dyDescent="0.4">
      <c r="U968" s="115"/>
      <c r="V968" s="115"/>
      <c r="W968" s="115"/>
      <c r="X968" s="115"/>
      <c r="Y968" s="115"/>
      <c r="Z968" s="122"/>
      <c r="AA968" s="122"/>
      <c r="AB968" s="122"/>
      <c r="AC968" s="115"/>
      <c r="AD968" s="115"/>
      <c r="AE968" s="115"/>
      <c r="AF968" s="115"/>
      <c r="AG968" s="115"/>
      <c r="AH968" s="115"/>
      <c r="AI968" s="115"/>
      <c r="AJ968" s="115"/>
      <c r="AK968" s="115"/>
      <c r="AL968" s="115"/>
      <c r="AM968" s="115"/>
      <c r="AN968" s="115"/>
      <c r="AO968" s="115"/>
      <c r="AP968" s="115"/>
      <c r="AQ968" s="26"/>
      <c r="AR968" s="15"/>
    </row>
    <row r="969" spans="3:44" x14ac:dyDescent="0.4">
      <c r="AQ969" s="26"/>
      <c r="AR969" s="15"/>
    </row>
    <row r="970" spans="3:44" x14ac:dyDescent="0.4">
      <c r="V970" s="115"/>
      <c r="W970" s="115"/>
      <c r="X970" s="115"/>
      <c r="Y970" s="115"/>
      <c r="Z970" s="122"/>
      <c r="AA970" s="122"/>
      <c r="AB970" s="122"/>
      <c r="AC970" s="115"/>
      <c r="AD970" s="115"/>
      <c r="AE970" s="115"/>
      <c r="AF970" s="115"/>
      <c r="AG970" s="115"/>
      <c r="AH970" s="115"/>
      <c r="AI970" s="115"/>
      <c r="AJ970" s="115"/>
      <c r="AK970" s="115"/>
      <c r="AL970" s="115"/>
      <c r="AM970" s="115"/>
      <c r="AN970" s="115"/>
      <c r="AO970" s="115"/>
      <c r="AP970" s="115"/>
      <c r="AQ970" s="17"/>
      <c r="AR970" s="15"/>
    </row>
    <row r="971" spans="3:44" x14ac:dyDescent="0.4">
      <c r="U971" s="115"/>
      <c r="V971" s="115"/>
      <c r="W971" s="115"/>
      <c r="X971" s="115"/>
      <c r="Y971" s="115"/>
      <c r="Z971" s="122"/>
      <c r="AA971" s="122"/>
      <c r="AB971" s="122"/>
      <c r="AC971" s="115"/>
      <c r="AD971" s="115"/>
      <c r="AE971" s="115"/>
      <c r="AF971" s="115"/>
      <c r="AG971" s="115"/>
      <c r="AH971" s="115"/>
      <c r="AI971" s="115"/>
      <c r="AJ971" s="115"/>
      <c r="AK971" s="115"/>
      <c r="AL971" s="115"/>
      <c r="AM971" s="115"/>
      <c r="AN971" s="115"/>
      <c r="AO971" s="115"/>
      <c r="AP971" s="115"/>
      <c r="AQ971" s="26"/>
      <c r="AR971" s="15"/>
    </row>
    <row r="972" spans="3:44" x14ac:dyDescent="0.4"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22"/>
      <c r="AA972" s="122"/>
      <c r="AB972" s="122"/>
      <c r="AC972" s="115"/>
      <c r="AD972" s="115"/>
      <c r="AE972" s="115"/>
      <c r="AF972" s="115"/>
      <c r="AG972" s="115"/>
      <c r="AH972" s="115"/>
      <c r="AI972" s="115"/>
      <c r="AJ972" s="115"/>
      <c r="AK972" s="115"/>
      <c r="AL972" s="115"/>
      <c r="AM972" s="115"/>
      <c r="AN972" s="115"/>
      <c r="AO972" s="115"/>
      <c r="AP972" s="115"/>
      <c r="AQ972" s="26"/>
      <c r="AR972" s="15"/>
    </row>
    <row r="973" spans="3:44" x14ac:dyDescent="0.4"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22"/>
      <c r="AA973" s="122"/>
      <c r="AB973" s="122"/>
      <c r="AC973" s="115"/>
      <c r="AD973" s="115"/>
      <c r="AE973" s="115"/>
      <c r="AF973" s="115"/>
      <c r="AG973" s="115"/>
      <c r="AH973" s="115"/>
      <c r="AI973" s="115"/>
      <c r="AJ973" s="115"/>
      <c r="AK973" s="115"/>
      <c r="AL973" s="115"/>
      <c r="AM973" s="115"/>
      <c r="AN973" s="115"/>
      <c r="AO973" s="115"/>
      <c r="AP973" s="115"/>
      <c r="AQ973" s="17"/>
      <c r="AR973" s="15"/>
    </row>
    <row r="974" spans="3:44" x14ac:dyDescent="0.4">
      <c r="AQ974" s="26"/>
      <c r="AR974" s="15"/>
    </row>
    <row r="975" spans="3:44" x14ac:dyDescent="0.4">
      <c r="V975" s="115"/>
      <c r="W975" s="115"/>
      <c r="X975" s="115"/>
      <c r="Y975" s="115"/>
      <c r="Z975" s="122"/>
      <c r="AA975" s="122"/>
      <c r="AB975" s="122"/>
      <c r="AC975" s="115"/>
      <c r="AD975" s="115"/>
      <c r="AE975" s="115"/>
      <c r="AF975" s="115"/>
      <c r="AG975" s="115"/>
      <c r="AH975" s="115"/>
      <c r="AI975" s="115"/>
      <c r="AJ975" s="115"/>
      <c r="AK975" s="115"/>
      <c r="AL975" s="115"/>
      <c r="AM975" s="115"/>
      <c r="AN975" s="115"/>
      <c r="AO975" s="115"/>
      <c r="AP975" s="115"/>
      <c r="AQ975" s="17"/>
      <c r="AR975" s="15"/>
    </row>
    <row r="976" spans="3:44" x14ac:dyDescent="0.4">
      <c r="U976" s="115"/>
      <c r="V976" s="115"/>
      <c r="W976" s="115"/>
      <c r="X976" s="115"/>
      <c r="Y976" s="115"/>
      <c r="Z976" s="122"/>
      <c r="AA976" s="122"/>
      <c r="AB976" s="122"/>
      <c r="AC976" s="115"/>
      <c r="AD976" s="115"/>
      <c r="AE976" s="115"/>
      <c r="AF976" s="115"/>
      <c r="AG976" s="115"/>
      <c r="AH976" s="115"/>
      <c r="AI976" s="115"/>
      <c r="AJ976" s="115"/>
      <c r="AK976" s="115"/>
      <c r="AL976" s="115"/>
      <c r="AM976" s="115"/>
      <c r="AN976" s="115"/>
      <c r="AO976" s="115"/>
      <c r="AP976" s="115"/>
      <c r="AQ976" s="26"/>
      <c r="AR976" s="15"/>
    </row>
    <row r="977" spans="4:44" x14ac:dyDescent="0.4">
      <c r="U977" s="115"/>
      <c r="V977" s="115"/>
      <c r="W977" s="115"/>
      <c r="X977" s="115"/>
      <c r="Y977" s="115"/>
      <c r="Z977" s="122"/>
      <c r="AA977" s="122"/>
      <c r="AB977" s="122"/>
      <c r="AC977" s="115"/>
      <c r="AD977" s="115"/>
      <c r="AE977" s="115"/>
      <c r="AF977" s="115"/>
      <c r="AG977" s="115"/>
      <c r="AH977" s="115"/>
      <c r="AI977" s="115"/>
      <c r="AJ977" s="115"/>
      <c r="AK977" s="115"/>
      <c r="AL977" s="115"/>
      <c r="AM977" s="115"/>
      <c r="AN977" s="115"/>
      <c r="AO977" s="115"/>
      <c r="AP977" s="115"/>
      <c r="AQ977" s="17"/>
      <c r="AR977" s="15"/>
    </row>
    <row r="978" spans="4:44" x14ac:dyDescent="0.4">
      <c r="U978" s="115"/>
      <c r="V978" s="115"/>
      <c r="W978" s="115"/>
      <c r="X978" s="115"/>
      <c r="Y978" s="115"/>
      <c r="Z978" s="122"/>
      <c r="AA978" s="122"/>
      <c r="AB978" s="122"/>
      <c r="AC978" s="115"/>
      <c r="AD978" s="115"/>
      <c r="AE978" s="115"/>
      <c r="AF978" s="115"/>
      <c r="AG978" s="115"/>
      <c r="AH978" s="115"/>
      <c r="AI978" s="115"/>
      <c r="AJ978" s="115"/>
      <c r="AK978" s="115"/>
      <c r="AL978" s="115"/>
      <c r="AM978" s="115"/>
      <c r="AN978" s="115"/>
      <c r="AO978" s="115"/>
      <c r="AP978" s="115"/>
      <c r="AQ978" s="17"/>
      <c r="AR978" s="15"/>
    </row>
    <row r="979" spans="4:44" x14ac:dyDescent="0.4"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22"/>
      <c r="AA979" s="122"/>
      <c r="AB979" s="122"/>
      <c r="AC979" s="115"/>
      <c r="AD979" s="115"/>
      <c r="AE979" s="115"/>
      <c r="AF979" s="115"/>
      <c r="AG979" s="115"/>
      <c r="AH979" s="115"/>
      <c r="AI979" s="115"/>
      <c r="AJ979" s="115"/>
      <c r="AK979" s="115"/>
      <c r="AL979" s="115"/>
      <c r="AM979" s="115"/>
      <c r="AN979" s="115"/>
      <c r="AO979" s="115"/>
      <c r="AP979" s="115"/>
      <c r="AQ979" s="26"/>
      <c r="AR979" s="15"/>
    </row>
    <row r="980" spans="4:44" x14ac:dyDescent="0.4"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22"/>
      <c r="AA980" s="122"/>
      <c r="AB980" s="122"/>
      <c r="AC980" s="115"/>
      <c r="AD980" s="115"/>
      <c r="AE980" s="115"/>
      <c r="AF980" s="115"/>
      <c r="AG980" s="115"/>
      <c r="AH980" s="115"/>
      <c r="AI980" s="115"/>
      <c r="AJ980" s="115"/>
      <c r="AK980" s="115"/>
      <c r="AL980" s="115"/>
      <c r="AM980" s="115"/>
      <c r="AN980" s="115"/>
      <c r="AO980" s="115"/>
      <c r="AP980" s="115"/>
      <c r="AQ980" s="26"/>
      <c r="AR980" s="15"/>
    </row>
    <row r="981" spans="4:44" x14ac:dyDescent="0.4"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22"/>
      <c r="AA981" s="122"/>
      <c r="AB981" s="122"/>
      <c r="AC981" s="115"/>
      <c r="AD981" s="115"/>
      <c r="AE981" s="115"/>
      <c r="AF981" s="115"/>
      <c r="AG981" s="115"/>
      <c r="AH981" s="115"/>
      <c r="AI981" s="115"/>
      <c r="AJ981" s="115"/>
      <c r="AK981" s="115"/>
      <c r="AL981" s="115"/>
      <c r="AM981" s="115"/>
      <c r="AN981" s="115"/>
      <c r="AO981" s="115"/>
      <c r="AP981" s="115"/>
      <c r="AQ981" s="26"/>
      <c r="AR981" s="15"/>
    </row>
    <row r="982" spans="4:44" x14ac:dyDescent="0.4"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22"/>
      <c r="AA982" s="122"/>
      <c r="AB982" s="122"/>
      <c r="AC982" s="115"/>
      <c r="AD982" s="115"/>
      <c r="AE982" s="115"/>
      <c r="AF982" s="115"/>
      <c r="AG982" s="115"/>
      <c r="AH982" s="115"/>
      <c r="AI982" s="115"/>
      <c r="AJ982" s="115"/>
      <c r="AK982" s="115"/>
      <c r="AL982" s="115"/>
      <c r="AM982" s="115"/>
      <c r="AN982" s="115"/>
      <c r="AO982" s="115"/>
      <c r="AP982" s="115"/>
      <c r="AQ982" s="26"/>
      <c r="AR982" s="15"/>
    </row>
    <row r="983" spans="4:44" x14ac:dyDescent="0.4"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22"/>
      <c r="AA983" s="122"/>
      <c r="AB983" s="122"/>
      <c r="AC983" s="115"/>
      <c r="AD983" s="115"/>
      <c r="AE983" s="115"/>
      <c r="AF983" s="115"/>
      <c r="AG983" s="115"/>
      <c r="AH983" s="115"/>
      <c r="AI983" s="115"/>
      <c r="AJ983" s="115"/>
      <c r="AK983" s="115"/>
      <c r="AL983" s="115"/>
      <c r="AM983" s="115"/>
      <c r="AN983" s="115"/>
      <c r="AO983" s="115"/>
      <c r="AP983" s="115"/>
      <c r="AQ983" s="26"/>
      <c r="AR983" s="15"/>
    </row>
    <row r="984" spans="4:44" x14ac:dyDescent="0.4"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22"/>
      <c r="AA984" s="122"/>
      <c r="AB984" s="122"/>
      <c r="AC984" s="115"/>
      <c r="AD984" s="115"/>
      <c r="AE984" s="115"/>
      <c r="AF984" s="115"/>
      <c r="AG984" s="115"/>
      <c r="AH984" s="115"/>
      <c r="AI984" s="115"/>
      <c r="AJ984" s="115"/>
      <c r="AK984" s="115"/>
      <c r="AL984" s="115"/>
      <c r="AM984" s="115"/>
      <c r="AN984" s="115"/>
      <c r="AO984" s="115"/>
      <c r="AP984" s="115"/>
      <c r="AQ984" s="17"/>
      <c r="AR984" s="15"/>
    </row>
    <row r="985" spans="4:44" x14ac:dyDescent="0.4">
      <c r="AQ985" s="26"/>
      <c r="AR985" s="15"/>
    </row>
    <row r="986" spans="4:44" x14ac:dyDescent="0.4">
      <c r="U986" s="115"/>
      <c r="V986" s="115"/>
      <c r="W986" s="115"/>
      <c r="X986" s="115"/>
      <c r="Y986" s="115"/>
      <c r="Z986" s="122"/>
      <c r="AA986" s="122"/>
      <c r="AB986" s="122"/>
      <c r="AC986" s="115"/>
      <c r="AD986" s="115"/>
      <c r="AE986" s="115"/>
      <c r="AF986" s="115"/>
      <c r="AG986" s="115"/>
      <c r="AH986" s="115"/>
      <c r="AI986" s="115"/>
      <c r="AJ986" s="115"/>
      <c r="AK986" s="115"/>
      <c r="AL986" s="115"/>
      <c r="AM986" s="115"/>
      <c r="AN986" s="115"/>
      <c r="AO986" s="115"/>
      <c r="AP986" s="115"/>
      <c r="AQ986" s="17"/>
      <c r="AR986" s="13"/>
    </row>
    <row r="987" spans="4:44" x14ac:dyDescent="0.4">
      <c r="U987" s="115"/>
      <c r="V987" s="115"/>
      <c r="W987" s="115"/>
      <c r="X987" s="115"/>
      <c r="Y987" s="115"/>
      <c r="Z987" s="122"/>
      <c r="AA987" s="122"/>
      <c r="AB987" s="122"/>
      <c r="AC987" s="115"/>
      <c r="AD987" s="115"/>
      <c r="AE987" s="115"/>
      <c r="AF987" s="115"/>
      <c r="AG987" s="115"/>
      <c r="AH987" s="115"/>
      <c r="AI987" s="115"/>
      <c r="AJ987" s="115"/>
      <c r="AK987" s="115"/>
      <c r="AL987" s="115"/>
      <c r="AM987" s="115"/>
      <c r="AN987" s="115"/>
      <c r="AO987" s="115"/>
      <c r="AP987" s="115"/>
      <c r="AQ987" s="17"/>
      <c r="AR987" s="13"/>
    </row>
    <row r="988" spans="4:44" x14ac:dyDescent="0.4">
      <c r="S988" s="115"/>
      <c r="T988" s="115"/>
      <c r="U988" s="115"/>
      <c r="V988" s="115"/>
      <c r="W988" s="115"/>
      <c r="X988" s="115"/>
      <c r="Y988" s="115"/>
      <c r="Z988" s="122"/>
      <c r="AA988" s="122"/>
      <c r="AB988" s="122"/>
      <c r="AC988" s="115"/>
      <c r="AD988" s="115"/>
      <c r="AE988" s="115"/>
      <c r="AF988" s="115"/>
      <c r="AG988" s="115"/>
      <c r="AH988" s="115"/>
      <c r="AI988" s="115"/>
      <c r="AJ988" s="115"/>
      <c r="AK988" s="115"/>
      <c r="AL988" s="115"/>
      <c r="AM988" s="115"/>
      <c r="AN988" s="115"/>
      <c r="AO988" s="115"/>
      <c r="AP988" s="115"/>
      <c r="AQ988" s="26"/>
      <c r="AR988" s="13"/>
    </row>
    <row r="989" spans="4:44" x14ac:dyDescent="0.4">
      <c r="S989" s="115"/>
      <c r="T989" s="115"/>
      <c r="U989" s="115"/>
      <c r="V989" s="115"/>
      <c r="W989" s="115"/>
      <c r="X989" s="115"/>
      <c r="Y989" s="115"/>
      <c r="Z989" s="122"/>
      <c r="AA989" s="122"/>
      <c r="AB989" s="122"/>
      <c r="AC989" s="115"/>
      <c r="AD989" s="115"/>
      <c r="AE989" s="115"/>
      <c r="AF989" s="115"/>
      <c r="AG989" s="115"/>
      <c r="AH989" s="115"/>
      <c r="AI989" s="115"/>
      <c r="AJ989" s="115"/>
      <c r="AK989" s="115"/>
      <c r="AL989" s="115"/>
      <c r="AM989" s="115"/>
      <c r="AN989" s="115"/>
      <c r="AO989" s="115"/>
      <c r="AP989" s="115"/>
      <c r="AQ989" s="17"/>
      <c r="AR989" s="13"/>
    </row>
    <row r="990" spans="4:44" x14ac:dyDescent="0.4">
      <c r="AQ990" s="26"/>
      <c r="AR990" s="13"/>
    </row>
    <row r="991" spans="4:44" x14ac:dyDescent="0.4">
      <c r="T991" s="115"/>
      <c r="U991" s="115"/>
      <c r="V991" s="115"/>
      <c r="W991" s="115"/>
      <c r="X991" s="115"/>
      <c r="Y991" s="115"/>
      <c r="Z991" s="122"/>
      <c r="AA991" s="122"/>
      <c r="AB991" s="122"/>
      <c r="AC991" s="115"/>
      <c r="AD991" s="115"/>
      <c r="AE991" s="115"/>
      <c r="AF991" s="115"/>
      <c r="AG991" s="115"/>
      <c r="AH991" s="115"/>
      <c r="AI991" s="115"/>
      <c r="AJ991" s="115"/>
      <c r="AK991" s="115"/>
      <c r="AL991" s="115"/>
      <c r="AM991" s="115"/>
      <c r="AN991" s="115"/>
      <c r="AO991" s="115"/>
      <c r="AP991" s="115"/>
      <c r="AQ991" s="17"/>
      <c r="AR991" s="13"/>
    </row>
    <row r="992" spans="4:44" x14ac:dyDescent="0.4">
      <c r="AQ992" s="26"/>
      <c r="AR992" s="13"/>
    </row>
    <row r="993" spans="3:44" x14ac:dyDescent="0.4">
      <c r="AQ993" s="26"/>
      <c r="AR993" s="13"/>
    </row>
    <row r="994" spans="3:44" x14ac:dyDescent="0.4"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22"/>
      <c r="AA994" s="122"/>
      <c r="AB994" s="122"/>
      <c r="AC994" s="115"/>
      <c r="AD994" s="115"/>
      <c r="AE994" s="115"/>
      <c r="AF994" s="115"/>
      <c r="AG994" s="115"/>
      <c r="AH994" s="115"/>
      <c r="AI994" s="115"/>
      <c r="AJ994" s="115"/>
      <c r="AK994" s="115"/>
      <c r="AL994" s="115"/>
      <c r="AM994" s="115"/>
      <c r="AN994" s="115"/>
      <c r="AO994" s="115"/>
      <c r="AP994" s="115"/>
      <c r="AQ994" s="26"/>
      <c r="AR994" s="13"/>
    </row>
    <row r="995" spans="3:44" x14ac:dyDescent="0.4"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22"/>
      <c r="AA995" s="122"/>
      <c r="AB995" s="122"/>
      <c r="AC995" s="115"/>
      <c r="AD995" s="115"/>
      <c r="AE995" s="115"/>
      <c r="AF995" s="115"/>
      <c r="AG995" s="115"/>
      <c r="AH995" s="115"/>
      <c r="AI995" s="115"/>
      <c r="AJ995" s="115"/>
      <c r="AK995" s="115"/>
      <c r="AL995" s="115"/>
      <c r="AM995" s="115"/>
      <c r="AN995" s="115"/>
      <c r="AO995" s="115"/>
      <c r="AP995" s="115"/>
      <c r="AQ995" s="26"/>
      <c r="AR995" s="13"/>
    </row>
    <row r="996" spans="3:44" x14ac:dyDescent="0.4">
      <c r="AQ996" s="26"/>
      <c r="AR996" s="13"/>
    </row>
    <row r="997" spans="3:44" x14ac:dyDescent="0.4">
      <c r="AQ997" s="26"/>
      <c r="AR997" s="13"/>
    </row>
    <row r="998" spans="3:44" x14ac:dyDescent="0.4"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22"/>
      <c r="AA998" s="122"/>
      <c r="AB998" s="122"/>
      <c r="AC998" s="115"/>
      <c r="AD998" s="115"/>
      <c r="AE998" s="115"/>
      <c r="AF998" s="115"/>
      <c r="AG998" s="115"/>
      <c r="AH998" s="115"/>
      <c r="AI998" s="115"/>
      <c r="AJ998" s="115"/>
      <c r="AK998" s="115"/>
      <c r="AL998" s="115"/>
      <c r="AM998" s="115"/>
      <c r="AN998" s="115"/>
      <c r="AO998" s="115"/>
      <c r="AP998" s="115"/>
      <c r="AQ998" s="26"/>
      <c r="AR998" s="13"/>
    </row>
    <row r="999" spans="3:44" x14ac:dyDescent="0.4">
      <c r="AQ999" s="26"/>
      <c r="AR999" s="105"/>
    </row>
    <row r="1000" spans="3:44" x14ac:dyDescent="0.4"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22"/>
      <c r="AA1000" s="122"/>
      <c r="AB1000" s="122"/>
      <c r="AC1000" s="115"/>
      <c r="AD1000" s="115"/>
      <c r="AE1000" s="115"/>
      <c r="AF1000" s="115"/>
      <c r="AG1000" s="115"/>
      <c r="AH1000" s="115"/>
      <c r="AI1000" s="115"/>
      <c r="AJ1000" s="115"/>
      <c r="AK1000" s="115"/>
      <c r="AL1000" s="115"/>
      <c r="AM1000" s="115"/>
      <c r="AN1000" s="115"/>
      <c r="AO1000" s="115"/>
      <c r="AP1000" s="115"/>
      <c r="AQ1000" s="26"/>
      <c r="AR1000" s="15"/>
    </row>
    <row r="1001" spans="3:44" x14ac:dyDescent="0.4"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22"/>
      <c r="AA1001" s="122"/>
      <c r="AB1001" s="122"/>
      <c r="AC1001" s="115"/>
      <c r="AD1001" s="115"/>
      <c r="AE1001" s="115"/>
      <c r="AF1001" s="115"/>
      <c r="AG1001" s="115"/>
      <c r="AH1001" s="115"/>
      <c r="AI1001" s="115"/>
      <c r="AJ1001" s="115"/>
      <c r="AK1001" s="115"/>
      <c r="AL1001" s="115"/>
      <c r="AM1001" s="115"/>
      <c r="AN1001" s="115"/>
      <c r="AO1001" s="115"/>
      <c r="AP1001" s="115"/>
      <c r="AQ1001" s="17"/>
      <c r="AR1001" s="15"/>
    </row>
    <row r="1002" spans="3:44" x14ac:dyDescent="0.4">
      <c r="AQ1002" s="26"/>
      <c r="AR1002" s="15"/>
    </row>
    <row r="1003" spans="3:44" x14ac:dyDescent="0.4"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22"/>
      <c r="AA1003" s="122"/>
      <c r="AB1003" s="122"/>
      <c r="AC1003" s="115"/>
      <c r="AD1003" s="115"/>
      <c r="AE1003" s="115"/>
      <c r="AF1003" s="115"/>
      <c r="AG1003" s="115"/>
      <c r="AH1003" s="115"/>
      <c r="AI1003" s="115"/>
      <c r="AJ1003" s="115"/>
      <c r="AK1003" s="115"/>
      <c r="AL1003" s="115"/>
      <c r="AM1003" s="115"/>
      <c r="AN1003" s="115"/>
      <c r="AO1003" s="115"/>
      <c r="AP1003" s="115"/>
      <c r="AQ1003" s="26"/>
      <c r="AR1003" s="15"/>
    </row>
    <row r="1004" spans="3:44" x14ac:dyDescent="0.4"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22"/>
      <c r="AA1004" s="122"/>
      <c r="AB1004" s="122"/>
      <c r="AC1004" s="115"/>
      <c r="AD1004" s="115"/>
      <c r="AE1004" s="115"/>
      <c r="AF1004" s="115"/>
      <c r="AG1004" s="115"/>
      <c r="AH1004" s="115"/>
      <c r="AI1004" s="115"/>
      <c r="AJ1004" s="115"/>
      <c r="AK1004" s="115"/>
      <c r="AL1004" s="115"/>
      <c r="AM1004" s="115"/>
      <c r="AN1004" s="115"/>
      <c r="AO1004" s="115"/>
      <c r="AP1004" s="115"/>
      <c r="AQ1004" s="26"/>
      <c r="AR1004" s="15"/>
    </row>
    <row r="1005" spans="3:44" x14ac:dyDescent="0.4"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22"/>
      <c r="AA1005" s="122"/>
      <c r="AB1005" s="122"/>
      <c r="AC1005" s="115"/>
      <c r="AD1005" s="115"/>
      <c r="AE1005" s="115"/>
      <c r="AF1005" s="115"/>
      <c r="AG1005" s="115"/>
      <c r="AH1005" s="115"/>
      <c r="AI1005" s="115"/>
      <c r="AJ1005" s="115"/>
      <c r="AK1005" s="115"/>
      <c r="AL1005" s="115"/>
      <c r="AM1005" s="115"/>
      <c r="AN1005" s="115"/>
      <c r="AO1005" s="115"/>
      <c r="AP1005" s="115"/>
      <c r="AQ1005" s="26"/>
      <c r="AR1005" s="13"/>
    </row>
    <row r="1006" spans="3:44" x14ac:dyDescent="0.4">
      <c r="AQ1006" s="26"/>
      <c r="AR1006" s="15"/>
    </row>
    <row r="1007" spans="3:44" x14ac:dyDescent="0.4"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22"/>
      <c r="AA1007" s="122"/>
      <c r="AB1007" s="122"/>
      <c r="AC1007" s="115"/>
      <c r="AD1007" s="115"/>
      <c r="AE1007" s="115"/>
      <c r="AF1007" s="115"/>
      <c r="AG1007" s="115"/>
      <c r="AH1007" s="115"/>
      <c r="AI1007" s="115"/>
      <c r="AJ1007" s="115"/>
      <c r="AK1007" s="115"/>
      <c r="AL1007" s="115"/>
      <c r="AM1007" s="115"/>
      <c r="AN1007" s="115"/>
      <c r="AO1007" s="115"/>
      <c r="AP1007" s="115"/>
      <c r="AQ1007" s="26"/>
      <c r="AR1007" s="15"/>
    </row>
    <row r="1008" spans="3:44" x14ac:dyDescent="0.4"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22"/>
      <c r="AA1008" s="122"/>
      <c r="AB1008" s="122"/>
      <c r="AC1008" s="115"/>
      <c r="AD1008" s="115"/>
      <c r="AE1008" s="115"/>
      <c r="AF1008" s="115"/>
      <c r="AG1008" s="115"/>
      <c r="AH1008" s="115"/>
      <c r="AI1008" s="115"/>
      <c r="AJ1008" s="115"/>
      <c r="AK1008" s="115"/>
      <c r="AL1008" s="115"/>
      <c r="AM1008" s="115"/>
      <c r="AN1008" s="115"/>
      <c r="AO1008" s="115"/>
      <c r="AP1008" s="115"/>
      <c r="AQ1008" s="26"/>
      <c r="AR1008" s="15"/>
    </row>
    <row r="1009" spans="2:44" x14ac:dyDescent="0.4"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22"/>
      <c r="AA1009" s="122"/>
      <c r="AB1009" s="122"/>
      <c r="AC1009" s="115"/>
      <c r="AD1009" s="115"/>
      <c r="AE1009" s="115"/>
      <c r="AF1009" s="115"/>
      <c r="AG1009" s="115"/>
      <c r="AH1009" s="115"/>
      <c r="AI1009" s="115"/>
      <c r="AJ1009" s="115"/>
      <c r="AK1009" s="115"/>
      <c r="AL1009" s="115"/>
      <c r="AM1009" s="115"/>
      <c r="AN1009" s="115"/>
      <c r="AO1009" s="115"/>
      <c r="AP1009" s="115"/>
      <c r="AQ1009" s="26"/>
      <c r="AR1009" s="15"/>
    </row>
    <row r="1010" spans="2:44" x14ac:dyDescent="0.4"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22"/>
      <c r="AA1010" s="122"/>
      <c r="AB1010" s="122"/>
      <c r="AC1010" s="115"/>
      <c r="AD1010" s="115"/>
      <c r="AE1010" s="115"/>
      <c r="AF1010" s="115"/>
      <c r="AG1010" s="115"/>
      <c r="AH1010" s="115"/>
      <c r="AI1010" s="115"/>
      <c r="AJ1010" s="115"/>
      <c r="AK1010" s="115"/>
      <c r="AL1010" s="115"/>
      <c r="AM1010" s="115"/>
      <c r="AN1010" s="115"/>
      <c r="AO1010" s="115"/>
      <c r="AP1010" s="115"/>
      <c r="AQ1010" s="26"/>
      <c r="AR1010" s="15"/>
    </row>
    <row r="1011" spans="2:44" x14ac:dyDescent="0.4"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22"/>
      <c r="AA1011" s="122"/>
      <c r="AB1011" s="122"/>
      <c r="AC1011" s="115"/>
      <c r="AD1011" s="115"/>
      <c r="AE1011" s="115"/>
      <c r="AF1011" s="115"/>
      <c r="AG1011" s="115"/>
      <c r="AH1011" s="115"/>
      <c r="AI1011" s="115"/>
      <c r="AJ1011" s="115"/>
      <c r="AK1011" s="115"/>
      <c r="AL1011" s="115"/>
      <c r="AM1011" s="115"/>
      <c r="AN1011" s="115"/>
      <c r="AO1011" s="115"/>
      <c r="AP1011" s="115"/>
      <c r="AQ1011" s="26"/>
      <c r="AR1011" s="15"/>
    </row>
    <row r="1012" spans="2:44" x14ac:dyDescent="0.4"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22"/>
      <c r="AA1012" s="122"/>
      <c r="AB1012" s="122"/>
      <c r="AC1012" s="115"/>
      <c r="AD1012" s="115"/>
      <c r="AE1012" s="115"/>
      <c r="AF1012" s="115"/>
      <c r="AG1012" s="115"/>
      <c r="AH1012" s="115"/>
      <c r="AI1012" s="115"/>
      <c r="AJ1012" s="115"/>
      <c r="AK1012" s="115"/>
      <c r="AL1012" s="115"/>
      <c r="AM1012" s="115"/>
      <c r="AN1012" s="115"/>
      <c r="AO1012" s="115"/>
      <c r="AP1012" s="115"/>
      <c r="AQ1012" s="26"/>
      <c r="AR1012" s="15"/>
    </row>
    <row r="1013" spans="2:44" ht="19.5" customHeight="1" x14ac:dyDescent="0.4"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22"/>
      <c r="AA1013" s="122"/>
      <c r="AB1013" s="122"/>
      <c r="AC1013" s="115"/>
      <c r="AD1013" s="115"/>
      <c r="AE1013" s="115"/>
      <c r="AF1013" s="115"/>
      <c r="AG1013" s="115"/>
      <c r="AH1013" s="115"/>
      <c r="AI1013" s="115"/>
      <c r="AJ1013" s="115"/>
      <c r="AK1013" s="115"/>
      <c r="AL1013" s="115"/>
      <c r="AM1013" s="115"/>
      <c r="AN1013" s="115"/>
      <c r="AO1013" s="115"/>
      <c r="AP1013" s="115"/>
      <c r="AQ1013" s="26"/>
      <c r="AR1013" s="15"/>
    </row>
    <row r="1014" spans="2:44" ht="19.5" customHeight="1" x14ac:dyDescent="0.4"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22"/>
      <c r="AA1014" s="122"/>
      <c r="AB1014" s="122"/>
      <c r="AC1014" s="115"/>
      <c r="AD1014" s="115"/>
      <c r="AE1014" s="115"/>
      <c r="AF1014" s="115"/>
      <c r="AG1014" s="115"/>
      <c r="AH1014" s="115"/>
      <c r="AI1014" s="115"/>
      <c r="AJ1014" s="115"/>
      <c r="AK1014" s="115"/>
      <c r="AL1014" s="115"/>
      <c r="AM1014" s="115"/>
      <c r="AN1014" s="115"/>
      <c r="AO1014" s="115"/>
      <c r="AP1014" s="115"/>
      <c r="AQ1014" s="26"/>
      <c r="AR1014" s="15"/>
    </row>
    <row r="1015" spans="2:44" x14ac:dyDescent="0.4">
      <c r="AQ1015" s="26"/>
      <c r="AR1015" s="15"/>
    </row>
    <row r="1016" spans="2:44" x14ac:dyDescent="0.4"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22"/>
      <c r="AA1016" s="122"/>
      <c r="AB1016" s="122"/>
      <c r="AC1016" s="115"/>
      <c r="AD1016" s="115"/>
      <c r="AE1016" s="115"/>
      <c r="AF1016" s="115"/>
      <c r="AG1016" s="115"/>
      <c r="AH1016" s="115"/>
      <c r="AI1016" s="115"/>
      <c r="AJ1016" s="115"/>
      <c r="AK1016" s="115"/>
      <c r="AL1016" s="115"/>
      <c r="AM1016" s="115"/>
      <c r="AN1016" s="115"/>
      <c r="AO1016" s="115"/>
      <c r="AP1016" s="115"/>
      <c r="AQ1016" s="26"/>
      <c r="AR1016" s="15"/>
    </row>
    <row r="1017" spans="2:44" x14ac:dyDescent="0.4"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22"/>
      <c r="AA1017" s="122"/>
      <c r="AB1017" s="122"/>
      <c r="AC1017" s="115"/>
      <c r="AD1017" s="115"/>
      <c r="AE1017" s="115"/>
      <c r="AF1017" s="115"/>
      <c r="AG1017" s="115"/>
      <c r="AH1017" s="115"/>
      <c r="AI1017" s="115"/>
      <c r="AJ1017" s="115"/>
      <c r="AK1017" s="115"/>
      <c r="AL1017" s="115"/>
      <c r="AM1017" s="115"/>
      <c r="AN1017" s="115"/>
      <c r="AO1017" s="115"/>
      <c r="AP1017" s="115"/>
      <c r="AQ1017" s="26"/>
      <c r="AR1017" s="15"/>
    </row>
    <row r="1018" spans="2:44" x14ac:dyDescent="0.4"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22"/>
      <c r="AA1018" s="122"/>
      <c r="AB1018" s="122"/>
      <c r="AC1018" s="115"/>
      <c r="AD1018" s="115"/>
      <c r="AE1018" s="115"/>
      <c r="AF1018" s="115"/>
      <c r="AG1018" s="115"/>
      <c r="AH1018" s="115"/>
      <c r="AI1018" s="115"/>
      <c r="AJ1018" s="115"/>
      <c r="AK1018" s="115"/>
      <c r="AL1018" s="115"/>
      <c r="AM1018" s="115"/>
      <c r="AN1018" s="115"/>
      <c r="AO1018" s="115"/>
      <c r="AP1018" s="115"/>
      <c r="AQ1018" s="17"/>
      <c r="AR1018" s="15"/>
    </row>
    <row r="1019" spans="2:44" x14ac:dyDescent="0.4">
      <c r="AQ1019" s="26"/>
      <c r="AR1019" s="15"/>
    </row>
    <row r="1020" spans="2:44" x14ac:dyDescent="0.4">
      <c r="T1020" s="115"/>
      <c r="U1020" s="115"/>
      <c r="V1020" s="115"/>
      <c r="W1020" s="115"/>
      <c r="X1020" s="115"/>
      <c r="Y1020" s="115"/>
      <c r="Z1020" s="122"/>
      <c r="AA1020" s="122"/>
      <c r="AB1020" s="122"/>
      <c r="AC1020" s="115"/>
      <c r="AD1020" s="115"/>
      <c r="AE1020" s="115"/>
      <c r="AF1020" s="115"/>
      <c r="AG1020" s="115"/>
      <c r="AH1020" s="115"/>
      <c r="AI1020" s="115"/>
      <c r="AJ1020" s="115"/>
      <c r="AK1020" s="115"/>
      <c r="AL1020" s="115"/>
      <c r="AM1020" s="115"/>
      <c r="AN1020" s="115"/>
      <c r="AO1020" s="115"/>
      <c r="AP1020" s="115"/>
      <c r="AQ1020" s="17"/>
      <c r="AR1020" s="15"/>
    </row>
    <row r="1021" spans="2:44" x14ac:dyDescent="0.4"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22"/>
      <c r="AA1021" s="122"/>
      <c r="AB1021" s="122"/>
      <c r="AC1021" s="115"/>
      <c r="AD1021" s="115"/>
      <c r="AE1021" s="115"/>
      <c r="AF1021" s="115"/>
      <c r="AG1021" s="115"/>
      <c r="AH1021" s="115"/>
      <c r="AI1021" s="115"/>
      <c r="AJ1021" s="115"/>
      <c r="AK1021" s="115"/>
      <c r="AL1021" s="115"/>
      <c r="AM1021" s="115"/>
      <c r="AN1021" s="115"/>
      <c r="AO1021" s="115"/>
      <c r="AP1021" s="115"/>
      <c r="AQ1021" s="26"/>
      <c r="AR1021" s="15"/>
    </row>
    <row r="1022" spans="2:44" x14ac:dyDescent="0.4">
      <c r="AQ1022" s="26"/>
      <c r="AR1022" s="15"/>
    </row>
    <row r="1023" spans="2:44" x14ac:dyDescent="0.4">
      <c r="AQ1023" s="26"/>
      <c r="AR1023" s="15"/>
    </row>
    <row r="1024" spans="2:44" x14ac:dyDescent="0.4">
      <c r="S1024" s="115"/>
      <c r="T1024" s="115"/>
      <c r="U1024" s="115"/>
      <c r="V1024" s="115"/>
      <c r="W1024" s="115"/>
      <c r="X1024" s="115"/>
      <c r="Y1024" s="115"/>
      <c r="Z1024" s="122"/>
      <c r="AA1024" s="122"/>
      <c r="AB1024" s="122"/>
      <c r="AC1024" s="115"/>
      <c r="AD1024" s="115"/>
      <c r="AE1024" s="115"/>
      <c r="AF1024" s="115"/>
      <c r="AG1024" s="115"/>
      <c r="AH1024" s="115"/>
      <c r="AI1024" s="115"/>
      <c r="AJ1024" s="115"/>
      <c r="AK1024" s="115"/>
      <c r="AL1024" s="115"/>
      <c r="AM1024" s="115"/>
      <c r="AN1024" s="115"/>
      <c r="AO1024" s="115"/>
      <c r="AP1024" s="115"/>
      <c r="AQ1024" s="26"/>
      <c r="AR1024" s="15"/>
    </row>
    <row r="1025" spans="1:44" x14ac:dyDescent="0.4">
      <c r="AQ1025" s="26"/>
      <c r="AR1025" s="15"/>
    </row>
    <row r="1026" spans="1:44" x14ac:dyDescent="0.4">
      <c r="T1026" s="115"/>
      <c r="U1026" s="115"/>
      <c r="V1026" s="115"/>
      <c r="W1026" s="115"/>
      <c r="X1026" s="115"/>
      <c r="Y1026" s="115"/>
      <c r="Z1026" s="122"/>
      <c r="AA1026" s="122"/>
      <c r="AB1026" s="122"/>
      <c r="AC1026" s="115"/>
      <c r="AD1026" s="115"/>
      <c r="AE1026" s="115"/>
      <c r="AF1026" s="115"/>
      <c r="AG1026" s="115"/>
      <c r="AH1026" s="115"/>
      <c r="AI1026" s="115"/>
      <c r="AJ1026" s="115"/>
      <c r="AK1026" s="115"/>
      <c r="AL1026" s="115"/>
      <c r="AM1026" s="115"/>
      <c r="AN1026" s="115"/>
      <c r="AO1026" s="115"/>
      <c r="AP1026" s="115"/>
      <c r="AQ1026" s="17"/>
      <c r="AR1026" s="15"/>
    </row>
    <row r="1027" spans="1:44" x14ac:dyDescent="0.4">
      <c r="A1027" s="115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22"/>
      <c r="AA1027" s="122"/>
      <c r="AB1027" s="122"/>
      <c r="AC1027" s="115"/>
      <c r="AD1027" s="115"/>
      <c r="AE1027" s="115"/>
      <c r="AF1027" s="115"/>
      <c r="AG1027" s="115"/>
      <c r="AH1027" s="115"/>
      <c r="AI1027" s="115"/>
      <c r="AJ1027" s="115"/>
      <c r="AK1027" s="115"/>
      <c r="AL1027" s="115"/>
      <c r="AM1027" s="115"/>
      <c r="AN1027" s="115"/>
      <c r="AO1027" s="115"/>
      <c r="AP1027" s="115"/>
      <c r="AQ1027" s="26"/>
      <c r="AR1027" s="15"/>
    </row>
    <row r="1028" spans="1:44" x14ac:dyDescent="0.4">
      <c r="A1028" s="115"/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22"/>
      <c r="AA1028" s="122"/>
      <c r="AB1028" s="122"/>
      <c r="AC1028" s="115"/>
      <c r="AD1028" s="115"/>
      <c r="AE1028" s="115"/>
      <c r="AF1028" s="115"/>
      <c r="AG1028" s="115"/>
      <c r="AH1028" s="115"/>
      <c r="AI1028" s="115"/>
      <c r="AJ1028" s="115"/>
      <c r="AK1028" s="115"/>
      <c r="AL1028" s="115"/>
      <c r="AM1028" s="115"/>
      <c r="AN1028" s="115"/>
      <c r="AO1028" s="115"/>
      <c r="AP1028" s="115"/>
      <c r="AQ1028" s="17"/>
      <c r="AR1028" s="13"/>
    </row>
    <row r="1029" spans="1:44" x14ac:dyDescent="0.4">
      <c r="A1029" s="115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22"/>
      <c r="AA1029" s="122"/>
      <c r="AB1029" s="122"/>
      <c r="AC1029" s="115"/>
      <c r="AD1029" s="115"/>
      <c r="AE1029" s="115"/>
      <c r="AF1029" s="115"/>
      <c r="AG1029" s="115"/>
      <c r="AH1029" s="115"/>
      <c r="AI1029" s="115"/>
      <c r="AJ1029" s="115"/>
      <c r="AK1029" s="115"/>
      <c r="AL1029" s="115"/>
      <c r="AM1029" s="115"/>
      <c r="AN1029" s="115"/>
      <c r="AO1029" s="115"/>
      <c r="AP1029" s="115"/>
      <c r="AQ1029" s="17"/>
      <c r="AR1029" s="13"/>
    </row>
    <row r="1030" spans="1:44" x14ac:dyDescent="0.4">
      <c r="AQ1030" s="26"/>
      <c r="AR1030" s="13"/>
    </row>
    <row r="1031" spans="1:44" x14ac:dyDescent="0.4"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22"/>
      <c r="AA1031" s="122"/>
      <c r="AB1031" s="122"/>
      <c r="AC1031" s="115"/>
      <c r="AD1031" s="115"/>
      <c r="AE1031" s="115"/>
      <c r="AF1031" s="115"/>
      <c r="AG1031" s="115"/>
      <c r="AH1031" s="115"/>
      <c r="AI1031" s="115"/>
      <c r="AJ1031" s="115"/>
      <c r="AK1031" s="115"/>
      <c r="AL1031" s="115"/>
      <c r="AM1031" s="115"/>
      <c r="AN1031" s="115"/>
      <c r="AO1031" s="115"/>
      <c r="AP1031" s="115"/>
      <c r="AQ1031" s="26"/>
      <c r="AR1031" s="15"/>
    </row>
    <row r="1032" spans="1:44" x14ac:dyDescent="0.4"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22"/>
      <c r="AA1032" s="122"/>
      <c r="AB1032" s="122"/>
      <c r="AC1032" s="115"/>
      <c r="AD1032" s="115"/>
      <c r="AE1032" s="115"/>
      <c r="AF1032" s="115"/>
      <c r="AG1032" s="115"/>
      <c r="AH1032" s="115"/>
      <c r="AI1032" s="115"/>
      <c r="AJ1032" s="115"/>
      <c r="AK1032" s="115"/>
      <c r="AL1032" s="115"/>
      <c r="AM1032" s="115"/>
      <c r="AN1032" s="115"/>
      <c r="AO1032" s="115"/>
      <c r="AP1032" s="115"/>
      <c r="AQ1032" s="26"/>
      <c r="AR1032" s="15"/>
    </row>
    <row r="1033" spans="1:44" x14ac:dyDescent="0.4">
      <c r="AQ1033" s="26"/>
      <c r="AR1033" s="15"/>
    </row>
    <row r="1034" spans="1:44" x14ac:dyDescent="0.4"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22"/>
      <c r="AA1034" s="122"/>
      <c r="AB1034" s="122"/>
      <c r="AC1034" s="115"/>
      <c r="AD1034" s="115"/>
      <c r="AE1034" s="115"/>
      <c r="AF1034" s="115"/>
      <c r="AG1034" s="115"/>
      <c r="AH1034" s="115"/>
      <c r="AI1034" s="115"/>
      <c r="AJ1034" s="115"/>
      <c r="AK1034" s="115"/>
      <c r="AL1034" s="115"/>
      <c r="AM1034" s="115"/>
      <c r="AN1034" s="115"/>
      <c r="AO1034" s="115"/>
      <c r="AP1034" s="115"/>
      <c r="AQ1034" s="26"/>
      <c r="AR1034" s="15"/>
    </row>
    <row r="1035" spans="1:44" x14ac:dyDescent="0.4"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22"/>
      <c r="AA1035" s="122"/>
      <c r="AB1035" s="122"/>
      <c r="AC1035" s="115"/>
      <c r="AD1035" s="115"/>
      <c r="AE1035" s="115"/>
      <c r="AF1035" s="115"/>
      <c r="AG1035" s="115"/>
      <c r="AH1035" s="115"/>
      <c r="AI1035" s="115"/>
      <c r="AJ1035" s="115"/>
      <c r="AK1035" s="115"/>
      <c r="AL1035" s="115"/>
      <c r="AM1035" s="115"/>
      <c r="AN1035" s="115"/>
      <c r="AO1035" s="115"/>
      <c r="AP1035" s="115"/>
      <c r="AQ1035" s="26"/>
      <c r="AR1035" s="15"/>
    </row>
    <row r="1036" spans="1:44" x14ac:dyDescent="0.4">
      <c r="C1036" s="115"/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22"/>
      <c r="AA1036" s="122"/>
      <c r="AB1036" s="122"/>
      <c r="AC1036" s="115"/>
      <c r="AD1036" s="115"/>
      <c r="AE1036" s="115"/>
      <c r="AF1036" s="115"/>
      <c r="AG1036" s="115"/>
      <c r="AH1036" s="115"/>
      <c r="AI1036" s="115"/>
      <c r="AJ1036" s="115"/>
      <c r="AK1036" s="115"/>
      <c r="AL1036" s="115"/>
      <c r="AM1036" s="115"/>
      <c r="AN1036" s="115"/>
      <c r="AO1036" s="115"/>
      <c r="AP1036" s="115"/>
      <c r="AQ1036" s="26"/>
      <c r="AR1036" s="15"/>
    </row>
    <row r="1037" spans="1:44" x14ac:dyDescent="0.4"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22"/>
      <c r="AA1037" s="122"/>
      <c r="AB1037" s="122"/>
      <c r="AC1037" s="115"/>
      <c r="AD1037" s="115"/>
      <c r="AE1037" s="115"/>
      <c r="AF1037" s="115"/>
      <c r="AG1037" s="115"/>
      <c r="AH1037" s="115"/>
      <c r="AI1037" s="115"/>
      <c r="AJ1037" s="115"/>
      <c r="AK1037" s="115"/>
      <c r="AL1037" s="115"/>
      <c r="AM1037" s="115"/>
      <c r="AN1037" s="115"/>
      <c r="AO1037" s="115"/>
      <c r="AP1037" s="115"/>
      <c r="AQ1037" s="26"/>
      <c r="AR1037" s="15"/>
    </row>
    <row r="1038" spans="1:44" x14ac:dyDescent="0.4">
      <c r="AQ1038" s="26"/>
      <c r="AR1038" s="15"/>
    </row>
    <row r="1039" spans="1:44" x14ac:dyDescent="0.4">
      <c r="D1039" s="115"/>
      <c r="E1039" s="115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22"/>
      <c r="AA1039" s="122"/>
      <c r="AB1039" s="122"/>
      <c r="AC1039" s="115"/>
      <c r="AD1039" s="115"/>
      <c r="AE1039" s="115"/>
      <c r="AF1039" s="115"/>
      <c r="AG1039" s="115"/>
      <c r="AH1039" s="115"/>
      <c r="AI1039" s="115"/>
      <c r="AJ1039" s="115"/>
      <c r="AK1039" s="115"/>
      <c r="AL1039" s="115"/>
      <c r="AM1039" s="115"/>
      <c r="AN1039" s="115"/>
      <c r="AO1039" s="115"/>
      <c r="AP1039" s="115"/>
      <c r="AQ1039" s="26"/>
      <c r="AR1039" s="15"/>
    </row>
    <row r="1040" spans="1:44" x14ac:dyDescent="0.4">
      <c r="AQ1040" s="26"/>
      <c r="AR1040" s="15"/>
    </row>
    <row r="1041" spans="1:44" x14ac:dyDescent="0.4">
      <c r="D1041" s="115"/>
      <c r="E1041" s="115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22"/>
      <c r="AA1041" s="122"/>
      <c r="AB1041" s="122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115"/>
      <c r="AM1041" s="115"/>
      <c r="AN1041" s="115"/>
      <c r="AO1041" s="115"/>
      <c r="AP1041" s="115"/>
      <c r="AQ1041" s="26"/>
      <c r="AR1041" s="15"/>
    </row>
    <row r="1042" spans="1:44" x14ac:dyDescent="0.4">
      <c r="D1042" s="115"/>
      <c r="E1042" s="115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22"/>
      <c r="AA1042" s="122"/>
      <c r="AB1042" s="122"/>
      <c r="AC1042" s="115"/>
      <c r="AD1042" s="115"/>
      <c r="AE1042" s="115"/>
      <c r="AF1042" s="115"/>
      <c r="AG1042" s="115"/>
      <c r="AH1042" s="115"/>
      <c r="AI1042" s="115"/>
      <c r="AJ1042" s="115"/>
      <c r="AK1042" s="115"/>
      <c r="AL1042" s="115"/>
      <c r="AM1042" s="115"/>
      <c r="AN1042" s="115"/>
      <c r="AO1042" s="115"/>
      <c r="AP1042" s="115"/>
      <c r="AQ1042" s="26"/>
      <c r="AR1042" s="15"/>
    </row>
    <row r="1043" spans="1:44" x14ac:dyDescent="0.4">
      <c r="D1043" s="115"/>
      <c r="E1043" s="115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22"/>
      <c r="AA1043" s="122"/>
      <c r="AB1043" s="122"/>
      <c r="AC1043" s="115"/>
      <c r="AD1043" s="115"/>
      <c r="AE1043" s="115"/>
      <c r="AF1043" s="115"/>
      <c r="AG1043" s="115"/>
      <c r="AH1043" s="115"/>
      <c r="AI1043" s="115"/>
      <c r="AJ1043" s="115"/>
      <c r="AK1043" s="115"/>
      <c r="AL1043" s="115"/>
      <c r="AM1043" s="115"/>
      <c r="AN1043" s="115"/>
      <c r="AO1043" s="115"/>
      <c r="AP1043" s="115"/>
      <c r="AQ1043" s="17"/>
      <c r="AR1043" s="15"/>
    </row>
    <row r="1044" spans="1:44" x14ac:dyDescent="0.4">
      <c r="AQ1044" s="26"/>
      <c r="AR1044" s="15"/>
    </row>
    <row r="1045" spans="1:44" x14ac:dyDescent="0.4">
      <c r="AQ1045" s="26"/>
      <c r="AR1045" s="15"/>
    </row>
    <row r="1046" spans="1:44" x14ac:dyDescent="0.4">
      <c r="A1046" s="115"/>
      <c r="B1046" s="115"/>
      <c r="C1046" s="115"/>
      <c r="D1046" s="115"/>
      <c r="E1046" s="115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22"/>
      <c r="AA1046" s="122"/>
      <c r="AB1046" s="122"/>
      <c r="AC1046" s="115"/>
      <c r="AD1046" s="115"/>
      <c r="AE1046" s="115"/>
      <c r="AF1046" s="115"/>
      <c r="AG1046" s="115"/>
      <c r="AH1046" s="115"/>
      <c r="AI1046" s="115"/>
      <c r="AJ1046" s="115"/>
      <c r="AK1046" s="115"/>
      <c r="AL1046" s="115"/>
      <c r="AM1046" s="115"/>
      <c r="AN1046" s="115"/>
      <c r="AO1046" s="115"/>
      <c r="AP1046" s="115"/>
      <c r="AQ1046" s="26"/>
      <c r="AR1046" s="15"/>
    </row>
    <row r="1047" spans="1:44" x14ac:dyDescent="0.4">
      <c r="A1047" s="115"/>
      <c r="B1047" s="115"/>
      <c r="C1047" s="115"/>
      <c r="D1047" s="115"/>
      <c r="E1047" s="115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22"/>
      <c r="AA1047" s="122"/>
      <c r="AB1047" s="122"/>
      <c r="AC1047" s="115"/>
      <c r="AD1047" s="115"/>
      <c r="AE1047" s="115"/>
      <c r="AF1047" s="115"/>
      <c r="AG1047" s="115"/>
      <c r="AH1047" s="115"/>
      <c r="AI1047" s="115"/>
      <c r="AJ1047" s="115"/>
      <c r="AK1047" s="115"/>
      <c r="AL1047" s="115"/>
      <c r="AM1047" s="115"/>
      <c r="AN1047" s="115"/>
      <c r="AO1047" s="115"/>
      <c r="AP1047" s="115"/>
      <c r="AQ1047" s="17"/>
      <c r="AR1047" s="15"/>
    </row>
    <row r="1048" spans="1:44" x14ac:dyDescent="0.4">
      <c r="AQ1048" s="26"/>
      <c r="AR1048" s="15"/>
    </row>
    <row r="1049" spans="1:44" ht="17.25" customHeight="1" x14ac:dyDescent="0.4">
      <c r="B1049" s="115"/>
      <c r="C1049" s="115"/>
      <c r="D1049" s="115"/>
      <c r="E1049" s="115"/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22"/>
      <c r="AA1049" s="122"/>
      <c r="AB1049" s="122"/>
      <c r="AC1049" s="115"/>
      <c r="AD1049" s="115"/>
      <c r="AE1049" s="115"/>
      <c r="AF1049" s="115"/>
      <c r="AG1049" s="115"/>
      <c r="AH1049" s="115"/>
      <c r="AI1049" s="115"/>
      <c r="AJ1049" s="115"/>
      <c r="AK1049" s="115"/>
      <c r="AL1049" s="115"/>
      <c r="AM1049" s="115"/>
      <c r="AN1049" s="115"/>
      <c r="AO1049" s="115"/>
      <c r="AP1049" s="115"/>
      <c r="AQ1049" s="26"/>
      <c r="AR1049" s="15"/>
    </row>
    <row r="1050" spans="1:44" x14ac:dyDescent="0.4">
      <c r="AQ1050" s="26"/>
      <c r="AR1050" s="15"/>
    </row>
    <row r="1051" spans="1:44" x14ac:dyDescent="0.4">
      <c r="S1051" s="115"/>
      <c r="T1051" s="115"/>
      <c r="U1051" s="115"/>
      <c r="V1051" s="115"/>
      <c r="W1051" s="115"/>
      <c r="X1051" s="115"/>
      <c r="Y1051" s="115"/>
      <c r="Z1051" s="122"/>
      <c r="AA1051" s="122"/>
      <c r="AB1051" s="122"/>
      <c r="AC1051" s="115"/>
      <c r="AD1051" s="115"/>
      <c r="AE1051" s="115"/>
      <c r="AF1051" s="115"/>
      <c r="AG1051" s="115"/>
      <c r="AH1051" s="115"/>
      <c r="AI1051" s="115"/>
      <c r="AJ1051" s="115"/>
      <c r="AK1051" s="115"/>
      <c r="AL1051" s="115"/>
      <c r="AM1051" s="115"/>
      <c r="AN1051" s="115"/>
      <c r="AO1051" s="115"/>
      <c r="AP1051" s="115"/>
      <c r="AQ1051" s="17"/>
      <c r="AR1051" s="15"/>
    </row>
    <row r="1052" spans="1:44" ht="16.5" customHeight="1" x14ac:dyDescent="0.4">
      <c r="A1052" s="115"/>
      <c r="B1052" s="115"/>
      <c r="C1052" s="115"/>
      <c r="D1052" s="115"/>
      <c r="E1052" s="115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22"/>
      <c r="AA1052" s="122"/>
      <c r="AB1052" s="122"/>
      <c r="AC1052" s="115"/>
      <c r="AD1052" s="115"/>
      <c r="AE1052" s="115"/>
      <c r="AF1052" s="115"/>
      <c r="AG1052" s="115"/>
      <c r="AH1052" s="115"/>
      <c r="AI1052" s="115"/>
      <c r="AJ1052" s="115"/>
      <c r="AK1052" s="115"/>
      <c r="AL1052" s="115"/>
      <c r="AM1052" s="115"/>
      <c r="AN1052" s="115"/>
      <c r="AO1052" s="115"/>
      <c r="AP1052" s="115"/>
      <c r="AQ1052" s="26"/>
      <c r="AR1052" s="15"/>
    </row>
    <row r="1053" spans="1:44" ht="22.5" customHeight="1" x14ac:dyDescent="0.4">
      <c r="A1053" s="115"/>
      <c r="B1053" s="115"/>
      <c r="C1053" s="115"/>
      <c r="D1053" s="115"/>
      <c r="E1053" s="115"/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22"/>
      <c r="AA1053" s="122"/>
      <c r="AB1053" s="122"/>
      <c r="AC1053" s="115"/>
      <c r="AD1053" s="115"/>
      <c r="AE1053" s="115"/>
      <c r="AF1053" s="115"/>
      <c r="AG1053" s="115"/>
      <c r="AH1053" s="115"/>
      <c r="AI1053" s="115"/>
      <c r="AJ1053" s="115"/>
      <c r="AK1053" s="115"/>
      <c r="AL1053" s="115"/>
      <c r="AM1053" s="115"/>
      <c r="AN1053" s="115"/>
      <c r="AO1053" s="115"/>
      <c r="AP1053" s="115"/>
      <c r="AQ1053" s="26"/>
      <c r="AR1053" s="15"/>
    </row>
    <row r="1054" spans="1:44" x14ac:dyDescent="0.4">
      <c r="AQ1054" s="26"/>
      <c r="AR1054" s="15"/>
    </row>
    <row r="1055" spans="1:44" x14ac:dyDescent="0.4">
      <c r="AQ1055" s="26"/>
      <c r="AR1055" s="105"/>
    </row>
    <row r="1056" spans="1:44" x14ac:dyDescent="0.4">
      <c r="A1056" s="115"/>
      <c r="B1056" s="115"/>
      <c r="C1056" s="115"/>
      <c r="D1056" s="115"/>
      <c r="E1056" s="115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22"/>
      <c r="AA1056" s="122"/>
      <c r="AB1056" s="122"/>
      <c r="AC1056" s="115"/>
      <c r="AD1056" s="115"/>
      <c r="AE1056" s="115"/>
      <c r="AF1056" s="115"/>
      <c r="AG1056" s="115"/>
      <c r="AH1056" s="115"/>
      <c r="AI1056" s="115"/>
      <c r="AJ1056" s="115"/>
      <c r="AK1056" s="115"/>
      <c r="AL1056" s="115"/>
      <c r="AM1056" s="115"/>
      <c r="AN1056" s="115"/>
      <c r="AO1056" s="115"/>
      <c r="AP1056" s="115"/>
      <c r="AQ1056" s="26"/>
      <c r="AR1056" s="15"/>
    </row>
    <row r="1057" spans="1:44" x14ac:dyDescent="0.4">
      <c r="AQ1057" s="26"/>
      <c r="AR1057" s="15"/>
    </row>
    <row r="1058" spans="1:44" x14ac:dyDescent="0.4">
      <c r="AQ1058" s="26"/>
      <c r="AR1058" s="15"/>
    </row>
    <row r="1059" spans="1:44" x14ac:dyDescent="0.4">
      <c r="AQ1059" s="26"/>
      <c r="AR1059" s="15"/>
    </row>
    <row r="1060" spans="1:44" x14ac:dyDescent="0.4">
      <c r="AQ1060" s="26"/>
      <c r="AR1060" s="15"/>
    </row>
    <row r="1061" spans="1:44" x14ac:dyDescent="0.4">
      <c r="A1061" s="115"/>
      <c r="B1061" s="115"/>
      <c r="C1061" s="115"/>
      <c r="D1061" s="115"/>
      <c r="E1061" s="115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22"/>
      <c r="AA1061" s="122"/>
      <c r="AB1061" s="122"/>
      <c r="AC1061" s="115"/>
      <c r="AD1061" s="115"/>
      <c r="AE1061" s="115"/>
      <c r="AF1061" s="115"/>
      <c r="AG1061" s="115"/>
      <c r="AH1061" s="115"/>
      <c r="AI1061" s="115"/>
      <c r="AJ1061" s="115"/>
      <c r="AK1061" s="115"/>
      <c r="AL1061" s="115"/>
      <c r="AM1061" s="115"/>
      <c r="AN1061" s="115"/>
      <c r="AO1061" s="115"/>
      <c r="AP1061" s="115"/>
      <c r="AQ1061" s="26"/>
      <c r="AR1061" s="15"/>
    </row>
    <row r="1062" spans="1:44" x14ac:dyDescent="0.4">
      <c r="AQ1062" s="26"/>
      <c r="AR1062" s="15"/>
    </row>
    <row r="1063" spans="1:44" x14ac:dyDescent="0.4">
      <c r="AQ1063" s="26"/>
      <c r="AR1063" s="15"/>
    </row>
    <row r="1064" spans="1:44" x14ac:dyDescent="0.4">
      <c r="AQ1064" s="26"/>
      <c r="AR1064" s="15"/>
    </row>
    <row r="1065" spans="1:44" x14ac:dyDescent="0.4">
      <c r="AQ1065" s="26"/>
      <c r="AR1065" s="15"/>
    </row>
    <row r="1066" spans="1:44" ht="18.75" customHeight="1" x14ac:dyDescent="0.4">
      <c r="B1066" s="115"/>
      <c r="C1066" s="115"/>
      <c r="D1066" s="115"/>
      <c r="E1066" s="115"/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22"/>
      <c r="AA1066" s="122"/>
      <c r="AB1066" s="122"/>
      <c r="AC1066" s="115"/>
      <c r="AD1066" s="115"/>
      <c r="AE1066" s="115"/>
      <c r="AF1066" s="115"/>
      <c r="AG1066" s="115"/>
      <c r="AH1066" s="115"/>
      <c r="AI1066" s="115"/>
      <c r="AJ1066" s="115"/>
      <c r="AK1066" s="115"/>
      <c r="AL1066" s="115"/>
      <c r="AM1066" s="115"/>
      <c r="AN1066" s="115"/>
      <c r="AO1066" s="115"/>
      <c r="AP1066" s="115"/>
      <c r="AQ1066" s="26"/>
      <c r="AR1066" s="15"/>
    </row>
    <row r="1067" spans="1:44" x14ac:dyDescent="0.4">
      <c r="AQ1067" s="26"/>
      <c r="AR1067" s="15"/>
    </row>
    <row r="1068" spans="1:44" x14ac:dyDescent="0.4">
      <c r="AQ1068" s="26"/>
      <c r="AR1068" s="15"/>
    </row>
    <row r="1069" spans="1:44" x14ac:dyDescent="0.4">
      <c r="B1069" s="115"/>
      <c r="C1069" s="115"/>
      <c r="D1069" s="115"/>
      <c r="E1069" s="115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22"/>
      <c r="AA1069" s="122"/>
      <c r="AB1069" s="122"/>
      <c r="AC1069" s="115"/>
      <c r="AD1069" s="115"/>
      <c r="AE1069" s="115"/>
      <c r="AF1069" s="115"/>
      <c r="AG1069" s="115"/>
      <c r="AH1069" s="115"/>
      <c r="AI1069" s="115"/>
      <c r="AJ1069" s="115"/>
      <c r="AK1069" s="115"/>
      <c r="AL1069" s="115"/>
      <c r="AM1069" s="115"/>
      <c r="AN1069" s="115"/>
      <c r="AO1069" s="115"/>
      <c r="AP1069" s="115"/>
      <c r="AQ1069" s="26"/>
      <c r="AR1069" s="15"/>
    </row>
    <row r="1070" spans="1:44" x14ac:dyDescent="0.4">
      <c r="A1070" s="115"/>
      <c r="B1070" s="115"/>
      <c r="C1070" s="115"/>
      <c r="D1070" s="115"/>
      <c r="E1070" s="115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22"/>
      <c r="AA1070" s="122"/>
      <c r="AB1070" s="122"/>
      <c r="AC1070" s="115"/>
      <c r="AD1070" s="115"/>
      <c r="AE1070" s="115"/>
      <c r="AF1070" s="115"/>
      <c r="AG1070" s="115"/>
      <c r="AH1070" s="115"/>
      <c r="AI1070" s="115"/>
      <c r="AJ1070" s="115"/>
      <c r="AK1070" s="115"/>
      <c r="AL1070" s="115"/>
      <c r="AM1070" s="115"/>
      <c r="AN1070" s="115"/>
      <c r="AO1070" s="115"/>
      <c r="AP1070" s="115"/>
      <c r="AQ1070" s="26"/>
      <c r="AR1070" s="15"/>
    </row>
    <row r="1071" spans="1:44" x14ac:dyDescent="0.4">
      <c r="AQ1071" s="26"/>
      <c r="AR1071" s="15"/>
    </row>
    <row r="1072" spans="1:44" x14ac:dyDescent="0.4">
      <c r="S1072" s="115"/>
      <c r="T1072" s="115"/>
      <c r="U1072" s="115"/>
      <c r="V1072" s="115"/>
      <c r="W1072" s="115"/>
      <c r="X1072" s="115"/>
      <c r="Y1072" s="115"/>
      <c r="Z1072" s="122"/>
      <c r="AA1072" s="122"/>
      <c r="AB1072" s="122"/>
      <c r="AC1072" s="115"/>
      <c r="AD1072" s="115"/>
      <c r="AE1072" s="115"/>
      <c r="AF1072" s="115"/>
      <c r="AG1072" s="115"/>
      <c r="AH1072" s="115"/>
      <c r="AI1072" s="115"/>
      <c r="AJ1072" s="115"/>
      <c r="AK1072" s="115"/>
      <c r="AL1072" s="115"/>
      <c r="AM1072" s="115"/>
      <c r="AN1072" s="115"/>
      <c r="AO1072" s="115"/>
      <c r="AP1072" s="115"/>
      <c r="AQ1072" s="17"/>
      <c r="AR1072" s="15"/>
    </row>
    <row r="1073" spans="1:44" x14ac:dyDescent="0.4">
      <c r="A1073" s="115"/>
      <c r="B1073" s="115"/>
      <c r="C1073" s="115"/>
      <c r="D1073" s="115"/>
      <c r="E1073" s="115"/>
      <c r="F1073" s="115"/>
      <c r="G1073" s="115"/>
      <c r="H1073" s="115"/>
      <c r="I1073" s="115"/>
      <c r="J1073" s="115"/>
      <c r="K1073" s="115"/>
      <c r="L1073" s="115"/>
      <c r="M1073" s="115"/>
      <c r="N1073" s="115"/>
      <c r="O1073" s="115"/>
      <c r="P1073" s="115"/>
      <c r="Q1073" s="115"/>
      <c r="R1073" s="115"/>
      <c r="S1073" s="115"/>
      <c r="T1073" s="115"/>
      <c r="U1073" s="115"/>
      <c r="V1073" s="115"/>
      <c r="W1073" s="115"/>
      <c r="X1073" s="115"/>
      <c r="Y1073" s="115"/>
      <c r="Z1073" s="122"/>
      <c r="AA1073" s="122"/>
      <c r="AB1073" s="122"/>
      <c r="AC1073" s="115"/>
      <c r="AD1073" s="115"/>
      <c r="AE1073" s="115"/>
      <c r="AF1073" s="115"/>
      <c r="AG1073" s="115"/>
      <c r="AH1073" s="115"/>
      <c r="AI1073" s="115"/>
      <c r="AJ1073" s="115"/>
      <c r="AK1073" s="115"/>
      <c r="AL1073" s="115"/>
      <c r="AM1073" s="115"/>
      <c r="AN1073" s="115"/>
      <c r="AO1073" s="115"/>
      <c r="AP1073" s="115"/>
      <c r="AQ1073" s="26"/>
      <c r="AR1073" s="15"/>
    </row>
    <row r="1074" spans="1:44" x14ac:dyDescent="0.4">
      <c r="AQ1074" s="26"/>
      <c r="AR1074" s="15"/>
    </row>
    <row r="1075" spans="1:44" x14ac:dyDescent="0.4">
      <c r="S1075" s="115"/>
      <c r="T1075" s="115"/>
      <c r="U1075" s="115"/>
      <c r="V1075" s="115"/>
      <c r="W1075" s="115"/>
      <c r="X1075" s="115"/>
      <c r="Y1075" s="115"/>
      <c r="Z1075" s="122"/>
      <c r="AA1075" s="122"/>
      <c r="AB1075" s="122"/>
      <c r="AC1075" s="115"/>
      <c r="AD1075" s="115"/>
      <c r="AE1075" s="115"/>
      <c r="AF1075" s="115"/>
      <c r="AG1075" s="115"/>
      <c r="AH1075" s="115"/>
      <c r="AI1075" s="115"/>
      <c r="AJ1075" s="115"/>
      <c r="AK1075" s="115"/>
      <c r="AL1075" s="115"/>
      <c r="AM1075" s="115"/>
      <c r="AN1075" s="115"/>
      <c r="AO1075" s="115"/>
      <c r="AP1075" s="115"/>
      <c r="AQ1075" s="17"/>
      <c r="AR1075" s="15"/>
    </row>
    <row r="1076" spans="1:44" x14ac:dyDescent="0.4">
      <c r="AQ1076" s="26"/>
      <c r="AR1076" s="15"/>
    </row>
    <row r="1077" spans="1:44" x14ac:dyDescent="0.4">
      <c r="B1077" s="115"/>
      <c r="C1077" s="115"/>
      <c r="D1077" s="115"/>
      <c r="E1077" s="115"/>
      <c r="F1077" s="115"/>
      <c r="G1077" s="115"/>
      <c r="H1077" s="115"/>
      <c r="I1077" s="115"/>
      <c r="J1077" s="115"/>
      <c r="K1077" s="115"/>
      <c r="L1077" s="115"/>
      <c r="M1077" s="115"/>
      <c r="N1077" s="115"/>
      <c r="O1077" s="115"/>
      <c r="P1077" s="115"/>
      <c r="Q1077" s="115"/>
      <c r="R1077" s="115"/>
      <c r="S1077" s="115"/>
      <c r="T1077" s="115"/>
      <c r="U1077" s="115"/>
      <c r="V1077" s="115"/>
      <c r="W1077" s="115"/>
      <c r="X1077" s="115"/>
      <c r="Y1077" s="115"/>
      <c r="Z1077" s="122"/>
      <c r="AA1077" s="122"/>
      <c r="AB1077" s="122"/>
      <c r="AC1077" s="115"/>
      <c r="AD1077" s="115"/>
      <c r="AE1077" s="115"/>
      <c r="AF1077" s="115"/>
      <c r="AG1077" s="115"/>
      <c r="AH1077" s="115"/>
      <c r="AI1077" s="115"/>
      <c r="AJ1077" s="115"/>
      <c r="AK1077" s="115"/>
      <c r="AL1077" s="115"/>
      <c r="AM1077" s="115"/>
      <c r="AN1077" s="115"/>
      <c r="AO1077" s="115"/>
      <c r="AP1077" s="115"/>
      <c r="AQ1077" s="26"/>
      <c r="AR1077" s="15"/>
    </row>
    <row r="1078" spans="1:44" x14ac:dyDescent="0.4">
      <c r="A1078" s="115"/>
      <c r="B1078" s="115"/>
      <c r="C1078" s="115"/>
      <c r="D1078" s="115"/>
      <c r="E1078" s="115"/>
      <c r="F1078" s="115"/>
      <c r="G1078" s="115"/>
      <c r="H1078" s="115"/>
      <c r="I1078" s="115"/>
      <c r="J1078" s="115"/>
      <c r="K1078" s="115"/>
      <c r="L1078" s="115"/>
      <c r="M1078" s="115"/>
      <c r="N1078" s="115"/>
      <c r="O1078" s="115"/>
      <c r="P1078" s="115"/>
      <c r="Q1078" s="115"/>
      <c r="R1078" s="115"/>
      <c r="S1078" s="115"/>
      <c r="T1078" s="115"/>
      <c r="U1078" s="115"/>
      <c r="V1078" s="115"/>
      <c r="W1078" s="115"/>
      <c r="X1078" s="115"/>
      <c r="Y1078" s="115"/>
      <c r="Z1078" s="122"/>
      <c r="AA1078" s="122"/>
      <c r="AB1078" s="122"/>
      <c r="AC1078" s="115"/>
      <c r="AD1078" s="115"/>
      <c r="AE1078" s="115"/>
      <c r="AF1078" s="115"/>
      <c r="AG1078" s="115"/>
      <c r="AH1078" s="115"/>
      <c r="AI1078" s="115"/>
      <c r="AJ1078" s="115"/>
      <c r="AK1078" s="115"/>
      <c r="AL1078" s="115"/>
      <c r="AM1078" s="115"/>
      <c r="AN1078" s="115"/>
      <c r="AO1078" s="115"/>
      <c r="AP1078" s="115"/>
      <c r="AQ1078" s="26"/>
      <c r="AR1078" s="15"/>
    </row>
    <row r="1079" spans="1:44" x14ac:dyDescent="0.4">
      <c r="A1079" s="115"/>
      <c r="B1079" s="115"/>
      <c r="C1079" s="115"/>
      <c r="D1079" s="115"/>
      <c r="E1079" s="115"/>
      <c r="F1079" s="115"/>
      <c r="G1079" s="115"/>
      <c r="H1079" s="115"/>
      <c r="I1079" s="115"/>
      <c r="J1079" s="115"/>
      <c r="K1079" s="115"/>
      <c r="L1079" s="115"/>
      <c r="M1079" s="115"/>
      <c r="N1079" s="115"/>
      <c r="O1079" s="115"/>
      <c r="P1079" s="115"/>
      <c r="Q1079" s="115"/>
      <c r="R1079" s="115"/>
      <c r="S1079" s="115"/>
      <c r="T1079" s="115"/>
      <c r="U1079" s="115"/>
      <c r="V1079" s="115"/>
      <c r="W1079" s="115"/>
      <c r="X1079" s="115"/>
      <c r="Y1079" s="115"/>
      <c r="Z1079" s="122"/>
      <c r="AA1079" s="122"/>
      <c r="AB1079" s="122"/>
      <c r="AC1079" s="115"/>
      <c r="AD1079" s="115"/>
      <c r="AE1079" s="115"/>
      <c r="AF1079" s="115"/>
      <c r="AG1079" s="115"/>
      <c r="AH1079" s="115"/>
      <c r="AI1079" s="115"/>
      <c r="AJ1079" s="115"/>
      <c r="AK1079" s="115"/>
      <c r="AL1079" s="115"/>
      <c r="AM1079" s="115"/>
      <c r="AN1079" s="115"/>
      <c r="AO1079" s="115"/>
      <c r="AP1079" s="115"/>
      <c r="AQ1079" s="26"/>
      <c r="AR1079" s="15"/>
    </row>
    <row r="1080" spans="1:44" x14ac:dyDescent="0.4">
      <c r="AQ1080" s="26"/>
      <c r="AR1080" s="15"/>
    </row>
    <row r="1081" spans="1:44" x14ac:dyDescent="0.4">
      <c r="B1081" s="115"/>
      <c r="C1081" s="115"/>
      <c r="D1081" s="115"/>
      <c r="E1081" s="115"/>
      <c r="F1081" s="115"/>
      <c r="G1081" s="115"/>
      <c r="H1081" s="115"/>
      <c r="I1081" s="115"/>
      <c r="J1081" s="115"/>
      <c r="K1081" s="115"/>
      <c r="L1081" s="115"/>
      <c r="M1081" s="115"/>
      <c r="N1081" s="115"/>
      <c r="O1081" s="115"/>
      <c r="P1081" s="115"/>
      <c r="Q1081" s="115"/>
      <c r="R1081" s="115"/>
      <c r="S1081" s="115"/>
      <c r="T1081" s="115"/>
      <c r="U1081" s="115"/>
      <c r="V1081" s="115"/>
      <c r="W1081" s="115"/>
      <c r="X1081" s="115"/>
      <c r="Y1081" s="115"/>
      <c r="Z1081" s="122"/>
      <c r="AA1081" s="122"/>
      <c r="AB1081" s="122"/>
      <c r="AC1081" s="115"/>
      <c r="AD1081" s="115"/>
      <c r="AE1081" s="115"/>
      <c r="AF1081" s="115"/>
      <c r="AG1081" s="115"/>
      <c r="AH1081" s="115"/>
      <c r="AI1081" s="115"/>
      <c r="AJ1081" s="115"/>
      <c r="AK1081" s="115"/>
      <c r="AL1081" s="115"/>
      <c r="AM1081" s="115"/>
      <c r="AN1081" s="115"/>
      <c r="AO1081" s="115"/>
      <c r="AP1081" s="115"/>
      <c r="AQ1081" s="26"/>
      <c r="AR1081" s="15"/>
    </row>
    <row r="1082" spans="1:44" x14ac:dyDescent="0.4">
      <c r="AQ1082" s="26"/>
      <c r="AR1082" s="15"/>
    </row>
    <row r="1083" spans="1:44" x14ac:dyDescent="0.4">
      <c r="B1083" s="115"/>
      <c r="C1083" s="115"/>
      <c r="D1083" s="115"/>
      <c r="E1083" s="115"/>
      <c r="F1083" s="115"/>
      <c r="G1083" s="115"/>
      <c r="H1083" s="115"/>
      <c r="I1083" s="115"/>
      <c r="J1083" s="115"/>
      <c r="K1083" s="115"/>
      <c r="L1083" s="115"/>
      <c r="M1083" s="115"/>
      <c r="N1083" s="115"/>
      <c r="O1083" s="115"/>
      <c r="P1083" s="115"/>
      <c r="Q1083" s="115"/>
      <c r="R1083" s="115"/>
      <c r="S1083" s="115"/>
      <c r="T1083" s="115"/>
      <c r="U1083" s="115"/>
      <c r="V1083" s="115"/>
      <c r="W1083" s="115"/>
      <c r="X1083" s="115"/>
      <c r="Y1083" s="115"/>
      <c r="Z1083" s="122"/>
      <c r="AA1083" s="122"/>
      <c r="AB1083" s="122"/>
      <c r="AC1083" s="115"/>
      <c r="AD1083" s="115"/>
      <c r="AE1083" s="115"/>
      <c r="AF1083" s="115"/>
      <c r="AG1083" s="115"/>
      <c r="AH1083" s="115"/>
      <c r="AI1083" s="115"/>
      <c r="AJ1083" s="115"/>
      <c r="AK1083" s="115"/>
      <c r="AL1083" s="115"/>
      <c r="AM1083" s="115"/>
      <c r="AN1083" s="115"/>
      <c r="AO1083" s="115"/>
      <c r="AP1083" s="115"/>
      <c r="AQ1083" s="26"/>
      <c r="AR1083" s="15"/>
    </row>
    <row r="1084" spans="1:44" x14ac:dyDescent="0.4">
      <c r="AQ1084" s="26"/>
      <c r="AR1084" s="15"/>
    </row>
    <row r="1085" spans="1:44" x14ac:dyDescent="0.4">
      <c r="AQ1085" s="26"/>
      <c r="AR1085" s="15"/>
    </row>
    <row r="1086" spans="1:44" x14ac:dyDescent="0.4">
      <c r="AQ1086" s="26"/>
      <c r="AR1086" s="15"/>
    </row>
    <row r="1087" spans="1:44" x14ac:dyDescent="0.4">
      <c r="AQ1087" s="26"/>
      <c r="AR1087" s="15"/>
    </row>
    <row r="1088" spans="1:44" x14ac:dyDescent="0.4">
      <c r="AQ1088" s="26"/>
      <c r="AR1088" s="15"/>
    </row>
    <row r="1089" spans="1:44" x14ac:dyDescent="0.4">
      <c r="AQ1089" s="26"/>
      <c r="AR1089" s="15"/>
    </row>
    <row r="1090" spans="1:44" x14ac:dyDescent="0.4">
      <c r="A1090" s="115"/>
      <c r="B1090" s="115"/>
      <c r="C1090" s="115"/>
      <c r="D1090" s="115"/>
      <c r="E1090" s="115"/>
      <c r="F1090" s="115"/>
      <c r="G1090" s="115"/>
      <c r="H1090" s="115"/>
      <c r="I1090" s="115"/>
      <c r="J1090" s="115"/>
      <c r="K1090" s="115"/>
      <c r="L1090" s="115"/>
      <c r="M1090" s="115"/>
      <c r="N1090" s="115"/>
      <c r="O1090" s="115"/>
      <c r="P1090" s="115"/>
      <c r="Q1090" s="115"/>
      <c r="R1090" s="115"/>
      <c r="S1090" s="115"/>
      <c r="T1090" s="115"/>
      <c r="U1090" s="115"/>
      <c r="V1090" s="115"/>
      <c r="W1090" s="115"/>
      <c r="X1090" s="115"/>
      <c r="Y1090" s="115"/>
      <c r="Z1090" s="122"/>
      <c r="AA1090" s="122"/>
      <c r="AB1090" s="122"/>
      <c r="AC1090" s="115"/>
      <c r="AD1090" s="115"/>
      <c r="AE1090" s="115"/>
      <c r="AF1090" s="115"/>
      <c r="AG1090" s="115"/>
      <c r="AH1090" s="115"/>
      <c r="AI1090" s="115"/>
      <c r="AJ1090" s="115"/>
      <c r="AK1090" s="115"/>
      <c r="AL1090" s="115"/>
      <c r="AM1090" s="115"/>
      <c r="AN1090" s="115"/>
      <c r="AO1090" s="115"/>
      <c r="AP1090" s="115"/>
      <c r="AQ1090" s="26"/>
      <c r="AR1090" s="15"/>
    </row>
    <row r="1091" spans="1:44" x14ac:dyDescent="0.4">
      <c r="AQ1091" s="26"/>
      <c r="AR1091" s="15"/>
    </row>
    <row r="1092" spans="1:44" x14ac:dyDescent="0.4">
      <c r="AQ1092" s="26"/>
      <c r="AR1092" s="15"/>
    </row>
    <row r="1093" spans="1:44" x14ac:dyDescent="0.4">
      <c r="AQ1093" s="26"/>
      <c r="AR1093" s="15"/>
    </row>
    <row r="1094" spans="1:44" x14ac:dyDescent="0.4">
      <c r="AQ1094" s="26"/>
      <c r="AR1094" s="15"/>
    </row>
    <row r="1095" spans="1:44" x14ac:dyDescent="0.4">
      <c r="AQ1095" s="26"/>
      <c r="AR1095" s="15"/>
    </row>
    <row r="1096" spans="1:44" x14ac:dyDescent="0.4">
      <c r="S1096" s="115"/>
      <c r="T1096" s="115"/>
      <c r="U1096" s="115"/>
      <c r="V1096" s="115"/>
      <c r="W1096" s="115"/>
      <c r="X1096" s="115"/>
      <c r="Y1096" s="115"/>
      <c r="Z1096" s="122"/>
      <c r="AA1096" s="122"/>
      <c r="AB1096" s="122"/>
      <c r="AC1096" s="115"/>
      <c r="AD1096" s="115"/>
      <c r="AE1096" s="115"/>
      <c r="AF1096" s="115"/>
      <c r="AG1096" s="115"/>
      <c r="AH1096" s="115"/>
      <c r="AI1096" s="115"/>
      <c r="AJ1096" s="115"/>
      <c r="AK1096" s="115"/>
      <c r="AL1096" s="115"/>
      <c r="AM1096" s="115"/>
      <c r="AN1096" s="115"/>
      <c r="AO1096" s="115"/>
      <c r="AP1096" s="115"/>
      <c r="AQ1096" s="17"/>
      <c r="AR1096" s="15"/>
    </row>
    <row r="1097" spans="1:44" x14ac:dyDescent="0.4">
      <c r="S1097" s="115"/>
      <c r="T1097" s="115"/>
      <c r="U1097" s="115"/>
      <c r="V1097" s="115"/>
      <c r="W1097" s="115"/>
      <c r="X1097" s="115"/>
      <c r="Y1097" s="115"/>
      <c r="Z1097" s="122"/>
      <c r="AA1097" s="122"/>
      <c r="AB1097" s="122"/>
      <c r="AC1097" s="115"/>
      <c r="AD1097" s="115"/>
      <c r="AE1097" s="115"/>
      <c r="AF1097" s="115"/>
      <c r="AG1097" s="115"/>
      <c r="AH1097" s="115"/>
      <c r="AI1097" s="115"/>
      <c r="AJ1097" s="115"/>
      <c r="AK1097" s="115"/>
      <c r="AL1097" s="115"/>
      <c r="AM1097" s="115"/>
      <c r="AN1097" s="115"/>
      <c r="AO1097" s="115"/>
      <c r="AP1097" s="115"/>
      <c r="AQ1097" s="17"/>
      <c r="AR1097" s="15"/>
    </row>
    <row r="1098" spans="1:44" x14ac:dyDescent="0.4">
      <c r="AQ1098" s="26"/>
      <c r="AR1098" s="15"/>
    </row>
    <row r="1099" spans="1:44" x14ac:dyDescent="0.4">
      <c r="AQ1099" s="26"/>
      <c r="AR1099" s="15"/>
    </row>
    <row r="1100" spans="1:44" x14ac:dyDescent="0.4">
      <c r="A1100" s="115"/>
      <c r="B1100" s="115"/>
      <c r="C1100" s="115"/>
      <c r="D1100" s="115"/>
      <c r="E1100" s="115"/>
      <c r="F1100" s="115"/>
      <c r="G1100" s="115"/>
      <c r="H1100" s="115"/>
      <c r="I1100" s="115"/>
      <c r="J1100" s="115"/>
      <c r="K1100" s="115"/>
      <c r="L1100" s="115"/>
      <c r="M1100" s="115"/>
      <c r="N1100" s="115"/>
      <c r="O1100" s="115"/>
      <c r="P1100" s="115"/>
      <c r="Q1100" s="115"/>
      <c r="R1100" s="115"/>
      <c r="S1100" s="115"/>
      <c r="T1100" s="115"/>
      <c r="U1100" s="115"/>
      <c r="V1100" s="115"/>
      <c r="W1100" s="115"/>
      <c r="X1100" s="115"/>
      <c r="Y1100" s="115"/>
      <c r="Z1100" s="122"/>
      <c r="AA1100" s="122"/>
      <c r="AB1100" s="122"/>
      <c r="AC1100" s="115"/>
      <c r="AD1100" s="115"/>
      <c r="AE1100" s="115"/>
      <c r="AF1100" s="115"/>
      <c r="AG1100" s="115"/>
      <c r="AH1100" s="115"/>
      <c r="AI1100" s="115"/>
      <c r="AJ1100" s="115"/>
      <c r="AK1100" s="115"/>
      <c r="AL1100" s="115"/>
      <c r="AM1100" s="115"/>
      <c r="AN1100" s="115"/>
      <c r="AO1100" s="115"/>
      <c r="AP1100" s="115"/>
      <c r="AQ1100" s="26"/>
      <c r="AR1100" s="15"/>
    </row>
    <row r="1101" spans="1:44" x14ac:dyDescent="0.4">
      <c r="A1101" s="115"/>
      <c r="B1101" s="115"/>
      <c r="C1101" s="115"/>
      <c r="D1101" s="115"/>
      <c r="E1101" s="115"/>
      <c r="F1101" s="115"/>
      <c r="G1101" s="115"/>
      <c r="H1101" s="115"/>
      <c r="I1101" s="115"/>
      <c r="J1101" s="115"/>
      <c r="K1101" s="115"/>
      <c r="L1101" s="115"/>
      <c r="M1101" s="115"/>
      <c r="N1101" s="115"/>
      <c r="O1101" s="115"/>
      <c r="P1101" s="115"/>
      <c r="Q1101" s="115"/>
      <c r="R1101" s="115"/>
      <c r="S1101" s="115"/>
      <c r="T1101" s="115"/>
      <c r="U1101" s="115"/>
      <c r="V1101" s="115"/>
      <c r="W1101" s="115"/>
      <c r="X1101" s="115"/>
      <c r="Y1101" s="115"/>
      <c r="Z1101" s="122"/>
      <c r="AA1101" s="122"/>
      <c r="AB1101" s="122"/>
      <c r="AC1101" s="115"/>
      <c r="AD1101" s="115"/>
      <c r="AE1101" s="115"/>
      <c r="AF1101" s="115"/>
      <c r="AG1101" s="115"/>
      <c r="AH1101" s="115"/>
      <c r="AI1101" s="115"/>
      <c r="AJ1101" s="115"/>
      <c r="AK1101" s="115"/>
      <c r="AL1101" s="115"/>
      <c r="AM1101" s="115"/>
      <c r="AN1101" s="115"/>
      <c r="AO1101" s="115"/>
      <c r="AP1101" s="115"/>
      <c r="AQ1101" s="26"/>
      <c r="AR1101" s="13"/>
    </row>
    <row r="1102" spans="1:44" x14ac:dyDescent="0.4">
      <c r="AQ1102" s="26"/>
      <c r="AR1102" s="15"/>
    </row>
    <row r="1103" spans="1:44" x14ac:dyDescent="0.4">
      <c r="B1103" s="115"/>
      <c r="C1103" s="115"/>
      <c r="D1103" s="115"/>
      <c r="E1103" s="115"/>
      <c r="F1103" s="115"/>
      <c r="G1103" s="115"/>
      <c r="H1103" s="115"/>
      <c r="I1103" s="115"/>
      <c r="J1103" s="115"/>
      <c r="K1103" s="115"/>
      <c r="L1103" s="115"/>
      <c r="M1103" s="115"/>
      <c r="N1103" s="115"/>
      <c r="O1103" s="115"/>
      <c r="P1103" s="115"/>
      <c r="Q1103" s="115"/>
      <c r="R1103" s="115"/>
      <c r="S1103" s="115"/>
      <c r="T1103" s="115"/>
      <c r="U1103" s="115"/>
      <c r="V1103" s="115"/>
      <c r="W1103" s="115"/>
      <c r="X1103" s="115"/>
      <c r="Y1103" s="115"/>
      <c r="Z1103" s="122"/>
      <c r="AA1103" s="122"/>
      <c r="AB1103" s="122"/>
      <c r="AC1103" s="115"/>
      <c r="AD1103" s="115"/>
      <c r="AE1103" s="115"/>
      <c r="AF1103" s="115"/>
      <c r="AG1103" s="115"/>
      <c r="AH1103" s="115"/>
      <c r="AI1103" s="115"/>
      <c r="AJ1103" s="115"/>
      <c r="AK1103" s="115"/>
      <c r="AL1103" s="115"/>
      <c r="AM1103" s="115"/>
      <c r="AN1103" s="115"/>
      <c r="AO1103" s="115"/>
      <c r="AP1103" s="115"/>
      <c r="AQ1103" s="26"/>
      <c r="AR1103" s="15"/>
    </row>
    <row r="1104" spans="1:44" x14ac:dyDescent="0.4">
      <c r="AQ1104" s="26"/>
      <c r="AR1104" s="15"/>
    </row>
    <row r="1105" spans="1:44" x14ac:dyDescent="0.4">
      <c r="AQ1105" s="26"/>
      <c r="AR1105" s="15"/>
    </row>
    <row r="1106" spans="1:44" x14ac:dyDescent="0.4">
      <c r="A1106" s="115"/>
      <c r="B1106" s="115"/>
      <c r="C1106" s="115"/>
      <c r="D1106" s="115"/>
      <c r="E1106" s="115"/>
      <c r="F1106" s="115"/>
      <c r="G1106" s="115"/>
      <c r="H1106" s="115"/>
      <c r="I1106" s="115"/>
      <c r="J1106" s="115"/>
      <c r="K1106" s="115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22"/>
      <c r="AA1106" s="122"/>
      <c r="AB1106" s="122"/>
      <c r="AC1106" s="115"/>
      <c r="AD1106" s="115"/>
      <c r="AE1106" s="115"/>
      <c r="AF1106" s="115"/>
      <c r="AG1106" s="115"/>
      <c r="AH1106" s="115"/>
      <c r="AI1106" s="115"/>
      <c r="AJ1106" s="115"/>
      <c r="AK1106" s="115"/>
      <c r="AL1106" s="115"/>
      <c r="AM1106" s="115"/>
      <c r="AN1106" s="115"/>
      <c r="AO1106" s="115"/>
      <c r="AP1106" s="115"/>
      <c r="AQ1106" s="26"/>
      <c r="AR1106" s="15"/>
    </row>
    <row r="1107" spans="1:44" x14ac:dyDescent="0.4">
      <c r="AQ1107" s="26"/>
      <c r="AR1107" s="13"/>
    </row>
    <row r="1108" spans="1:44" x14ac:dyDescent="0.4">
      <c r="AQ1108" s="26"/>
      <c r="AR1108" s="13"/>
    </row>
    <row r="1109" spans="1:44" x14ac:dyDescent="0.4">
      <c r="A1109" s="115"/>
      <c r="B1109" s="115"/>
      <c r="C1109" s="115"/>
      <c r="D1109" s="115"/>
      <c r="E1109" s="115"/>
      <c r="F1109" s="115"/>
      <c r="G1109" s="115"/>
      <c r="H1109" s="115"/>
      <c r="I1109" s="115"/>
      <c r="J1109" s="115"/>
      <c r="K1109" s="115"/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/>
      <c r="W1109" s="115"/>
      <c r="X1109" s="115"/>
      <c r="Y1109" s="115"/>
      <c r="Z1109" s="122"/>
      <c r="AA1109" s="122"/>
      <c r="AB1109" s="122"/>
      <c r="AC1109" s="115"/>
      <c r="AD1109" s="115"/>
      <c r="AE1109" s="115"/>
      <c r="AF1109" s="115"/>
      <c r="AG1109" s="115"/>
      <c r="AH1109" s="115"/>
      <c r="AI1109" s="115"/>
      <c r="AJ1109" s="115"/>
      <c r="AK1109" s="115"/>
      <c r="AL1109" s="115"/>
      <c r="AM1109" s="115"/>
      <c r="AN1109" s="115"/>
      <c r="AO1109" s="115"/>
      <c r="AP1109" s="115"/>
      <c r="AQ1109" s="26"/>
      <c r="AR1109" s="13"/>
    </row>
    <row r="1110" spans="1:44" x14ac:dyDescent="0.4">
      <c r="AQ1110" s="26"/>
      <c r="AR1110" s="13"/>
    </row>
    <row r="1111" spans="1:44" x14ac:dyDescent="0.4">
      <c r="AQ1111" s="26"/>
      <c r="AR1111" s="13"/>
    </row>
    <row r="1112" spans="1:44" x14ac:dyDescent="0.4">
      <c r="AQ1112" s="26"/>
      <c r="AR1112" s="13"/>
    </row>
    <row r="1113" spans="1:44" x14ac:dyDescent="0.4">
      <c r="AQ1113" s="26"/>
      <c r="AR1113" s="13"/>
    </row>
    <row r="1114" spans="1:44" x14ac:dyDescent="0.4">
      <c r="AQ1114" s="26"/>
      <c r="AR1114" s="13"/>
    </row>
    <row r="1115" spans="1:44" x14ac:dyDescent="0.4">
      <c r="A1115" s="115"/>
      <c r="B1115" s="115"/>
      <c r="C1115" s="115"/>
      <c r="D1115" s="115"/>
      <c r="E1115" s="115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22"/>
      <c r="AA1115" s="122"/>
      <c r="AB1115" s="122"/>
      <c r="AC1115" s="115"/>
      <c r="AD1115" s="115"/>
      <c r="AE1115" s="115"/>
      <c r="AF1115" s="115"/>
      <c r="AG1115" s="115"/>
      <c r="AH1115" s="115"/>
      <c r="AI1115" s="115"/>
      <c r="AJ1115" s="115"/>
      <c r="AK1115" s="115"/>
      <c r="AL1115" s="115"/>
      <c r="AM1115" s="115"/>
      <c r="AN1115" s="115"/>
      <c r="AO1115" s="115"/>
      <c r="AP1115" s="115"/>
      <c r="AQ1115" s="26"/>
      <c r="AR1115" s="25"/>
    </row>
    <row r="1116" spans="1:44" x14ac:dyDescent="0.4">
      <c r="AQ1116" s="26"/>
      <c r="AR1116" s="13"/>
    </row>
    <row r="1117" spans="1:44" x14ac:dyDescent="0.4">
      <c r="A1117" s="115"/>
      <c r="B1117" s="115"/>
      <c r="C1117" s="115"/>
      <c r="D1117" s="115"/>
      <c r="E1117" s="115"/>
      <c r="F1117" s="115"/>
      <c r="G1117" s="115"/>
      <c r="H1117" s="115"/>
      <c r="I1117" s="115"/>
      <c r="J1117" s="115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22"/>
      <c r="AA1117" s="122"/>
      <c r="AB1117" s="122"/>
      <c r="AC1117" s="115"/>
      <c r="AD1117" s="115"/>
      <c r="AE1117" s="115"/>
      <c r="AF1117" s="115"/>
      <c r="AG1117" s="115"/>
      <c r="AH1117" s="115"/>
      <c r="AI1117" s="115"/>
      <c r="AJ1117" s="115"/>
      <c r="AK1117" s="115"/>
      <c r="AL1117" s="115"/>
      <c r="AM1117" s="115"/>
      <c r="AN1117" s="115"/>
      <c r="AO1117" s="115"/>
      <c r="AP1117" s="115"/>
      <c r="AQ1117" s="26"/>
      <c r="AR1117" s="13"/>
    </row>
    <row r="1118" spans="1:44" x14ac:dyDescent="0.4">
      <c r="A1118" s="115"/>
      <c r="B1118" s="115"/>
      <c r="C1118" s="115"/>
      <c r="D1118" s="115"/>
      <c r="E1118" s="115"/>
      <c r="F1118" s="115"/>
      <c r="G1118" s="115"/>
      <c r="H1118" s="115"/>
      <c r="I1118" s="115"/>
      <c r="J1118" s="115"/>
      <c r="K1118" s="115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22"/>
      <c r="AA1118" s="122"/>
      <c r="AB1118" s="122"/>
      <c r="AC1118" s="115"/>
      <c r="AD1118" s="115"/>
      <c r="AE1118" s="115"/>
      <c r="AF1118" s="115"/>
      <c r="AG1118" s="115"/>
      <c r="AH1118" s="115"/>
      <c r="AI1118" s="115"/>
      <c r="AJ1118" s="115"/>
      <c r="AK1118" s="115"/>
      <c r="AL1118" s="115"/>
      <c r="AM1118" s="115"/>
      <c r="AN1118" s="115"/>
      <c r="AO1118" s="115"/>
      <c r="AP1118" s="115"/>
      <c r="AQ1118" s="26"/>
      <c r="AR1118" s="13"/>
    </row>
    <row r="1119" spans="1:44" x14ac:dyDescent="0.4">
      <c r="AQ1119" s="26"/>
      <c r="AR1119" s="15"/>
    </row>
    <row r="1120" spans="1:44" x14ac:dyDescent="0.4">
      <c r="AQ1120" s="26"/>
      <c r="AR1120" s="15"/>
    </row>
    <row r="1121" spans="2:44" x14ac:dyDescent="0.4">
      <c r="AQ1121" s="26"/>
      <c r="AR1121" s="15"/>
    </row>
    <row r="1122" spans="2:44" x14ac:dyDescent="0.4">
      <c r="AQ1122" s="26"/>
      <c r="AR1122" s="13"/>
    </row>
    <row r="1123" spans="2:44" x14ac:dyDescent="0.4">
      <c r="AQ1123" s="26"/>
      <c r="AR1123" s="15"/>
    </row>
    <row r="1124" spans="2:44" x14ac:dyDescent="0.4">
      <c r="B1124" s="115"/>
      <c r="C1124" s="115"/>
      <c r="D1124" s="115"/>
      <c r="E1124" s="115"/>
      <c r="F1124" s="115"/>
      <c r="G1124" s="115"/>
      <c r="H1124" s="115"/>
      <c r="I1124" s="115"/>
      <c r="J1124" s="115"/>
      <c r="K1124" s="115"/>
      <c r="L1124" s="115"/>
      <c r="M1124" s="115"/>
      <c r="N1124" s="115"/>
      <c r="O1124" s="115"/>
      <c r="P1124" s="115"/>
      <c r="Q1124" s="115"/>
      <c r="R1124" s="115"/>
      <c r="S1124" s="115"/>
      <c r="T1124" s="115"/>
      <c r="U1124" s="115"/>
      <c r="V1124" s="115"/>
      <c r="W1124" s="115"/>
      <c r="X1124" s="115"/>
      <c r="Y1124" s="115"/>
      <c r="Z1124" s="122"/>
      <c r="AA1124" s="122"/>
      <c r="AB1124" s="122"/>
      <c r="AC1124" s="115"/>
      <c r="AD1124" s="115"/>
      <c r="AE1124" s="115"/>
      <c r="AF1124" s="115"/>
      <c r="AG1124" s="115"/>
      <c r="AH1124" s="115"/>
      <c r="AI1124" s="115"/>
      <c r="AJ1124" s="115"/>
      <c r="AK1124" s="115"/>
      <c r="AL1124" s="115"/>
      <c r="AM1124" s="115"/>
      <c r="AN1124" s="115"/>
      <c r="AO1124" s="115"/>
      <c r="AP1124" s="115"/>
      <c r="AQ1124" s="17"/>
      <c r="AR1124" s="15"/>
    </row>
    <row r="1125" spans="2:44" x14ac:dyDescent="0.4">
      <c r="AQ1125" s="26"/>
      <c r="AR1125" s="15"/>
    </row>
    <row r="1126" spans="2:44" x14ac:dyDescent="0.4">
      <c r="B1126" s="115"/>
      <c r="C1126" s="115"/>
      <c r="D1126" s="115"/>
      <c r="E1126" s="115"/>
      <c r="F1126" s="115"/>
      <c r="G1126" s="115"/>
      <c r="H1126" s="115"/>
      <c r="I1126" s="115"/>
      <c r="J1126" s="115"/>
      <c r="K1126" s="115"/>
      <c r="L1126" s="115"/>
      <c r="M1126" s="115"/>
      <c r="N1126" s="115"/>
      <c r="O1126" s="115"/>
      <c r="P1126" s="115"/>
      <c r="Q1126" s="115"/>
      <c r="R1126" s="115"/>
      <c r="S1126" s="115"/>
      <c r="T1126" s="115"/>
      <c r="U1126" s="115"/>
      <c r="V1126" s="115"/>
      <c r="W1126" s="115"/>
      <c r="X1126" s="115"/>
      <c r="Y1126" s="115"/>
      <c r="Z1126" s="122"/>
      <c r="AA1126" s="122"/>
      <c r="AB1126" s="122"/>
      <c r="AC1126" s="115"/>
      <c r="AD1126" s="115"/>
      <c r="AE1126" s="115"/>
      <c r="AF1126" s="115"/>
      <c r="AG1126" s="115"/>
      <c r="AH1126" s="115"/>
      <c r="AI1126" s="115"/>
      <c r="AJ1126" s="115"/>
      <c r="AK1126" s="115"/>
      <c r="AL1126" s="115"/>
      <c r="AM1126" s="115"/>
      <c r="AN1126" s="115"/>
      <c r="AO1126" s="115"/>
      <c r="AP1126" s="115"/>
      <c r="AQ1126" s="17"/>
      <c r="AR1126" s="15"/>
    </row>
    <row r="1127" spans="2:44" x14ac:dyDescent="0.4">
      <c r="AQ1127" s="26"/>
      <c r="AR1127" s="15"/>
    </row>
    <row r="1128" spans="2:44" x14ac:dyDescent="0.4">
      <c r="AQ1128" s="26"/>
      <c r="AR1128" s="15"/>
    </row>
    <row r="1129" spans="2:44" x14ac:dyDescent="0.4">
      <c r="B1129" s="115"/>
      <c r="C1129" s="115"/>
      <c r="D1129" s="115"/>
      <c r="E1129" s="115"/>
      <c r="F1129" s="115"/>
      <c r="G1129" s="115"/>
      <c r="H1129" s="115"/>
      <c r="I1129" s="115"/>
      <c r="J1129" s="115"/>
      <c r="K1129" s="115"/>
      <c r="L1129" s="115"/>
      <c r="M1129" s="115"/>
      <c r="N1129" s="115"/>
      <c r="O1129" s="115"/>
      <c r="P1129" s="115"/>
      <c r="Q1129" s="115"/>
      <c r="R1129" s="115"/>
      <c r="S1129" s="115"/>
      <c r="T1129" s="115"/>
      <c r="U1129" s="115"/>
      <c r="V1129" s="115"/>
      <c r="W1129" s="115"/>
      <c r="X1129" s="115"/>
      <c r="Y1129" s="115"/>
      <c r="Z1129" s="122"/>
      <c r="AA1129" s="122"/>
      <c r="AB1129" s="122"/>
      <c r="AC1129" s="115"/>
      <c r="AD1129" s="115"/>
      <c r="AE1129" s="115"/>
      <c r="AF1129" s="115"/>
      <c r="AG1129" s="115"/>
      <c r="AH1129" s="115"/>
      <c r="AI1129" s="115"/>
      <c r="AJ1129" s="115"/>
      <c r="AK1129" s="115"/>
      <c r="AL1129" s="115"/>
      <c r="AM1129" s="115"/>
      <c r="AN1129" s="115"/>
      <c r="AO1129" s="115"/>
      <c r="AP1129" s="115"/>
      <c r="AQ1129" s="17"/>
      <c r="AR1129" s="15"/>
    </row>
    <row r="1130" spans="2:44" x14ac:dyDescent="0.4">
      <c r="AQ1130" s="26"/>
      <c r="AR1130" s="15"/>
    </row>
    <row r="1131" spans="2:44" x14ac:dyDescent="0.4">
      <c r="AQ1131" s="26"/>
      <c r="AR1131" s="15"/>
    </row>
    <row r="1132" spans="2:44" x14ac:dyDescent="0.4">
      <c r="AQ1132" s="26"/>
      <c r="AR1132" s="105"/>
    </row>
    <row r="1133" spans="2:44" x14ac:dyDescent="0.4">
      <c r="AQ1133" s="26"/>
      <c r="AR1133" s="15"/>
    </row>
    <row r="1134" spans="2:44" x14ac:dyDescent="0.4">
      <c r="AQ1134" s="26"/>
      <c r="AR1134" s="15"/>
    </row>
    <row r="1135" spans="2:44" x14ac:dyDescent="0.4">
      <c r="AQ1135" s="26"/>
      <c r="AR1135" s="15"/>
    </row>
    <row r="1136" spans="2:44" x14ac:dyDescent="0.4">
      <c r="AQ1136" s="26"/>
      <c r="AR1136" s="15"/>
    </row>
    <row r="1137" spans="2:44" x14ac:dyDescent="0.4">
      <c r="AQ1137" s="26"/>
      <c r="AR1137" s="15"/>
    </row>
    <row r="1138" spans="2:44" x14ac:dyDescent="0.4">
      <c r="B1138" s="115"/>
      <c r="C1138" s="115"/>
      <c r="D1138" s="115"/>
      <c r="E1138" s="115"/>
      <c r="F1138" s="115"/>
      <c r="G1138" s="115"/>
      <c r="H1138" s="115"/>
      <c r="I1138" s="115"/>
      <c r="J1138" s="115"/>
      <c r="K1138" s="115"/>
      <c r="L1138" s="115"/>
      <c r="M1138" s="115"/>
      <c r="N1138" s="115"/>
      <c r="O1138" s="115"/>
      <c r="P1138" s="115"/>
      <c r="Q1138" s="115"/>
      <c r="R1138" s="115"/>
      <c r="S1138" s="115"/>
      <c r="T1138" s="115"/>
      <c r="U1138" s="115"/>
      <c r="V1138" s="115"/>
      <c r="W1138" s="115"/>
      <c r="X1138" s="115"/>
      <c r="Y1138" s="115"/>
      <c r="Z1138" s="122"/>
      <c r="AA1138" s="122"/>
      <c r="AB1138" s="122"/>
      <c r="AC1138" s="115"/>
      <c r="AD1138" s="115"/>
      <c r="AE1138" s="115"/>
      <c r="AF1138" s="115"/>
      <c r="AG1138" s="115"/>
      <c r="AH1138" s="115"/>
      <c r="AI1138" s="115"/>
      <c r="AJ1138" s="115"/>
      <c r="AK1138" s="115"/>
      <c r="AL1138" s="115"/>
      <c r="AM1138" s="115"/>
      <c r="AN1138" s="115"/>
      <c r="AO1138" s="115"/>
      <c r="AP1138" s="115"/>
      <c r="AQ1138" s="119"/>
      <c r="AR1138" s="119"/>
    </row>
    <row r="1139" spans="2:44" x14ac:dyDescent="0.4">
      <c r="B1139" s="115"/>
      <c r="C1139" s="115"/>
      <c r="D1139" s="115"/>
      <c r="E1139" s="115"/>
      <c r="F1139" s="115"/>
      <c r="G1139" s="115"/>
      <c r="H1139" s="115"/>
      <c r="I1139" s="115"/>
      <c r="J1139" s="115"/>
      <c r="K1139" s="115"/>
      <c r="L1139" s="115"/>
      <c r="M1139" s="115"/>
      <c r="N1139" s="115"/>
      <c r="O1139" s="115"/>
      <c r="P1139" s="115"/>
      <c r="Q1139" s="115"/>
      <c r="R1139" s="115"/>
      <c r="S1139" s="115"/>
      <c r="T1139" s="115"/>
      <c r="U1139" s="115"/>
      <c r="V1139" s="115"/>
      <c r="W1139" s="115"/>
      <c r="X1139" s="115"/>
      <c r="Y1139" s="115"/>
      <c r="Z1139" s="122"/>
      <c r="AA1139" s="122"/>
      <c r="AB1139" s="122"/>
      <c r="AC1139" s="115"/>
      <c r="AD1139" s="115"/>
      <c r="AE1139" s="115"/>
      <c r="AF1139" s="115"/>
      <c r="AG1139" s="115"/>
      <c r="AH1139" s="115"/>
      <c r="AI1139" s="115"/>
      <c r="AJ1139" s="115"/>
      <c r="AK1139" s="115"/>
      <c r="AL1139" s="115"/>
      <c r="AM1139" s="115"/>
      <c r="AN1139" s="115"/>
      <c r="AO1139" s="115"/>
      <c r="AP1139" s="115"/>
      <c r="AQ1139" s="119"/>
      <c r="AR1139" s="119"/>
    </row>
  </sheetData>
  <sortState xmlns:xlrd2="http://schemas.microsoft.com/office/spreadsheetml/2017/richdata2" ref="H2:I193">
    <sortCondition ref="H2:H193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2025-01-14T07:41:30Z</cp:lastPrinted>
  <dcterms:created xsi:type="dcterms:W3CDTF">2020-05-08T06:29:04Z</dcterms:created>
  <dcterms:modified xsi:type="dcterms:W3CDTF">2025-01-15T01:36:36Z</dcterms:modified>
</cp:coreProperties>
</file>