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8F660CC4-A867-4079-8141-595E3D0FDB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4" l="1"/>
  <c r="I26" i="4"/>
  <c r="H26" i="4"/>
  <c r="J27" i="4" s="1"/>
  <c r="D27" i="3"/>
  <c r="D26" i="3"/>
  <c r="C26" i="3"/>
  <c r="B26" i="3"/>
  <c r="H172" i="3"/>
  <c r="H170" i="3"/>
  <c r="H165" i="3"/>
  <c r="H161" i="3"/>
  <c r="H154" i="3"/>
  <c r="H151" i="3"/>
  <c r="H145" i="3"/>
  <c r="H126" i="3"/>
  <c r="H119" i="3"/>
  <c r="H115" i="3"/>
  <c r="H103" i="3"/>
  <c r="H94" i="3"/>
  <c r="H68" i="3"/>
  <c r="H66" i="3"/>
  <c r="H64" i="3"/>
  <c r="H59" i="3"/>
  <c r="H53" i="3"/>
  <c r="H41" i="3"/>
  <c r="H36" i="3"/>
  <c r="H21" i="3"/>
  <c r="H9" i="3"/>
  <c r="H7" i="3"/>
  <c r="H5" i="3"/>
  <c r="H3" i="3"/>
  <c r="H173" i="3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F203" i="3"/>
  <c r="AE203" i="3"/>
  <c r="AF198" i="3"/>
  <c r="AE198" i="3"/>
  <c r="AF196" i="3"/>
  <c r="AE196" i="3"/>
  <c r="AF182" i="3"/>
  <c r="AE182" i="3"/>
  <c r="AF164" i="3"/>
  <c r="AE164" i="3"/>
  <c r="AF156" i="3"/>
  <c r="AE156" i="3"/>
  <c r="AF136" i="3"/>
  <c r="AE136" i="3"/>
  <c r="AF129" i="3"/>
  <c r="AE129" i="3"/>
  <c r="AF105" i="3"/>
  <c r="AE105" i="3"/>
  <c r="AF102" i="3"/>
  <c r="AE102" i="3"/>
  <c r="AF95" i="3"/>
  <c r="AE95" i="3"/>
  <c r="AF70" i="3"/>
  <c r="AE70" i="3"/>
  <c r="AF47" i="3"/>
  <c r="AE47" i="3"/>
  <c r="AF43" i="3"/>
  <c r="AE43" i="3"/>
  <c r="AF33" i="3"/>
  <c r="AE33" i="3"/>
  <c r="AF30" i="3"/>
  <c r="AE30" i="3"/>
  <c r="AF25" i="3"/>
  <c r="AE25" i="3"/>
  <c r="AF23" i="3"/>
  <c r="AE23" i="3"/>
  <c r="AF19" i="3"/>
  <c r="AE19" i="3"/>
  <c r="AF13" i="3"/>
  <c r="AE13" i="3"/>
  <c r="AF11" i="3"/>
  <c r="AE11" i="3"/>
  <c r="AF6" i="3"/>
  <c r="AE6" i="3"/>
  <c r="B61" i="1"/>
  <c r="A241" i="1"/>
  <c r="A151" i="1"/>
  <c r="AB43" i="1"/>
  <c r="AE204" i="3" l="1"/>
  <c r="AF204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<sst xmlns="http://schemas.openxmlformats.org/spreadsheetml/2006/main" count="2513" uniqueCount="378">
  <si>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</si>
  <si>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</si>
  <si>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</si>
  <si>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</si>
  <si>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</si>
  <si>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</si>
  <si>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</si>
  <si>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</si>
  <si>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</si>
  <si>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</si>
  <si>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</si>
  <si>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</si>
  <si>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</si>
  <si>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</si>
  <si>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</si>
  <si>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</si>
  <si>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</si>
  <si>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</si>
  <si>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</si>
  <si>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</si>
  <si>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</si>
  <si>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</si>
  <si>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</si>
  <si>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</si>
  <si>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</si>
  <si>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</si>
  <si>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</si>
  <si>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</si>
  <si>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</si>
  <si>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</si>
  <si>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</si>
  <si>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</si>
  <si>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</si>
  <si>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</si>
  <si>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</si>
  <si>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</si>
  <si>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</si>
  <si>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</si>
  <si>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</si>
  <si>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</si>
  <si>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</si>
  <si>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</si>
  <si>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</si>
  <si>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</si>
  <si>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</si>
  <si>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</si>
  <si>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</si>
  <si>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</si>
  <si>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</si>
  <si>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</si>
  <si>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</si>
  <si>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</si>
  <si>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</si>
  <si>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</si>
  <si>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</si>
  <si>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</si>
  <si>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</si>
  <si>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</si>
  <si>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</si>
  <si>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</si>
  <si>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</si>
  <si>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</si>
  <si>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</si>
  <si>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</si>
  <si>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</si>
  <si>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</si>
  <si>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</si>
  <si>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</si>
  <si>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</si>
  <si>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</si>
  <si>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</si>
  <si>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</si>
  <si>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</si>
  <si>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</si>
  <si>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</si>
  <si>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</si>
  <si>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</si>
  <si>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</si>
  <si>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</si>
  <si>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</si>
  <si>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</si>
  <si>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</si>
  <si>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</si>
  <si>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</si>
  <si>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</si>
  <si>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</si>
  <si>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</si>
  <si>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</si>
  <si>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</si>
  <si>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</si>
  <si>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</si>
  <si>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</si>
  <si>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</si>
  <si>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</si>
  <si>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</si>
  <si>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</si>
  <si>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</si>
  <si>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</si>
  <si>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</si>
  <si>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</si>
  <si>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</si>
  <si>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</si>
  <si>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</si>
  <si>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</si>
  <si>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</si>
  <si>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</si>
  <si>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</si>
  <si>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</si>
  <si>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</si>
  <si>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</si>
  <si>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</si>
  <si>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</si>
  <si>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</si>
  <si>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</si>
  <si>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</si>
  <si>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</si>
  <si>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</si>
  <si>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</si>
  <si>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</si>
  <si>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</si>
  <si>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</si>
  <si>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</si>
  <si>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</si>
  <si>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</si>
  <si>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</si>
  <si>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</si>
  <si>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</si>
  <si>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</si>
  <si>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</si>
  <si>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</si>
  <si>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</si>
  <si>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</si>
  <si>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</si>
  <si>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</si>
  <si>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</si>
  <si>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</si>
  <si>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</si>
  <si>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</si>
  <si>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</si>
  <si>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</si>
  <si>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</si>
  <si>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</si>
  <si>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</si>
  <si>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</si>
  <si>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</si>
  <si>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</si>
  <si>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</si>
  <si>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</si>
  <si>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</si>
  <si>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</si>
  <si>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</si>
  <si>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</si>
  <si>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</si>
  <si>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</si>
  <si>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</si>
  <si>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</si>
  <si>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</si>
  <si>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</si>
  <si>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</si>
  <si>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</si>
  <si>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</si>
  <si>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</si>
  <si>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</si>
  <si>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</si>
  <si>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</si>
  <si>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</si>
  <si>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</si>
  <si>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</si>
  <si>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</si>
  <si>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</si>
  <si>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</si>
  <si>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</si>
  <si>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</si>
  <si>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</si>
  <si>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</si>
  <si>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M032</t>
    <phoneticPr fontId="1"/>
  </si>
  <si>
    <t>S</t>
    <phoneticPr fontId="1"/>
  </si>
  <si>
    <t>A913</t>
    <phoneticPr fontId="1"/>
  </si>
  <si>
    <t>A700</t>
    <phoneticPr fontId="1"/>
  </si>
  <si>
    <t>M079</t>
    <phoneticPr fontId="1"/>
  </si>
  <si>
    <t>E</t>
    <phoneticPr fontId="1"/>
  </si>
  <si>
    <t>A335</t>
    <phoneticPr fontId="1"/>
  </si>
  <si>
    <t>M037</t>
    <phoneticPr fontId="1"/>
  </si>
  <si>
    <t>A997</t>
    <phoneticPr fontId="1"/>
  </si>
  <si>
    <t>A623</t>
    <phoneticPr fontId="1"/>
  </si>
  <si>
    <t>M078</t>
    <phoneticPr fontId="1"/>
  </si>
  <si>
    <t>A550</t>
    <phoneticPr fontId="1"/>
  </si>
  <si>
    <t>A545</t>
    <phoneticPr fontId="1"/>
  </si>
  <si>
    <t>A523</t>
    <phoneticPr fontId="1"/>
  </si>
  <si>
    <t>A501</t>
    <phoneticPr fontId="1"/>
  </si>
  <si>
    <t>A505</t>
    <phoneticPr fontId="1"/>
  </si>
  <si>
    <t>M070</t>
    <phoneticPr fontId="1"/>
  </si>
  <si>
    <t>A611</t>
    <phoneticPr fontId="1"/>
  </si>
  <si>
    <t>AYG085</t>
    <phoneticPr fontId="1"/>
  </si>
  <si>
    <t>A123</t>
    <phoneticPr fontId="1"/>
  </si>
  <si>
    <t>C</t>
    <phoneticPr fontId="1"/>
  </si>
  <si>
    <t>A199</t>
    <phoneticPr fontId="1"/>
  </si>
  <si>
    <t>P</t>
    <phoneticPr fontId="1"/>
  </si>
  <si>
    <t>A630</t>
    <phoneticPr fontId="1"/>
  </si>
  <si>
    <t>A336</t>
    <phoneticPr fontId="1"/>
  </si>
  <si>
    <t>AYG086</t>
    <phoneticPr fontId="1"/>
  </si>
  <si>
    <t>06070242</t>
    <phoneticPr fontId="1"/>
  </si>
  <si>
    <t>06080025</t>
    <phoneticPr fontId="1"/>
  </si>
  <si>
    <t>06080024</t>
    <phoneticPr fontId="1"/>
  </si>
  <si>
    <t>06080026</t>
    <phoneticPr fontId="1"/>
  </si>
  <si>
    <t>06080030</t>
    <phoneticPr fontId="1"/>
  </si>
  <si>
    <t>M028</t>
    <phoneticPr fontId="1"/>
  </si>
  <si>
    <t>06080093</t>
    <phoneticPr fontId="1"/>
  </si>
  <si>
    <t>06080094</t>
    <phoneticPr fontId="1"/>
  </si>
  <si>
    <t>A120</t>
    <phoneticPr fontId="1"/>
  </si>
  <si>
    <t>06080099</t>
    <phoneticPr fontId="1"/>
  </si>
  <si>
    <t>06080103</t>
    <phoneticPr fontId="1"/>
  </si>
  <si>
    <t>06080107</t>
    <phoneticPr fontId="1"/>
  </si>
  <si>
    <t>06080111</t>
    <phoneticPr fontId="1"/>
  </si>
  <si>
    <t>06080114</t>
    <phoneticPr fontId="1"/>
  </si>
  <si>
    <t>06080115</t>
    <phoneticPr fontId="1"/>
  </si>
  <si>
    <t>06080118</t>
    <phoneticPr fontId="1"/>
  </si>
  <si>
    <t>06080102</t>
    <phoneticPr fontId="1"/>
  </si>
  <si>
    <t>06080121</t>
    <phoneticPr fontId="1"/>
  </si>
  <si>
    <t>06080122</t>
    <phoneticPr fontId="1"/>
  </si>
  <si>
    <t>06080124</t>
    <phoneticPr fontId="1"/>
  </si>
  <si>
    <t>06080125</t>
    <phoneticPr fontId="1"/>
  </si>
  <si>
    <t>06080132</t>
    <phoneticPr fontId="1"/>
  </si>
  <si>
    <t>06080133</t>
    <phoneticPr fontId="1"/>
  </si>
  <si>
    <t>06080134</t>
    <phoneticPr fontId="1"/>
  </si>
  <si>
    <t>06080135</t>
    <phoneticPr fontId="1"/>
  </si>
  <si>
    <t>06080138</t>
    <phoneticPr fontId="1"/>
  </si>
  <si>
    <t>06080139</t>
    <phoneticPr fontId="1"/>
  </si>
  <si>
    <t>06080136</t>
    <phoneticPr fontId="1"/>
  </si>
  <si>
    <t>06080137</t>
    <phoneticPr fontId="1"/>
  </si>
  <si>
    <t>06080140</t>
    <phoneticPr fontId="1"/>
  </si>
  <si>
    <t>06080141</t>
    <phoneticPr fontId="1"/>
  </si>
  <si>
    <t>06070463</t>
    <phoneticPr fontId="1"/>
  </si>
  <si>
    <t>06080041</t>
    <phoneticPr fontId="1"/>
  </si>
  <si>
    <t>06080043</t>
    <phoneticPr fontId="1"/>
  </si>
  <si>
    <t>06080080</t>
    <phoneticPr fontId="1"/>
  </si>
  <si>
    <t>06080081</t>
    <phoneticPr fontId="1"/>
  </si>
  <si>
    <t>06080084</t>
    <phoneticPr fontId="1"/>
  </si>
  <si>
    <t>06080086</t>
    <phoneticPr fontId="1"/>
  </si>
  <si>
    <t>06080123</t>
    <phoneticPr fontId="1"/>
  </si>
  <si>
    <t>06080120</t>
    <phoneticPr fontId="1"/>
  </si>
  <si>
    <t>06080142</t>
    <phoneticPr fontId="1"/>
  </si>
  <si>
    <t>M067</t>
    <phoneticPr fontId="1"/>
  </si>
  <si>
    <t>06080143</t>
    <phoneticPr fontId="1"/>
  </si>
  <si>
    <t>06080145</t>
    <phoneticPr fontId="1"/>
  </si>
  <si>
    <t>06080146</t>
    <phoneticPr fontId="1"/>
  </si>
  <si>
    <t>06080147</t>
    <phoneticPr fontId="1"/>
  </si>
  <si>
    <t>06080153</t>
    <phoneticPr fontId="1"/>
  </si>
  <si>
    <t>06080159</t>
    <phoneticPr fontId="1"/>
  </si>
  <si>
    <t>06080161</t>
    <phoneticPr fontId="1"/>
  </si>
  <si>
    <t>06080169</t>
    <phoneticPr fontId="1"/>
  </si>
  <si>
    <t>06080171</t>
    <phoneticPr fontId="1"/>
  </si>
  <si>
    <t>06080174</t>
    <phoneticPr fontId="1"/>
  </si>
  <si>
    <t>06080175</t>
    <phoneticPr fontId="1"/>
  </si>
  <si>
    <t>06080179</t>
    <phoneticPr fontId="1"/>
  </si>
  <si>
    <t>06080181</t>
    <phoneticPr fontId="1"/>
  </si>
  <si>
    <t>06080182</t>
    <phoneticPr fontId="1"/>
  </si>
  <si>
    <t>06080183</t>
    <phoneticPr fontId="1"/>
  </si>
  <si>
    <t>06080186</t>
    <phoneticPr fontId="1"/>
  </si>
  <si>
    <t>06080192</t>
    <phoneticPr fontId="1"/>
  </si>
  <si>
    <t>06080193</t>
    <phoneticPr fontId="1"/>
  </si>
  <si>
    <t>06080194</t>
    <phoneticPr fontId="1"/>
  </si>
  <si>
    <t>06080195</t>
    <phoneticPr fontId="1"/>
  </si>
  <si>
    <t>06070543</t>
    <phoneticPr fontId="1"/>
  </si>
  <si>
    <t>A745</t>
    <phoneticPr fontId="1"/>
  </si>
  <si>
    <t>06070544</t>
    <phoneticPr fontId="1"/>
  </si>
  <si>
    <t>06080038</t>
    <phoneticPr fontId="1"/>
  </si>
  <si>
    <t>06080083</t>
    <phoneticPr fontId="1"/>
  </si>
  <si>
    <t>06080085</t>
    <phoneticPr fontId="1"/>
  </si>
  <si>
    <t>06080089</t>
    <phoneticPr fontId="1"/>
  </si>
  <si>
    <t>06080095</t>
    <phoneticPr fontId="1"/>
  </si>
  <si>
    <t>060800969</t>
    <phoneticPr fontId="1"/>
  </si>
  <si>
    <t>06080100</t>
    <phoneticPr fontId="1"/>
  </si>
  <si>
    <t>06080112</t>
    <phoneticPr fontId="1"/>
  </si>
  <si>
    <t>06080113</t>
    <phoneticPr fontId="1"/>
  </si>
  <si>
    <t>06080227</t>
    <phoneticPr fontId="1"/>
  </si>
  <si>
    <t>06080228</t>
    <phoneticPr fontId="1"/>
  </si>
  <si>
    <t>06080229</t>
    <phoneticPr fontId="1"/>
  </si>
  <si>
    <t>06080160</t>
    <phoneticPr fontId="1"/>
  </si>
  <si>
    <t>06080162</t>
    <phoneticPr fontId="1"/>
  </si>
  <si>
    <t>06080163</t>
    <phoneticPr fontId="1"/>
  </si>
  <si>
    <t>06080164</t>
    <phoneticPr fontId="1"/>
  </si>
  <si>
    <t>06080165</t>
    <phoneticPr fontId="1"/>
  </si>
  <si>
    <t>06080166</t>
    <phoneticPr fontId="1"/>
  </si>
  <si>
    <t>06080167</t>
    <phoneticPr fontId="1"/>
  </si>
  <si>
    <t>06080170</t>
    <phoneticPr fontId="1"/>
  </si>
  <si>
    <t>06080168</t>
    <phoneticPr fontId="1"/>
  </si>
  <si>
    <t>06080172</t>
    <phoneticPr fontId="1"/>
  </si>
  <si>
    <t>06080173</t>
    <phoneticPr fontId="1"/>
  </si>
  <si>
    <t>06080176</t>
    <phoneticPr fontId="1"/>
  </si>
  <si>
    <t>06080177</t>
    <phoneticPr fontId="1"/>
  </si>
  <si>
    <t>06080178</t>
    <phoneticPr fontId="1"/>
  </si>
  <si>
    <t>06080180</t>
    <phoneticPr fontId="1"/>
  </si>
  <si>
    <t>06080184</t>
    <phoneticPr fontId="1"/>
  </si>
  <si>
    <t>06080185</t>
    <phoneticPr fontId="1"/>
  </si>
  <si>
    <t>06080187</t>
    <phoneticPr fontId="1"/>
  </si>
  <si>
    <t>06080189</t>
    <phoneticPr fontId="1"/>
  </si>
  <si>
    <t>06080190</t>
    <phoneticPr fontId="1"/>
  </si>
  <si>
    <t>06080191</t>
    <phoneticPr fontId="1"/>
  </si>
  <si>
    <t>06080205</t>
    <phoneticPr fontId="1"/>
  </si>
  <si>
    <t>06080206</t>
    <phoneticPr fontId="1"/>
  </si>
  <si>
    <t>06080207</t>
    <phoneticPr fontId="1"/>
  </si>
  <si>
    <t>06080208</t>
    <phoneticPr fontId="1"/>
  </si>
  <si>
    <t>06080209</t>
    <phoneticPr fontId="1"/>
  </si>
  <si>
    <t>06080244</t>
    <phoneticPr fontId="1"/>
  </si>
  <si>
    <t>06080245</t>
    <phoneticPr fontId="1"/>
  </si>
  <si>
    <t>06080246</t>
    <phoneticPr fontId="1"/>
  </si>
  <si>
    <t>06080247</t>
    <phoneticPr fontId="1"/>
  </si>
  <si>
    <t>06080268</t>
    <phoneticPr fontId="1"/>
  </si>
  <si>
    <t>06080269</t>
    <phoneticPr fontId="1"/>
  </si>
  <si>
    <t>0608019</t>
    <phoneticPr fontId="1"/>
  </si>
  <si>
    <t>06080220</t>
    <phoneticPr fontId="1"/>
  </si>
  <si>
    <t>06080221</t>
  </si>
  <si>
    <t>06080222</t>
  </si>
  <si>
    <t>06080223</t>
  </si>
  <si>
    <t>06080224</t>
  </si>
  <si>
    <t>06080225</t>
  </si>
  <si>
    <t>06080226</t>
  </si>
  <si>
    <t>06070402</t>
    <phoneticPr fontId="1"/>
  </si>
  <si>
    <t>06070403</t>
    <phoneticPr fontId="1"/>
  </si>
  <si>
    <t>06080039</t>
    <phoneticPr fontId="1"/>
  </si>
  <si>
    <t>06080090</t>
    <phoneticPr fontId="1"/>
  </si>
  <si>
    <t>06080156</t>
    <phoneticPr fontId="1"/>
  </si>
  <si>
    <t>A850</t>
    <phoneticPr fontId="1"/>
  </si>
  <si>
    <t>06080240</t>
    <phoneticPr fontId="1"/>
  </si>
  <si>
    <t>06080241</t>
    <phoneticPr fontId="1"/>
  </si>
  <si>
    <t>06080242</t>
    <phoneticPr fontId="1"/>
  </si>
  <si>
    <t>06080243</t>
    <phoneticPr fontId="1"/>
  </si>
  <si>
    <t>06080265</t>
    <phoneticPr fontId="1"/>
  </si>
  <si>
    <t>06080266</t>
    <phoneticPr fontId="1"/>
  </si>
  <si>
    <t>06080282</t>
    <phoneticPr fontId="1"/>
  </si>
  <si>
    <t>06080283</t>
    <phoneticPr fontId="1"/>
  </si>
  <si>
    <t>06080287</t>
    <phoneticPr fontId="1"/>
  </si>
  <si>
    <t>06080288</t>
    <phoneticPr fontId="1"/>
  </si>
  <si>
    <t>06080289</t>
    <phoneticPr fontId="1"/>
  </si>
  <si>
    <t>06080130</t>
    <phoneticPr fontId="1"/>
  </si>
  <si>
    <t>06080131</t>
    <phoneticPr fontId="1"/>
  </si>
  <si>
    <t>06080217</t>
    <phoneticPr fontId="1"/>
  </si>
  <si>
    <t>06080218</t>
    <phoneticPr fontId="1"/>
  </si>
  <si>
    <t>06080233</t>
    <phoneticPr fontId="1"/>
  </si>
  <si>
    <t>A128</t>
    <phoneticPr fontId="1"/>
  </si>
  <si>
    <t>06080234</t>
    <phoneticPr fontId="1"/>
  </si>
  <si>
    <t>06080235</t>
    <phoneticPr fontId="1"/>
  </si>
  <si>
    <t>06080236</t>
    <phoneticPr fontId="1"/>
  </si>
  <si>
    <t>06080237</t>
    <phoneticPr fontId="1"/>
  </si>
  <si>
    <t>06080238</t>
    <phoneticPr fontId="1"/>
  </si>
  <si>
    <t>06080239</t>
    <phoneticPr fontId="1"/>
  </si>
  <si>
    <t>06080248</t>
    <phoneticPr fontId="1"/>
  </si>
  <si>
    <t>06080249</t>
    <phoneticPr fontId="1"/>
  </si>
  <si>
    <t>06080250</t>
    <phoneticPr fontId="1"/>
  </si>
  <si>
    <t>06080278</t>
    <phoneticPr fontId="1"/>
  </si>
  <si>
    <t>06080279</t>
    <phoneticPr fontId="1"/>
  </si>
  <si>
    <t>06080285</t>
    <phoneticPr fontId="1"/>
  </si>
  <si>
    <t>06080286</t>
    <phoneticPr fontId="1"/>
  </si>
  <si>
    <t>2024/9/1 個数</t>
  </si>
  <si>
    <t>2024/9/9 個数</t>
  </si>
  <si>
    <t>2024/9/11 個数</t>
  </si>
  <si>
    <t>2024/9/15 個数</t>
  </si>
  <si>
    <t>2024/9/16 個数</t>
  </si>
  <si>
    <t>2024/9/17 個数</t>
  </si>
  <si>
    <t>2024/9/18 個数</t>
  </si>
  <si>
    <t>2024/9/20 個数</t>
  </si>
  <si>
    <t>2024/9/21 個数</t>
  </si>
  <si>
    <t>2024/9/22 個数</t>
  </si>
  <si>
    <t>2024/9/23 個数</t>
  </si>
  <si>
    <t>2024/9/24 個数</t>
  </si>
  <si>
    <t>2024/9/25 個数</t>
  </si>
  <si>
    <t>2024/9/26 個数</t>
  </si>
  <si>
    <t>2024/9/28 個数</t>
  </si>
  <si>
    <t>2024/10/1 個数</t>
  </si>
  <si>
    <t>2024/10/2 個数</t>
  </si>
  <si>
    <t>2024/10/8 個数</t>
  </si>
  <si>
    <t>2024/9/8 個数</t>
  </si>
  <si>
    <t>2024/9/10 個数</t>
  </si>
  <si>
    <t>2024/9/19 個数</t>
  </si>
  <si>
    <t>2024/9/30 個数</t>
  </si>
  <si>
    <t>2024/10/3 個数</t>
  </si>
  <si>
    <t>2024/10/18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</si>
</sst>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0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11" fillId="3" borderId="7" xfId="0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478"/>
  <sheetViews>
    <sheetView tabSelected="1" zoomScale="106" zoomScaleNormal="106" workbookViewId="0">
      <selection activeCell="I10" sqref="I10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200</v>
      </c>
      <c r="B1" s="24">
        <v>45526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6" t="s">
        <v>105</v>
      </c>
      <c r="Y2" s="142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3">
        <v>1</v>
      </c>
      <c r="B3" s="133">
        <v>17.8</v>
      </c>
      <c r="C3" s="85" t="s">
        <v>201</v>
      </c>
      <c r="D3" s="109" t="s">
        <v>175</v>
      </c>
      <c r="E3" s="15" t="s">
        <v>38</v>
      </c>
      <c r="F3" s="14"/>
      <c r="G3" s="12" t="s">
        <v>176</v>
      </c>
      <c r="H3" s="13"/>
      <c r="I3" s="13"/>
      <c r="J3" s="13">
        <v>1</v>
      </c>
      <c r="K3" s="13">
        <v>1</v>
      </c>
      <c r="L3" s="13"/>
      <c r="M3" s="13"/>
      <c r="N3" s="13"/>
      <c r="O3" s="13"/>
      <c r="P3" s="13"/>
      <c r="Q3" s="13"/>
      <c r="R3" s="13"/>
      <c r="S3" s="13"/>
      <c r="T3" s="25">
        <v>45557</v>
      </c>
      <c r="U3" s="13" t="s">
        <v>147</v>
      </c>
      <c r="V3">
        <v>1</v>
      </c>
      <c r="X3" s="51" t="s">
        <v>106</v>
      </c>
      <c r="Y3" s="52">
        <f>COUNTIF(U3:U27,"K")</f>
        <v>5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4"/>
      <c r="B4" s="134"/>
      <c r="C4" s="85" t="s">
        <v>202</v>
      </c>
      <c r="D4" s="109" t="s">
        <v>177</v>
      </c>
      <c r="E4" s="15" t="s">
        <v>60</v>
      </c>
      <c r="F4" s="16"/>
      <c r="G4" s="12" t="s">
        <v>176</v>
      </c>
      <c r="H4" s="15"/>
      <c r="I4" s="13"/>
      <c r="J4" s="15"/>
      <c r="K4" s="15">
        <v>1</v>
      </c>
      <c r="L4" s="17"/>
      <c r="M4" s="17"/>
      <c r="N4" s="13"/>
      <c r="O4" s="17"/>
      <c r="P4" s="17"/>
      <c r="Q4" s="17"/>
      <c r="R4" s="17"/>
      <c r="S4" s="15"/>
      <c r="T4" s="25">
        <v>45546</v>
      </c>
      <c r="U4" s="13" t="s">
        <v>146</v>
      </c>
      <c r="V4">
        <v>2</v>
      </c>
      <c r="X4" s="51" t="s">
        <v>107</v>
      </c>
      <c r="Y4" s="52">
        <f>COUNTIF(U3:U27,"R")</f>
        <v>7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4"/>
      <c r="B5" s="134"/>
      <c r="C5" s="85" t="s">
        <v>203</v>
      </c>
      <c r="D5" s="109" t="s">
        <v>177</v>
      </c>
      <c r="E5" s="15" t="s">
        <v>36</v>
      </c>
      <c r="F5" s="16"/>
      <c r="G5" s="12" t="s">
        <v>176</v>
      </c>
      <c r="H5" s="13"/>
      <c r="I5" s="13"/>
      <c r="J5" s="15"/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45544</v>
      </c>
      <c r="U5" s="13" t="s">
        <v>146</v>
      </c>
      <c r="V5">
        <v>3</v>
      </c>
      <c r="X5" s="53" t="s">
        <v>108</v>
      </c>
      <c r="Y5" s="54">
        <f>COUNTIF(U3:U27,"J")</f>
        <v>2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4"/>
      <c r="B6" s="134"/>
      <c r="C6" s="85" t="s">
        <v>204</v>
      </c>
      <c r="D6" s="109" t="s">
        <v>177</v>
      </c>
      <c r="E6" s="15" t="s">
        <v>60</v>
      </c>
      <c r="F6" s="16"/>
      <c r="G6" s="12" t="s">
        <v>176</v>
      </c>
      <c r="H6" s="15"/>
      <c r="I6" s="13"/>
      <c r="J6" s="13"/>
      <c r="K6" s="15">
        <v>1</v>
      </c>
      <c r="L6" s="17"/>
      <c r="M6" s="17"/>
      <c r="N6" s="13"/>
      <c r="O6" s="17"/>
      <c r="P6" s="17"/>
      <c r="Q6" s="17"/>
      <c r="R6" s="17"/>
      <c r="S6" s="15"/>
      <c r="T6" s="25">
        <v>45546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4"/>
      <c r="B7" s="134"/>
      <c r="C7" s="85" t="s">
        <v>205</v>
      </c>
      <c r="D7" s="109" t="s">
        <v>191</v>
      </c>
      <c r="E7" s="15" t="s">
        <v>75</v>
      </c>
      <c r="F7" s="16"/>
      <c r="G7" s="12" t="s">
        <v>176</v>
      </c>
      <c r="H7" s="15"/>
      <c r="I7" s="13"/>
      <c r="J7" s="15"/>
      <c r="K7" s="15"/>
      <c r="L7" s="17"/>
      <c r="M7" s="17"/>
      <c r="N7" s="13"/>
      <c r="O7" s="17"/>
      <c r="P7" s="17"/>
      <c r="Q7" s="17"/>
      <c r="R7" s="17"/>
      <c r="S7" s="15"/>
      <c r="T7" s="25">
        <v>45550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4"/>
      <c r="B8" s="134"/>
      <c r="C8" s="85" t="s">
        <v>207</v>
      </c>
      <c r="D8" s="109" t="s">
        <v>206</v>
      </c>
      <c r="E8" s="15" t="s">
        <v>57</v>
      </c>
      <c r="F8" s="16"/>
      <c r="G8" s="12" t="s">
        <v>195</v>
      </c>
      <c r="H8" s="13"/>
      <c r="I8" s="13"/>
      <c r="J8" s="15"/>
      <c r="K8" s="15"/>
      <c r="L8" s="17"/>
      <c r="M8" s="17"/>
      <c r="N8" s="13"/>
      <c r="O8" s="17"/>
      <c r="P8" s="17"/>
      <c r="Q8" s="17"/>
      <c r="R8" s="17"/>
      <c r="S8" s="15"/>
      <c r="T8" s="25">
        <v>45553</v>
      </c>
      <c r="U8" s="13" t="s">
        <v>147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4"/>
      <c r="B9" s="134"/>
      <c r="C9" s="85" t="s">
        <v>208</v>
      </c>
      <c r="D9" s="109" t="s">
        <v>209</v>
      </c>
      <c r="E9" s="15" t="s">
        <v>37</v>
      </c>
      <c r="F9" s="16"/>
      <c r="G9" s="12" t="s">
        <v>176</v>
      </c>
      <c r="H9" s="15"/>
      <c r="I9" s="13"/>
      <c r="J9" s="15"/>
      <c r="K9" s="15"/>
      <c r="L9" s="17"/>
      <c r="M9" s="17">
        <v>1</v>
      </c>
      <c r="N9" s="13">
        <v>1</v>
      </c>
      <c r="O9" s="17"/>
      <c r="P9" s="17"/>
      <c r="Q9" s="17">
        <v>1</v>
      </c>
      <c r="R9" s="17"/>
      <c r="S9" s="15"/>
      <c r="T9" s="25">
        <v>45555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4"/>
      <c r="B10" s="134"/>
      <c r="C10" s="85" t="s">
        <v>210</v>
      </c>
      <c r="D10" s="109" t="s">
        <v>209</v>
      </c>
      <c r="E10" s="15" t="s">
        <v>37</v>
      </c>
      <c r="F10" s="16"/>
      <c r="G10" s="12" t="s">
        <v>176</v>
      </c>
      <c r="H10" s="15"/>
      <c r="I10" s="13"/>
      <c r="J10" s="15">
        <v>1</v>
      </c>
      <c r="K10" s="15"/>
      <c r="L10" s="17"/>
      <c r="M10" s="17"/>
      <c r="N10" s="13"/>
      <c r="O10" s="17"/>
      <c r="P10" s="17"/>
      <c r="Q10" s="17"/>
      <c r="R10" s="17"/>
      <c r="S10" s="15"/>
      <c r="T10" s="25">
        <v>45573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4"/>
      <c r="B11" s="134"/>
      <c r="C11" s="85" t="s">
        <v>211</v>
      </c>
      <c r="D11" s="109" t="s">
        <v>191</v>
      </c>
      <c r="E11" s="15" t="s">
        <v>40</v>
      </c>
      <c r="F11" s="16"/>
      <c r="G11" s="12" t="s">
        <v>176</v>
      </c>
      <c r="H11" s="15"/>
      <c r="I11" s="13"/>
      <c r="J11" s="15"/>
      <c r="K11" s="15"/>
      <c r="L11" s="17"/>
      <c r="M11" s="17"/>
      <c r="N11" s="13"/>
      <c r="O11" s="17">
        <v>1</v>
      </c>
      <c r="P11" s="17">
        <v>1</v>
      </c>
      <c r="Q11" s="17"/>
      <c r="R11" s="17"/>
      <c r="S11" s="15"/>
      <c r="T11" s="25">
        <v>45546</v>
      </c>
      <c r="U11" s="13" t="s">
        <v>148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4"/>
      <c r="B12" s="134"/>
      <c r="C12" s="85" t="s">
        <v>212</v>
      </c>
      <c r="D12" s="109" t="s">
        <v>187</v>
      </c>
      <c r="E12" s="15" t="s">
        <v>38</v>
      </c>
      <c r="F12" s="16"/>
      <c r="G12" s="12" t="s">
        <v>176</v>
      </c>
      <c r="H12" s="15" t="s">
        <v>180</v>
      </c>
      <c r="I12" s="15"/>
      <c r="J12" s="15">
        <v>1</v>
      </c>
      <c r="K12" s="15">
        <v>1</v>
      </c>
      <c r="L12" s="17"/>
      <c r="M12" s="17"/>
      <c r="N12" s="17"/>
      <c r="O12" s="17"/>
      <c r="P12" s="17"/>
      <c r="Q12" s="17"/>
      <c r="R12" s="17"/>
      <c r="S12" s="15"/>
      <c r="T12" s="25">
        <v>45550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4"/>
      <c r="B13" s="134"/>
      <c r="C13" s="85" t="s">
        <v>213</v>
      </c>
      <c r="D13" s="109" t="s">
        <v>185</v>
      </c>
      <c r="E13" s="15" t="s">
        <v>79</v>
      </c>
      <c r="F13" s="16"/>
      <c r="G13" s="12" t="s">
        <v>176</v>
      </c>
      <c r="H13" s="15"/>
      <c r="I13" s="15"/>
      <c r="J13" s="15"/>
      <c r="K13" s="15"/>
      <c r="L13" s="17"/>
      <c r="M13" s="17"/>
      <c r="N13" s="17"/>
      <c r="O13" s="17">
        <v>1</v>
      </c>
      <c r="P13" s="17"/>
      <c r="Q13" s="17"/>
      <c r="R13" s="17"/>
      <c r="S13" s="15"/>
      <c r="T13" s="25">
        <v>45551</v>
      </c>
      <c r="U13" s="13" t="s">
        <v>148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4"/>
      <c r="B14" s="134"/>
      <c r="C14" s="85" t="s">
        <v>214</v>
      </c>
      <c r="D14" s="109" t="s">
        <v>183</v>
      </c>
      <c r="E14" s="15" t="s">
        <v>36</v>
      </c>
      <c r="F14" s="16"/>
      <c r="G14" s="12" t="s">
        <v>176</v>
      </c>
      <c r="H14" s="15"/>
      <c r="I14" s="15"/>
      <c r="J14" s="15"/>
      <c r="K14" s="15"/>
      <c r="L14" s="17"/>
      <c r="M14" s="17">
        <v>1</v>
      </c>
      <c r="N14" s="17">
        <v>1</v>
      </c>
      <c r="O14" s="17"/>
      <c r="P14" s="17"/>
      <c r="Q14" s="17">
        <v>1</v>
      </c>
      <c r="R14" s="17"/>
      <c r="S14" s="15"/>
      <c r="T14" s="25">
        <v>45550</v>
      </c>
      <c r="U14" s="13" t="s">
        <v>147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4"/>
      <c r="B15" s="134"/>
      <c r="C15" s="85" t="s">
        <v>215</v>
      </c>
      <c r="D15" s="109" t="s">
        <v>183</v>
      </c>
      <c r="E15" s="15" t="s">
        <v>36</v>
      </c>
      <c r="F15" s="16"/>
      <c r="G15" s="12" t="s">
        <v>176</v>
      </c>
      <c r="H15" s="15"/>
      <c r="I15" s="15"/>
      <c r="J15" s="15"/>
      <c r="K15" s="15"/>
      <c r="L15" s="17"/>
      <c r="M15" s="17">
        <v>1</v>
      </c>
      <c r="N15" s="17">
        <v>1</v>
      </c>
      <c r="O15" s="17"/>
      <c r="P15" s="17"/>
      <c r="Q15" s="17">
        <v>1</v>
      </c>
      <c r="R15" s="17"/>
      <c r="S15" s="15"/>
      <c r="T15" s="25">
        <v>45557</v>
      </c>
      <c r="U15" s="13" t="s">
        <v>147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4"/>
      <c r="B16" s="134"/>
      <c r="C16" s="85" t="s">
        <v>216</v>
      </c>
      <c r="D16" s="109" t="s">
        <v>183</v>
      </c>
      <c r="E16" s="15" t="s">
        <v>37</v>
      </c>
      <c r="F16" s="16"/>
      <c r="G16" s="12" t="s">
        <v>176</v>
      </c>
      <c r="H16" s="15"/>
      <c r="I16" s="15"/>
      <c r="J16" s="15"/>
      <c r="K16" s="15"/>
      <c r="L16" s="17"/>
      <c r="M16" s="17">
        <v>1</v>
      </c>
      <c r="N16" s="17">
        <v>1</v>
      </c>
      <c r="O16" s="17"/>
      <c r="P16" s="17"/>
      <c r="Q16" s="17">
        <v>1</v>
      </c>
      <c r="R16" s="17"/>
      <c r="S16" s="15"/>
      <c r="T16" s="25">
        <v>45557</v>
      </c>
      <c r="U16" s="13" t="s">
        <v>147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4"/>
      <c r="B17" s="134"/>
      <c r="C17" s="85"/>
      <c r="D17" s="106"/>
      <c r="E17" s="15"/>
      <c r="F17" s="16"/>
      <c r="G17" s="15"/>
      <c r="H17" s="15"/>
      <c r="I17" s="15"/>
      <c r="J17" s="15"/>
      <c r="K17" s="15"/>
      <c r="L17" s="17"/>
      <c r="M17" s="17"/>
      <c r="N17" s="17"/>
      <c r="O17" s="17"/>
      <c r="P17" s="17"/>
      <c r="Q17" s="17"/>
      <c r="R17" s="17"/>
      <c r="S17" s="15"/>
      <c r="T17" s="25"/>
      <c r="U17" s="15"/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4"/>
      <c r="B18" s="134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4"/>
      <c r="B19" s="134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4"/>
      <c r="B20" s="134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4"/>
      <c r="B21" s="134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4"/>
      <c r="B22" s="134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4"/>
      <c r="B23" s="134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4"/>
      <c r="B24" s="134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4"/>
      <c r="B25" s="134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270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4"/>
      <c r="B26" s="134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5"/>
      <c r="B27" s="135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147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14</v>
      </c>
      <c r="D28" s="112"/>
      <c r="E28" s="29"/>
      <c r="F28" s="29" t="s">
        <v>34</v>
      </c>
      <c r="G28" s="29">
        <f>COUNTIF(G3:G27,"S")</f>
        <v>13</v>
      </c>
      <c r="H28" s="29">
        <f>COUNTIF(H3:H27,"E")</f>
        <v>1</v>
      </c>
      <c r="I28" s="29">
        <f t="shared" ref="I28:S28" si="0">SUM(I3:I27)</f>
        <v>0</v>
      </c>
      <c r="J28" s="29">
        <f t="shared" si="0"/>
        <v>3</v>
      </c>
      <c r="K28" s="29">
        <f t="shared" si="0"/>
        <v>5</v>
      </c>
      <c r="L28" s="29">
        <f t="shared" si="0"/>
        <v>0</v>
      </c>
      <c r="M28" s="29">
        <f t="shared" si="0"/>
        <v>4</v>
      </c>
      <c r="N28" s="29">
        <f t="shared" si="0"/>
        <v>4</v>
      </c>
      <c r="O28" s="29">
        <f t="shared" si="0"/>
        <v>2</v>
      </c>
      <c r="P28" s="29">
        <f t="shared" si="0"/>
        <v>1</v>
      </c>
      <c r="Q28" s="29">
        <f t="shared" si="0"/>
        <v>4</v>
      </c>
      <c r="R28" s="29">
        <f t="shared" si="0"/>
        <v>0</v>
      </c>
      <c r="S28" s="29">
        <f t="shared" si="0"/>
        <v>0</v>
      </c>
      <c r="T28" s="29" t="s">
        <v>64</v>
      </c>
      <c r="U28" s="29">
        <f>COUNTIF(H3:H27,"M")</f>
        <v>0</v>
      </c>
      <c r="AA28" s="138" t="s">
        <v>104</v>
      </c>
      <c r="AB28" s="139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23</v>
      </c>
      <c r="T29" s="29"/>
      <c r="U29" s="29"/>
      <c r="X29" t="s">
        <v>136</v>
      </c>
      <c r="AA29" s="140"/>
      <c r="AB29" s="141"/>
      <c r="AC29" s="154">
        <f>SUM(AC28:AE28)</f>
        <v>0</v>
      </c>
      <c r="AD29" s="155"/>
      <c r="AE29" s="156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AYG086</v>
      </c>
      <c r="B31" s="24">
        <f>B1</f>
        <v>45526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6" t="s">
        <v>119</v>
      </c>
      <c r="Y32" s="142"/>
      <c r="AA32" s="149" t="s">
        <v>47</v>
      </c>
      <c r="AB32" s="150"/>
    </row>
    <row r="33" spans="1:29" ht="19.5" thickTop="1" x14ac:dyDescent="0.4">
      <c r="A33" s="143">
        <v>2</v>
      </c>
      <c r="B33" s="133">
        <v>20.2</v>
      </c>
      <c r="C33" s="85" t="s">
        <v>217</v>
      </c>
      <c r="D33" s="109" t="s">
        <v>199</v>
      </c>
      <c r="E33" s="109" t="s">
        <v>37</v>
      </c>
      <c r="F33" s="16"/>
      <c r="G33" s="12" t="s">
        <v>176</v>
      </c>
      <c r="H33" s="15"/>
      <c r="I33" s="15"/>
      <c r="J33" s="15"/>
      <c r="K33" s="15"/>
      <c r="L33" s="17"/>
      <c r="M33" s="17">
        <v>1</v>
      </c>
      <c r="N33" s="17">
        <v>1</v>
      </c>
      <c r="O33" s="17"/>
      <c r="P33" s="17"/>
      <c r="Q33" s="17"/>
      <c r="R33" s="17"/>
      <c r="S33" s="15"/>
      <c r="T33" s="25">
        <v>45550</v>
      </c>
      <c r="U33" s="13" t="s">
        <v>147</v>
      </c>
      <c r="V33">
        <v>1</v>
      </c>
      <c r="X33" s="51" t="s">
        <v>106</v>
      </c>
      <c r="Y33" s="52">
        <f>COUNTIF(U33:U57,"K")</f>
        <v>5</v>
      </c>
      <c r="AA33" s="31" t="s">
        <v>46</v>
      </c>
      <c r="AB33" s="32">
        <f>J28+J178+J148+J118+J208+J238+J268+J298+J328+J358</f>
        <v>51</v>
      </c>
    </row>
    <row r="34" spans="1:29" x14ac:dyDescent="0.4">
      <c r="A34" s="144"/>
      <c r="B34" s="134"/>
      <c r="C34" s="85" t="s">
        <v>218</v>
      </c>
      <c r="D34" s="109" t="s">
        <v>175</v>
      </c>
      <c r="E34" s="109" t="s">
        <v>36</v>
      </c>
      <c r="F34" s="16"/>
      <c r="G34" s="12" t="s">
        <v>176</v>
      </c>
      <c r="H34" s="15"/>
      <c r="I34" s="13"/>
      <c r="J34" s="15"/>
      <c r="K34" s="15"/>
      <c r="L34" s="17"/>
      <c r="M34" s="17">
        <v>1</v>
      </c>
      <c r="N34" s="17">
        <v>1</v>
      </c>
      <c r="O34" s="17"/>
      <c r="P34" s="17"/>
      <c r="Q34" s="17">
        <v>1</v>
      </c>
      <c r="R34" s="17"/>
      <c r="S34" s="15"/>
      <c r="T34" s="25">
        <v>45557</v>
      </c>
      <c r="U34" s="13" t="s">
        <v>147</v>
      </c>
      <c r="V34">
        <v>2</v>
      </c>
      <c r="X34" s="51" t="s">
        <v>107</v>
      </c>
      <c r="Y34" s="52">
        <f>COUNTIF(U33:U57,"R")</f>
        <v>3</v>
      </c>
      <c r="AA34" s="31" t="s">
        <v>48</v>
      </c>
      <c r="AB34" s="32">
        <f>K28+K178+K148+K118+K208+K238+K268+K298+K328+K358</f>
        <v>38</v>
      </c>
    </row>
    <row r="35" spans="1:29" ht="19.5" thickBot="1" x14ac:dyDescent="0.45">
      <c r="A35" s="144"/>
      <c r="B35" s="134"/>
      <c r="C35" s="85" t="s">
        <v>219</v>
      </c>
      <c r="D35" s="109" t="s">
        <v>175</v>
      </c>
      <c r="E35" s="109" t="s">
        <v>40</v>
      </c>
      <c r="F35" s="16"/>
      <c r="G35" s="12" t="s">
        <v>176</v>
      </c>
      <c r="H35" s="13"/>
      <c r="I35" s="13"/>
      <c r="J35" s="15"/>
      <c r="K35" s="15"/>
      <c r="L35" s="17"/>
      <c r="M35" s="17"/>
      <c r="N35" s="17"/>
      <c r="O35" s="17">
        <v>1</v>
      </c>
      <c r="P35" s="17">
        <v>1</v>
      </c>
      <c r="Q35" s="17"/>
      <c r="R35" s="17"/>
      <c r="S35" s="15"/>
      <c r="T35" s="25">
        <v>45558</v>
      </c>
      <c r="U35" s="13" t="s">
        <v>148</v>
      </c>
      <c r="V35">
        <v>3</v>
      </c>
      <c r="X35" s="53" t="s">
        <v>108</v>
      </c>
      <c r="Y35" s="54">
        <f>COUNTIF(U33:U57,"J")</f>
        <v>3</v>
      </c>
      <c r="AA35" s="31" t="s">
        <v>49</v>
      </c>
      <c r="AB35" s="32">
        <f>L28+L178+L148+L118+L208+L238+L268+L298+L328+L358</f>
        <v>11</v>
      </c>
    </row>
    <row r="36" spans="1:29" x14ac:dyDescent="0.4">
      <c r="A36" s="144"/>
      <c r="B36" s="134"/>
      <c r="C36" s="85" t="s">
        <v>220</v>
      </c>
      <c r="D36" s="109" t="s">
        <v>177</v>
      </c>
      <c r="E36" s="109" t="s">
        <v>40</v>
      </c>
      <c r="F36" s="16"/>
      <c r="G36" s="12" t="s">
        <v>176</v>
      </c>
      <c r="H36" s="15"/>
      <c r="I36" s="13"/>
      <c r="J36" s="13"/>
      <c r="K36" s="15"/>
      <c r="L36" s="17"/>
      <c r="M36" s="17"/>
      <c r="N36" s="17"/>
      <c r="O36" s="17">
        <v>1</v>
      </c>
      <c r="P36" s="17">
        <v>1</v>
      </c>
      <c r="Q36" s="17"/>
      <c r="R36" s="17"/>
      <c r="S36" s="15"/>
      <c r="T36" s="25">
        <v>45557</v>
      </c>
      <c r="U36" s="13" t="s">
        <v>148</v>
      </c>
      <c r="V36">
        <v>4</v>
      </c>
      <c r="AA36" s="31" t="s">
        <v>50</v>
      </c>
      <c r="AB36" s="32">
        <f>M28+M178+M148+M118+M208+M238+M268+M298+M328+M358</f>
        <v>29</v>
      </c>
    </row>
    <row r="37" spans="1:29" x14ac:dyDescent="0.4">
      <c r="A37" s="144"/>
      <c r="B37" s="134"/>
      <c r="C37" s="85" t="s">
        <v>221</v>
      </c>
      <c r="D37" s="109" t="s">
        <v>177</v>
      </c>
      <c r="E37" s="109" t="s">
        <v>40</v>
      </c>
      <c r="F37" s="16"/>
      <c r="G37" s="12" t="s">
        <v>176</v>
      </c>
      <c r="H37" s="15" t="s">
        <v>147</v>
      </c>
      <c r="I37" s="15"/>
      <c r="J37" s="15"/>
      <c r="K37" s="15"/>
      <c r="L37" s="17"/>
      <c r="M37" s="17"/>
      <c r="N37" s="17"/>
      <c r="O37" s="17">
        <v>1</v>
      </c>
      <c r="P37" s="17">
        <v>1</v>
      </c>
      <c r="Q37" s="17"/>
      <c r="R37" s="17"/>
      <c r="S37" s="15"/>
      <c r="T37" s="25">
        <v>45557</v>
      </c>
      <c r="U37" s="13" t="s">
        <v>148</v>
      </c>
      <c r="V37">
        <v>5</v>
      </c>
      <c r="AA37" s="31" t="s">
        <v>51</v>
      </c>
      <c r="AB37" s="32">
        <f>N28+N178+N148+N118+N208+N238+N268+N298+N328+N358</f>
        <v>28</v>
      </c>
    </row>
    <row r="38" spans="1:29" x14ac:dyDescent="0.4">
      <c r="A38" s="144"/>
      <c r="B38" s="134"/>
      <c r="C38" s="85" t="s">
        <v>222</v>
      </c>
      <c r="D38" s="109" t="s">
        <v>185</v>
      </c>
      <c r="E38" s="109" t="s">
        <v>57</v>
      </c>
      <c r="F38" s="16"/>
      <c r="G38" s="12" t="s">
        <v>176</v>
      </c>
      <c r="H38" s="13"/>
      <c r="I38" s="15"/>
      <c r="J38" s="15"/>
      <c r="K38" s="15"/>
      <c r="L38" s="17"/>
      <c r="M38" s="17"/>
      <c r="N38" s="17"/>
      <c r="O38" s="17"/>
      <c r="P38" s="17"/>
      <c r="Q38" s="17"/>
      <c r="R38" s="17"/>
      <c r="S38" s="15"/>
      <c r="T38" s="25">
        <v>45556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22</v>
      </c>
    </row>
    <row r="39" spans="1:29" x14ac:dyDescent="0.4">
      <c r="A39" s="144"/>
      <c r="B39" s="134"/>
      <c r="C39" s="85" t="s">
        <v>223</v>
      </c>
      <c r="D39" s="109" t="s">
        <v>209</v>
      </c>
      <c r="E39" s="109" t="s">
        <v>38</v>
      </c>
      <c r="F39" s="16"/>
      <c r="G39" s="12" t="s">
        <v>176</v>
      </c>
      <c r="H39" s="15"/>
      <c r="I39" s="15"/>
      <c r="J39" s="15">
        <v>1</v>
      </c>
      <c r="K39" s="15">
        <v>1</v>
      </c>
      <c r="L39" s="17"/>
      <c r="M39" s="17"/>
      <c r="N39" s="17"/>
      <c r="O39" s="17"/>
      <c r="P39" s="17"/>
      <c r="Q39" s="17"/>
      <c r="R39" s="17"/>
      <c r="S39" s="15"/>
      <c r="T39" s="25">
        <v>45558</v>
      </c>
      <c r="U39" s="13" t="s">
        <v>142</v>
      </c>
      <c r="V39">
        <v>7</v>
      </c>
      <c r="AA39" s="31" t="s">
        <v>53</v>
      </c>
      <c r="AB39" s="32">
        <f>P28+P178+P148+P118+P208+P238+P268+P298+P328+P358</f>
        <v>19</v>
      </c>
    </row>
    <row r="40" spans="1:29" x14ac:dyDescent="0.4">
      <c r="A40" s="144"/>
      <c r="B40" s="134"/>
      <c r="C40" s="85" t="s">
        <v>224</v>
      </c>
      <c r="D40" s="109" t="s">
        <v>187</v>
      </c>
      <c r="E40" s="109" t="s">
        <v>44</v>
      </c>
      <c r="F40" s="16"/>
      <c r="G40" s="12" t="s">
        <v>176</v>
      </c>
      <c r="H40" s="15"/>
      <c r="I40" s="15"/>
      <c r="J40" s="15"/>
      <c r="K40" s="15">
        <v>1</v>
      </c>
      <c r="L40" s="17"/>
      <c r="M40" s="17"/>
      <c r="N40" s="17"/>
      <c r="O40" s="17"/>
      <c r="P40" s="17"/>
      <c r="Q40" s="17"/>
      <c r="R40" s="17"/>
      <c r="S40" s="15"/>
      <c r="T40" s="25">
        <v>45558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35</v>
      </c>
    </row>
    <row r="41" spans="1:29" x14ac:dyDescent="0.4">
      <c r="A41" s="144"/>
      <c r="B41" s="134"/>
      <c r="C41" s="85" t="s">
        <v>225</v>
      </c>
      <c r="D41" s="109" t="s">
        <v>187</v>
      </c>
      <c r="E41" s="109" t="s">
        <v>58</v>
      </c>
      <c r="F41" s="16"/>
      <c r="G41" s="12" t="s">
        <v>176</v>
      </c>
      <c r="H41" s="15"/>
      <c r="I41" s="15"/>
      <c r="J41" s="15"/>
      <c r="K41" s="15"/>
      <c r="L41" s="17"/>
      <c r="M41" s="17"/>
      <c r="N41" s="17"/>
      <c r="O41" s="17"/>
      <c r="P41" s="17"/>
      <c r="Q41" s="17"/>
      <c r="R41" s="17"/>
      <c r="S41" s="15">
        <v>1</v>
      </c>
      <c r="T41" s="25">
        <v>45558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12</v>
      </c>
      <c r="AC41" t="s">
        <v>123</v>
      </c>
    </row>
    <row r="42" spans="1:29" ht="19.5" thickBot="1" x14ac:dyDescent="0.45">
      <c r="A42" s="144"/>
      <c r="B42" s="134"/>
      <c r="C42" s="85" t="s">
        <v>226</v>
      </c>
      <c r="D42" s="109" t="s">
        <v>178</v>
      </c>
      <c r="E42" s="109" t="s">
        <v>59</v>
      </c>
      <c r="F42" s="16"/>
      <c r="G42" s="12" t="s">
        <v>176</v>
      </c>
      <c r="H42" s="15"/>
      <c r="I42" s="15"/>
      <c r="J42" s="15">
        <v>2</v>
      </c>
      <c r="K42" s="15"/>
      <c r="L42" s="17"/>
      <c r="M42" s="17"/>
      <c r="N42" s="17"/>
      <c r="O42" s="17"/>
      <c r="P42" s="17"/>
      <c r="Q42" s="17"/>
      <c r="R42" s="17"/>
      <c r="S42" s="15"/>
      <c r="T42" s="25">
        <v>45563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6</v>
      </c>
      <c r="AC42" s="73">
        <f>SUM(AB33:AB42)</f>
        <v>251</v>
      </c>
    </row>
    <row r="43" spans="1:29" ht="19.5" thickBot="1" x14ac:dyDescent="0.45">
      <c r="A43" s="144"/>
      <c r="B43" s="134"/>
      <c r="C43" s="85" t="s">
        <v>227</v>
      </c>
      <c r="D43" s="109" t="s">
        <v>178</v>
      </c>
      <c r="E43" s="109" t="s">
        <v>39</v>
      </c>
      <c r="F43" s="16"/>
      <c r="G43" s="12" t="s">
        <v>176</v>
      </c>
      <c r="H43" s="15"/>
      <c r="I43" s="15"/>
      <c r="J43" s="15">
        <v>1</v>
      </c>
      <c r="K43" s="15"/>
      <c r="L43" s="17">
        <v>1</v>
      </c>
      <c r="M43" s="17"/>
      <c r="N43" s="17"/>
      <c r="O43" s="17"/>
      <c r="P43" s="17"/>
      <c r="Q43" s="17"/>
      <c r="R43" s="17"/>
      <c r="S43" s="15"/>
      <c r="T43" s="25">
        <v>45567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4"/>
      <c r="B44" s="134"/>
      <c r="C44" s="85"/>
      <c r="D44" s="109"/>
      <c r="E44" s="109"/>
      <c r="F44" s="16"/>
      <c r="G44" s="12"/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/>
      <c r="T44" s="25"/>
      <c r="U44" s="13"/>
      <c r="V44">
        <v>12</v>
      </c>
      <c r="AA44" s="103" t="s">
        <v>66</v>
      </c>
      <c r="AB44" s="104">
        <f>H28+H58+H88+H118+H148+H178+H208+H238+H268+H298+H328+H358</f>
        <v>8</v>
      </c>
    </row>
    <row r="45" spans="1:29" x14ac:dyDescent="0.4">
      <c r="A45" s="144"/>
      <c r="B45" s="134"/>
      <c r="C45" s="85"/>
      <c r="D45" s="109"/>
      <c r="E45" s="109"/>
      <c r="F45" s="16"/>
      <c r="G45" s="12"/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/>
      <c r="T45" s="25"/>
      <c r="U45" s="13"/>
      <c r="V45">
        <v>13</v>
      </c>
      <c r="AA45" s="35" t="s">
        <v>65</v>
      </c>
      <c r="AB45" s="36">
        <f>H29+H59+H89+H119+H149+H179+H209+H239+H269+H299+H329+H359</f>
        <v>4</v>
      </c>
    </row>
    <row r="46" spans="1:29" x14ac:dyDescent="0.4">
      <c r="A46" s="144"/>
      <c r="B46" s="134"/>
      <c r="C46" s="85"/>
      <c r="D46" s="109"/>
      <c r="E46" s="109"/>
      <c r="F46" s="16"/>
      <c r="G46" s="12"/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/>
      <c r="U46" s="13"/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4"/>
      <c r="B47" s="134"/>
      <c r="C47" s="85"/>
      <c r="D47" s="109"/>
      <c r="E47" s="109"/>
      <c r="F47" s="16"/>
      <c r="G47" s="12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3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4"/>
      <c r="B48" s="134"/>
      <c r="C48" s="85"/>
      <c r="D48" s="109"/>
      <c r="E48" s="110"/>
      <c r="F48" s="16"/>
      <c r="G48" s="12"/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/>
      <c r="U48" s="13"/>
      <c r="V48" s="73">
        <v>16</v>
      </c>
    </row>
    <row r="49" spans="1:28" x14ac:dyDescent="0.4">
      <c r="A49" s="144"/>
      <c r="B49" s="134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137</v>
      </c>
    </row>
    <row r="50" spans="1:28" ht="19.5" thickBot="1" x14ac:dyDescent="0.45">
      <c r="A50" s="144"/>
      <c r="B50" s="134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8</v>
      </c>
    </row>
    <row r="51" spans="1:28" ht="19.5" thickBot="1" x14ac:dyDescent="0.45">
      <c r="A51" s="144"/>
      <c r="B51" s="134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4"/>
      <c r="B52" s="134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1">
        <v>76</v>
      </c>
    </row>
    <row r="53" spans="1:28" ht="19.5" thickBot="1" x14ac:dyDescent="0.45">
      <c r="A53" s="144"/>
      <c r="B53" s="134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2"/>
    </row>
    <row r="54" spans="1:28" ht="19.5" thickBot="1" x14ac:dyDescent="0.45">
      <c r="A54" s="144"/>
      <c r="B54" s="134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4"/>
      <c r="B55" s="134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6" t="s">
        <v>73</v>
      </c>
      <c r="AB55" s="45"/>
    </row>
    <row r="56" spans="1:28" ht="19.5" thickBot="1" x14ac:dyDescent="0.45">
      <c r="A56" s="144"/>
      <c r="B56" s="134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37"/>
      <c r="AB56" s="46"/>
    </row>
    <row r="57" spans="1:28" ht="19.5" thickBot="1" x14ac:dyDescent="0.45">
      <c r="A57" s="145"/>
      <c r="B57" s="135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6"/>
      <c r="AB57" s="45">
        <v>7</v>
      </c>
    </row>
    <row r="58" spans="1:28" ht="19.5" thickBot="1" x14ac:dyDescent="0.45">
      <c r="A58" s="27"/>
      <c r="B58" s="28"/>
      <c r="C58" s="88">
        <f>COUNTA(C33:C57)</f>
        <v>11</v>
      </c>
      <c r="D58" s="112"/>
      <c r="E58" s="29"/>
      <c r="F58" s="29" t="s">
        <v>34</v>
      </c>
      <c r="G58" s="29">
        <f>COUNTIF(G33:G57,"S")</f>
        <v>11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4</v>
      </c>
      <c r="K58" s="29">
        <f t="shared" si="1"/>
        <v>2</v>
      </c>
      <c r="L58" s="29">
        <f t="shared" si="1"/>
        <v>1</v>
      </c>
      <c r="M58" s="29">
        <f t="shared" si="1"/>
        <v>2</v>
      </c>
      <c r="N58" s="29">
        <f t="shared" si="1"/>
        <v>2</v>
      </c>
      <c r="O58" s="29">
        <f t="shared" si="1"/>
        <v>3</v>
      </c>
      <c r="P58" s="29">
        <f t="shared" si="1"/>
        <v>3</v>
      </c>
      <c r="Q58" s="29">
        <f t="shared" si="1"/>
        <v>1</v>
      </c>
      <c r="R58" s="29">
        <f t="shared" si="1"/>
        <v>0</v>
      </c>
      <c r="S58" s="29">
        <f t="shared" si="1"/>
        <v>1</v>
      </c>
      <c r="T58" s="29" t="s">
        <v>64</v>
      </c>
      <c r="U58" s="29">
        <f>COUNTIF(H33:H57,"M")</f>
        <v>0</v>
      </c>
      <c r="AA58" s="137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1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19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AYG086</v>
      </c>
      <c r="B61" s="24">
        <f>B1</f>
        <v>45526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6" t="s">
        <v>118</v>
      </c>
      <c r="Y62" s="142"/>
    </row>
    <row r="63" spans="1:28" ht="20.25" thickTop="1" thickBot="1" x14ac:dyDescent="0.45">
      <c r="A63" s="143">
        <v>3</v>
      </c>
      <c r="B63" s="146">
        <v>18.8</v>
      </c>
      <c r="C63" s="85" t="s">
        <v>228</v>
      </c>
      <c r="D63" s="109" t="s">
        <v>178</v>
      </c>
      <c r="E63" s="15" t="s">
        <v>59</v>
      </c>
      <c r="F63" s="14"/>
      <c r="G63" s="12" t="s">
        <v>176</v>
      </c>
      <c r="H63" s="13" t="s">
        <v>180</v>
      </c>
      <c r="I63" s="13"/>
      <c r="J63" s="13">
        <v>2</v>
      </c>
      <c r="K63" s="13"/>
      <c r="L63" s="13"/>
      <c r="M63" s="13"/>
      <c r="N63" s="13"/>
      <c r="O63" s="13"/>
      <c r="P63" s="13"/>
      <c r="Q63" s="13"/>
      <c r="R63" s="13"/>
      <c r="S63" s="13"/>
      <c r="T63" s="25">
        <v>45563</v>
      </c>
      <c r="U63" s="13" t="s">
        <v>146</v>
      </c>
      <c r="V63">
        <v>1</v>
      </c>
      <c r="X63" s="51" t="s">
        <v>106</v>
      </c>
      <c r="Y63" s="52">
        <f>COUNTIF(U63:U87,"K")</f>
        <v>4</v>
      </c>
      <c r="AA63" s="59" t="s">
        <v>120</v>
      </c>
      <c r="AB63" s="60" t="s">
        <v>121</v>
      </c>
    </row>
    <row r="64" spans="1:28" x14ac:dyDescent="0.4">
      <c r="A64" s="144"/>
      <c r="B64" s="147"/>
      <c r="C64" s="85" t="s">
        <v>229</v>
      </c>
      <c r="D64" s="109" t="s">
        <v>178</v>
      </c>
      <c r="E64" s="15" t="s">
        <v>59</v>
      </c>
      <c r="F64" s="16"/>
      <c r="G64" s="12" t="s">
        <v>176</v>
      </c>
      <c r="H64" s="15" t="s">
        <v>180</v>
      </c>
      <c r="I64" s="15"/>
      <c r="J64" s="13">
        <v>2</v>
      </c>
      <c r="K64" s="15"/>
      <c r="L64" s="13"/>
      <c r="M64" s="17"/>
      <c r="N64" s="17"/>
      <c r="O64" s="17"/>
      <c r="P64" s="17"/>
      <c r="Q64" s="17"/>
      <c r="R64" s="17"/>
      <c r="S64" s="15"/>
      <c r="T64" s="25">
        <v>45559</v>
      </c>
      <c r="U64" s="13" t="s">
        <v>146</v>
      </c>
      <c r="V64">
        <v>2</v>
      </c>
      <c r="X64" s="51" t="s">
        <v>107</v>
      </c>
      <c r="Y64" s="52">
        <f>COUNTIF(U63:U87,"R")</f>
        <v>0</v>
      </c>
      <c r="AA64" s="47" t="s">
        <v>81</v>
      </c>
      <c r="AB64" s="48" t="s">
        <v>60</v>
      </c>
    </row>
    <row r="65" spans="1:28" ht="19.5" thickBot="1" x14ac:dyDescent="0.45">
      <c r="A65" s="144"/>
      <c r="B65" s="147"/>
      <c r="C65" s="85" t="s">
        <v>230</v>
      </c>
      <c r="D65" s="109" t="s">
        <v>178</v>
      </c>
      <c r="E65" s="15" t="s">
        <v>59</v>
      </c>
      <c r="F65" s="16"/>
      <c r="G65" s="12" t="s">
        <v>176</v>
      </c>
      <c r="H65" s="15" t="s">
        <v>180</v>
      </c>
      <c r="I65" s="15"/>
      <c r="J65" s="13">
        <v>2</v>
      </c>
      <c r="K65" s="15"/>
      <c r="L65" s="13"/>
      <c r="M65" s="17"/>
      <c r="N65" s="17"/>
      <c r="O65" s="17"/>
      <c r="P65" s="17"/>
      <c r="Q65" s="17"/>
      <c r="R65" s="17"/>
      <c r="S65" s="15"/>
      <c r="T65" s="25">
        <v>45563</v>
      </c>
      <c r="U65" s="13" t="s">
        <v>146</v>
      </c>
      <c r="V65">
        <v>3</v>
      </c>
      <c r="X65" s="53" t="s">
        <v>108</v>
      </c>
      <c r="Y65" s="54">
        <f>COUNTIF(U63:U87,"J")</f>
        <v>0</v>
      </c>
      <c r="AA65" s="49" t="s">
        <v>82</v>
      </c>
      <c r="AB65" s="50" t="s">
        <v>39</v>
      </c>
    </row>
    <row r="66" spans="1:28" x14ac:dyDescent="0.4">
      <c r="A66" s="144"/>
      <c r="B66" s="147"/>
      <c r="C66" s="85" t="s">
        <v>231</v>
      </c>
      <c r="D66" s="109" t="s">
        <v>178</v>
      </c>
      <c r="E66" s="15" t="s">
        <v>59</v>
      </c>
      <c r="F66" s="16"/>
      <c r="G66" s="12" t="s">
        <v>176</v>
      </c>
      <c r="H66" s="13" t="s">
        <v>180</v>
      </c>
      <c r="I66" s="15"/>
      <c r="J66" s="13">
        <v>2</v>
      </c>
      <c r="K66" s="15"/>
      <c r="L66" s="13"/>
      <c r="M66" s="17"/>
      <c r="N66" s="17"/>
      <c r="O66" s="17"/>
      <c r="P66" s="17"/>
      <c r="Q66" s="17"/>
      <c r="R66" s="17"/>
      <c r="S66" s="15"/>
      <c r="T66" s="25">
        <v>45563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44"/>
      <c r="B67" s="147"/>
      <c r="C67" s="85"/>
      <c r="D67" s="109"/>
      <c r="E67" s="15"/>
      <c r="F67" s="16"/>
      <c r="G67" s="12"/>
      <c r="H67" s="15"/>
      <c r="I67" s="15"/>
      <c r="J67" s="13"/>
      <c r="K67" s="15"/>
      <c r="L67" s="13"/>
      <c r="M67" s="17"/>
      <c r="N67" s="17"/>
      <c r="O67" s="17"/>
      <c r="P67" s="17"/>
      <c r="Q67" s="17"/>
      <c r="R67" s="17"/>
      <c r="S67" s="15"/>
      <c r="T67" s="25"/>
      <c r="U67" s="13"/>
      <c r="V67">
        <v>5</v>
      </c>
      <c r="AA67" s="49" t="s">
        <v>84</v>
      </c>
      <c r="AB67" s="50" t="s">
        <v>44</v>
      </c>
    </row>
    <row r="68" spans="1:28" x14ac:dyDescent="0.4">
      <c r="A68" s="144"/>
      <c r="B68" s="147"/>
      <c r="C68" s="85"/>
      <c r="D68" s="109"/>
      <c r="E68" s="15"/>
      <c r="F68" s="16"/>
      <c r="G68" s="12"/>
      <c r="H68" s="15"/>
      <c r="I68" s="15"/>
      <c r="J68" s="13"/>
      <c r="K68" s="15"/>
      <c r="L68" s="13"/>
      <c r="M68" s="17"/>
      <c r="N68" s="17"/>
      <c r="O68" s="17"/>
      <c r="P68" s="17"/>
      <c r="Q68" s="17"/>
      <c r="R68" s="17"/>
      <c r="S68" s="15"/>
      <c r="T68" s="25"/>
      <c r="U68" s="13"/>
      <c r="V68">
        <v>6</v>
      </c>
      <c r="AA68" s="49" t="s">
        <v>85</v>
      </c>
      <c r="AB68" s="50" t="s">
        <v>43</v>
      </c>
    </row>
    <row r="69" spans="1:28" x14ac:dyDescent="0.4">
      <c r="A69" s="144"/>
      <c r="B69" s="147"/>
      <c r="C69" s="85"/>
      <c r="D69" s="109"/>
      <c r="E69" s="15"/>
      <c r="F69" s="16"/>
      <c r="G69" s="12"/>
      <c r="H69" s="15"/>
      <c r="I69" s="15"/>
      <c r="J69" s="13"/>
      <c r="K69" s="15"/>
      <c r="L69" s="13"/>
      <c r="M69" s="17"/>
      <c r="N69" s="17"/>
      <c r="O69" s="17"/>
      <c r="P69" s="17"/>
      <c r="Q69" s="17"/>
      <c r="R69" s="17"/>
      <c r="S69" s="15"/>
      <c r="T69" s="25"/>
      <c r="U69" s="13"/>
      <c r="V69">
        <v>7</v>
      </c>
      <c r="AA69" s="49" t="s">
        <v>86</v>
      </c>
      <c r="AB69" s="50" t="s">
        <v>45</v>
      </c>
    </row>
    <row r="70" spans="1:28" x14ac:dyDescent="0.4">
      <c r="A70" s="144"/>
      <c r="B70" s="147"/>
      <c r="C70" s="85"/>
      <c r="D70" s="109"/>
      <c r="E70" s="15"/>
      <c r="F70" s="16"/>
      <c r="G70" s="12"/>
      <c r="H70" s="15"/>
      <c r="I70" s="15"/>
      <c r="J70" s="13"/>
      <c r="K70" s="15"/>
      <c r="L70" s="13"/>
      <c r="M70" s="17"/>
      <c r="N70" s="17"/>
      <c r="O70" s="17"/>
      <c r="P70" s="17"/>
      <c r="Q70" s="17"/>
      <c r="R70" s="17"/>
      <c r="S70" s="15"/>
      <c r="T70" s="25"/>
      <c r="U70" s="13"/>
      <c r="V70">
        <v>8</v>
      </c>
      <c r="AA70" s="49" t="s">
        <v>87</v>
      </c>
      <c r="AB70" s="50" t="s">
        <v>37</v>
      </c>
    </row>
    <row r="71" spans="1:28" x14ac:dyDescent="0.4">
      <c r="A71" s="144"/>
      <c r="B71" s="147"/>
      <c r="C71" s="85"/>
      <c r="D71" s="109"/>
      <c r="E71" s="15"/>
      <c r="F71" s="16"/>
      <c r="G71" s="12"/>
      <c r="H71" s="15"/>
      <c r="I71" s="15"/>
      <c r="J71" s="13"/>
      <c r="K71" s="15"/>
      <c r="L71" s="13"/>
      <c r="M71" s="17"/>
      <c r="N71" s="17"/>
      <c r="O71" s="17"/>
      <c r="P71" s="17"/>
      <c r="Q71" s="17"/>
      <c r="R71" s="17"/>
      <c r="S71" s="15"/>
      <c r="T71" s="25"/>
      <c r="U71" s="13"/>
      <c r="V71">
        <v>9</v>
      </c>
      <c r="AA71" s="49" t="s">
        <v>88</v>
      </c>
      <c r="AB71" s="50" t="s">
        <v>74</v>
      </c>
    </row>
    <row r="72" spans="1:28" x14ac:dyDescent="0.4">
      <c r="A72" s="144"/>
      <c r="B72" s="147"/>
      <c r="C72" s="85"/>
      <c r="D72" s="109"/>
      <c r="E72" s="15"/>
      <c r="F72" s="16"/>
      <c r="G72" s="12"/>
      <c r="H72" s="15"/>
      <c r="I72" s="15"/>
      <c r="J72" s="13"/>
      <c r="K72" s="15"/>
      <c r="L72" s="13"/>
      <c r="M72" s="17"/>
      <c r="N72" s="17"/>
      <c r="O72" s="17"/>
      <c r="P72" s="17"/>
      <c r="Q72" s="17"/>
      <c r="R72" s="17"/>
      <c r="S72" s="15"/>
      <c r="T72" s="25"/>
      <c r="U72" s="13"/>
      <c r="V72">
        <v>10</v>
      </c>
      <c r="AA72" s="49" t="s">
        <v>89</v>
      </c>
      <c r="AB72" s="50" t="s">
        <v>36</v>
      </c>
    </row>
    <row r="73" spans="1:28" x14ac:dyDescent="0.4">
      <c r="A73" s="144"/>
      <c r="B73" s="147"/>
      <c r="C73" s="85"/>
      <c r="D73" s="109"/>
      <c r="E73" s="15"/>
      <c r="F73" s="16"/>
      <c r="G73" s="15"/>
      <c r="H73" s="15"/>
      <c r="I73" s="15"/>
      <c r="J73" s="15"/>
      <c r="K73" s="15"/>
      <c r="L73" s="17"/>
      <c r="M73" s="17"/>
      <c r="N73" s="17"/>
      <c r="O73" s="17"/>
      <c r="P73" s="17"/>
      <c r="Q73" s="17"/>
      <c r="R73" s="17"/>
      <c r="S73" s="15"/>
      <c r="T73" s="25"/>
      <c r="U73" s="15"/>
      <c r="V73">
        <v>11</v>
      </c>
      <c r="AA73" s="49" t="s">
        <v>90</v>
      </c>
      <c r="AB73" s="50" t="s">
        <v>58</v>
      </c>
    </row>
    <row r="74" spans="1:28" x14ac:dyDescent="0.4">
      <c r="A74" s="144"/>
      <c r="B74" s="147"/>
      <c r="C74" s="85"/>
      <c r="D74" s="109"/>
      <c r="E74" s="15"/>
      <c r="F74" s="16"/>
      <c r="G74" s="15"/>
      <c r="H74" s="15"/>
      <c r="I74" s="15"/>
      <c r="J74" s="15"/>
      <c r="K74" s="15"/>
      <c r="L74" s="17"/>
      <c r="M74" s="17"/>
      <c r="N74" s="17"/>
      <c r="O74" s="17"/>
      <c r="P74" s="17"/>
      <c r="Q74" s="17"/>
      <c r="R74" s="17"/>
      <c r="S74" s="15"/>
      <c r="T74" s="25"/>
      <c r="U74" s="15"/>
      <c r="V74">
        <v>12</v>
      </c>
      <c r="AA74" s="49" t="s">
        <v>91</v>
      </c>
      <c r="AB74" s="50" t="s">
        <v>75</v>
      </c>
    </row>
    <row r="75" spans="1:28" x14ac:dyDescent="0.4">
      <c r="A75" s="144"/>
      <c r="B75" s="147"/>
      <c r="C75" s="85"/>
      <c r="D75" s="109"/>
      <c r="E75" s="15"/>
      <c r="F75" s="16"/>
      <c r="G75" s="15"/>
      <c r="H75" s="15"/>
      <c r="I75" s="15"/>
      <c r="J75" s="15"/>
      <c r="K75" s="15"/>
      <c r="L75" s="17"/>
      <c r="M75" s="17"/>
      <c r="N75" s="17"/>
      <c r="O75" s="17"/>
      <c r="P75" s="17"/>
      <c r="Q75" s="17"/>
      <c r="R75" s="17"/>
      <c r="S75" s="15"/>
      <c r="T75" s="25"/>
      <c r="U75" s="15"/>
      <c r="V75">
        <v>13</v>
      </c>
      <c r="AA75" s="49" t="s">
        <v>92</v>
      </c>
      <c r="AB75" s="50" t="s">
        <v>40</v>
      </c>
    </row>
    <row r="76" spans="1:28" x14ac:dyDescent="0.4">
      <c r="A76" s="144"/>
      <c r="B76" s="147"/>
      <c r="C76" s="85"/>
      <c r="D76" s="109"/>
      <c r="E76" s="15"/>
      <c r="F76" s="16"/>
      <c r="G76" s="15"/>
      <c r="H76" s="15"/>
      <c r="I76" s="15"/>
      <c r="J76" s="15"/>
      <c r="K76" s="15"/>
      <c r="L76" s="17"/>
      <c r="M76" s="17"/>
      <c r="N76" s="17"/>
      <c r="O76" s="17"/>
      <c r="P76" s="17"/>
      <c r="Q76" s="17"/>
      <c r="R76" s="17"/>
      <c r="S76" s="15"/>
      <c r="T76" s="25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44"/>
      <c r="B77" s="147"/>
      <c r="C77" s="85"/>
      <c r="D77" s="109"/>
      <c r="E77" s="15"/>
      <c r="F77" s="16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44"/>
      <c r="B78" s="147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4"/>
      <c r="B79" s="147"/>
      <c r="C79" s="85"/>
      <c r="D79" s="110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4"/>
      <c r="B80" s="147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4"/>
      <c r="B81" s="147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4"/>
      <c r="B82" s="147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4"/>
      <c r="B83" s="147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4"/>
      <c r="B84" s="147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4"/>
      <c r="B85" s="147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4"/>
      <c r="B86" s="147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5"/>
      <c r="B87" s="148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4</v>
      </c>
      <c r="D88" s="112"/>
      <c r="E88" s="29"/>
      <c r="F88" s="29" t="s">
        <v>34</v>
      </c>
      <c r="G88" s="29">
        <f>COUNTIF(G63:G87,"S")</f>
        <v>4</v>
      </c>
      <c r="H88" s="29">
        <f>COUNTIF(H63:H87,"E")</f>
        <v>4</v>
      </c>
      <c r="I88" s="29">
        <f>SUM(I63:I87)</f>
        <v>0</v>
      </c>
      <c r="J88" s="29"/>
      <c r="K88" s="29">
        <f t="shared" ref="K88:S88" si="2">SUM(K63:K87)</f>
        <v>0</v>
      </c>
      <c r="L88" s="29">
        <f t="shared" si="2"/>
        <v>0</v>
      </c>
      <c r="M88" s="29">
        <f t="shared" si="2"/>
        <v>0</v>
      </c>
      <c r="N88" s="29">
        <f t="shared" si="2"/>
        <v>0</v>
      </c>
      <c r="O88" s="29">
        <f t="shared" si="2"/>
        <v>0</v>
      </c>
      <c r="P88" s="29">
        <f t="shared" si="2"/>
        <v>0</v>
      </c>
      <c r="Q88" s="29">
        <f t="shared" si="2"/>
        <v>0</v>
      </c>
      <c r="R88" s="29">
        <f t="shared" si="2"/>
        <v>0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0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AYG086</v>
      </c>
      <c r="B91" s="24">
        <f>B1</f>
        <v>45526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6" t="s">
        <v>117</v>
      </c>
      <c r="Y92" s="142"/>
    </row>
    <row r="93" spans="1:28" ht="20.25" thickTop="1" thickBot="1" x14ac:dyDescent="0.45">
      <c r="A93" s="143">
        <v>4</v>
      </c>
      <c r="B93" s="133">
        <v>19.600000000000001</v>
      </c>
      <c r="C93" s="85" t="s">
        <v>232</v>
      </c>
      <c r="D93" s="109" t="s">
        <v>175</v>
      </c>
      <c r="E93" s="15" t="s">
        <v>38</v>
      </c>
      <c r="F93" s="14"/>
      <c r="G93" s="12" t="s">
        <v>176</v>
      </c>
      <c r="H93" s="13"/>
      <c r="I93" s="13"/>
      <c r="J93" s="13">
        <v>1</v>
      </c>
      <c r="K93" s="13">
        <v>1</v>
      </c>
      <c r="L93" s="13"/>
      <c r="M93" s="13"/>
      <c r="N93" s="13"/>
      <c r="O93" s="13"/>
      <c r="P93" s="13"/>
      <c r="Q93" s="13"/>
      <c r="R93" s="13"/>
      <c r="S93" s="13"/>
      <c r="T93" s="25">
        <v>45553</v>
      </c>
      <c r="U93" s="13" t="s">
        <v>146</v>
      </c>
      <c r="V93">
        <v>1</v>
      </c>
      <c r="X93" s="51" t="s">
        <v>106</v>
      </c>
      <c r="Y93" s="52">
        <f>COUNTIF(U93:U117,"K")</f>
        <v>5</v>
      </c>
      <c r="AA93" s="59" t="s">
        <v>120</v>
      </c>
      <c r="AB93" s="60" t="s">
        <v>121</v>
      </c>
    </row>
    <row r="94" spans="1:28" x14ac:dyDescent="0.4">
      <c r="A94" s="144"/>
      <c r="B94" s="134"/>
      <c r="C94" s="85" t="s">
        <v>233</v>
      </c>
      <c r="D94" s="109" t="s">
        <v>179</v>
      </c>
      <c r="E94" s="15" t="s">
        <v>36</v>
      </c>
      <c r="F94" s="16"/>
      <c r="G94" s="12" t="s">
        <v>176</v>
      </c>
      <c r="H94" s="15"/>
      <c r="I94" s="15"/>
      <c r="J94" s="15"/>
      <c r="K94" s="15"/>
      <c r="L94" s="17"/>
      <c r="M94" s="17">
        <v>1</v>
      </c>
      <c r="N94" s="17"/>
      <c r="O94" s="17"/>
      <c r="P94" s="17"/>
      <c r="Q94" s="17">
        <v>1</v>
      </c>
      <c r="R94" s="17"/>
      <c r="S94" s="15"/>
      <c r="T94" s="25">
        <v>45561</v>
      </c>
      <c r="U94" s="15" t="s">
        <v>147</v>
      </c>
      <c r="V94">
        <v>2</v>
      </c>
      <c r="X94" s="51" t="s">
        <v>107</v>
      </c>
      <c r="Y94" s="52">
        <f>COUNTIF(U93:U117,"R")</f>
        <v>7</v>
      </c>
      <c r="AA94" s="47" t="s">
        <v>81</v>
      </c>
      <c r="AB94" s="48" t="s">
        <v>60</v>
      </c>
    </row>
    <row r="95" spans="1:28" ht="19.5" thickBot="1" x14ac:dyDescent="0.45">
      <c r="A95" s="144"/>
      <c r="B95" s="134"/>
      <c r="C95" s="85" t="s">
        <v>234</v>
      </c>
      <c r="D95" s="109" t="s">
        <v>179</v>
      </c>
      <c r="E95" s="15" t="s">
        <v>40</v>
      </c>
      <c r="F95" s="16"/>
      <c r="G95" s="12" t="s">
        <v>176</v>
      </c>
      <c r="H95" s="15"/>
      <c r="I95" s="15"/>
      <c r="J95" s="15"/>
      <c r="K95" s="15"/>
      <c r="L95" s="17"/>
      <c r="M95" s="17"/>
      <c r="N95" s="17"/>
      <c r="O95" s="17">
        <v>1</v>
      </c>
      <c r="P95" s="17"/>
      <c r="Q95" s="17"/>
      <c r="R95" s="17">
        <v>1</v>
      </c>
      <c r="S95" s="15"/>
      <c r="T95" s="25">
        <v>45561</v>
      </c>
      <c r="U95" s="15" t="s">
        <v>147</v>
      </c>
      <c r="V95">
        <v>3</v>
      </c>
      <c r="X95" s="53" t="s">
        <v>108</v>
      </c>
      <c r="Y95" s="54">
        <f>COUNTIF(U93:U117,"J")</f>
        <v>3</v>
      </c>
      <c r="AA95" s="49" t="s">
        <v>122</v>
      </c>
      <c r="AB95" s="50" t="s">
        <v>39</v>
      </c>
    </row>
    <row r="96" spans="1:28" x14ac:dyDescent="0.4">
      <c r="A96" s="144"/>
      <c r="B96" s="134"/>
      <c r="C96" s="85" t="s">
        <v>235</v>
      </c>
      <c r="D96" s="109" t="s">
        <v>190</v>
      </c>
      <c r="E96" s="15" t="s">
        <v>39</v>
      </c>
      <c r="F96" s="16"/>
      <c r="G96" s="12" t="s">
        <v>176</v>
      </c>
      <c r="H96" s="15" t="s">
        <v>180</v>
      </c>
      <c r="I96" s="15"/>
      <c r="J96" s="15">
        <v>1</v>
      </c>
      <c r="K96" s="15">
        <v>1</v>
      </c>
      <c r="L96" s="17"/>
      <c r="M96" s="17"/>
      <c r="N96" s="17"/>
      <c r="O96" s="17"/>
      <c r="P96" s="17"/>
      <c r="Q96" s="17"/>
      <c r="R96" s="17"/>
      <c r="S96" s="15"/>
      <c r="T96" s="25">
        <v>45546</v>
      </c>
      <c r="U96" s="15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44"/>
      <c r="B97" s="134"/>
      <c r="C97" s="85" t="s">
        <v>236</v>
      </c>
      <c r="D97" s="109" t="s">
        <v>190</v>
      </c>
      <c r="E97" s="15" t="s">
        <v>133</v>
      </c>
      <c r="F97" s="16"/>
      <c r="G97" s="12" t="s">
        <v>176</v>
      </c>
      <c r="H97" s="15"/>
      <c r="I97" s="15"/>
      <c r="J97" s="15"/>
      <c r="K97" s="15"/>
      <c r="L97" s="17"/>
      <c r="M97" s="17"/>
      <c r="N97" s="17"/>
      <c r="O97" s="17">
        <v>1</v>
      </c>
      <c r="P97" s="17">
        <v>1</v>
      </c>
      <c r="Q97" s="17"/>
      <c r="R97" s="17"/>
      <c r="S97" s="15"/>
      <c r="T97" s="25">
        <v>45546</v>
      </c>
      <c r="U97" s="15" t="s">
        <v>148</v>
      </c>
      <c r="V97">
        <v>5</v>
      </c>
      <c r="AA97" s="49" t="s">
        <v>84</v>
      </c>
      <c r="AB97" s="50" t="s">
        <v>44</v>
      </c>
    </row>
    <row r="98" spans="1:28" x14ac:dyDescent="0.4">
      <c r="A98" s="144"/>
      <c r="B98" s="134"/>
      <c r="C98" s="85" t="s">
        <v>237</v>
      </c>
      <c r="D98" s="109" t="s">
        <v>175</v>
      </c>
      <c r="E98" s="15" t="s">
        <v>37</v>
      </c>
      <c r="F98" s="16"/>
      <c r="G98" s="12" t="s">
        <v>176</v>
      </c>
      <c r="H98" s="13"/>
      <c r="I98" s="15"/>
      <c r="J98" s="15">
        <v>1</v>
      </c>
      <c r="K98" s="15">
        <v>1</v>
      </c>
      <c r="L98" s="17"/>
      <c r="M98" s="17"/>
      <c r="N98" s="17"/>
      <c r="O98" s="17"/>
      <c r="P98" s="17"/>
      <c r="Q98" s="17"/>
      <c r="R98" s="17"/>
      <c r="S98" s="15"/>
      <c r="T98" s="25">
        <v>45546</v>
      </c>
      <c r="U98" s="15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44"/>
      <c r="B99" s="134"/>
      <c r="C99" s="85" t="s">
        <v>238</v>
      </c>
      <c r="D99" s="109" t="s">
        <v>190</v>
      </c>
      <c r="E99" s="15" t="s">
        <v>38</v>
      </c>
      <c r="F99" s="16"/>
      <c r="G99" s="12" t="s">
        <v>176</v>
      </c>
      <c r="H99" s="15"/>
      <c r="I99" s="15"/>
      <c r="J99" s="15">
        <v>1</v>
      </c>
      <c r="K99" s="15">
        <v>1</v>
      </c>
      <c r="L99" s="17"/>
      <c r="M99" s="17"/>
      <c r="N99" s="17"/>
      <c r="O99" s="17"/>
      <c r="P99" s="17"/>
      <c r="Q99" s="17"/>
      <c r="R99" s="17"/>
      <c r="S99" s="15"/>
      <c r="T99" s="25">
        <v>45546</v>
      </c>
      <c r="U99" s="15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44"/>
      <c r="B100" s="134"/>
      <c r="C100" s="85" t="s">
        <v>239</v>
      </c>
      <c r="D100" s="109" t="s">
        <v>177</v>
      </c>
      <c r="E100" s="15" t="s">
        <v>38</v>
      </c>
      <c r="F100" s="16"/>
      <c r="G100" s="12" t="s">
        <v>176</v>
      </c>
      <c r="H100" s="15"/>
      <c r="I100" s="15"/>
      <c r="J100" s="15"/>
      <c r="K100" s="15"/>
      <c r="L100" s="17"/>
      <c r="M100" s="17"/>
      <c r="N100" s="17"/>
      <c r="O100" s="17"/>
      <c r="P100" s="17"/>
      <c r="Q100" s="17">
        <v>1</v>
      </c>
      <c r="R100" s="17"/>
      <c r="S100" s="15"/>
      <c r="T100" s="25">
        <v>45553</v>
      </c>
      <c r="U100" s="15" t="s">
        <v>147</v>
      </c>
      <c r="V100">
        <v>8</v>
      </c>
      <c r="AA100" s="49" t="s">
        <v>87</v>
      </c>
      <c r="AB100" s="50" t="s">
        <v>37</v>
      </c>
    </row>
    <row r="101" spans="1:28" x14ac:dyDescent="0.4">
      <c r="A101" s="144"/>
      <c r="B101" s="134"/>
      <c r="C101" s="85" t="s">
        <v>240</v>
      </c>
      <c r="D101" s="109" t="s">
        <v>175</v>
      </c>
      <c r="E101" s="15" t="s">
        <v>37</v>
      </c>
      <c r="F101" s="16"/>
      <c r="G101" s="12" t="s">
        <v>176</v>
      </c>
      <c r="H101" s="15"/>
      <c r="I101" s="15"/>
      <c r="J101" s="15"/>
      <c r="K101" s="15"/>
      <c r="L101" s="17"/>
      <c r="M101" s="17">
        <v>1</v>
      </c>
      <c r="N101" s="17">
        <v>1</v>
      </c>
      <c r="O101" s="17"/>
      <c r="P101" s="17"/>
      <c r="Q101" s="17">
        <v>1</v>
      </c>
      <c r="R101" s="17"/>
      <c r="S101" s="15"/>
      <c r="T101" s="25">
        <v>45557</v>
      </c>
      <c r="U101" s="15" t="s">
        <v>147</v>
      </c>
      <c r="V101">
        <v>9</v>
      </c>
      <c r="AA101" s="49" t="s">
        <v>88</v>
      </c>
      <c r="AB101" s="50" t="s">
        <v>74</v>
      </c>
    </row>
    <row r="102" spans="1:28" x14ac:dyDescent="0.4">
      <c r="A102" s="144"/>
      <c r="B102" s="134"/>
      <c r="C102" s="85" t="s">
        <v>241</v>
      </c>
      <c r="D102" s="109" t="s">
        <v>189</v>
      </c>
      <c r="E102" s="15" t="s">
        <v>38</v>
      </c>
      <c r="F102" s="16"/>
      <c r="G102" s="12" t="s">
        <v>176</v>
      </c>
      <c r="H102" s="15"/>
      <c r="I102" s="15"/>
      <c r="J102" s="15">
        <v>1</v>
      </c>
      <c r="K102" s="15">
        <v>1</v>
      </c>
      <c r="L102" s="17"/>
      <c r="M102" s="17"/>
      <c r="N102" s="17"/>
      <c r="O102" s="17"/>
      <c r="P102" s="17"/>
      <c r="Q102" s="17"/>
      <c r="R102" s="17"/>
      <c r="S102" s="15"/>
      <c r="T102" s="25">
        <v>45563</v>
      </c>
      <c r="U102" s="15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44"/>
      <c r="B103" s="134"/>
      <c r="C103" s="85" t="s">
        <v>243</v>
      </c>
      <c r="D103" s="109" t="s">
        <v>242</v>
      </c>
      <c r="E103" s="15" t="s">
        <v>36</v>
      </c>
      <c r="F103" s="16"/>
      <c r="G103" s="12" t="s">
        <v>176</v>
      </c>
      <c r="H103" s="15"/>
      <c r="I103" s="15"/>
      <c r="J103" s="15"/>
      <c r="K103" s="15"/>
      <c r="L103" s="17"/>
      <c r="M103" s="17">
        <v>1</v>
      </c>
      <c r="N103" s="17">
        <v>1</v>
      </c>
      <c r="O103" s="17"/>
      <c r="P103" s="17"/>
      <c r="Q103" s="17"/>
      <c r="R103" s="17"/>
      <c r="S103" s="15"/>
      <c r="T103" s="25">
        <v>45557</v>
      </c>
      <c r="U103" s="15" t="s">
        <v>147</v>
      </c>
      <c r="V103">
        <v>11</v>
      </c>
      <c r="AA103" s="49" t="s">
        <v>90</v>
      </c>
      <c r="AB103" s="50" t="s">
        <v>58</v>
      </c>
    </row>
    <row r="104" spans="1:28" x14ac:dyDescent="0.4">
      <c r="A104" s="144"/>
      <c r="B104" s="134"/>
      <c r="C104" s="85" t="s">
        <v>244</v>
      </c>
      <c r="D104" s="109" t="s">
        <v>175</v>
      </c>
      <c r="E104" s="15" t="s">
        <v>40</v>
      </c>
      <c r="F104" s="16"/>
      <c r="G104" s="12" t="s">
        <v>176</v>
      </c>
      <c r="H104" s="15"/>
      <c r="I104" s="15"/>
      <c r="J104" s="15"/>
      <c r="K104" s="15"/>
      <c r="L104" s="17"/>
      <c r="M104" s="17"/>
      <c r="N104" s="17"/>
      <c r="O104" s="17">
        <v>1</v>
      </c>
      <c r="P104" s="17">
        <v>1</v>
      </c>
      <c r="Q104" s="17">
        <v>1</v>
      </c>
      <c r="R104" s="17">
        <v>1</v>
      </c>
      <c r="S104" s="15"/>
      <c r="T104" s="25">
        <v>45550</v>
      </c>
      <c r="U104" s="15" t="s">
        <v>148</v>
      </c>
      <c r="V104">
        <v>12</v>
      </c>
      <c r="AA104" s="49" t="s">
        <v>91</v>
      </c>
      <c r="AB104" s="50" t="s">
        <v>75</v>
      </c>
    </row>
    <row r="105" spans="1:28" x14ac:dyDescent="0.4">
      <c r="A105" s="144"/>
      <c r="B105" s="134"/>
      <c r="C105" s="85" t="s">
        <v>245</v>
      </c>
      <c r="D105" s="109" t="s">
        <v>175</v>
      </c>
      <c r="E105" s="15" t="s">
        <v>37</v>
      </c>
      <c r="F105" s="16"/>
      <c r="G105" s="12" t="s">
        <v>176</v>
      </c>
      <c r="H105" s="15"/>
      <c r="I105" s="15"/>
      <c r="J105" s="15"/>
      <c r="K105" s="15"/>
      <c r="L105" s="17"/>
      <c r="M105" s="17">
        <v>1</v>
      </c>
      <c r="N105" s="17">
        <v>1</v>
      </c>
      <c r="O105" s="17"/>
      <c r="P105" s="17"/>
      <c r="Q105" s="17">
        <v>1</v>
      </c>
      <c r="R105" s="17"/>
      <c r="S105" s="15"/>
      <c r="T105" s="25">
        <v>45558</v>
      </c>
      <c r="U105" s="15" t="s">
        <v>147</v>
      </c>
      <c r="V105">
        <v>13</v>
      </c>
      <c r="AA105" s="49" t="s">
        <v>92</v>
      </c>
      <c r="AB105" s="50" t="s">
        <v>40</v>
      </c>
    </row>
    <row r="106" spans="1:28" x14ac:dyDescent="0.4">
      <c r="A106" s="144"/>
      <c r="B106" s="134"/>
      <c r="C106" s="85" t="s">
        <v>246</v>
      </c>
      <c r="D106" s="109" t="s">
        <v>175</v>
      </c>
      <c r="E106" s="15" t="s">
        <v>36</v>
      </c>
      <c r="F106" s="16"/>
      <c r="G106" s="12" t="s">
        <v>176</v>
      </c>
      <c r="H106" s="15"/>
      <c r="I106" s="15"/>
      <c r="J106" s="15"/>
      <c r="K106" s="15"/>
      <c r="L106" s="17"/>
      <c r="M106" s="17">
        <v>1</v>
      </c>
      <c r="N106" s="17">
        <v>1</v>
      </c>
      <c r="O106" s="17"/>
      <c r="P106" s="17"/>
      <c r="Q106" s="17">
        <v>1</v>
      </c>
      <c r="R106" s="17"/>
      <c r="S106" s="15"/>
      <c r="T106" s="25">
        <v>45558</v>
      </c>
      <c r="U106" s="15" t="s">
        <v>147</v>
      </c>
      <c r="V106">
        <v>14</v>
      </c>
      <c r="AA106" s="49" t="s">
        <v>93</v>
      </c>
      <c r="AB106" s="50" t="s">
        <v>57</v>
      </c>
    </row>
    <row r="107" spans="1:28" x14ac:dyDescent="0.4">
      <c r="A107" s="144"/>
      <c r="B107" s="134"/>
      <c r="C107" s="85" t="s">
        <v>247</v>
      </c>
      <c r="D107" s="109" t="s">
        <v>179</v>
      </c>
      <c r="E107" s="15" t="s">
        <v>40</v>
      </c>
      <c r="F107" s="16"/>
      <c r="G107" s="15" t="s">
        <v>176</v>
      </c>
      <c r="H107" s="15" t="s">
        <v>147</v>
      </c>
      <c r="I107" s="15"/>
      <c r="J107" s="15"/>
      <c r="K107" s="15"/>
      <c r="L107" s="17"/>
      <c r="M107" s="17"/>
      <c r="N107" s="17"/>
      <c r="O107" s="17">
        <v>1</v>
      </c>
      <c r="P107" s="17">
        <v>1</v>
      </c>
      <c r="Q107" s="17"/>
      <c r="R107" s="17"/>
      <c r="S107" s="15"/>
      <c r="T107" s="25">
        <v>45560</v>
      </c>
      <c r="U107" s="15" t="s">
        <v>148</v>
      </c>
      <c r="V107">
        <v>15</v>
      </c>
      <c r="AA107" s="49" t="s">
        <v>94</v>
      </c>
      <c r="AB107" s="50" t="s">
        <v>41</v>
      </c>
    </row>
    <row r="108" spans="1:28" x14ac:dyDescent="0.4">
      <c r="A108" s="144"/>
      <c r="B108" s="134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4"/>
      <c r="B109" s="134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4"/>
      <c r="B110" s="134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4"/>
      <c r="B111" s="134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4"/>
      <c r="B112" s="134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4"/>
      <c r="B113" s="134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4"/>
      <c r="B114" s="134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4"/>
      <c r="B115" s="134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19.5" thickBot="1" x14ac:dyDescent="0.45">
      <c r="A116" s="144"/>
      <c r="B116" s="134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5"/>
      <c r="B117" s="135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15</v>
      </c>
      <c r="D118" s="112"/>
      <c r="E118" s="29"/>
      <c r="F118" s="29" t="s">
        <v>34</v>
      </c>
      <c r="G118" s="29">
        <f>COUNTIF(G93:G117,"S")</f>
        <v>15</v>
      </c>
      <c r="H118" s="29">
        <f>COUNTIF(H93:H117,"E")</f>
        <v>1</v>
      </c>
      <c r="I118" s="29">
        <f>SUM(I93:I117)</f>
        <v>0</v>
      </c>
      <c r="J118" s="29">
        <f t="shared" ref="J118" si="3">SUM(J93:J117)</f>
        <v>5</v>
      </c>
      <c r="K118" s="29">
        <f t="shared" ref="K118" si="4">SUM(K93:K117)</f>
        <v>5</v>
      </c>
      <c r="L118" s="29">
        <f t="shared" ref="L118" si="5">SUM(L93:L117)</f>
        <v>0</v>
      </c>
      <c r="M118" s="29">
        <f t="shared" ref="M118" si="6">SUM(M93:M117)</f>
        <v>5</v>
      </c>
      <c r="N118" s="29">
        <f t="shared" ref="N118" si="7">SUM(N93:N117)</f>
        <v>4</v>
      </c>
      <c r="O118" s="29">
        <f t="shared" ref="O118" si="8">SUM(O93:O117)</f>
        <v>4</v>
      </c>
      <c r="P118" s="29">
        <f t="shared" ref="P118" si="9">SUM(P93:P117)</f>
        <v>3</v>
      </c>
      <c r="Q118" s="29">
        <f t="shared" ref="Q118" si="10">SUM(Q93:Q117)</f>
        <v>6</v>
      </c>
      <c r="R118" s="29">
        <f t="shared" ref="R118" si="11">SUM(R93:R117)</f>
        <v>2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1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34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AYG086</v>
      </c>
      <c r="B121" s="24">
        <f>B1</f>
        <v>45526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6" t="s">
        <v>116</v>
      </c>
      <c r="Y122" s="142"/>
    </row>
    <row r="123" spans="1:28" ht="20.25" thickTop="1" thickBot="1" x14ac:dyDescent="0.45">
      <c r="A123" s="143">
        <v>5</v>
      </c>
      <c r="B123" s="133">
        <v>19.600000000000001</v>
      </c>
      <c r="C123" s="85" t="s">
        <v>248</v>
      </c>
      <c r="D123" s="106" t="s">
        <v>181</v>
      </c>
      <c r="E123" s="106" t="s">
        <v>38</v>
      </c>
      <c r="F123" s="14"/>
      <c r="G123" s="12" t="s">
        <v>176</v>
      </c>
      <c r="H123" s="13" t="s">
        <v>180</v>
      </c>
      <c r="I123" s="13"/>
      <c r="J123" s="13">
        <v>1</v>
      </c>
      <c r="K123" s="13">
        <v>1</v>
      </c>
      <c r="L123" s="13"/>
      <c r="M123" s="13"/>
      <c r="N123" s="13"/>
      <c r="O123" s="13"/>
      <c r="P123" s="13"/>
      <c r="Q123" s="13"/>
      <c r="R123" s="13"/>
      <c r="S123" s="13"/>
      <c r="T123" s="25">
        <v>45552</v>
      </c>
      <c r="U123" s="13" t="s">
        <v>146</v>
      </c>
      <c r="V123">
        <v>1</v>
      </c>
      <c r="X123" s="51" t="s">
        <v>106</v>
      </c>
      <c r="Y123" s="52">
        <f>COUNTIF(U123:U147,"K")</f>
        <v>8</v>
      </c>
      <c r="AA123" s="59" t="s">
        <v>120</v>
      </c>
      <c r="AB123" s="60" t="s">
        <v>121</v>
      </c>
    </row>
    <row r="124" spans="1:28" x14ac:dyDescent="0.4">
      <c r="A124" s="144"/>
      <c r="B124" s="134"/>
      <c r="C124" s="85" t="s">
        <v>249</v>
      </c>
      <c r="D124" s="106" t="s">
        <v>181</v>
      </c>
      <c r="E124" s="106" t="s">
        <v>75</v>
      </c>
      <c r="F124" s="16"/>
      <c r="G124" s="12" t="s">
        <v>176</v>
      </c>
      <c r="H124" s="15"/>
      <c r="I124" s="15"/>
      <c r="J124" s="15"/>
      <c r="K124" s="15"/>
      <c r="L124" s="17"/>
      <c r="M124" s="17"/>
      <c r="N124" s="17"/>
      <c r="O124" s="17"/>
      <c r="P124" s="17"/>
      <c r="Q124" s="17"/>
      <c r="R124" s="17"/>
      <c r="S124" s="15">
        <v>1</v>
      </c>
      <c r="T124" s="25">
        <v>45552</v>
      </c>
      <c r="U124" s="13" t="s">
        <v>146</v>
      </c>
      <c r="V124">
        <v>2</v>
      </c>
      <c r="X124" s="51" t="s">
        <v>107</v>
      </c>
      <c r="Y124" s="52">
        <f>COUNTIF(U123:U147,"R")</f>
        <v>3</v>
      </c>
      <c r="AA124" s="47" t="s">
        <v>81</v>
      </c>
      <c r="AB124" s="48" t="s">
        <v>60</v>
      </c>
    </row>
    <row r="125" spans="1:28" ht="19.5" thickBot="1" x14ac:dyDescent="0.45">
      <c r="A125" s="144"/>
      <c r="B125" s="134"/>
      <c r="C125" s="85" t="s">
        <v>250</v>
      </c>
      <c r="D125" s="106" t="s">
        <v>181</v>
      </c>
      <c r="E125" s="106" t="s">
        <v>36</v>
      </c>
      <c r="F125" s="16"/>
      <c r="G125" s="12" t="s">
        <v>176</v>
      </c>
      <c r="H125" s="13"/>
      <c r="I125" s="15"/>
      <c r="J125" s="15"/>
      <c r="K125" s="15"/>
      <c r="L125" s="17"/>
      <c r="M125" s="17">
        <v>1</v>
      </c>
      <c r="N125" s="17">
        <v>1</v>
      </c>
      <c r="O125" s="17"/>
      <c r="P125" s="17"/>
      <c r="Q125" s="17"/>
      <c r="R125" s="17"/>
      <c r="S125" s="15"/>
      <c r="T125" s="25">
        <v>45557</v>
      </c>
      <c r="U125" s="13" t="s">
        <v>147</v>
      </c>
      <c r="V125">
        <v>3</v>
      </c>
      <c r="X125" s="53" t="s">
        <v>108</v>
      </c>
      <c r="Y125" s="54">
        <f>COUNTIF(U123:U147,"J")</f>
        <v>4</v>
      </c>
      <c r="AA125" s="49" t="s">
        <v>82</v>
      </c>
      <c r="AB125" s="50" t="s">
        <v>39</v>
      </c>
    </row>
    <row r="126" spans="1:28" x14ac:dyDescent="0.4">
      <c r="A126" s="144"/>
      <c r="B126" s="134"/>
      <c r="C126" s="85" t="s">
        <v>251</v>
      </c>
      <c r="D126" s="106" t="s">
        <v>181</v>
      </c>
      <c r="E126" s="106" t="s">
        <v>37</v>
      </c>
      <c r="F126" s="16"/>
      <c r="G126" s="12" t="s">
        <v>176</v>
      </c>
      <c r="H126" s="15"/>
      <c r="I126" s="15"/>
      <c r="J126" s="15"/>
      <c r="K126" s="15"/>
      <c r="L126" s="17"/>
      <c r="M126" s="17">
        <v>2</v>
      </c>
      <c r="N126" s="17">
        <v>2</v>
      </c>
      <c r="O126" s="17"/>
      <c r="P126" s="17"/>
      <c r="Q126" s="17"/>
      <c r="R126" s="17"/>
      <c r="S126" s="15"/>
      <c r="T126" s="25">
        <v>45557</v>
      </c>
      <c r="U126" s="13" t="s">
        <v>147</v>
      </c>
      <c r="V126">
        <v>4</v>
      </c>
      <c r="AA126" s="49" t="s">
        <v>83</v>
      </c>
      <c r="AB126" s="50" t="s">
        <v>38</v>
      </c>
    </row>
    <row r="127" spans="1:28" x14ac:dyDescent="0.4">
      <c r="A127" s="144"/>
      <c r="B127" s="134"/>
      <c r="C127" s="85" t="s">
        <v>252</v>
      </c>
      <c r="D127" s="106" t="s">
        <v>181</v>
      </c>
      <c r="E127" s="106" t="s">
        <v>36</v>
      </c>
      <c r="F127" s="16"/>
      <c r="G127" s="12" t="s">
        <v>176</v>
      </c>
      <c r="H127" s="15"/>
      <c r="I127" s="15"/>
      <c r="J127" s="15"/>
      <c r="K127" s="15"/>
      <c r="L127" s="17"/>
      <c r="M127" s="17">
        <v>1</v>
      </c>
      <c r="N127" s="17">
        <v>1</v>
      </c>
      <c r="O127" s="17"/>
      <c r="P127" s="17"/>
      <c r="Q127" s="17"/>
      <c r="R127" s="17"/>
      <c r="S127" s="15"/>
      <c r="T127" s="25">
        <v>45557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44"/>
      <c r="B128" s="134"/>
      <c r="C128" s="85" t="s">
        <v>253</v>
      </c>
      <c r="D128" s="106" t="s">
        <v>181</v>
      </c>
      <c r="E128" s="106" t="s">
        <v>40</v>
      </c>
      <c r="F128" s="16"/>
      <c r="G128" s="12" t="s">
        <v>176</v>
      </c>
      <c r="H128" s="13"/>
      <c r="I128" s="15"/>
      <c r="J128" s="15"/>
      <c r="K128" s="15"/>
      <c r="L128" s="17"/>
      <c r="M128" s="17"/>
      <c r="N128" s="17"/>
      <c r="O128" s="17"/>
      <c r="P128" s="17">
        <v>1</v>
      </c>
      <c r="Q128" s="17">
        <v>1</v>
      </c>
      <c r="R128" s="17"/>
      <c r="S128" s="15"/>
      <c r="T128" s="25">
        <v>45557</v>
      </c>
      <c r="U128" s="13" t="s">
        <v>148</v>
      </c>
      <c r="V128">
        <v>6</v>
      </c>
      <c r="AA128" s="49" t="s">
        <v>85</v>
      </c>
      <c r="AB128" s="50" t="s">
        <v>43</v>
      </c>
    </row>
    <row r="129" spans="1:28" x14ac:dyDescent="0.4">
      <c r="A129" s="144"/>
      <c r="B129" s="134"/>
      <c r="C129" s="85" t="s">
        <v>254</v>
      </c>
      <c r="D129" s="106" t="s">
        <v>181</v>
      </c>
      <c r="E129" s="106" t="s">
        <v>60</v>
      </c>
      <c r="F129" s="16"/>
      <c r="G129" s="12" t="s">
        <v>176</v>
      </c>
      <c r="H129" s="15" t="s">
        <v>180</v>
      </c>
      <c r="I129" s="15"/>
      <c r="J129" s="15">
        <v>1</v>
      </c>
      <c r="K129" s="15"/>
      <c r="L129" s="17">
        <v>1</v>
      </c>
      <c r="M129" s="17"/>
      <c r="N129" s="17"/>
      <c r="O129" s="17"/>
      <c r="P129" s="17"/>
      <c r="Q129" s="17"/>
      <c r="R129" s="17"/>
      <c r="S129" s="15"/>
      <c r="T129" s="25">
        <v>45552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44"/>
      <c r="B130" s="134"/>
      <c r="C130" s="85" t="s">
        <v>255</v>
      </c>
      <c r="D130" s="106" t="s">
        <v>181</v>
      </c>
      <c r="E130" s="106" t="s">
        <v>36</v>
      </c>
      <c r="F130" s="16"/>
      <c r="G130" s="12" t="s">
        <v>176</v>
      </c>
      <c r="H130" s="15"/>
      <c r="I130" s="15"/>
      <c r="J130" s="15">
        <v>1</v>
      </c>
      <c r="K130" s="15">
        <v>1</v>
      </c>
      <c r="L130" s="17"/>
      <c r="M130" s="17"/>
      <c r="N130" s="17"/>
      <c r="O130" s="17"/>
      <c r="P130" s="17"/>
      <c r="Q130" s="17"/>
      <c r="R130" s="17"/>
      <c r="S130" s="15"/>
      <c r="T130" s="25">
        <v>45552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44"/>
      <c r="B131" s="134"/>
      <c r="C131" s="85" t="s">
        <v>256</v>
      </c>
      <c r="D131" s="106" t="s">
        <v>181</v>
      </c>
      <c r="E131" s="106" t="s">
        <v>75</v>
      </c>
      <c r="F131" s="16"/>
      <c r="G131" s="12" t="s">
        <v>176</v>
      </c>
      <c r="H131" s="15"/>
      <c r="I131" s="15"/>
      <c r="J131" s="15"/>
      <c r="K131" s="15"/>
      <c r="L131" s="17"/>
      <c r="M131" s="17"/>
      <c r="N131" s="17"/>
      <c r="O131" s="17"/>
      <c r="P131" s="17"/>
      <c r="Q131" s="17"/>
      <c r="R131" s="17"/>
      <c r="S131" s="15">
        <v>1</v>
      </c>
      <c r="T131" s="25">
        <v>45552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44"/>
      <c r="B132" s="134"/>
      <c r="C132" s="85" t="s">
        <v>257</v>
      </c>
      <c r="D132" s="106" t="s">
        <v>181</v>
      </c>
      <c r="E132" s="106" t="s">
        <v>40</v>
      </c>
      <c r="F132" s="106"/>
      <c r="G132" s="12" t="s">
        <v>176</v>
      </c>
      <c r="H132" s="15"/>
      <c r="I132" s="15"/>
      <c r="J132" s="15"/>
      <c r="K132" s="15"/>
      <c r="L132" s="17"/>
      <c r="M132" s="17"/>
      <c r="N132" s="17"/>
      <c r="O132" s="17">
        <v>1</v>
      </c>
      <c r="P132" s="17">
        <v>1</v>
      </c>
      <c r="Q132" s="17"/>
      <c r="R132" s="17">
        <v>1</v>
      </c>
      <c r="S132" s="15"/>
      <c r="T132" s="25">
        <v>45557</v>
      </c>
      <c r="U132" s="13" t="s">
        <v>148</v>
      </c>
      <c r="V132">
        <v>10</v>
      </c>
      <c r="AA132" s="49" t="s">
        <v>89</v>
      </c>
      <c r="AB132" s="50" t="s">
        <v>36</v>
      </c>
    </row>
    <row r="133" spans="1:28" x14ac:dyDescent="0.4">
      <c r="A133" s="144"/>
      <c r="B133" s="134"/>
      <c r="C133" s="85" t="s">
        <v>258</v>
      </c>
      <c r="D133" s="106" t="s">
        <v>181</v>
      </c>
      <c r="E133" s="106" t="s">
        <v>40</v>
      </c>
      <c r="F133" s="16"/>
      <c r="G133" s="12" t="s">
        <v>176</v>
      </c>
      <c r="H133" s="15"/>
      <c r="I133" s="15"/>
      <c r="J133" s="15"/>
      <c r="K133" s="15"/>
      <c r="L133" s="17"/>
      <c r="M133" s="17"/>
      <c r="N133" s="17"/>
      <c r="O133" s="17">
        <v>1</v>
      </c>
      <c r="P133" s="17">
        <v>1</v>
      </c>
      <c r="Q133" s="17"/>
      <c r="R133" s="17">
        <v>1</v>
      </c>
      <c r="S133" s="15"/>
      <c r="T133" s="25">
        <v>45557</v>
      </c>
      <c r="U133" s="13" t="s">
        <v>148</v>
      </c>
      <c r="V133">
        <v>11</v>
      </c>
      <c r="AA133" s="49" t="s">
        <v>90</v>
      </c>
      <c r="AB133" s="50" t="s">
        <v>58</v>
      </c>
    </row>
    <row r="134" spans="1:28" x14ac:dyDescent="0.4">
      <c r="A134" s="144"/>
      <c r="B134" s="134"/>
      <c r="C134" s="85" t="s">
        <v>259</v>
      </c>
      <c r="D134" s="106" t="s">
        <v>181</v>
      </c>
      <c r="E134" s="106" t="s">
        <v>44</v>
      </c>
      <c r="F134" s="16"/>
      <c r="G134" s="12" t="s">
        <v>176</v>
      </c>
      <c r="H134" s="15"/>
      <c r="I134" s="15"/>
      <c r="J134" s="15"/>
      <c r="K134" s="15"/>
      <c r="L134" s="17"/>
      <c r="M134" s="17"/>
      <c r="N134" s="17"/>
      <c r="O134" s="17"/>
      <c r="P134" s="17"/>
      <c r="Q134" s="17"/>
      <c r="R134" s="17"/>
      <c r="S134" s="15"/>
      <c r="T134" s="25">
        <v>45559</v>
      </c>
      <c r="U134" s="13" t="s">
        <v>146</v>
      </c>
      <c r="V134">
        <v>12</v>
      </c>
      <c r="AA134" s="49" t="s">
        <v>91</v>
      </c>
      <c r="AB134" s="50" t="s">
        <v>75</v>
      </c>
    </row>
    <row r="135" spans="1:28" x14ac:dyDescent="0.4">
      <c r="A135" s="144"/>
      <c r="B135" s="134"/>
      <c r="C135" s="85" t="s">
        <v>260</v>
      </c>
      <c r="D135" s="106" t="s">
        <v>181</v>
      </c>
      <c r="E135" s="106" t="s">
        <v>38</v>
      </c>
      <c r="F135" s="16"/>
      <c r="G135" s="12" t="s">
        <v>176</v>
      </c>
      <c r="H135" s="15"/>
      <c r="I135" s="15"/>
      <c r="J135" s="15">
        <v>1</v>
      </c>
      <c r="K135" s="15">
        <v>1</v>
      </c>
      <c r="L135" s="17"/>
      <c r="M135" s="17"/>
      <c r="N135" s="17"/>
      <c r="O135" s="17"/>
      <c r="P135" s="17"/>
      <c r="Q135" s="17"/>
      <c r="R135" s="17"/>
      <c r="S135" s="15"/>
      <c r="T135" s="25">
        <v>45559</v>
      </c>
      <c r="U135" s="13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44"/>
      <c r="B136" s="134"/>
      <c r="C136" s="85" t="s">
        <v>261</v>
      </c>
      <c r="D136" s="106" t="s">
        <v>181</v>
      </c>
      <c r="E136" s="106" t="s">
        <v>40</v>
      </c>
      <c r="F136" s="16"/>
      <c r="G136" s="12" t="s">
        <v>176</v>
      </c>
      <c r="H136" s="15"/>
      <c r="I136" s="15"/>
      <c r="J136" s="15"/>
      <c r="K136" s="15"/>
      <c r="L136" s="17"/>
      <c r="M136" s="17"/>
      <c r="N136" s="17"/>
      <c r="O136" s="17">
        <v>1</v>
      </c>
      <c r="P136" s="17">
        <v>1</v>
      </c>
      <c r="Q136" s="17">
        <v>1</v>
      </c>
      <c r="R136" s="17">
        <v>1</v>
      </c>
      <c r="S136" s="15"/>
      <c r="T136" s="25">
        <v>45559</v>
      </c>
      <c r="U136" s="13" t="s">
        <v>148</v>
      </c>
      <c r="V136">
        <v>14</v>
      </c>
      <c r="AA136" s="49" t="s">
        <v>93</v>
      </c>
      <c r="AB136" s="50" t="s">
        <v>57</v>
      </c>
    </row>
    <row r="137" spans="1:28" x14ac:dyDescent="0.4">
      <c r="A137" s="144"/>
      <c r="B137" s="134"/>
      <c r="C137" s="85" t="s">
        <v>262</v>
      </c>
      <c r="D137" s="106" t="s">
        <v>181</v>
      </c>
      <c r="E137" s="106" t="s">
        <v>37</v>
      </c>
      <c r="F137" s="16"/>
      <c r="G137" s="12" t="s">
        <v>176</v>
      </c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>
        <v>45557</v>
      </c>
      <c r="U137" s="13" t="s">
        <v>146</v>
      </c>
      <c r="V137">
        <v>15</v>
      </c>
      <c r="AA137" s="49" t="s">
        <v>94</v>
      </c>
      <c r="AB137" s="50" t="s">
        <v>41</v>
      </c>
    </row>
    <row r="138" spans="1:28" x14ac:dyDescent="0.4">
      <c r="A138" s="144"/>
      <c r="B138" s="134"/>
      <c r="C138" s="85"/>
      <c r="D138" s="106"/>
      <c r="E138" s="106"/>
      <c r="F138" s="16"/>
      <c r="G138" s="12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4"/>
      <c r="B139" s="134"/>
      <c r="C139" s="85"/>
      <c r="D139" s="106"/>
      <c r="E139" s="106"/>
      <c r="F139" s="16"/>
      <c r="G139" s="12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5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4"/>
      <c r="B140" s="134"/>
      <c r="C140" s="85"/>
      <c r="D140" s="106"/>
      <c r="E140" s="106"/>
      <c r="F140" s="16"/>
      <c r="G140" s="12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5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4"/>
      <c r="B141" s="134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4"/>
      <c r="B142" s="134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4"/>
      <c r="B143" s="134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4"/>
      <c r="B144" s="134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4"/>
      <c r="B145" s="134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4"/>
      <c r="B146" s="134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5"/>
      <c r="B147" s="135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15</v>
      </c>
      <c r="D148" s="112"/>
      <c r="E148" s="29"/>
      <c r="F148" s="29" t="s">
        <v>34</v>
      </c>
      <c r="G148" s="29">
        <f>COUNTIF(G123:G147,"S")</f>
        <v>15</v>
      </c>
      <c r="H148" s="29">
        <f>COUNTIF(H123:H147,"E")</f>
        <v>2</v>
      </c>
      <c r="I148" s="29">
        <f>SUM(I123:I147)</f>
        <v>0</v>
      </c>
      <c r="J148" s="29">
        <f t="shared" ref="J148" si="13">SUM(J123:J147)</f>
        <v>4</v>
      </c>
      <c r="K148" s="29">
        <f t="shared" ref="K148" si="14">SUM(K123:K147)</f>
        <v>3</v>
      </c>
      <c r="L148" s="29">
        <f t="shared" ref="L148" si="15">SUM(L123:L147)</f>
        <v>1</v>
      </c>
      <c r="M148" s="29">
        <f t="shared" ref="M148" si="16">SUM(M123:M147)</f>
        <v>4</v>
      </c>
      <c r="N148" s="29">
        <f t="shared" ref="N148" si="17">SUM(N123:N147)</f>
        <v>4</v>
      </c>
      <c r="O148" s="29">
        <f t="shared" ref="O148" si="18">SUM(O123:O147)</f>
        <v>3</v>
      </c>
      <c r="P148" s="29">
        <f t="shared" ref="P148" si="19">SUM(P123:P147)</f>
        <v>4</v>
      </c>
      <c r="Q148" s="29">
        <f t="shared" ref="Q148" si="20">SUM(Q123:Q147)</f>
        <v>2</v>
      </c>
      <c r="R148" s="29">
        <f t="shared" ref="R148" si="21">SUM(R123:R147)</f>
        <v>3</v>
      </c>
      <c r="S148" s="29">
        <f t="shared" ref="S148" si="22">SUM(S123:S147)</f>
        <v>2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30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AYG086</v>
      </c>
      <c r="B151" s="24">
        <f>B1</f>
        <v>45526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>
        <v>20.2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6" t="s">
        <v>115</v>
      </c>
      <c r="Y152" s="142"/>
    </row>
    <row r="153" spans="1:28" ht="20.25" thickTop="1" thickBot="1" x14ac:dyDescent="0.45">
      <c r="A153" s="143">
        <v>6</v>
      </c>
      <c r="B153" s="146">
        <v>19</v>
      </c>
      <c r="C153" s="85" t="s">
        <v>263</v>
      </c>
      <c r="D153" s="106" t="s">
        <v>264</v>
      </c>
      <c r="E153" s="15" t="s">
        <v>41</v>
      </c>
      <c r="F153" s="14"/>
      <c r="G153" s="12" t="s">
        <v>176</v>
      </c>
      <c r="H153" s="13"/>
      <c r="I153" s="13"/>
      <c r="J153" s="13">
        <v>1</v>
      </c>
      <c r="K153" s="13"/>
      <c r="L153" s="13"/>
      <c r="M153" s="13"/>
      <c r="N153" s="13"/>
      <c r="O153" s="13"/>
      <c r="P153" s="13"/>
      <c r="Q153" s="13"/>
      <c r="R153" s="13"/>
      <c r="S153" s="13"/>
      <c r="T153" s="25">
        <v>45546</v>
      </c>
      <c r="U153" s="13" t="s">
        <v>142</v>
      </c>
      <c r="V153">
        <v>1</v>
      </c>
      <c r="X153" s="51" t="s">
        <v>106</v>
      </c>
      <c r="Y153" s="52">
        <f>COUNTIF(U153:U177,"K")</f>
        <v>7</v>
      </c>
      <c r="AA153" s="59" t="s">
        <v>120</v>
      </c>
      <c r="AB153" s="60" t="s">
        <v>121</v>
      </c>
    </row>
    <row r="154" spans="1:28" x14ac:dyDescent="0.4">
      <c r="A154" s="144"/>
      <c r="B154" s="147"/>
      <c r="C154" s="85" t="s">
        <v>265</v>
      </c>
      <c r="D154" s="106" t="s">
        <v>264</v>
      </c>
      <c r="E154" s="15" t="s">
        <v>42</v>
      </c>
      <c r="F154" s="16"/>
      <c r="G154" s="15" t="s">
        <v>176</v>
      </c>
      <c r="H154" s="15"/>
      <c r="I154" s="15"/>
      <c r="J154" s="15"/>
      <c r="K154" s="15"/>
      <c r="L154" s="17"/>
      <c r="M154" s="17"/>
      <c r="N154" s="17"/>
      <c r="O154" s="17"/>
      <c r="P154" s="17"/>
      <c r="Q154" s="17"/>
      <c r="R154" s="17"/>
      <c r="S154" s="15">
        <v>1</v>
      </c>
      <c r="T154" s="25">
        <v>45546</v>
      </c>
      <c r="U154" s="15" t="s">
        <v>146</v>
      </c>
      <c r="V154">
        <v>2</v>
      </c>
      <c r="X154" s="51" t="s">
        <v>107</v>
      </c>
      <c r="Y154" s="52">
        <f>COUNTIF(U153:U177,"R")</f>
        <v>6</v>
      </c>
      <c r="AA154" s="47" t="s">
        <v>81</v>
      </c>
      <c r="AB154" s="48" t="s">
        <v>60</v>
      </c>
    </row>
    <row r="155" spans="1:28" ht="19.5" thickBot="1" x14ac:dyDescent="0.45">
      <c r="A155" s="144"/>
      <c r="B155" s="147"/>
      <c r="C155" s="85" t="s">
        <v>266</v>
      </c>
      <c r="D155" s="106" t="s">
        <v>179</v>
      </c>
      <c r="E155" s="15" t="s">
        <v>36</v>
      </c>
      <c r="F155" s="16"/>
      <c r="G155" s="15" t="s">
        <v>176</v>
      </c>
      <c r="H155" s="13"/>
      <c r="I155" s="15"/>
      <c r="J155" s="15">
        <v>1</v>
      </c>
      <c r="K155" s="15">
        <v>1</v>
      </c>
      <c r="L155" s="17"/>
      <c r="M155" s="17"/>
      <c r="N155" s="17"/>
      <c r="O155" s="17"/>
      <c r="P155" s="17"/>
      <c r="Q155" s="17"/>
      <c r="R155" s="17"/>
      <c r="S155" s="15"/>
      <c r="T155" s="25">
        <v>45561</v>
      </c>
      <c r="U155" s="15" t="s">
        <v>146</v>
      </c>
      <c r="V155">
        <v>3</v>
      </c>
      <c r="X155" s="53" t="s">
        <v>108</v>
      </c>
      <c r="Y155" s="54">
        <f>COUNTIF(U153:U177,"J")</f>
        <v>1</v>
      </c>
      <c r="AA155" s="49" t="s">
        <v>82</v>
      </c>
      <c r="AB155" s="50" t="s">
        <v>39</v>
      </c>
    </row>
    <row r="156" spans="1:28" x14ac:dyDescent="0.4">
      <c r="A156" s="144"/>
      <c r="B156" s="147"/>
      <c r="C156" s="85" t="s">
        <v>267</v>
      </c>
      <c r="D156" s="106" t="s">
        <v>175</v>
      </c>
      <c r="E156" s="15" t="s">
        <v>36</v>
      </c>
      <c r="F156" s="16"/>
      <c r="G156" s="15" t="s">
        <v>176</v>
      </c>
      <c r="H156" s="15"/>
      <c r="I156" s="15"/>
      <c r="J156" s="15"/>
      <c r="K156" s="15"/>
      <c r="L156" s="17"/>
      <c r="M156" s="17">
        <v>1</v>
      </c>
      <c r="N156" s="17">
        <v>1</v>
      </c>
      <c r="O156" s="17"/>
      <c r="P156" s="17"/>
      <c r="Q156" s="17">
        <v>1</v>
      </c>
      <c r="R156" s="17"/>
      <c r="S156" s="15"/>
      <c r="T156" s="25">
        <v>45546</v>
      </c>
      <c r="U156" s="15" t="s">
        <v>147</v>
      </c>
      <c r="V156">
        <v>4</v>
      </c>
      <c r="AA156" s="49" t="s">
        <v>83</v>
      </c>
      <c r="AB156" s="50" t="s">
        <v>38</v>
      </c>
    </row>
    <row r="157" spans="1:28" x14ac:dyDescent="0.4">
      <c r="A157" s="144"/>
      <c r="B157" s="147"/>
      <c r="C157" s="85" t="s">
        <v>268</v>
      </c>
      <c r="D157" s="106" t="s">
        <v>175</v>
      </c>
      <c r="E157" s="15" t="s">
        <v>36</v>
      </c>
      <c r="F157" s="16"/>
      <c r="G157" s="15" t="s">
        <v>176</v>
      </c>
      <c r="H157" s="15"/>
      <c r="I157" s="15"/>
      <c r="J157" s="15"/>
      <c r="K157" s="15"/>
      <c r="L157" s="17"/>
      <c r="M157" s="17">
        <v>1</v>
      </c>
      <c r="N157" s="17">
        <v>1</v>
      </c>
      <c r="O157" s="17"/>
      <c r="P157" s="17"/>
      <c r="Q157" s="17">
        <v>1</v>
      </c>
      <c r="R157" s="17"/>
      <c r="S157" s="15"/>
      <c r="T157" s="25">
        <v>45550</v>
      </c>
      <c r="U157" s="15" t="s">
        <v>147</v>
      </c>
      <c r="V157">
        <v>5</v>
      </c>
      <c r="AA157" s="49" t="s">
        <v>84</v>
      </c>
      <c r="AB157" s="50" t="s">
        <v>44</v>
      </c>
    </row>
    <row r="158" spans="1:28" x14ac:dyDescent="0.4">
      <c r="A158" s="144"/>
      <c r="B158" s="147"/>
      <c r="C158" s="85" t="s">
        <v>269</v>
      </c>
      <c r="D158" s="106" t="s">
        <v>175</v>
      </c>
      <c r="E158" s="15" t="s">
        <v>36</v>
      </c>
      <c r="F158" s="16"/>
      <c r="G158" s="13" t="s">
        <v>176</v>
      </c>
      <c r="H158" s="13"/>
      <c r="I158" s="15"/>
      <c r="J158" s="15"/>
      <c r="K158" s="15"/>
      <c r="L158" s="17"/>
      <c r="M158" s="17">
        <v>1</v>
      </c>
      <c r="N158" s="17">
        <v>1</v>
      </c>
      <c r="O158" s="17"/>
      <c r="P158" s="17"/>
      <c r="Q158" s="17"/>
      <c r="R158" s="17"/>
      <c r="S158" s="15"/>
      <c r="T158" s="25">
        <v>45559</v>
      </c>
      <c r="U158" s="15" t="s">
        <v>147</v>
      </c>
      <c r="V158">
        <v>6</v>
      </c>
      <c r="AA158" s="49" t="s">
        <v>85</v>
      </c>
      <c r="AB158" s="50" t="s">
        <v>43</v>
      </c>
    </row>
    <row r="159" spans="1:28" x14ac:dyDescent="0.4">
      <c r="A159" s="144"/>
      <c r="B159" s="147"/>
      <c r="C159" s="85" t="s">
        <v>270</v>
      </c>
      <c r="D159" s="106" t="s">
        <v>185</v>
      </c>
      <c r="E159" s="15" t="s">
        <v>58</v>
      </c>
      <c r="F159" s="16"/>
      <c r="G159" s="15" t="s">
        <v>176</v>
      </c>
      <c r="H159" s="15"/>
      <c r="I159" s="15"/>
      <c r="J159" s="15"/>
      <c r="K159" s="15"/>
      <c r="L159" s="17"/>
      <c r="M159" s="17"/>
      <c r="N159" s="17"/>
      <c r="O159" s="17"/>
      <c r="P159" s="17"/>
      <c r="Q159" s="17"/>
      <c r="R159" s="17"/>
      <c r="S159" s="15">
        <v>1</v>
      </c>
      <c r="T159" s="25">
        <v>45553</v>
      </c>
      <c r="U159" s="15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44"/>
      <c r="B160" s="147"/>
      <c r="C160" s="85" t="s">
        <v>271</v>
      </c>
      <c r="D160" s="106" t="s">
        <v>185</v>
      </c>
      <c r="E160" s="15" t="s">
        <v>40</v>
      </c>
      <c r="F160" s="16"/>
      <c r="G160" s="15" t="s">
        <v>176</v>
      </c>
      <c r="H160" s="15"/>
      <c r="I160" s="15"/>
      <c r="J160" s="15"/>
      <c r="K160" s="15"/>
      <c r="L160" s="17"/>
      <c r="M160" s="17"/>
      <c r="N160" s="17"/>
      <c r="O160" s="17">
        <v>1</v>
      </c>
      <c r="P160" s="17">
        <v>1</v>
      </c>
      <c r="Q160" s="17"/>
      <c r="R160" s="17"/>
      <c r="S160" s="15"/>
      <c r="T160" s="25">
        <v>45553</v>
      </c>
      <c r="U160" s="15" t="s">
        <v>148</v>
      </c>
      <c r="V160">
        <v>8</v>
      </c>
      <c r="AA160" s="49" t="s">
        <v>87</v>
      </c>
      <c r="AB160" s="50" t="s">
        <v>37</v>
      </c>
    </row>
    <row r="161" spans="1:28" x14ac:dyDescent="0.4">
      <c r="A161" s="144"/>
      <c r="B161" s="147"/>
      <c r="C161" s="85" t="s">
        <v>272</v>
      </c>
      <c r="D161" s="106" t="s">
        <v>185</v>
      </c>
      <c r="E161" s="15" t="s">
        <v>75</v>
      </c>
      <c r="F161" s="16"/>
      <c r="G161" s="15" t="s">
        <v>176</v>
      </c>
      <c r="H161" s="15"/>
      <c r="I161" s="15"/>
      <c r="J161" s="15"/>
      <c r="K161" s="15"/>
      <c r="L161" s="17"/>
      <c r="M161" s="17"/>
      <c r="N161" s="17"/>
      <c r="O161" s="17"/>
      <c r="P161" s="17"/>
      <c r="Q161" s="17"/>
      <c r="R161" s="17"/>
      <c r="S161" s="15"/>
      <c r="T161" s="25">
        <v>45563</v>
      </c>
      <c r="U161" s="15" t="s">
        <v>147</v>
      </c>
      <c r="V161">
        <v>9</v>
      </c>
      <c r="AA161" s="49" t="s">
        <v>88</v>
      </c>
      <c r="AB161" s="50" t="s">
        <v>74</v>
      </c>
    </row>
    <row r="162" spans="1:28" x14ac:dyDescent="0.4">
      <c r="A162" s="144"/>
      <c r="B162" s="147"/>
      <c r="C162" s="85" t="s">
        <v>273</v>
      </c>
      <c r="D162" s="106" t="s">
        <v>185</v>
      </c>
      <c r="E162" s="15" t="s">
        <v>58</v>
      </c>
      <c r="F162" s="16"/>
      <c r="G162" s="15" t="s">
        <v>176</v>
      </c>
      <c r="H162" s="15"/>
      <c r="I162" s="15"/>
      <c r="J162" s="15"/>
      <c r="K162" s="15"/>
      <c r="L162" s="17"/>
      <c r="M162" s="17"/>
      <c r="N162" s="17"/>
      <c r="O162" s="17"/>
      <c r="P162" s="17"/>
      <c r="Q162" s="17"/>
      <c r="R162" s="17"/>
      <c r="S162" s="15"/>
      <c r="T162" s="25">
        <v>45551</v>
      </c>
      <c r="U162" s="15" t="s">
        <v>147</v>
      </c>
      <c r="V162">
        <v>10</v>
      </c>
      <c r="AA162" s="49" t="s">
        <v>89</v>
      </c>
      <c r="AB162" s="50" t="s">
        <v>36</v>
      </c>
    </row>
    <row r="163" spans="1:28" x14ac:dyDescent="0.4">
      <c r="A163" s="144"/>
      <c r="B163" s="147"/>
      <c r="C163" s="85" t="s">
        <v>274</v>
      </c>
      <c r="D163" s="106" t="s">
        <v>185</v>
      </c>
      <c r="E163" s="15" t="s">
        <v>36</v>
      </c>
      <c r="F163" s="16"/>
      <c r="G163" s="15" t="s">
        <v>176</v>
      </c>
      <c r="H163" s="15"/>
      <c r="I163" s="15"/>
      <c r="J163" s="15"/>
      <c r="K163" s="15"/>
      <c r="L163" s="17"/>
      <c r="M163" s="17">
        <v>1</v>
      </c>
      <c r="N163" s="17">
        <v>1</v>
      </c>
      <c r="O163" s="17"/>
      <c r="P163" s="17"/>
      <c r="Q163" s="17">
        <v>1</v>
      </c>
      <c r="R163" s="17"/>
      <c r="S163" s="15"/>
      <c r="T163" s="25">
        <v>45559</v>
      </c>
      <c r="U163" s="15" t="s">
        <v>147</v>
      </c>
      <c r="V163">
        <v>11</v>
      </c>
      <c r="AA163" s="49" t="s">
        <v>90</v>
      </c>
      <c r="AB163" s="50" t="s">
        <v>58</v>
      </c>
    </row>
    <row r="164" spans="1:28" x14ac:dyDescent="0.4">
      <c r="A164" s="144"/>
      <c r="B164" s="147"/>
      <c r="C164" s="85" t="s">
        <v>275</v>
      </c>
      <c r="D164" s="106" t="s">
        <v>198</v>
      </c>
      <c r="E164" s="15" t="s">
        <v>36</v>
      </c>
      <c r="F164" s="16"/>
      <c r="G164" s="15" t="s">
        <v>176</v>
      </c>
      <c r="H164" s="15"/>
      <c r="I164" s="15"/>
      <c r="J164" s="15"/>
      <c r="K164" s="15">
        <v>1</v>
      </c>
      <c r="L164" s="17"/>
      <c r="M164" s="17"/>
      <c r="N164" s="17"/>
      <c r="O164" s="17"/>
      <c r="P164" s="17"/>
      <c r="Q164" s="17"/>
      <c r="R164" s="17"/>
      <c r="S164" s="15"/>
      <c r="T164" s="25">
        <v>45550</v>
      </c>
      <c r="U164" s="15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44"/>
      <c r="B165" s="147"/>
      <c r="C165" s="85" t="s">
        <v>276</v>
      </c>
      <c r="D165" s="106" t="s">
        <v>198</v>
      </c>
      <c r="E165" s="15" t="s">
        <v>44</v>
      </c>
      <c r="F165" s="16"/>
      <c r="G165" s="15" t="s">
        <v>176</v>
      </c>
      <c r="H165" s="15"/>
      <c r="I165" s="15"/>
      <c r="J165" s="15"/>
      <c r="K165" s="15">
        <v>1</v>
      </c>
      <c r="L165" s="17"/>
      <c r="M165" s="17"/>
      <c r="N165" s="17"/>
      <c r="O165" s="17"/>
      <c r="P165" s="17"/>
      <c r="Q165" s="17"/>
      <c r="R165" s="17"/>
      <c r="S165" s="15"/>
      <c r="T165" s="25">
        <v>45550</v>
      </c>
      <c r="U165" s="105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44"/>
      <c r="B166" s="147"/>
      <c r="C166" s="85" t="s">
        <v>277</v>
      </c>
      <c r="D166" s="106" t="s">
        <v>198</v>
      </c>
      <c r="E166" s="15" t="s">
        <v>37</v>
      </c>
      <c r="F166" s="16"/>
      <c r="G166" s="15" t="s">
        <v>176</v>
      </c>
      <c r="H166" s="15"/>
      <c r="I166" s="15"/>
      <c r="J166" s="15">
        <v>1</v>
      </c>
      <c r="K166" s="15">
        <v>1</v>
      </c>
      <c r="L166" s="17"/>
      <c r="M166" s="17"/>
      <c r="N166" s="17"/>
      <c r="O166" s="17"/>
      <c r="P166" s="17"/>
      <c r="Q166" s="17"/>
      <c r="R166" s="17"/>
      <c r="S166" s="15"/>
      <c r="T166" s="25">
        <v>45550</v>
      </c>
      <c r="U166" s="15" t="s">
        <v>146</v>
      </c>
      <c r="V166">
        <v>14</v>
      </c>
      <c r="AA166" s="49" t="s">
        <v>93</v>
      </c>
      <c r="AB166" s="50" t="s">
        <v>57</v>
      </c>
    </row>
    <row r="167" spans="1:28" x14ac:dyDescent="0.4">
      <c r="A167" s="144"/>
      <c r="B167" s="147"/>
      <c r="C167" s="85"/>
      <c r="D167" s="106"/>
      <c r="E167" s="15"/>
      <c r="F167" s="16"/>
      <c r="G167" s="15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/>
      <c r="U167" s="25"/>
      <c r="V167">
        <v>15</v>
      </c>
      <c r="AA167" s="49" t="s">
        <v>94</v>
      </c>
      <c r="AB167" s="50" t="s">
        <v>41</v>
      </c>
    </row>
    <row r="168" spans="1:28" x14ac:dyDescent="0.4">
      <c r="A168" s="144"/>
      <c r="B168" s="147"/>
      <c r="C168" s="85"/>
      <c r="D168" s="106"/>
      <c r="E168" s="15"/>
      <c r="F168" s="16"/>
      <c r="G168" s="15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5"/>
      <c r="V168">
        <v>16</v>
      </c>
      <c r="AA168" s="49" t="s">
        <v>95</v>
      </c>
      <c r="AB168" s="50" t="s">
        <v>42</v>
      </c>
    </row>
    <row r="169" spans="1:28" x14ac:dyDescent="0.4">
      <c r="A169" s="144"/>
      <c r="B169" s="147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4"/>
      <c r="B170" s="147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4"/>
      <c r="B171" s="147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4"/>
      <c r="B172" s="147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4"/>
      <c r="B173" s="147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4"/>
      <c r="B174" s="147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4"/>
      <c r="B175" s="147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4"/>
      <c r="B176" s="147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5"/>
      <c r="B177" s="148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14</v>
      </c>
      <c r="D178" s="112"/>
      <c r="E178" s="29"/>
      <c r="F178" s="29" t="s">
        <v>34</v>
      </c>
      <c r="G178" s="29">
        <f>COUNTIF(G153:G177,"S")</f>
        <v>14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3</v>
      </c>
      <c r="K178" s="29">
        <f t="shared" ref="K178" si="24">SUM(K153:K177)</f>
        <v>4</v>
      </c>
      <c r="L178" s="29">
        <f t="shared" ref="L178" si="25">SUM(L153:L177)</f>
        <v>0</v>
      </c>
      <c r="M178" s="29">
        <f t="shared" ref="M178" si="26">SUM(M153:M177)</f>
        <v>4</v>
      </c>
      <c r="N178" s="29">
        <f t="shared" ref="N178" si="27">SUM(N153:N177)</f>
        <v>4</v>
      </c>
      <c r="O178" s="29">
        <f t="shared" ref="O178" si="28">SUM(O153:O177)</f>
        <v>1</v>
      </c>
      <c r="P178" s="29">
        <f t="shared" ref="P178" si="29">SUM(P153:P177)</f>
        <v>1</v>
      </c>
      <c r="Q178" s="29">
        <f t="shared" ref="Q178" si="30">SUM(Q153:Q177)</f>
        <v>3</v>
      </c>
      <c r="R178" s="29">
        <f t="shared" ref="R178" si="31">SUM(R153:R177)</f>
        <v>0</v>
      </c>
      <c r="S178" s="29">
        <f t="shared" ref="S178" si="32">SUM(S153:S177)</f>
        <v>2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22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174</v>
      </c>
      <c r="B181" s="24">
        <v>45358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6" t="s">
        <v>114</v>
      </c>
      <c r="Y182" s="142"/>
    </row>
    <row r="183" spans="1:28" ht="20.25" thickTop="1" thickBot="1" x14ac:dyDescent="0.45">
      <c r="A183" s="143">
        <v>7</v>
      </c>
      <c r="B183" s="146">
        <v>23.4</v>
      </c>
      <c r="C183" s="85" t="s">
        <v>278</v>
      </c>
      <c r="D183" s="110" t="s">
        <v>181</v>
      </c>
      <c r="E183" s="18" t="s">
        <v>37</v>
      </c>
      <c r="F183" s="16"/>
      <c r="G183" s="18" t="s">
        <v>176</v>
      </c>
      <c r="H183" s="15"/>
      <c r="I183" s="15"/>
      <c r="J183" s="18">
        <v>1</v>
      </c>
      <c r="K183" s="15">
        <v>1</v>
      </c>
      <c r="L183" s="19"/>
      <c r="M183" s="19"/>
      <c r="N183" s="19"/>
      <c r="O183" s="19"/>
      <c r="P183" s="19"/>
      <c r="Q183" s="19"/>
      <c r="R183" s="19"/>
      <c r="S183" s="15"/>
      <c r="T183" s="25">
        <v>45552</v>
      </c>
      <c r="U183" s="15" t="s">
        <v>146</v>
      </c>
      <c r="V183">
        <v>1</v>
      </c>
      <c r="X183" s="51" t="s">
        <v>106</v>
      </c>
      <c r="Y183" s="52">
        <f>COUNTIF(U183:U207,"K")</f>
        <v>9</v>
      </c>
      <c r="AA183" s="59" t="s">
        <v>120</v>
      </c>
      <c r="AB183" s="60" t="s">
        <v>121</v>
      </c>
    </row>
    <row r="184" spans="1:28" x14ac:dyDescent="0.4">
      <c r="A184" s="144"/>
      <c r="B184" s="147"/>
      <c r="C184" s="85" t="s">
        <v>279</v>
      </c>
      <c r="D184" s="106" t="s">
        <v>181</v>
      </c>
      <c r="E184" s="15" t="s">
        <v>38</v>
      </c>
      <c r="F184" s="16"/>
      <c r="G184" s="18" t="s">
        <v>176</v>
      </c>
      <c r="H184" s="15"/>
      <c r="I184" s="15"/>
      <c r="J184" s="18">
        <v>1</v>
      </c>
      <c r="K184" s="15">
        <v>1</v>
      </c>
      <c r="L184" s="19"/>
      <c r="M184" s="19"/>
      <c r="N184" s="19"/>
      <c r="O184" s="19"/>
      <c r="P184" s="19"/>
      <c r="Q184" s="19"/>
      <c r="R184" s="19"/>
      <c r="S184" s="15"/>
      <c r="T184" s="25">
        <v>45552</v>
      </c>
      <c r="U184" s="15" t="s">
        <v>146</v>
      </c>
      <c r="V184">
        <v>2</v>
      </c>
      <c r="X184" s="51" t="s">
        <v>107</v>
      </c>
      <c r="Y184" s="52">
        <f>COUNTIF(U183:U207,"R")</f>
        <v>5</v>
      </c>
      <c r="AA184" s="47" t="s">
        <v>81</v>
      </c>
      <c r="AB184" s="48" t="s">
        <v>60</v>
      </c>
    </row>
    <row r="185" spans="1:28" ht="19.5" thickBot="1" x14ac:dyDescent="0.45">
      <c r="A185" s="144"/>
      <c r="B185" s="147"/>
      <c r="C185" s="85" t="s">
        <v>280</v>
      </c>
      <c r="D185" s="106" t="s">
        <v>181</v>
      </c>
      <c r="E185" s="15" t="s">
        <v>60</v>
      </c>
      <c r="F185" s="16"/>
      <c r="G185" s="18" t="s">
        <v>176</v>
      </c>
      <c r="H185" s="15"/>
      <c r="I185" s="15"/>
      <c r="J185" s="15">
        <v>1</v>
      </c>
      <c r="K185" s="15"/>
      <c r="L185" s="17">
        <v>1</v>
      </c>
      <c r="M185" s="17"/>
      <c r="N185" s="17"/>
      <c r="O185" s="17"/>
      <c r="P185" s="17"/>
      <c r="Q185" s="17"/>
      <c r="R185" s="17"/>
      <c r="S185" s="15"/>
      <c r="T185" s="25">
        <v>45552</v>
      </c>
      <c r="U185" s="15" t="s">
        <v>146</v>
      </c>
      <c r="V185">
        <v>3</v>
      </c>
      <c r="X185" s="53" t="s">
        <v>108</v>
      </c>
      <c r="Y185" s="54">
        <f>COUNTIF(U183:U207,"J")</f>
        <v>4</v>
      </c>
      <c r="AA185" s="49" t="s">
        <v>82</v>
      </c>
      <c r="AB185" s="50" t="s">
        <v>39</v>
      </c>
    </row>
    <row r="186" spans="1:28" x14ac:dyDescent="0.4">
      <c r="A186" s="144"/>
      <c r="B186" s="147"/>
      <c r="C186" s="85" t="s">
        <v>281</v>
      </c>
      <c r="D186" s="106" t="s">
        <v>181</v>
      </c>
      <c r="E186" s="13" t="s">
        <v>36</v>
      </c>
      <c r="F186" s="16"/>
      <c r="G186" s="18" t="s">
        <v>176</v>
      </c>
      <c r="H186" s="15"/>
      <c r="I186" s="15"/>
      <c r="J186" s="15">
        <v>1</v>
      </c>
      <c r="K186" s="15">
        <v>1</v>
      </c>
      <c r="L186" s="17"/>
      <c r="M186" s="17"/>
      <c r="N186" s="17"/>
      <c r="O186" s="17"/>
      <c r="P186" s="17"/>
      <c r="Q186" s="17"/>
      <c r="R186" s="17"/>
      <c r="S186" s="15"/>
      <c r="T186" s="25">
        <v>45552</v>
      </c>
      <c r="U186" s="2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44"/>
      <c r="B187" s="147"/>
      <c r="C187" s="85" t="s">
        <v>282</v>
      </c>
      <c r="D187" s="106" t="s">
        <v>181</v>
      </c>
      <c r="E187" s="13" t="s">
        <v>60</v>
      </c>
      <c r="F187" s="16"/>
      <c r="G187" s="18" t="s">
        <v>176</v>
      </c>
      <c r="H187" s="15"/>
      <c r="I187" s="15"/>
      <c r="J187" s="15">
        <v>1</v>
      </c>
      <c r="K187" s="15"/>
      <c r="L187" s="17">
        <v>1</v>
      </c>
      <c r="M187" s="17"/>
      <c r="N187" s="17"/>
      <c r="O187" s="17"/>
      <c r="P187" s="17"/>
      <c r="Q187" s="17"/>
      <c r="R187" s="17"/>
      <c r="S187" s="15"/>
      <c r="T187" s="25">
        <v>45552</v>
      </c>
      <c r="U187" s="2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44"/>
      <c r="B188" s="147"/>
      <c r="C188" s="85" t="s">
        <v>283</v>
      </c>
      <c r="D188" s="106" t="s">
        <v>181</v>
      </c>
      <c r="E188" s="13" t="s">
        <v>39</v>
      </c>
      <c r="F188" s="16"/>
      <c r="G188" s="18" t="s">
        <v>176</v>
      </c>
      <c r="H188" s="13"/>
      <c r="I188" s="15"/>
      <c r="J188" s="15">
        <v>1</v>
      </c>
      <c r="K188" s="15">
        <v>1</v>
      </c>
      <c r="L188" s="17"/>
      <c r="M188" s="17"/>
      <c r="N188" s="17"/>
      <c r="O188" s="17"/>
      <c r="P188" s="17"/>
      <c r="Q188" s="17"/>
      <c r="R188" s="17"/>
      <c r="S188" s="15"/>
      <c r="T188" s="25">
        <v>45559</v>
      </c>
      <c r="U188" s="2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44"/>
      <c r="B189" s="147"/>
      <c r="C189" s="85" t="s">
        <v>284</v>
      </c>
      <c r="D189" s="106" t="s">
        <v>181</v>
      </c>
      <c r="E189" s="13" t="s">
        <v>133</v>
      </c>
      <c r="F189" s="16"/>
      <c r="G189" s="18" t="s">
        <v>176</v>
      </c>
      <c r="H189" s="15"/>
      <c r="I189" s="15"/>
      <c r="J189" s="15"/>
      <c r="K189" s="15"/>
      <c r="L189" s="17"/>
      <c r="M189" s="17"/>
      <c r="N189" s="17"/>
      <c r="O189" s="17">
        <v>1</v>
      </c>
      <c r="P189" s="17"/>
      <c r="Q189" s="17">
        <v>1</v>
      </c>
      <c r="R189" s="17"/>
      <c r="S189" s="15"/>
      <c r="T189" s="25">
        <v>45559</v>
      </c>
      <c r="U189" s="25" t="s">
        <v>148</v>
      </c>
      <c r="V189">
        <v>7</v>
      </c>
      <c r="AA189" s="49" t="s">
        <v>86</v>
      </c>
      <c r="AB189" s="50" t="s">
        <v>45</v>
      </c>
    </row>
    <row r="190" spans="1:28" x14ac:dyDescent="0.4">
      <c r="A190" s="144"/>
      <c r="B190" s="147"/>
      <c r="C190" s="85" t="s">
        <v>285</v>
      </c>
      <c r="D190" s="106" t="s">
        <v>181</v>
      </c>
      <c r="E190" s="13" t="s">
        <v>58</v>
      </c>
      <c r="F190" s="16"/>
      <c r="G190" s="18" t="s">
        <v>176</v>
      </c>
      <c r="H190" s="15"/>
      <c r="I190" s="15"/>
      <c r="J190" s="15"/>
      <c r="K190" s="15"/>
      <c r="L190" s="17"/>
      <c r="M190" s="17"/>
      <c r="N190" s="17"/>
      <c r="O190" s="17"/>
      <c r="P190" s="17"/>
      <c r="Q190" s="17"/>
      <c r="R190" s="17"/>
      <c r="S190" s="15"/>
      <c r="T190" s="25">
        <v>45557</v>
      </c>
      <c r="U190" s="2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44"/>
      <c r="B191" s="147"/>
      <c r="C191" s="85" t="s">
        <v>286</v>
      </c>
      <c r="D191" s="106" t="s">
        <v>181</v>
      </c>
      <c r="E191" s="13" t="s">
        <v>75</v>
      </c>
      <c r="F191" s="16"/>
      <c r="G191" s="18" t="s">
        <v>176</v>
      </c>
      <c r="H191" s="15"/>
      <c r="I191" s="15"/>
      <c r="J191" s="15"/>
      <c r="K191" s="15"/>
      <c r="L191" s="17"/>
      <c r="M191" s="17"/>
      <c r="N191" s="17"/>
      <c r="O191" s="17"/>
      <c r="P191" s="17"/>
      <c r="Q191" s="17"/>
      <c r="R191" s="17"/>
      <c r="S191" s="15"/>
      <c r="T191" s="25">
        <v>45559</v>
      </c>
      <c r="U191" s="2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44"/>
      <c r="B192" s="147"/>
      <c r="C192" s="85" t="s">
        <v>287</v>
      </c>
      <c r="D192" s="106" t="s">
        <v>181</v>
      </c>
      <c r="E192" s="13" t="s">
        <v>40</v>
      </c>
      <c r="F192" s="16"/>
      <c r="G192" s="18" t="s">
        <v>176</v>
      </c>
      <c r="H192" s="15"/>
      <c r="I192" s="15"/>
      <c r="J192" s="15"/>
      <c r="K192" s="15"/>
      <c r="L192" s="17"/>
      <c r="M192" s="17"/>
      <c r="N192" s="17"/>
      <c r="O192" s="17">
        <v>1</v>
      </c>
      <c r="P192" s="17">
        <v>1</v>
      </c>
      <c r="Q192" s="17">
        <v>1</v>
      </c>
      <c r="R192" s="17"/>
      <c r="S192" s="15"/>
      <c r="T192" s="25">
        <v>45557</v>
      </c>
      <c r="U192" s="15" t="s">
        <v>147</v>
      </c>
      <c r="V192">
        <v>10</v>
      </c>
      <c r="AA192" s="49" t="s">
        <v>89</v>
      </c>
      <c r="AB192" s="50" t="s">
        <v>36</v>
      </c>
    </row>
    <row r="193" spans="1:28" x14ac:dyDescent="0.4">
      <c r="A193" s="144"/>
      <c r="B193" s="147"/>
      <c r="C193" s="85" t="s">
        <v>288</v>
      </c>
      <c r="D193" s="106" t="s">
        <v>181</v>
      </c>
      <c r="E193" s="13" t="s">
        <v>36</v>
      </c>
      <c r="F193" s="16"/>
      <c r="G193" s="18" t="s">
        <v>176</v>
      </c>
      <c r="H193" s="15"/>
      <c r="I193" s="15"/>
      <c r="J193" s="15"/>
      <c r="K193" s="15"/>
      <c r="L193" s="17"/>
      <c r="M193" s="17">
        <v>1</v>
      </c>
      <c r="N193" s="17">
        <v>1</v>
      </c>
      <c r="O193" s="17"/>
      <c r="P193" s="17"/>
      <c r="Q193" s="17"/>
      <c r="R193" s="17"/>
      <c r="S193" s="15"/>
      <c r="T193" s="25">
        <v>45557</v>
      </c>
      <c r="U193" s="15" t="s">
        <v>147</v>
      </c>
      <c r="V193">
        <v>11</v>
      </c>
      <c r="AA193" s="49" t="s">
        <v>90</v>
      </c>
      <c r="AB193" s="50" t="s">
        <v>58</v>
      </c>
    </row>
    <row r="194" spans="1:28" x14ac:dyDescent="0.4">
      <c r="A194" s="144"/>
      <c r="B194" s="147"/>
      <c r="C194" s="85" t="s">
        <v>289</v>
      </c>
      <c r="D194" s="106" t="s">
        <v>181</v>
      </c>
      <c r="E194" s="13" t="s">
        <v>75</v>
      </c>
      <c r="F194" s="16"/>
      <c r="G194" s="18" t="s">
        <v>176</v>
      </c>
      <c r="H194" s="15"/>
      <c r="I194" s="15"/>
      <c r="J194" s="15"/>
      <c r="K194" s="15"/>
      <c r="L194" s="17"/>
      <c r="M194" s="17"/>
      <c r="N194" s="17"/>
      <c r="O194" s="17"/>
      <c r="P194" s="17"/>
      <c r="Q194" s="17"/>
      <c r="R194" s="17"/>
      <c r="S194" s="15"/>
      <c r="T194" s="25">
        <v>45557</v>
      </c>
      <c r="U194" s="15" t="s">
        <v>147</v>
      </c>
      <c r="V194">
        <v>12</v>
      </c>
      <c r="AA194" s="49" t="s">
        <v>91</v>
      </c>
      <c r="AB194" s="50" t="s">
        <v>75</v>
      </c>
    </row>
    <row r="195" spans="1:28" x14ac:dyDescent="0.4">
      <c r="A195" s="144"/>
      <c r="B195" s="147"/>
      <c r="C195" s="85" t="s">
        <v>290</v>
      </c>
      <c r="D195" s="106" t="s">
        <v>181</v>
      </c>
      <c r="E195" s="15" t="s">
        <v>40</v>
      </c>
      <c r="F195" s="16"/>
      <c r="G195" s="18" t="s">
        <v>176</v>
      </c>
      <c r="H195" s="15"/>
      <c r="I195" s="15"/>
      <c r="J195" s="15"/>
      <c r="K195" s="15"/>
      <c r="L195" s="17"/>
      <c r="M195" s="17"/>
      <c r="N195" s="17"/>
      <c r="O195" s="17">
        <v>1</v>
      </c>
      <c r="P195" s="17">
        <v>1</v>
      </c>
      <c r="Q195" s="17">
        <v>1</v>
      </c>
      <c r="R195" s="17"/>
      <c r="S195" s="15"/>
      <c r="T195" s="25">
        <v>45557</v>
      </c>
      <c r="U195" s="15" t="s">
        <v>148</v>
      </c>
      <c r="V195">
        <v>13</v>
      </c>
      <c r="AA195" s="49" t="s">
        <v>92</v>
      </c>
      <c r="AB195" s="50" t="s">
        <v>40</v>
      </c>
    </row>
    <row r="196" spans="1:28" x14ac:dyDescent="0.4">
      <c r="A196" s="144"/>
      <c r="B196" s="147"/>
      <c r="C196" s="85" t="s">
        <v>291</v>
      </c>
      <c r="D196" s="106" t="s">
        <v>181</v>
      </c>
      <c r="E196" s="15" t="s">
        <v>38</v>
      </c>
      <c r="F196" s="16"/>
      <c r="G196" s="18" t="s">
        <v>176</v>
      </c>
      <c r="H196" s="15"/>
      <c r="I196" s="15"/>
      <c r="J196" s="15">
        <v>1</v>
      </c>
      <c r="K196" s="15">
        <v>1</v>
      </c>
      <c r="L196" s="17"/>
      <c r="M196" s="17"/>
      <c r="N196" s="17"/>
      <c r="O196" s="17"/>
      <c r="P196" s="17"/>
      <c r="Q196" s="17"/>
      <c r="R196" s="17"/>
      <c r="S196" s="15"/>
      <c r="T196" s="25">
        <v>45557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44"/>
      <c r="B197" s="147"/>
      <c r="C197" s="85" t="s">
        <v>292</v>
      </c>
      <c r="D197" s="106" t="s">
        <v>181</v>
      </c>
      <c r="E197" s="15" t="s">
        <v>37</v>
      </c>
      <c r="F197" s="16"/>
      <c r="G197" s="15" t="s">
        <v>176</v>
      </c>
      <c r="H197" s="15"/>
      <c r="I197" s="15"/>
      <c r="J197" s="15">
        <v>1</v>
      </c>
      <c r="K197" s="15">
        <v>1</v>
      </c>
      <c r="L197" s="17"/>
      <c r="M197" s="17"/>
      <c r="N197" s="17"/>
      <c r="O197" s="17"/>
      <c r="P197" s="17"/>
      <c r="Q197" s="17"/>
      <c r="R197" s="17"/>
      <c r="S197" s="15"/>
      <c r="T197" s="25">
        <v>45552</v>
      </c>
      <c r="U197" s="15" t="s">
        <v>146</v>
      </c>
      <c r="V197">
        <v>15</v>
      </c>
      <c r="AA197" s="49" t="s">
        <v>94</v>
      </c>
      <c r="AB197" s="50" t="s">
        <v>41</v>
      </c>
    </row>
    <row r="198" spans="1:28" x14ac:dyDescent="0.4">
      <c r="A198" s="144"/>
      <c r="B198" s="147"/>
      <c r="C198" s="85" t="s">
        <v>293</v>
      </c>
      <c r="D198" s="106" t="s">
        <v>181</v>
      </c>
      <c r="E198" s="15" t="s">
        <v>40</v>
      </c>
      <c r="F198" s="16"/>
      <c r="G198" s="15" t="s">
        <v>176</v>
      </c>
      <c r="H198" s="15"/>
      <c r="I198" s="15"/>
      <c r="J198" s="15"/>
      <c r="K198" s="15"/>
      <c r="L198" s="19"/>
      <c r="M198" s="19"/>
      <c r="N198" s="19"/>
      <c r="O198" s="19">
        <v>1</v>
      </c>
      <c r="P198" s="19">
        <v>1</v>
      </c>
      <c r="Q198" s="19">
        <v>1</v>
      </c>
      <c r="R198" s="19">
        <v>1</v>
      </c>
      <c r="S198" s="15"/>
      <c r="T198" s="25">
        <v>45557</v>
      </c>
      <c r="U198" s="15" t="s">
        <v>148</v>
      </c>
      <c r="V198">
        <v>16</v>
      </c>
      <c r="AA198" s="49" t="s">
        <v>95</v>
      </c>
      <c r="AB198" s="50" t="s">
        <v>42</v>
      </c>
    </row>
    <row r="199" spans="1:28" x14ac:dyDescent="0.4">
      <c r="A199" s="144"/>
      <c r="B199" s="147"/>
      <c r="C199" s="85" t="s">
        <v>294</v>
      </c>
      <c r="D199" s="110" t="s">
        <v>181</v>
      </c>
      <c r="E199" s="18" t="s">
        <v>40</v>
      </c>
      <c r="F199" s="16"/>
      <c r="G199" s="18" t="s">
        <v>176</v>
      </c>
      <c r="H199" s="15"/>
      <c r="I199" s="15"/>
      <c r="J199" s="18"/>
      <c r="K199" s="15"/>
      <c r="L199" s="19"/>
      <c r="M199" s="19"/>
      <c r="N199" s="19"/>
      <c r="O199" s="19">
        <v>1</v>
      </c>
      <c r="P199" s="19">
        <v>1</v>
      </c>
      <c r="Q199" s="19">
        <v>1</v>
      </c>
      <c r="R199" s="19">
        <v>1</v>
      </c>
      <c r="S199" s="15"/>
      <c r="T199" s="25">
        <v>45557</v>
      </c>
      <c r="U199" s="15" t="s">
        <v>148</v>
      </c>
      <c r="V199">
        <v>17</v>
      </c>
      <c r="AA199" s="49" t="s">
        <v>96</v>
      </c>
      <c r="AB199" s="50" t="s">
        <v>61</v>
      </c>
    </row>
    <row r="200" spans="1:28" x14ac:dyDescent="0.4">
      <c r="A200" s="144"/>
      <c r="B200" s="147"/>
      <c r="C200" s="85" t="s">
        <v>295</v>
      </c>
      <c r="D200" s="110" t="s">
        <v>181</v>
      </c>
      <c r="E200" s="18" t="s">
        <v>38</v>
      </c>
      <c r="F200" s="16"/>
      <c r="G200" s="18" t="s">
        <v>176</v>
      </c>
      <c r="H200" s="15"/>
      <c r="I200" s="15"/>
      <c r="J200" s="18">
        <v>1</v>
      </c>
      <c r="K200" s="15">
        <v>1</v>
      </c>
      <c r="L200" s="19"/>
      <c r="M200" s="19"/>
      <c r="N200" s="19"/>
      <c r="O200" s="19"/>
      <c r="P200" s="19"/>
      <c r="Q200" s="19"/>
      <c r="R200" s="19"/>
      <c r="S200" s="15"/>
      <c r="T200" s="25">
        <v>45552</v>
      </c>
      <c r="U200" s="15" t="s">
        <v>146</v>
      </c>
      <c r="V200">
        <v>18</v>
      </c>
      <c r="AA200" s="49" t="s">
        <v>97</v>
      </c>
      <c r="AB200" s="50" t="s">
        <v>76</v>
      </c>
    </row>
    <row r="201" spans="1:28" x14ac:dyDescent="0.4">
      <c r="A201" s="144"/>
      <c r="B201" s="147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4"/>
      <c r="B202" s="147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4"/>
      <c r="B203" s="147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4"/>
      <c r="B204" s="147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4"/>
      <c r="B205" s="147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4"/>
      <c r="B206" s="147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5"/>
      <c r="B207" s="148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18</v>
      </c>
      <c r="D208" s="112"/>
      <c r="E208" s="29"/>
      <c r="F208" s="29" t="s">
        <v>34</v>
      </c>
      <c r="G208" s="29">
        <f>COUNTIF(G183:G207,"S")</f>
        <v>18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9</v>
      </c>
      <c r="K208" s="29">
        <f t="shared" ref="K208" si="34">SUM(K183:K207)</f>
        <v>7</v>
      </c>
      <c r="L208" s="29">
        <f t="shared" ref="L208" si="35">SUM(L183:L207)</f>
        <v>2</v>
      </c>
      <c r="M208" s="29">
        <f t="shared" ref="M208" si="36">SUM(M183:M207)</f>
        <v>1</v>
      </c>
      <c r="N208" s="29">
        <f t="shared" ref="N208" si="37">SUM(N183:N207)</f>
        <v>1</v>
      </c>
      <c r="O208" s="29">
        <f t="shared" ref="O208" si="38">SUM(O183:O207)</f>
        <v>5</v>
      </c>
      <c r="P208" s="29">
        <f t="shared" ref="P208" si="39">SUM(P183:P207)</f>
        <v>4</v>
      </c>
      <c r="Q208" s="29">
        <f t="shared" ref="Q208" si="40">SUM(Q183:Q207)</f>
        <v>5</v>
      </c>
      <c r="R208" s="29">
        <f t="shared" ref="R208" si="41">SUM(R183:R207)</f>
        <v>2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36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AYG086</v>
      </c>
      <c r="B211" s="24">
        <f>B1</f>
        <v>45526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6" t="s">
        <v>113</v>
      </c>
      <c r="Y212" s="142"/>
    </row>
    <row r="213" spans="1:28" ht="20.25" thickTop="1" thickBot="1" x14ac:dyDescent="0.45">
      <c r="A213" s="143">
        <v>8</v>
      </c>
      <c r="B213" s="146">
        <v>21.4</v>
      </c>
      <c r="C213" s="85" t="s">
        <v>296</v>
      </c>
      <c r="D213" s="106" t="s">
        <v>199</v>
      </c>
      <c r="E213" s="15" t="s">
        <v>36</v>
      </c>
      <c r="F213" s="16"/>
      <c r="G213" s="15" t="s">
        <v>176</v>
      </c>
      <c r="H213" s="15"/>
      <c r="I213" s="15"/>
      <c r="J213" s="15"/>
      <c r="K213" s="15"/>
      <c r="L213" s="17"/>
      <c r="M213" s="17"/>
      <c r="N213" s="17"/>
      <c r="O213" s="17"/>
      <c r="P213" s="17"/>
      <c r="Q213" s="17">
        <v>1</v>
      </c>
      <c r="R213" s="17"/>
      <c r="S213" s="15"/>
      <c r="T213" s="25">
        <v>45566</v>
      </c>
      <c r="U213" s="15" t="s">
        <v>147</v>
      </c>
      <c r="V213">
        <v>1</v>
      </c>
      <c r="X213" s="51" t="s">
        <v>106</v>
      </c>
      <c r="Y213" s="52">
        <f>COUNTIF(U213:U237,"K")</f>
        <v>5</v>
      </c>
      <c r="AA213" s="59" t="s">
        <v>120</v>
      </c>
      <c r="AB213" s="60" t="s">
        <v>121</v>
      </c>
    </row>
    <row r="214" spans="1:28" x14ac:dyDescent="0.4">
      <c r="A214" s="144"/>
      <c r="B214" s="147"/>
      <c r="C214" s="85" t="s">
        <v>297</v>
      </c>
      <c r="D214" s="106" t="s">
        <v>199</v>
      </c>
      <c r="E214" s="15" t="s">
        <v>57</v>
      </c>
      <c r="F214" s="16"/>
      <c r="G214" s="15" t="s">
        <v>195</v>
      </c>
      <c r="H214" s="15"/>
      <c r="I214" s="15"/>
      <c r="J214" s="15"/>
      <c r="K214" s="15"/>
      <c r="L214" s="17"/>
      <c r="M214" s="17"/>
      <c r="N214" s="17"/>
      <c r="O214" s="17"/>
      <c r="P214" s="17"/>
      <c r="Q214" s="17"/>
      <c r="R214" s="17"/>
      <c r="S214" s="15"/>
      <c r="T214" s="25">
        <v>45566</v>
      </c>
      <c r="U214" s="15" t="s">
        <v>147</v>
      </c>
      <c r="V214">
        <v>2</v>
      </c>
      <c r="X214" s="51" t="s">
        <v>107</v>
      </c>
      <c r="Y214" s="52">
        <f>COUNTIF(U213:U237,"R")</f>
        <v>8</v>
      </c>
      <c r="AA214" s="47" t="s">
        <v>81</v>
      </c>
      <c r="AB214" s="48" t="s">
        <v>60</v>
      </c>
    </row>
    <row r="215" spans="1:28" ht="19.5" thickBot="1" x14ac:dyDescent="0.45">
      <c r="A215" s="144"/>
      <c r="B215" s="147"/>
      <c r="C215" s="85" t="s">
        <v>298</v>
      </c>
      <c r="D215" s="106" t="s">
        <v>199</v>
      </c>
      <c r="E215" s="15" t="s">
        <v>43</v>
      </c>
      <c r="F215" s="16"/>
      <c r="G215" s="15" t="s">
        <v>176</v>
      </c>
      <c r="H215" s="15"/>
      <c r="I215" s="15"/>
      <c r="J215" s="15">
        <v>1</v>
      </c>
      <c r="K215" s="15"/>
      <c r="L215" s="17"/>
      <c r="M215" s="17"/>
      <c r="N215" s="17"/>
      <c r="O215" s="17"/>
      <c r="P215" s="17"/>
      <c r="Q215" s="17"/>
      <c r="R215" s="17"/>
      <c r="S215" s="15"/>
      <c r="T215" s="25">
        <v>45550</v>
      </c>
      <c r="U215" s="15" t="s">
        <v>142</v>
      </c>
      <c r="V215">
        <v>3</v>
      </c>
      <c r="X215" s="53" t="s">
        <v>108</v>
      </c>
      <c r="Y215" s="54">
        <f>COUNTIF(U213:U237,"J")</f>
        <v>1</v>
      </c>
      <c r="AA215" s="49" t="s">
        <v>82</v>
      </c>
      <c r="AB215" s="50" t="s">
        <v>39</v>
      </c>
    </row>
    <row r="216" spans="1:28" x14ac:dyDescent="0.4">
      <c r="A216" s="144"/>
      <c r="B216" s="147"/>
      <c r="C216" s="85" t="s">
        <v>299</v>
      </c>
      <c r="D216" s="106" t="s">
        <v>175</v>
      </c>
      <c r="E216" s="15" t="s">
        <v>37</v>
      </c>
      <c r="F216" s="16"/>
      <c r="G216" s="15" t="s">
        <v>176</v>
      </c>
      <c r="H216" s="15"/>
      <c r="I216" s="15"/>
      <c r="J216" s="15"/>
      <c r="K216" s="15"/>
      <c r="L216" s="19"/>
      <c r="M216" s="19">
        <v>1</v>
      </c>
      <c r="N216" s="19">
        <v>1</v>
      </c>
      <c r="O216" s="19"/>
      <c r="P216" s="19"/>
      <c r="Q216" s="19">
        <v>1</v>
      </c>
      <c r="R216" s="19"/>
      <c r="S216" s="15"/>
      <c r="T216" s="25">
        <v>45559</v>
      </c>
      <c r="U216" s="15" t="s">
        <v>147</v>
      </c>
      <c r="V216">
        <v>4</v>
      </c>
      <c r="AA216" s="49" t="s">
        <v>83</v>
      </c>
      <c r="AB216" s="50" t="s">
        <v>38</v>
      </c>
    </row>
    <row r="217" spans="1:28" x14ac:dyDescent="0.4">
      <c r="A217" s="144"/>
      <c r="B217" s="147"/>
      <c r="C217" s="85" t="s">
        <v>300</v>
      </c>
      <c r="D217" s="106" t="s">
        <v>175</v>
      </c>
      <c r="E217" s="15" t="s">
        <v>36</v>
      </c>
      <c r="F217" s="16"/>
      <c r="G217" s="15" t="s">
        <v>176</v>
      </c>
      <c r="H217" s="15"/>
      <c r="I217" s="15"/>
      <c r="J217" s="18"/>
      <c r="K217" s="15"/>
      <c r="L217" s="19"/>
      <c r="M217" s="19">
        <v>1</v>
      </c>
      <c r="N217" s="19">
        <v>1</v>
      </c>
      <c r="O217" s="19"/>
      <c r="P217" s="19"/>
      <c r="Q217" s="19">
        <v>1</v>
      </c>
      <c r="R217" s="19"/>
      <c r="S217" s="15"/>
      <c r="T217" s="25">
        <v>45560</v>
      </c>
      <c r="U217" s="15" t="s">
        <v>147</v>
      </c>
      <c r="V217">
        <v>5</v>
      </c>
      <c r="AA217" s="49" t="s">
        <v>84</v>
      </c>
      <c r="AB217" s="50" t="s">
        <v>44</v>
      </c>
    </row>
    <row r="218" spans="1:28" x14ac:dyDescent="0.4">
      <c r="A218" s="144"/>
      <c r="B218" s="147"/>
      <c r="C218" s="85" t="s">
        <v>301</v>
      </c>
      <c r="D218" s="106" t="s">
        <v>175</v>
      </c>
      <c r="E218" s="15" t="s">
        <v>75</v>
      </c>
      <c r="F218" s="16"/>
      <c r="G218" s="15" t="s">
        <v>176</v>
      </c>
      <c r="H218" s="15"/>
      <c r="I218" s="15"/>
      <c r="J218" s="18"/>
      <c r="K218" s="15"/>
      <c r="L218" s="19"/>
      <c r="M218" s="19"/>
      <c r="N218" s="19"/>
      <c r="O218" s="19"/>
      <c r="P218" s="19"/>
      <c r="Q218" s="19"/>
      <c r="R218" s="19"/>
      <c r="S218" s="15"/>
      <c r="T218" s="25">
        <v>45563</v>
      </c>
      <c r="U218" s="15" t="s">
        <v>147</v>
      </c>
      <c r="V218">
        <v>6</v>
      </c>
      <c r="AA218" s="49" t="s">
        <v>85</v>
      </c>
      <c r="AB218" s="50" t="s">
        <v>43</v>
      </c>
    </row>
    <row r="219" spans="1:28" x14ac:dyDescent="0.4">
      <c r="A219" s="144"/>
      <c r="B219" s="147"/>
      <c r="C219" s="85" t="s">
        <v>302</v>
      </c>
      <c r="D219" s="106" t="s">
        <v>175</v>
      </c>
      <c r="E219" s="15" t="s">
        <v>36</v>
      </c>
      <c r="F219" s="16"/>
      <c r="G219" s="15" t="s">
        <v>176</v>
      </c>
      <c r="H219" s="15"/>
      <c r="I219" s="15"/>
      <c r="J219" s="18"/>
      <c r="K219" s="15"/>
      <c r="L219" s="19"/>
      <c r="M219" s="19">
        <v>1</v>
      </c>
      <c r="N219" s="19">
        <v>1</v>
      </c>
      <c r="O219" s="19"/>
      <c r="P219" s="19"/>
      <c r="Q219" s="19">
        <v>1</v>
      </c>
      <c r="R219" s="19"/>
      <c r="S219" s="15"/>
      <c r="T219" s="25">
        <v>45559</v>
      </c>
      <c r="U219" s="15" t="s">
        <v>147</v>
      </c>
      <c r="V219">
        <v>7</v>
      </c>
      <c r="AA219" s="49" t="s">
        <v>86</v>
      </c>
      <c r="AB219" s="50" t="s">
        <v>45</v>
      </c>
    </row>
    <row r="220" spans="1:28" x14ac:dyDescent="0.4">
      <c r="A220" s="144"/>
      <c r="B220" s="147"/>
      <c r="C220" s="85" t="s">
        <v>303</v>
      </c>
      <c r="D220" s="106" t="s">
        <v>182</v>
      </c>
      <c r="E220" s="15" t="s">
        <v>40</v>
      </c>
      <c r="F220" s="16"/>
      <c r="G220" s="15" t="s">
        <v>176</v>
      </c>
      <c r="H220" s="15"/>
      <c r="I220" s="15"/>
      <c r="J220" s="18"/>
      <c r="K220" s="15"/>
      <c r="L220" s="19"/>
      <c r="M220" s="19"/>
      <c r="N220" s="19"/>
      <c r="O220" s="19">
        <v>1</v>
      </c>
      <c r="P220" s="19">
        <v>1</v>
      </c>
      <c r="Q220" s="19">
        <v>1</v>
      </c>
      <c r="R220" s="19">
        <v>1</v>
      </c>
      <c r="S220" s="15"/>
      <c r="T220" s="25">
        <v>45563</v>
      </c>
      <c r="U220" s="15" t="s">
        <v>148</v>
      </c>
      <c r="V220">
        <v>8</v>
      </c>
      <c r="AA220" s="49" t="s">
        <v>87</v>
      </c>
      <c r="AB220" s="50" t="s">
        <v>37</v>
      </c>
    </row>
    <row r="221" spans="1:28" x14ac:dyDescent="0.4">
      <c r="A221" s="144"/>
      <c r="B221" s="147"/>
      <c r="C221" s="85" t="s">
        <v>304</v>
      </c>
      <c r="D221" s="106" t="s">
        <v>196</v>
      </c>
      <c r="E221" s="15" t="s">
        <v>37</v>
      </c>
      <c r="F221" s="16"/>
      <c r="G221" s="15" t="s">
        <v>176</v>
      </c>
      <c r="H221" s="15"/>
      <c r="I221" s="15"/>
      <c r="J221" s="18">
        <v>1</v>
      </c>
      <c r="K221" s="15">
        <v>1</v>
      </c>
      <c r="L221" s="19"/>
      <c r="M221" s="19"/>
      <c r="N221" s="19"/>
      <c r="O221" s="19"/>
      <c r="P221" s="19"/>
      <c r="Q221" s="19"/>
      <c r="R221" s="19"/>
      <c r="S221" s="15"/>
      <c r="T221" s="25">
        <v>45563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44"/>
      <c r="B222" s="147"/>
      <c r="C222" s="85" t="s">
        <v>305</v>
      </c>
      <c r="D222" s="106" t="s">
        <v>196</v>
      </c>
      <c r="E222" s="15" t="s">
        <v>58</v>
      </c>
      <c r="F222" s="16"/>
      <c r="G222" s="15" t="s">
        <v>176</v>
      </c>
      <c r="H222" s="15" t="s">
        <v>147</v>
      </c>
      <c r="I222" s="15"/>
      <c r="J222" s="15"/>
      <c r="K222" s="15"/>
      <c r="L222" s="17"/>
      <c r="M222" s="17"/>
      <c r="N222" s="17"/>
      <c r="O222" s="17"/>
      <c r="P222" s="17"/>
      <c r="Q222" s="17"/>
      <c r="R222" s="17"/>
      <c r="S222" s="15"/>
      <c r="T222" s="25">
        <v>45563</v>
      </c>
      <c r="U222" s="15" t="s">
        <v>147</v>
      </c>
      <c r="V222">
        <v>10</v>
      </c>
      <c r="AA222" s="49" t="s">
        <v>89</v>
      </c>
      <c r="AB222" s="50" t="s">
        <v>36</v>
      </c>
    </row>
    <row r="223" spans="1:28" x14ac:dyDescent="0.4">
      <c r="A223" s="144"/>
      <c r="B223" s="147"/>
      <c r="C223" s="85" t="s">
        <v>306</v>
      </c>
      <c r="D223" s="106" t="s">
        <v>196</v>
      </c>
      <c r="E223" s="15" t="s">
        <v>75</v>
      </c>
      <c r="F223" s="16"/>
      <c r="G223" s="15" t="s">
        <v>176</v>
      </c>
      <c r="H223" s="15"/>
      <c r="I223" s="15"/>
      <c r="J223" s="15"/>
      <c r="K223" s="15"/>
      <c r="L223" s="17"/>
      <c r="M223" s="17"/>
      <c r="N223" s="17"/>
      <c r="O223" s="17"/>
      <c r="P223" s="17"/>
      <c r="Q223" s="17"/>
      <c r="R223" s="17"/>
      <c r="S223" s="15"/>
      <c r="T223" s="25">
        <v>45563</v>
      </c>
      <c r="U223" s="15" t="s">
        <v>147</v>
      </c>
      <c r="V223">
        <v>11</v>
      </c>
      <c r="AA223" s="49" t="s">
        <v>90</v>
      </c>
      <c r="AB223" s="50" t="s">
        <v>58</v>
      </c>
    </row>
    <row r="224" spans="1:28" x14ac:dyDescent="0.4">
      <c r="A224" s="144"/>
      <c r="B224" s="147"/>
      <c r="C224" s="85" t="s">
        <v>307</v>
      </c>
      <c r="D224" s="106" t="s">
        <v>196</v>
      </c>
      <c r="E224" s="15" t="s">
        <v>37</v>
      </c>
      <c r="F224" s="16"/>
      <c r="G224" s="15" t="s">
        <v>176</v>
      </c>
      <c r="H224" s="15"/>
      <c r="I224" s="15"/>
      <c r="J224" s="15">
        <v>1</v>
      </c>
      <c r="K224" s="15">
        <v>1</v>
      </c>
      <c r="L224" s="17"/>
      <c r="M224" s="17"/>
      <c r="N224" s="17"/>
      <c r="O224" s="17"/>
      <c r="P224" s="17"/>
      <c r="Q224" s="17"/>
      <c r="R224" s="17"/>
      <c r="S224" s="15"/>
      <c r="T224" s="25">
        <v>45563</v>
      </c>
      <c r="U224" s="15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44"/>
      <c r="B225" s="147"/>
      <c r="C225" s="85" t="s">
        <v>308</v>
      </c>
      <c r="D225" s="106" t="s">
        <v>199</v>
      </c>
      <c r="E225" s="13" t="s">
        <v>37</v>
      </c>
      <c r="F225" s="16"/>
      <c r="G225" s="15" t="s">
        <v>176</v>
      </c>
      <c r="H225" s="15"/>
      <c r="I225" s="15"/>
      <c r="J225" s="15">
        <v>1</v>
      </c>
      <c r="K225" s="15">
        <v>1</v>
      </c>
      <c r="L225" s="17"/>
      <c r="M225" s="17"/>
      <c r="N225" s="17"/>
      <c r="O225" s="17"/>
      <c r="P225" s="17"/>
      <c r="Q225" s="17"/>
      <c r="R225" s="17"/>
      <c r="S225" s="15"/>
      <c r="T225" s="25">
        <v>45550</v>
      </c>
      <c r="U225" s="15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44"/>
      <c r="B226" s="147"/>
      <c r="C226" s="85" t="s">
        <v>309</v>
      </c>
      <c r="D226" s="106" t="s">
        <v>181</v>
      </c>
      <c r="E226" s="13" t="s">
        <v>36</v>
      </c>
      <c r="F226" s="16"/>
      <c r="G226" s="15" t="s">
        <v>176</v>
      </c>
      <c r="H226" s="15"/>
      <c r="I226" s="15"/>
      <c r="J226" s="15">
        <v>1</v>
      </c>
      <c r="K226" s="15">
        <v>1</v>
      </c>
      <c r="L226" s="17"/>
      <c r="M226" s="17"/>
      <c r="N226" s="17"/>
      <c r="O226" s="17"/>
      <c r="P226" s="17"/>
      <c r="Q226" s="17"/>
      <c r="R226" s="17"/>
      <c r="S226" s="15"/>
      <c r="T226" s="25">
        <v>45550</v>
      </c>
      <c r="U226" s="15" t="s">
        <v>146</v>
      </c>
      <c r="V226">
        <v>14</v>
      </c>
      <c r="AA226" s="49" t="s">
        <v>93</v>
      </c>
      <c r="AB226" s="50" t="s">
        <v>57</v>
      </c>
    </row>
    <row r="227" spans="1:28" x14ac:dyDescent="0.4">
      <c r="A227" s="144"/>
      <c r="B227" s="147"/>
      <c r="C227" s="85"/>
      <c r="D227" s="109"/>
      <c r="E227" s="15"/>
      <c r="F227" s="16"/>
      <c r="G227" s="15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6"/>
      <c r="U227" s="15"/>
      <c r="V227">
        <v>15</v>
      </c>
      <c r="AA227" s="49" t="s">
        <v>94</v>
      </c>
      <c r="AB227" s="50" t="s">
        <v>41</v>
      </c>
    </row>
    <row r="228" spans="1:28" x14ac:dyDescent="0.4">
      <c r="A228" s="144"/>
      <c r="B228" s="147"/>
      <c r="C228" s="85"/>
      <c r="D228" s="109"/>
      <c r="E228" s="15"/>
      <c r="F228" s="16"/>
      <c r="G228" s="15"/>
      <c r="H228" s="15"/>
      <c r="I228" s="15"/>
      <c r="J228" s="15"/>
      <c r="K228" s="15"/>
      <c r="L228" s="19"/>
      <c r="M228" s="19"/>
      <c r="N228" s="19"/>
      <c r="O228" s="19"/>
      <c r="P228" s="19"/>
      <c r="Q228" s="19"/>
      <c r="R228" s="19"/>
      <c r="S228" s="15"/>
      <c r="T228" s="26"/>
      <c r="U228" s="15"/>
      <c r="V228">
        <v>16</v>
      </c>
      <c r="AA228" s="49" t="s">
        <v>95</v>
      </c>
      <c r="AB228" s="50" t="s">
        <v>42</v>
      </c>
    </row>
    <row r="229" spans="1:28" x14ac:dyDescent="0.4">
      <c r="A229" s="144"/>
      <c r="B229" s="147"/>
      <c r="C229" s="85"/>
      <c r="D229" s="110"/>
      <c r="E229" s="18"/>
      <c r="F229" s="16"/>
      <c r="G229" s="18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6"/>
      <c r="U229" s="15"/>
      <c r="V229">
        <v>17</v>
      </c>
      <c r="AA229" s="49" t="s">
        <v>96</v>
      </c>
      <c r="AB229" s="50" t="s">
        <v>61</v>
      </c>
    </row>
    <row r="230" spans="1:28" x14ac:dyDescent="0.4">
      <c r="A230" s="144"/>
      <c r="B230" s="147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4"/>
      <c r="B231" s="147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4"/>
      <c r="B232" s="147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19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4"/>
      <c r="B233" s="147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19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4"/>
      <c r="B234" s="147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4"/>
      <c r="B235" s="147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4"/>
      <c r="B236" s="147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5"/>
      <c r="B237" s="148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14</v>
      </c>
      <c r="D238" s="112"/>
      <c r="E238" s="29"/>
      <c r="F238" s="29" t="s">
        <v>34</v>
      </c>
      <c r="G238" s="29">
        <f>COUNTIF(G213:G237,"S")</f>
        <v>13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5</v>
      </c>
      <c r="K238" s="29">
        <f t="shared" ref="K238" si="44">SUM(K213:K237)</f>
        <v>4</v>
      </c>
      <c r="L238" s="29">
        <f t="shared" ref="L238" si="45">SUM(L213:L237)</f>
        <v>0</v>
      </c>
      <c r="M238" s="29">
        <f t="shared" ref="M238" si="46">SUM(M213:M237)</f>
        <v>3</v>
      </c>
      <c r="N238" s="29">
        <f t="shared" ref="N238" si="47">SUM(N213:N237)</f>
        <v>3</v>
      </c>
      <c r="O238" s="29">
        <f t="shared" ref="O238" si="48">SUM(O213:O237)</f>
        <v>1</v>
      </c>
      <c r="P238" s="29">
        <f t="shared" ref="P238" si="49">SUM(P213:P237)</f>
        <v>1</v>
      </c>
      <c r="Q238" s="29">
        <f t="shared" ref="Q238" si="50">SUM(Q213:Q237)</f>
        <v>5</v>
      </c>
      <c r="R238" s="29">
        <f t="shared" ref="R238" si="51">SUM(R213:R237)</f>
        <v>1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1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23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AYG086</v>
      </c>
      <c r="B241" s="24">
        <f>B1</f>
        <v>45526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3" t="s">
        <v>112</v>
      </c>
      <c r="Y242" s="153"/>
    </row>
    <row r="243" spans="1:28" ht="20.25" thickTop="1" thickBot="1" x14ac:dyDescent="0.45">
      <c r="A243" s="143">
        <v>9</v>
      </c>
      <c r="B243" s="146">
        <v>23.6</v>
      </c>
      <c r="C243" s="85" t="s">
        <v>310</v>
      </c>
      <c r="D243" s="109" t="s">
        <v>178</v>
      </c>
      <c r="E243" s="13" t="s">
        <v>39</v>
      </c>
      <c r="F243" s="14"/>
      <c r="G243" s="12" t="s">
        <v>197</v>
      </c>
      <c r="H243" s="13"/>
      <c r="I243" s="13"/>
      <c r="J243" s="13">
        <v>1</v>
      </c>
      <c r="K243" s="13"/>
      <c r="L243" s="13">
        <v>1</v>
      </c>
      <c r="M243" s="13"/>
      <c r="N243" s="13"/>
      <c r="O243" s="13"/>
      <c r="P243" s="13"/>
      <c r="Q243" s="13"/>
      <c r="R243" s="13"/>
      <c r="S243" s="13"/>
      <c r="T243" s="26">
        <v>45567</v>
      </c>
      <c r="U243" s="13" t="s">
        <v>146</v>
      </c>
      <c r="V243">
        <v>1</v>
      </c>
      <c r="X243" t="s">
        <v>106</v>
      </c>
      <c r="Y243">
        <f>COUNTIF(U243:U267,"K")</f>
        <v>8</v>
      </c>
      <c r="AA243" s="59" t="s">
        <v>120</v>
      </c>
      <c r="AB243" s="60" t="s">
        <v>121</v>
      </c>
    </row>
    <row r="244" spans="1:28" x14ac:dyDescent="0.4">
      <c r="A244" s="144"/>
      <c r="B244" s="147"/>
      <c r="C244" s="85" t="s">
        <v>311</v>
      </c>
      <c r="D244" s="109" t="s">
        <v>178</v>
      </c>
      <c r="E244" s="13" t="s">
        <v>39</v>
      </c>
      <c r="F244" s="16"/>
      <c r="G244" s="12" t="s">
        <v>197</v>
      </c>
      <c r="H244" s="15"/>
      <c r="I244" s="15"/>
      <c r="J244" s="15">
        <v>1</v>
      </c>
      <c r="K244" s="15"/>
      <c r="L244" s="17">
        <v>1</v>
      </c>
      <c r="M244" s="17"/>
      <c r="N244" s="17"/>
      <c r="O244" s="17"/>
      <c r="P244" s="17"/>
      <c r="Q244" s="17"/>
      <c r="R244" s="17"/>
      <c r="S244" s="15"/>
      <c r="T244" s="26">
        <v>45567</v>
      </c>
      <c r="U244" s="13" t="s">
        <v>146</v>
      </c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44"/>
      <c r="B245" s="147"/>
      <c r="C245" s="85" t="s">
        <v>312</v>
      </c>
      <c r="D245" s="109" t="s">
        <v>178</v>
      </c>
      <c r="E245" s="13" t="s">
        <v>39</v>
      </c>
      <c r="F245" s="16"/>
      <c r="G245" s="12" t="s">
        <v>197</v>
      </c>
      <c r="H245" s="15"/>
      <c r="I245" s="15"/>
      <c r="J245" s="15">
        <v>1</v>
      </c>
      <c r="K245" s="15"/>
      <c r="L245" s="17">
        <v>1</v>
      </c>
      <c r="M245" s="17"/>
      <c r="N245" s="17"/>
      <c r="O245" s="17"/>
      <c r="P245" s="17"/>
      <c r="Q245" s="17"/>
      <c r="R245" s="17"/>
      <c r="S245" s="15"/>
      <c r="T245" s="26">
        <v>45567</v>
      </c>
      <c r="U245" s="13" t="s">
        <v>146</v>
      </c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44"/>
      <c r="B246" s="147"/>
      <c r="C246" s="85" t="s">
        <v>313</v>
      </c>
      <c r="D246" s="109" t="s">
        <v>178</v>
      </c>
      <c r="E246" s="13" t="s">
        <v>39</v>
      </c>
      <c r="F246" s="16"/>
      <c r="G246" s="12" t="s">
        <v>197</v>
      </c>
      <c r="H246" s="15"/>
      <c r="I246" s="15"/>
      <c r="J246" s="15">
        <v>1</v>
      </c>
      <c r="K246" s="15"/>
      <c r="L246" s="17">
        <v>1</v>
      </c>
      <c r="M246" s="17"/>
      <c r="N246" s="17"/>
      <c r="O246" s="17"/>
      <c r="P246" s="17"/>
      <c r="Q246" s="17"/>
      <c r="R246" s="17"/>
      <c r="S246" s="15"/>
      <c r="T246" s="26">
        <v>45567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44"/>
      <c r="B247" s="147"/>
      <c r="C247" s="85" t="s">
        <v>314</v>
      </c>
      <c r="D247" s="109" t="s">
        <v>178</v>
      </c>
      <c r="E247" s="13" t="s">
        <v>39</v>
      </c>
      <c r="F247" s="16"/>
      <c r="G247" s="12" t="s">
        <v>197</v>
      </c>
      <c r="H247" s="15"/>
      <c r="I247" s="15"/>
      <c r="J247" s="15">
        <v>1</v>
      </c>
      <c r="K247" s="15"/>
      <c r="L247" s="17">
        <v>1</v>
      </c>
      <c r="M247" s="17"/>
      <c r="N247" s="17"/>
      <c r="O247" s="17"/>
      <c r="P247" s="17"/>
      <c r="Q247" s="17"/>
      <c r="R247" s="17"/>
      <c r="S247" s="15"/>
      <c r="T247" s="26">
        <v>45567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44"/>
      <c r="B248" s="147"/>
      <c r="C248" s="85" t="s">
        <v>315</v>
      </c>
      <c r="D248" s="109" t="s">
        <v>178</v>
      </c>
      <c r="E248" s="13" t="s">
        <v>39</v>
      </c>
      <c r="F248" s="16"/>
      <c r="G248" s="12" t="s">
        <v>197</v>
      </c>
      <c r="H248" s="13"/>
      <c r="I248" s="15"/>
      <c r="J248" s="15">
        <v>1</v>
      </c>
      <c r="K248" s="15"/>
      <c r="L248" s="17">
        <v>1</v>
      </c>
      <c r="M248" s="17"/>
      <c r="N248" s="17"/>
      <c r="O248" s="17"/>
      <c r="P248" s="17"/>
      <c r="Q248" s="17"/>
      <c r="R248" s="17"/>
      <c r="S248" s="15"/>
      <c r="T248" s="26">
        <v>45573</v>
      </c>
      <c r="U248" s="1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44"/>
      <c r="B249" s="147"/>
      <c r="C249" s="85" t="s">
        <v>316</v>
      </c>
      <c r="D249" s="109" t="s">
        <v>178</v>
      </c>
      <c r="E249" s="13" t="s">
        <v>39</v>
      </c>
      <c r="F249" s="16"/>
      <c r="G249" s="12" t="s">
        <v>197</v>
      </c>
      <c r="H249" s="15"/>
      <c r="I249" s="15"/>
      <c r="J249" s="15">
        <v>1</v>
      </c>
      <c r="K249" s="15"/>
      <c r="L249" s="17">
        <v>1</v>
      </c>
      <c r="M249" s="17"/>
      <c r="N249" s="17"/>
      <c r="O249" s="17"/>
      <c r="P249" s="17"/>
      <c r="Q249" s="17"/>
      <c r="R249" s="17"/>
      <c r="S249" s="15"/>
      <c r="T249" s="26">
        <v>45573</v>
      </c>
      <c r="U249" s="13" t="s">
        <v>146</v>
      </c>
      <c r="V249">
        <v>7</v>
      </c>
      <c r="AA249" s="49" t="s">
        <v>86</v>
      </c>
      <c r="AB249" s="50" t="s">
        <v>45</v>
      </c>
    </row>
    <row r="250" spans="1:28" x14ac:dyDescent="0.4">
      <c r="A250" s="144"/>
      <c r="B250" s="147"/>
      <c r="C250" s="85" t="s">
        <v>317</v>
      </c>
      <c r="D250" s="109" t="s">
        <v>178</v>
      </c>
      <c r="E250" s="13" t="s">
        <v>39</v>
      </c>
      <c r="F250" s="16"/>
      <c r="G250" s="12" t="s">
        <v>197</v>
      </c>
      <c r="H250" s="15"/>
      <c r="I250" s="15"/>
      <c r="J250" s="15">
        <v>1</v>
      </c>
      <c r="K250" s="15"/>
      <c r="L250" s="17">
        <v>1</v>
      </c>
      <c r="M250" s="17"/>
      <c r="N250" s="17"/>
      <c r="O250" s="17"/>
      <c r="P250" s="17"/>
      <c r="Q250" s="17"/>
      <c r="R250" s="17"/>
      <c r="S250" s="15"/>
      <c r="T250" s="26">
        <v>45573</v>
      </c>
      <c r="U250" s="13" t="s">
        <v>146</v>
      </c>
      <c r="V250">
        <v>8</v>
      </c>
      <c r="AA250" s="49" t="s">
        <v>87</v>
      </c>
      <c r="AB250" s="50" t="s">
        <v>37</v>
      </c>
    </row>
    <row r="251" spans="1:28" x14ac:dyDescent="0.4">
      <c r="A251" s="144"/>
      <c r="B251" s="147"/>
      <c r="C251" s="85"/>
      <c r="D251" s="109"/>
      <c r="E251" s="13"/>
      <c r="F251" s="16"/>
      <c r="G251" s="12"/>
      <c r="H251" s="15"/>
      <c r="I251" s="15"/>
      <c r="J251" s="15"/>
      <c r="K251" s="15"/>
      <c r="L251" s="17"/>
      <c r="M251" s="17"/>
      <c r="N251" s="17"/>
      <c r="O251" s="17"/>
      <c r="P251" s="17"/>
      <c r="Q251" s="17"/>
      <c r="R251" s="17"/>
      <c r="S251" s="15"/>
      <c r="T251" s="26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44"/>
      <c r="B252" s="147"/>
      <c r="C252" s="85"/>
      <c r="D252" s="109"/>
      <c r="E252" s="13"/>
      <c r="F252" s="16"/>
      <c r="G252" s="12"/>
      <c r="H252" s="15"/>
      <c r="I252" s="15"/>
      <c r="J252" s="15"/>
      <c r="K252" s="15"/>
      <c r="L252" s="17"/>
      <c r="M252" s="17"/>
      <c r="N252" s="17"/>
      <c r="O252" s="17"/>
      <c r="P252" s="17"/>
      <c r="Q252" s="17"/>
      <c r="R252" s="17"/>
      <c r="S252" s="15"/>
      <c r="T252" s="26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44"/>
      <c r="B253" s="147"/>
      <c r="C253" s="85"/>
      <c r="D253" s="109"/>
      <c r="E253" s="13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6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44"/>
      <c r="B254" s="147"/>
      <c r="C254" s="85"/>
      <c r="D254" s="109"/>
      <c r="E254" s="13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6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44"/>
      <c r="B255" s="147"/>
      <c r="C255" s="85"/>
      <c r="D255" s="109"/>
      <c r="E255" s="13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6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44"/>
      <c r="B256" s="147"/>
      <c r="C256" s="85"/>
      <c r="D256" s="109"/>
      <c r="E256" s="13"/>
      <c r="F256" s="16"/>
      <c r="G256" s="15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6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44"/>
      <c r="B257" s="147"/>
      <c r="C257" s="85"/>
      <c r="D257" s="109"/>
      <c r="E257" s="13"/>
      <c r="F257" s="16"/>
      <c r="G257" s="15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6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44"/>
      <c r="B258" s="147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4"/>
      <c r="B259" s="147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44"/>
      <c r="B260" s="147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4"/>
      <c r="B261" s="147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4"/>
      <c r="B262" s="147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4"/>
      <c r="B263" s="147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4"/>
      <c r="B264" s="147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4"/>
      <c r="B265" s="147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4"/>
      <c r="B266" s="147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5"/>
      <c r="B267" s="148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8</v>
      </c>
      <c r="D268" s="112"/>
      <c r="E268" s="29"/>
      <c r="F268" s="29" t="s">
        <v>34</v>
      </c>
      <c r="G268" s="29">
        <f>COUNTIF(G243:G267,"S")</f>
        <v>0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8</v>
      </c>
      <c r="K268" s="29">
        <f t="shared" ref="K268" si="54">SUM(K243:K267)</f>
        <v>0</v>
      </c>
      <c r="L268" s="29">
        <f t="shared" ref="L268" si="55">SUM(L243:L267)</f>
        <v>8</v>
      </c>
      <c r="M268" s="29">
        <f t="shared" ref="M268" si="56">SUM(M243:M267)</f>
        <v>0</v>
      </c>
      <c r="N268" s="29">
        <f t="shared" ref="N268" si="57">SUM(N243:N267)</f>
        <v>0</v>
      </c>
      <c r="O268" s="29">
        <f t="shared" ref="O268" si="58">SUM(O243:O267)</f>
        <v>0</v>
      </c>
      <c r="P268" s="29">
        <f t="shared" ref="P268" si="59">SUM(P243:P267)</f>
        <v>0</v>
      </c>
      <c r="Q268" s="29">
        <f t="shared" ref="Q268" si="60">SUM(Q243:Q267)</f>
        <v>0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8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16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AYG086</v>
      </c>
      <c r="B271" s="24">
        <f>B1</f>
        <v>45526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6" t="s">
        <v>111</v>
      </c>
      <c r="Y272" s="142"/>
    </row>
    <row r="273" spans="1:28" ht="20.25" thickTop="1" thickBot="1" x14ac:dyDescent="0.45">
      <c r="A273" s="143">
        <v>10</v>
      </c>
      <c r="B273" s="146">
        <v>22.5</v>
      </c>
      <c r="C273" s="85" t="s">
        <v>318</v>
      </c>
      <c r="D273" s="109" t="s">
        <v>192</v>
      </c>
      <c r="E273" s="13" t="s">
        <v>39</v>
      </c>
      <c r="F273" s="14"/>
      <c r="G273" s="12" t="s">
        <v>176</v>
      </c>
      <c r="H273" s="13"/>
      <c r="I273" s="13"/>
      <c r="J273" s="13">
        <v>1</v>
      </c>
      <c r="K273" s="13">
        <v>1</v>
      </c>
      <c r="L273" s="13"/>
      <c r="M273" s="13"/>
      <c r="N273" s="13"/>
      <c r="O273" s="13"/>
      <c r="P273" s="13"/>
      <c r="Q273" s="13"/>
      <c r="R273" s="13"/>
      <c r="S273" s="13"/>
      <c r="T273" s="26">
        <v>45554</v>
      </c>
      <c r="U273" s="13" t="s">
        <v>146</v>
      </c>
      <c r="V273">
        <v>1</v>
      </c>
      <c r="X273" s="51" t="s">
        <v>106</v>
      </c>
      <c r="Y273" s="52">
        <f>COUNTIF(U273:U297,"K")</f>
        <v>10</v>
      </c>
      <c r="AA273" s="59" t="s">
        <v>120</v>
      </c>
      <c r="AB273" s="60" t="s">
        <v>121</v>
      </c>
    </row>
    <row r="274" spans="1:28" x14ac:dyDescent="0.4">
      <c r="A274" s="144"/>
      <c r="B274" s="147"/>
      <c r="C274" s="85" t="s">
        <v>319</v>
      </c>
      <c r="D274" s="109" t="s">
        <v>192</v>
      </c>
      <c r="E274" s="13" t="s">
        <v>133</v>
      </c>
      <c r="F274" s="16"/>
      <c r="G274" s="12" t="s">
        <v>176</v>
      </c>
      <c r="H274" s="15"/>
      <c r="I274" s="15"/>
      <c r="J274" s="15"/>
      <c r="K274" s="15"/>
      <c r="L274" s="17"/>
      <c r="M274" s="17"/>
      <c r="N274" s="17"/>
      <c r="O274" s="17">
        <v>1</v>
      </c>
      <c r="P274" s="17">
        <v>1</v>
      </c>
      <c r="Q274" s="17">
        <v>1</v>
      </c>
      <c r="R274" s="17">
        <v>1</v>
      </c>
      <c r="S274" s="15"/>
      <c r="T274" s="26">
        <v>45554</v>
      </c>
      <c r="U274" s="13" t="s">
        <v>148</v>
      </c>
      <c r="V274">
        <v>2</v>
      </c>
      <c r="X274" s="51" t="s">
        <v>107</v>
      </c>
      <c r="Y274" s="52">
        <f>COUNTIF(U273:U297,"R")</f>
        <v>4</v>
      </c>
      <c r="AA274" s="47" t="s">
        <v>81</v>
      </c>
      <c r="AB274" s="48" t="s">
        <v>60</v>
      </c>
    </row>
    <row r="275" spans="1:28" ht="19.5" thickBot="1" x14ac:dyDescent="0.45">
      <c r="A275" s="144"/>
      <c r="B275" s="147"/>
      <c r="C275" s="85" t="s">
        <v>320</v>
      </c>
      <c r="D275" s="109" t="s">
        <v>179</v>
      </c>
      <c r="E275" s="13" t="s">
        <v>37</v>
      </c>
      <c r="F275" s="16"/>
      <c r="G275" s="12" t="s">
        <v>176</v>
      </c>
      <c r="H275" s="15"/>
      <c r="I275" s="15"/>
      <c r="J275" s="15">
        <v>1</v>
      </c>
      <c r="K275" s="15">
        <v>1</v>
      </c>
      <c r="L275" s="17"/>
      <c r="M275" s="17"/>
      <c r="N275" s="17"/>
      <c r="O275" s="17"/>
      <c r="P275" s="17"/>
      <c r="Q275" s="17"/>
      <c r="R275" s="17"/>
      <c r="S275" s="15"/>
      <c r="T275" s="26">
        <v>45551</v>
      </c>
      <c r="U275" s="13" t="s">
        <v>146</v>
      </c>
      <c r="V275">
        <v>3</v>
      </c>
      <c r="X275" s="53" t="s">
        <v>108</v>
      </c>
      <c r="Y275" s="54">
        <f>COUNTIF(U273:U297,"J")</f>
        <v>4</v>
      </c>
      <c r="AA275" s="49" t="s">
        <v>82</v>
      </c>
      <c r="AB275" s="50" t="s">
        <v>39</v>
      </c>
    </row>
    <row r="276" spans="1:28" x14ac:dyDescent="0.4">
      <c r="A276" s="144"/>
      <c r="B276" s="147"/>
      <c r="C276" s="85" t="s">
        <v>321</v>
      </c>
      <c r="D276" s="109" t="s">
        <v>175</v>
      </c>
      <c r="E276" s="13" t="s">
        <v>36</v>
      </c>
      <c r="F276" s="16"/>
      <c r="G276" s="12" t="s">
        <v>176</v>
      </c>
      <c r="H276" s="15"/>
      <c r="I276" s="15"/>
      <c r="J276" s="15"/>
      <c r="K276" s="15"/>
      <c r="L276" s="17"/>
      <c r="M276" s="17">
        <v>1</v>
      </c>
      <c r="N276" s="17">
        <v>1</v>
      </c>
      <c r="O276" s="17"/>
      <c r="P276" s="17"/>
      <c r="Q276" s="17">
        <v>1</v>
      </c>
      <c r="R276" s="17"/>
      <c r="S276" s="15"/>
      <c r="T276" s="26">
        <v>45546</v>
      </c>
      <c r="U276" s="13" t="s">
        <v>147</v>
      </c>
      <c r="V276">
        <v>4</v>
      </c>
      <c r="AA276" s="49" t="s">
        <v>83</v>
      </c>
      <c r="AB276" s="50" t="s">
        <v>38</v>
      </c>
    </row>
    <row r="277" spans="1:28" x14ac:dyDescent="0.4">
      <c r="A277" s="144"/>
      <c r="B277" s="147"/>
      <c r="C277" s="85" t="s">
        <v>322</v>
      </c>
      <c r="D277" s="109" t="s">
        <v>179</v>
      </c>
      <c r="E277" s="13" t="s">
        <v>42</v>
      </c>
      <c r="F277" s="16"/>
      <c r="G277" s="12" t="s">
        <v>176</v>
      </c>
      <c r="H277" s="15"/>
      <c r="I277" s="15"/>
      <c r="J277" s="15"/>
      <c r="K277" s="15"/>
      <c r="L277" s="17"/>
      <c r="M277" s="17"/>
      <c r="N277" s="17">
        <v>1</v>
      </c>
      <c r="O277" s="17"/>
      <c r="P277" s="17"/>
      <c r="Q277" s="17"/>
      <c r="R277" s="17"/>
      <c r="S277" s="15"/>
      <c r="T277" s="26">
        <v>45565</v>
      </c>
      <c r="U277" s="13" t="s">
        <v>147</v>
      </c>
      <c r="V277">
        <v>5</v>
      </c>
      <c r="AA277" s="49" t="s">
        <v>84</v>
      </c>
      <c r="AB277" s="50" t="s">
        <v>44</v>
      </c>
    </row>
    <row r="278" spans="1:28" x14ac:dyDescent="0.4">
      <c r="A278" s="144"/>
      <c r="B278" s="147"/>
      <c r="C278" s="85" t="s">
        <v>324</v>
      </c>
      <c r="D278" s="109" t="s">
        <v>323</v>
      </c>
      <c r="E278" s="13" t="s">
        <v>41</v>
      </c>
      <c r="F278" s="16"/>
      <c r="G278" s="12" t="s">
        <v>176</v>
      </c>
      <c r="H278" s="13"/>
      <c r="I278" s="15"/>
      <c r="J278" s="15">
        <v>1</v>
      </c>
      <c r="K278" s="15"/>
      <c r="L278" s="17"/>
      <c r="M278" s="17"/>
      <c r="N278" s="17"/>
      <c r="O278" s="17"/>
      <c r="P278" s="17"/>
      <c r="Q278" s="17"/>
      <c r="R278" s="17"/>
      <c r="S278" s="15"/>
      <c r="T278" s="26">
        <v>45565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44"/>
      <c r="B279" s="147"/>
      <c r="C279" s="85" t="s">
        <v>325</v>
      </c>
      <c r="D279" s="109" t="s">
        <v>323</v>
      </c>
      <c r="E279" s="13" t="s">
        <v>42</v>
      </c>
      <c r="F279" s="16"/>
      <c r="G279" s="12" t="s">
        <v>176</v>
      </c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>
        <v>1</v>
      </c>
      <c r="T279" s="26">
        <v>45565</v>
      </c>
      <c r="U279" s="13" t="s">
        <v>146</v>
      </c>
      <c r="V279">
        <v>7</v>
      </c>
      <c r="AA279" s="49" t="s">
        <v>86</v>
      </c>
      <c r="AB279" s="50" t="s">
        <v>45</v>
      </c>
    </row>
    <row r="280" spans="1:28" x14ac:dyDescent="0.4">
      <c r="A280" s="144"/>
      <c r="B280" s="147"/>
      <c r="C280" s="85" t="s">
        <v>326</v>
      </c>
      <c r="D280" s="109" t="s">
        <v>323</v>
      </c>
      <c r="E280" s="13" t="s">
        <v>41</v>
      </c>
      <c r="F280" s="16"/>
      <c r="G280" s="12" t="s">
        <v>176</v>
      </c>
      <c r="H280" s="15"/>
      <c r="I280" s="15"/>
      <c r="J280" s="15">
        <v>1</v>
      </c>
      <c r="K280" s="15"/>
      <c r="L280" s="17"/>
      <c r="M280" s="17"/>
      <c r="N280" s="17"/>
      <c r="O280" s="17"/>
      <c r="P280" s="17"/>
      <c r="Q280" s="17"/>
      <c r="R280" s="17"/>
      <c r="S280" s="15"/>
      <c r="T280" s="26">
        <v>45565</v>
      </c>
      <c r="U280" s="13" t="s">
        <v>146</v>
      </c>
      <c r="V280">
        <v>8</v>
      </c>
      <c r="AA280" s="49" t="s">
        <v>87</v>
      </c>
      <c r="AB280" s="50" t="s">
        <v>37</v>
      </c>
    </row>
    <row r="281" spans="1:28" x14ac:dyDescent="0.4">
      <c r="A281" s="144"/>
      <c r="B281" s="147"/>
      <c r="C281" s="85" t="s">
        <v>327</v>
      </c>
      <c r="D281" s="109" t="s">
        <v>323</v>
      </c>
      <c r="E281" s="13" t="s">
        <v>42</v>
      </c>
      <c r="F281" s="16"/>
      <c r="G281" s="12" t="s">
        <v>176</v>
      </c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>
        <v>1</v>
      </c>
      <c r="T281" s="26">
        <v>45565</v>
      </c>
      <c r="U281" s="13" t="s">
        <v>146</v>
      </c>
      <c r="V281">
        <v>9</v>
      </c>
      <c r="AA281" s="49" t="s">
        <v>88</v>
      </c>
      <c r="AB281" s="50" t="s">
        <v>74</v>
      </c>
    </row>
    <row r="282" spans="1:28" x14ac:dyDescent="0.4">
      <c r="A282" s="144"/>
      <c r="B282" s="147"/>
      <c r="C282" s="85" t="s">
        <v>328</v>
      </c>
      <c r="D282" s="109" t="s">
        <v>183</v>
      </c>
      <c r="E282" s="13" t="s">
        <v>40</v>
      </c>
      <c r="F282" s="16"/>
      <c r="G282" s="12" t="s">
        <v>176</v>
      </c>
      <c r="H282" s="15"/>
      <c r="I282" s="15"/>
      <c r="J282" s="15"/>
      <c r="K282" s="15"/>
      <c r="L282" s="17"/>
      <c r="M282" s="17"/>
      <c r="N282" s="17"/>
      <c r="O282" s="17">
        <v>1</v>
      </c>
      <c r="P282" s="17">
        <v>1</v>
      </c>
      <c r="Q282" s="17"/>
      <c r="R282" s="17">
        <v>1</v>
      </c>
      <c r="S282" s="15"/>
      <c r="T282" s="26">
        <v>45551</v>
      </c>
      <c r="U282" s="13" t="s">
        <v>148</v>
      </c>
      <c r="V282">
        <v>10</v>
      </c>
      <c r="AA282" s="49" t="s">
        <v>89</v>
      </c>
      <c r="AB282" s="50" t="s">
        <v>36</v>
      </c>
    </row>
    <row r="283" spans="1:28" x14ac:dyDescent="0.4">
      <c r="A283" s="144"/>
      <c r="B283" s="147"/>
      <c r="C283" s="85" t="s">
        <v>329</v>
      </c>
      <c r="D283" s="109" t="s">
        <v>186</v>
      </c>
      <c r="E283" s="13" t="s">
        <v>40</v>
      </c>
      <c r="F283" s="16"/>
      <c r="G283" s="12" t="s">
        <v>176</v>
      </c>
      <c r="H283" s="15"/>
      <c r="I283" s="15"/>
      <c r="J283" s="15"/>
      <c r="K283" s="15"/>
      <c r="L283" s="17"/>
      <c r="M283" s="17"/>
      <c r="N283" s="17"/>
      <c r="O283" s="17">
        <v>1</v>
      </c>
      <c r="P283" s="17"/>
      <c r="Q283" s="17"/>
      <c r="R283" s="17"/>
      <c r="S283" s="15"/>
      <c r="T283" s="26">
        <v>45545</v>
      </c>
      <c r="U283" s="13" t="s">
        <v>148</v>
      </c>
      <c r="V283">
        <v>11</v>
      </c>
      <c r="AA283" s="49" t="s">
        <v>90</v>
      </c>
      <c r="AB283" s="50" t="s">
        <v>58</v>
      </c>
    </row>
    <row r="284" spans="1:28" x14ac:dyDescent="0.4">
      <c r="A284" s="144"/>
      <c r="B284" s="147"/>
      <c r="C284" s="85" t="s">
        <v>330</v>
      </c>
      <c r="D284" s="109" t="s">
        <v>178</v>
      </c>
      <c r="E284" s="13" t="s">
        <v>38</v>
      </c>
      <c r="F284" s="16"/>
      <c r="G284" s="12" t="s">
        <v>176</v>
      </c>
      <c r="H284" s="15"/>
      <c r="I284" s="15"/>
      <c r="J284" s="15">
        <v>1</v>
      </c>
      <c r="K284" s="15"/>
      <c r="L284" s="17"/>
      <c r="M284" s="17"/>
      <c r="N284" s="17"/>
      <c r="O284" s="17"/>
      <c r="P284" s="17"/>
      <c r="Q284" s="17"/>
      <c r="R284" s="17"/>
      <c r="S284" s="15"/>
      <c r="T284" s="26">
        <v>45557</v>
      </c>
      <c r="U284" s="13" t="s">
        <v>146</v>
      </c>
      <c r="V284">
        <v>12</v>
      </c>
      <c r="AA284" s="49" t="s">
        <v>91</v>
      </c>
      <c r="AB284" s="50" t="s">
        <v>75</v>
      </c>
    </row>
    <row r="285" spans="1:28" x14ac:dyDescent="0.4">
      <c r="A285" s="144"/>
      <c r="B285" s="147"/>
      <c r="C285" s="85" t="s">
        <v>331</v>
      </c>
      <c r="D285" s="109" t="s">
        <v>178</v>
      </c>
      <c r="E285" s="13" t="s">
        <v>38</v>
      </c>
      <c r="F285" s="16"/>
      <c r="G285" s="12" t="s">
        <v>176</v>
      </c>
      <c r="H285" s="15"/>
      <c r="I285" s="15"/>
      <c r="J285" s="15">
        <v>1</v>
      </c>
      <c r="K285" s="15"/>
      <c r="L285" s="17"/>
      <c r="M285" s="17"/>
      <c r="N285" s="17"/>
      <c r="O285" s="17"/>
      <c r="P285" s="17"/>
      <c r="Q285" s="17"/>
      <c r="R285" s="17"/>
      <c r="S285" s="15"/>
      <c r="T285" s="26">
        <v>45557</v>
      </c>
      <c r="U285" s="13" t="s">
        <v>146</v>
      </c>
      <c r="V285">
        <v>13</v>
      </c>
      <c r="AA285" s="49" t="s">
        <v>92</v>
      </c>
      <c r="AB285" s="50" t="s">
        <v>40</v>
      </c>
    </row>
    <row r="286" spans="1:28" x14ac:dyDescent="0.4">
      <c r="A286" s="144"/>
      <c r="B286" s="147"/>
      <c r="C286" s="85" t="s">
        <v>332</v>
      </c>
      <c r="D286" s="109" t="s">
        <v>186</v>
      </c>
      <c r="E286" s="15" t="s">
        <v>58</v>
      </c>
      <c r="F286" s="16"/>
      <c r="G286" s="12" t="s">
        <v>176</v>
      </c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>
        <v>45554</v>
      </c>
      <c r="U286" s="15" t="s">
        <v>147</v>
      </c>
      <c r="V286">
        <v>14</v>
      </c>
      <c r="AA286" s="49" t="s">
        <v>93</v>
      </c>
      <c r="AB286" s="50" t="s">
        <v>57</v>
      </c>
    </row>
    <row r="287" spans="1:28" x14ac:dyDescent="0.4">
      <c r="A287" s="144"/>
      <c r="B287" s="147"/>
      <c r="C287" s="85" t="s">
        <v>333</v>
      </c>
      <c r="D287" s="109" t="s">
        <v>186</v>
      </c>
      <c r="E287" s="15" t="s">
        <v>44</v>
      </c>
      <c r="F287" s="16"/>
      <c r="G287" s="15" t="s">
        <v>176</v>
      </c>
      <c r="H287" s="15"/>
      <c r="I287" s="15"/>
      <c r="J287" s="15">
        <v>1</v>
      </c>
      <c r="K287" s="15">
        <v>1</v>
      </c>
      <c r="L287" s="17"/>
      <c r="M287" s="17"/>
      <c r="N287" s="17"/>
      <c r="O287" s="17"/>
      <c r="P287" s="17"/>
      <c r="Q287" s="17"/>
      <c r="R287" s="17"/>
      <c r="S287" s="15"/>
      <c r="T287" s="26">
        <v>45563</v>
      </c>
      <c r="U287" s="15" t="s">
        <v>146</v>
      </c>
      <c r="V287">
        <v>15</v>
      </c>
      <c r="AA287" s="49" t="s">
        <v>94</v>
      </c>
      <c r="AB287" s="50" t="s">
        <v>41</v>
      </c>
    </row>
    <row r="288" spans="1:28" x14ac:dyDescent="0.4">
      <c r="A288" s="144"/>
      <c r="B288" s="147"/>
      <c r="C288" s="85" t="s">
        <v>334</v>
      </c>
      <c r="D288" s="109" t="s">
        <v>186</v>
      </c>
      <c r="E288" s="15" t="s">
        <v>74</v>
      </c>
      <c r="F288" s="16"/>
      <c r="G288" s="15" t="s">
        <v>176</v>
      </c>
      <c r="H288" s="15"/>
      <c r="I288" s="15"/>
      <c r="J288" s="15">
        <v>1</v>
      </c>
      <c r="K288" s="15">
        <v>1</v>
      </c>
      <c r="L288" s="19"/>
      <c r="M288" s="19"/>
      <c r="N288" s="19"/>
      <c r="O288" s="19"/>
      <c r="P288" s="19"/>
      <c r="Q288" s="19"/>
      <c r="R288" s="19"/>
      <c r="S288" s="15"/>
      <c r="T288" s="26">
        <v>45563</v>
      </c>
      <c r="U288" s="15" t="s">
        <v>146</v>
      </c>
      <c r="V288">
        <v>16</v>
      </c>
      <c r="AA288" s="49" t="s">
        <v>95</v>
      </c>
      <c r="AB288" s="50" t="s">
        <v>42</v>
      </c>
    </row>
    <row r="289" spans="1:28" x14ac:dyDescent="0.4">
      <c r="A289" s="144"/>
      <c r="B289" s="147"/>
      <c r="C289" s="85" t="s">
        <v>335</v>
      </c>
      <c r="D289" s="109" t="s">
        <v>185</v>
      </c>
      <c r="E289" s="18" t="s">
        <v>36</v>
      </c>
      <c r="F289" s="16"/>
      <c r="G289" s="18" t="s">
        <v>176</v>
      </c>
      <c r="H289" s="15"/>
      <c r="I289" s="15"/>
      <c r="J289" s="18"/>
      <c r="K289" s="15"/>
      <c r="L289" s="19"/>
      <c r="M289" s="19">
        <v>1</v>
      </c>
      <c r="N289" s="19">
        <v>1</v>
      </c>
      <c r="O289" s="19"/>
      <c r="P289" s="19"/>
      <c r="Q289" s="19">
        <v>1</v>
      </c>
      <c r="R289" s="19"/>
      <c r="S289" s="15"/>
      <c r="T289" s="26">
        <v>45550</v>
      </c>
      <c r="U289" s="15" t="s">
        <v>147</v>
      </c>
      <c r="V289">
        <v>17</v>
      </c>
      <c r="AA289" s="49" t="s">
        <v>96</v>
      </c>
      <c r="AB289" s="50" t="s">
        <v>61</v>
      </c>
    </row>
    <row r="290" spans="1:28" x14ac:dyDescent="0.4">
      <c r="A290" s="144"/>
      <c r="B290" s="147"/>
      <c r="C290" s="85" t="s">
        <v>336</v>
      </c>
      <c r="D290" s="109" t="s">
        <v>185</v>
      </c>
      <c r="E290" s="18" t="s">
        <v>40</v>
      </c>
      <c r="F290" s="16"/>
      <c r="G290" s="18" t="s">
        <v>176</v>
      </c>
      <c r="H290" s="15"/>
      <c r="I290" s="15"/>
      <c r="J290" s="18"/>
      <c r="K290" s="15"/>
      <c r="L290" s="19"/>
      <c r="M290" s="19"/>
      <c r="N290" s="19"/>
      <c r="O290" s="19">
        <v>1</v>
      </c>
      <c r="P290" s="19">
        <v>1</v>
      </c>
      <c r="Q290" s="19"/>
      <c r="R290" s="19"/>
      <c r="S290" s="15"/>
      <c r="T290" s="26">
        <v>45550</v>
      </c>
      <c r="U290" s="15" t="s">
        <v>148</v>
      </c>
      <c r="V290">
        <v>18</v>
      </c>
      <c r="AA290" s="49" t="s">
        <v>97</v>
      </c>
      <c r="AB290" s="50" t="s">
        <v>76</v>
      </c>
    </row>
    <row r="291" spans="1:28" x14ac:dyDescent="0.4">
      <c r="A291" s="144"/>
      <c r="B291" s="147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4"/>
      <c r="B292" s="147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4"/>
      <c r="B293" s="147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4"/>
      <c r="B294" s="147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4"/>
      <c r="B295" s="147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4"/>
      <c r="B296" s="147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5"/>
      <c r="B297" s="148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18</v>
      </c>
      <c r="D298" s="112"/>
      <c r="E298" s="29"/>
      <c r="F298" s="29" t="s">
        <v>34</v>
      </c>
      <c r="G298" s="29">
        <f>COUNTIF(G273:G297,"S")</f>
        <v>18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8</v>
      </c>
      <c r="K298" s="29">
        <f t="shared" ref="K298" si="64">SUM(K273:K297)</f>
        <v>4</v>
      </c>
      <c r="L298" s="29">
        <f t="shared" ref="L298" si="65">SUM(L273:L297)</f>
        <v>0</v>
      </c>
      <c r="M298" s="29">
        <f t="shared" ref="M298" si="66">SUM(M273:M297)</f>
        <v>2</v>
      </c>
      <c r="N298" s="29">
        <f t="shared" ref="N298" si="67">SUM(N273:N297)</f>
        <v>3</v>
      </c>
      <c r="O298" s="29">
        <f t="shared" ref="O298" si="68">SUM(O273:O297)</f>
        <v>4</v>
      </c>
      <c r="P298" s="29">
        <f t="shared" ref="P298" si="69">SUM(P273:P297)</f>
        <v>3</v>
      </c>
      <c r="Q298" s="29">
        <f t="shared" ref="Q298" si="70">SUM(Q273:Q297)</f>
        <v>3</v>
      </c>
      <c r="R298" s="29">
        <f t="shared" ref="R298" si="71">SUM(R273:R297)</f>
        <v>2</v>
      </c>
      <c r="S298" s="29">
        <f t="shared" ref="S298" si="72">SUM(S273:S297)</f>
        <v>2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31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AYG086</v>
      </c>
      <c r="B301" s="24">
        <f>B1</f>
        <v>45526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6" t="s">
        <v>110</v>
      </c>
      <c r="Y302" s="142"/>
    </row>
    <row r="303" spans="1:28" ht="20.25" thickTop="1" thickBot="1" x14ac:dyDescent="0.45">
      <c r="A303" s="143">
        <v>11</v>
      </c>
      <c r="B303" s="146">
        <v>18.899999999999999</v>
      </c>
      <c r="C303" s="85" t="s">
        <v>337</v>
      </c>
      <c r="D303" s="109" t="s">
        <v>177</v>
      </c>
      <c r="E303" s="13" t="s">
        <v>75</v>
      </c>
      <c r="F303" s="14"/>
      <c r="G303" s="12" t="s">
        <v>176</v>
      </c>
      <c r="H303" s="13" t="s">
        <v>147</v>
      </c>
      <c r="I303" s="13"/>
      <c r="J303" s="13"/>
      <c r="K303" s="13"/>
      <c r="L303" s="13"/>
      <c r="M303" s="13"/>
      <c r="N303" s="13">
        <v>1</v>
      </c>
      <c r="O303" s="13"/>
      <c r="P303" s="13"/>
      <c r="Q303" s="13"/>
      <c r="R303" s="13"/>
      <c r="S303" s="13"/>
      <c r="T303" s="26">
        <v>45563</v>
      </c>
      <c r="U303" s="13" t="s">
        <v>147</v>
      </c>
      <c r="V303">
        <v>1</v>
      </c>
      <c r="X303" s="51" t="s">
        <v>106</v>
      </c>
      <c r="Y303" s="52">
        <f>COUNTIF(U303:U327,"K")</f>
        <v>6</v>
      </c>
      <c r="AA303" s="59" t="s">
        <v>120</v>
      </c>
      <c r="AB303" s="60" t="s">
        <v>121</v>
      </c>
    </row>
    <row r="304" spans="1:28" x14ac:dyDescent="0.4">
      <c r="A304" s="144"/>
      <c r="B304" s="147"/>
      <c r="C304" s="85" t="s">
        <v>338</v>
      </c>
      <c r="D304" s="109" t="s">
        <v>177</v>
      </c>
      <c r="E304" s="13" t="s">
        <v>36</v>
      </c>
      <c r="F304" s="16"/>
      <c r="G304" s="12" t="s">
        <v>176</v>
      </c>
      <c r="H304" s="15"/>
      <c r="I304" s="15"/>
      <c r="J304" s="15"/>
      <c r="K304" s="15">
        <v>1</v>
      </c>
      <c r="L304" s="17"/>
      <c r="M304" s="13"/>
      <c r="N304" s="13"/>
      <c r="O304" s="17"/>
      <c r="P304" s="17"/>
      <c r="Q304" s="17"/>
      <c r="R304" s="17"/>
      <c r="S304" s="15"/>
      <c r="T304" s="26">
        <v>45563</v>
      </c>
      <c r="U304" s="13" t="s">
        <v>142</v>
      </c>
      <c r="V304">
        <v>2</v>
      </c>
      <c r="X304" s="51" t="s">
        <v>107</v>
      </c>
      <c r="Y304" s="52">
        <f>COUNTIF(U303:U327,"R")</f>
        <v>8</v>
      </c>
      <c r="AA304" s="47" t="s">
        <v>81</v>
      </c>
      <c r="AB304" s="48" t="s">
        <v>60</v>
      </c>
    </row>
    <row r="305" spans="1:28" ht="19.5" thickBot="1" x14ac:dyDescent="0.45">
      <c r="A305" s="144"/>
      <c r="B305" s="147"/>
      <c r="C305" s="85" t="s">
        <v>339</v>
      </c>
      <c r="D305" s="109" t="s">
        <v>188</v>
      </c>
      <c r="E305" s="13" t="s">
        <v>44</v>
      </c>
      <c r="F305" s="16"/>
      <c r="G305" s="12" t="s">
        <v>176</v>
      </c>
      <c r="H305" s="15"/>
      <c r="I305" s="15"/>
      <c r="J305" s="15">
        <v>1</v>
      </c>
      <c r="K305" s="15">
        <v>1</v>
      </c>
      <c r="L305" s="17"/>
      <c r="M305" s="13"/>
      <c r="N305" s="13"/>
      <c r="O305" s="17"/>
      <c r="P305" s="17"/>
      <c r="Q305" s="17"/>
      <c r="R305" s="17"/>
      <c r="S305" s="15"/>
      <c r="T305" s="26">
        <v>45543</v>
      </c>
      <c r="U305" s="13" t="s">
        <v>146</v>
      </c>
      <c r="V305">
        <v>3</v>
      </c>
      <c r="X305" s="53" t="s">
        <v>108</v>
      </c>
      <c r="Y305" s="54">
        <f>COUNTIF(U303:U327,"J")</f>
        <v>2</v>
      </c>
      <c r="AA305" s="49" t="s">
        <v>82</v>
      </c>
      <c r="AB305" s="50" t="s">
        <v>39</v>
      </c>
    </row>
    <row r="306" spans="1:28" x14ac:dyDescent="0.4">
      <c r="A306" s="144"/>
      <c r="B306" s="147"/>
      <c r="C306" s="85" t="s">
        <v>341</v>
      </c>
      <c r="D306" s="109" t="s">
        <v>340</v>
      </c>
      <c r="E306" s="13" t="s">
        <v>37</v>
      </c>
      <c r="F306" s="16"/>
      <c r="G306" s="12" t="s">
        <v>176</v>
      </c>
      <c r="H306" s="15"/>
      <c r="I306" s="15"/>
      <c r="J306" s="15"/>
      <c r="K306" s="15"/>
      <c r="L306" s="17"/>
      <c r="M306" s="13">
        <v>1</v>
      </c>
      <c r="N306" s="13">
        <v>1</v>
      </c>
      <c r="O306" s="17"/>
      <c r="P306" s="17"/>
      <c r="Q306" s="17">
        <v>1</v>
      </c>
      <c r="R306" s="17"/>
      <c r="S306" s="15"/>
      <c r="T306" s="26">
        <v>45583</v>
      </c>
      <c r="U306" s="13" t="s">
        <v>147</v>
      </c>
      <c r="V306">
        <v>4</v>
      </c>
      <c r="AA306" s="49" t="s">
        <v>83</v>
      </c>
      <c r="AB306" s="50" t="s">
        <v>38</v>
      </c>
    </row>
    <row r="307" spans="1:28" x14ac:dyDescent="0.4">
      <c r="A307" s="144"/>
      <c r="B307" s="147"/>
      <c r="C307" s="85" t="s">
        <v>342</v>
      </c>
      <c r="D307" s="109" t="s">
        <v>209</v>
      </c>
      <c r="E307" s="13" t="s">
        <v>36</v>
      </c>
      <c r="F307" s="16"/>
      <c r="G307" s="12" t="s">
        <v>176</v>
      </c>
      <c r="H307" s="15"/>
      <c r="I307" s="15"/>
      <c r="J307" s="15">
        <v>1</v>
      </c>
      <c r="K307" s="15">
        <v>1</v>
      </c>
      <c r="L307" s="17"/>
      <c r="M307" s="13"/>
      <c r="N307" s="13"/>
      <c r="O307" s="17"/>
      <c r="P307" s="17"/>
      <c r="Q307" s="17"/>
      <c r="R307" s="17"/>
      <c r="S307" s="15"/>
      <c r="T307" s="26">
        <v>45558</v>
      </c>
      <c r="U307" s="13" t="s">
        <v>146</v>
      </c>
      <c r="V307">
        <v>5</v>
      </c>
      <c r="AA307" s="49" t="s">
        <v>84</v>
      </c>
      <c r="AB307" s="50" t="s">
        <v>44</v>
      </c>
    </row>
    <row r="308" spans="1:28" x14ac:dyDescent="0.4">
      <c r="A308" s="144"/>
      <c r="B308" s="147"/>
      <c r="C308" s="85" t="s">
        <v>343</v>
      </c>
      <c r="D308" s="109" t="s">
        <v>209</v>
      </c>
      <c r="E308" s="13" t="s">
        <v>40</v>
      </c>
      <c r="F308" s="16"/>
      <c r="G308" s="12" t="s">
        <v>176</v>
      </c>
      <c r="H308" s="13"/>
      <c r="I308" s="15"/>
      <c r="J308" s="15"/>
      <c r="K308" s="15"/>
      <c r="L308" s="17"/>
      <c r="M308" s="13"/>
      <c r="N308" s="13"/>
      <c r="O308" s="17">
        <v>1</v>
      </c>
      <c r="P308" s="17">
        <v>1</v>
      </c>
      <c r="Q308" s="17">
        <v>1</v>
      </c>
      <c r="R308" s="17">
        <v>1</v>
      </c>
      <c r="S308" s="15"/>
      <c r="T308" s="26">
        <v>45558</v>
      </c>
      <c r="U308" s="13" t="s">
        <v>148</v>
      </c>
      <c r="V308">
        <v>6</v>
      </c>
      <c r="AA308" s="49" t="s">
        <v>85</v>
      </c>
      <c r="AB308" s="50" t="s">
        <v>43</v>
      </c>
    </row>
    <row r="309" spans="1:28" x14ac:dyDescent="0.4">
      <c r="A309" s="144"/>
      <c r="B309" s="147"/>
      <c r="C309" s="85" t="s">
        <v>344</v>
      </c>
      <c r="D309" s="109" t="s">
        <v>340</v>
      </c>
      <c r="E309" s="13" t="s">
        <v>75</v>
      </c>
      <c r="F309" s="16"/>
      <c r="G309" s="12" t="s">
        <v>176</v>
      </c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>
        <v>45568</v>
      </c>
      <c r="U309" s="13" t="s">
        <v>147</v>
      </c>
      <c r="V309">
        <v>7</v>
      </c>
      <c r="AA309" s="49" t="s">
        <v>86</v>
      </c>
      <c r="AB309" s="50" t="s">
        <v>45</v>
      </c>
    </row>
    <row r="310" spans="1:28" x14ac:dyDescent="0.4">
      <c r="A310" s="144"/>
      <c r="B310" s="147"/>
      <c r="C310" s="85" t="s">
        <v>345</v>
      </c>
      <c r="D310" s="109" t="s">
        <v>340</v>
      </c>
      <c r="E310" s="13" t="s">
        <v>37</v>
      </c>
      <c r="F310" s="16"/>
      <c r="G310" s="12" t="s">
        <v>176</v>
      </c>
      <c r="H310" s="15"/>
      <c r="I310" s="15"/>
      <c r="J310" s="15">
        <v>1</v>
      </c>
      <c r="K310" s="15">
        <v>1</v>
      </c>
      <c r="L310" s="17"/>
      <c r="M310" s="13"/>
      <c r="N310" s="13"/>
      <c r="O310" s="17"/>
      <c r="P310" s="17"/>
      <c r="Q310" s="17"/>
      <c r="R310" s="17"/>
      <c r="S310" s="15"/>
      <c r="T310" s="26">
        <v>45568</v>
      </c>
      <c r="U310" s="13" t="s">
        <v>146</v>
      </c>
      <c r="V310">
        <v>8</v>
      </c>
      <c r="AA310" s="49" t="s">
        <v>87</v>
      </c>
      <c r="AB310" s="50" t="s">
        <v>37</v>
      </c>
    </row>
    <row r="311" spans="1:28" x14ac:dyDescent="0.4">
      <c r="A311" s="144"/>
      <c r="B311" s="147"/>
      <c r="C311" s="85" t="s">
        <v>346</v>
      </c>
      <c r="D311" s="109" t="s">
        <v>194</v>
      </c>
      <c r="E311" s="13" t="s">
        <v>37</v>
      </c>
      <c r="F311" s="16"/>
      <c r="G311" s="12" t="s">
        <v>176</v>
      </c>
      <c r="H311" s="15"/>
      <c r="I311" s="15"/>
      <c r="J311" s="15"/>
      <c r="K311" s="15"/>
      <c r="L311" s="17"/>
      <c r="M311" s="13">
        <v>1</v>
      </c>
      <c r="N311" s="13">
        <v>1</v>
      </c>
      <c r="O311" s="17"/>
      <c r="P311" s="17"/>
      <c r="Q311" s="17">
        <v>1</v>
      </c>
      <c r="R311" s="17"/>
      <c r="S311" s="15"/>
      <c r="T311" s="26">
        <v>45568</v>
      </c>
      <c r="U311" s="13" t="s">
        <v>147</v>
      </c>
      <c r="V311">
        <v>9</v>
      </c>
      <c r="AA311" s="49" t="s">
        <v>88</v>
      </c>
      <c r="AB311" s="50" t="s">
        <v>74</v>
      </c>
    </row>
    <row r="312" spans="1:28" x14ac:dyDescent="0.4">
      <c r="A312" s="144"/>
      <c r="B312" s="147"/>
      <c r="C312" s="85" t="s">
        <v>347</v>
      </c>
      <c r="D312" s="109" t="s">
        <v>184</v>
      </c>
      <c r="E312" s="13" t="s">
        <v>39</v>
      </c>
      <c r="F312" s="16"/>
      <c r="G312" s="12" t="s">
        <v>176</v>
      </c>
      <c r="H312" s="15"/>
      <c r="I312" s="15"/>
      <c r="J312" s="15">
        <v>1</v>
      </c>
      <c r="K312" s="15">
        <v>1</v>
      </c>
      <c r="L312" s="17"/>
      <c r="M312" s="13"/>
      <c r="N312" s="13"/>
      <c r="O312" s="17"/>
      <c r="P312" s="17"/>
      <c r="Q312" s="17"/>
      <c r="R312" s="17"/>
      <c r="S312" s="15"/>
      <c r="T312" s="26">
        <v>45561</v>
      </c>
      <c r="U312" s="13" t="s">
        <v>146</v>
      </c>
      <c r="V312">
        <v>10</v>
      </c>
      <c r="AA312" s="49" t="s">
        <v>89</v>
      </c>
      <c r="AB312" s="50" t="s">
        <v>36</v>
      </c>
    </row>
    <row r="313" spans="1:28" x14ac:dyDescent="0.4">
      <c r="A313" s="144"/>
      <c r="B313" s="147"/>
      <c r="C313" s="85" t="s">
        <v>348</v>
      </c>
      <c r="D313" s="109" t="s">
        <v>184</v>
      </c>
      <c r="E313" s="13" t="s">
        <v>133</v>
      </c>
      <c r="F313" s="16"/>
      <c r="G313" s="12" t="s">
        <v>176</v>
      </c>
      <c r="H313" s="15"/>
      <c r="I313" s="15"/>
      <c r="J313" s="15"/>
      <c r="K313" s="15"/>
      <c r="L313" s="17"/>
      <c r="M313" s="13"/>
      <c r="N313" s="13"/>
      <c r="O313" s="17">
        <v>1</v>
      </c>
      <c r="P313" s="17">
        <v>1</v>
      </c>
      <c r="Q313" s="17">
        <v>1</v>
      </c>
      <c r="R313" s="17">
        <v>1</v>
      </c>
      <c r="S313" s="15"/>
      <c r="T313" s="26">
        <v>45561</v>
      </c>
      <c r="U313" s="13" t="s">
        <v>148</v>
      </c>
      <c r="V313">
        <v>11</v>
      </c>
      <c r="AA313" s="49" t="s">
        <v>90</v>
      </c>
      <c r="AB313" s="50" t="s">
        <v>58</v>
      </c>
    </row>
    <row r="314" spans="1:28" x14ac:dyDescent="0.4">
      <c r="A314" s="144"/>
      <c r="B314" s="147"/>
      <c r="C314" s="85" t="s">
        <v>349</v>
      </c>
      <c r="D314" s="109" t="s">
        <v>184</v>
      </c>
      <c r="E314" s="13" t="s">
        <v>38</v>
      </c>
      <c r="F314" s="16"/>
      <c r="G314" s="12" t="s">
        <v>176</v>
      </c>
      <c r="H314" s="15"/>
      <c r="I314" s="15"/>
      <c r="J314" s="15">
        <v>1</v>
      </c>
      <c r="K314" s="15">
        <v>1</v>
      </c>
      <c r="L314" s="17"/>
      <c r="M314" s="13"/>
      <c r="N314" s="13"/>
      <c r="O314" s="17"/>
      <c r="P314" s="17"/>
      <c r="Q314" s="17"/>
      <c r="R314" s="17"/>
      <c r="S314" s="15"/>
      <c r="T314" s="26">
        <v>45560</v>
      </c>
      <c r="U314" s="13" t="s">
        <v>146</v>
      </c>
      <c r="V314">
        <v>12</v>
      </c>
      <c r="AA314" s="49" t="s">
        <v>91</v>
      </c>
      <c r="AB314" s="50" t="s">
        <v>75</v>
      </c>
    </row>
    <row r="315" spans="1:28" x14ac:dyDescent="0.4">
      <c r="A315" s="144"/>
      <c r="B315" s="147"/>
      <c r="C315" s="85" t="s">
        <v>350</v>
      </c>
      <c r="D315" s="109" t="s">
        <v>175</v>
      </c>
      <c r="E315" s="13" t="s">
        <v>36</v>
      </c>
      <c r="F315" s="16"/>
      <c r="G315" s="12" t="s">
        <v>176</v>
      </c>
      <c r="H315" s="15"/>
      <c r="I315" s="15"/>
      <c r="J315" s="15"/>
      <c r="K315" s="15"/>
      <c r="L315" s="17"/>
      <c r="M315" s="13">
        <v>1</v>
      </c>
      <c r="N315" s="13">
        <v>1</v>
      </c>
      <c r="O315" s="17"/>
      <c r="P315" s="17"/>
      <c r="Q315" s="17">
        <v>1</v>
      </c>
      <c r="R315" s="17"/>
      <c r="S315" s="15"/>
      <c r="T315" s="26">
        <v>45563</v>
      </c>
      <c r="U315" s="13" t="s">
        <v>147</v>
      </c>
      <c r="V315">
        <v>13</v>
      </c>
      <c r="AA315" s="49" t="s">
        <v>92</v>
      </c>
      <c r="AB315" s="50" t="s">
        <v>40</v>
      </c>
    </row>
    <row r="316" spans="1:28" x14ac:dyDescent="0.4">
      <c r="A316" s="144"/>
      <c r="B316" s="147"/>
      <c r="C316" s="85" t="s">
        <v>351</v>
      </c>
      <c r="D316" s="109" t="s">
        <v>175</v>
      </c>
      <c r="E316" s="13" t="s">
        <v>36</v>
      </c>
      <c r="F316" s="16"/>
      <c r="G316" s="12" t="s">
        <v>176</v>
      </c>
      <c r="H316" s="15"/>
      <c r="I316" s="15"/>
      <c r="J316" s="15"/>
      <c r="K316" s="15"/>
      <c r="L316" s="17"/>
      <c r="M316" s="13">
        <v>1</v>
      </c>
      <c r="N316" s="13">
        <v>1</v>
      </c>
      <c r="O316" s="17"/>
      <c r="P316" s="17"/>
      <c r="Q316" s="17">
        <v>1</v>
      </c>
      <c r="R316" s="17"/>
      <c r="S316" s="15"/>
      <c r="T316" s="26">
        <v>45563</v>
      </c>
      <c r="U316" s="13" t="s">
        <v>147</v>
      </c>
      <c r="V316">
        <v>14</v>
      </c>
      <c r="AA316" s="49" t="s">
        <v>93</v>
      </c>
      <c r="AB316" s="50" t="s">
        <v>57</v>
      </c>
    </row>
    <row r="317" spans="1:28" x14ac:dyDescent="0.4">
      <c r="A317" s="144"/>
      <c r="B317" s="147"/>
      <c r="C317" s="85" t="s">
        <v>352</v>
      </c>
      <c r="D317" s="109" t="s">
        <v>186</v>
      </c>
      <c r="E317" s="13" t="s">
        <v>37</v>
      </c>
      <c r="F317" s="16"/>
      <c r="G317" s="12" t="s">
        <v>176</v>
      </c>
      <c r="H317" s="15"/>
      <c r="I317" s="15"/>
      <c r="J317" s="15">
        <v>1</v>
      </c>
      <c r="K317" s="15"/>
      <c r="L317" s="17"/>
      <c r="M317" s="13">
        <v>1</v>
      </c>
      <c r="N317" s="13"/>
      <c r="O317" s="17"/>
      <c r="P317" s="17"/>
      <c r="Q317" s="17">
        <v>1</v>
      </c>
      <c r="R317" s="17"/>
      <c r="S317" s="15"/>
      <c r="T317" s="26">
        <v>45554</v>
      </c>
      <c r="U317" s="13" t="s">
        <v>147</v>
      </c>
      <c r="V317">
        <v>15</v>
      </c>
      <c r="AA317" s="49" t="s">
        <v>94</v>
      </c>
      <c r="AB317" s="50" t="s">
        <v>41</v>
      </c>
    </row>
    <row r="318" spans="1:28" x14ac:dyDescent="0.4">
      <c r="A318" s="144"/>
      <c r="B318" s="147"/>
      <c r="C318" s="85" t="s">
        <v>353</v>
      </c>
      <c r="D318" s="109" t="s">
        <v>186</v>
      </c>
      <c r="E318" s="13" t="s">
        <v>36</v>
      </c>
      <c r="F318" s="16"/>
      <c r="G318" s="12" t="s">
        <v>176</v>
      </c>
      <c r="H318" s="15"/>
      <c r="I318" s="15"/>
      <c r="J318" s="15"/>
      <c r="K318" s="15"/>
      <c r="L318" s="19"/>
      <c r="M318" s="13">
        <v>1</v>
      </c>
      <c r="N318" s="13"/>
      <c r="O318" s="19"/>
      <c r="P318" s="19"/>
      <c r="Q318" s="19"/>
      <c r="R318" s="19"/>
      <c r="S318" s="15"/>
      <c r="T318" s="26">
        <v>45561</v>
      </c>
      <c r="U318" s="13" t="s">
        <v>147</v>
      </c>
      <c r="V318">
        <v>16</v>
      </c>
      <c r="AA318" s="49" t="s">
        <v>95</v>
      </c>
      <c r="AB318" s="50" t="s">
        <v>42</v>
      </c>
    </row>
    <row r="319" spans="1:28" x14ac:dyDescent="0.4">
      <c r="A319" s="144"/>
      <c r="B319" s="147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4"/>
      <c r="B320" s="147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4"/>
      <c r="B321" s="147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4"/>
      <c r="B322" s="147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4"/>
      <c r="B323" s="147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4"/>
      <c r="B324" s="147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4"/>
      <c r="B325" s="147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4"/>
      <c r="B326" s="147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5"/>
      <c r="B327" s="148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16</v>
      </c>
      <c r="D328" s="112"/>
      <c r="E328" s="29"/>
      <c r="F328" s="29" t="s">
        <v>34</v>
      </c>
      <c r="G328" s="29">
        <f>COUNTIF(G303:G327,"S")</f>
        <v>16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6</v>
      </c>
      <c r="K328" s="29">
        <f t="shared" ref="K328" si="74">SUM(K303:K327)</f>
        <v>6</v>
      </c>
      <c r="L328" s="29">
        <f t="shared" ref="L328" si="75">SUM(L303:L327)</f>
        <v>0</v>
      </c>
      <c r="M328" s="29">
        <f t="shared" ref="M328" si="76">SUM(M303:M327)</f>
        <v>6</v>
      </c>
      <c r="N328" s="29">
        <f t="shared" ref="N328" si="77">SUM(N303:N327)</f>
        <v>5</v>
      </c>
      <c r="O328" s="29">
        <f t="shared" ref="O328" si="78">SUM(O303:O327)</f>
        <v>2</v>
      </c>
      <c r="P328" s="29">
        <f t="shared" ref="P328" si="79">SUM(P303:P327)</f>
        <v>2</v>
      </c>
      <c r="Q328" s="29">
        <f t="shared" ref="Q328" si="80">SUM(Q303:Q327)</f>
        <v>7</v>
      </c>
      <c r="R328" s="29">
        <f t="shared" ref="R328" si="81">SUM(R303:R327)</f>
        <v>2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1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36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AYG086</v>
      </c>
      <c r="B331" s="24">
        <f>B151</f>
        <v>45526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6" t="s">
        <v>109</v>
      </c>
      <c r="Y332" s="142"/>
    </row>
    <row r="333" spans="1:28" ht="20.25" thickTop="1" thickBot="1" x14ac:dyDescent="0.45">
      <c r="A333" s="143">
        <v>12</v>
      </c>
      <c r="B333" s="146"/>
      <c r="C333" s="86"/>
      <c r="D333" s="109"/>
      <c r="E333" s="13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4"/>
      <c r="B334" s="147"/>
      <c r="C334" s="86"/>
      <c r="D334" s="109"/>
      <c r="E334" s="15"/>
      <c r="F334" s="16"/>
      <c r="G334" s="15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4"/>
      <c r="B335" s="147"/>
      <c r="C335" s="86"/>
      <c r="D335" s="109"/>
      <c r="E335" s="15"/>
      <c r="F335" s="16"/>
      <c r="G335" s="15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4"/>
      <c r="B336" s="147"/>
      <c r="C336" s="86"/>
      <c r="D336" s="109"/>
      <c r="E336" s="15"/>
      <c r="F336" s="16"/>
      <c r="G336" s="15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4"/>
      <c r="B337" s="147"/>
      <c r="C337" s="86"/>
      <c r="D337" s="109"/>
      <c r="E337" s="15"/>
      <c r="F337" s="16"/>
      <c r="G337" s="15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4"/>
      <c r="B338" s="147"/>
      <c r="C338" s="86"/>
      <c r="D338" s="109"/>
      <c r="E338" s="15"/>
      <c r="F338" s="16"/>
      <c r="G338" s="15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4"/>
      <c r="B339" s="147"/>
      <c r="C339" s="86"/>
      <c r="D339" s="109"/>
      <c r="E339" s="15"/>
      <c r="F339" s="16"/>
      <c r="G339" s="15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4"/>
      <c r="B340" s="147"/>
      <c r="C340" s="86"/>
      <c r="D340" s="109"/>
      <c r="E340" s="15"/>
      <c r="F340" s="16"/>
      <c r="G340" s="15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4"/>
      <c r="B341" s="147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4"/>
      <c r="B342" s="147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4"/>
      <c r="B343" s="147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4"/>
      <c r="B344" s="147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4"/>
      <c r="B345" s="147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4"/>
      <c r="B346" s="147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4"/>
      <c r="B347" s="147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4"/>
      <c r="B348" s="147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4"/>
      <c r="B349" s="147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4"/>
      <c r="B350" s="147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4"/>
      <c r="B351" s="147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4"/>
      <c r="B352" s="147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4"/>
      <c r="B353" s="147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4"/>
      <c r="B354" s="147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4"/>
      <c r="B355" s="147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4"/>
      <c r="B356" s="147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5"/>
      <c r="B357" s="148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6" t="s">
        <v>138</v>
      </c>
      <c r="Y362" s="142"/>
    </row>
    <row r="363" spans="1:28" ht="19.5" thickTop="1" x14ac:dyDescent="0.4">
      <c r="A363" s="143">
        <v>13</v>
      </c>
      <c r="B363" s="146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4"/>
      <c r="B364" s="147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4"/>
      <c r="B365" s="147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4"/>
      <c r="B366" s="147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4"/>
      <c r="B367" s="147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4"/>
      <c r="B368" s="147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4"/>
      <c r="B369" s="147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4"/>
      <c r="B370" s="147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4"/>
      <c r="B371" s="147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4"/>
      <c r="B372" s="147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4"/>
      <c r="B373" s="147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4"/>
      <c r="B374" s="147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4"/>
      <c r="B375" s="147"/>
      <c r="C375" s="86"/>
      <c r="D375" s="106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4"/>
      <c r="B376" s="147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4"/>
      <c r="B377" s="147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4"/>
      <c r="B378" s="147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4"/>
      <c r="B379" s="147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4"/>
      <c r="B380" s="147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4"/>
      <c r="B381" s="147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4"/>
      <c r="B382" s="147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4"/>
      <c r="B383" s="147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4"/>
      <c r="B384" s="147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4"/>
      <c r="B385" s="147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4"/>
      <c r="B386" s="147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5"/>
      <c r="B387" s="148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6" t="s">
        <v>139</v>
      </c>
      <c r="Y392" s="142"/>
    </row>
    <row r="393" spans="1:25" ht="19.5" thickTop="1" x14ac:dyDescent="0.4">
      <c r="A393" s="143">
        <v>14</v>
      </c>
      <c r="B393" s="146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4"/>
      <c r="B394" s="147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4"/>
      <c r="B395" s="147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4"/>
      <c r="B396" s="147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4"/>
      <c r="B397" s="147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4"/>
      <c r="B398" s="147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4"/>
      <c r="B399" s="147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4"/>
      <c r="B400" s="147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4"/>
      <c r="B401" s="147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4"/>
      <c r="B402" s="147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4"/>
      <c r="B403" s="147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4"/>
      <c r="B404" s="147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4"/>
      <c r="B405" s="147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4"/>
      <c r="B406" s="147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4"/>
      <c r="B407" s="147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4"/>
      <c r="B408" s="147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4"/>
      <c r="B409" s="147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4"/>
      <c r="B410" s="147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4"/>
      <c r="B411" s="147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4"/>
      <c r="B412" s="147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4"/>
      <c r="B413" s="147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4"/>
      <c r="B414" s="147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4"/>
      <c r="B415" s="147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4"/>
      <c r="B416" s="147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5"/>
      <c r="B417" s="148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6" t="s">
        <v>140</v>
      </c>
      <c r="Y422" s="142"/>
    </row>
    <row r="423" spans="1:25" ht="19.5" thickTop="1" x14ac:dyDescent="0.4">
      <c r="A423" s="143">
        <v>15</v>
      </c>
      <c r="B423" s="146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4"/>
      <c r="B424" s="147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4"/>
      <c r="B425" s="147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4"/>
      <c r="B426" s="147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4"/>
      <c r="B427" s="147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4"/>
      <c r="B428" s="147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4"/>
      <c r="B429" s="147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4"/>
      <c r="B430" s="147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4"/>
      <c r="B431" s="147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4"/>
      <c r="B432" s="147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4"/>
      <c r="B433" s="147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4"/>
      <c r="B434" s="147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4"/>
      <c r="B435" s="147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4"/>
      <c r="B436" s="147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4"/>
      <c r="B437" s="147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4"/>
      <c r="B438" s="147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4"/>
      <c r="B439" s="147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4"/>
      <c r="B440" s="147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4"/>
      <c r="B441" s="147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4"/>
      <c r="B442" s="147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4"/>
      <c r="B443" s="147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4"/>
      <c r="B444" s="147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4"/>
      <c r="B445" s="147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4"/>
      <c r="B446" s="147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5"/>
      <c r="B447" s="148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6" t="s">
        <v>105</v>
      </c>
      <c r="Y451" s="142"/>
    </row>
    <row r="452" spans="1:25" ht="19.5" thickTop="1" x14ac:dyDescent="0.4">
      <c r="A452" s="143">
        <v>16</v>
      </c>
      <c r="B452" s="133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4"/>
      <c r="B453" s="134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4"/>
      <c r="B454" s="134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4"/>
      <c r="B455" s="134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4"/>
      <c r="B456" s="134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4"/>
      <c r="B457" s="134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4"/>
      <c r="B458" s="134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4"/>
      <c r="B459" s="134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4"/>
      <c r="B460" s="134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4"/>
      <c r="B461" s="134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4"/>
      <c r="B462" s="134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4"/>
      <c r="B463" s="134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4"/>
      <c r="B464" s="134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4"/>
      <c r="B465" s="134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4"/>
      <c r="B466" s="134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4"/>
      <c r="B467" s="134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4"/>
      <c r="B468" s="134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4"/>
      <c r="B469" s="134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4"/>
      <c r="B470" s="134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4"/>
      <c r="B471" s="134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4"/>
      <c r="B472" s="134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4"/>
      <c r="B473" s="134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4"/>
      <c r="B474" s="134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4"/>
      <c r="B475" s="134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5"/>
      <c r="B476" s="135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scale="14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57" t="s">
        <v>47</v>
      </c>
      <c r="C26" s="157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58"/>
      <c r="C27" s="158"/>
      <c r="D27" s="159">
        <f>SUM(D26:F26)</f>
        <v>116</v>
      </c>
      <c r="E27" s="159"/>
      <c r="F27" s="159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6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AM886"/>
  <sheetViews>
    <sheetView zoomScaleNormal="100" workbookViewId="0">
      <selection sqref="A1:D27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12" width="16.625" customWidth="1"/>
    <col min="13" max="13" width="11" customWidth="1"/>
    <col min="14" max="14" width="10.5" style="121" customWidth="1"/>
    <col min="15" max="15" width="10.25" style="121" customWidth="1"/>
    <col min="16" max="16" width="10.875" style="121" customWidth="1"/>
    <col min="17" max="30" width="16.625" customWidth="1"/>
    <col min="31" max="31" width="20.5" customWidth="1"/>
    <col min="36" max="36" width="12.375" customWidth="1"/>
    <col min="37" max="37" width="11.25" customWidth="1"/>
    <col min="38" max="38" width="10.5" customWidth="1"/>
    <col min="39" max="39" width="10.25" customWidth="1"/>
  </cols>
  <sheetData>
    <row r="1" spans="1:35" x14ac:dyDescent="0.4">
      <c r="A1" s="120" t="s">
        <v>200</v>
      </c>
      <c r="B1" s="121"/>
      <c r="C1" s="121"/>
      <c r="D1" s="121"/>
      <c r="G1" t="s">
        <v>143</v>
      </c>
      <c r="H1" t="s">
        <v>144</v>
      </c>
      <c r="M1" s="120"/>
      <c r="AE1" t="s">
        <v>143</v>
      </c>
      <c r="AF1" t="s">
        <v>144</v>
      </c>
    </row>
    <row r="2" spans="1:35" ht="19.5" x14ac:dyDescent="0.4">
      <c r="A2" s="116"/>
      <c r="B2" s="123" t="s">
        <v>146</v>
      </c>
      <c r="C2" s="123" t="s">
        <v>147</v>
      </c>
      <c r="D2" s="123" t="s">
        <v>148</v>
      </c>
      <c r="G2" s="25">
        <v>45536</v>
      </c>
      <c r="H2" s="13" t="s">
        <v>146</v>
      </c>
      <c r="M2" s="116"/>
      <c r="N2" s="123"/>
      <c r="O2" s="123"/>
      <c r="P2" s="123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25">
        <v>45258</v>
      </c>
      <c r="AF2" s="13" t="s">
        <v>162</v>
      </c>
      <c r="AI2" s="114"/>
    </row>
    <row r="3" spans="1:35" ht="19.5" x14ac:dyDescent="0.4">
      <c r="A3" s="117">
        <v>45543</v>
      </c>
      <c r="B3" s="123">
        <v>1</v>
      </c>
      <c r="C3" s="123"/>
      <c r="D3" s="123"/>
      <c r="G3" s="130" t="s">
        <v>354</v>
      </c>
      <c r="H3" s="13">
        <f>SUBTOTAL(3,H2:H2)</f>
        <v>1</v>
      </c>
      <c r="M3" s="116"/>
      <c r="N3" s="123"/>
      <c r="O3" s="123"/>
      <c r="P3" s="123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25"/>
      <c r="AF3" s="13"/>
      <c r="AI3" s="114"/>
    </row>
    <row r="4" spans="1:35" ht="19.5" x14ac:dyDescent="0.4">
      <c r="A4" s="117">
        <v>45544</v>
      </c>
      <c r="B4" s="123">
        <v>1</v>
      </c>
      <c r="C4" s="123"/>
      <c r="D4" s="123"/>
      <c r="F4" s="115"/>
      <c r="G4" s="25">
        <v>45543</v>
      </c>
      <c r="H4" s="13" t="s">
        <v>146</v>
      </c>
      <c r="M4" s="116"/>
      <c r="N4" s="123"/>
      <c r="O4" s="123"/>
      <c r="P4" s="123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25"/>
      <c r="AF4" s="13"/>
      <c r="AI4" s="114"/>
    </row>
    <row r="5" spans="1:35" ht="19.5" x14ac:dyDescent="0.4">
      <c r="A5" s="117">
        <v>45545</v>
      </c>
      <c r="B5" s="123"/>
      <c r="C5" s="123"/>
      <c r="D5" s="123">
        <v>1</v>
      </c>
      <c r="F5" s="115"/>
      <c r="G5" s="131" t="s">
        <v>372</v>
      </c>
      <c r="H5" s="13">
        <f>SUBTOTAL(3,H4:H4)</f>
        <v>1</v>
      </c>
      <c r="M5" s="116"/>
      <c r="N5" s="123"/>
      <c r="O5" s="123"/>
      <c r="P5" s="123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25"/>
      <c r="AF5" s="13"/>
      <c r="AI5" s="114"/>
    </row>
    <row r="6" spans="1:35" ht="19.5" x14ac:dyDescent="0.4">
      <c r="A6" s="117">
        <v>45546</v>
      </c>
      <c r="B6" s="123">
        <v>7</v>
      </c>
      <c r="C6" s="123">
        <v>2</v>
      </c>
      <c r="D6" s="123">
        <v>2</v>
      </c>
      <c r="G6" s="25">
        <v>45544</v>
      </c>
      <c r="H6" s="13" t="s">
        <v>146</v>
      </c>
      <c r="M6" s="117"/>
      <c r="N6" s="123"/>
      <c r="O6" s="123"/>
      <c r="P6" s="123"/>
      <c r="U6" s="115"/>
      <c r="V6" s="115"/>
      <c r="W6" s="115"/>
      <c r="X6" s="115"/>
      <c r="Y6" s="115"/>
      <c r="Z6" s="115"/>
      <c r="AA6" s="115"/>
      <c r="AB6" s="115"/>
      <c r="AC6" s="115"/>
      <c r="AD6" s="115" t="s">
        <v>149</v>
      </c>
      <c r="AE6" s="13">
        <f>SUBTOTAL(3,AE2:AE2)</f>
        <v>1</v>
      </c>
      <c r="AF6" s="13">
        <f>SUBTOTAL(3,AF2:AF2)</f>
        <v>1</v>
      </c>
      <c r="AI6" s="114"/>
    </row>
    <row r="7" spans="1:35" ht="19.5" x14ac:dyDescent="0.4">
      <c r="A7" s="117">
        <v>45550</v>
      </c>
      <c r="B7" s="123">
        <v>7</v>
      </c>
      <c r="C7" s="123">
        <v>5</v>
      </c>
      <c r="D7" s="123">
        <v>2</v>
      </c>
      <c r="G7" s="131" t="s">
        <v>355</v>
      </c>
      <c r="H7" s="13">
        <f>SUBTOTAL(3,H6:H6)</f>
        <v>1</v>
      </c>
      <c r="M7" s="117"/>
      <c r="N7" s="123"/>
      <c r="O7" s="123"/>
      <c r="P7" s="123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3"/>
      <c r="AF7" s="13"/>
      <c r="AI7" s="114"/>
    </row>
    <row r="8" spans="1:35" ht="19.5" x14ac:dyDescent="0.4">
      <c r="A8" s="117">
        <v>45551</v>
      </c>
      <c r="B8" s="123">
        <v>1</v>
      </c>
      <c r="C8" s="123">
        <v>1</v>
      </c>
      <c r="D8" s="123">
        <v>2</v>
      </c>
      <c r="F8" s="115"/>
      <c r="G8" s="25">
        <v>45545</v>
      </c>
      <c r="H8" s="13" t="s">
        <v>148</v>
      </c>
      <c r="M8" s="117"/>
      <c r="N8" s="123"/>
      <c r="O8" s="123"/>
      <c r="P8" s="123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3"/>
      <c r="AF8" s="13"/>
      <c r="AI8" s="114"/>
    </row>
    <row r="9" spans="1:35" ht="19.5" x14ac:dyDescent="0.4">
      <c r="A9" s="117">
        <v>45552</v>
      </c>
      <c r="B9" s="123">
        <v>12</v>
      </c>
      <c r="C9" s="123"/>
      <c r="D9" s="123"/>
      <c r="F9" s="115"/>
      <c r="G9" s="131" t="s">
        <v>373</v>
      </c>
      <c r="H9" s="13">
        <f>SUBTOTAL(3,H8:H8)</f>
        <v>1</v>
      </c>
      <c r="M9" s="117"/>
      <c r="N9" s="123"/>
      <c r="O9" s="123"/>
      <c r="P9" s="123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3"/>
      <c r="AF9" s="13"/>
      <c r="AI9" s="114"/>
    </row>
    <row r="10" spans="1:35" ht="19.5" x14ac:dyDescent="0.4">
      <c r="A10" s="117">
        <v>45553</v>
      </c>
      <c r="B10" s="123">
        <v>2</v>
      </c>
      <c r="C10" s="123">
        <v>2</v>
      </c>
      <c r="D10" s="123">
        <v>1</v>
      </c>
      <c r="G10" s="25">
        <v>45546</v>
      </c>
      <c r="H10" s="13" t="s">
        <v>146</v>
      </c>
      <c r="M10" s="117"/>
      <c r="N10" s="123"/>
      <c r="O10" s="123"/>
      <c r="P10" s="123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25">
        <v>45263</v>
      </c>
      <c r="AF10" s="13" t="s">
        <v>162</v>
      </c>
      <c r="AI10" s="114"/>
    </row>
    <row r="11" spans="1:35" ht="19.5" x14ac:dyDescent="0.4">
      <c r="A11" s="117">
        <v>45554</v>
      </c>
      <c r="B11" s="123">
        <v>1</v>
      </c>
      <c r="C11" s="123">
        <v>2</v>
      </c>
      <c r="D11" s="123">
        <v>1</v>
      </c>
      <c r="G11" s="25">
        <v>45546</v>
      </c>
      <c r="H11" s="13" t="s">
        <v>146</v>
      </c>
      <c r="M11" s="117"/>
      <c r="N11" s="123"/>
      <c r="O11" s="123"/>
      <c r="P11" s="123"/>
      <c r="U11" s="115"/>
      <c r="V11" s="115"/>
      <c r="W11" s="115"/>
      <c r="X11" s="115"/>
      <c r="Y11" s="115"/>
      <c r="Z11" s="115"/>
      <c r="AA11" s="115"/>
      <c r="AB11" s="115"/>
      <c r="AC11" s="115"/>
      <c r="AD11" s="115" t="s">
        <v>150</v>
      </c>
      <c r="AE11" s="13">
        <f>SUBTOTAL(3,AE10:AE10)</f>
        <v>1</v>
      </c>
      <c r="AF11" s="13">
        <f>SUBTOTAL(3,AF10:AF10)</f>
        <v>1</v>
      </c>
      <c r="AI11" s="114"/>
    </row>
    <row r="12" spans="1:35" ht="19.5" x14ac:dyDescent="0.4">
      <c r="A12" s="117">
        <v>45555</v>
      </c>
      <c r="B12" s="123"/>
      <c r="C12" s="123">
        <v>1</v>
      </c>
      <c r="D12" s="123"/>
      <c r="G12" s="25">
        <v>45546</v>
      </c>
      <c r="H12" s="13" t="s">
        <v>148</v>
      </c>
      <c r="M12" s="117"/>
      <c r="N12" s="123"/>
      <c r="O12" s="123"/>
      <c r="P12" s="123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25">
        <v>45264</v>
      </c>
      <c r="AF12" s="13" t="s">
        <v>162</v>
      </c>
      <c r="AI12" s="114"/>
    </row>
    <row r="13" spans="1:35" ht="19.5" x14ac:dyDescent="0.4">
      <c r="A13" s="117">
        <v>45556</v>
      </c>
      <c r="B13" s="123"/>
      <c r="C13" s="123">
        <v>1</v>
      </c>
      <c r="D13" s="123"/>
      <c r="G13" s="25">
        <v>45546</v>
      </c>
      <c r="H13" s="13" t="s">
        <v>146</v>
      </c>
      <c r="M13" s="117"/>
      <c r="N13" s="123"/>
      <c r="O13" s="123"/>
      <c r="P13" s="123"/>
      <c r="U13" s="115"/>
      <c r="V13" s="115"/>
      <c r="W13" s="115"/>
      <c r="X13" s="115"/>
      <c r="Y13" s="115"/>
      <c r="Z13" s="115"/>
      <c r="AA13" s="115"/>
      <c r="AB13" s="115"/>
      <c r="AC13" s="115"/>
      <c r="AD13" s="115" t="s">
        <v>154</v>
      </c>
      <c r="AE13" s="13">
        <f>SUBTOTAL(3,AE12:AE12)</f>
        <v>1</v>
      </c>
      <c r="AF13" s="13">
        <f>SUBTOTAL(3,AF12:AF12)</f>
        <v>1</v>
      </c>
      <c r="AI13" s="114"/>
    </row>
    <row r="14" spans="1:35" ht="19.5" x14ac:dyDescent="0.4">
      <c r="A14" s="117">
        <v>45557</v>
      </c>
      <c r="B14" s="123">
        <v>4</v>
      </c>
      <c r="C14" s="123">
        <v>13</v>
      </c>
      <c r="D14" s="123">
        <v>8</v>
      </c>
      <c r="G14" s="25">
        <v>45546</v>
      </c>
      <c r="H14" s="13" t="s">
        <v>148</v>
      </c>
      <c r="M14" s="117"/>
      <c r="N14" s="123"/>
      <c r="O14" s="123"/>
      <c r="P14" s="123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25">
        <v>45265</v>
      </c>
      <c r="AF14" s="13" t="s">
        <v>162</v>
      </c>
      <c r="AI14" s="114"/>
    </row>
    <row r="15" spans="1:35" ht="19.5" x14ac:dyDescent="0.4">
      <c r="A15" s="117">
        <v>45558</v>
      </c>
      <c r="B15" s="123">
        <v>4</v>
      </c>
      <c r="C15" s="123">
        <v>2</v>
      </c>
      <c r="D15" s="123">
        <v>2</v>
      </c>
      <c r="G15" s="25">
        <v>45546</v>
      </c>
      <c r="H15" s="13" t="s">
        <v>146</v>
      </c>
      <c r="M15" s="117"/>
      <c r="N15" s="123"/>
      <c r="O15" s="123"/>
      <c r="P15" s="123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25">
        <v>45265</v>
      </c>
      <c r="AF15" s="25" t="s">
        <v>162</v>
      </c>
      <c r="AI15" s="114"/>
    </row>
    <row r="16" spans="1:35" ht="19.5" x14ac:dyDescent="0.4">
      <c r="A16" s="117">
        <v>45559</v>
      </c>
      <c r="B16" s="123">
        <v>4</v>
      </c>
      <c r="C16" s="123">
        <v>5</v>
      </c>
      <c r="D16" s="123">
        <v>2</v>
      </c>
      <c r="G16" s="25">
        <v>45546</v>
      </c>
      <c r="H16" s="13" t="s">
        <v>146</v>
      </c>
      <c r="M16" s="117"/>
      <c r="N16" s="123"/>
      <c r="O16" s="123"/>
      <c r="P16" s="123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25">
        <v>45265</v>
      </c>
      <c r="AF16" s="13" t="s">
        <v>162</v>
      </c>
      <c r="AI16" s="114"/>
    </row>
    <row r="17" spans="1:35" ht="19.5" x14ac:dyDescent="0.4">
      <c r="A17" s="117">
        <v>45560</v>
      </c>
      <c r="B17" s="123">
        <v>1</v>
      </c>
      <c r="C17" s="123">
        <v>1</v>
      </c>
      <c r="D17" s="123">
        <v>1</v>
      </c>
      <c r="G17" s="25">
        <v>45546</v>
      </c>
      <c r="H17" s="13" t="s">
        <v>142</v>
      </c>
      <c r="M17" s="117"/>
      <c r="N17" s="123"/>
      <c r="O17" s="123"/>
      <c r="P17" s="123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25">
        <v>45265</v>
      </c>
      <c r="AF17" s="13" t="s">
        <v>162</v>
      </c>
      <c r="AI17" s="114"/>
    </row>
    <row r="18" spans="1:35" ht="19.5" x14ac:dyDescent="0.4">
      <c r="A18" s="117">
        <v>45561</v>
      </c>
      <c r="B18" s="123">
        <v>2</v>
      </c>
      <c r="C18" s="123">
        <v>3</v>
      </c>
      <c r="D18" s="123">
        <v>1</v>
      </c>
      <c r="G18" s="25">
        <v>45546</v>
      </c>
      <c r="H18" s="13" t="s">
        <v>146</v>
      </c>
      <c r="M18" s="117"/>
      <c r="N18" s="123"/>
      <c r="O18" s="123"/>
      <c r="P18" s="123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25">
        <v>45265</v>
      </c>
      <c r="AF18" s="13" t="s">
        <v>163</v>
      </c>
      <c r="AI18" s="114"/>
    </row>
    <row r="19" spans="1:35" ht="19.5" x14ac:dyDescent="0.4">
      <c r="A19" s="117">
        <v>45563</v>
      </c>
      <c r="B19" s="123">
        <v>10</v>
      </c>
      <c r="C19" s="123">
        <v>7</v>
      </c>
      <c r="D19" s="123">
        <v>1</v>
      </c>
      <c r="G19" s="25">
        <v>45546</v>
      </c>
      <c r="H19" s="13" t="s">
        <v>147</v>
      </c>
      <c r="M19" s="117"/>
      <c r="N19" s="123"/>
      <c r="O19" s="123"/>
      <c r="P19" s="123"/>
      <c r="U19" s="115"/>
      <c r="V19" s="115"/>
      <c r="W19" s="115"/>
      <c r="X19" s="115"/>
      <c r="Y19" s="115"/>
      <c r="Z19" s="115"/>
      <c r="AA19" s="115"/>
      <c r="AB19" s="115"/>
      <c r="AC19" s="115"/>
      <c r="AD19" s="115" t="s">
        <v>155</v>
      </c>
      <c r="AE19" s="13">
        <f>SUBTOTAL(3,AE14:AE18)</f>
        <v>5</v>
      </c>
      <c r="AF19" s="13">
        <f>SUBTOTAL(3,AF14:AF18)</f>
        <v>5</v>
      </c>
      <c r="AI19" s="114"/>
    </row>
    <row r="20" spans="1:35" ht="19.5" x14ac:dyDescent="0.4">
      <c r="A20" s="117">
        <v>45565</v>
      </c>
      <c r="B20" s="123">
        <v>4</v>
      </c>
      <c r="C20" s="123">
        <v>1</v>
      </c>
      <c r="D20" s="123"/>
      <c r="F20" s="115"/>
      <c r="G20" s="25">
        <v>45546</v>
      </c>
      <c r="H20" s="13" t="s">
        <v>147</v>
      </c>
      <c r="M20" s="117"/>
      <c r="N20" s="123"/>
      <c r="O20" s="123"/>
      <c r="P20" s="123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3"/>
      <c r="AF20" s="13"/>
      <c r="AI20" s="114"/>
    </row>
    <row r="21" spans="1:35" ht="19.5" x14ac:dyDescent="0.4">
      <c r="A21" s="117">
        <v>45566</v>
      </c>
      <c r="B21" s="123"/>
      <c r="C21" s="123">
        <v>2</v>
      </c>
      <c r="D21" s="123"/>
      <c r="F21" s="115"/>
      <c r="G21" s="131" t="s">
        <v>356</v>
      </c>
      <c r="H21" s="13">
        <f>SUBTOTAL(3,H10:H20)</f>
        <v>11</v>
      </c>
      <c r="M21" s="117"/>
      <c r="N21" s="123"/>
      <c r="O21" s="123"/>
      <c r="P21" s="123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3"/>
      <c r="AF21" s="13"/>
      <c r="AI21" s="114"/>
    </row>
    <row r="22" spans="1:35" ht="19.5" x14ac:dyDescent="0.4">
      <c r="A22" s="117">
        <v>45567</v>
      </c>
      <c r="B22" s="123">
        <v>6</v>
      </c>
      <c r="C22" s="123"/>
      <c r="D22" s="123"/>
      <c r="G22" s="25">
        <v>45550</v>
      </c>
      <c r="H22" s="13" t="s">
        <v>147</v>
      </c>
      <c r="M22" s="117"/>
      <c r="N22" s="123"/>
      <c r="O22" s="123"/>
      <c r="P22" s="123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25">
        <v>45266</v>
      </c>
      <c r="AF22" s="25" t="s">
        <v>162</v>
      </c>
      <c r="AI22" s="114"/>
    </row>
    <row r="23" spans="1:35" ht="19.5" x14ac:dyDescent="0.4">
      <c r="A23" s="117">
        <v>45568</v>
      </c>
      <c r="B23" s="123">
        <v>1</v>
      </c>
      <c r="C23" s="123">
        <v>2</v>
      </c>
      <c r="D23" s="123"/>
      <c r="G23" s="25">
        <v>45550</v>
      </c>
      <c r="H23" s="13" t="s">
        <v>146</v>
      </c>
      <c r="M23" s="117"/>
      <c r="N23" s="123"/>
      <c r="O23" s="123"/>
      <c r="P23" s="123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 t="s">
        <v>156</v>
      </c>
      <c r="AE23" s="13">
        <f>SUBTOTAL(3,AE22:AE22)</f>
        <v>1</v>
      </c>
      <c r="AF23" s="13">
        <f>SUBTOTAL(3,AF22:AF22)</f>
        <v>1</v>
      </c>
      <c r="AI23" s="114"/>
    </row>
    <row r="24" spans="1:35" ht="19.5" x14ac:dyDescent="0.4">
      <c r="A24" s="117">
        <v>45573</v>
      </c>
      <c r="B24" s="123">
        <v>4</v>
      </c>
      <c r="C24" s="123"/>
      <c r="D24" s="123"/>
      <c r="G24" s="25">
        <v>45550</v>
      </c>
      <c r="H24" s="13" t="s">
        <v>147</v>
      </c>
      <c r="M24" s="117"/>
      <c r="N24" s="123"/>
      <c r="O24" s="123"/>
      <c r="P24" s="123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25">
        <v>45267</v>
      </c>
      <c r="AF24" s="13" t="s">
        <v>142</v>
      </c>
      <c r="AI24" s="114"/>
    </row>
    <row r="25" spans="1:35" ht="19.5" x14ac:dyDescent="0.4">
      <c r="A25" s="117">
        <v>45583</v>
      </c>
      <c r="B25" s="123"/>
      <c r="C25" s="123"/>
      <c r="D25" s="123">
        <v>1</v>
      </c>
      <c r="G25" s="25">
        <v>45550</v>
      </c>
      <c r="H25" s="13" t="s">
        <v>147</v>
      </c>
      <c r="M25" s="117"/>
      <c r="N25" s="123"/>
      <c r="O25" s="123"/>
      <c r="P25" s="123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 t="s">
        <v>157</v>
      </c>
      <c r="AE25" s="13">
        <f>SUBTOTAL(3,AE24:AE24)</f>
        <v>1</v>
      </c>
      <c r="AF25" s="13">
        <f>SUBTOTAL(3,AF24:AF24)</f>
        <v>1</v>
      </c>
      <c r="AI25" s="114"/>
    </row>
    <row r="26" spans="1:35" ht="19.5" x14ac:dyDescent="0.4">
      <c r="A26" s="117"/>
      <c r="B26" s="123">
        <f>SUM(B3:B25)</f>
        <v>72</v>
      </c>
      <c r="C26" s="123">
        <f>SUM(C3:C25)</f>
        <v>50</v>
      </c>
      <c r="D26" s="123">
        <f>SUM(D3:D25)</f>
        <v>25</v>
      </c>
      <c r="G26" s="25">
        <v>45550</v>
      </c>
      <c r="H26" s="13" t="s">
        <v>148</v>
      </c>
      <c r="M26" s="117"/>
      <c r="N26" s="123"/>
      <c r="O26" s="123"/>
      <c r="P26" s="123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25">
        <v>45268</v>
      </c>
      <c r="AF26" s="13" t="s">
        <v>162</v>
      </c>
      <c r="AI26" s="114"/>
    </row>
    <row r="27" spans="1:35" ht="19.5" x14ac:dyDescent="0.4">
      <c r="A27" s="117"/>
      <c r="B27" s="123"/>
      <c r="C27" s="123"/>
      <c r="D27" s="123">
        <f>SUM(B26:D26)</f>
        <v>147</v>
      </c>
      <c r="G27" s="25">
        <v>45550</v>
      </c>
      <c r="H27" s="13" t="s">
        <v>147</v>
      </c>
      <c r="M27" s="117"/>
      <c r="N27" s="123"/>
      <c r="O27" s="123"/>
      <c r="P27" s="123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25">
        <v>45268</v>
      </c>
      <c r="AF27" s="13" t="s">
        <v>162</v>
      </c>
      <c r="AI27" s="114"/>
    </row>
    <row r="28" spans="1:35" ht="19.5" x14ac:dyDescent="0.4">
      <c r="A28" s="117"/>
      <c r="B28" s="123"/>
      <c r="C28" s="123"/>
      <c r="D28" s="123"/>
      <c r="G28" s="25">
        <v>45550</v>
      </c>
      <c r="H28" s="13" t="s">
        <v>146</v>
      </c>
      <c r="M28" s="117"/>
      <c r="N28" s="123"/>
      <c r="O28" s="123"/>
      <c r="P28" s="123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25">
        <v>45268</v>
      </c>
      <c r="AF28" s="13" t="s">
        <v>163</v>
      </c>
      <c r="AI28" s="114"/>
    </row>
    <row r="29" spans="1:35" ht="19.5" x14ac:dyDescent="0.4">
      <c r="A29" s="117"/>
      <c r="B29" s="123"/>
      <c r="C29" s="123"/>
      <c r="D29" s="123"/>
      <c r="G29" s="25">
        <v>45550</v>
      </c>
      <c r="H29" s="25" t="s">
        <v>146</v>
      </c>
      <c r="M29" s="117"/>
      <c r="N29" s="123"/>
      <c r="O29" s="123"/>
      <c r="P29" s="123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25">
        <v>45268</v>
      </c>
      <c r="AF29" s="13" t="s">
        <v>163</v>
      </c>
      <c r="AI29" s="114"/>
    </row>
    <row r="30" spans="1:35" ht="19.5" x14ac:dyDescent="0.4">
      <c r="A30" s="117"/>
      <c r="B30" s="123"/>
      <c r="C30" s="123"/>
      <c r="D30" s="123"/>
      <c r="G30" s="25">
        <v>45550</v>
      </c>
      <c r="H30" s="13" t="s">
        <v>146</v>
      </c>
      <c r="M30" s="117"/>
      <c r="N30" s="123"/>
      <c r="O30" s="123"/>
      <c r="P30" s="123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 t="s">
        <v>158</v>
      </c>
      <c r="AE30" s="13">
        <f>SUBTOTAL(3,AE26:AE29)</f>
        <v>4</v>
      </c>
      <c r="AF30" s="13">
        <f>SUBTOTAL(3,AF26:AF29)</f>
        <v>4</v>
      </c>
      <c r="AI30" s="114"/>
    </row>
    <row r="31" spans="1:35" ht="19.5" x14ac:dyDescent="0.4">
      <c r="A31" s="117"/>
      <c r="B31" s="123"/>
      <c r="C31" s="123"/>
      <c r="D31" s="123"/>
      <c r="G31" s="25">
        <v>45550</v>
      </c>
      <c r="H31" s="13" t="s">
        <v>142</v>
      </c>
      <c r="M31" s="117"/>
      <c r="N31" s="123"/>
      <c r="O31" s="123"/>
      <c r="P31" s="123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25">
        <v>45269</v>
      </c>
      <c r="AF31" s="13" t="s">
        <v>163</v>
      </c>
      <c r="AI31" s="114"/>
    </row>
    <row r="32" spans="1:35" ht="19.5" x14ac:dyDescent="0.4">
      <c r="A32" s="117"/>
      <c r="B32" s="123"/>
      <c r="C32" s="123"/>
      <c r="D32" s="123"/>
      <c r="G32" s="25">
        <v>45550</v>
      </c>
      <c r="H32" s="13" t="s">
        <v>146</v>
      </c>
      <c r="M32" s="117"/>
      <c r="N32" s="123"/>
      <c r="O32" s="123"/>
      <c r="P32" s="123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25">
        <v>45269</v>
      </c>
      <c r="AF32" s="13" t="s">
        <v>163</v>
      </c>
      <c r="AI32" s="114"/>
    </row>
    <row r="33" spans="1:35" ht="19.5" x14ac:dyDescent="0.4">
      <c r="A33" s="117"/>
      <c r="B33" s="123"/>
      <c r="C33" s="123"/>
      <c r="D33" s="123"/>
      <c r="G33" s="25">
        <v>45550</v>
      </c>
      <c r="H33" s="13" t="s">
        <v>146</v>
      </c>
      <c r="M33" s="117"/>
      <c r="N33" s="123"/>
      <c r="O33" s="123"/>
      <c r="P33" s="123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 t="s">
        <v>159</v>
      </c>
      <c r="AE33" s="13">
        <f>SUBTOTAL(3,AE31:AE32)</f>
        <v>2</v>
      </c>
      <c r="AF33" s="13">
        <f>SUBTOTAL(3,AF31:AF32)</f>
        <v>2</v>
      </c>
      <c r="AI33" s="114"/>
    </row>
    <row r="34" spans="1:35" ht="19.5" x14ac:dyDescent="0.4">
      <c r="A34" s="117"/>
      <c r="B34" s="123"/>
      <c r="C34" s="123"/>
      <c r="D34" s="123"/>
      <c r="F34" s="115"/>
      <c r="G34" s="25">
        <v>45550</v>
      </c>
      <c r="H34" s="13" t="s">
        <v>147</v>
      </c>
      <c r="M34" s="117"/>
      <c r="N34" s="123"/>
      <c r="O34" s="123"/>
      <c r="P34" s="123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3"/>
      <c r="AF34" s="13"/>
      <c r="AI34" s="114"/>
    </row>
    <row r="35" spans="1:35" ht="19.5" x14ac:dyDescent="0.4">
      <c r="A35" s="117"/>
      <c r="B35" s="123"/>
      <c r="C35" s="123"/>
      <c r="D35" s="123"/>
      <c r="G35" s="25">
        <v>45550</v>
      </c>
      <c r="H35" s="13" t="s">
        <v>148</v>
      </c>
      <c r="M35" s="117"/>
      <c r="N35" s="123"/>
      <c r="O35" s="123"/>
      <c r="P35" s="123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25">
        <v>45270</v>
      </c>
      <c r="AF35" s="13" t="s">
        <v>164</v>
      </c>
      <c r="AI35" s="114"/>
    </row>
    <row r="36" spans="1:35" ht="19.5" x14ac:dyDescent="0.4">
      <c r="A36" s="117"/>
      <c r="B36" s="123"/>
      <c r="C36" s="123"/>
      <c r="D36" s="123"/>
      <c r="G36" s="131" t="s">
        <v>357</v>
      </c>
      <c r="H36" s="13">
        <f>SUBTOTAL(3,H22:H35)</f>
        <v>14</v>
      </c>
      <c r="M36" s="117"/>
      <c r="N36" s="123"/>
      <c r="O36" s="123"/>
      <c r="P36" s="123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25"/>
      <c r="AF36" s="13"/>
      <c r="AI36" s="114"/>
    </row>
    <row r="37" spans="1:35" ht="19.5" x14ac:dyDescent="0.4">
      <c r="A37" s="117"/>
      <c r="B37" s="123"/>
      <c r="C37" s="123"/>
      <c r="D37" s="123"/>
      <c r="G37" s="25">
        <v>45551</v>
      </c>
      <c r="H37" s="13" t="s">
        <v>148</v>
      </c>
      <c r="M37" s="117"/>
      <c r="N37" s="123"/>
      <c r="O37" s="123"/>
      <c r="P37" s="123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25">
        <v>45270</v>
      </c>
      <c r="AF37" s="13" t="s">
        <v>164</v>
      </c>
      <c r="AI37" s="114"/>
    </row>
    <row r="38" spans="1:35" ht="19.5" x14ac:dyDescent="0.4">
      <c r="A38" s="117"/>
      <c r="B38" s="123"/>
      <c r="C38" s="123"/>
      <c r="D38" s="123"/>
      <c r="F38" s="115"/>
      <c r="G38" s="25">
        <v>45551</v>
      </c>
      <c r="H38" s="15" t="s">
        <v>147</v>
      </c>
      <c r="M38" s="117"/>
      <c r="N38" s="123"/>
      <c r="O38" s="123"/>
      <c r="P38" s="123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25"/>
      <c r="AF38" s="13"/>
      <c r="AI38" s="114"/>
    </row>
    <row r="39" spans="1:35" ht="19.5" x14ac:dyDescent="0.4">
      <c r="A39" s="117"/>
      <c r="B39" s="123"/>
      <c r="C39" s="123"/>
      <c r="D39" s="123"/>
      <c r="G39" s="25">
        <v>45551</v>
      </c>
      <c r="H39" s="15" t="s">
        <v>146</v>
      </c>
      <c r="M39" s="117"/>
      <c r="N39" s="123"/>
      <c r="O39" s="123"/>
      <c r="P39" s="123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25">
        <v>45270</v>
      </c>
      <c r="AF39" s="13" t="s">
        <v>162</v>
      </c>
      <c r="AI39" s="114"/>
    </row>
    <row r="40" spans="1:35" ht="19.5" x14ac:dyDescent="0.4">
      <c r="A40" s="117"/>
      <c r="B40" s="123"/>
      <c r="C40" s="123"/>
      <c r="D40" s="123"/>
      <c r="G40" s="25">
        <v>45551</v>
      </c>
      <c r="H40" s="15" t="s">
        <v>148</v>
      </c>
      <c r="M40" s="117"/>
      <c r="N40" s="123"/>
      <c r="O40" s="123"/>
      <c r="P40" s="123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25">
        <v>45270</v>
      </c>
      <c r="AF40" s="13" t="s">
        <v>162</v>
      </c>
      <c r="AI40" s="114"/>
    </row>
    <row r="41" spans="1:35" ht="19.5" x14ac:dyDescent="0.4">
      <c r="A41" s="117"/>
      <c r="B41" s="123"/>
      <c r="C41" s="123"/>
      <c r="D41" s="123"/>
      <c r="G41" s="131" t="s">
        <v>358</v>
      </c>
      <c r="H41" s="15">
        <f>SUBTOTAL(3,H37:H40)</f>
        <v>4</v>
      </c>
      <c r="M41" s="117"/>
      <c r="N41" s="123"/>
      <c r="O41" s="123"/>
      <c r="P41" s="123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25"/>
      <c r="AF41" s="13"/>
      <c r="AI41" s="114"/>
    </row>
    <row r="42" spans="1:35" ht="19.5" x14ac:dyDescent="0.4">
      <c r="A42" s="117"/>
      <c r="B42" s="123"/>
      <c r="C42" s="123"/>
      <c r="D42" s="123"/>
      <c r="G42" s="25">
        <v>45552</v>
      </c>
      <c r="H42" s="15" t="s">
        <v>146</v>
      </c>
      <c r="M42" s="117"/>
      <c r="N42" s="123"/>
      <c r="O42" s="123"/>
      <c r="P42" s="123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25">
        <v>45270</v>
      </c>
      <c r="AF42" s="13" t="s">
        <v>163</v>
      </c>
      <c r="AI42" s="114"/>
    </row>
    <row r="43" spans="1:35" ht="19.5" x14ac:dyDescent="0.4">
      <c r="A43" s="117"/>
      <c r="B43" s="123"/>
      <c r="C43" s="123"/>
      <c r="D43" s="123"/>
      <c r="G43" s="25">
        <v>45552</v>
      </c>
      <c r="H43" s="15" t="s">
        <v>146</v>
      </c>
      <c r="M43" s="117"/>
      <c r="N43" s="123"/>
      <c r="O43" s="123"/>
      <c r="P43" s="123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 t="s">
        <v>151</v>
      </c>
      <c r="AE43" s="13">
        <f>SUBTOTAL(3,AE35:AE42)</f>
        <v>5</v>
      </c>
      <c r="AF43" s="13">
        <f>SUBTOTAL(3,AF35:AF42)</f>
        <v>5</v>
      </c>
      <c r="AI43" s="114"/>
    </row>
    <row r="44" spans="1:35" ht="19.5" x14ac:dyDescent="0.4">
      <c r="A44" s="117"/>
      <c r="B44" s="123"/>
      <c r="C44" s="123"/>
      <c r="D44" s="123"/>
      <c r="G44" s="25">
        <v>45552</v>
      </c>
      <c r="H44" s="15" t="s">
        <v>146</v>
      </c>
      <c r="M44" s="117"/>
      <c r="N44" s="123"/>
      <c r="O44" s="123"/>
      <c r="P44" s="123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25">
        <v>45271</v>
      </c>
      <c r="AF44" s="13" t="s">
        <v>162</v>
      </c>
      <c r="AI44" s="114"/>
    </row>
    <row r="45" spans="1:35" ht="19.5" x14ac:dyDescent="0.4">
      <c r="A45" s="117"/>
      <c r="B45" s="123"/>
      <c r="C45" s="123"/>
      <c r="D45" s="123"/>
      <c r="G45" s="25">
        <v>45552</v>
      </c>
      <c r="H45" s="15" t="s">
        <v>146</v>
      </c>
      <c r="M45" s="117"/>
      <c r="N45" s="123"/>
      <c r="O45" s="123"/>
      <c r="P45" s="123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25">
        <v>45271</v>
      </c>
      <c r="AF45" s="13" t="s">
        <v>163</v>
      </c>
      <c r="AI45" s="114"/>
    </row>
    <row r="46" spans="1:35" ht="19.5" x14ac:dyDescent="0.4">
      <c r="A46" s="117"/>
      <c r="B46" s="123"/>
      <c r="C46" s="123"/>
      <c r="D46" s="123"/>
      <c r="G46" s="25">
        <v>45552</v>
      </c>
      <c r="H46" s="15" t="s">
        <v>146</v>
      </c>
      <c r="M46" s="117"/>
      <c r="N46" s="123"/>
      <c r="O46" s="123"/>
      <c r="P46" s="123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25">
        <v>45271</v>
      </c>
      <c r="AF46" s="13" t="s">
        <v>163</v>
      </c>
      <c r="AI46" s="114"/>
    </row>
    <row r="47" spans="1:35" ht="19.5" x14ac:dyDescent="0.4">
      <c r="A47" s="117"/>
      <c r="B47" s="123"/>
      <c r="C47" s="123"/>
      <c r="D47" s="123"/>
      <c r="G47" s="25">
        <v>45552</v>
      </c>
      <c r="H47" s="15" t="s">
        <v>146</v>
      </c>
      <c r="M47" s="117"/>
      <c r="N47" s="123"/>
      <c r="O47" s="123"/>
      <c r="P47" s="123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 t="s">
        <v>165</v>
      </c>
      <c r="AE47" s="13">
        <f>SUBTOTAL(3,AE44:AE46)</f>
        <v>3</v>
      </c>
      <c r="AF47" s="13">
        <f>SUBTOTAL(3,AF44:AF46)</f>
        <v>3</v>
      </c>
      <c r="AI47" s="114"/>
    </row>
    <row r="48" spans="1:35" ht="19.5" x14ac:dyDescent="0.4">
      <c r="A48" s="117"/>
      <c r="B48" s="123"/>
      <c r="C48" s="123"/>
      <c r="D48" s="123"/>
      <c r="G48" s="25">
        <v>45552</v>
      </c>
      <c r="H48" s="15" t="s">
        <v>146</v>
      </c>
      <c r="M48" s="117"/>
      <c r="N48" s="123"/>
      <c r="O48" s="123"/>
      <c r="P48" s="123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25">
        <v>45272</v>
      </c>
      <c r="AF48" s="13" t="s">
        <v>162</v>
      </c>
      <c r="AI48" s="114"/>
    </row>
    <row r="49" spans="1:35" ht="19.5" x14ac:dyDescent="0.4">
      <c r="A49" s="117"/>
      <c r="B49" s="123"/>
      <c r="C49" s="123"/>
      <c r="D49" s="123"/>
      <c r="G49" s="25">
        <v>45552</v>
      </c>
      <c r="H49" s="15" t="s">
        <v>146</v>
      </c>
      <c r="M49" s="117"/>
      <c r="N49" s="123"/>
      <c r="O49" s="123"/>
      <c r="P49" s="123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25">
        <v>45272</v>
      </c>
      <c r="AF49" s="13" t="s">
        <v>162</v>
      </c>
      <c r="AI49" s="114"/>
    </row>
    <row r="50" spans="1:35" ht="19.5" x14ac:dyDescent="0.4">
      <c r="A50" s="117"/>
      <c r="B50" s="123"/>
      <c r="C50" s="123"/>
      <c r="D50" s="123"/>
      <c r="G50" s="25">
        <v>45552</v>
      </c>
      <c r="H50" s="105" t="s">
        <v>146</v>
      </c>
      <c r="M50" s="117"/>
      <c r="N50" s="123"/>
      <c r="O50" s="123"/>
      <c r="P50" s="123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25">
        <v>45272</v>
      </c>
      <c r="AF50" s="13" t="s">
        <v>162</v>
      </c>
      <c r="AI50" s="114"/>
    </row>
    <row r="51" spans="1:35" ht="19.5" x14ac:dyDescent="0.4">
      <c r="A51" s="125"/>
      <c r="B51" s="126"/>
      <c r="C51" s="126"/>
      <c r="D51" s="126"/>
      <c r="F51" s="115"/>
      <c r="G51" s="25">
        <v>45552</v>
      </c>
      <c r="H51" s="105" t="s">
        <v>146</v>
      </c>
      <c r="M51" s="117"/>
      <c r="N51" s="123"/>
      <c r="O51" s="123"/>
      <c r="P51" s="123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25"/>
      <c r="AF51" s="13"/>
      <c r="AI51" s="114"/>
    </row>
    <row r="52" spans="1:35" ht="19.5" x14ac:dyDescent="0.4">
      <c r="G52" s="25">
        <v>45552</v>
      </c>
      <c r="H52" s="15" t="s">
        <v>146</v>
      </c>
      <c r="M52" s="117"/>
      <c r="N52" s="123"/>
      <c r="O52" s="123"/>
      <c r="P52" s="123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25">
        <v>45272</v>
      </c>
      <c r="AF52" s="13" t="s">
        <v>162</v>
      </c>
      <c r="AI52" s="114"/>
    </row>
    <row r="53" spans="1:35" ht="19.5" x14ac:dyDescent="0.4">
      <c r="G53" s="131" t="s">
        <v>359</v>
      </c>
      <c r="H53" s="13">
        <f>SUBTOTAL(3,H42:H52)</f>
        <v>11</v>
      </c>
      <c r="M53" s="117"/>
      <c r="N53" s="123"/>
      <c r="O53" s="123"/>
      <c r="P53" s="123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25"/>
      <c r="AF53" s="13"/>
      <c r="AI53" s="114"/>
    </row>
    <row r="54" spans="1:35" ht="19.5" x14ac:dyDescent="0.4">
      <c r="G54" s="25">
        <v>45553</v>
      </c>
      <c r="H54" s="13" t="s">
        <v>147</v>
      </c>
      <c r="M54" s="117"/>
      <c r="N54" s="123"/>
      <c r="O54" s="123"/>
      <c r="P54" s="123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25">
        <v>45272</v>
      </c>
      <c r="AF54" s="13" t="s">
        <v>162</v>
      </c>
      <c r="AI54" s="114"/>
    </row>
    <row r="55" spans="1:35" ht="19.5" x14ac:dyDescent="0.4">
      <c r="G55" s="25">
        <v>45553</v>
      </c>
      <c r="H55" s="13" t="s">
        <v>146</v>
      </c>
      <c r="M55" s="117"/>
      <c r="N55" s="123"/>
      <c r="O55" s="123"/>
      <c r="P55" s="123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25">
        <v>45272</v>
      </c>
      <c r="AF55" s="15" t="s">
        <v>162</v>
      </c>
      <c r="AI55" s="114"/>
    </row>
    <row r="56" spans="1:35" ht="19.5" x14ac:dyDescent="0.4">
      <c r="G56" s="25">
        <v>45553</v>
      </c>
      <c r="H56" s="13" t="s">
        <v>147</v>
      </c>
      <c r="M56" s="117"/>
      <c r="N56" s="123"/>
      <c r="O56" s="123"/>
      <c r="P56" s="123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25">
        <v>45272</v>
      </c>
      <c r="AF56" s="15" t="s">
        <v>162</v>
      </c>
      <c r="AI56" s="114"/>
    </row>
    <row r="57" spans="1:35" ht="19.5" x14ac:dyDescent="0.4">
      <c r="G57" s="25">
        <v>45553</v>
      </c>
      <c r="H57" s="13" t="s">
        <v>146</v>
      </c>
      <c r="M57" s="117"/>
      <c r="N57" s="123"/>
      <c r="O57" s="123"/>
      <c r="P57" s="123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25">
        <v>45272</v>
      </c>
      <c r="AF57" s="15" t="s">
        <v>162</v>
      </c>
      <c r="AI57" s="114"/>
    </row>
    <row r="58" spans="1:35" ht="19.5" x14ac:dyDescent="0.4">
      <c r="F58" s="115"/>
      <c r="G58" s="25">
        <v>45553</v>
      </c>
      <c r="H58" s="13" t="s">
        <v>148</v>
      </c>
      <c r="M58" s="117"/>
      <c r="N58" s="123"/>
      <c r="O58" s="123"/>
      <c r="P58" s="123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25"/>
      <c r="AF58" s="15"/>
      <c r="AI58" s="114"/>
    </row>
    <row r="59" spans="1:35" ht="19.5" x14ac:dyDescent="0.4">
      <c r="F59" s="115"/>
      <c r="G59" s="131" t="s">
        <v>360</v>
      </c>
      <c r="H59" s="13">
        <f>SUBTOTAL(3,H54:H58)</f>
        <v>5</v>
      </c>
      <c r="M59" s="117"/>
      <c r="N59" s="123"/>
      <c r="O59" s="123"/>
      <c r="P59" s="123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25"/>
      <c r="AF59" s="15"/>
      <c r="AI59" s="114"/>
    </row>
    <row r="60" spans="1:35" ht="19.5" x14ac:dyDescent="0.4">
      <c r="G60" s="25">
        <v>45554</v>
      </c>
      <c r="H60" s="13" t="s">
        <v>146</v>
      </c>
      <c r="M60" s="117"/>
      <c r="N60" s="123"/>
      <c r="O60" s="123"/>
      <c r="P60" s="123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25">
        <v>45272</v>
      </c>
      <c r="AF60" s="15" t="s">
        <v>162</v>
      </c>
      <c r="AI60" s="114"/>
    </row>
    <row r="61" spans="1:35" ht="19.5" x14ac:dyDescent="0.4">
      <c r="F61" s="115"/>
      <c r="G61" s="25">
        <v>45554</v>
      </c>
      <c r="H61" s="13" t="s">
        <v>148</v>
      </c>
      <c r="M61" s="117"/>
      <c r="N61" s="123"/>
      <c r="O61" s="123"/>
      <c r="P61" s="123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25"/>
      <c r="AF61" s="15"/>
      <c r="AI61" s="114"/>
    </row>
    <row r="62" spans="1:35" ht="19.5" x14ac:dyDescent="0.4">
      <c r="G62" s="25">
        <v>45554</v>
      </c>
      <c r="H62" s="13" t="s">
        <v>147</v>
      </c>
      <c r="M62" s="117"/>
      <c r="N62" s="123"/>
      <c r="O62" s="123"/>
      <c r="P62" s="123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25">
        <v>45272</v>
      </c>
      <c r="AF62" s="15" t="s">
        <v>162</v>
      </c>
      <c r="AI62" s="114"/>
    </row>
    <row r="63" spans="1:35" ht="19.5" x14ac:dyDescent="0.4">
      <c r="F63" s="115"/>
      <c r="G63" s="25">
        <v>45554</v>
      </c>
      <c r="H63" s="13" t="s">
        <v>147</v>
      </c>
      <c r="M63" s="117"/>
      <c r="N63" s="123"/>
      <c r="O63" s="123"/>
      <c r="P63" s="123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25"/>
      <c r="AF63" s="15"/>
      <c r="AI63" s="114"/>
    </row>
    <row r="64" spans="1:35" ht="19.5" x14ac:dyDescent="0.4">
      <c r="F64" s="115"/>
      <c r="G64" s="131" t="s">
        <v>374</v>
      </c>
      <c r="H64" s="13">
        <f>SUBTOTAL(3,H60:H63)</f>
        <v>4</v>
      </c>
      <c r="M64" s="117"/>
      <c r="N64" s="123"/>
      <c r="O64" s="123"/>
      <c r="P64" s="123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25"/>
      <c r="AF64" s="15"/>
      <c r="AI64" s="114"/>
    </row>
    <row r="65" spans="7:35" ht="19.5" x14ac:dyDescent="0.4">
      <c r="G65" s="25">
        <v>45555</v>
      </c>
      <c r="H65" s="13" t="s">
        <v>147</v>
      </c>
      <c r="M65" s="117"/>
      <c r="N65" s="123"/>
      <c r="O65" s="123"/>
      <c r="P65" s="123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25">
        <v>45272</v>
      </c>
      <c r="AF65" s="15" t="s">
        <v>162</v>
      </c>
      <c r="AI65" s="114"/>
    </row>
    <row r="66" spans="7:35" ht="19.5" x14ac:dyDescent="0.4">
      <c r="G66" s="131" t="s">
        <v>361</v>
      </c>
      <c r="H66" s="13">
        <f>SUBTOTAL(3,H65:H65)</f>
        <v>1</v>
      </c>
      <c r="M66" s="117"/>
      <c r="N66" s="123"/>
      <c r="O66" s="123"/>
      <c r="P66" s="123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25"/>
      <c r="AF66" s="15"/>
      <c r="AI66" s="114"/>
    </row>
    <row r="67" spans="7:35" ht="19.5" x14ac:dyDescent="0.4">
      <c r="G67" s="25">
        <v>45556</v>
      </c>
      <c r="H67" s="13" t="s">
        <v>147</v>
      </c>
      <c r="M67" s="117"/>
      <c r="N67" s="123"/>
      <c r="O67" s="123"/>
      <c r="P67" s="123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25">
        <v>45272</v>
      </c>
      <c r="AF67" s="15" t="s">
        <v>162</v>
      </c>
      <c r="AI67" s="114"/>
    </row>
    <row r="68" spans="7:35" ht="19.5" x14ac:dyDescent="0.4">
      <c r="G68" s="131" t="s">
        <v>362</v>
      </c>
      <c r="H68" s="13">
        <f>SUBTOTAL(3,H67:H67)</f>
        <v>1</v>
      </c>
      <c r="M68" s="117"/>
      <c r="N68" s="123"/>
      <c r="O68" s="123"/>
      <c r="P68" s="123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25"/>
      <c r="AF68" s="15"/>
      <c r="AI68" s="114"/>
    </row>
    <row r="69" spans="7:35" ht="19.5" x14ac:dyDescent="0.4">
      <c r="G69" s="25">
        <v>45557</v>
      </c>
      <c r="H69" s="13" t="s">
        <v>147</v>
      </c>
      <c r="M69" s="117"/>
      <c r="N69" s="123"/>
      <c r="O69" s="123"/>
      <c r="P69" s="123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25">
        <v>45272</v>
      </c>
      <c r="AF69" s="15" t="s">
        <v>162</v>
      </c>
      <c r="AI69" s="114"/>
    </row>
    <row r="70" spans="7:35" ht="19.5" x14ac:dyDescent="0.4">
      <c r="G70" s="25">
        <v>45557</v>
      </c>
      <c r="H70" s="13" t="s">
        <v>147</v>
      </c>
      <c r="M70" s="117"/>
      <c r="N70" s="123"/>
      <c r="O70" s="123"/>
      <c r="P70" s="123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 t="s">
        <v>166</v>
      </c>
      <c r="AE70" s="13">
        <f>SUBTOTAL(3,AE48:AE69)</f>
        <v>13</v>
      </c>
      <c r="AF70" s="15">
        <f>SUBTOTAL(3,AF48:AF69)</f>
        <v>13</v>
      </c>
      <c r="AI70" s="114"/>
    </row>
    <row r="71" spans="7:35" ht="19.5" x14ac:dyDescent="0.4">
      <c r="G71" s="25">
        <v>45557</v>
      </c>
      <c r="H71" s="13" t="s">
        <v>147</v>
      </c>
      <c r="M71" s="117"/>
      <c r="N71" s="123"/>
      <c r="O71" s="123"/>
      <c r="P71" s="123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25">
        <v>45273</v>
      </c>
      <c r="AF71" s="105" t="s">
        <v>164</v>
      </c>
      <c r="AI71" s="114"/>
    </row>
    <row r="72" spans="7:35" ht="19.5" x14ac:dyDescent="0.4">
      <c r="G72" s="25">
        <v>45557</v>
      </c>
      <c r="H72" s="13" t="s">
        <v>147</v>
      </c>
      <c r="M72" s="117"/>
      <c r="N72" s="123"/>
      <c r="O72" s="123"/>
      <c r="P72" s="123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25">
        <v>45273</v>
      </c>
      <c r="AF72" s="15" t="s">
        <v>164</v>
      </c>
      <c r="AI72" s="114"/>
    </row>
    <row r="73" spans="7:35" ht="19.5" x14ac:dyDescent="0.4">
      <c r="G73" s="25">
        <v>45557</v>
      </c>
      <c r="H73" s="13" t="s">
        <v>148</v>
      </c>
      <c r="M73" s="117"/>
      <c r="N73" s="123"/>
      <c r="O73" s="123"/>
      <c r="P73" s="123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25">
        <v>45273</v>
      </c>
      <c r="AF73" s="13" t="s">
        <v>164</v>
      </c>
      <c r="AI73" s="114"/>
    </row>
    <row r="74" spans="7:35" ht="19.5" x14ac:dyDescent="0.4">
      <c r="G74" s="25">
        <v>45557</v>
      </c>
      <c r="H74" s="15" t="s">
        <v>148</v>
      </c>
      <c r="M74" s="117"/>
      <c r="N74" s="123"/>
      <c r="O74" s="123"/>
      <c r="P74" s="123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25">
        <v>45273</v>
      </c>
      <c r="AF74" s="15" t="s">
        <v>164</v>
      </c>
      <c r="AI74" s="114"/>
    </row>
    <row r="75" spans="7:35" ht="19.5" x14ac:dyDescent="0.4">
      <c r="G75" s="25">
        <v>45557</v>
      </c>
      <c r="H75" s="15" t="s">
        <v>147</v>
      </c>
      <c r="M75" s="117"/>
      <c r="N75" s="123"/>
      <c r="O75" s="123"/>
      <c r="P75" s="123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25">
        <v>45273</v>
      </c>
      <c r="AF75" s="15" t="s">
        <v>162</v>
      </c>
      <c r="AI75" s="114"/>
    </row>
    <row r="76" spans="7:35" ht="19.5" x14ac:dyDescent="0.4">
      <c r="G76" s="25">
        <v>45557</v>
      </c>
      <c r="H76" s="15" t="s">
        <v>147</v>
      </c>
      <c r="M76" s="117"/>
      <c r="N76" s="123"/>
      <c r="O76" s="123"/>
      <c r="P76" s="123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25">
        <v>45273</v>
      </c>
      <c r="AF76" s="15" t="s">
        <v>162</v>
      </c>
      <c r="AI76" s="114"/>
    </row>
    <row r="77" spans="7:35" ht="19.5" x14ac:dyDescent="0.4">
      <c r="G77" s="25">
        <v>45557</v>
      </c>
      <c r="H77" s="15" t="s">
        <v>147</v>
      </c>
      <c r="M77" s="117"/>
      <c r="N77" s="123"/>
      <c r="O77" s="123"/>
      <c r="P77" s="123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25">
        <v>45273</v>
      </c>
      <c r="AF77" s="15" t="s">
        <v>162</v>
      </c>
      <c r="AI77" s="114"/>
    </row>
    <row r="78" spans="7:35" ht="19.5" x14ac:dyDescent="0.4">
      <c r="G78" s="25">
        <v>45557</v>
      </c>
      <c r="H78" s="15" t="s">
        <v>147</v>
      </c>
      <c r="M78" s="117"/>
      <c r="N78" s="123"/>
      <c r="O78" s="123"/>
      <c r="P78" s="123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25">
        <v>45273</v>
      </c>
      <c r="AF78" s="15" t="s">
        <v>162</v>
      </c>
      <c r="AI78" s="114"/>
    </row>
    <row r="79" spans="7:35" ht="19.5" x14ac:dyDescent="0.4">
      <c r="G79" s="25">
        <v>45557</v>
      </c>
      <c r="H79" s="15" t="s">
        <v>147</v>
      </c>
      <c r="M79" s="117"/>
      <c r="N79" s="123"/>
      <c r="O79" s="123"/>
      <c r="P79" s="123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25">
        <v>45273</v>
      </c>
      <c r="AF79" s="15" t="s">
        <v>162</v>
      </c>
      <c r="AI79" s="114"/>
    </row>
    <row r="80" spans="7:35" ht="19.5" x14ac:dyDescent="0.4">
      <c r="G80" s="25">
        <v>45557</v>
      </c>
      <c r="H80" s="15" t="s">
        <v>148</v>
      </c>
      <c r="M80" s="117"/>
      <c r="N80" s="123"/>
      <c r="O80" s="123"/>
      <c r="P80" s="123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25">
        <v>45273</v>
      </c>
      <c r="AF80" s="15" t="s">
        <v>162</v>
      </c>
      <c r="AI80" s="114"/>
    </row>
    <row r="81" spans="6:35" ht="19.5" x14ac:dyDescent="0.4">
      <c r="G81" s="25">
        <v>45557</v>
      </c>
      <c r="H81" s="15" t="s">
        <v>148</v>
      </c>
      <c r="M81" s="117"/>
      <c r="N81" s="123"/>
      <c r="O81" s="123"/>
      <c r="P81" s="123"/>
      <c r="Q81" s="115"/>
      <c r="R81" s="115"/>
      <c r="S81" s="115"/>
      <c r="T81" s="115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25">
        <v>45273</v>
      </c>
      <c r="AF81" s="15" t="s">
        <v>162</v>
      </c>
      <c r="AI81" s="114"/>
    </row>
    <row r="82" spans="6:35" ht="19.5" x14ac:dyDescent="0.4">
      <c r="G82" s="25">
        <v>45557</v>
      </c>
      <c r="H82" s="15" t="s">
        <v>148</v>
      </c>
      <c r="M82" s="117"/>
      <c r="N82" s="123"/>
      <c r="O82" s="123"/>
      <c r="P82" s="123"/>
      <c r="Q82" s="115"/>
      <c r="R82" s="115"/>
      <c r="S82" s="115"/>
      <c r="T82" s="115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25">
        <v>45273</v>
      </c>
      <c r="AF82" s="15" t="s">
        <v>162</v>
      </c>
      <c r="AI82" s="114"/>
    </row>
    <row r="83" spans="6:35" ht="19.5" x14ac:dyDescent="0.4">
      <c r="G83" s="25">
        <v>45557</v>
      </c>
      <c r="H83" s="15" t="s">
        <v>146</v>
      </c>
      <c r="M83" s="117"/>
      <c r="N83" s="123"/>
      <c r="O83" s="123"/>
      <c r="P83" s="123"/>
      <c r="Q83" s="115"/>
      <c r="R83" s="115"/>
      <c r="S83" s="115"/>
      <c r="T83" s="115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25">
        <v>45273</v>
      </c>
      <c r="AF83" s="15" t="s">
        <v>162</v>
      </c>
      <c r="AI83" s="114"/>
    </row>
    <row r="84" spans="6:35" ht="19.5" x14ac:dyDescent="0.4">
      <c r="G84" s="25">
        <v>45557</v>
      </c>
      <c r="H84" s="105" t="s">
        <v>147</v>
      </c>
      <c r="M84" s="117"/>
      <c r="N84" s="123"/>
      <c r="O84" s="123"/>
      <c r="P84" s="123"/>
      <c r="Q84" s="115"/>
      <c r="R84" s="115"/>
      <c r="S84" s="115"/>
      <c r="T84" s="115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25">
        <v>45273</v>
      </c>
      <c r="AF84" s="15" t="s">
        <v>162</v>
      </c>
      <c r="AI84" s="114"/>
    </row>
    <row r="85" spans="6:35" ht="19.5" x14ac:dyDescent="0.4">
      <c r="G85" s="25">
        <v>45557</v>
      </c>
      <c r="H85" s="15" t="s">
        <v>147</v>
      </c>
      <c r="M85" s="117"/>
      <c r="N85" s="123"/>
      <c r="O85" s="123"/>
      <c r="P85" s="123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25">
        <v>45273</v>
      </c>
      <c r="AF85" s="13" t="s">
        <v>162</v>
      </c>
      <c r="AI85" s="114"/>
    </row>
    <row r="86" spans="6:35" ht="19.5" x14ac:dyDescent="0.4">
      <c r="G86" s="25">
        <v>45557</v>
      </c>
      <c r="H86" s="15" t="s">
        <v>147</v>
      </c>
      <c r="M86" s="117"/>
      <c r="N86" s="123"/>
      <c r="O86" s="123"/>
      <c r="P86" s="123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25">
        <v>45273</v>
      </c>
      <c r="AF86" s="15" t="s">
        <v>162</v>
      </c>
      <c r="AI86" s="114"/>
    </row>
    <row r="87" spans="6:35" ht="19.5" x14ac:dyDescent="0.4">
      <c r="G87" s="25">
        <v>45557</v>
      </c>
      <c r="H87" s="15" t="s">
        <v>147</v>
      </c>
      <c r="M87" s="117"/>
      <c r="N87" s="123"/>
      <c r="O87" s="123"/>
      <c r="P87" s="123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25">
        <v>45273</v>
      </c>
      <c r="AF87" s="15" t="s">
        <v>162</v>
      </c>
      <c r="AI87" s="114"/>
    </row>
    <row r="88" spans="6:35" ht="19.5" x14ac:dyDescent="0.4">
      <c r="G88" s="25">
        <v>45557</v>
      </c>
      <c r="H88" s="15" t="s">
        <v>148</v>
      </c>
      <c r="M88" s="117"/>
      <c r="N88" s="123"/>
      <c r="O88" s="123"/>
      <c r="P88" s="123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25">
        <v>45273</v>
      </c>
      <c r="AF88" s="15" t="s">
        <v>162</v>
      </c>
      <c r="AI88" s="114"/>
    </row>
    <row r="89" spans="6:35" ht="19.5" x14ac:dyDescent="0.4">
      <c r="G89" s="25">
        <v>45557</v>
      </c>
      <c r="H89" s="15" t="s">
        <v>146</v>
      </c>
      <c r="M89" s="117"/>
      <c r="N89" s="123"/>
      <c r="O89" s="123"/>
      <c r="P89" s="123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25">
        <v>45273</v>
      </c>
      <c r="AF89" s="15" t="s">
        <v>162</v>
      </c>
      <c r="AI89" s="114"/>
    </row>
    <row r="90" spans="6:35" ht="19.5" x14ac:dyDescent="0.4">
      <c r="F90" s="115"/>
      <c r="G90" s="25">
        <v>45557</v>
      </c>
      <c r="H90" s="13" t="s">
        <v>148</v>
      </c>
      <c r="M90" s="117"/>
      <c r="N90" s="123"/>
      <c r="O90" s="123"/>
      <c r="P90" s="123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25"/>
      <c r="AF90" s="15"/>
      <c r="AI90" s="114"/>
    </row>
    <row r="91" spans="6:35" ht="19.5" x14ac:dyDescent="0.4">
      <c r="G91" s="25">
        <v>45557</v>
      </c>
      <c r="H91" s="13" t="s">
        <v>148</v>
      </c>
      <c r="M91" s="117"/>
      <c r="N91" s="123"/>
      <c r="O91" s="123"/>
      <c r="P91" s="123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25">
        <v>45273</v>
      </c>
      <c r="AF91" s="15" t="s">
        <v>162</v>
      </c>
      <c r="AI91" s="114"/>
    </row>
    <row r="92" spans="6:35" ht="19.5" x14ac:dyDescent="0.4">
      <c r="G92" s="25">
        <v>45557</v>
      </c>
      <c r="H92" s="13" t="s">
        <v>146</v>
      </c>
      <c r="M92" s="117"/>
      <c r="N92" s="123"/>
      <c r="O92" s="123"/>
      <c r="P92" s="123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25">
        <v>45273</v>
      </c>
      <c r="AF92" s="15" t="s">
        <v>162</v>
      </c>
      <c r="AI92" s="114"/>
    </row>
    <row r="93" spans="6:35" ht="19.5" x14ac:dyDescent="0.4">
      <c r="G93" s="25">
        <v>45557</v>
      </c>
      <c r="H93" s="13" t="s">
        <v>146</v>
      </c>
      <c r="M93" s="117"/>
      <c r="N93" s="123"/>
      <c r="O93" s="123"/>
      <c r="P93" s="123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25">
        <v>45273</v>
      </c>
      <c r="AF93" s="13" t="s">
        <v>163</v>
      </c>
      <c r="AI93" s="114"/>
    </row>
    <row r="94" spans="6:35" ht="19.5" x14ac:dyDescent="0.4">
      <c r="G94" s="131" t="s">
        <v>363</v>
      </c>
      <c r="H94" s="13">
        <f>SUBTOTAL(3,H69:H93)</f>
        <v>25</v>
      </c>
      <c r="M94" s="117"/>
      <c r="N94" s="123"/>
      <c r="O94" s="123"/>
      <c r="P94" s="123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25"/>
      <c r="AF94" s="13"/>
      <c r="AI94" s="114"/>
    </row>
    <row r="95" spans="6:35" ht="19.5" x14ac:dyDescent="0.4">
      <c r="G95" s="25">
        <v>45558</v>
      </c>
      <c r="H95" s="13" t="s">
        <v>148</v>
      </c>
      <c r="M95" s="117"/>
      <c r="N95" s="123"/>
      <c r="O95" s="123"/>
      <c r="P95" s="123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 t="s">
        <v>152</v>
      </c>
      <c r="AE95" s="13">
        <f>SUBTOTAL(3,AE71:AE93)</f>
        <v>22</v>
      </c>
      <c r="AF95" s="13">
        <f>SUBTOTAL(3,AF71:AF93)</f>
        <v>22</v>
      </c>
      <c r="AI95" s="114"/>
    </row>
    <row r="96" spans="6:35" ht="19.5" x14ac:dyDescent="0.4">
      <c r="G96" s="25">
        <v>45558</v>
      </c>
      <c r="H96" s="13" t="s">
        <v>142</v>
      </c>
      <c r="M96" s="117"/>
      <c r="N96" s="123"/>
      <c r="O96" s="123"/>
      <c r="P96" s="123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25">
        <v>45274</v>
      </c>
      <c r="AF96" s="15" t="s">
        <v>162</v>
      </c>
      <c r="AI96" s="114"/>
    </row>
    <row r="97" spans="6:35" ht="19.5" x14ac:dyDescent="0.4">
      <c r="G97" s="25">
        <v>45558</v>
      </c>
      <c r="H97" s="15" t="s">
        <v>146</v>
      </c>
      <c r="M97" s="117"/>
      <c r="N97" s="123"/>
      <c r="O97" s="123"/>
      <c r="P97" s="123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25">
        <v>45274</v>
      </c>
      <c r="AF97" s="15" t="s">
        <v>162</v>
      </c>
      <c r="AI97" s="114"/>
    </row>
    <row r="98" spans="6:35" ht="19.5" x14ac:dyDescent="0.4">
      <c r="F98" s="115"/>
      <c r="G98" s="25">
        <v>45558</v>
      </c>
      <c r="H98" s="15" t="s">
        <v>146</v>
      </c>
      <c r="M98" s="117"/>
      <c r="N98" s="123"/>
      <c r="O98" s="123"/>
      <c r="P98" s="123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25"/>
      <c r="AF98" s="15"/>
      <c r="AI98" s="114"/>
    </row>
    <row r="99" spans="6:35" ht="19.5" x14ac:dyDescent="0.4">
      <c r="G99" s="25">
        <v>45558</v>
      </c>
      <c r="H99" s="15" t="s">
        <v>147</v>
      </c>
      <c r="M99" s="117"/>
      <c r="N99" s="123"/>
      <c r="O99" s="123"/>
      <c r="P99" s="123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15"/>
      <c r="AE99" s="25">
        <v>45274</v>
      </c>
      <c r="AF99" s="15" t="s">
        <v>162</v>
      </c>
      <c r="AI99" s="114"/>
    </row>
    <row r="100" spans="6:35" ht="19.5" x14ac:dyDescent="0.4">
      <c r="G100" s="25">
        <v>45558</v>
      </c>
      <c r="H100" s="15" t="s">
        <v>147</v>
      </c>
      <c r="M100" s="117"/>
      <c r="N100" s="123"/>
      <c r="O100" s="123"/>
      <c r="P100" s="123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25">
        <v>45274</v>
      </c>
      <c r="AF100" s="15" t="s">
        <v>162</v>
      </c>
      <c r="AI100" s="114"/>
    </row>
    <row r="101" spans="6:35" ht="19.5" x14ac:dyDescent="0.4">
      <c r="G101" s="25">
        <v>45558</v>
      </c>
      <c r="H101" s="15" t="s">
        <v>146</v>
      </c>
      <c r="M101" s="117"/>
      <c r="N101" s="123"/>
      <c r="O101" s="123"/>
      <c r="P101" s="123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25">
        <v>45274</v>
      </c>
      <c r="AF101" s="15" t="s">
        <v>163</v>
      </c>
      <c r="AI101" s="114"/>
    </row>
    <row r="102" spans="6:35" ht="19.5" x14ac:dyDescent="0.4">
      <c r="G102" s="25">
        <v>45558</v>
      </c>
      <c r="H102" s="15" t="s">
        <v>148</v>
      </c>
      <c r="M102" s="117"/>
      <c r="N102" s="123"/>
      <c r="O102" s="123"/>
      <c r="P102" s="123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 t="s">
        <v>167</v>
      </c>
      <c r="AE102" s="13">
        <f>SUBTOTAL(3,AE96:AE101)</f>
        <v>5</v>
      </c>
      <c r="AF102" s="15">
        <f>SUBTOTAL(3,AF96:AF101)</f>
        <v>5</v>
      </c>
      <c r="AI102" s="114"/>
    </row>
    <row r="103" spans="6:35" ht="19.5" x14ac:dyDescent="0.4">
      <c r="G103" s="131" t="s">
        <v>364</v>
      </c>
      <c r="H103" s="15">
        <f>SUBTOTAL(3,H95:H102)</f>
        <v>8</v>
      </c>
      <c r="M103" s="117"/>
      <c r="N103" s="123"/>
      <c r="O103" s="123"/>
      <c r="P103" s="123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3"/>
      <c r="AF103" s="15"/>
      <c r="AI103" s="114"/>
    </row>
    <row r="104" spans="6:35" ht="19.5" x14ac:dyDescent="0.4">
      <c r="G104" s="25">
        <v>45559</v>
      </c>
      <c r="H104" s="15" t="s">
        <v>146</v>
      </c>
      <c r="M104" s="117"/>
      <c r="N104" s="123"/>
      <c r="O104" s="123"/>
      <c r="P104" s="123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25">
        <v>45275</v>
      </c>
      <c r="AF104" s="15" t="s">
        <v>163</v>
      </c>
      <c r="AI104" s="114"/>
    </row>
    <row r="105" spans="6:35" ht="19.5" x14ac:dyDescent="0.4">
      <c r="G105" s="25">
        <v>45559</v>
      </c>
      <c r="H105" s="15" t="s">
        <v>146</v>
      </c>
      <c r="M105" s="117"/>
      <c r="N105" s="123"/>
      <c r="O105" s="123"/>
      <c r="P105" s="123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 t="s">
        <v>168</v>
      </c>
      <c r="AE105" s="13">
        <f>SUBTOTAL(3,AE104:AE104)</f>
        <v>1</v>
      </c>
      <c r="AF105" s="15">
        <f>SUBTOTAL(3,AF104:AF104)</f>
        <v>1</v>
      </c>
      <c r="AI105" s="114"/>
    </row>
    <row r="106" spans="6:35" ht="19.5" x14ac:dyDescent="0.4">
      <c r="G106" s="25">
        <v>45559</v>
      </c>
      <c r="H106" s="15" t="s">
        <v>146</v>
      </c>
      <c r="M106" s="117"/>
      <c r="N106" s="123"/>
      <c r="O106" s="123"/>
      <c r="P106" s="123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25">
        <v>45276</v>
      </c>
      <c r="AF106" s="15" t="s">
        <v>164</v>
      </c>
      <c r="AI106" s="114"/>
    </row>
    <row r="107" spans="6:35" ht="19.5" x14ac:dyDescent="0.4">
      <c r="G107" s="25">
        <v>45559</v>
      </c>
      <c r="H107" s="15" t="s">
        <v>148</v>
      </c>
      <c r="M107" s="117"/>
      <c r="N107" s="123"/>
      <c r="O107" s="123"/>
      <c r="P107" s="123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25">
        <v>45276</v>
      </c>
      <c r="AF107" s="15" t="s">
        <v>162</v>
      </c>
      <c r="AI107" s="114"/>
    </row>
    <row r="108" spans="6:35" ht="19.5" x14ac:dyDescent="0.4">
      <c r="G108" s="25">
        <v>45559</v>
      </c>
      <c r="H108" s="15" t="s">
        <v>147</v>
      </c>
      <c r="M108" s="117"/>
      <c r="N108" s="123"/>
      <c r="O108" s="123"/>
      <c r="P108" s="123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25">
        <v>45276</v>
      </c>
      <c r="AF108" s="15" t="s">
        <v>162</v>
      </c>
      <c r="AI108" s="114"/>
    </row>
    <row r="109" spans="6:35" ht="19.5" x14ac:dyDescent="0.4">
      <c r="G109" s="25">
        <v>45559</v>
      </c>
      <c r="H109" s="15" t="s">
        <v>147</v>
      </c>
      <c r="M109" s="117"/>
      <c r="N109" s="123"/>
      <c r="O109" s="123"/>
      <c r="P109" s="123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25">
        <v>45276</v>
      </c>
      <c r="AF109" s="15" t="s">
        <v>162</v>
      </c>
      <c r="AI109" s="114"/>
    </row>
    <row r="110" spans="6:35" ht="19.5" x14ac:dyDescent="0.4">
      <c r="G110" s="25">
        <v>45559</v>
      </c>
      <c r="H110" s="105" t="s">
        <v>146</v>
      </c>
      <c r="M110" s="117"/>
      <c r="N110" s="123"/>
      <c r="O110" s="123"/>
      <c r="P110" s="123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25">
        <v>45276</v>
      </c>
      <c r="AF110" s="15" t="s">
        <v>162</v>
      </c>
      <c r="AI110" s="114"/>
    </row>
    <row r="111" spans="6:35" ht="19.5" x14ac:dyDescent="0.4">
      <c r="F111" s="115"/>
      <c r="G111" s="25">
        <v>45559</v>
      </c>
      <c r="H111" s="105" t="s">
        <v>148</v>
      </c>
      <c r="M111" s="117"/>
      <c r="N111" s="123"/>
      <c r="O111" s="123"/>
      <c r="P111" s="123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25"/>
      <c r="AF111" s="15"/>
      <c r="AI111" s="114"/>
    </row>
    <row r="112" spans="6:35" ht="19.5" x14ac:dyDescent="0.4">
      <c r="G112" s="25">
        <v>45559</v>
      </c>
      <c r="H112" s="105" t="s">
        <v>147</v>
      </c>
      <c r="M112" s="117"/>
      <c r="N112" s="123"/>
      <c r="O112" s="123"/>
      <c r="P112" s="123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25">
        <v>45276</v>
      </c>
      <c r="AF112" s="15" t="s">
        <v>162</v>
      </c>
      <c r="AI112" s="114"/>
    </row>
    <row r="113" spans="6:35" ht="19.5" x14ac:dyDescent="0.4">
      <c r="G113" s="25">
        <v>45559</v>
      </c>
      <c r="H113" s="15" t="s">
        <v>147</v>
      </c>
      <c r="M113" s="117"/>
      <c r="N113" s="123"/>
      <c r="O113" s="123"/>
      <c r="P113" s="123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25">
        <v>45276</v>
      </c>
      <c r="AF113" s="15" t="s">
        <v>162</v>
      </c>
      <c r="AI113" s="114"/>
    </row>
    <row r="114" spans="6:35" ht="19.5" x14ac:dyDescent="0.4">
      <c r="F114" s="115"/>
      <c r="G114" s="25">
        <v>45559</v>
      </c>
      <c r="H114" s="15" t="s">
        <v>147</v>
      </c>
      <c r="M114" s="117"/>
      <c r="N114" s="123"/>
      <c r="O114" s="123"/>
      <c r="P114" s="123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5"/>
      <c r="AF114" s="15"/>
      <c r="AI114" s="114"/>
    </row>
    <row r="115" spans="6:35" ht="19.5" x14ac:dyDescent="0.4">
      <c r="F115" s="115"/>
      <c r="G115" s="131" t="s">
        <v>365</v>
      </c>
      <c r="H115" s="15">
        <f>SUBTOTAL(3,H104:H114)</f>
        <v>11</v>
      </c>
      <c r="M115" s="117"/>
      <c r="N115" s="123"/>
      <c r="O115" s="123"/>
      <c r="P115" s="123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25"/>
      <c r="AF115" s="15"/>
      <c r="AI115" s="114"/>
    </row>
    <row r="116" spans="6:35" ht="19.5" x14ac:dyDescent="0.4">
      <c r="G116" s="25">
        <v>45560</v>
      </c>
      <c r="H116" s="15" t="s">
        <v>148</v>
      </c>
      <c r="L116" s="115"/>
      <c r="M116" s="117"/>
      <c r="N116" s="123"/>
      <c r="O116" s="123"/>
      <c r="P116" s="123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25">
        <v>45276</v>
      </c>
      <c r="AF116" s="15" t="s">
        <v>162</v>
      </c>
      <c r="AI116" s="114"/>
    </row>
    <row r="117" spans="6:35" ht="19.5" x14ac:dyDescent="0.4">
      <c r="G117" s="25">
        <v>45560</v>
      </c>
      <c r="H117" s="15" t="s">
        <v>147</v>
      </c>
      <c r="L117" s="115"/>
      <c r="M117" s="117"/>
      <c r="N117" s="123"/>
      <c r="O117" s="123"/>
      <c r="P117" s="123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25">
        <v>45276</v>
      </c>
      <c r="AF117" s="15" t="s">
        <v>162</v>
      </c>
      <c r="AI117" s="114"/>
    </row>
    <row r="118" spans="6:35" ht="19.5" x14ac:dyDescent="0.4">
      <c r="G118" s="25">
        <v>45560</v>
      </c>
      <c r="H118" s="15" t="s">
        <v>146</v>
      </c>
      <c r="L118" s="115"/>
      <c r="M118" s="117"/>
      <c r="N118" s="123"/>
      <c r="O118" s="123"/>
      <c r="P118" s="123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5">
        <v>45276</v>
      </c>
      <c r="AF118" s="15" t="s">
        <v>162</v>
      </c>
      <c r="AI118" s="114"/>
    </row>
    <row r="119" spans="6:35" ht="19.5" x14ac:dyDescent="0.4">
      <c r="G119" s="131" t="s">
        <v>366</v>
      </c>
      <c r="H119" s="15">
        <f>SUBTOTAL(3,H116:H118)</f>
        <v>3</v>
      </c>
      <c r="L119" s="115"/>
      <c r="M119" s="117"/>
      <c r="N119" s="123"/>
      <c r="O119" s="123"/>
      <c r="P119" s="123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5"/>
      <c r="AF119" s="15"/>
      <c r="AI119" s="114"/>
    </row>
    <row r="120" spans="6:35" ht="19.5" x14ac:dyDescent="0.4">
      <c r="F120" s="115"/>
      <c r="G120" s="25">
        <v>45561</v>
      </c>
      <c r="H120" s="15" t="s">
        <v>147</v>
      </c>
      <c r="L120" s="115"/>
      <c r="M120" s="117"/>
      <c r="N120" s="123"/>
      <c r="O120" s="123"/>
      <c r="P120" s="123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5"/>
      <c r="AF120" s="15"/>
      <c r="AI120" s="114"/>
    </row>
    <row r="121" spans="6:35" ht="19.5" x14ac:dyDescent="0.4">
      <c r="G121" s="25">
        <v>45561</v>
      </c>
      <c r="H121" s="15" t="s">
        <v>147</v>
      </c>
      <c r="L121" s="115"/>
      <c r="M121" s="117"/>
      <c r="N121" s="123"/>
      <c r="O121" s="123"/>
      <c r="P121" s="123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5">
        <v>45276</v>
      </c>
      <c r="AF121" s="15" t="s">
        <v>162</v>
      </c>
      <c r="AI121" s="114"/>
    </row>
    <row r="122" spans="6:35" ht="19.5" x14ac:dyDescent="0.4">
      <c r="G122" s="25">
        <v>45561</v>
      </c>
      <c r="H122" s="15" t="s">
        <v>146</v>
      </c>
      <c r="L122" s="115"/>
      <c r="M122" s="117"/>
      <c r="N122" s="123"/>
      <c r="O122" s="123"/>
      <c r="P122" s="123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25">
        <v>45276</v>
      </c>
      <c r="AF122" s="15" t="s">
        <v>162</v>
      </c>
      <c r="AI122" s="114"/>
    </row>
    <row r="123" spans="6:35" ht="19.5" x14ac:dyDescent="0.4">
      <c r="G123" s="26">
        <v>45561</v>
      </c>
      <c r="H123" s="13" t="s">
        <v>146</v>
      </c>
      <c r="L123" s="115"/>
      <c r="M123" s="117"/>
      <c r="N123" s="123"/>
      <c r="O123" s="123"/>
      <c r="P123" s="123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25">
        <v>45276</v>
      </c>
      <c r="AF123" s="15" t="s">
        <v>162</v>
      </c>
      <c r="AI123" s="114"/>
    </row>
    <row r="124" spans="6:35" ht="19.5" x14ac:dyDescent="0.4">
      <c r="G124" s="26">
        <v>45561</v>
      </c>
      <c r="H124" s="13" t="s">
        <v>148</v>
      </c>
      <c r="L124" s="115"/>
      <c r="M124" s="117"/>
      <c r="N124" s="123"/>
      <c r="O124" s="123"/>
      <c r="P124" s="123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25">
        <v>45276</v>
      </c>
      <c r="AF124" s="15" t="s">
        <v>162</v>
      </c>
      <c r="AI124" s="114"/>
    </row>
    <row r="125" spans="6:35" ht="19.5" x14ac:dyDescent="0.4">
      <c r="G125" s="26">
        <v>45561</v>
      </c>
      <c r="H125" s="13" t="s">
        <v>147</v>
      </c>
      <c r="L125" s="115"/>
      <c r="M125" s="117"/>
      <c r="N125" s="123"/>
      <c r="O125" s="123"/>
      <c r="P125" s="123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25">
        <v>45276</v>
      </c>
      <c r="AF125" s="15" t="s">
        <v>162</v>
      </c>
      <c r="AI125" s="114"/>
    </row>
    <row r="126" spans="6:35" ht="19.5" x14ac:dyDescent="0.4">
      <c r="G126" s="129" t="s">
        <v>367</v>
      </c>
      <c r="H126" s="13">
        <f>SUBTOTAL(3,H120:H125)</f>
        <v>6</v>
      </c>
      <c r="L126" s="115"/>
      <c r="M126" s="117"/>
      <c r="N126" s="123"/>
      <c r="O126" s="123"/>
      <c r="P126" s="123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25"/>
      <c r="AF126" s="15"/>
      <c r="AI126" s="114"/>
    </row>
    <row r="127" spans="6:35" ht="19.5" x14ac:dyDescent="0.4">
      <c r="G127" s="26">
        <v>45563</v>
      </c>
      <c r="H127" s="13" t="s">
        <v>146</v>
      </c>
      <c r="L127" s="115"/>
      <c r="M127" s="117"/>
      <c r="N127" s="123"/>
      <c r="O127" s="123"/>
      <c r="P127" s="123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25">
        <v>45276</v>
      </c>
      <c r="AF127" s="15" t="s">
        <v>162</v>
      </c>
      <c r="AI127" s="114"/>
    </row>
    <row r="128" spans="6:35" ht="19.5" x14ac:dyDescent="0.4">
      <c r="G128" s="26">
        <v>45563</v>
      </c>
      <c r="H128" s="13" t="s">
        <v>146</v>
      </c>
      <c r="L128" s="115"/>
      <c r="M128" s="117"/>
      <c r="N128" s="123"/>
      <c r="O128" s="123"/>
      <c r="P128" s="123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25">
        <v>45276</v>
      </c>
      <c r="AF128" s="15" t="s">
        <v>162</v>
      </c>
      <c r="AI128" s="114"/>
    </row>
    <row r="129" spans="6:35" ht="19.5" x14ac:dyDescent="0.4">
      <c r="G129" s="26">
        <v>45563</v>
      </c>
      <c r="H129" s="13" t="s">
        <v>146</v>
      </c>
      <c r="L129" s="115"/>
      <c r="M129" s="117"/>
      <c r="N129" s="123"/>
      <c r="O129" s="123"/>
      <c r="P129" s="123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 t="s">
        <v>169</v>
      </c>
      <c r="AE129" s="13">
        <f>SUBTOTAL(3,AE106:AE128)</f>
        <v>17</v>
      </c>
      <c r="AF129" s="15">
        <f>SUBTOTAL(3,AF106:AF128)</f>
        <v>17</v>
      </c>
      <c r="AI129" s="114"/>
    </row>
    <row r="130" spans="6:35" ht="19.5" x14ac:dyDescent="0.4">
      <c r="G130" s="26">
        <v>45563</v>
      </c>
      <c r="H130" s="13" t="s">
        <v>146</v>
      </c>
      <c r="L130" s="115"/>
      <c r="M130" s="117"/>
      <c r="N130" s="123"/>
      <c r="O130" s="123"/>
      <c r="P130" s="123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25">
        <v>45277</v>
      </c>
      <c r="AF130" s="15" t="s">
        <v>162</v>
      </c>
      <c r="AI130" s="114"/>
    </row>
    <row r="131" spans="6:35" ht="19.5" x14ac:dyDescent="0.4">
      <c r="G131" s="26">
        <v>45563</v>
      </c>
      <c r="H131" s="13" t="s">
        <v>146</v>
      </c>
      <c r="L131" s="115"/>
      <c r="M131" s="117"/>
      <c r="N131" s="123"/>
      <c r="O131" s="123"/>
      <c r="P131" s="123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25">
        <v>45277</v>
      </c>
      <c r="AF131" s="15" t="s">
        <v>162</v>
      </c>
      <c r="AI131" s="114"/>
    </row>
    <row r="132" spans="6:35" ht="19.5" x14ac:dyDescent="0.4">
      <c r="G132" s="26">
        <v>45563</v>
      </c>
      <c r="H132" s="13" t="s">
        <v>147</v>
      </c>
      <c r="L132" s="115"/>
      <c r="M132" s="117"/>
      <c r="N132" s="123"/>
      <c r="O132" s="123"/>
      <c r="P132" s="123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26">
        <v>45277</v>
      </c>
      <c r="AF132" s="13" t="s">
        <v>162</v>
      </c>
      <c r="AI132" s="114"/>
    </row>
    <row r="133" spans="6:35" ht="19.5" x14ac:dyDescent="0.4">
      <c r="G133" s="26">
        <v>45563</v>
      </c>
      <c r="H133" s="13" t="s">
        <v>147</v>
      </c>
      <c r="L133" s="115"/>
      <c r="M133" s="117"/>
      <c r="N133" s="123"/>
      <c r="O133" s="123"/>
      <c r="P133" s="123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26">
        <v>45277</v>
      </c>
      <c r="AF133" s="15" t="s">
        <v>162</v>
      </c>
      <c r="AI133" s="114"/>
    </row>
    <row r="134" spans="6:35" ht="19.5" x14ac:dyDescent="0.4">
      <c r="F134" s="115"/>
      <c r="G134" s="26">
        <v>45563</v>
      </c>
      <c r="H134" s="13" t="s">
        <v>148</v>
      </c>
      <c r="L134" s="115"/>
      <c r="M134" s="117"/>
      <c r="N134" s="123"/>
      <c r="O134" s="123"/>
      <c r="P134" s="123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26"/>
      <c r="AF134" s="15"/>
      <c r="AI134" s="114"/>
    </row>
    <row r="135" spans="6:35" ht="19.5" x14ac:dyDescent="0.4">
      <c r="G135" s="26">
        <v>45563</v>
      </c>
      <c r="H135" s="13" t="s">
        <v>146</v>
      </c>
      <c r="L135" s="115"/>
      <c r="M135" s="117"/>
      <c r="N135" s="123"/>
      <c r="O135" s="123"/>
      <c r="P135" s="123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26">
        <v>45277</v>
      </c>
      <c r="AF135" s="15" t="s">
        <v>162</v>
      </c>
      <c r="AI135" s="114"/>
    </row>
    <row r="136" spans="6:35" ht="19.5" x14ac:dyDescent="0.4">
      <c r="G136" s="26">
        <v>45563</v>
      </c>
      <c r="H136" s="13" t="s">
        <v>147</v>
      </c>
      <c r="L136" s="115"/>
      <c r="M136" s="117"/>
      <c r="N136" s="123"/>
      <c r="O136" s="123"/>
      <c r="P136" s="123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 t="s">
        <v>160</v>
      </c>
      <c r="AE136" s="17">
        <f>SUBTOTAL(3,AE130:AE135)</f>
        <v>5</v>
      </c>
      <c r="AF136" s="15">
        <f>SUBTOTAL(3,AF130:AF135)</f>
        <v>5</v>
      </c>
      <c r="AI136" s="114"/>
    </row>
    <row r="137" spans="6:35" ht="19.5" x14ac:dyDescent="0.4">
      <c r="F137" s="115"/>
      <c r="G137" s="26">
        <v>45563</v>
      </c>
      <c r="H137" s="13" t="s">
        <v>147</v>
      </c>
      <c r="L137" s="115"/>
      <c r="M137" s="117"/>
      <c r="N137" s="123"/>
      <c r="O137" s="123"/>
      <c r="P137" s="123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7"/>
      <c r="AF137" s="15"/>
      <c r="AI137" s="114"/>
    </row>
    <row r="138" spans="6:35" ht="19.5" x14ac:dyDescent="0.4">
      <c r="G138" s="26">
        <v>45563</v>
      </c>
      <c r="H138" s="13" t="s">
        <v>146</v>
      </c>
      <c r="L138" s="115"/>
      <c r="M138" s="117"/>
      <c r="N138" s="123"/>
      <c r="O138" s="123"/>
      <c r="P138" s="123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26">
        <v>45278</v>
      </c>
      <c r="AF138" s="15" t="s">
        <v>164</v>
      </c>
      <c r="AI138" s="114"/>
    </row>
    <row r="139" spans="6:35" ht="19.5" x14ac:dyDescent="0.4">
      <c r="G139" s="26">
        <v>45563</v>
      </c>
      <c r="H139" s="13" t="s">
        <v>146</v>
      </c>
      <c r="L139" s="115"/>
      <c r="M139" s="117"/>
      <c r="N139" s="123"/>
      <c r="O139" s="123"/>
      <c r="P139" s="123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26">
        <v>45278</v>
      </c>
      <c r="AF139" s="15" t="s">
        <v>164</v>
      </c>
      <c r="AI139" s="114"/>
    </row>
    <row r="140" spans="6:35" ht="19.5" x14ac:dyDescent="0.4">
      <c r="G140" s="26">
        <v>45563</v>
      </c>
      <c r="H140" s="13" t="s">
        <v>146</v>
      </c>
      <c r="L140" s="115"/>
      <c r="M140" s="117"/>
      <c r="N140" s="123"/>
      <c r="O140" s="123"/>
      <c r="P140" s="123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6">
        <v>45278</v>
      </c>
      <c r="AF140" s="15" t="s">
        <v>162</v>
      </c>
      <c r="AI140" s="114"/>
    </row>
    <row r="141" spans="6:35" ht="19.5" x14ac:dyDescent="0.4">
      <c r="G141" s="26">
        <v>45563</v>
      </c>
      <c r="H141" s="13" t="s">
        <v>147</v>
      </c>
      <c r="L141" s="115"/>
      <c r="M141" s="117"/>
      <c r="N141" s="123"/>
      <c r="O141" s="123"/>
      <c r="P141" s="123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6">
        <v>45278</v>
      </c>
      <c r="AF141" s="15" t="s">
        <v>142</v>
      </c>
      <c r="AI141" s="114"/>
    </row>
    <row r="142" spans="6:35" ht="19.5" x14ac:dyDescent="0.4">
      <c r="G142" s="26">
        <v>45563</v>
      </c>
      <c r="H142" s="13" t="s">
        <v>142</v>
      </c>
      <c r="L142" s="115"/>
      <c r="M142" s="117"/>
      <c r="N142" s="123"/>
      <c r="O142" s="123"/>
      <c r="P142" s="123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6">
        <v>45278</v>
      </c>
      <c r="AF142" s="15" t="s">
        <v>162</v>
      </c>
      <c r="AI142" s="114"/>
    </row>
    <row r="143" spans="6:35" ht="19.5" x14ac:dyDescent="0.4">
      <c r="G143" s="26">
        <v>45563</v>
      </c>
      <c r="H143" s="13" t="s">
        <v>147</v>
      </c>
      <c r="L143" s="115"/>
      <c r="M143" s="117"/>
      <c r="N143" s="123"/>
      <c r="O143" s="123"/>
      <c r="P143" s="123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26">
        <v>45278</v>
      </c>
      <c r="AF143" s="15" t="s">
        <v>162</v>
      </c>
      <c r="AI143" s="114"/>
    </row>
    <row r="144" spans="6:35" ht="19.5" x14ac:dyDescent="0.4">
      <c r="F144" s="115"/>
      <c r="G144" s="26">
        <v>45563</v>
      </c>
      <c r="H144" s="13" t="s">
        <v>147</v>
      </c>
      <c r="L144" s="115"/>
      <c r="M144" s="117"/>
      <c r="N144" s="123"/>
      <c r="O144" s="123"/>
      <c r="P144" s="123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26"/>
      <c r="AF144" s="15"/>
      <c r="AI144" s="114"/>
    </row>
    <row r="145" spans="6:35" ht="19.5" x14ac:dyDescent="0.4">
      <c r="F145" s="115"/>
      <c r="G145" s="129" t="s">
        <v>368</v>
      </c>
      <c r="H145" s="13">
        <f>SUBTOTAL(3,H127:H144)</f>
        <v>18</v>
      </c>
      <c r="L145" s="115"/>
      <c r="M145" s="117"/>
      <c r="N145" s="123"/>
      <c r="O145" s="123"/>
      <c r="P145" s="123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26"/>
      <c r="AF145" s="15"/>
      <c r="AI145" s="114"/>
    </row>
    <row r="146" spans="6:35" ht="19.5" x14ac:dyDescent="0.4">
      <c r="G146" s="26">
        <v>45565</v>
      </c>
      <c r="H146" s="15" t="s">
        <v>147</v>
      </c>
      <c r="L146" s="115"/>
      <c r="M146" s="117"/>
      <c r="N146" s="123"/>
      <c r="O146" s="123"/>
      <c r="P146" s="123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26">
        <v>45278</v>
      </c>
      <c r="AF146" s="15" t="s">
        <v>162</v>
      </c>
      <c r="AI146" s="114"/>
    </row>
    <row r="147" spans="6:35" ht="19.5" x14ac:dyDescent="0.4">
      <c r="G147" s="26">
        <v>45565</v>
      </c>
      <c r="H147" s="15" t="s">
        <v>146</v>
      </c>
      <c r="L147" s="115"/>
      <c r="M147" s="117"/>
      <c r="N147" s="123"/>
      <c r="O147" s="123"/>
      <c r="P147" s="123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26">
        <v>45278</v>
      </c>
      <c r="AF147" s="15" t="s">
        <v>163</v>
      </c>
      <c r="AI147" s="114"/>
    </row>
    <row r="148" spans="6:35" ht="19.5" x14ac:dyDescent="0.4">
      <c r="G148" s="26">
        <v>45565</v>
      </c>
      <c r="H148" s="15" t="s">
        <v>146</v>
      </c>
      <c r="L148" s="115"/>
      <c r="M148" s="117"/>
      <c r="N148" s="123"/>
      <c r="O148" s="123"/>
      <c r="P148" s="123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26">
        <v>45278</v>
      </c>
      <c r="AF148" s="105" t="s">
        <v>163</v>
      </c>
      <c r="AI148" s="114"/>
    </row>
    <row r="149" spans="6:35" ht="19.5" x14ac:dyDescent="0.4">
      <c r="G149" s="26">
        <v>45565</v>
      </c>
      <c r="H149" s="15" t="s">
        <v>146</v>
      </c>
      <c r="L149" s="115"/>
      <c r="M149" s="117"/>
      <c r="N149" s="123"/>
      <c r="O149" s="123"/>
      <c r="P149" s="123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6">
        <v>45278</v>
      </c>
      <c r="AF149" s="15" t="s">
        <v>163</v>
      </c>
      <c r="AI149" s="114"/>
    </row>
    <row r="150" spans="6:35" ht="19.5" x14ac:dyDescent="0.4">
      <c r="F150" s="115"/>
      <c r="G150" s="26">
        <v>45565</v>
      </c>
      <c r="H150" s="15" t="s">
        <v>146</v>
      </c>
      <c r="L150" s="115"/>
      <c r="M150" s="117"/>
      <c r="N150" s="123"/>
      <c r="O150" s="123"/>
      <c r="P150" s="123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26"/>
      <c r="AF150" s="15"/>
      <c r="AI150" s="114"/>
    </row>
    <row r="151" spans="6:35" ht="19.5" x14ac:dyDescent="0.4">
      <c r="F151" s="115"/>
      <c r="G151" s="129" t="s">
        <v>375</v>
      </c>
      <c r="H151" s="13">
        <f>SUBTOTAL(3,H146:H150)</f>
        <v>5</v>
      </c>
      <c r="L151" s="115"/>
      <c r="M151" s="117"/>
      <c r="N151" s="123"/>
      <c r="O151" s="123"/>
      <c r="P151" s="123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26"/>
      <c r="AF151" s="15"/>
      <c r="AI151" s="114"/>
    </row>
    <row r="152" spans="6:35" ht="19.5" x14ac:dyDescent="0.4">
      <c r="F152" s="115"/>
      <c r="G152" s="26">
        <v>45566</v>
      </c>
      <c r="H152" s="13" t="s">
        <v>147</v>
      </c>
      <c r="L152" s="115"/>
      <c r="M152" s="117"/>
      <c r="N152" s="123"/>
      <c r="O152" s="123"/>
      <c r="P152" s="123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26"/>
      <c r="AF152" s="15"/>
      <c r="AI152" s="114"/>
    </row>
    <row r="153" spans="6:35" ht="19.5" x14ac:dyDescent="0.4">
      <c r="G153" s="26">
        <v>45566</v>
      </c>
      <c r="H153" s="13" t="s">
        <v>147</v>
      </c>
      <c r="L153" s="115"/>
      <c r="M153" s="117"/>
      <c r="N153" s="123"/>
      <c r="O153" s="123"/>
      <c r="P153" s="123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26">
        <v>45278</v>
      </c>
      <c r="AF153" s="15" t="s">
        <v>163</v>
      </c>
      <c r="AI153" s="114"/>
    </row>
    <row r="154" spans="6:35" ht="19.5" x14ac:dyDescent="0.4">
      <c r="G154" s="129" t="s">
        <v>369</v>
      </c>
      <c r="H154" s="13">
        <f>SUBTOTAL(3,H152:H153)</f>
        <v>2</v>
      </c>
      <c r="L154" s="115"/>
      <c r="M154" s="117"/>
      <c r="N154" s="123"/>
      <c r="O154" s="123"/>
      <c r="P154" s="123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26"/>
      <c r="AF154" s="15"/>
      <c r="AI154" s="114"/>
    </row>
    <row r="155" spans="6:35" ht="19.5" x14ac:dyDescent="0.4">
      <c r="G155" s="26">
        <v>45567</v>
      </c>
      <c r="H155" s="13" t="s">
        <v>146</v>
      </c>
      <c r="L155" s="115"/>
      <c r="M155" s="117"/>
      <c r="N155" s="123"/>
      <c r="O155" s="123"/>
      <c r="P155" s="123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26">
        <v>45278</v>
      </c>
      <c r="AF155" s="15" t="s">
        <v>163</v>
      </c>
      <c r="AI155" s="114"/>
    </row>
    <row r="156" spans="6:35" ht="19.5" x14ac:dyDescent="0.4">
      <c r="G156" s="26">
        <v>45567</v>
      </c>
      <c r="H156" s="13" t="s">
        <v>146</v>
      </c>
      <c r="L156" s="115"/>
      <c r="M156" s="117"/>
      <c r="N156" s="123"/>
      <c r="O156" s="123"/>
      <c r="P156" s="123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 t="s">
        <v>153</v>
      </c>
      <c r="AE156" s="17">
        <f>SUBTOTAL(3,AE138:AE155)</f>
        <v>12</v>
      </c>
      <c r="AF156" s="13">
        <f>SUBTOTAL(3,AF138:AF155)</f>
        <v>12</v>
      </c>
      <c r="AI156" s="114"/>
    </row>
    <row r="157" spans="6:35" ht="19.5" x14ac:dyDescent="0.4">
      <c r="G157" s="26">
        <v>45567</v>
      </c>
      <c r="H157" s="13" t="s">
        <v>146</v>
      </c>
      <c r="L157" s="115"/>
      <c r="M157" s="117"/>
      <c r="N157" s="123"/>
      <c r="O157" s="123"/>
      <c r="P157" s="123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26">
        <v>45279</v>
      </c>
      <c r="AF157" s="25" t="s">
        <v>162</v>
      </c>
      <c r="AI157" s="114"/>
    </row>
    <row r="158" spans="6:35" ht="19.5" x14ac:dyDescent="0.4">
      <c r="G158" s="26">
        <v>45567</v>
      </c>
      <c r="H158" s="13" t="s">
        <v>146</v>
      </c>
      <c r="L158" s="115"/>
      <c r="M158" s="117"/>
      <c r="N158" s="123"/>
      <c r="O158" s="123"/>
      <c r="P158" s="123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26">
        <v>45279</v>
      </c>
      <c r="AF158" s="13" t="s">
        <v>162</v>
      </c>
      <c r="AI158" s="114"/>
    </row>
    <row r="159" spans="6:35" ht="19.5" x14ac:dyDescent="0.4">
      <c r="G159" s="26">
        <v>45567</v>
      </c>
      <c r="H159" s="13" t="s">
        <v>146</v>
      </c>
      <c r="L159" s="115"/>
      <c r="M159" s="117"/>
      <c r="N159" s="123"/>
      <c r="O159" s="123"/>
      <c r="P159" s="123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26">
        <v>45279</v>
      </c>
      <c r="AF159" s="13" t="s">
        <v>162</v>
      </c>
      <c r="AI159" s="114"/>
    </row>
    <row r="160" spans="6:35" ht="19.5" x14ac:dyDescent="0.4">
      <c r="G160" s="26">
        <v>45567</v>
      </c>
      <c r="H160" s="13" t="s">
        <v>146</v>
      </c>
      <c r="L160" s="115"/>
      <c r="M160" s="117"/>
      <c r="N160" s="123"/>
      <c r="O160" s="123"/>
      <c r="P160" s="123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26">
        <v>45279</v>
      </c>
      <c r="AF160" s="13" t="s">
        <v>162</v>
      </c>
      <c r="AI160" s="114"/>
    </row>
    <row r="161" spans="7:35" ht="19.5" x14ac:dyDescent="0.4">
      <c r="G161" s="129" t="s">
        <v>370</v>
      </c>
      <c r="H161" s="13">
        <f>SUBTOTAL(3,H155:H160)</f>
        <v>6</v>
      </c>
      <c r="L161" s="115"/>
      <c r="M161" s="117"/>
      <c r="N161" s="123"/>
      <c r="O161" s="123"/>
      <c r="P161" s="123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26"/>
      <c r="AF161" s="13"/>
      <c r="AI161" s="114"/>
    </row>
    <row r="162" spans="7:35" ht="19.5" x14ac:dyDescent="0.4">
      <c r="G162" s="26">
        <v>45568</v>
      </c>
      <c r="H162" s="13" t="s">
        <v>147</v>
      </c>
      <c r="L162" s="115"/>
      <c r="M162" s="117"/>
      <c r="N162" s="123"/>
      <c r="O162" s="123"/>
      <c r="P162" s="123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6">
        <v>45279</v>
      </c>
      <c r="AF162" s="13" t="s">
        <v>162</v>
      </c>
      <c r="AI162" s="114"/>
    </row>
    <row r="163" spans="7:35" ht="19.5" x14ac:dyDescent="0.4">
      <c r="G163" s="26">
        <v>45568</v>
      </c>
      <c r="H163" s="13" t="s">
        <v>146</v>
      </c>
      <c r="L163" s="115"/>
      <c r="M163" s="117"/>
      <c r="N163" s="123"/>
      <c r="O163" s="123"/>
      <c r="P163" s="123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6">
        <v>45279</v>
      </c>
      <c r="AF163" s="13" t="s">
        <v>162</v>
      </c>
      <c r="AI163" s="114"/>
    </row>
    <row r="164" spans="7:35" ht="19.5" x14ac:dyDescent="0.4">
      <c r="G164" s="26">
        <v>45568</v>
      </c>
      <c r="H164" s="13" t="s">
        <v>147</v>
      </c>
      <c r="L164" s="115"/>
      <c r="M164" s="117"/>
      <c r="N164" s="123"/>
      <c r="O164" s="123"/>
      <c r="P164" s="123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 t="s">
        <v>170</v>
      </c>
      <c r="AE164" s="17">
        <f>SUBTOTAL(3,AE157:AE163)</f>
        <v>6</v>
      </c>
      <c r="AF164" s="13">
        <f>SUBTOTAL(3,AF157:AF163)</f>
        <v>6</v>
      </c>
      <c r="AI164" s="114"/>
    </row>
    <row r="165" spans="7:35" ht="19.5" x14ac:dyDescent="0.4">
      <c r="G165" s="129" t="s">
        <v>376</v>
      </c>
      <c r="H165" s="13">
        <f>SUBTOTAL(3,H162:H164)</f>
        <v>3</v>
      </c>
      <c r="L165" s="115"/>
      <c r="M165" s="117"/>
      <c r="N165" s="123"/>
      <c r="O165" s="123"/>
      <c r="P165" s="123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7"/>
      <c r="AF165" s="13"/>
      <c r="AI165" s="114"/>
    </row>
    <row r="166" spans="7:35" ht="19.5" x14ac:dyDescent="0.4">
      <c r="G166" s="26">
        <v>45573</v>
      </c>
      <c r="H166" s="13" t="s">
        <v>146</v>
      </c>
      <c r="L166" s="115"/>
      <c r="M166" s="117"/>
      <c r="N166" s="123"/>
      <c r="O166" s="123"/>
      <c r="P166" s="123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6">
        <v>45280</v>
      </c>
      <c r="AF166" s="13" t="s">
        <v>162</v>
      </c>
      <c r="AI166" s="114"/>
    </row>
    <row r="167" spans="7:35" ht="19.5" x14ac:dyDescent="0.4">
      <c r="G167" s="26">
        <v>45573</v>
      </c>
      <c r="H167" s="13" t="s">
        <v>146</v>
      </c>
      <c r="L167" s="115"/>
      <c r="M167" s="116"/>
      <c r="N167" s="123"/>
      <c r="O167" s="123"/>
      <c r="P167" s="123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6">
        <v>45280</v>
      </c>
      <c r="AF167" s="13" t="s">
        <v>162</v>
      </c>
      <c r="AI167" s="114"/>
    </row>
    <row r="168" spans="7:35" ht="19.5" x14ac:dyDescent="0.4">
      <c r="G168" s="26">
        <v>45573</v>
      </c>
      <c r="H168" s="13" t="s">
        <v>146</v>
      </c>
      <c r="L168" s="115"/>
      <c r="M168" s="116"/>
      <c r="N168" s="123"/>
      <c r="O168" s="123"/>
      <c r="P168" s="123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6">
        <v>45280</v>
      </c>
      <c r="AF168" s="13" t="s">
        <v>162</v>
      </c>
      <c r="AI168" s="114"/>
    </row>
    <row r="169" spans="7:35" ht="19.5" x14ac:dyDescent="0.4">
      <c r="G169" s="26">
        <v>45573</v>
      </c>
      <c r="H169" s="13" t="s">
        <v>146</v>
      </c>
      <c r="L169" s="115"/>
      <c r="M169" s="116"/>
      <c r="N169" s="123"/>
      <c r="O169" s="123"/>
      <c r="P169" s="123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26">
        <v>45280</v>
      </c>
      <c r="AF169" s="13" t="s">
        <v>162</v>
      </c>
      <c r="AI169" s="114"/>
    </row>
    <row r="170" spans="7:35" ht="19.5" x14ac:dyDescent="0.4">
      <c r="G170" s="129" t="s">
        <v>371</v>
      </c>
      <c r="H170" s="13">
        <f>SUBTOTAL(3,H166:H169)</f>
        <v>4</v>
      </c>
      <c r="L170" s="115"/>
      <c r="M170" s="116"/>
      <c r="N170" s="123"/>
      <c r="O170" s="123"/>
      <c r="P170" s="123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26"/>
      <c r="AF170" s="13"/>
      <c r="AI170" s="114"/>
    </row>
    <row r="171" spans="7:35" ht="19.5" x14ac:dyDescent="0.4">
      <c r="G171" s="26">
        <v>45583</v>
      </c>
      <c r="H171" s="13" t="s">
        <v>147</v>
      </c>
      <c r="L171" s="115"/>
      <c r="M171" s="116"/>
      <c r="N171" s="123"/>
      <c r="O171" s="123"/>
      <c r="P171" s="123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26">
        <v>45280</v>
      </c>
      <c r="AF171" s="13" t="s">
        <v>162</v>
      </c>
      <c r="AI171" s="114"/>
    </row>
    <row r="172" spans="7:35" ht="19.5" x14ac:dyDescent="0.4">
      <c r="G172" s="132" t="s">
        <v>377</v>
      </c>
      <c r="H172" s="119">
        <f>SUBTOTAL(3,H171:H171)</f>
        <v>1</v>
      </c>
      <c r="L172" s="115"/>
      <c r="M172" s="116"/>
      <c r="N172" s="123"/>
      <c r="O172" s="123"/>
      <c r="P172" s="123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26"/>
      <c r="AF172" s="13"/>
      <c r="AI172" s="114"/>
    </row>
    <row r="173" spans="7:35" ht="19.5" x14ac:dyDescent="0.4">
      <c r="G173" s="132" t="s">
        <v>145</v>
      </c>
      <c r="H173" s="119">
        <f>SUBTOTAL(3,H2:H171)</f>
        <v>147</v>
      </c>
      <c r="L173" s="115"/>
      <c r="M173" s="116"/>
      <c r="N173" s="123"/>
      <c r="O173" s="123"/>
      <c r="P173" s="123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26"/>
      <c r="AF173" s="13"/>
      <c r="AI173" s="114"/>
    </row>
    <row r="174" spans="7:35" ht="19.5" x14ac:dyDescent="0.4">
      <c r="L174" s="115"/>
      <c r="M174" s="116"/>
      <c r="N174" s="123"/>
      <c r="O174" s="123"/>
      <c r="P174" s="123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26">
        <v>45280</v>
      </c>
      <c r="AF174" s="13" t="s">
        <v>162</v>
      </c>
      <c r="AI174" s="114"/>
    </row>
    <row r="175" spans="7:35" ht="19.5" x14ac:dyDescent="0.4">
      <c r="L175" s="115"/>
      <c r="M175" s="116"/>
      <c r="N175" s="123"/>
      <c r="O175" s="123"/>
      <c r="P175" s="123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26">
        <v>45280</v>
      </c>
      <c r="AF175" s="13" t="s">
        <v>162</v>
      </c>
      <c r="AI175" s="114"/>
    </row>
    <row r="176" spans="7:35" ht="19.5" x14ac:dyDescent="0.4">
      <c r="L176" s="115"/>
      <c r="M176" s="116"/>
      <c r="N176" s="123"/>
      <c r="O176" s="123"/>
      <c r="P176" s="123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26">
        <v>45280</v>
      </c>
      <c r="AF176" s="13" t="s">
        <v>162</v>
      </c>
      <c r="AI176" s="114"/>
    </row>
    <row r="177" spans="9:35" ht="19.5" x14ac:dyDescent="0.4">
      <c r="K177" s="115"/>
      <c r="L177" s="115"/>
      <c r="M177" s="116"/>
      <c r="N177" s="123"/>
      <c r="O177" s="123"/>
      <c r="P177" s="123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26">
        <v>45280</v>
      </c>
      <c r="AF177" s="13" t="s">
        <v>162</v>
      </c>
      <c r="AI177" s="114"/>
    </row>
    <row r="178" spans="9:35" ht="19.5" x14ac:dyDescent="0.4">
      <c r="K178" s="115"/>
      <c r="L178" s="115"/>
      <c r="M178" s="116"/>
      <c r="N178" s="123"/>
      <c r="O178" s="123"/>
      <c r="P178" s="123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26">
        <v>45280</v>
      </c>
      <c r="AF178" s="13" t="s">
        <v>162</v>
      </c>
      <c r="AI178" s="114"/>
    </row>
    <row r="179" spans="9:35" ht="19.5" x14ac:dyDescent="0.4">
      <c r="I179" s="115"/>
      <c r="J179" s="115"/>
      <c r="K179" s="115"/>
      <c r="L179" s="115"/>
      <c r="M179" s="116"/>
      <c r="N179" s="123"/>
      <c r="O179" s="123"/>
      <c r="P179" s="123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26">
        <v>45280</v>
      </c>
      <c r="AF179" s="13" t="s">
        <v>162</v>
      </c>
      <c r="AI179" s="114"/>
    </row>
    <row r="180" spans="9:35" x14ac:dyDescent="0.4">
      <c r="I180" s="115"/>
      <c r="J180" s="115"/>
      <c r="K180" s="115"/>
      <c r="L180" s="115"/>
      <c r="M180" s="115"/>
      <c r="N180" s="122"/>
      <c r="O180" s="122"/>
      <c r="P180" s="122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26">
        <v>45280</v>
      </c>
      <c r="AF180" s="13" t="s">
        <v>162</v>
      </c>
      <c r="AI180" s="114"/>
    </row>
    <row r="181" spans="9:35" x14ac:dyDescent="0.4">
      <c r="I181" s="115"/>
      <c r="J181" s="115"/>
      <c r="K181" s="115"/>
      <c r="L181" s="115"/>
      <c r="M181" s="115"/>
      <c r="N181" s="122"/>
      <c r="O181" s="122"/>
      <c r="P181" s="122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26">
        <v>45280</v>
      </c>
      <c r="AF181" s="13" t="s">
        <v>162</v>
      </c>
      <c r="AI181" s="114"/>
    </row>
    <row r="182" spans="9:35" x14ac:dyDescent="0.4">
      <c r="I182" s="115"/>
      <c r="J182" s="115"/>
      <c r="K182" s="115"/>
      <c r="L182" s="115"/>
      <c r="M182" s="115"/>
      <c r="N182" s="122"/>
      <c r="O182" s="122"/>
      <c r="P182" s="122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 t="s">
        <v>171</v>
      </c>
      <c r="AE182" s="17">
        <f>SUBTOTAL(3,AE166:AE181)</f>
        <v>13</v>
      </c>
      <c r="AF182" s="13">
        <f>SUBTOTAL(3,AF166:AF181)</f>
        <v>13</v>
      </c>
      <c r="AI182" s="114"/>
    </row>
    <row r="183" spans="9:35" x14ac:dyDescent="0.4">
      <c r="I183" s="115"/>
      <c r="J183" s="115"/>
      <c r="K183" s="115"/>
      <c r="L183" s="115"/>
      <c r="M183" s="115"/>
      <c r="N183" s="122"/>
      <c r="O183" s="122"/>
      <c r="P183" s="122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26">
        <v>45283</v>
      </c>
      <c r="AF183" s="13" t="s">
        <v>162</v>
      </c>
      <c r="AI183" s="114"/>
    </row>
    <row r="184" spans="9:35" x14ac:dyDescent="0.4">
      <c r="I184" s="115"/>
      <c r="J184" s="115"/>
      <c r="K184" s="115"/>
      <c r="L184" s="115"/>
      <c r="M184" s="115"/>
      <c r="N184" s="122"/>
      <c r="O184" s="122"/>
      <c r="P184" s="122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26">
        <v>45283</v>
      </c>
      <c r="AF184" s="13" t="s">
        <v>162</v>
      </c>
      <c r="AI184" s="114"/>
    </row>
    <row r="185" spans="9:35" x14ac:dyDescent="0.4">
      <c r="I185" s="115"/>
      <c r="J185" s="115"/>
      <c r="K185" s="115"/>
      <c r="L185" s="115"/>
      <c r="M185" s="115"/>
      <c r="N185" s="122"/>
      <c r="O185" s="122"/>
      <c r="P185" s="122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26">
        <v>45283</v>
      </c>
      <c r="AF185" s="13" t="s">
        <v>162</v>
      </c>
      <c r="AI185" s="114"/>
    </row>
    <row r="186" spans="9:35" x14ac:dyDescent="0.4">
      <c r="I186" s="115"/>
      <c r="J186" s="115"/>
      <c r="K186" s="115"/>
      <c r="L186" s="115"/>
      <c r="M186" s="115"/>
      <c r="N186" s="122"/>
      <c r="O186" s="122"/>
      <c r="P186" s="122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26">
        <v>45283</v>
      </c>
      <c r="AF186" s="13" t="s">
        <v>162</v>
      </c>
      <c r="AI186" s="114"/>
    </row>
    <row r="187" spans="9:35" x14ac:dyDescent="0.4">
      <c r="I187" s="115"/>
      <c r="J187" s="115"/>
      <c r="K187" s="115"/>
      <c r="L187" s="115"/>
      <c r="M187" s="115"/>
      <c r="N187" s="122"/>
      <c r="O187" s="122"/>
      <c r="P187" s="122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26">
        <v>45283</v>
      </c>
      <c r="AF187" s="13" t="s">
        <v>162</v>
      </c>
      <c r="AI187" s="114"/>
    </row>
    <row r="188" spans="9:35" x14ac:dyDescent="0.4">
      <c r="I188" s="115"/>
      <c r="J188" s="115"/>
      <c r="K188" s="115"/>
      <c r="L188" s="115"/>
      <c r="M188" s="115"/>
      <c r="N188" s="122"/>
      <c r="O188" s="122"/>
      <c r="P188" s="122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26">
        <v>45283</v>
      </c>
      <c r="AF188" s="13" t="s">
        <v>162</v>
      </c>
      <c r="AI188" s="114"/>
    </row>
    <row r="189" spans="9:35" x14ac:dyDescent="0.4">
      <c r="I189" s="115"/>
      <c r="J189" s="115"/>
      <c r="K189" s="115"/>
      <c r="L189" s="115"/>
      <c r="M189" s="115"/>
      <c r="N189" s="122"/>
      <c r="O189" s="122"/>
      <c r="P189" s="122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26">
        <v>45283</v>
      </c>
      <c r="AF189" s="13" t="s">
        <v>162</v>
      </c>
      <c r="AI189" s="114"/>
    </row>
    <row r="190" spans="9:35" x14ac:dyDescent="0.4">
      <c r="I190" s="115"/>
      <c r="J190" s="115"/>
      <c r="K190" s="115"/>
      <c r="L190" s="115"/>
      <c r="M190" s="115"/>
      <c r="N190" s="122"/>
      <c r="O190" s="122"/>
      <c r="P190" s="122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26">
        <v>45283</v>
      </c>
      <c r="AF190" s="13" t="s">
        <v>162</v>
      </c>
      <c r="AI190" s="114"/>
    </row>
    <row r="191" spans="9:35" x14ac:dyDescent="0.4">
      <c r="I191" s="115"/>
      <c r="J191" s="115"/>
      <c r="K191" s="115"/>
      <c r="L191" s="115"/>
      <c r="M191" s="115"/>
      <c r="N191" s="122"/>
      <c r="O191" s="122"/>
      <c r="P191" s="122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26">
        <v>45283</v>
      </c>
      <c r="AF191" s="13" t="s">
        <v>162</v>
      </c>
      <c r="AI191" s="114"/>
    </row>
    <row r="192" spans="9:35" x14ac:dyDescent="0.4">
      <c r="I192" s="115"/>
      <c r="J192" s="115"/>
      <c r="K192" s="115"/>
      <c r="L192" s="115"/>
      <c r="M192" s="115"/>
      <c r="N192" s="122"/>
      <c r="O192" s="122"/>
      <c r="P192" s="122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26">
        <v>45283</v>
      </c>
      <c r="AF192" s="13" t="s">
        <v>162</v>
      </c>
      <c r="AI192" s="114"/>
    </row>
    <row r="193" spans="9:35" x14ac:dyDescent="0.4">
      <c r="I193" s="115"/>
      <c r="J193" s="115"/>
      <c r="K193" s="115"/>
      <c r="L193" s="115"/>
      <c r="M193" s="115"/>
      <c r="N193" s="122"/>
      <c r="O193" s="122"/>
      <c r="P193" s="122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26">
        <v>45283</v>
      </c>
      <c r="AF193" s="13" t="s">
        <v>163</v>
      </c>
      <c r="AI193" s="114"/>
    </row>
    <row r="194" spans="9:35" x14ac:dyDescent="0.4">
      <c r="I194" s="115"/>
      <c r="J194" s="115"/>
      <c r="K194" s="115"/>
      <c r="L194" s="115"/>
      <c r="M194" s="115"/>
      <c r="N194" s="122"/>
      <c r="O194" s="122"/>
      <c r="P194" s="122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6">
        <v>45283</v>
      </c>
      <c r="AF194" s="13" t="s">
        <v>163</v>
      </c>
      <c r="AI194" s="114"/>
    </row>
    <row r="195" spans="9:35" x14ac:dyDescent="0.4">
      <c r="I195" s="115"/>
      <c r="J195" s="115"/>
      <c r="K195" s="115"/>
      <c r="L195" s="115"/>
      <c r="M195" s="115"/>
      <c r="N195" s="122"/>
      <c r="O195" s="122"/>
      <c r="P195" s="122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6">
        <v>45283</v>
      </c>
      <c r="AF195" s="13" t="s">
        <v>163</v>
      </c>
      <c r="AI195" s="114"/>
    </row>
    <row r="196" spans="9:35" x14ac:dyDescent="0.4">
      <c r="I196" s="115"/>
      <c r="J196" s="115"/>
      <c r="K196" s="115"/>
      <c r="L196" s="115"/>
      <c r="M196" s="115"/>
      <c r="N196" s="122"/>
      <c r="O196" s="122"/>
      <c r="P196" s="122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 t="s">
        <v>161</v>
      </c>
      <c r="AE196" s="17">
        <f>SUBTOTAL(3,AE183:AE195)</f>
        <v>13</v>
      </c>
      <c r="AF196" s="13">
        <f>SUBTOTAL(3,AF183:AF195)</f>
        <v>13</v>
      </c>
      <c r="AI196" s="114"/>
    </row>
    <row r="197" spans="9:35" x14ac:dyDescent="0.4">
      <c r="I197" s="115"/>
      <c r="J197" s="115"/>
      <c r="K197" s="115"/>
      <c r="L197" s="115"/>
      <c r="M197" s="115"/>
      <c r="N197" s="122"/>
      <c r="O197" s="122"/>
      <c r="P197" s="122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26">
        <v>45285</v>
      </c>
      <c r="AF197" s="13" t="s">
        <v>163</v>
      </c>
      <c r="AI197" s="114"/>
    </row>
    <row r="198" spans="9:35" x14ac:dyDescent="0.4">
      <c r="I198" s="115"/>
      <c r="J198" s="115"/>
      <c r="K198" s="115"/>
      <c r="L198" s="115"/>
      <c r="M198" s="115"/>
      <c r="N198" s="122"/>
      <c r="O198" s="122"/>
      <c r="P198" s="122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 t="s">
        <v>172</v>
      </c>
      <c r="AE198" s="17">
        <f>SUBTOTAL(3,AE197:AE197)</f>
        <v>1</v>
      </c>
      <c r="AF198" s="13">
        <f>SUBTOTAL(3,AF197:AF197)</f>
        <v>1</v>
      </c>
      <c r="AI198" s="114"/>
    </row>
    <row r="199" spans="9:35" x14ac:dyDescent="0.4">
      <c r="I199" s="115"/>
      <c r="J199" s="115"/>
      <c r="K199" s="115"/>
      <c r="L199" s="115"/>
      <c r="M199" s="115"/>
      <c r="N199" s="122"/>
      <c r="O199" s="122"/>
      <c r="P199" s="122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26">
        <v>45299</v>
      </c>
      <c r="AF199" s="13" t="s">
        <v>164</v>
      </c>
      <c r="AI199" s="114"/>
    </row>
    <row r="200" spans="9:35" x14ac:dyDescent="0.4">
      <c r="I200" s="115"/>
      <c r="J200" s="115"/>
      <c r="K200" s="115"/>
      <c r="L200" s="115"/>
      <c r="M200" s="115"/>
      <c r="N200" s="122"/>
      <c r="O200" s="122"/>
      <c r="P200" s="122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26">
        <v>45299</v>
      </c>
      <c r="AF200" s="13" t="s">
        <v>162</v>
      </c>
      <c r="AI200" s="114"/>
    </row>
    <row r="201" spans="9:35" x14ac:dyDescent="0.4">
      <c r="I201" s="115"/>
      <c r="J201" s="115"/>
      <c r="K201" s="115"/>
      <c r="L201" s="115"/>
      <c r="M201" s="115"/>
      <c r="N201" s="122"/>
      <c r="O201" s="122"/>
      <c r="P201" s="122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26">
        <v>45299</v>
      </c>
      <c r="AF201" s="13" t="s">
        <v>162</v>
      </c>
      <c r="AI201" s="114"/>
    </row>
    <row r="202" spans="9:35" x14ac:dyDescent="0.4">
      <c r="I202" s="115"/>
      <c r="J202" s="115"/>
      <c r="K202" s="115"/>
      <c r="L202" s="115"/>
      <c r="M202" s="115"/>
      <c r="N202" s="122"/>
      <c r="O202" s="122"/>
      <c r="P202" s="122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26">
        <v>45299</v>
      </c>
      <c r="AF202" s="15" t="s">
        <v>162</v>
      </c>
      <c r="AI202" s="114"/>
    </row>
    <row r="203" spans="9:35" x14ac:dyDescent="0.4">
      <c r="I203" s="115"/>
      <c r="J203" s="115"/>
      <c r="K203" s="115"/>
      <c r="L203" s="115"/>
      <c r="M203" s="115"/>
      <c r="N203" s="122"/>
      <c r="O203" s="122"/>
      <c r="P203" s="122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 t="s">
        <v>173</v>
      </c>
      <c r="AE203" s="17">
        <f>SUBTOTAL(3,AE199:AE202)</f>
        <v>4</v>
      </c>
      <c r="AF203" s="13">
        <f>SUBTOTAL(3,AF199:AF202)</f>
        <v>4</v>
      </c>
      <c r="AI203" s="114"/>
    </row>
    <row r="204" spans="9:35" x14ac:dyDescent="0.4">
      <c r="I204" s="115"/>
      <c r="J204" s="115"/>
      <c r="K204" s="115"/>
      <c r="L204" s="115"/>
      <c r="M204" s="115"/>
      <c r="N204" s="122"/>
      <c r="O204" s="122"/>
      <c r="P204" s="122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 t="s">
        <v>145</v>
      </c>
      <c r="AE204" s="17">
        <f>SUBTOTAL(3,AE2:AE202)</f>
        <v>136</v>
      </c>
      <c r="AF204" s="13">
        <f>SUBTOTAL(3,AF2:AF202)</f>
        <v>136</v>
      </c>
      <c r="AI204" s="114"/>
    </row>
    <row r="205" spans="9:35" x14ac:dyDescent="0.4">
      <c r="I205" s="115"/>
      <c r="J205" s="115"/>
      <c r="K205" s="115"/>
      <c r="L205" s="115"/>
      <c r="M205" s="115"/>
      <c r="N205" s="122"/>
      <c r="O205" s="122"/>
      <c r="P205" s="122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 t="s">
        <v>145</v>
      </c>
      <c r="AC205" s="115"/>
      <c r="AD205" s="115"/>
      <c r="AE205" s="26"/>
      <c r="AF205" s="13"/>
      <c r="AI205" s="114"/>
    </row>
    <row r="206" spans="9:35" x14ac:dyDescent="0.4">
      <c r="I206" s="115"/>
      <c r="J206" s="115"/>
      <c r="K206" s="115"/>
      <c r="L206" s="115"/>
      <c r="M206" s="115"/>
      <c r="N206" s="122"/>
      <c r="O206" s="122"/>
      <c r="P206" s="122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7"/>
      <c r="AF206" s="13"/>
      <c r="AI206" s="114"/>
    </row>
    <row r="207" spans="9:35" x14ac:dyDescent="0.4">
      <c r="I207" s="115"/>
      <c r="J207" s="115"/>
      <c r="K207" s="115"/>
      <c r="L207" s="115"/>
      <c r="M207" s="115"/>
      <c r="N207" s="122"/>
      <c r="O207" s="122"/>
      <c r="P207" s="122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26"/>
      <c r="AF207" s="13"/>
      <c r="AI207" s="114"/>
    </row>
    <row r="208" spans="9:35" x14ac:dyDescent="0.4">
      <c r="I208" s="115"/>
      <c r="J208" s="115"/>
      <c r="K208" s="115"/>
      <c r="L208" s="115"/>
      <c r="M208" s="115"/>
      <c r="N208" s="122"/>
      <c r="O208" s="122"/>
      <c r="P208" s="122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7"/>
      <c r="AF208" s="13"/>
      <c r="AI208" s="114"/>
    </row>
    <row r="209" spans="9:35" x14ac:dyDescent="0.4">
      <c r="I209" s="115"/>
      <c r="J209" s="115"/>
      <c r="K209" s="115"/>
      <c r="L209" s="115"/>
      <c r="M209" s="115"/>
      <c r="N209" s="122"/>
      <c r="O209" s="122"/>
      <c r="P209" s="122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26"/>
      <c r="AF209" s="13"/>
      <c r="AI209" s="114"/>
    </row>
    <row r="210" spans="9:35" x14ac:dyDescent="0.4">
      <c r="I210" s="115"/>
      <c r="J210" s="115"/>
      <c r="K210" s="115"/>
      <c r="L210" s="115"/>
      <c r="M210" s="115"/>
      <c r="N210" s="122"/>
      <c r="O210" s="122"/>
      <c r="P210" s="122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26"/>
      <c r="AF210" s="13"/>
      <c r="AI210" s="114"/>
    </row>
    <row r="211" spans="9:35" x14ac:dyDescent="0.4">
      <c r="I211" s="115"/>
      <c r="J211" s="115"/>
      <c r="K211" s="115"/>
      <c r="L211" s="115"/>
      <c r="M211" s="115"/>
      <c r="N211" s="122"/>
      <c r="O211" s="122"/>
      <c r="P211" s="122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26"/>
      <c r="AF211" s="13"/>
      <c r="AI211" s="114"/>
    </row>
    <row r="212" spans="9:35" x14ac:dyDescent="0.4">
      <c r="I212" s="115"/>
      <c r="J212" s="115"/>
      <c r="K212" s="115"/>
      <c r="L212" s="115"/>
      <c r="M212" s="115"/>
      <c r="N212" s="122"/>
      <c r="O212" s="122"/>
      <c r="P212" s="122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7"/>
      <c r="AF212" s="13"/>
      <c r="AI212" s="114"/>
    </row>
    <row r="213" spans="9:35" x14ac:dyDescent="0.4">
      <c r="I213" s="115"/>
      <c r="J213" s="115"/>
      <c r="K213" s="115"/>
      <c r="L213" s="115"/>
      <c r="M213" s="115"/>
      <c r="N213" s="122"/>
      <c r="O213" s="122"/>
      <c r="P213" s="122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26"/>
      <c r="AF213" s="13"/>
      <c r="AI213" s="114"/>
    </row>
    <row r="214" spans="9:35" x14ac:dyDescent="0.4">
      <c r="I214" s="115"/>
      <c r="J214" s="115"/>
      <c r="K214" s="115"/>
      <c r="L214" s="115"/>
      <c r="M214" s="115"/>
      <c r="N214" s="122"/>
      <c r="O214" s="122"/>
      <c r="P214" s="122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7"/>
      <c r="AF214" s="13"/>
      <c r="AI214" s="114"/>
    </row>
    <row r="215" spans="9:35" x14ac:dyDescent="0.4">
      <c r="I215" s="115"/>
      <c r="J215" s="115"/>
      <c r="K215" s="115"/>
      <c r="L215" s="115"/>
      <c r="M215" s="115"/>
      <c r="N215" s="122"/>
      <c r="O215" s="122"/>
      <c r="P215" s="122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26"/>
      <c r="AF215" s="13"/>
      <c r="AI215" s="114"/>
    </row>
    <row r="216" spans="9:35" x14ac:dyDescent="0.4">
      <c r="I216" s="115"/>
      <c r="J216" s="115"/>
      <c r="K216" s="115"/>
      <c r="L216" s="115"/>
      <c r="M216" s="115"/>
      <c r="N216" s="122"/>
      <c r="O216" s="122"/>
      <c r="P216" s="122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7"/>
      <c r="AF216" s="13"/>
      <c r="AI216" s="114"/>
    </row>
    <row r="217" spans="9:35" x14ac:dyDescent="0.4">
      <c r="I217" s="115"/>
      <c r="J217" s="115"/>
      <c r="K217" s="115"/>
      <c r="L217" s="115"/>
      <c r="M217" s="115"/>
      <c r="N217" s="122"/>
      <c r="O217" s="122"/>
      <c r="P217" s="122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7"/>
      <c r="AF217" s="13"/>
      <c r="AI217" s="114"/>
    </row>
    <row r="218" spans="9:35" x14ac:dyDescent="0.4">
      <c r="I218" s="115"/>
      <c r="J218" s="115"/>
      <c r="K218" s="115"/>
      <c r="L218" s="115"/>
      <c r="M218" s="115"/>
      <c r="N218" s="122"/>
      <c r="O218" s="122"/>
      <c r="P218" s="122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7"/>
      <c r="AF218" s="13"/>
      <c r="AI218" s="114"/>
    </row>
    <row r="219" spans="9:35" x14ac:dyDescent="0.4">
      <c r="I219" s="115"/>
      <c r="J219" s="115"/>
      <c r="K219" s="115"/>
      <c r="L219" s="115"/>
      <c r="M219" s="115"/>
      <c r="N219" s="122"/>
      <c r="O219" s="122"/>
      <c r="P219" s="122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26"/>
      <c r="AF219" s="13"/>
      <c r="AI219" s="114"/>
    </row>
    <row r="220" spans="9:35" x14ac:dyDescent="0.4">
      <c r="I220" s="115"/>
      <c r="J220" s="115"/>
      <c r="K220" s="115"/>
      <c r="L220" s="115"/>
      <c r="M220" s="115"/>
      <c r="N220" s="122"/>
      <c r="O220" s="122"/>
      <c r="P220" s="122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7"/>
      <c r="AF220" s="13"/>
      <c r="AI220" s="114"/>
    </row>
    <row r="221" spans="9:35" x14ac:dyDescent="0.4">
      <c r="I221" s="115"/>
      <c r="J221" s="115"/>
      <c r="K221" s="115"/>
      <c r="L221" s="115"/>
      <c r="M221" s="115"/>
      <c r="N221" s="122"/>
      <c r="O221" s="122"/>
      <c r="P221" s="122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26"/>
      <c r="AF221" s="13"/>
      <c r="AI221" s="114"/>
    </row>
    <row r="222" spans="9:35" x14ac:dyDescent="0.4">
      <c r="I222" s="115"/>
      <c r="J222" s="115"/>
      <c r="K222" s="115"/>
      <c r="L222" s="115"/>
      <c r="M222" s="115"/>
      <c r="N222" s="122"/>
      <c r="O222" s="122"/>
      <c r="P222" s="122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7"/>
      <c r="AF222" s="13"/>
      <c r="AI222" s="114"/>
    </row>
    <row r="223" spans="9:35" x14ac:dyDescent="0.4">
      <c r="I223" s="115"/>
      <c r="J223" s="115"/>
      <c r="K223" s="115"/>
      <c r="L223" s="115"/>
      <c r="M223" s="115"/>
      <c r="N223" s="122"/>
      <c r="O223" s="122"/>
      <c r="P223" s="122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26"/>
      <c r="AF223" s="25"/>
      <c r="AI223" s="114"/>
    </row>
    <row r="224" spans="9:35" x14ac:dyDescent="0.4">
      <c r="I224" s="115"/>
      <c r="J224" s="115"/>
      <c r="K224" s="115"/>
      <c r="L224" s="115"/>
      <c r="M224" s="115"/>
      <c r="N224" s="122"/>
      <c r="O224" s="122"/>
      <c r="P224" s="122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7"/>
      <c r="AF224" s="13"/>
      <c r="AI224" s="114"/>
    </row>
    <row r="225" spans="9:35" x14ac:dyDescent="0.4">
      <c r="I225" s="115"/>
      <c r="J225" s="115"/>
      <c r="K225" s="115"/>
      <c r="L225" s="115"/>
      <c r="M225" s="115"/>
      <c r="N225" s="122"/>
      <c r="O225" s="122"/>
      <c r="P225" s="122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7"/>
      <c r="AF225" s="13"/>
      <c r="AI225" s="114"/>
    </row>
    <row r="226" spans="9:35" x14ac:dyDescent="0.4">
      <c r="I226" s="115"/>
      <c r="J226" s="115"/>
      <c r="K226" s="115"/>
      <c r="L226" s="115"/>
      <c r="M226" s="115"/>
      <c r="N226" s="122"/>
      <c r="O226" s="122"/>
      <c r="P226" s="122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26"/>
      <c r="AF226" s="15"/>
      <c r="AI226" s="114"/>
    </row>
    <row r="227" spans="9:35" x14ac:dyDescent="0.4">
      <c r="I227" s="115"/>
      <c r="J227" s="115"/>
      <c r="K227" s="115"/>
      <c r="L227" s="115"/>
      <c r="M227" s="115"/>
      <c r="N227" s="122"/>
      <c r="O227" s="122"/>
      <c r="P227" s="122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26"/>
      <c r="AF227" s="15"/>
      <c r="AI227" s="114"/>
    </row>
    <row r="228" spans="9:35" x14ac:dyDescent="0.4">
      <c r="I228" s="115"/>
      <c r="J228" s="115"/>
      <c r="K228" s="115"/>
      <c r="L228" s="115"/>
      <c r="M228" s="115"/>
      <c r="N228" s="122"/>
      <c r="O228" s="122"/>
      <c r="P228" s="122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26"/>
      <c r="AF228" s="15"/>
      <c r="AI228" s="114"/>
    </row>
    <row r="229" spans="9:35" x14ac:dyDescent="0.4">
      <c r="I229" s="115"/>
      <c r="J229" s="115"/>
      <c r="K229" s="115"/>
      <c r="L229" s="115"/>
      <c r="M229" s="115"/>
      <c r="N229" s="122"/>
      <c r="O229" s="122"/>
      <c r="P229" s="122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6"/>
      <c r="AF229" s="15"/>
      <c r="AI229" s="114"/>
    </row>
    <row r="230" spans="9:35" x14ac:dyDescent="0.4">
      <c r="I230" s="115"/>
      <c r="J230" s="115"/>
      <c r="K230" s="115"/>
      <c r="L230" s="115"/>
      <c r="M230" s="115"/>
      <c r="N230" s="122"/>
      <c r="O230" s="122"/>
      <c r="P230" s="122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26"/>
      <c r="AF230" s="15"/>
      <c r="AI230" s="114"/>
    </row>
    <row r="231" spans="9:35" x14ac:dyDescent="0.4">
      <c r="I231" s="115"/>
      <c r="J231" s="115"/>
      <c r="K231" s="115"/>
      <c r="L231" s="115"/>
      <c r="M231" s="115"/>
      <c r="N231" s="122"/>
      <c r="O231" s="122"/>
      <c r="P231" s="122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26"/>
      <c r="AF231" s="15"/>
      <c r="AI231" s="114"/>
    </row>
    <row r="232" spans="9:35" x14ac:dyDescent="0.4">
      <c r="I232" s="115"/>
      <c r="J232" s="115"/>
      <c r="K232" s="115"/>
      <c r="L232" s="115"/>
      <c r="M232" s="115"/>
      <c r="N232" s="122"/>
      <c r="O232" s="122"/>
      <c r="P232" s="122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26"/>
      <c r="AF232" s="15"/>
      <c r="AI232" s="114"/>
    </row>
    <row r="233" spans="9:35" x14ac:dyDescent="0.4">
      <c r="I233" s="115"/>
      <c r="J233" s="115"/>
      <c r="K233" s="115"/>
      <c r="L233" s="115"/>
      <c r="M233" s="115"/>
      <c r="N233" s="122"/>
      <c r="O233" s="122"/>
      <c r="P233" s="122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26"/>
      <c r="AF233" s="15"/>
      <c r="AI233" s="114"/>
    </row>
    <row r="234" spans="9:35" x14ac:dyDescent="0.4">
      <c r="I234" s="115"/>
      <c r="J234" s="115"/>
      <c r="K234" s="115"/>
      <c r="L234" s="115"/>
      <c r="M234" s="115"/>
      <c r="N234" s="122"/>
      <c r="O234" s="122"/>
      <c r="P234" s="122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7"/>
      <c r="AF234" s="15"/>
      <c r="AI234" s="114"/>
    </row>
    <row r="235" spans="9:35" x14ac:dyDescent="0.4">
      <c r="I235" s="115"/>
      <c r="J235" s="115"/>
      <c r="K235" s="115"/>
      <c r="L235" s="115"/>
      <c r="M235" s="115"/>
      <c r="N235" s="122"/>
      <c r="O235" s="122"/>
      <c r="P235" s="122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6"/>
      <c r="AF235" s="15"/>
      <c r="AI235" s="114"/>
    </row>
    <row r="236" spans="9:35" x14ac:dyDescent="0.4">
      <c r="I236" s="115"/>
      <c r="J236" s="115"/>
      <c r="K236" s="115"/>
      <c r="L236" s="115"/>
      <c r="M236" s="115"/>
      <c r="N236" s="122"/>
      <c r="O236" s="122"/>
      <c r="P236" s="122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26"/>
      <c r="AF236" s="13"/>
      <c r="AI236" s="114"/>
    </row>
    <row r="237" spans="9:35" x14ac:dyDescent="0.4">
      <c r="I237" s="115"/>
      <c r="J237" s="115"/>
      <c r="K237" s="115"/>
      <c r="L237" s="115"/>
      <c r="M237" s="115"/>
      <c r="N237" s="122"/>
      <c r="O237" s="122"/>
      <c r="P237" s="122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26"/>
      <c r="AF237" s="13"/>
      <c r="AI237" s="114"/>
    </row>
    <row r="238" spans="9:35" x14ac:dyDescent="0.4">
      <c r="I238" s="115"/>
      <c r="J238" s="115"/>
      <c r="K238" s="115"/>
      <c r="L238" s="115"/>
      <c r="M238" s="115"/>
      <c r="N238" s="122"/>
      <c r="O238" s="122"/>
      <c r="P238" s="122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26"/>
      <c r="AF238" s="13"/>
      <c r="AI238" s="114"/>
    </row>
    <row r="239" spans="9:35" x14ac:dyDescent="0.4">
      <c r="I239" s="115"/>
      <c r="J239" s="115"/>
      <c r="K239" s="115"/>
      <c r="L239" s="115"/>
      <c r="M239" s="115"/>
      <c r="N239" s="122"/>
      <c r="O239" s="122"/>
      <c r="P239" s="122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26"/>
      <c r="AF239" s="13"/>
      <c r="AI239" s="114"/>
    </row>
    <row r="240" spans="9:35" x14ac:dyDescent="0.4">
      <c r="I240" s="115"/>
      <c r="J240" s="115"/>
      <c r="K240" s="115"/>
      <c r="L240" s="115"/>
      <c r="M240" s="115"/>
      <c r="N240" s="122"/>
      <c r="O240" s="122"/>
      <c r="P240" s="122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26"/>
      <c r="AF240" s="13"/>
      <c r="AI240" s="114"/>
    </row>
    <row r="241" spans="9:35" x14ac:dyDescent="0.4">
      <c r="I241" s="115"/>
      <c r="J241" s="115"/>
      <c r="K241" s="115"/>
      <c r="L241" s="115"/>
      <c r="M241" s="115"/>
      <c r="N241" s="122"/>
      <c r="O241" s="122"/>
      <c r="P241" s="122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26"/>
      <c r="AF241" s="13"/>
      <c r="AI241" s="114"/>
    </row>
    <row r="242" spans="9:35" x14ac:dyDescent="0.4">
      <c r="I242" s="115"/>
      <c r="J242" s="115"/>
      <c r="K242" s="115"/>
      <c r="L242" s="115"/>
      <c r="M242" s="115"/>
      <c r="N242" s="122"/>
      <c r="O242" s="122"/>
      <c r="P242" s="122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26"/>
      <c r="AF242" s="13"/>
      <c r="AI242" s="114"/>
    </row>
    <row r="243" spans="9:35" x14ac:dyDescent="0.4">
      <c r="I243" s="115"/>
      <c r="J243" s="115"/>
      <c r="K243" s="115"/>
      <c r="L243" s="115"/>
      <c r="M243" s="115"/>
      <c r="N243" s="122"/>
      <c r="O243" s="122"/>
      <c r="P243" s="122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26"/>
      <c r="AF243" s="13"/>
      <c r="AI243" s="114"/>
    </row>
    <row r="244" spans="9:35" x14ac:dyDescent="0.4">
      <c r="I244" s="115"/>
      <c r="J244" s="115"/>
      <c r="K244" s="115"/>
      <c r="L244" s="115"/>
      <c r="M244" s="115"/>
      <c r="N244" s="122"/>
      <c r="O244" s="122"/>
      <c r="P244" s="122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26"/>
      <c r="AF244" s="13"/>
      <c r="AI244" s="114"/>
    </row>
    <row r="245" spans="9:35" x14ac:dyDescent="0.4">
      <c r="I245" s="115"/>
      <c r="J245" s="115"/>
      <c r="K245" s="115"/>
      <c r="L245" s="115"/>
      <c r="M245" s="115"/>
      <c r="N245" s="122"/>
      <c r="O245" s="122"/>
      <c r="P245" s="122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26"/>
      <c r="AF245" s="13"/>
      <c r="AI245" s="114"/>
    </row>
    <row r="246" spans="9:35" x14ac:dyDescent="0.4">
      <c r="I246" s="115"/>
      <c r="J246" s="115"/>
      <c r="K246" s="115"/>
      <c r="L246" s="115"/>
      <c r="M246" s="115"/>
      <c r="N246" s="122"/>
      <c r="O246" s="122"/>
      <c r="P246" s="122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26"/>
      <c r="AF246" s="13"/>
      <c r="AI246" s="114"/>
    </row>
    <row r="247" spans="9:35" x14ac:dyDescent="0.4">
      <c r="I247" s="115"/>
      <c r="J247" s="115"/>
      <c r="K247" s="115"/>
      <c r="L247" s="115"/>
      <c r="M247" s="115"/>
      <c r="N247" s="122"/>
      <c r="O247" s="122"/>
      <c r="P247" s="122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7"/>
      <c r="AF247" s="13"/>
      <c r="AI247" s="114"/>
    </row>
    <row r="248" spans="9:35" x14ac:dyDescent="0.4">
      <c r="I248" s="115"/>
      <c r="J248" s="115"/>
      <c r="K248" s="115"/>
      <c r="L248" s="115"/>
      <c r="M248" s="115"/>
      <c r="N248" s="122"/>
      <c r="O248" s="122"/>
      <c r="P248" s="122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26"/>
      <c r="AF248" s="13"/>
      <c r="AI248" s="114"/>
    </row>
    <row r="249" spans="9:35" x14ac:dyDescent="0.4">
      <c r="I249" s="115"/>
      <c r="J249" s="115"/>
      <c r="K249" s="115"/>
      <c r="L249" s="115"/>
      <c r="M249" s="115"/>
      <c r="N249" s="122"/>
      <c r="O249" s="122"/>
      <c r="P249" s="122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26"/>
      <c r="AF249" s="13"/>
      <c r="AI249" s="114"/>
    </row>
    <row r="250" spans="9:35" x14ac:dyDescent="0.4">
      <c r="I250" s="115"/>
      <c r="J250" s="115"/>
      <c r="K250" s="115"/>
      <c r="L250" s="115"/>
      <c r="M250" s="115"/>
      <c r="N250" s="122"/>
      <c r="O250" s="122"/>
      <c r="P250" s="122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26"/>
      <c r="AF250" s="13"/>
      <c r="AI250" s="114"/>
    </row>
    <row r="251" spans="9:35" x14ac:dyDescent="0.4">
      <c r="I251" s="115"/>
      <c r="J251" s="115"/>
      <c r="K251" s="115"/>
      <c r="L251" s="115"/>
      <c r="M251" s="115"/>
      <c r="N251" s="122"/>
      <c r="O251" s="122"/>
      <c r="P251" s="122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7"/>
      <c r="AF251" s="13"/>
      <c r="AI251" s="114"/>
    </row>
    <row r="252" spans="9:35" x14ac:dyDescent="0.4">
      <c r="I252" s="115"/>
      <c r="J252" s="115"/>
      <c r="K252" s="115"/>
      <c r="L252" s="115"/>
      <c r="M252" s="115"/>
      <c r="N252" s="122"/>
      <c r="O252" s="122"/>
      <c r="P252" s="122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6"/>
      <c r="AF252" s="13"/>
      <c r="AI252" s="114"/>
    </row>
    <row r="253" spans="9:35" x14ac:dyDescent="0.4">
      <c r="I253" s="115"/>
      <c r="J253" s="115"/>
      <c r="K253" s="115"/>
      <c r="L253" s="115"/>
      <c r="M253" s="115"/>
      <c r="N253" s="122"/>
      <c r="O253" s="122"/>
      <c r="P253" s="122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7"/>
      <c r="AF253" s="13"/>
      <c r="AI253" s="114"/>
    </row>
    <row r="254" spans="9:35" x14ac:dyDescent="0.4">
      <c r="I254" s="115"/>
      <c r="J254" s="115"/>
      <c r="K254" s="115"/>
      <c r="L254" s="115"/>
      <c r="M254" s="115"/>
      <c r="N254" s="122"/>
      <c r="O254" s="122"/>
      <c r="P254" s="122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26"/>
      <c r="AF254" s="13"/>
      <c r="AI254" s="114"/>
    </row>
    <row r="255" spans="9:35" x14ac:dyDescent="0.4">
      <c r="I255" s="115"/>
      <c r="J255" s="115"/>
      <c r="K255" s="115"/>
      <c r="L255" s="115"/>
      <c r="M255" s="115"/>
      <c r="N255" s="122"/>
      <c r="O255" s="122"/>
      <c r="P255" s="122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26"/>
      <c r="AF255" s="15"/>
      <c r="AI255" s="114"/>
    </row>
    <row r="256" spans="9:35" x14ac:dyDescent="0.4">
      <c r="I256" s="115"/>
      <c r="J256" s="115"/>
      <c r="K256" s="115"/>
      <c r="L256" s="115"/>
      <c r="M256" s="115"/>
      <c r="N256" s="122"/>
      <c r="O256" s="122"/>
      <c r="P256" s="122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7"/>
      <c r="AF256" s="15"/>
      <c r="AI256" s="114"/>
    </row>
    <row r="257" spans="8:35" x14ac:dyDescent="0.4">
      <c r="I257" s="115"/>
      <c r="J257" s="115"/>
      <c r="K257" s="115"/>
      <c r="L257" s="115"/>
      <c r="M257" s="115"/>
      <c r="N257" s="122"/>
      <c r="O257" s="122"/>
      <c r="P257" s="122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7"/>
      <c r="AF257" s="15"/>
      <c r="AI257" s="114"/>
    </row>
    <row r="258" spans="8:35" x14ac:dyDescent="0.4">
      <c r="H258" s="115"/>
      <c r="I258" s="115"/>
      <c r="J258" s="115"/>
      <c r="K258" s="115"/>
      <c r="L258" s="115"/>
      <c r="M258" s="115"/>
      <c r="N258" s="122"/>
      <c r="O258" s="122"/>
      <c r="P258" s="122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26"/>
      <c r="AF258" s="15"/>
      <c r="AI258" s="114"/>
    </row>
    <row r="259" spans="8:35" x14ac:dyDescent="0.4">
      <c r="H259" s="115"/>
      <c r="I259" s="115"/>
      <c r="J259" s="115"/>
      <c r="K259" s="115"/>
      <c r="L259" s="115"/>
      <c r="M259" s="115"/>
      <c r="N259" s="122"/>
      <c r="O259" s="122"/>
      <c r="P259" s="122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7"/>
      <c r="AF259" s="15"/>
      <c r="AI259" s="114"/>
    </row>
    <row r="260" spans="8:35" x14ac:dyDescent="0.4">
      <c r="H260" s="115"/>
      <c r="I260" s="115"/>
      <c r="J260" s="115"/>
      <c r="K260" s="115"/>
      <c r="L260" s="115"/>
      <c r="M260" s="115"/>
      <c r="N260" s="122"/>
      <c r="O260" s="122"/>
      <c r="P260" s="122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26"/>
      <c r="AF260" s="15"/>
      <c r="AI260" s="114"/>
    </row>
    <row r="261" spans="8:35" x14ac:dyDescent="0.4">
      <c r="H261" s="115"/>
      <c r="I261" s="115"/>
      <c r="J261" s="115"/>
      <c r="K261" s="115"/>
      <c r="L261" s="115"/>
      <c r="M261" s="115"/>
      <c r="N261" s="122"/>
      <c r="O261" s="122"/>
      <c r="P261" s="122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26"/>
      <c r="AF261" s="15"/>
      <c r="AI261" s="114"/>
    </row>
    <row r="262" spans="8:35" x14ac:dyDescent="0.4">
      <c r="H262" s="115"/>
      <c r="I262" s="115"/>
      <c r="J262" s="115"/>
      <c r="K262" s="115"/>
      <c r="L262" s="115"/>
      <c r="M262" s="115"/>
      <c r="N262" s="122"/>
      <c r="O262" s="122"/>
      <c r="P262" s="122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7"/>
      <c r="AF262" s="15"/>
      <c r="AI262" s="114"/>
    </row>
    <row r="263" spans="8:35" x14ac:dyDescent="0.4">
      <c r="H263" s="115"/>
      <c r="I263" s="115"/>
      <c r="J263" s="115"/>
      <c r="K263" s="115"/>
      <c r="L263" s="115"/>
      <c r="M263" s="115"/>
      <c r="N263" s="122"/>
      <c r="O263" s="122"/>
      <c r="P263" s="122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26"/>
      <c r="AF263" s="15"/>
      <c r="AI263" s="114"/>
    </row>
    <row r="264" spans="8:35" x14ac:dyDescent="0.4">
      <c r="H264" s="115"/>
      <c r="I264" s="115"/>
      <c r="J264" s="115"/>
      <c r="K264" s="115"/>
      <c r="L264" s="115"/>
      <c r="M264" s="115"/>
      <c r="N264" s="122"/>
      <c r="O264" s="122"/>
      <c r="P264" s="122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7"/>
      <c r="AF264" s="15"/>
      <c r="AI264" s="114"/>
    </row>
    <row r="265" spans="8:35" x14ac:dyDescent="0.4">
      <c r="H265" s="115"/>
      <c r="I265" s="115"/>
      <c r="J265" s="115"/>
      <c r="K265" s="115"/>
      <c r="L265" s="115"/>
      <c r="M265" s="115"/>
      <c r="N265" s="122"/>
      <c r="O265" s="122"/>
      <c r="P265" s="122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7"/>
      <c r="AF265" s="15"/>
      <c r="AI265" s="114"/>
    </row>
    <row r="266" spans="8:35" x14ac:dyDescent="0.4">
      <c r="H266" s="115"/>
      <c r="I266" s="115"/>
      <c r="J266" s="115"/>
      <c r="K266" s="115"/>
      <c r="L266" s="115"/>
      <c r="M266" s="115"/>
      <c r="N266" s="122"/>
      <c r="O266" s="122"/>
      <c r="P266" s="122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26"/>
      <c r="AF266" s="15"/>
      <c r="AI266" s="114"/>
    </row>
    <row r="267" spans="8:35" x14ac:dyDescent="0.4">
      <c r="H267" s="115"/>
      <c r="I267" s="115"/>
      <c r="J267" s="115"/>
      <c r="K267" s="115"/>
      <c r="L267" s="115"/>
      <c r="M267" s="115"/>
      <c r="N267" s="122"/>
      <c r="O267" s="122"/>
      <c r="P267" s="122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26"/>
      <c r="AF267" s="15"/>
      <c r="AI267" s="114"/>
    </row>
    <row r="268" spans="8:35" x14ac:dyDescent="0.4">
      <c r="H268" s="115"/>
      <c r="I268" s="115"/>
      <c r="J268" s="115"/>
      <c r="K268" s="115"/>
      <c r="L268" s="115"/>
      <c r="M268" s="115"/>
      <c r="N268" s="122"/>
      <c r="O268" s="122"/>
      <c r="P268" s="122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26"/>
      <c r="AF268" s="15"/>
      <c r="AI268" s="114"/>
    </row>
    <row r="269" spans="8:35" x14ac:dyDescent="0.4">
      <c r="H269" s="115"/>
      <c r="I269" s="115"/>
      <c r="J269" s="115"/>
      <c r="K269" s="115"/>
      <c r="L269" s="115"/>
      <c r="M269" s="115"/>
      <c r="N269" s="122"/>
      <c r="O269" s="122"/>
      <c r="P269" s="122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26"/>
      <c r="AF269" s="15"/>
      <c r="AI269" s="114"/>
    </row>
    <row r="270" spans="8:35" x14ac:dyDescent="0.4">
      <c r="H270" s="115"/>
      <c r="I270" s="115"/>
      <c r="J270" s="115"/>
      <c r="K270" s="115"/>
      <c r="L270" s="115"/>
      <c r="M270" s="115"/>
      <c r="N270" s="122"/>
      <c r="O270" s="122"/>
      <c r="P270" s="122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26"/>
      <c r="AF270" s="15"/>
      <c r="AI270" s="114"/>
    </row>
    <row r="271" spans="8:35" x14ac:dyDescent="0.4">
      <c r="H271" s="115"/>
      <c r="I271" s="115"/>
      <c r="J271" s="115"/>
      <c r="K271" s="115"/>
      <c r="L271" s="115"/>
      <c r="M271" s="115"/>
      <c r="N271" s="122"/>
      <c r="O271" s="122"/>
      <c r="P271" s="122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26"/>
      <c r="AF271" s="15"/>
      <c r="AI271" s="114"/>
    </row>
    <row r="272" spans="8:35" x14ac:dyDescent="0.4">
      <c r="H272" s="115"/>
      <c r="I272" s="115"/>
      <c r="J272" s="115"/>
      <c r="K272" s="115"/>
      <c r="L272" s="115"/>
      <c r="M272" s="115"/>
      <c r="N272" s="122"/>
      <c r="O272" s="122"/>
      <c r="P272" s="122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26"/>
      <c r="AF272" s="15"/>
      <c r="AI272" s="114"/>
    </row>
    <row r="273" spans="5:35" x14ac:dyDescent="0.4">
      <c r="H273" s="115"/>
      <c r="I273" s="115"/>
      <c r="J273" s="115"/>
      <c r="K273" s="115"/>
      <c r="L273" s="115"/>
      <c r="M273" s="115"/>
      <c r="N273" s="122"/>
      <c r="O273" s="122"/>
      <c r="P273" s="122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7"/>
      <c r="AF273" s="15"/>
      <c r="AI273" s="114"/>
    </row>
    <row r="274" spans="5:35" x14ac:dyDescent="0.4">
      <c r="H274" s="115"/>
      <c r="I274" s="115"/>
      <c r="J274" s="115"/>
      <c r="K274" s="115"/>
      <c r="L274" s="115"/>
      <c r="M274" s="115"/>
      <c r="N274" s="122"/>
      <c r="O274" s="122"/>
      <c r="P274" s="122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26"/>
      <c r="AF274" s="15"/>
      <c r="AI274" s="114"/>
    </row>
    <row r="275" spans="5:35" x14ac:dyDescent="0.4">
      <c r="H275" s="115"/>
      <c r="I275" s="115"/>
      <c r="J275" s="115"/>
      <c r="K275" s="115"/>
      <c r="L275" s="115"/>
      <c r="M275" s="115"/>
      <c r="N275" s="122"/>
      <c r="O275" s="122"/>
      <c r="P275" s="122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26"/>
      <c r="AF275" s="15"/>
      <c r="AI275" s="114"/>
    </row>
    <row r="276" spans="5:35" x14ac:dyDescent="0.4">
      <c r="H276" s="115"/>
      <c r="I276" s="115"/>
      <c r="J276" s="115"/>
      <c r="K276" s="115"/>
      <c r="L276" s="115"/>
      <c r="M276" s="115"/>
      <c r="N276" s="122"/>
      <c r="O276" s="122"/>
      <c r="P276" s="122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26"/>
      <c r="AF276" s="15"/>
      <c r="AI276" s="114"/>
    </row>
    <row r="277" spans="5:35" x14ac:dyDescent="0.4">
      <c r="H277" s="115"/>
      <c r="I277" s="115"/>
      <c r="J277" s="115"/>
      <c r="K277" s="115"/>
      <c r="L277" s="115"/>
      <c r="M277" s="115"/>
      <c r="N277" s="122"/>
      <c r="O277" s="122"/>
      <c r="P277" s="122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26"/>
      <c r="AF277" s="13"/>
      <c r="AI277" s="114"/>
    </row>
    <row r="278" spans="5:35" x14ac:dyDescent="0.4">
      <c r="H278" s="115"/>
      <c r="I278" s="115"/>
      <c r="J278" s="115"/>
      <c r="K278" s="115"/>
      <c r="L278" s="115"/>
      <c r="M278" s="115"/>
      <c r="N278" s="122"/>
      <c r="O278" s="122"/>
      <c r="P278" s="122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7"/>
      <c r="AF278" s="13"/>
      <c r="AI278" s="114"/>
    </row>
    <row r="279" spans="5:35" x14ac:dyDescent="0.4">
      <c r="H279" s="115"/>
      <c r="I279" s="115"/>
      <c r="J279" s="115"/>
      <c r="K279" s="115"/>
      <c r="L279" s="115"/>
      <c r="M279" s="115"/>
      <c r="N279" s="122"/>
      <c r="O279" s="122"/>
      <c r="P279" s="122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26"/>
      <c r="AF279" s="13"/>
      <c r="AI279" s="114"/>
    </row>
    <row r="280" spans="5:35" x14ac:dyDescent="0.4">
      <c r="H280" s="115"/>
      <c r="I280" s="115"/>
      <c r="J280" s="115"/>
      <c r="K280" s="115"/>
      <c r="L280" s="115"/>
      <c r="M280" s="115"/>
      <c r="N280" s="122"/>
      <c r="O280" s="122"/>
      <c r="P280" s="122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26"/>
      <c r="AF280" s="13"/>
      <c r="AI280" s="114"/>
    </row>
    <row r="281" spans="5:35" x14ac:dyDescent="0.4">
      <c r="H281" s="115"/>
      <c r="I281" s="115"/>
      <c r="J281" s="115"/>
      <c r="K281" s="115"/>
      <c r="L281" s="115"/>
      <c r="M281" s="115"/>
      <c r="N281" s="122"/>
      <c r="O281" s="122"/>
      <c r="P281" s="122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6"/>
      <c r="AF281" s="13"/>
      <c r="AI281" s="114"/>
    </row>
    <row r="282" spans="5:35" x14ac:dyDescent="0.4">
      <c r="H282" s="115"/>
      <c r="I282" s="115"/>
      <c r="J282" s="115"/>
      <c r="K282" s="115"/>
      <c r="L282" s="115"/>
      <c r="M282" s="115"/>
      <c r="N282" s="122"/>
      <c r="O282" s="122"/>
      <c r="P282" s="122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6"/>
      <c r="AF282" s="13"/>
      <c r="AI282" s="114"/>
    </row>
    <row r="283" spans="5:35" x14ac:dyDescent="0.4">
      <c r="H283" s="115"/>
      <c r="I283" s="115"/>
      <c r="J283" s="115"/>
      <c r="K283" s="115"/>
      <c r="L283" s="115"/>
      <c r="M283" s="115"/>
      <c r="N283" s="122"/>
      <c r="O283" s="122"/>
      <c r="P283" s="122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26"/>
      <c r="AF283" s="13"/>
      <c r="AI283" s="114"/>
    </row>
    <row r="284" spans="5:35" x14ac:dyDescent="0.4">
      <c r="H284" s="115"/>
      <c r="I284" s="115"/>
      <c r="J284" s="115"/>
      <c r="K284" s="115"/>
      <c r="L284" s="115"/>
      <c r="M284" s="115"/>
      <c r="N284" s="122"/>
      <c r="O284" s="122"/>
      <c r="P284" s="122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26"/>
      <c r="AF284" s="13"/>
      <c r="AI284" s="114"/>
    </row>
    <row r="285" spans="5:35" x14ac:dyDescent="0.4">
      <c r="H285" s="115"/>
      <c r="I285" s="115"/>
      <c r="J285" s="115"/>
      <c r="K285" s="115"/>
      <c r="L285" s="115"/>
      <c r="M285" s="115"/>
      <c r="N285" s="122"/>
      <c r="O285" s="122"/>
      <c r="P285" s="122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7"/>
      <c r="AF285" s="13"/>
      <c r="AI285" s="114"/>
    </row>
    <row r="286" spans="5:35" x14ac:dyDescent="0.4">
      <c r="H286" s="115"/>
      <c r="I286" s="115"/>
      <c r="J286" s="115"/>
      <c r="K286" s="115"/>
      <c r="L286" s="115"/>
      <c r="M286" s="115"/>
      <c r="N286" s="122"/>
      <c r="O286" s="122"/>
      <c r="P286" s="122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26"/>
      <c r="AF286" s="13"/>
      <c r="AI286" s="114"/>
    </row>
    <row r="287" spans="5:35" x14ac:dyDescent="0.4">
      <c r="H287" s="115"/>
      <c r="I287" s="115"/>
      <c r="J287" s="115"/>
      <c r="K287" s="115"/>
      <c r="L287" s="115"/>
      <c r="M287" s="115"/>
      <c r="N287" s="122"/>
      <c r="O287" s="122"/>
      <c r="P287" s="122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26"/>
      <c r="AF287" s="13"/>
      <c r="AI287" s="114"/>
    </row>
    <row r="288" spans="5:35" x14ac:dyDescent="0.4">
      <c r="E288" s="115"/>
      <c r="F288" s="115"/>
      <c r="G288" s="115"/>
      <c r="H288" s="115"/>
      <c r="I288" s="115"/>
      <c r="J288" s="115"/>
      <c r="K288" s="115"/>
      <c r="L288" s="115"/>
      <c r="M288" s="115"/>
      <c r="N288" s="122"/>
      <c r="O288" s="122"/>
      <c r="P288" s="122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26"/>
      <c r="AF288" s="13"/>
      <c r="AI288" s="114"/>
    </row>
    <row r="289" spans="5:35" x14ac:dyDescent="0.4">
      <c r="E289" s="115"/>
      <c r="F289" s="115"/>
      <c r="G289" s="115"/>
      <c r="H289" s="115"/>
      <c r="I289" s="115"/>
      <c r="J289" s="115"/>
      <c r="K289" s="115"/>
      <c r="L289" s="115"/>
      <c r="M289" s="115"/>
      <c r="N289" s="122"/>
      <c r="O289" s="122"/>
      <c r="P289" s="122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6"/>
      <c r="AF289" s="13"/>
      <c r="AI289" s="114"/>
    </row>
    <row r="290" spans="5:35" x14ac:dyDescent="0.4">
      <c r="E290" s="115"/>
      <c r="F290" s="115"/>
      <c r="G290" s="115"/>
      <c r="H290" s="115"/>
      <c r="I290" s="115"/>
      <c r="J290" s="115"/>
      <c r="K290" s="115"/>
      <c r="L290" s="115"/>
      <c r="M290" s="115"/>
      <c r="N290" s="122"/>
      <c r="O290" s="122"/>
      <c r="P290" s="122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26"/>
      <c r="AF290" s="13"/>
      <c r="AI290" s="114"/>
    </row>
    <row r="291" spans="5:35" x14ac:dyDescent="0.4">
      <c r="E291" s="115"/>
      <c r="F291" s="115"/>
      <c r="G291" s="115"/>
      <c r="H291" s="115"/>
      <c r="I291" s="115"/>
      <c r="J291" s="115"/>
      <c r="K291" s="115"/>
      <c r="L291" s="115"/>
      <c r="M291" s="115"/>
      <c r="N291" s="122"/>
      <c r="O291" s="122"/>
      <c r="P291" s="122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6"/>
      <c r="AF291" s="13"/>
      <c r="AI291" s="114"/>
    </row>
    <row r="292" spans="5:35" x14ac:dyDescent="0.4">
      <c r="E292" s="115"/>
      <c r="F292" s="115"/>
      <c r="G292" s="115"/>
      <c r="H292" s="115"/>
      <c r="I292" s="115"/>
      <c r="J292" s="115"/>
      <c r="K292" s="115"/>
      <c r="L292" s="115"/>
      <c r="M292" s="115"/>
      <c r="N292" s="122"/>
      <c r="O292" s="122"/>
      <c r="P292" s="122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26"/>
      <c r="AF292" s="13"/>
      <c r="AI292" s="114"/>
    </row>
    <row r="293" spans="5:35" x14ac:dyDescent="0.4">
      <c r="E293" s="115"/>
      <c r="F293" s="115"/>
      <c r="G293" s="115"/>
      <c r="H293" s="115"/>
      <c r="I293" s="115"/>
      <c r="J293" s="115"/>
      <c r="K293" s="115"/>
      <c r="L293" s="115"/>
      <c r="M293" s="115"/>
      <c r="N293" s="122"/>
      <c r="O293" s="122"/>
      <c r="P293" s="122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6"/>
      <c r="AF293" s="13"/>
      <c r="AI293" s="114"/>
    </row>
    <row r="294" spans="5:35" x14ac:dyDescent="0.4">
      <c r="E294" s="115"/>
      <c r="F294" s="115"/>
      <c r="G294" s="115"/>
      <c r="H294" s="115"/>
      <c r="I294" s="115"/>
      <c r="J294" s="115"/>
      <c r="K294" s="115"/>
      <c r="L294" s="115"/>
      <c r="M294" s="115"/>
      <c r="N294" s="122"/>
      <c r="O294" s="122"/>
      <c r="P294" s="122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26"/>
      <c r="AF294" s="13"/>
      <c r="AI294" s="114"/>
    </row>
    <row r="295" spans="5:35" x14ac:dyDescent="0.4">
      <c r="E295" s="115"/>
      <c r="F295" s="115"/>
      <c r="G295" s="115"/>
      <c r="H295" s="115"/>
      <c r="I295" s="115"/>
      <c r="J295" s="115"/>
      <c r="K295" s="115"/>
      <c r="L295" s="115"/>
      <c r="M295" s="115"/>
      <c r="N295" s="122"/>
      <c r="O295" s="122"/>
      <c r="P295" s="122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6"/>
      <c r="AF295" s="13"/>
      <c r="AI295" s="114"/>
    </row>
    <row r="296" spans="5:35" x14ac:dyDescent="0.4">
      <c r="E296" s="115"/>
      <c r="F296" s="115"/>
      <c r="G296" s="115"/>
      <c r="H296" s="115"/>
      <c r="I296" s="115"/>
      <c r="J296" s="115"/>
      <c r="K296" s="115"/>
      <c r="L296" s="115"/>
      <c r="M296" s="115"/>
      <c r="N296" s="122"/>
      <c r="O296" s="122"/>
      <c r="P296" s="122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26"/>
      <c r="AF296" s="13"/>
      <c r="AI296" s="114"/>
    </row>
    <row r="297" spans="5:35" x14ac:dyDescent="0.4">
      <c r="E297" s="115"/>
      <c r="F297" s="115"/>
      <c r="G297" s="115"/>
      <c r="H297" s="115"/>
      <c r="I297" s="115"/>
      <c r="J297" s="115"/>
      <c r="K297" s="115"/>
      <c r="L297" s="115"/>
      <c r="M297" s="115"/>
      <c r="N297" s="122"/>
      <c r="O297" s="122"/>
      <c r="P297" s="122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6"/>
      <c r="AF297" s="13"/>
      <c r="AI297" s="114"/>
    </row>
    <row r="298" spans="5:35" x14ac:dyDescent="0.4">
      <c r="E298" s="115"/>
      <c r="F298" s="115"/>
      <c r="G298" s="115"/>
      <c r="H298" s="115"/>
      <c r="I298" s="115"/>
      <c r="J298" s="115"/>
      <c r="K298" s="115"/>
      <c r="L298" s="115"/>
      <c r="M298" s="115"/>
      <c r="N298" s="122"/>
      <c r="O298" s="122"/>
      <c r="P298" s="122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26"/>
      <c r="AF298" s="13"/>
      <c r="AI298" s="114"/>
    </row>
    <row r="299" spans="5:35" x14ac:dyDescent="0.4">
      <c r="E299" s="115"/>
      <c r="F299" s="115"/>
      <c r="G299" s="115"/>
      <c r="H299" s="115"/>
      <c r="I299" s="115"/>
      <c r="J299" s="115"/>
      <c r="K299" s="115"/>
      <c r="L299" s="115"/>
      <c r="M299" s="115"/>
      <c r="N299" s="122"/>
      <c r="O299" s="122"/>
      <c r="P299" s="122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26"/>
      <c r="AF299" s="13"/>
      <c r="AI299" s="114"/>
    </row>
    <row r="300" spans="5:35" x14ac:dyDescent="0.4">
      <c r="E300" s="115"/>
      <c r="F300" s="115"/>
      <c r="G300" s="115"/>
      <c r="H300" s="115"/>
      <c r="I300" s="115"/>
      <c r="J300" s="115"/>
      <c r="K300" s="115"/>
      <c r="L300" s="115"/>
      <c r="M300" s="115"/>
      <c r="N300" s="122"/>
      <c r="O300" s="122"/>
      <c r="P300" s="122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26"/>
      <c r="AF300" s="13"/>
      <c r="AI300" s="114"/>
    </row>
    <row r="301" spans="5:35" x14ac:dyDescent="0.4">
      <c r="E301" s="115"/>
      <c r="F301" s="115"/>
      <c r="G301" s="115"/>
      <c r="H301" s="115"/>
      <c r="I301" s="115"/>
      <c r="J301" s="115"/>
      <c r="K301" s="115"/>
      <c r="L301" s="115"/>
      <c r="M301" s="115"/>
      <c r="N301" s="122"/>
      <c r="O301" s="122"/>
      <c r="P301" s="122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26"/>
      <c r="AF301" s="13"/>
      <c r="AI301" s="114"/>
    </row>
    <row r="302" spans="5:35" x14ac:dyDescent="0.4">
      <c r="E302" s="115"/>
      <c r="F302" s="115"/>
      <c r="G302" s="115"/>
      <c r="H302" s="115"/>
      <c r="I302" s="115"/>
      <c r="J302" s="115"/>
      <c r="K302" s="115"/>
      <c r="L302" s="115"/>
      <c r="M302" s="115"/>
      <c r="N302" s="122"/>
      <c r="O302" s="122"/>
      <c r="P302" s="122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26"/>
      <c r="AF302" s="13"/>
      <c r="AI302" s="114"/>
    </row>
    <row r="303" spans="5:35" x14ac:dyDescent="0.4">
      <c r="E303" s="115"/>
      <c r="F303" s="115"/>
      <c r="G303" s="115"/>
      <c r="H303" s="115"/>
      <c r="I303" s="115"/>
      <c r="J303" s="115"/>
      <c r="K303" s="115"/>
      <c r="L303" s="115"/>
      <c r="M303" s="115"/>
      <c r="N303" s="122"/>
      <c r="O303" s="122"/>
      <c r="P303" s="122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26"/>
      <c r="AF303" s="13"/>
      <c r="AI303" s="114"/>
    </row>
    <row r="304" spans="5:35" x14ac:dyDescent="0.4">
      <c r="E304" s="115"/>
      <c r="F304" s="115"/>
      <c r="G304" s="115"/>
      <c r="H304" s="115"/>
      <c r="I304" s="115"/>
      <c r="J304" s="115"/>
      <c r="K304" s="115"/>
      <c r="L304" s="115"/>
      <c r="M304" s="115"/>
      <c r="N304" s="122"/>
      <c r="O304" s="122"/>
      <c r="P304" s="122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7"/>
      <c r="AF304" s="13"/>
      <c r="AI304" s="114"/>
    </row>
    <row r="305" spans="3:35" x14ac:dyDescent="0.4">
      <c r="E305" s="115"/>
      <c r="F305" s="115"/>
      <c r="G305" s="115"/>
      <c r="H305" s="115"/>
      <c r="I305" s="115"/>
      <c r="J305" s="115"/>
      <c r="K305" s="115"/>
      <c r="L305" s="115"/>
      <c r="M305" s="115"/>
      <c r="N305" s="122"/>
      <c r="O305" s="122"/>
      <c r="P305" s="122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26"/>
      <c r="AF305" s="13"/>
      <c r="AI305" s="114"/>
    </row>
    <row r="306" spans="3:35" x14ac:dyDescent="0.4">
      <c r="E306" s="115"/>
      <c r="F306" s="115"/>
      <c r="G306" s="115"/>
      <c r="H306" s="115"/>
      <c r="I306" s="115"/>
      <c r="J306" s="115"/>
      <c r="K306" s="115"/>
      <c r="L306" s="115"/>
      <c r="M306" s="115"/>
      <c r="N306" s="122"/>
      <c r="O306" s="122"/>
      <c r="P306" s="122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26"/>
      <c r="AF306" s="13"/>
      <c r="AI306" s="114"/>
    </row>
    <row r="307" spans="3:35" x14ac:dyDescent="0.4"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22"/>
      <c r="O307" s="122"/>
      <c r="P307" s="122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26"/>
      <c r="AF307" s="13"/>
      <c r="AI307" s="114"/>
    </row>
    <row r="308" spans="3:35" x14ac:dyDescent="0.4"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22"/>
      <c r="O308" s="122"/>
      <c r="P308" s="122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26"/>
      <c r="AF308" s="15"/>
      <c r="AI308" s="114"/>
    </row>
    <row r="309" spans="3:35" x14ac:dyDescent="0.4"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22"/>
      <c r="O309" s="122"/>
      <c r="P309" s="122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6"/>
      <c r="AF309" s="15"/>
      <c r="AI309" s="114"/>
    </row>
    <row r="310" spans="3:35" x14ac:dyDescent="0.4"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22"/>
      <c r="O310" s="122"/>
      <c r="P310" s="122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26"/>
      <c r="AF310" s="15"/>
      <c r="AI310" s="114"/>
    </row>
    <row r="311" spans="3:35" x14ac:dyDescent="0.4"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22"/>
      <c r="O311" s="122"/>
      <c r="P311" s="122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26"/>
      <c r="AF311" s="13"/>
      <c r="AI311" s="114"/>
    </row>
    <row r="312" spans="3:35" x14ac:dyDescent="0.4"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22"/>
      <c r="O312" s="122"/>
      <c r="P312" s="122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26"/>
      <c r="AF312" s="13"/>
      <c r="AI312" s="114"/>
    </row>
    <row r="313" spans="3:35" x14ac:dyDescent="0.4"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22"/>
      <c r="O313" s="122"/>
      <c r="P313" s="122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6"/>
      <c r="AF313" s="13"/>
      <c r="AI313" s="114"/>
    </row>
    <row r="314" spans="3:35" x14ac:dyDescent="0.4"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22"/>
      <c r="O314" s="122"/>
      <c r="P314" s="122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7"/>
      <c r="AF314" s="13"/>
      <c r="AI314" s="114"/>
    </row>
    <row r="315" spans="3:35" x14ac:dyDescent="0.4"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22"/>
      <c r="O315" s="122"/>
      <c r="P315" s="122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26"/>
      <c r="AF315" s="13"/>
      <c r="AI315" s="114"/>
    </row>
    <row r="316" spans="3:35" x14ac:dyDescent="0.4"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22"/>
      <c r="O316" s="122"/>
      <c r="P316" s="122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26"/>
      <c r="AF316" s="25"/>
      <c r="AI316" s="114"/>
    </row>
    <row r="317" spans="3:35" x14ac:dyDescent="0.4"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22"/>
      <c r="O317" s="122"/>
      <c r="P317" s="122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26"/>
      <c r="AF317" s="13"/>
      <c r="AI317" s="114"/>
    </row>
    <row r="318" spans="3:35" x14ac:dyDescent="0.4"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22"/>
      <c r="O318" s="122"/>
      <c r="P318" s="122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26"/>
      <c r="AF318" s="13"/>
      <c r="AI318" s="114"/>
    </row>
    <row r="319" spans="3:35" x14ac:dyDescent="0.4"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22"/>
      <c r="O319" s="122"/>
      <c r="P319" s="122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26"/>
      <c r="AF319" s="13"/>
      <c r="AI319" s="114"/>
    </row>
    <row r="320" spans="3:35" x14ac:dyDescent="0.4"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22"/>
      <c r="O320" s="122"/>
      <c r="P320" s="122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26"/>
      <c r="AF320" s="13"/>
      <c r="AI320" s="114"/>
    </row>
    <row r="321" spans="1:35" x14ac:dyDescent="0.4"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22"/>
      <c r="O321" s="122"/>
      <c r="P321" s="122"/>
      <c r="Q321" s="115"/>
      <c r="R321" s="115"/>
      <c r="S321" s="115"/>
      <c r="T321" s="115"/>
      <c r="AE321" s="26"/>
      <c r="AF321" s="13"/>
      <c r="AI321" s="114"/>
    </row>
    <row r="322" spans="1:35" x14ac:dyDescent="0.4"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22"/>
      <c r="O322" s="122"/>
      <c r="P322" s="122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26"/>
      <c r="AF322" s="13"/>
      <c r="AI322" s="114"/>
    </row>
    <row r="323" spans="1:35" x14ac:dyDescent="0.4"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22"/>
      <c r="O323" s="122"/>
      <c r="P323" s="122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7"/>
      <c r="AF323" s="13"/>
      <c r="AI323" s="114"/>
    </row>
    <row r="324" spans="1:35" x14ac:dyDescent="0.4"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22"/>
      <c r="O324" s="122"/>
      <c r="P324" s="122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26"/>
      <c r="AF324" s="13"/>
      <c r="AI324" s="114"/>
    </row>
    <row r="325" spans="1:35" x14ac:dyDescent="0.4"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22"/>
      <c r="O325" s="122"/>
      <c r="P325" s="122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26"/>
      <c r="AF325" s="15"/>
      <c r="AI325" s="114"/>
    </row>
    <row r="326" spans="1:35" x14ac:dyDescent="0.4"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22"/>
      <c r="O326" s="122"/>
      <c r="P326" s="122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7"/>
      <c r="AF326" s="15"/>
      <c r="AI326" s="114"/>
    </row>
    <row r="327" spans="1:35" x14ac:dyDescent="0.4"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22"/>
      <c r="O327" s="122"/>
      <c r="P327" s="122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26"/>
      <c r="AF327" s="15"/>
      <c r="AI327" s="114"/>
    </row>
    <row r="328" spans="1:35" x14ac:dyDescent="0.4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22"/>
      <c r="O328" s="122"/>
      <c r="P328" s="122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26"/>
      <c r="AF328" s="15"/>
      <c r="AI328" s="114"/>
    </row>
    <row r="329" spans="1:35" x14ac:dyDescent="0.4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22"/>
      <c r="O329" s="122"/>
      <c r="P329" s="122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7"/>
      <c r="AF329" s="13"/>
      <c r="AI329" s="114"/>
    </row>
    <row r="330" spans="1:35" x14ac:dyDescent="0.4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22"/>
      <c r="O330" s="122"/>
      <c r="P330" s="122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7"/>
      <c r="AF330" s="13"/>
      <c r="AI330" s="114"/>
    </row>
    <row r="331" spans="1:35" x14ac:dyDescent="0.4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22"/>
      <c r="O331" s="122"/>
      <c r="P331" s="122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26"/>
      <c r="AF331" s="13"/>
      <c r="AI331" s="114"/>
    </row>
    <row r="332" spans="1:35" x14ac:dyDescent="0.4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22"/>
      <c r="O332" s="122"/>
      <c r="P332" s="122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26"/>
      <c r="AF332" s="13"/>
      <c r="AI332" s="114"/>
    </row>
    <row r="333" spans="1:35" x14ac:dyDescent="0.4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22"/>
      <c r="O333" s="122"/>
      <c r="P333" s="122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7"/>
      <c r="AF333" s="13"/>
      <c r="AI333" s="114"/>
    </row>
    <row r="334" spans="1:35" x14ac:dyDescent="0.4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22"/>
      <c r="O334" s="122"/>
      <c r="P334" s="122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26"/>
      <c r="AF334" s="15"/>
      <c r="AI334" s="114"/>
    </row>
    <row r="335" spans="1:35" x14ac:dyDescent="0.4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22"/>
      <c r="O335" s="122"/>
      <c r="P335" s="122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26"/>
      <c r="AF335" s="15"/>
      <c r="AI335" s="114"/>
    </row>
    <row r="336" spans="1:35" x14ac:dyDescent="0.4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22"/>
      <c r="O336" s="122"/>
      <c r="P336" s="122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6"/>
      <c r="AF336" s="15"/>
      <c r="AI336" s="114"/>
    </row>
    <row r="337" spans="1:35" x14ac:dyDescent="0.4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22"/>
      <c r="O337" s="122"/>
      <c r="P337" s="122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26"/>
      <c r="AF337" s="13"/>
      <c r="AI337" s="114"/>
    </row>
    <row r="338" spans="1:35" x14ac:dyDescent="0.4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22"/>
      <c r="O338" s="122"/>
      <c r="P338" s="122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26"/>
      <c r="AF338" s="25"/>
      <c r="AI338" s="114"/>
    </row>
    <row r="339" spans="1:35" x14ac:dyDescent="0.4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22"/>
      <c r="O339" s="122"/>
      <c r="P339" s="122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26"/>
      <c r="AF339" s="13"/>
      <c r="AI339" s="114"/>
    </row>
    <row r="340" spans="1:35" x14ac:dyDescent="0.4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22"/>
      <c r="O340" s="122"/>
      <c r="P340" s="122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26"/>
      <c r="AF340" s="13"/>
      <c r="AI340" s="114"/>
    </row>
    <row r="341" spans="1:35" x14ac:dyDescent="0.4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22"/>
      <c r="O341" s="122"/>
      <c r="P341" s="122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6"/>
      <c r="AF341" s="13"/>
      <c r="AI341" s="114"/>
    </row>
    <row r="342" spans="1:35" x14ac:dyDescent="0.4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22"/>
      <c r="O342" s="122"/>
      <c r="P342" s="122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26"/>
      <c r="AF342" s="13"/>
      <c r="AI342" s="114"/>
    </row>
    <row r="343" spans="1:35" x14ac:dyDescent="0.4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22"/>
      <c r="O343" s="122"/>
      <c r="P343" s="122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26"/>
      <c r="AF343" s="13"/>
      <c r="AI343" s="114"/>
    </row>
    <row r="344" spans="1:35" x14ac:dyDescent="0.4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22"/>
      <c r="O344" s="122"/>
      <c r="P344" s="122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6"/>
      <c r="AF344" s="13"/>
      <c r="AI344" s="114"/>
    </row>
    <row r="345" spans="1:35" x14ac:dyDescent="0.4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22"/>
      <c r="O345" s="122"/>
      <c r="P345" s="122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26"/>
      <c r="AF345" s="13"/>
      <c r="AI345" s="114"/>
    </row>
    <row r="346" spans="1:35" x14ac:dyDescent="0.4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22"/>
      <c r="O346" s="122"/>
      <c r="P346" s="122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6"/>
      <c r="AF346" s="13"/>
      <c r="AI346" s="114"/>
    </row>
    <row r="347" spans="1:35" x14ac:dyDescent="0.4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22"/>
      <c r="O347" s="122"/>
      <c r="P347" s="122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26"/>
      <c r="AF347" s="13"/>
      <c r="AI347" s="114"/>
    </row>
    <row r="348" spans="1:35" x14ac:dyDescent="0.4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22"/>
      <c r="O348" s="122"/>
      <c r="P348" s="122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26"/>
      <c r="AF348" s="13"/>
      <c r="AI348" s="114"/>
    </row>
    <row r="349" spans="1:35" x14ac:dyDescent="0.4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22"/>
      <c r="O349" s="122"/>
      <c r="P349" s="122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26"/>
      <c r="AF349" s="15"/>
      <c r="AI349" s="114"/>
    </row>
    <row r="350" spans="1:35" x14ac:dyDescent="0.4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22"/>
      <c r="O350" s="122"/>
      <c r="P350" s="122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26"/>
      <c r="AF350" s="15"/>
      <c r="AI350" s="114"/>
    </row>
    <row r="351" spans="1:35" x14ac:dyDescent="0.4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22"/>
      <c r="O351" s="122"/>
      <c r="P351" s="122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26"/>
      <c r="AF351" s="15"/>
      <c r="AI351" s="114"/>
    </row>
    <row r="352" spans="1:35" x14ac:dyDescent="0.4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22"/>
      <c r="O352" s="122"/>
      <c r="P352" s="122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26"/>
      <c r="AF352" s="15"/>
      <c r="AI352" s="114"/>
    </row>
    <row r="353" spans="1:35" x14ac:dyDescent="0.4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22"/>
      <c r="O353" s="122"/>
      <c r="P353" s="122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26"/>
      <c r="AF353" s="13"/>
      <c r="AI353" s="114"/>
    </row>
    <row r="354" spans="1:35" x14ac:dyDescent="0.4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22"/>
      <c r="O354" s="122"/>
      <c r="P354" s="122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26"/>
      <c r="AF354" s="15"/>
      <c r="AI354" s="114"/>
    </row>
    <row r="355" spans="1:35" x14ac:dyDescent="0.4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22"/>
      <c r="O355" s="122"/>
      <c r="P355" s="122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26"/>
      <c r="AF355" s="15"/>
      <c r="AI355" s="114"/>
    </row>
    <row r="356" spans="1:35" x14ac:dyDescent="0.4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22"/>
      <c r="O356" s="122"/>
      <c r="P356" s="122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26"/>
      <c r="AF356" s="15"/>
      <c r="AI356" s="114"/>
    </row>
    <row r="357" spans="1:35" x14ac:dyDescent="0.4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22"/>
      <c r="O357" s="122"/>
      <c r="P357" s="122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26"/>
      <c r="AF357" s="15"/>
      <c r="AI357" s="114"/>
    </row>
    <row r="358" spans="1:35" x14ac:dyDescent="0.4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22"/>
      <c r="O358" s="122"/>
      <c r="P358" s="122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26"/>
      <c r="AF358" s="15"/>
      <c r="AI358" s="114"/>
    </row>
    <row r="359" spans="1:35" x14ac:dyDescent="0.4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22"/>
      <c r="O359" s="122"/>
      <c r="P359" s="122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6"/>
      <c r="AF359" s="105"/>
      <c r="AI359" s="114"/>
    </row>
    <row r="360" spans="1:35" x14ac:dyDescent="0.4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22"/>
      <c r="O360" s="122"/>
      <c r="P360" s="122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7"/>
      <c r="AF360" s="15"/>
      <c r="AI360" s="114"/>
    </row>
    <row r="361" spans="1:35" x14ac:dyDescent="0.4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22"/>
      <c r="O361" s="122"/>
      <c r="P361" s="122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26"/>
      <c r="AF361" s="15"/>
      <c r="AI361" s="114"/>
    </row>
    <row r="362" spans="1:35" x14ac:dyDescent="0.4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22"/>
      <c r="O362" s="122"/>
      <c r="P362" s="122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26"/>
      <c r="AF362" s="15"/>
      <c r="AI362" s="114"/>
    </row>
    <row r="363" spans="1:35" x14ac:dyDescent="0.4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22"/>
      <c r="O363" s="122"/>
      <c r="P363" s="122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26"/>
      <c r="AF363" s="105"/>
      <c r="AI363" s="114"/>
    </row>
    <row r="364" spans="1:35" x14ac:dyDescent="0.4">
      <c r="AE364" s="26"/>
      <c r="AF364" s="15"/>
      <c r="AI364" s="114"/>
    </row>
    <row r="365" spans="1:35" x14ac:dyDescent="0.4">
      <c r="O365" s="122"/>
      <c r="P365" s="122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26"/>
      <c r="AF365" s="15"/>
      <c r="AI365" s="114"/>
    </row>
    <row r="366" spans="1:35" x14ac:dyDescent="0.4">
      <c r="K366" s="115"/>
      <c r="L366" s="115"/>
      <c r="M366" s="115"/>
      <c r="N366" s="122"/>
      <c r="O366" s="122"/>
      <c r="P366" s="122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26"/>
      <c r="AF366" s="15"/>
      <c r="AI366" s="114"/>
    </row>
    <row r="367" spans="1:35" x14ac:dyDescent="0.4"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22"/>
      <c r="O367" s="122"/>
      <c r="P367" s="122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26"/>
      <c r="AF367" s="15"/>
      <c r="AI367" s="114"/>
    </row>
    <row r="368" spans="1:35" x14ac:dyDescent="0.4"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22"/>
      <c r="O368" s="122"/>
      <c r="P368" s="122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7"/>
      <c r="AF368" s="15"/>
      <c r="AI368" s="114"/>
    </row>
    <row r="369" spans="2:35" x14ac:dyDescent="0.4"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22"/>
      <c r="O369" s="122"/>
      <c r="P369" s="122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26"/>
      <c r="AF369" s="15"/>
      <c r="AI369" s="114"/>
    </row>
    <row r="370" spans="2:35" x14ac:dyDescent="0.4"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22"/>
      <c r="O370" s="122"/>
      <c r="P370" s="122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26"/>
      <c r="AF370" s="15"/>
      <c r="AI370" s="114"/>
    </row>
    <row r="371" spans="2:35" x14ac:dyDescent="0.4"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22"/>
      <c r="O371" s="122"/>
      <c r="P371" s="122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26"/>
      <c r="AF371" s="15"/>
      <c r="AI371" s="114"/>
    </row>
    <row r="372" spans="2:35" x14ac:dyDescent="0.4"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22"/>
      <c r="O372" s="122"/>
      <c r="P372" s="122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6"/>
      <c r="AF372" s="15"/>
      <c r="AI372" s="114"/>
    </row>
    <row r="373" spans="2:35" x14ac:dyDescent="0.4"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22"/>
      <c r="O373" s="122"/>
      <c r="P373" s="122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26"/>
      <c r="AF373" s="15"/>
      <c r="AI373" s="114"/>
    </row>
    <row r="374" spans="2:35" x14ac:dyDescent="0.4"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22"/>
      <c r="O374" s="122"/>
      <c r="P374" s="122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26"/>
      <c r="AF374" s="15"/>
      <c r="AI374" s="114"/>
    </row>
    <row r="375" spans="2:35" x14ac:dyDescent="0.4"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22"/>
      <c r="O375" s="122"/>
      <c r="P375" s="122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6"/>
      <c r="AF375" s="15"/>
      <c r="AI375" s="114"/>
    </row>
    <row r="376" spans="2:35" x14ac:dyDescent="0.4"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22"/>
      <c r="O376" s="122"/>
      <c r="P376" s="122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7"/>
      <c r="AF376" s="15"/>
      <c r="AI376" s="114"/>
    </row>
    <row r="377" spans="2:35" x14ac:dyDescent="0.4"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22"/>
      <c r="O377" s="122"/>
      <c r="P377" s="122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26"/>
      <c r="AF377" s="15"/>
      <c r="AI377" s="114"/>
    </row>
    <row r="378" spans="2:35" x14ac:dyDescent="0.4"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22"/>
      <c r="O378" s="122"/>
      <c r="P378" s="122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26"/>
      <c r="AF378" s="15"/>
      <c r="AI378" s="114"/>
    </row>
    <row r="379" spans="2:35" x14ac:dyDescent="0.4"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22"/>
      <c r="O379" s="122"/>
      <c r="P379" s="122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26"/>
      <c r="AF379" s="15"/>
      <c r="AI379" s="114"/>
    </row>
    <row r="380" spans="2:35" x14ac:dyDescent="0.4"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22"/>
      <c r="O380" s="122"/>
      <c r="P380" s="122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26"/>
      <c r="AF380" s="15"/>
      <c r="AI380" s="114"/>
    </row>
    <row r="381" spans="2:35" x14ac:dyDescent="0.4"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22"/>
      <c r="O381" s="122"/>
      <c r="P381" s="122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26"/>
      <c r="AF381" s="15"/>
      <c r="AI381" s="114"/>
    </row>
    <row r="382" spans="2:35" x14ac:dyDescent="0.4"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22"/>
      <c r="O382" s="122"/>
      <c r="P382" s="122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26"/>
      <c r="AF382" s="15"/>
      <c r="AI382" s="114"/>
    </row>
    <row r="383" spans="2:35" x14ac:dyDescent="0.4"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22"/>
      <c r="O383" s="122"/>
      <c r="P383" s="122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26"/>
      <c r="AF383" s="15"/>
      <c r="AI383" s="114"/>
    </row>
    <row r="384" spans="2:35" x14ac:dyDescent="0.4"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22"/>
      <c r="O384" s="122"/>
      <c r="P384" s="122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7"/>
      <c r="AF384" s="15"/>
      <c r="AI384" s="114"/>
    </row>
    <row r="385" spans="2:35" x14ac:dyDescent="0.4"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22"/>
      <c r="O385" s="122"/>
      <c r="P385" s="122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26"/>
      <c r="AF385" s="15"/>
      <c r="AI385" s="114"/>
    </row>
    <row r="386" spans="2:35" x14ac:dyDescent="0.4"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22"/>
      <c r="O386" s="122"/>
      <c r="P386" s="122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26"/>
      <c r="AF386" s="15"/>
      <c r="AI386" s="114"/>
    </row>
    <row r="387" spans="2:35" x14ac:dyDescent="0.4"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22"/>
      <c r="O387" s="122"/>
      <c r="P387" s="122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6"/>
      <c r="AF387" s="15"/>
      <c r="AI387" s="114"/>
    </row>
    <row r="388" spans="2:35" x14ac:dyDescent="0.4"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22"/>
      <c r="O388" s="122"/>
      <c r="P388" s="122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26"/>
      <c r="AF388" s="15"/>
      <c r="AI388" s="114"/>
    </row>
    <row r="389" spans="2:35" x14ac:dyDescent="0.4"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22"/>
      <c r="O389" s="122"/>
      <c r="P389" s="122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6"/>
      <c r="AF389" s="15"/>
      <c r="AI389" s="114"/>
    </row>
    <row r="390" spans="2:35" x14ac:dyDescent="0.4"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22"/>
      <c r="O390" s="122"/>
      <c r="P390" s="122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6"/>
      <c r="AF390" s="15"/>
      <c r="AI390" s="114"/>
    </row>
    <row r="391" spans="2:35" x14ac:dyDescent="0.4"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22"/>
      <c r="O391" s="122"/>
      <c r="P391" s="122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26"/>
      <c r="AF391" s="15"/>
      <c r="AI391" s="114"/>
    </row>
    <row r="392" spans="2:35" x14ac:dyDescent="0.4"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22"/>
      <c r="O392" s="122"/>
      <c r="P392" s="122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26"/>
      <c r="AF392" s="15"/>
      <c r="AI392" s="114"/>
    </row>
    <row r="393" spans="2:35" x14ac:dyDescent="0.4"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22"/>
      <c r="O393" s="122"/>
      <c r="P393" s="122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7"/>
      <c r="AF393" s="15"/>
      <c r="AI393" s="114"/>
    </row>
    <row r="394" spans="2:35" x14ac:dyDescent="0.4"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22"/>
      <c r="O394" s="122"/>
      <c r="P394" s="122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26"/>
      <c r="AF394" s="15"/>
      <c r="AI394" s="114"/>
    </row>
    <row r="395" spans="2:35" x14ac:dyDescent="0.4"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22"/>
      <c r="O395" s="122"/>
      <c r="P395" s="122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7"/>
      <c r="AF395" s="15"/>
      <c r="AI395" s="114"/>
    </row>
    <row r="396" spans="2:35" x14ac:dyDescent="0.4"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22"/>
      <c r="O396" s="122"/>
      <c r="P396" s="122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26"/>
      <c r="AF396" s="15"/>
      <c r="AI396" s="114"/>
    </row>
    <row r="397" spans="2:35" x14ac:dyDescent="0.4"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22"/>
      <c r="O397" s="122"/>
      <c r="P397" s="122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7"/>
      <c r="AF397" s="15"/>
      <c r="AI397" s="114"/>
    </row>
    <row r="398" spans="2:35" x14ac:dyDescent="0.4"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22"/>
      <c r="O398" s="122"/>
      <c r="P398" s="122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26"/>
      <c r="AF398" s="15"/>
      <c r="AI398" s="114"/>
    </row>
    <row r="399" spans="2:35" x14ac:dyDescent="0.4"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22"/>
      <c r="O399" s="122"/>
      <c r="P399" s="122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26"/>
      <c r="AF399" s="15"/>
      <c r="AI399" s="114"/>
    </row>
    <row r="400" spans="2:35" x14ac:dyDescent="0.4"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22"/>
      <c r="O400" s="122"/>
      <c r="P400" s="122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7"/>
      <c r="AF400" s="15"/>
      <c r="AI400" s="114"/>
    </row>
    <row r="401" spans="1:35" x14ac:dyDescent="0.4"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22"/>
      <c r="O401" s="122"/>
      <c r="P401" s="122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26"/>
      <c r="AF401" s="15"/>
      <c r="AI401" s="114"/>
    </row>
    <row r="402" spans="1:35" x14ac:dyDescent="0.4"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22"/>
      <c r="O402" s="122"/>
      <c r="P402" s="122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26"/>
      <c r="AF402" s="15"/>
      <c r="AI402" s="114"/>
    </row>
    <row r="403" spans="1:35" x14ac:dyDescent="0.4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22"/>
      <c r="O403" s="122"/>
      <c r="P403" s="122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26"/>
      <c r="AF403" s="105"/>
      <c r="AI403" s="114"/>
    </row>
    <row r="404" spans="1:35" x14ac:dyDescent="0.4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22"/>
      <c r="O404" s="122"/>
      <c r="P404" s="122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7"/>
      <c r="AF404" s="15"/>
      <c r="AI404" s="114"/>
    </row>
    <row r="405" spans="1:35" x14ac:dyDescent="0.4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22"/>
      <c r="O405" s="122"/>
      <c r="P405" s="122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7"/>
      <c r="AF405" s="15"/>
      <c r="AI405" s="114"/>
    </row>
    <row r="406" spans="1:35" x14ac:dyDescent="0.4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22"/>
      <c r="O406" s="122"/>
      <c r="P406" s="122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26"/>
      <c r="AF406" s="15"/>
      <c r="AI406" s="114"/>
    </row>
    <row r="407" spans="1:35" x14ac:dyDescent="0.4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22"/>
      <c r="O407" s="122"/>
      <c r="P407" s="122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26"/>
      <c r="AF407" s="15"/>
      <c r="AI407" s="114"/>
    </row>
    <row r="408" spans="1:35" x14ac:dyDescent="0.4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22"/>
      <c r="O408" s="122"/>
      <c r="P408" s="122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6"/>
      <c r="AF408" s="15"/>
      <c r="AI408" s="114"/>
    </row>
    <row r="409" spans="1:35" x14ac:dyDescent="0.4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22"/>
      <c r="O409" s="122"/>
      <c r="P409" s="122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26"/>
      <c r="AF409" s="15"/>
      <c r="AI409" s="114"/>
    </row>
    <row r="410" spans="1:35" x14ac:dyDescent="0.4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22"/>
      <c r="O410" s="122"/>
      <c r="P410" s="122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26"/>
      <c r="AF410" s="15"/>
      <c r="AI410" s="114"/>
    </row>
    <row r="411" spans="1:35" x14ac:dyDescent="0.4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22"/>
      <c r="O411" s="122"/>
      <c r="P411" s="122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26"/>
      <c r="AF411" s="15"/>
      <c r="AI411" s="114"/>
    </row>
    <row r="412" spans="1:35" x14ac:dyDescent="0.4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22"/>
      <c r="O412" s="122"/>
      <c r="P412" s="122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26"/>
      <c r="AF412" s="15"/>
      <c r="AI412" s="114"/>
    </row>
    <row r="413" spans="1:35" x14ac:dyDescent="0.4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22"/>
      <c r="O413" s="122"/>
      <c r="P413" s="122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26"/>
      <c r="AF413" s="15"/>
      <c r="AI413" s="114"/>
    </row>
    <row r="414" spans="1:35" x14ac:dyDescent="0.4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22"/>
      <c r="O414" s="122"/>
      <c r="P414" s="122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26"/>
      <c r="AF414" s="105"/>
      <c r="AI414" s="114"/>
    </row>
    <row r="415" spans="1:35" x14ac:dyDescent="0.4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22"/>
      <c r="O415" s="122"/>
      <c r="P415" s="122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26"/>
      <c r="AF415" s="15"/>
      <c r="AI415" s="114"/>
    </row>
    <row r="416" spans="1:35" x14ac:dyDescent="0.4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22"/>
      <c r="O416" s="122"/>
      <c r="P416" s="122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26"/>
      <c r="AF416" s="15"/>
      <c r="AI416" s="114"/>
    </row>
    <row r="417" spans="1:35" x14ac:dyDescent="0.4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22"/>
      <c r="O417" s="122"/>
      <c r="P417" s="122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26"/>
      <c r="AF417" s="13"/>
      <c r="AI417" s="114"/>
    </row>
    <row r="418" spans="1:35" x14ac:dyDescent="0.4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22"/>
      <c r="O418" s="122"/>
      <c r="P418" s="122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7"/>
      <c r="AF418" s="13"/>
      <c r="AI418" s="114"/>
    </row>
    <row r="419" spans="1:35" x14ac:dyDescent="0.4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22"/>
      <c r="O419" s="122"/>
      <c r="P419" s="122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6"/>
      <c r="AF419" s="13"/>
      <c r="AI419" s="114"/>
    </row>
    <row r="420" spans="1:35" x14ac:dyDescent="0.4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22"/>
      <c r="O420" s="122"/>
      <c r="P420" s="122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6"/>
      <c r="AF420" s="13"/>
      <c r="AI420" s="114"/>
    </row>
    <row r="421" spans="1:35" x14ac:dyDescent="0.4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22"/>
      <c r="O421" s="122"/>
      <c r="P421" s="122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6"/>
      <c r="AF421" s="13"/>
      <c r="AI421" s="114"/>
    </row>
    <row r="422" spans="1:35" x14ac:dyDescent="0.4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22"/>
      <c r="O422" s="122"/>
      <c r="P422" s="122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26"/>
      <c r="AF422" s="13"/>
      <c r="AI422" s="114"/>
    </row>
    <row r="423" spans="1:35" x14ac:dyDescent="0.4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22"/>
      <c r="O423" s="122"/>
      <c r="P423" s="122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26"/>
      <c r="AF423" s="13"/>
      <c r="AI423" s="114"/>
    </row>
    <row r="424" spans="1:35" x14ac:dyDescent="0.4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22"/>
      <c r="O424" s="122"/>
      <c r="P424" s="122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26"/>
      <c r="AF424" s="13"/>
      <c r="AI424" s="114"/>
    </row>
    <row r="425" spans="1:35" x14ac:dyDescent="0.4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22"/>
      <c r="O425" s="122"/>
      <c r="P425" s="122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7"/>
      <c r="AF425" s="13"/>
      <c r="AI425" s="114"/>
    </row>
    <row r="426" spans="1:35" x14ac:dyDescent="0.4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22"/>
      <c r="O426" s="122"/>
      <c r="P426" s="122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26"/>
      <c r="AF426" s="13"/>
      <c r="AI426" s="114"/>
    </row>
    <row r="427" spans="1:35" x14ac:dyDescent="0.4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22"/>
      <c r="O427" s="122"/>
      <c r="P427" s="122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26"/>
      <c r="AF427" s="13"/>
      <c r="AI427" s="114"/>
    </row>
    <row r="428" spans="1:35" x14ac:dyDescent="0.4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22"/>
      <c r="O428" s="122"/>
      <c r="P428" s="122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26"/>
      <c r="AF428" s="13"/>
      <c r="AI428" s="114"/>
    </row>
    <row r="429" spans="1:35" x14ac:dyDescent="0.4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22"/>
      <c r="O429" s="122"/>
      <c r="P429" s="122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26"/>
      <c r="AF429" s="13"/>
      <c r="AI429" s="114"/>
    </row>
    <row r="430" spans="1:35" x14ac:dyDescent="0.4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22"/>
      <c r="O430" s="122"/>
      <c r="P430" s="122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26"/>
      <c r="AF430" s="25"/>
      <c r="AI430" s="114"/>
    </row>
    <row r="431" spans="1:35" x14ac:dyDescent="0.4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22"/>
      <c r="O431" s="122"/>
      <c r="P431" s="122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7"/>
      <c r="AF431" s="13"/>
      <c r="AI431" s="114"/>
    </row>
    <row r="432" spans="1:35" x14ac:dyDescent="0.4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22"/>
      <c r="O432" s="122"/>
      <c r="P432" s="122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6"/>
      <c r="AF432" s="15"/>
      <c r="AI432" s="114"/>
    </row>
    <row r="433" spans="1:35" x14ac:dyDescent="0.4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22"/>
      <c r="O433" s="122"/>
      <c r="P433" s="122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26"/>
      <c r="AF433" s="15"/>
      <c r="AI433" s="114"/>
    </row>
    <row r="434" spans="1:35" x14ac:dyDescent="0.4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22"/>
      <c r="O434" s="122"/>
      <c r="P434" s="122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7"/>
      <c r="AF434" s="15"/>
      <c r="AI434" s="114"/>
    </row>
    <row r="435" spans="1:35" x14ac:dyDescent="0.4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22"/>
      <c r="O435" s="122"/>
      <c r="P435" s="122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26"/>
      <c r="AF435" s="15"/>
      <c r="AI435" s="114"/>
    </row>
    <row r="436" spans="1:35" x14ac:dyDescent="0.4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22"/>
      <c r="O436" s="122"/>
      <c r="P436" s="122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26"/>
      <c r="AF436" s="15"/>
      <c r="AI436" s="114"/>
    </row>
    <row r="437" spans="1:35" x14ac:dyDescent="0.4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22"/>
      <c r="O437" s="122"/>
      <c r="P437" s="122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26"/>
      <c r="AF437" s="13"/>
      <c r="AI437" s="114"/>
    </row>
    <row r="438" spans="1:35" x14ac:dyDescent="0.4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22"/>
      <c r="O438" s="122"/>
      <c r="P438" s="122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26"/>
      <c r="AF438" s="13"/>
      <c r="AI438" s="114"/>
    </row>
    <row r="439" spans="1:35" x14ac:dyDescent="0.4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22"/>
      <c r="O439" s="122"/>
      <c r="P439" s="122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26"/>
      <c r="AF439" s="13"/>
      <c r="AI439" s="114"/>
    </row>
    <row r="440" spans="1:35" x14ac:dyDescent="0.4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22"/>
      <c r="O440" s="122"/>
      <c r="P440" s="122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26"/>
      <c r="AF440" s="13"/>
      <c r="AI440" s="114"/>
    </row>
    <row r="441" spans="1:35" x14ac:dyDescent="0.4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22"/>
      <c r="O441" s="122"/>
      <c r="P441" s="122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6"/>
      <c r="AF441" s="13"/>
      <c r="AI441" s="114"/>
    </row>
    <row r="442" spans="1:35" x14ac:dyDescent="0.4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22"/>
      <c r="O442" s="122"/>
      <c r="P442" s="122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26"/>
      <c r="AF442" s="13"/>
      <c r="AI442" s="114"/>
    </row>
    <row r="443" spans="1:35" x14ac:dyDescent="0.4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22"/>
      <c r="O443" s="122"/>
      <c r="P443" s="122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26"/>
      <c r="AF443" s="13"/>
      <c r="AI443" s="114"/>
    </row>
    <row r="444" spans="1:35" x14ac:dyDescent="0.4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22"/>
      <c r="O444" s="122"/>
      <c r="P444" s="122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26"/>
      <c r="AF444" s="13"/>
      <c r="AI444" s="114"/>
    </row>
    <row r="445" spans="1:35" x14ac:dyDescent="0.4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22"/>
      <c r="O445" s="122"/>
      <c r="P445" s="122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7"/>
      <c r="AF445" s="13"/>
      <c r="AI445" s="114"/>
    </row>
    <row r="446" spans="1:35" x14ac:dyDescent="0.4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22"/>
      <c r="O446" s="122"/>
      <c r="P446" s="122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26"/>
      <c r="AF446" s="13"/>
      <c r="AI446" s="114"/>
    </row>
    <row r="447" spans="1:35" x14ac:dyDescent="0.4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22"/>
      <c r="O447" s="122"/>
      <c r="P447" s="122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7"/>
      <c r="AF447" s="13"/>
      <c r="AI447" s="114"/>
    </row>
    <row r="448" spans="1:35" x14ac:dyDescent="0.4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22"/>
      <c r="O448" s="122"/>
      <c r="P448" s="122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26"/>
      <c r="AF448" s="13"/>
      <c r="AI448" s="114"/>
    </row>
    <row r="449" spans="1:36" x14ac:dyDescent="0.4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22"/>
      <c r="O449" s="122"/>
      <c r="P449" s="122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6"/>
      <c r="AF449" s="13"/>
      <c r="AI449" s="114"/>
    </row>
    <row r="450" spans="1:36" x14ac:dyDescent="0.4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22"/>
      <c r="O450" s="122"/>
      <c r="P450" s="122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26"/>
      <c r="AF450" s="13"/>
      <c r="AI450" s="114"/>
    </row>
    <row r="451" spans="1:36" x14ac:dyDescent="0.4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22"/>
      <c r="O451" s="122"/>
      <c r="P451" s="122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6"/>
      <c r="AF451" s="15"/>
      <c r="AI451" s="114"/>
    </row>
    <row r="452" spans="1:36" x14ac:dyDescent="0.4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22"/>
      <c r="O452" s="122"/>
      <c r="P452" s="122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6"/>
      <c r="AF452" s="15"/>
      <c r="AI452" s="114"/>
    </row>
    <row r="453" spans="1:36" x14ac:dyDescent="0.4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22"/>
      <c r="O453" s="122"/>
      <c r="P453" s="122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6"/>
      <c r="AF453" s="15"/>
      <c r="AI453" s="114"/>
    </row>
    <row r="454" spans="1:36" x14ac:dyDescent="0.4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22"/>
      <c r="O454" s="122"/>
      <c r="P454" s="122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26"/>
      <c r="AF454" s="13"/>
      <c r="AI454" s="114"/>
    </row>
    <row r="455" spans="1:36" x14ac:dyDescent="0.4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22"/>
      <c r="O455" s="122"/>
      <c r="P455" s="122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26"/>
      <c r="AF455" s="15"/>
      <c r="AI455" s="114"/>
    </row>
    <row r="456" spans="1:36" x14ac:dyDescent="0.4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22"/>
      <c r="O456" s="122"/>
      <c r="P456" s="122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26"/>
      <c r="AF456" s="15"/>
      <c r="AI456" s="114"/>
      <c r="AJ456" s="120"/>
    </row>
    <row r="457" spans="1:36" x14ac:dyDescent="0.4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22"/>
      <c r="O457" s="122"/>
      <c r="P457" s="122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26"/>
      <c r="AF457" s="15"/>
      <c r="AI457" s="114"/>
      <c r="AJ457" s="120"/>
    </row>
    <row r="458" spans="1:36" x14ac:dyDescent="0.4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22"/>
      <c r="O458" s="122"/>
      <c r="P458" s="122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6"/>
      <c r="AF458" s="15"/>
      <c r="AI458" s="114"/>
      <c r="AJ458" s="120"/>
    </row>
    <row r="459" spans="1:36" x14ac:dyDescent="0.4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22"/>
      <c r="O459" s="122"/>
      <c r="P459" s="122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26"/>
      <c r="AF459" s="15"/>
      <c r="AI459" s="114"/>
      <c r="AJ459" s="120"/>
    </row>
    <row r="460" spans="1:36" x14ac:dyDescent="0.4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22"/>
      <c r="O460" s="122"/>
      <c r="P460" s="122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6"/>
      <c r="AF460" s="15"/>
      <c r="AI460" s="114"/>
      <c r="AJ460" s="120"/>
    </row>
    <row r="461" spans="1:36" x14ac:dyDescent="0.4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22"/>
      <c r="O461" s="122"/>
      <c r="P461" s="122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26"/>
      <c r="AF461" s="15"/>
      <c r="AI461" s="114"/>
      <c r="AJ461" s="120"/>
    </row>
    <row r="462" spans="1:36" x14ac:dyDescent="0.4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22"/>
      <c r="O462" s="122"/>
      <c r="P462" s="122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26"/>
      <c r="AF462" s="15"/>
      <c r="AI462" s="114"/>
      <c r="AJ462" s="120"/>
    </row>
    <row r="463" spans="1:36" x14ac:dyDescent="0.4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22"/>
      <c r="O463" s="122"/>
      <c r="P463" s="122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7"/>
      <c r="AF463" s="15"/>
      <c r="AI463" s="114"/>
      <c r="AJ463" s="120"/>
    </row>
    <row r="464" spans="1:36" x14ac:dyDescent="0.4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22"/>
      <c r="O464" s="122"/>
      <c r="P464" s="122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26"/>
      <c r="AF464" s="15"/>
      <c r="AI464" s="114"/>
      <c r="AJ464" s="120"/>
    </row>
    <row r="465" spans="1:39" x14ac:dyDescent="0.4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22"/>
      <c r="O465" s="122"/>
      <c r="P465" s="122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26"/>
      <c r="AF465" s="15"/>
      <c r="AI465" s="114"/>
    </row>
    <row r="466" spans="1:39" x14ac:dyDescent="0.4">
      <c r="AE466" s="26"/>
      <c r="AF466" s="15"/>
      <c r="AI466" s="114"/>
    </row>
    <row r="467" spans="1:39" x14ac:dyDescent="0.4"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7"/>
      <c r="AF467" s="15"/>
      <c r="AI467" s="114"/>
    </row>
    <row r="468" spans="1:39" x14ac:dyDescent="0.4"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7"/>
      <c r="AF468" s="15"/>
      <c r="AI468" s="114"/>
    </row>
    <row r="469" spans="1:39" x14ac:dyDescent="0.4">
      <c r="P469" s="122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7"/>
      <c r="AF469" s="15"/>
      <c r="AI469" s="114"/>
    </row>
    <row r="470" spans="1:39" x14ac:dyDescent="0.4">
      <c r="K470" s="115"/>
      <c r="L470" s="115"/>
      <c r="M470" s="115"/>
      <c r="N470" s="122"/>
      <c r="O470" s="122"/>
      <c r="P470" s="122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26"/>
      <c r="AF470" s="15"/>
      <c r="AI470" s="114"/>
    </row>
    <row r="471" spans="1:39" x14ac:dyDescent="0.4">
      <c r="K471" s="115"/>
      <c r="L471" s="115"/>
      <c r="M471" s="115"/>
      <c r="N471" s="122"/>
      <c r="O471" s="122"/>
      <c r="P471" s="122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7"/>
      <c r="AF471" s="15"/>
      <c r="AI471" s="114"/>
    </row>
    <row r="472" spans="1:39" x14ac:dyDescent="0.4">
      <c r="J472" s="115"/>
      <c r="K472" s="115"/>
      <c r="L472" s="115"/>
      <c r="M472" s="115"/>
      <c r="N472" s="122"/>
      <c r="O472" s="122"/>
      <c r="P472" s="122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26"/>
      <c r="AF472" s="15"/>
      <c r="AI472" s="114"/>
    </row>
    <row r="473" spans="1:39" x14ac:dyDescent="0.4">
      <c r="J473" s="115"/>
      <c r="K473" s="115"/>
      <c r="L473" s="115"/>
      <c r="M473" s="115"/>
      <c r="N473" s="122"/>
      <c r="O473" s="122"/>
      <c r="P473" s="122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7"/>
      <c r="AF473" s="15"/>
      <c r="AI473" s="114"/>
    </row>
    <row r="474" spans="1:39" x14ac:dyDescent="0.4">
      <c r="J474" s="115"/>
      <c r="K474" s="115"/>
      <c r="L474" s="115"/>
      <c r="M474" s="115"/>
      <c r="N474" s="122"/>
      <c r="O474" s="122"/>
      <c r="P474" s="122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7"/>
      <c r="AF474" s="15"/>
      <c r="AI474" s="114"/>
    </row>
    <row r="475" spans="1:39" x14ac:dyDescent="0.4">
      <c r="J475" s="115"/>
      <c r="K475" s="115"/>
      <c r="L475" s="115"/>
      <c r="M475" s="115"/>
      <c r="N475" s="122"/>
      <c r="O475" s="122"/>
      <c r="P475" s="122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7"/>
      <c r="AF475" s="15"/>
      <c r="AI475" s="114"/>
    </row>
    <row r="476" spans="1:39" x14ac:dyDescent="0.4">
      <c r="J476" s="115"/>
      <c r="K476" s="115"/>
      <c r="L476" s="115"/>
      <c r="M476" s="115"/>
      <c r="N476" s="122"/>
      <c r="O476" s="122"/>
      <c r="P476" s="122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26"/>
      <c r="AF476" s="15"/>
      <c r="AI476" s="114"/>
    </row>
    <row r="477" spans="1:39" x14ac:dyDescent="0.4">
      <c r="J477" s="115"/>
      <c r="K477" s="115"/>
      <c r="L477" s="115"/>
      <c r="M477" s="115"/>
      <c r="N477" s="122"/>
      <c r="O477" s="122"/>
      <c r="P477" s="122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7"/>
      <c r="AF477" s="15"/>
      <c r="AI477" s="114"/>
    </row>
    <row r="478" spans="1:39" ht="19.5" x14ac:dyDescent="0.4">
      <c r="AE478" s="26"/>
      <c r="AF478" s="15"/>
      <c r="AJ478" s="116"/>
      <c r="AK478" s="116"/>
      <c r="AL478" s="116"/>
      <c r="AM478" s="116"/>
    </row>
    <row r="479" spans="1:39" ht="19.5" x14ac:dyDescent="0.4">
      <c r="O479" s="122"/>
      <c r="P479" s="122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7"/>
      <c r="AF479" s="15"/>
      <c r="AJ479" s="117"/>
      <c r="AK479" s="116"/>
      <c r="AL479" s="116"/>
      <c r="AM479" s="116"/>
    </row>
    <row r="480" spans="1:39" ht="19.5" x14ac:dyDescent="0.4">
      <c r="G480" s="115"/>
      <c r="H480" s="115"/>
      <c r="I480" s="115"/>
      <c r="J480" s="115"/>
      <c r="K480" s="115"/>
      <c r="L480" s="115"/>
      <c r="M480" s="115"/>
      <c r="N480" s="122"/>
      <c r="O480" s="122"/>
      <c r="P480" s="122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26"/>
      <c r="AF480" s="15"/>
      <c r="AJ480" s="117"/>
      <c r="AK480" s="116"/>
      <c r="AL480" s="116"/>
      <c r="AM480" s="116"/>
    </row>
    <row r="481" spans="1:39" ht="19.5" x14ac:dyDescent="0.4"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22"/>
      <c r="O481" s="122"/>
      <c r="P481" s="122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26"/>
      <c r="AF481" s="13"/>
      <c r="AJ481" s="117"/>
      <c r="AK481" s="116"/>
      <c r="AL481" s="116"/>
      <c r="AM481" s="116"/>
    </row>
    <row r="482" spans="1:39" ht="19.5" x14ac:dyDescent="0.4"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22"/>
      <c r="O482" s="122"/>
      <c r="P482" s="122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26"/>
      <c r="AF482" s="15"/>
      <c r="AJ482" s="117"/>
      <c r="AK482" s="116"/>
      <c r="AL482" s="116"/>
      <c r="AM482" s="116"/>
    </row>
    <row r="483" spans="1:39" ht="19.5" x14ac:dyDescent="0.4"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22"/>
      <c r="O483" s="122"/>
      <c r="P483" s="122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7"/>
      <c r="AF483" s="15"/>
      <c r="AJ483" s="117"/>
      <c r="AK483" s="116"/>
      <c r="AL483" s="116"/>
      <c r="AM483" s="116"/>
    </row>
    <row r="484" spans="1:39" ht="19.5" x14ac:dyDescent="0.4"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22"/>
      <c r="O484" s="122"/>
      <c r="P484" s="122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26"/>
      <c r="AF484" s="15"/>
      <c r="AJ484" s="117"/>
      <c r="AK484" s="116"/>
      <c r="AL484" s="116"/>
      <c r="AM484" s="116"/>
    </row>
    <row r="485" spans="1:39" ht="19.5" x14ac:dyDescent="0.4"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22"/>
      <c r="O485" s="122"/>
      <c r="P485" s="122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26"/>
      <c r="AF485" s="15"/>
      <c r="AJ485" s="117"/>
      <c r="AK485" s="116"/>
      <c r="AL485" s="116"/>
      <c r="AM485" s="116"/>
    </row>
    <row r="486" spans="1:39" ht="19.5" x14ac:dyDescent="0.4"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22"/>
      <c r="O486" s="122"/>
      <c r="P486" s="122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7"/>
      <c r="AF486" s="15"/>
      <c r="AJ486" s="117"/>
      <c r="AK486" s="116"/>
      <c r="AL486" s="116"/>
      <c r="AM486" s="116"/>
    </row>
    <row r="487" spans="1:39" ht="19.5" x14ac:dyDescent="0.4"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22"/>
      <c r="O487" s="122"/>
      <c r="P487" s="122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26"/>
      <c r="AF487" s="15"/>
      <c r="AJ487" s="117"/>
      <c r="AK487" s="116"/>
      <c r="AL487" s="116"/>
      <c r="AM487" s="116"/>
    </row>
    <row r="488" spans="1:39" ht="19.5" x14ac:dyDescent="0.4">
      <c r="AE488" s="26"/>
      <c r="AF488" s="15"/>
      <c r="AJ488" s="117"/>
      <c r="AK488" s="116"/>
      <c r="AL488" s="116"/>
      <c r="AM488" s="116"/>
    </row>
    <row r="489" spans="1:39" ht="19.5" x14ac:dyDescent="0.4">
      <c r="O489" s="122"/>
      <c r="P489" s="122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7"/>
      <c r="AF489" s="15"/>
      <c r="AJ489" s="117"/>
      <c r="AK489" s="116"/>
      <c r="AL489" s="116"/>
      <c r="AM489" s="116"/>
    </row>
    <row r="490" spans="1:39" ht="19.5" x14ac:dyDescent="0.4">
      <c r="L490" s="115"/>
      <c r="M490" s="115"/>
      <c r="N490" s="122"/>
      <c r="O490" s="122"/>
      <c r="P490" s="122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26"/>
      <c r="AF490" s="15"/>
      <c r="AJ490" s="117"/>
      <c r="AK490" s="116"/>
      <c r="AL490" s="116"/>
      <c r="AM490" s="116"/>
    </row>
    <row r="491" spans="1:39" ht="19.5" x14ac:dyDescent="0.4">
      <c r="L491" s="115"/>
      <c r="M491" s="115"/>
      <c r="N491" s="122"/>
      <c r="O491" s="122"/>
      <c r="P491" s="122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7"/>
      <c r="AF491" s="15"/>
      <c r="AJ491" s="117"/>
      <c r="AK491" s="116"/>
      <c r="AL491" s="116"/>
      <c r="AM491" s="116"/>
    </row>
    <row r="492" spans="1:39" ht="19.5" x14ac:dyDescent="0.4">
      <c r="K492" s="115"/>
      <c r="L492" s="115"/>
      <c r="M492" s="115"/>
      <c r="N492" s="122"/>
      <c r="O492" s="122"/>
      <c r="P492" s="122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26"/>
      <c r="AF492" s="15"/>
      <c r="AJ492" s="117"/>
      <c r="AK492" s="116"/>
      <c r="AL492" s="116"/>
      <c r="AM492" s="116"/>
    </row>
    <row r="493" spans="1:39" ht="19.5" x14ac:dyDescent="0.4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22"/>
      <c r="O493" s="122"/>
      <c r="P493" s="122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26"/>
      <c r="AF493" s="15"/>
      <c r="AJ493" s="117"/>
      <c r="AK493" s="116"/>
      <c r="AL493" s="116"/>
      <c r="AM493" s="116"/>
    </row>
    <row r="494" spans="1:39" ht="19.5" x14ac:dyDescent="0.4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22"/>
      <c r="O494" s="122"/>
      <c r="P494" s="122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26"/>
      <c r="AF494" s="15"/>
      <c r="AJ494" s="117"/>
      <c r="AK494" s="116"/>
      <c r="AL494" s="116"/>
      <c r="AM494" s="116"/>
    </row>
    <row r="495" spans="1:39" ht="19.5" x14ac:dyDescent="0.4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22"/>
      <c r="O495" s="122"/>
      <c r="P495" s="122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26"/>
      <c r="AF495" s="15"/>
      <c r="AJ495" s="117"/>
      <c r="AK495" s="116"/>
      <c r="AL495" s="116"/>
      <c r="AM495" s="116"/>
    </row>
    <row r="496" spans="1:39" ht="19.5" x14ac:dyDescent="0.4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22"/>
      <c r="O496" s="122"/>
      <c r="P496" s="122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26"/>
      <c r="AF496" s="105"/>
      <c r="AJ496" s="117"/>
      <c r="AK496" s="116"/>
      <c r="AL496" s="116"/>
      <c r="AM496" s="116"/>
    </row>
    <row r="497" spans="1:39" ht="19.5" x14ac:dyDescent="0.4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22"/>
      <c r="O497" s="122"/>
      <c r="P497" s="122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26"/>
      <c r="AF497" s="105"/>
      <c r="AJ497" s="117"/>
      <c r="AK497" s="116"/>
      <c r="AL497" s="116"/>
      <c r="AM497" s="116"/>
    </row>
    <row r="498" spans="1:39" ht="19.5" x14ac:dyDescent="0.4">
      <c r="AE498" s="26"/>
      <c r="AF498" s="13"/>
      <c r="AJ498" s="117"/>
      <c r="AK498" s="116"/>
      <c r="AL498" s="116"/>
      <c r="AM498" s="116"/>
    </row>
    <row r="499" spans="1:39" ht="19.5" x14ac:dyDescent="0.4">
      <c r="L499" s="115"/>
      <c r="M499" s="115"/>
      <c r="N499" s="122"/>
      <c r="O499" s="122"/>
      <c r="P499" s="122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26"/>
      <c r="AF499" s="13"/>
      <c r="AJ499" s="117"/>
      <c r="AK499" s="116"/>
      <c r="AL499" s="116"/>
      <c r="AM499" s="116"/>
    </row>
    <row r="500" spans="1:39" ht="19.5" x14ac:dyDescent="0.4">
      <c r="G500" s="115"/>
      <c r="H500" s="115"/>
      <c r="I500" s="115"/>
      <c r="J500" s="115"/>
      <c r="K500" s="115"/>
      <c r="L500" s="115"/>
      <c r="M500" s="115"/>
      <c r="N500" s="122"/>
      <c r="O500" s="122"/>
      <c r="P500" s="122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26"/>
      <c r="AF500" s="13"/>
      <c r="AJ500" s="117"/>
      <c r="AK500" s="116"/>
      <c r="AL500" s="116"/>
      <c r="AM500" s="116"/>
    </row>
    <row r="501" spans="1:39" ht="19.5" x14ac:dyDescent="0.4">
      <c r="AE501" s="26"/>
      <c r="AF501" s="13"/>
      <c r="AJ501" s="117"/>
      <c r="AK501" s="116"/>
      <c r="AL501" s="116"/>
      <c r="AM501" s="116"/>
    </row>
    <row r="502" spans="1:39" ht="19.5" x14ac:dyDescent="0.4">
      <c r="E502" s="115"/>
      <c r="F502" s="115"/>
      <c r="G502" s="115"/>
      <c r="H502" s="115"/>
      <c r="I502" s="115"/>
      <c r="J502" s="115"/>
      <c r="K502" s="115"/>
      <c r="L502" s="115"/>
      <c r="M502" s="115"/>
      <c r="N502" s="122"/>
      <c r="O502" s="122"/>
      <c r="P502" s="122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26"/>
      <c r="AF502" s="13"/>
      <c r="AJ502" s="117"/>
      <c r="AK502" s="116"/>
      <c r="AL502" s="116"/>
      <c r="AM502" s="116"/>
    </row>
    <row r="503" spans="1:39" ht="19.5" x14ac:dyDescent="0.4">
      <c r="E503" s="115"/>
      <c r="F503" s="115"/>
      <c r="G503" s="115"/>
      <c r="H503" s="115"/>
      <c r="I503" s="115"/>
      <c r="J503" s="115"/>
      <c r="K503" s="115"/>
      <c r="L503" s="115"/>
      <c r="M503" s="115"/>
      <c r="N503" s="122"/>
      <c r="O503" s="122"/>
      <c r="P503" s="122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26"/>
      <c r="AF503" s="13"/>
      <c r="AJ503" s="117"/>
      <c r="AK503" s="116"/>
      <c r="AL503" s="116"/>
      <c r="AM503" s="116"/>
    </row>
    <row r="504" spans="1:39" ht="19.5" x14ac:dyDescent="0.4"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22"/>
      <c r="O504" s="122"/>
      <c r="P504" s="122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6"/>
      <c r="AF504" s="13"/>
      <c r="AJ504" s="117"/>
      <c r="AK504" s="116"/>
      <c r="AL504" s="116"/>
      <c r="AM504" s="116"/>
    </row>
    <row r="505" spans="1:39" ht="19.5" x14ac:dyDescent="0.4"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22"/>
      <c r="O505" s="122"/>
      <c r="P505" s="122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26"/>
      <c r="AF505" s="13"/>
      <c r="AJ505" s="117"/>
      <c r="AK505" s="116"/>
      <c r="AL505" s="116"/>
      <c r="AM505" s="116"/>
    </row>
    <row r="506" spans="1:39" ht="19.5" x14ac:dyDescent="0.4"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22"/>
      <c r="O506" s="122"/>
      <c r="P506" s="122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26"/>
      <c r="AF506" s="13"/>
      <c r="AJ506" s="117"/>
      <c r="AK506" s="116"/>
      <c r="AL506" s="116"/>
      <c r="AM506" s="116"/>
    </row>
    <row r="507" spans="1:39" ht="19.5" x14ac:dyDescent="0.4"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22"/>
      <c r="O507" s="122"/>
      <c r="P507" s="122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26"/>
      <c r="AF507" s="13"/>
      <c r="AJ507" s="117"/>
      <c r="AK507" s="116"/>
      <c r="AL507" s="116"/>
      <c r="AM507" s="116"/>
    </row>
    <row r="508" spans="1:39" ht="19.5" x14ac:dyDescent="0.4"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22"/>
      <c r="O508" s="122"/>
      <c r="P508" s="122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26"/>
      <c r="AF508" s="13"/>
      <c r="AJ508" s="117"/>
      <c r="AK508" s="116"/>
      <c r="AL508" s="116"/>
      <c r="AM508" s="116"/>
    </row>
    <row r="509" spans="1:39" ht="19.5" x14ac:dyDescent="0.4"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22"/>
      <c r="O509" s="122"/>
      <c r="P509" s="122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26"/>
      <c r="AF509" s="13"/>
      <c r="AJ509" s="117"/>
      <c r="AK509" s="116"/>
      <c r="AL509" s="116"/>
      <c r="AM509" s="116"/>
    </row>
    <row r="510" spans="1:39" ht="19.5" x14ac:dyDescent="0.4">
      <c r="AE510" s="26"/>
      <c r="AF510" s="15"/>
      <c r="AJ510" s="117"/>
      <c r="AK510" s="116"/>
      <c r="AL510" s="116"/>
      <c r="AM510" s="116"/>
    </row>
    <row r="511" spans="1:39" ht="19.5" x14ac:dyDescent="0.4"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22"/>
      <c r="O511" s="122"/>
      <c r="P511" s="122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26"/>
      <c r="AF511" s="15"/>
      <c r="AJ511" s="117"/>
      <c r="AK511" s="116"/>
      <c r="AL511" s="116"/>
      <c r="AM511" s="116"/>
    </row>
    <row r="512" spans="1:39" ht="19.5" x14ac:dyDescent="0.4"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22"/>
      <c r="O512" s="122"/>
      <c r="P512" s="122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7"/>
      <c r="AF512" s="15"/>
      <c r="AJ512" s="117"/>
      <c r="AK512" s="116"/>
      <c r="AL512" s="116"/>
      <c r="AM512" s="116"/>
    </row>
    <row r="513" spans="1:39" ht="19.5" x14ac:dyDescent="0.4">
      <c r="AE513" s="26"/>
      <c r="AF513" s="15"/>
      <c r="AJ513" s="117"/>
      <c r="AK513" s="116"/>
      <c r="AL513" s="116"/>
      <c r="AM513" s="116"/>
    </row>
    <row r="514" spans="1:39" ht="19.5" x14ac:dyDescent="0.4">
      <c r="AE514" s="26"/>
      <c r="AF514" s="13"/>
      <c r="AJ514" s="117"/>
      <c r="AK514" s="116"/>
      <c r="AL514" s="116"/>
      <c r="AM514" s="116"/>
    </row>
    <row r="515" spans="1:39" ht="19.5" x14ac:dyDescent="0.4">
      <c r="K515" s="115"/>
      <c r="L515" s="115"/>
      <c r="M515" s="115"/>
      <c r="N515" s="122"/>
      <c r="O515" s="122"/>
      <c r="P515" s="122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26"/>
      <c r="AF515" s="13"/>
      <c r="AJ515" s="117"/>
      <c r="AK515" s="116"/>
      <c r="AL515" s="116"/>
      <c r="AM515" s="116"/>
    </row>
    <row r="516" spans="1:39" ht="19.5" x14ac:dyDescent="0.4"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22"/>
      <c r="O516" s="122"/>
      <c r="P516" s="122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6"/>
      <c r="AF516" s="13"/>
      <c r="AJ516" s="117"/>
      <c r="AK516" s="116"/>
      <c r="AL516" s="116"/>
      <c r="AM516" s="116"/>
    </row>
    <row r="517" spans="1:39" ht="19.5" x14ac:dyDescent="0.4"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22"/>
      <c r="O517" s="122"/>
      <c r="P517" s="122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7"/>
      <c r="AF517" s="13"/>
      <c r="AJ517" s="117"/>
      <c r="AK517" s="116"/>
      <c r="AL517" s="116"/>
      <c r="AM517" s="116"/>
    </row>
    <row r="518" spans="1:39" ht="19.5" x14ac:dyDescent="0.4"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22"/>
      <c r="O518" s="122"/>
      <c r="P518" s="122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6"/>
      <c r="AF518" s="25"/>
      <c r="AJ518" s="117"/>
      <c r="AK518" s="116"/>
      <c r="AL518" s="116"/>
      <c r="AM518" s="116"/>
    </row>
    <row r="519" spans="1:39" ht="19.5" x14ac:dyDescent="0.4"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22"/>
      <c r="O519" s="122"/>
      <c r="P519" s="122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7"/>
      <c r="AF519" s="13"/>
      <c r="AJ519" s="117"/>
      <c r="AK519" s="116"/>
      <c r="AL519" s="116"/>
      <c r="AM519" s="116"/>
    </row>
    <row r="520" spans="1:39" ht="19.5" x14ac:dyDescent="0.4"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22"/>
      <c r="O520" s="122"/>
      <c r="P520" s="122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26"/>
      <c r="AF520" s="13"/>
      <c r="AJ520" s="117"/>
      <c r="AK520" s="116"/>
      <c r="AL520" s="116"/>
      <c r="AM520" s="116"/>
    </row>
    <row r="521" spans="1:39" ht="19.5" x14ac:dyDescent="0.4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22"/>
      <c r="O521" s="122"/>
      <c r="P521" s="122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26"/>
      <c r="AF521" s="13"/>
      <c r="AJ521" s="117"/>
      <c r="AK521" s="116"/>
      <c r="AL521" s="116"/>
      <c r="AM521" s="116"/>
    </row>
    <row r="522" spans="1:39" ht="19.5" x14ac:dyDescent="0.4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22"/>
      <c r="O522" s="122"/>
      <c r="P522" s="122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26"/>
      <c r="AF522" s="13"/>
      <c r="AJ522" s="117"/>
      <c r="AK522" s="116"/>
      <c r="AL522" s="116"/>
      <c r="AM522" s="116"/>
    </row>
    <row r="523" spans="1:39" ht="19.5" x14ac:dyDescent="0.4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22"/>
      <c r="O523" s="122"/>
      <c r="P523" s="122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26"/>
      <c r="AF523" s="13"/>
      <c r="AJ523" s="117"/>
      <c r="AK523" s="116"/>
      <c r="AL523" s="116"/>
      <c r="AM523" s="116"/>
    </row>
    <row r="524" spans="1:39" ht="19.5" x14ac:dyDescent="0.4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22"/>
      <c r="O524" s="122"/>
      <c r="P524" s="122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26"/>
      <c r="AF524" s="13"/>
      <c r="AJ524" s="117"/>
      <c r="AK524" s="116"/>
      <c r="AL524" s="116"/>
      <c r="AM524" s="116"/>
    </row>
    <row r="525" spans="1:39" ht="19.5" x14ac:dyDescent="0.4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22"/>
      <c r="O525" s="122"/>
      <c r="P525" s="122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26"/>
      <c r="AF525" s="13"/>
      <c r="AJ525" s="117"/>
      <c r="AK525" s="116"/>
      <c r="AL525" s="116"/>
      <c r="AM525" s="116"/>
    </row>
    <row r="526" spans="1:39" ht="19.5" x14ac:dyDescent="0.4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22"/>
      <c r="O526" s="122"/>
      <c r="P526" s="122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26"/>
      <c r="AF526" s="13"/>
      <c r="AJ526" s="117"/>
      <c r="AK526" s="116"/>
      <c r="AL526" s="116"/>
      <c r="AM526" s="116"/>
    </row>
    <row r="527" spans="1:39" ht="19.5" x14ac:dyDescent="0.4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22"/>
      <c r="O527" s="122"/>
      <c r="P527" s="122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26"/>
      <c r="AF527" s="13"/>
      <c r="AJ527" s="117"/>
      <c r="AK527" s="116"/>
      <c r="AL527" s="116"/>
      <c r="AM527" s="116"/>
    </row>
    <row r="528" spans="1:39" ht="19.5" x14ac:dyDescent="0.4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22"/>
      <c r="O528" s="122"/>
      <c r="P528" s="122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26"/>
      <c r="AF528" s="15"/>
      <c r="AJ528" s="117"/>
      <c r="AK528" s="116"/>
      <c r="AL528" s="116"/>
      <c r="AM528" s="116"/>
    </row>
    <row r="529" spans="1:39" ht="19.5" x14ac:dyDescent="0.4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22"/>
      <c r="O529" s="122"/>
      <c r="P529" s="122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6"/>
      <c r="AF529" s="15"/>
      <c r="AJ529" s="117"/>
      <c r="AK529" s="116"/>
      <c r="AL529" s="116"/>
      <c r="AM529" s="116"/>
    </row>
    <row r="530" spans="1:39" ht="19.5" x14ac:dyDescent="0.4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22"/>
      <c r="O530" s="122"/>
      <c r="P530" s="122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6"/>
      <c r="AF530" s="15"/>
      <c r="AJ530" s="117"/>
      <c r="AK530" s="116"/>
      <c r="AL530" s="116"/>
      <c r="AM530" s="116"/>
    </row>
    <row r="531" spans="1:39" ht="19.5" x14ac:dyDescent="0.4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22"/>
      <c r="O531" s="122"/>
      <c r="P531" s="122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26"/>
      <c r="AF531" s="15"/>
      <c r="AJ531" s="117"/>
      <c r="AK531" s="116"/>
      <c r="AL531" s="116"/>
      <c r="AM531" s="116"/>
    </row>
    <row r="532" spans="1:39" ht="19.5" x14ac:dyDescent="0.4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22"/>
      <c r="O532" s="122"/>
      <c r="P532" s="122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26"/>
      <c r="AF532" s="25"/>
      <c r="AJ532" s="117"/>
      <c r="AK532" s="116"/>
      <c r="AL532" s="116"/>
      <c r="AM532" s="116"/>
    </row>
    <row r="533" spans="1:39" ht="19.5" x14ac:dyDescent="0.4">
      <c r="AE533" s="26"/>
      <c r="AF533" s="15"/>
      <c r="AJ533" s="117"/>
      <c r="AK533" s="116"/>
      <c r="AL533" s="116"/>
      <c r="AM533" s="116"/>
    </row>
    <row r="534" spans="1:39" ht="19.5" x14ac:dyDescent="0.4">
      <c r="M534" s="115"/>
      <c r="N534" s="122"/>
      <c r="O534" s="122"/>
      <c r="P534" s="122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26"/>
      <c r="AF534" s="15"/>
      <c r="AJ534" s="117"/>
      <c r="AK534" s="116"/>
      <c r="AL534" s="116"/>
      <c r="AM534" s="116"/>
    </row>
    <row r="535" spans="1:39" ht="19.5" x14ac:dyDescent="0.4">
      <c r="K535" s="115"/>
      <c r="L535" s="115"/>
      <c r="M535" s="115"/>
      <c r="N535" s="122"/>
      <c r="O535" s="122"/>
      <c r="P535" s="122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26"/>
      <c r="AF535" s="15"/>
      <c r="AJ535" s="117"/>
      <c r="AK535" s="116"/>
      <c r="AL535" s="116"/>
      <c r="AM535" s="116"/>
    </row>
    <row r="536" spans="1:39" ht="19.5" x14ac:dyDescent="0.4">
      <c r="K536" s="115"/>
      <c r="L536" s="115"/>
      <c r="M536" s="115"/>
      <c r="N536" s="122"/>
      <c r="O536" s="122"/>
      <c r="P536" s="122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7"/>
      <c r="AF536" s="15"/>
      <c r="AJ536" s="117"/>
      <c r="AK536" s="116"/>
      <c r="AL536" s="116"/>
      <c r="AM536" s="116"/>
    </row>
    <row r="537" spans="1:39" ht="19.5" x14ac:dyDescent="0.4">
      <c r="H537" s="115"/>
      <c r="I537" s="115"/>
      <c r="J537" s="115"/>
      <c r="K537" s="115"/>
      <c r="L537" s="115"/>
      <c r="M537" s="115"/>
      <c r="N537" s="122"/>
      <c r="O537" s="122"/>
      <c r="P537" s="122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26"/>
      <c r="AF537" s="15"/>
      <c r="AJ537" s="117"/>
      <c r="AK537" s="116"/>
      <c r="AL537" s="116"/>
      <c r="AM537" s="116"/>
    </row>
    <row r="538" spans="1:39" ht="19.5" x14ac:dyDescent="0.4">
      <c r="H538" s="115"/>
      <c r="I538" s="115"/>
      <c r="J538" s="115"/>
      <c r="K538" s="115"/>
      <c r="L538" s="115"/>
      <c r="M538" s="115"/>
      <c r="N538" s="122"/>
      <c r="O538" s="122"/>
      <c r="P538" s="122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7"/>
      <c r="AF538" s="15"/>
      <c r="AJ538" s="117"/>
      <c r="AK538" s="116"/>
      <c r="AL538" s="116"/>
      <c r="AM538" s="116"/>
    </row>
    <row r="539" spans="1:39" ht="19.5" x14ac:dyDescent="0.4">
      <c r="H539" s="115"/>
      <c r="I539" s="115"/>
      <c r="J539" s="115"/>
      <c r="K539" s="115"/>
      <c r="L539" s="115"/>
      <c r="M539" s="115"/>
      <c r="N539" s="122"/>
      <c r="O539" s="122"/>
      <c r="P539" s="122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26"/>
      <c r="AF539" s="15"/>
      <c r="AJ539" s="117"/>
      <c r="AK539" s="116"/>
      <c r="AL539" s="116"/>
      <c r="AM539" s="116"/>
    </row>
    <row r="540" spans="1:39" ht="19.5" x14ac:dyDescent="0.4">
      <c r="H540" s="115"/>
      <c r="I540" s="115"/>
      <c r="J540" s="115"/>
      <c r="K540" s="115"/>
      <c r="L540" s="115"/>
      <c r="M540" s="115"/>
      <c r="N540" s="122"/>
      <c r="O540" s="122"/>
      <c r="P540" s="122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7"/>
      <c r="AF540" s="13"/>
      <c r="AJ540" s="117"/>
      <c r="AK540" s="116"/>
      <c r="AL540" s="116"/>
      <c r="AM540" s="116"/>
    </row>
    <row r="541" spans="1:39" ht="19.5" x14ac:dyDescent="0.4">
      <c r="H541" s="115"/>
      <c r="I541" s="115"/>
      <c r="J541" s="115"/>
      <c r="K541" s="115"/>
      <c r="L541" s="115"/>
      <c r="M541" s="115"/>
      <c r="N541" s="122"/>
      <c r="O541" s="122"/>
      <c r="P541" s="122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7"/>
      <c r="AF541" s="13"/>
      <c r="AJ541" s="117"/>
      <c r="AK541" s="116"/>
      <c r="AL541" s="116"/>
      <c r="AM541" s="116"/>
    </row>
    <row r="542" spans="1:39" ht="19.5" x14ac:dyDescent="0.4">
      <c r="AE542" s="26"/>
      <c r="AF542" s="13"/>
      <c r="AJ542" s="117"/>
      <c r="AK542" s="116"/>
      <c r="AL542" s="116"/>
      <c r="AM542" s="116"/>
    </row>
    <row r="543" spans="1:39" ht="19.5" x14ac:dyDescent="0.4">
      <c r="M543" s="115"/>
      <c r="N543" s="122"/>
      <c r="O543" s="122"/>
      <c r="P543" s="122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7"/>
      <c r="AF543" s="13"/>
      <c r="AJ543" s="117"/>
      <c r="AK543" s="116"/>
      <c r="AL543" s="116"/>
      <c r="AM543" s="116"/>
    </row>
    <row r="544" spans="1:39" ht="19.5" x14ac:dyDescent="0.4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22"/>
      <c r="O544" s="122"/>
      <c r="P544" s="122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26"/>
      <c r="AF544" s="13"/>
      <c r="AJ544" s="117"/>
      <c r="AK544" s="116"/>
      <c r="AL544" s="116"/>
      <c r="AM544" s="116"/>
    </row>
    <row r="545" spans="1:39" ht="19.5" x14ac:dyDescent="0.4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22"/>
      <c r="O545" s="122"/>
      <c r="P545" s="122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26"/>
      <c r="AF545" s="13"/>
      <c r="AJ545" s="117"/>
      <c r="AK545" s="116"/>
      <c r="AL545" s="116"/>
      <c r="AM545" s="116"/>
    </row>
    <row r="546" spans="1:39" ht="19.5" x14ac:dyDescent="0.4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22"/>
      <c r="O546" s="122"/>
      <c r="P546" s="122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26"/>
      <c r="AF546" s="13"/>
      <c r="AJ546" s="117"/>
      <c r="AK546" s="116"/>
      <c r="AL546" s="116"/>
      <c r="AM546" s="116"/>
    </row>
    <row r="547" spans="1:39" ht="19.5" x14ac:dyDescent="0.4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22"/>
      <c r="O547" s="122"/>
      <c r="P547" s="122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26"/>
      <c r="AF547" s="13"/>
      <c r="AJ547" s="117"/>
      <c r="AK547" s="116"/>
      <c r="AL547" s="116"/>
      <c r="AM547" s="116"/>
    </row>
    <row r="548" spans="1:39" ht="19.5" x14ac:dyDescent="0.4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22"/>
      <c r="O548" s="122"/>
      <c r="P548" s="122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7"/>
      <c r="AF548" s="13"/>
      <c r="AJ548" s="117"/>
      <c r="AK548" s="116"/>
      <c r="AL548" s="116"/>
      <c r="AM548" s="116"/>
    </row>
    <row r="549" spans="1:39" ht="19.5" x14ac:dyDescent="0.4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22"/>
      <c r="O549" s="122"/>
      <c r="P549" s="122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26"/>
      <c r="AF549" s="13"/>
      <c r="AJ549" s="117"/>
      <c r="AK549" s="116"/>
      <c r="AL549" s="116"/>
      <c r="AM549" s="116"/>
    </row>
    <row r="550" spans="1:39" ht="19.5" x14ac:dyDescent="0.4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22"/>
      <c r="O550" s="122"/>
      <c r="P550" s="122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26"/>
      <c r="AF550" s="15"/>
      <c r="AJ550" s="117"/>
      <c r="AK550" s="116"/>
      <c r="AL550" s="116"/>
      <c r="AM550" s="116"/>
    </row>
    <row r="551" spans="1:39" ht="19.5" x14ac:dyDescent="0.4">
      <c r="AE551" s="26"/>
      <c r="AF551" s="15"/>
      <c r="AJ551" s="117"/>
      <c r="AK551" s="116"/>
      <c r="AL551" s="116"/>
      <c r="AM551" s="116"/>
    </row>
    <row r="552" spans="1:39" ht="19.5" x14ac:dyDescent="0.4">
      <c r="L552" s="115"/>
      <c r="M552" s="115"/>
      <c r="N552" s="122"/>
      <c r="O552" s="122"/>
      <c r="P552" s="122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26"/>
      <c r="AF552" s="13"/>
      <c r="AJ552" s="117"/>
      <c r="AK552" s="116"/>
      <c r="AL552" s="116"/>
      <c r="AM552" s="116"/>
    </row>
    <row r="553" spans="1:39" ht="19.5" x14ac:dyDescent="0.4">
      <c r="J553" s="115"/>
      <c r="K553" s="115"/>
      <c r="L553" s="115"/>
      <c r="M553" s="115"/>
      <c r="N553" s="122"/>
      <c r="O553" s="122"/>
      <c r="P553" s="122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26"/>
      <c r="AF553" s="15"/>
      <c r="AJ553" s="117"/>
      <c r="AK553" s="116"/>
      <c r="AL553" s="116"/>
      <c r="AM553" s="116"/>
    </row>
    <row r="554" spans="1:39" ht="19.5" x14ac:dyDescent="0.4">
      <c r="J554" s="115"/>
      <c r="K554" s="115"/>
      <c r="L554" s="115"/>
      <c r="M554" s="115"/>
      <c r="N554" s="122"/>
      <c r="O554" s="122"/>
      <c r="P554" s="122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26"/>
      <c r="AF554" s="15"/>
      <c r="AJ554" s="117"/>
      <c r="AK554" s="116"/>
      <c r="AL554" s="116"/>
      <c r="AM554" s="116"/>
    </row>
    <row r="555" spans="1:39" ht="19.5" x14ac:dyDescent="0.4">
      <c r="J555" s="115"/>
      <c r="K555" s="115"/>
      <c r="L555" s="115"/>
      <c r="M555" s="115"/>
      <c r="N555" s="122"/>
      <c r="O555" s="122"/>
      <c r="P555" s="122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7"/>
      <c r="AF555" s="15"/>
      <c r="AJ555" s="117"/>
      <c r="AK555" s="116"/>
      <c r="AL555" s="116"/>
      <c r="AM555" s="116"/>
    </row>
    <row r="556" spans="1:39" ht="19.5" x14ac:dyDescent="0.4">
      <c r="I556" s="115"/>
      <c r="J556" s="115"/>
      <c r="K556" s="115"/>
      <c r="L556" s="115"/>
      <c r="M556" s="115"/>
      <c r="N556" s="122"/>
      <c r="O556" s="122"/>
      <c r="P556" s="122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26"/>
      <c r="AF556" s="15"/>
      <c r="AJ556" s="117"/>
      <c r="AK556" s="116"/>
      <c r="AL556" s="116"/>
      <c r="AM556" s="116"/>
    </row>
    <row r="557" spans="1:39" ht="19.5" x14ac:dyDescent="0.4">
      <c r="I557" s="115"/>
      <c r="J557" s="115"/>
      <c r="K557" s="115"/>
      <c r="L557" s="115"/>
      <c r="M557" s="115"/>
      <c r="N557" s="122"/>
      <c r="O557" s="122"/>
      <c r="P557" s="122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26"/>
      <c r="AF557" s="15"/>
      <c r="AJ557" s="117"/>
      <c r="AK557" s="116"/>
      <c r="AL557" s="116"/>
      <c r="AM557" s="116"/>
    </row>
    <row r="558" spans="1:39" ht="19.5" x14ac:dyDescent="0.4">
      <c r="I558" s="115"/>
      <c r="J558" s="115"/>
      <c r="K558" s="115"/>
      <c r="L558" s="115"/>
      <c r="M558" s="115"/>
      <c r="N558" s="122"/>
      <c r="O558" s="122"/>
      <c r="P558" s="122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26"/>
      <c r="AF558" s="105"/>
      <c r="AJ558" s="117"/>
      <c r="AK558" s="116"/>
      <c r="AL558" s="116"/>
      <c r="AM558" s="116"/>
    </row>
    <row r="559" spans="1:39" ht="19.5" x14ac:dyDescent="0.4">
      <c r="I559" s="115"/>
      <c r="J559" s="115"/>
      <c r="K559" s="115"/>
      <c r="L559" s="115"/>
      <c r="M559" s="115"/>
      <c r="N559" s="122"/>
      <c r="O559" s="122"/>
      <c r="P559" s="122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7"/>
      <c r="AF559" s="15"/>
      <c r="AJ559" s="117"/>
      <c r="AK559" s="116"/>
      <c r="AL559" s="116"/>
      <c r="AM559" s="116"/>
    </row>
    <row r="560" spans="1:39" ht="19.5" x14ac:dyDescent="0.4">
      <c r="I560" s="115"/>
      <c r="J560" s="115"/>
      <c r="K560" s="115"/>
      <c r="L560" s="115"/>
      <c r="M560" s="115"/>
      <c r="N560" s="122"/>
      <c r="O560" s="122"/>
      <c r="P560" s="122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26"/>
      <c r="AF560" s="15"/>
      <c r="AJ560" s="117"/>
      <c r="AK560" s="116"/>
      <c r="AL560" s="116"/>
      <c r="AM560" s="116"/>
    </row>
    <row r="561" spans="1:39" ht="19.5" x14ac:dyDescent="0.4">
      <c r="I561" s="115"/>
      <c r="J561" s="115"/>
      <c r="K561" s="115"/>
      <c r="L561" s="115"/>
      <c r="M561" s="115"/>
      <c r="N561" s="122"/>
      <c r="O561" s="122"/>
      <c r="P561" s="122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7"/>
      <c r="AF561" s="15"/>
      <c r="AJ561" s="117"/>
      <c r="AK561" s="116"/>
      <c r="AL561" s="116"/>
      <c r="AM561" s="116"/>
    </row>
    <row r="562" spans="1:39" ht="19.5" x14ac:dyDescent="0.4">
      <c r="E562" s="115"/>
      <c r="F562" s="115"/>
      <c r="G562" s="115"/>
      <c r="H562" s="115"/>
      <c r="I562" s="115"/>
      <c r="J562" s="115"/>
      <c r="K562" s="115"/>
      <c r="L562" s="115"/>
      <c r="M562" s="115"/>
      <c r="N562" s="122"/>
      <c r="O562" s="122"/>
      <c r="P562" s="122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26"/>
      <c r="AF562" s="15"/>
      <c r="AJ562" s="117"/>
      <c r="AK562" s="116"/>
      <c r="AL562" s="116"/>
      <c r="AM562" s="116"/>
    </row>
    <row r="563" spans="1:39" ht="19.5" x14ac:dyDescent="0.4">
      <c r="E563" s="115"/>
      <c r="F563" s="115"/>
      <c r="G563" s="115"/>
      <c r="H563" s="115"/>
      <c r="I563" s="115"/>
      <c r="J563" s="115"/>
      <c r="K563" s="115"/>
      <c r="L563" s="115"/>
      <c r="M563" s="115"/>
      <c r="N563" s="122"/>
      <c r="O563" s="122"/>
      <c r="P563" s="122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7"/>
      <c r="AF563" s="15"/>
      <c r="AJ563" s="117"/>
      <c r="AK563" s="116"/>
      <c r="AL563" s="116"/>
      <c r="AM563" s="116"/>
    </row>
    <row r="564" spans="1:39" ht="19.5" x14ac:dyDescent="0.4">
      <c r="E564" s="115"/>
      <c r="F564" s="115"/>
      <c r="G564" s="115"/>
      <c r="H564" s="115"/>
      <c r="I564" s="115"/>
      <c r="J564" s="115"/>
      <c r="K564" s="115"/>
      <c r="L564" s="115"/>
      <c r="M564" s="115"/>
      <c r="N564" s="122"/>
      <c r="O564" s="122"/>
      <c r="P564" s="122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26"/>
      <c r="AF564" s="15"/>
      <c r="AJ564" s="117"/>
      <c r="AK564" s="116"/>
      <c r="AL564" s="116"/>
      <c r="AM564" s="116"/>
    </row>
    <row r="565" spans="1:39" ht="19.5" x14ac:dyDescent="0.4">
      <c r="E565" s="115"/>
      <c r="F565" s="115"/>
      <c r="G565" s="115"/>
      <c r="H565" s="115"/>
      <c r="I565" s="115"/>
      <c r="J565" s="115"/>
      <c r="K565" s="115"/>
      <c r="L565" s="115"/>
      <c r="M565" s="115"/>
      <c r="N565" s="122"/>
      <c r="O565" s="122"/>
      <c r="P565" s="122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7"/>
      <c r="AF565" s="15"/>
      <c r="AJ565" s="117"/>
      <c r="AK565" s="116"/>
      <c r="AL565" s="116"/>
      <c r="AM565" s="116"/>
    </row>
    <row r="566" spans="1:39" ht="19.5" x14ac:dyDescent="0.4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22"/>
      <c r="O566" s="122"/>
      <c r="P566" s="122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26"/>
      <c r="AF566" s="15"/>
      <c r="AJ566" s="117"/>
      <c r="AK566" s="116"/>
      <c r="AL566" s="116"/>
      <c r="AM566" s="116"/>
    </row>
    <row r="567" spans="1:39" ht="19.5" x14ac:dyDescent="0.4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22"/>
      <c r="O567" s="122"/>
      <c r="P567" s="122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26"/>
      <c r="AF567" s="15"/>
      <c r="AJ567" s="117"/>
      <c r="AK567" s="116"/>
      <c r="AL567" s="116"/>
      <c r="AM567" s="116"/>
    </row>
    <row r="568" spans="1:39" ht="19.5" x14ac:dyDescent="0.4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22"/>
      <c r="O568" s="122"/>
      <c r="P568" s="122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26"/>
      <c r="AF568" s="15"/>
      <c r="AJ568" s="117"/>
      <c r="AK568" s="116"/>
      <c r="AL568" s="116"/>
      <c r="AM568" s="116"/>
    </row>
    <row r="569" spans="1:39" ht="19.5" x14ac:dyDescent="0.4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22"/>
      <c r="O569" s="122"/>
      <c r="P569" s="122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26"/>
      <c r="AF569" s="15"/>
      <c r="AJ569" s="117"/>
      <c r="AK569" s="116"/>
      <c r="AL569" s="116"/>
      <c r="AM569" s="116"/>
    </row>
    <row r="570" spans="1:39" ht="19.5" x14ac:dyDescent="0.4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22"/>
      <c r="O570" s="122"/>
      <c r="P570" s="122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26"/>
      <c r="AF570" s="15"/>
      <c r="AJ570" s="117"/>
      <c r="AK570" s="116"/>
      <c r="AL570" s="116"/>
      <c r="AM570" s="116"/>
    </row>
    <row r="571" spans="1:39" ht="19.5" x14ac:dyDescent="0.4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22"/>
      <c r="O571" s="122"/>
      <c r="P571" s="122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26"/>
      <c r="AF571" s="15"/>
      <c r="AJ571" s="117"/>
      <c r="AK571" s="116"/>
      <c r="AL571" s="116"/>
      <c r="AM571" s="116"/>
    </row>
    <row r="572" spans="1:39" ht="19.5" x14ac:dyDescent="0.4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22"/>
      <c r="O572" s="122"/>
      <c r="P572" s="122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7"/>
      <c r="AF572" s="15"/>
      <c r="AJ572" s="117"/>
      <c r="AK572" s="116"/>
      <c r="AL572" s="116"/>
      <c r="AM572" s="116"/>
    </row>
    <row r="573" spans="1:39" ht="19.5" x14ac:dyDescent="0.4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22"/>
      <c r="O573" s="122"/>
      <c r="P573" s="122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26"/>
      <c r="AF573" s="15"/>
      <c r="AJ573" s="117"/>
      <c r="AK573" s="116"/>
      <c r="AL573" s="116"/>
      <c r="AM573" s="116"/>
    </row>
    <row r="574" spans="1:39" ht="19.5" x14ac:dyDescent="0.4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22"/>
      <c r="O574" s="122"/>
      <c r="P574" s="122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7"/>
      <c r="AF574" s="15"/>
      <c r="AJ574" s="117"/>
      <c r="AK574" s="116"/>
      <c r="AL574" s="116"/>
      <c r="AM574" s="116"/>
    </row>
    <row r="575" spans="1:39" ht="19.5" x14ac:dyDescent="0.4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22"/>
      <c r="O575" s="122"/>
      <c r="P575" s="122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26"/>
      <c r="AF575" s="15"/>
      <c r="AJ575" s="117"/>
      <c r="AK575" s="116"/>
      <c r="AL575" s="116"/>
      <c r="AM575" s="116"/>
    </row>
    <row r="576" spans="1:39" ht="19.5" x14ac:dyDescent="0.4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22"/>
      <c r="O576" s="122"/>
      <c r="P576" s="122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20"/>
      <c r="AF576" s="15"/>
      <c r="AJ576" s="117"/>
      <c r="AK576" s="116"/>
      <c r="AL576" s="116"/>
      <c r="AM576" s="116"/>
    </row>
    <row r="577" spans="1:39" ht="19.5" x14ac:dyDescent="0.4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22"/>
      <c r="O577" s="122"/>
      <c r="P577" s="122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20"/>
      <c r="AF577" s="15"/>
      <c r="AJ577" s="117"/>
      <c r="AK577" s="116"/>
      <c r="AL577" s="116"/>
      <c r="AM577" s="116"/>
    </row>
    <row r="578" spans="1:39" ht="19.5" x14ac:dyDescent="0.4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22"/>
      <c r="O578" s="122"/>
      <c r="P578" s="122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20"/>
      <c r="AF578" s="15"/>
      <c r="AJ578" s="117"/>
      <c r="AK578" s="116"/>
      <c r="AL578" s="116"/>
      <c r="AM578" s="116"/>
    </row>
    <row r="579" spans="1:39" ht="19.5" x14ac:dyDescent="0.4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22"/>
      <c r="O579" s="122"/>
      <c r="P579" s="122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20"/>
      <c r="AF579" s="15"/>
      <c r="AJ579" s="117"/>
      <c r="AK579" s="116"/>
      <c r="AL579" s="116"/>
      <c r="AM579" s="116"/>
    </row>
    <row r="580" spans="1:39" ht="19.5" x14ac:dyDescent="0.4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22"/>
      <c r="O580" s="122"/>
      <c r="P580" s="122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25"/>
      <c r="AF580" s="15"/>
      <c r="AJ580" s="117"/>
      <c r="AK580" s="116"/>
      <c r="AL580" s="116"/>
      <c r="AM580" s="116"/>
    </row>
    <row r="581" spans="1:39" ht="19.5" x14ac:dyDescent="0.4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22"/>
      <c r="O581" s="122"/>
      <c r="P581" s="122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3"/>
      <c r="AF581" s="15"/>
      <c r="AJ581" s="117"/>
      <c r="AK581" s="116"/>
      <c r="AL581" s="116"/>
      <c r="AM581" s="116"/>
    </row>
    <row r="582" spans="1:39" ht="19.5" x14ac:dyDescent="0.4">
      <c r="AE582" s="25"/>
      <c r="AF582" s="15"/>
      <c r="AJ582" s="117"/>
      <c r="AK582" s="116"/>
      <c r="AL582" s="116"/>
      <c r="AM582" s="116"/>
    </row>
    <row r="583" spans="1:39" ht="19.5" x14ac:dyDescent="0.4">
      <c r="K583" s="115"/>
      <c r="L583" s="115"/>
      <c r="M583" s="115"/>
      <c r="N583" s="122"/>
      <c r="O583" s="122"/>
      <c r="P583" s="122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3"/>
      <c r="AF583" s="15"/>
      <c r="AJ583" s="117"/>
      <c r="AK583" s="116"/>
      <c r="AL583" s="116"/>
      <c r="AM583" s="116"/>
    </row>
    <row r="584" spans="1:39" ht="19.5" x14ac:dyDescent="0.4"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22"/>
      <c r="O584" s="122"/>
      <c r="P584" s="122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25"/>
      <c r="AF584" s="15"/>
      <c r="AJ584" s="117"/>
      <c r="AK584" s="116"/>
      <c r="AL584" s="116"/>
      <c r="AM584" s="116"/>
    </row>
    <row r="585" spans="1:39" ht="19.5" x14ac:dyDescent="0.4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22"/>
      <c r="O585" s="122"/>
      <c r="P585" s="122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25"/>
      <c r="AF585" s="15"/>
      <c r="AJ585" s="117"/>
      <c r="AK585" s="116"/>
      <c r="AL585" s="116"/>
      <c r="AM585" s="116"/>
    </row>
    <row r="586" spans="1:39" ht="19.5" x14ac:dyDescent="0.4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22"/>
      <c r="O586" s="122"/>
      <c r="P586" s="122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3"/>
      <c r="AF586" s="15"/>
      <c r="AJ586" s="117"/>
      <c r="AK586" s="116"/>
      <c r="AL586" s="116"/>
      <c r="AM586" s="116"/>
    </row>
    <row r="587" spans="1:39" ht="19.5" x14ac:dyDescent="0.4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22"/>
      <c r="O587" s="122"/>
      <c r="P587" s="122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25"/>
      <c r="AF587" s="15"/>
      <c r="AJ587" s="117"/>
      <c r="AK587" s="116"/>
      <c r="AL587" s="116"/>
      <c r="AM587" s="116"/>
    </row>
    <row r="588" spans="1:39" ht="19.5" x14ac:dyDescent="0.4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22"/>
      <c r="O588" s="122"/>
      <c r="P588" s="122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3"/>
      <c r="AF588" s="15"/>
      <c r="AJ588" s="117"/>
      <c r="AK588" s="116"/>
      <c r="AL588" s="116"/>
      <c r="AM588" s="116"/>
    </row>
    <row r="589" spans="1:39" ht="19.5" x14ac:dyDescent="0.4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22"/>
      <c r="O589" s="122"/>
      <c r="P589" s="122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25"/>
      <c r="AF589" s="15"/>
      <c r="AJ589" s="117"/>
      <c r="AK589" s="116"/>
      <c r="AL589" s="116"/>
      <c r="AM589" s="116"/>
    </row>
    <row r="590" spans="1:39" ht="19.5" x14ac:dyDescent="0.4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22"/>
      <c r="O590" s="122"/>
      <c r="P590" s="122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6"/>
      <c r="AF590" s="15"/>
      <c r="AJ590" s="117"/>
      <c r="AK590" s="116"/>
      <c r="AL590" s="116"/>
      <c r="AM590" s="116"/>
    </row>
    <row r="591" spans="1:39" ht="19.5" x14ac:dyDescent="0.4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22"/>
      <c r="O591" s="122"/>
      <c r="P591" s="122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7"/>
      <c r="AF591" s="13"/>
      <c r="AJ591" s="117"/>
      <c r="AK591" s="116"/>
      <c r="AL591" s="116"/>
      <c r="AM591" s="116"/>
    </row>
    <row r="592" spans="1:39" ht="19.5" x14ac:dyDescent="0.4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22"/>
      <c r="O592" s="122"/>
      <c r="P592" s="122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26"/>
      <c r="AF592" s="13"/>
      <c r="AJ592" s="117"/>
      <c r="AK592" s="116"/>
      <c r="AL592" s="116"/>
      <c r="AM592" s="116"/>
    </row>
    <row r="593" spans="1:39" ht="19.5" x14ac:dyDescent="0.4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22"/>
      <c r="O593" s="122"/>
      <c r="P593" s="122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7"/>
      <c r="AF593" s="13"/>
      <c r="AJ593" s="117"/>
      <c r="AK593" s="116"/>
      <c r="AL593" s="116"/>
      <c r="AM593" s="116"/>
    </row>
    <row r="594" spans="1:39" ht="19.5" x14ac:dyDescent="0.4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22"/>
      <c r="O594" s="122"/>
      <c r="P594" s="122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26"/>
      <c r="AF594" s="15"/>
      <c r="AJ594" s="117"/>
      <c r="AK594" s="116"/>
      <c r="AL594" s="116"/>
      <c r="AM594" s="116"/>
    </row>
    <row r="595" spans="1:39" ht="19.5" x14ac:dyDescent="0.4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22"/>
      <c r="O595" s="122"/>
      <c r="P595" s="122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7"/>
      <c r="AF595" s="15"/>
      <c r="AJ595" s="117"/>
      <c r="AK595" s="116"/>
      <c r="AL595" s="116"/>
      <c r="AM595" s="116"/>
    </row>
    <row r="596" spans="1:39" ht="19.5" x14ac:dyDescent="0.4">
      <c r="AE596" s="26"/>
      <c r="AF596" s="105"/>
      <c r="AJ596" s="117"/>
      <c r="AK596" s="116"/>
      <c r="AL596" s="116"/>
      <c r="AM596" s="116"/>
    </row>
    <row r="597" spans="1:39" ht="19.5" x14ac:dyDescent="0.4">
      <c r="K597" s="115"/>
      <c r="L597" s="115"/>
      <c r="M597" s="115"/>
      <c r="N597" s="122"/>
      <c r="O597" s="122"/>
      <c r="P597" s="122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7"/>
      <c r="AF597" s="15"/>
      <c r="AJ597" s="117"/>
      <c r="AK597" s="116"/>
      <c r="AL597" s="116"/>
      <c r="AM597" s="116"/>
    </row>
    <row r="598" spans="1:39" ht="19.5" x14ac:dyDescent="0.4">
      <c r="H598" s="115"/>
      <c r="I598" s="115"/>
      <c r="J598" s="115"/>
      <c r="K598" s="115"/>
      <c r="L598" s="115"/>
      <c r="M598" s="115"/>
      <c r="N598" s="122"/>
      <c r="O598" s="122"/>
      <c r="P598" s="122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6"/>
      <c r="AF598" s="15"/>
      <c r="AJ598" s="117"/>
      <c r="AK598" s="116"/>
      <c r="AL598" s="116"/>
      <c r="AM598" s="116"/>
    </row>
    <row r="599" spans="1:39" ht="19.5" x14ac:dyDescent="0.4">
      <c r="H599" s="115"/>
      <c r="I599" s="115"/>
      <c r="J599" s="115"/>
      <c r="K599" s="115"/>
      <c r="L599" s="115"/>
      <c r="M599" s="115"/>
      <c r="N599" s="122"/>
      <c r="O599" s="122"/>
      <c r="P599" s="122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7"/>
      <c r="AF599" s="15"/>
      <c r="AJ599" s="117"/>
      <c r="AK599" s="116"/>
      <c r="AL599" s="116"/>
      <c r="AM599" s="116"/>
    </row>
    <row r="600" spans="1:39" ht="19.5" x14ac:dyDescent="0.4">
      <c r="E600" s="115"/>
      <c r="F600" s="115"/>
      <c r="G600" s="115"/>
      <c r="H600" s="115"/>
      <c r="I600" s="115"/>
      <c r="J600" s="115"/>
      <c r="K600" s="115"/>
      <c r="L600" s="115"/>
      <c r="M600" s="115"/>
      <c r="N600" s="122"/>
      <c r="O600" s="122"/>
      <c r="P600" s="122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6"/>
      <c r="AF600" s="15"/>
      <c r="AJ600" s="117"/>
      <c r="AK600" s="116"/>
      <c r="AL600" s="116"/>
      <c r="AM600" s="116"/>
    </row>
    <row r="601" spans="1:39" ht="19.5" x14ac:dyDescent="0.4">
      <c r="E601" s="115"/>
      <c r="F601" s="115"/>
      <c r="G601" s="115"/>
      <c r="H601" s="115"/>
      <c r="I601" s="115"/>
      <c r="J601" s="115"/>
      <c r="K601" s="115"/>
      <c r="L601" s="115"/>
      <c r="M601" s="115"/>
      <c r="N601" s="122"/>
      <c r="O601" s="122"/>
      <c r="P601" s="122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7"/>
      <c r="AF601" s="15"/>
      <c r="AJ601" s="117"/>
      <c r="AK601" s="116"/>
      <c r="AL601" s="116"/>
      <c r="AM601" s="116"/>
    </row>
    <row r="602" spans="1:39" ht="19.5" x14ac:dyDescent="0.4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22"/>
      <c r="O602" s="122"/>
      <c r="P602" s="122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26"/>
      <c r="AF602" s="15"/>
      <c r="AJ602" s="117"/>
      <c r="AK602" s="116"/>
      <c r="AL602" s="116"/>
      <c r="AM602" s="116"/>
    </row>
    <row r="603" spans="1:39" ht="19.5" x14ac:dyDescent="0.4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22"/>
      <c r="O603" s="122"/>
      <c r="P603" s="122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26"/>
      <c r="AF603" s="15"/>
      <c r="AJ603" s="117"/>
      <c r="AK603" s="116"/>
      <c r="AL603" s="116"/>
      <c r="AM603" s="116"/>
    </row>
    <row r="604" spans="1:39" ht="19.5" x14ac:dyDescent="0.4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22"/>
      <c r="O604" s="122"/>
      <c r="P604" s="122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7"/>
      <c r="AF604" s="15"/>
      <c r="AJ604" s="117"/>
      <c r="AK604" s="116"/>
      <c r="AL604" s="116"/>
      <c r="AM604" s="116"/>
    </row>
    <row r="605" spans="1:39" ht="19.5" x14ac:dyDescent="0.4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22"/>
      <c r="O605" s="122"/>
      <c r="P605" s="122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26"/>
      <c r="AF605" s="15"/>
      <c r="AJ605" s="117"/>
      <c r="AK605" s="116"/>
      <c r="AL605" s="116"/>
      <c r="AM605" s="116"/>
    </row>
    <row r="606" spans="1:39" ht="19.5" x14ac:dyDescent="0.4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22"/>
      <c r="O606" s="122"/>
      <c r="P606" s="122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7"/>
      <c r="AF606" s="15"/>
      <c r="AJ606" s="117"/>
      <c r="AK606" s="116"/>
      <c r="AL606" s="116"/>
      <c r="AM606" s="116"/>
    </row>
    <row r="607" spans="1:39" ht="19.5" x14ac:dyDescent="0.4">
      <c r="AE607" s="26"/>
      <c r="AF607" s="15"/>
      <c r="AJ607" s="117"/>
      <c r="AK607" s="116"/>
      <c r="AL607" s="116"/>
      <c r="AM607" s="116"/>
    </row>
    <row r="608" spans="1:39" ht="19.5" x14ac:dyDescent="0.4">
      <c r="K608" s="115"/>
      <c r="L608" s="115"/>
      <c r="M608" s="115"/>
      <c r="N608" s="122"/>
      <c r="O608" s="122"/>
      <c r="P608" s="122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7"/>
      <c r="AF608" s="15"/>
      <c r="AJ608" s="117"/>
      <c r="AK608" s="116"/>
      <c r="AL608" s="116"/>
      <c r="AM608" s="116"/>
    </row>
    <row r="609" spans="2:39" ht="19.5" x14ac:dyDescent="0.4">
      <c r="AE609" s="26"/>
      <c r="AF609" s="15"/>
      <c r="AJ609" s="117"/>
      <c r="AK609" s="116"/>
      <c r="AL609" s="116"/>
      <c r="AM609" s="116"/>
    </row>
    <row r="610" spans="2:39" ht="19.5" x14ac:dyDescent="0.4">
      <c r="K610" s="115"/>
      <c r="L610" s="115"/>
      <c r="M610" s="115"/>
      <c r="N610" s="122"/>
      <c r="O610" s="122"/>
      <c r="P610" s="122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7"/>
      <c r="AF610" s="15"/>
      <c r="AJ610" s="117"/>
      <c r="AK610" s="116"/>
      <c r="AL610" s="116"/>
      <c r="AM610" s="116"/>
    </row>
    <row r="611" spans="2:39" ht="19.5" x14ac:dyDescent="0.4">
      <c r="AE611" s="26"/>
      <c r="AF611" s="15"/>
      <c r="AJ611" s="117"/>
      <c r="AK611" s="116"/>
      <c r="AL611" s="116"/>
      <c r="AM611" s="116"/>
    </row>
    <row r="612" spans="2:39" ht="19.5" x14ac:dyDescent="0.4">
      <c r="K612" s="115"/>
      <c r="L612" s="115"/>
      <c r="M612" s="115"/>
      <c r="N612" s="122"/>
      <c r="O612" s="122"/>
      <c r="P612" s="122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7"/>
      <c r="AF612" s="15"/>
      <c r="AJ612" s="117"/>
      <c r="AK612" s="116"/>
      <c r="AL612" s="116"/>
      <c r="AM612" s="116"/>
    </row>
    <row r="613" spans="2:39" ht="19.5" x14ac:dyDescent="0.4"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22"/>
      <c r="O613" s="122"/>
      <c r="P613" s="122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26"/>
      <c r="AF613" s="15"/>
      <c r="AJ613" s="117"/>
      <c r="AK613" s="116"/>
      <c r="AL613" s="116"/>
      <c r="AM613" s="116"/>
    </row>
    <row r="614" spans="2:39" ht="19.5" x14ac:dyDescent="0.4"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22"/>
      <c r="O614" s="122"/>
      <c r="P614" s="122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7"/>
      <c r="AF614" s="15"/>
      <c r="AJ614" s="117"/>
      <c r="AK614" s="116"/>
      <c r="AL614" s="116"/>
      <c r="AM614" s="116"/>
    </row>
    <row r="615" spans="2:39" ht="19.5" x14ac:dyDescent="0.4"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22"/>
      <c r="O615" s="122"/>
      <c r="P615" s="122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26"/>
      <c r="AF615" s="15"/>
      <c r="AJ615" s="117"/>
      <c r="AK615" s="116"/>
      <c r="AL615" s="116"/>
      <c r="AM615" s="116"/>
    </row>
    <row r="616" spans="2:39" ht="19.5" x14ac:dyDescent="0.4">
      <c r="AE616" s="26"/>
      <c r="AF616" s="15"/>
      <c r="AJ616" s="117"/>
      <c r="AK616" s="116"/>
      <c r="AL616" s="116"/>
      <c r="AM616" s="116"/>
    </row>
    <row r="617" spans="2:39" ht="19.5" x14ac:dyDescent="0.4">
      <c r="K617" s="115"/>
      <c r="L617" s="115"/>
      <c r="M617" s="115"/>
      <c r="N617" s="122"/>
      <c r="O617" s="122"/>
      <c r="P617" s="122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7"/>
      <c r="AF617" s="15"/>
      <c r="AJ617" s="117"/>
      <c r="AK617" s="116"/>
      <c r="AL617" s="116"/>
      <c r="AM617" s="116"/>
    </row>
    <row r="618" spans="2:39" ht="19.5" x14ac:dyDescent="0.4">
      <c r="I618" s="115"/>
      <c r="J618" s="115"/>
      <c r="K618" s="115"/>
      <c r="L618" s="115"/>
      <c r="M618" s="115"/>
      <c r="N618" s="122"/>
      <c r="O618" s="122"/>
      <c r="P618" s="122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26"/>
      <c r="AF618" s="15"/>
      <c r="AJ618" s="117"/>
      <c r="AK618" s="116"/>
      <c r="AL618" s="116"/>
      <c r="AM618" s="116"/>
    </row>
    <row r="619" spans="2:39" ht="19.5" x14ac:dyDescent="0.4">
      <c r="I619" s="115"/>
      <c r="J619" s="115"/>
      <c r="K619" s="115"/>
      <c r="L619" s="115"/>
      <c r="M619" s="115"/>
      <c r="N619" s="122"/>
      <c r="O619" s="122"/>
      <c r="P619" s="122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7"/>
      <c r="AF619" s="13"/>
      <c r="AJ619" s="117"/>
      <c r="AK619" s="116"/>
      <c r="AL619" s="116"/>
      <c r="AM619" s="116"/>
    </row>
    <row r="620" spans="2:39" ht="19.5" x14ac:dyDescent="0.4">
      <c r="H620" s="115"/>
      <c r="I620" s="115"/>
      <c r="J620" s="115"/>
      <c r="K620" s="115"/>
      <c r="L620" s="115"/>
      <c r="M620" s="115"/>
      <c r="N620" s="122"/>
      <c r="O620" s="122"/>
      <c r="P620" s="122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26"/>
      <c r="AF620" s="13"/>
      <c r="AJ620" s="117"/>
      <c r="AK620" s="116"/>
      <c r="AL620" s="116"/>
      <c r="AM620" s="116"/>
    </row>
    <row r="621" spans="2:39" ht="19.5" x14ac:dyDescent="0.4">
      <c r="H621" s="115"/>
      <c r="I621" s="115"/>
      <c r="J621" s="115"/>
      <c r="K621" s="115"/>
      <c r="L621" s="115"/>
      <c r="M621" s="115"/>
      <c r="N621" s="122"/>
      <c r="O621" s="122"/>
      <c r="P621" s="122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7"/>
      <c r="AF621" s="13"/>
      <c r="AJ621" s="117"/>
      <c r="AK621" s="116"/>
      <c r="AL621" s="116"/>
      <c r="AM621" s="116"/>
    </row>
    <row r="622" spans="2:39" ht="19.5" x14ac:dyDescent="0.4"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22"/>
      <c r="O622" s="122"/>
      <c r="P622" s="122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26"/>
      <c r="AF622" s="15"/>
      <c r="AJ622" s="117"/>
      <c r="AK622" s="116"/>
      <c r="AL622" s="116"/>
      <c r="AM622" s="116"/>
    </row>
    <row r="623" spans="2:39" ht="19.5" x14ac:dyDescent="0.4"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22"/>
      <c r="O623" s="122"/>
      <c r="P623" s="122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7"/>
      <c r="AF623" s="15"/>
      <c r="AJ623" s="117"/>
      <c r="AK623" s="116"/>
      <c r="AL623" s="116"/>
      <c r="AM623" s="116"/>
    </row>
    <row r="624" spans="2:39" ht="19.5" x14ac:dyDescent="0.4"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22"/>
      <c r="O624" s="122"/>
      <c r="P624" s="122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26"/>
      <c r="AF624" s="105"/>
      <c r="AJ624" s="117"/>
      <c r="AK624" s="116"/>
      <c r="AL624" s="116"/>
      <c r="AM624" s="116"/>
    </row>
    <row r="625" spans="1:39" ht="19.5" x14ac:dyDescent="0.4"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22"/>
      <c r="O625" s="122"/>
      <c r="P625" s="122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7"/>
      <c r="AF625" s="15"/>
      <c r="AJ625" s="117"/>
      <c r="AK625" s="116"/>
      <c r="AL625" s="116"/>
      <c r="AM625" s="116"/>
    </row>
    <row r="626" spans="1:39" ht="19.5" x14ac:dyDescent="0.4"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22"/>
      <c r="O626" s="122"/>
      <c r="P626" s="122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26"/>
      <c r="AF626" s="15"/>
      <c r="AJ626" s="117"/>
      <c r="AK626" s="116"/>
      <c r="AL626" s="116"/>
      <c r="AM626" s="116"/>
    </row>
    <row r="627" spans="1:39" ht="19.5" x14ac:dyDescent="0.4"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22"/>
      <c r="O627" s="122"/>
      <c r="P627" s="122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26"/>
      <c r="AF627" s="15"/>
      <c r="AJ627" s="117"/>
      <c r="AK627" s="116"/>
      <c r="AL627" s="116"/>
      <c r="AM627" s="116"/>
    </row>
    <row r="628" spans="1:39" ht="19.5" x14ac:dyDescent="0.4">
      <c r="AE628" s="26"/>
      <c r="AF628" s="15"/>
      <c r="AJ628" s="117"/>
      <c r="AK628" s="116"/>
      <c r="AL628" s="116"/>
      <c r="AM628" s="116"/>
    </row>
    <row r="629" spans="1:39" ht="19.5" x14ac:dyDescent="0.4">
      <c r="J629" s="115"/>
      <c r="K629" s="115"/>
      <c r="L629" s="115"/>
      <c r="M629" s="115"/>
      <c r="N629" s="122"/>
      <c r="O629" s="122"/>
      <c r="P629" s="122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26"/>
      <c r="AF629" s="15"/>
      <c r="AJ629" s="117"/>
      <c r="AK629" s="116"/>
      <c r="AL629" s="116"/>
      <c r="AM629" s="116"/>
    </row>
    <row r="630" spans="1:39" ht="19.5" x14ac:dyDescent="0.4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22"/>
      <c r="O630" s="122"/>
      <c r="P630" s="122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26"/>
      <c r="AF630" s="15"/>
      <c r="AJ630" s="117"/>
      <c r="AK630" s="116"/>
      <c r="AL630" s="116"/>
      <c r="AM630" s="116"/>
    </row>
    <row r="631" spans="1:39" ht="19.5" x14ac:dyDescent="0.4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22"/>
      <c r="O631" s="122"/>
      <c r="P631" s="122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26"/>
      <c r="AF631" s="15"/>
      <c r="AJ631" s="117"/>
      <c r="AK631" s="116"/>
      <c r="AL631" s="116"/>
      <c r="AM631" s="116"/>
    </row>
    <row r="632" spans="1:39" ht="19.5" x14ac:dyDescent="0.4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22"/>
      <c r="O632" s="122"/>
      <c r="P632" s="122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7"/>
      <c r="AF632" s="15"/>
      <c r="AJ632" s="117"/>
      <c r="AK632" s="116"/>
      <c r="AL632" s="116"/>
      <c r="AM632" s="116"/>
    </row>
    <row r="633" spans="1:39" ht="19.5" x14ac:dyDescent="0.4">
      <c r="AE633" s="26"/>
      <c r="AF633" s="15"/>
      <c r="AJ633" s="117"/>
      <c r="AK633" s="116"/>
      <c r="AL633" s="116"/>
      <c r="AM633" s="116"/>
    </row>
    <row r="634" spans="1:39" ht="19.5" x14ac:dyDescent="0.4">
      <c r="K634" s="115"/>
      <c r="L634" s="115"/>
      <c r="M634" s="115"/>
      <c r="N634" s="122"/>
      <c r="O634" s="122"/>
      <c r="P634" s="122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7"/>
      <c r="AF634" s="15"/>
      <c r="AJ634" s="117"/>
      <c r="AK634" s="116"/>
      <c r="AL634" s="116"/>
      <c r="AM634" s="116"/>
    </row>
    <row r="635" spans="1:39" ht="19.5" x14ac:dyDescent="0.4">
      <c r="J635" s="115"/>
      <c r="K635" s="115"/>
      <c r="L635" s="115"/>
      <c r="M635" s="115"/>
      <c r="N635" s="122"/>
      <c r="O635" s="122"/>
      <c r="P635" s="122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26"/>
      <c r="AF635" s="15"/>
      <c r="AJ635" s="117"/>
      <c r="AK635" s="116"/>
      <c r="AL635" s="116"/>
      <c r="AM635" s="116"/>
    </row>
    <row r="636" spans="1:39" ht="19.5" x14ac:dyDescent="0.4"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22"/>
      <c r="O636" s="122"/>
      <c r="P636" s="122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26"/>
      <c r="AF636" s="15"/>
      <c r="AJ636" s="117"/>
      <c r="AK636" s="116"/>
      <c r="AL636" s="116"/>
      <c r="AM636" s="116"/>
    </row>
    <row r="637" spans="1:39" ht="19.5" x14ac:dyDescent="0.4"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22"/>
      <c r="O637" s="122"/>
      <c r="P637" s="122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26"/>
      <c r="AF637" s="15"/>
      <c r="AJ637" s="117"/>
      <c r="AK637" s="116"/>
      <c r="AL637" s="116"/>
      <c r="AM637" s="116"/>
    </row>
    <row r="638" spans="1:39" ht="19.5" x14ac:dyDescent="0.4"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22"/>
      <c r="O638" s="122"/>
      <c r="P638" s="122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26"/>
      <c r="AF638" s="15"/>
      <c r="AJ638" s="117"/>
      <c r="AK638" s="116"/>
      <c r="AL638" s="116"/>
      <c r="AM638" s="116"/>
    </row>
    <row r="639" spans="1:39" ht="19.5" x14ac:dyDescent="0.4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22"/>
      <c r="O639" s="122"/>
      <c r="P639" s="122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26"/>
      <c r="AF639" s="15"/>
      <c r="AJ639" s="117"/>
      <c r="AK639" s="116"/>
      <c r="AL639" s="116"/>
      <c r="AM639" s="116"/>
    </row>
    <row r="640" spans="1:39" ht="19.5" x14ac:dyDescent="0.4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22"/>
      <c r="O640" s="122"/>
      <c r="P640" s="122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26"/>
      <c r="AF640" s="15"/>
      <c r="AJ640" s="117"/>
      <c r="AK640" s="116"/>
      <c r="AL640" s="116"/>
      <c r="AM640" s="116"/>
    </row>
    <row r="641" spans="1:39" ht="19.5" x14ac:dyDescent="0.4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22"/>
      <c r="O641" s="122"/>
      <c r="P641" s="122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7"/>
      <c r="AF641" s="15"/>
      <c r="AJ641" s="117"/>
      <c r="AK641" s="116"/>
      <c r="AL641" s="116"/>
      <c r="AM641" s="116"/>
    </row>
    <row r="642" spans="1:39" ht="19.5" x14ac:dyDescent="0.4">
      <c r="AE642" s="26"/>
      <c r="AF642" s="15"/>
      <c r="AJ642" s="117"/>
      <c r="AK642" s="116"/>
      <c r="AL642" s="116"/>
      <c r="AM642" s="116"/>
    </row>
    <row r="643" spans="1:39" ht="19.5" x14ac:dyDescent="0.4">
      <c r="K643" s="115"/>
      <c r="L643" s="115"/>
      <c r="M643" s="115"/>
      <c r="N643" s="122"/>
      <c r="O643" s="122"/>
      <c r="P643" s="122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7"/>
      <c r="AF643" s="13"/>
      <c r="AJ643" s="117"/>
      <c r="AK643" s="116"/>
      <c r="AL643" s="116"/>
      <c r="AM643" s="116"/>
    </row>
    <row r="644" spans="1:39" ht="19.5" x14ac:dyDescent="0.4">
      <c r="K644" s="115"/>
      <c r="L644" s="115"/>
      <c r="M644" s="115"/>
      <c r="N644" s="122"/>
      <c r="O644" s="122"/>
      <c r="P644" s="122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7"/>
      <c r="AF644" s="13"/>
      <c r="AJ644" s="117"/>
      <c r="AK644" s="116"/>
      <c r="AL644" s="116"/>
      <c r="AM644" s="116"/>
    </row>
    <row r="645" spans="1:39" ht="19.5" x14ac:dyDescent="0.4">
      <c r="AE645" s="26"/>
      <c r="AF645" s="13"/>
      <c r="AJ645" s="117"/>
      <c r="AK645" s="116"/>
      <c r="AL645" s="116"/>
      <c r="AM645" s="116"/>
    </row>
    <row r="646" spans="1:39" ht="19.5" x14ac:dyDescent="0.4">
      <c r="AE646" s="26"/>
      <c r="AF646" s="13"/>
      <c r="AJ646" s="116"/>
      <c r="AK646" s="116"/>
      <c r="AL646" s="116"/>
      <c r="AM646" s="116"/>
    </row>
    <row r="647" spans="1:39" ht="19.5" x14ac:dyDescent="0.4"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22"/>
      <c r="O647" s="122"/>
      <c r="P647" s="122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6"/>
      <c r="AF647" s="13"/>
      <c r="AJ647" s="118"/>
      <c r="AK647" s="118"/>
      <c r="AL647" s="118"/>
      <c r="AM647" s="118"/>
    </row>
    <row r="648" spans="1:39" ht="19.5" x14ac:dyDescent="0.4"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22"/>
      <c r="O648" s="122"/>
      <c r="P648" s="122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26"/>
      <c r="AF648" s="13"/>
      <c r="AJ648" s="118"/>
      <c r="AK648" s="118"/>
      <c r="AL648" s="118"/>
      <c r="AM648" s="118"/>
    </row>
    <row r="649" spans="1:39" ht="19.5" x14ac:dyDescent="0.4"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22"/>
      <c r="O649" s="122"/>
      <c r="P649" s="122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6"/>
      <c r="AF649" s="13"/>
      <c r="AJ649" s="118"/>
      <c r="AK649" s="118"/>
      <c r="AL649" s="118"/>
      <c r="AM649" s="118"/>
    </row>
    <row r="650" spans="1:39" ht="19.5" x14ac:dyDescent="0.4"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22"/>
      <c r="O650" s="122"/>
      <c r="P650" s="122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6"/>
      <c r="AF650" s="15"/>
      <c r="AJ650" s="118"/>
      <c r="AK650" s="118"/>
      <c r="AL650" s="118"/>
      <c r="AM650" s="118"/>
    </row>
    <row r="651" spans="1:39" ht="19.5" x14ac:dyDescent="0.4"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22"/>
      <c r="O651" s="122"/>
      <c r="P651" s="122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26"/>
      <c r="AF651" s="15"/>
      <c r="AJ651" s="118"/>
      <c r="AK651" s="118"/>
      <c r="AL651" s="118"/>
      <c r="AM651" s="118"/>
    </row>
    <row r="652" spans="1:39" ht="19.5" x14ac:dyDescent="0.4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22"/>
      <c r="O652" s="122"/>
      <c r="P652" s="122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26"/>
      <c r="AF652" s="15"/>
      <c r="AJ652" s="118"/>
      <c r="AK652" s="118"/>
      <c r="AL652" s="118"/>
      <c r="AM652" s="118"/>
    </row>
    <row r="653" spans="1:39" ht="19.5" x14ac:dyDescent="0.4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22"/>
      <c r="O653" s="122"/>
      <c r="P653" s="122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26"/>
      <c r="AF653" s="15"/>
      <c r="AJ653" s="118"/>
      <c r="AK653" s="118"/>
      <c r="AL653" s="118"/>
      <c r="AM653" s="118"/>
    </row>
    <row r="654" spans="1:39" ht="20.25" customHeight="1" x14ac:dyDescent="0.4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22"/>
      <c r="O654" s="122"/>
      <c r="P654" s="122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26"/>
      <c r="AF654" s="15"/>
      <c r="AJ654" s="118"/>
      <c r="AK654" s="118"/>
      <c r="AL654" s="118"/>
      <c r="AM654" s="118"/>
    </row>
    <row r="655" spans="1:39" x14ac:dyDescent="0.4">
      <c r="AE655" s="26"/>
      <c r="AF655" s="15"/>
    </row>
    <row r="656" spans="1:39" x14ac:dyDescent="0.4">
      <c r="AE656" s="26"/>
      <c r="AF656" s="13"/>
    </row>
    <row r="657" spans="3:32" x14ac:dyDescent="0.4">
      <c r="I657" s="115"/>
      <c r="J657" s="115"/>
      <c r="K657" s="115"/>
      <c r="L657" s="115"/>
      <c r="M657" s="115"/>
      <c r="N657" s="122"/>
      <c r="O657" s="122"/>
      <c r="P657" s="122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26"/>
      <c r="AF657" s="13"/>
    </row>
    <row r="658" spans="3:32" x14ac:dyDescent="0.4">
      <c r="I658" s="115"/>
      <c r="J658" s="115"/>
      <c r="K658" s="115"/>
      <c r="L658" s="115"/>
      <c r="M658" s="115"/>
      <c r="N658" s="122"/>
      <c r="O658" s="122"/>
      <c r="P658" s="122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7"/>
      <c r="AF658" s="13"/>
    </row>
    <row r="659" spans="3:32" x14ac:dyDescent="0.4"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22"/>
      <c r="O659" s="122"/>
      <c r="P659" s="122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26"/>
      <c r="AF659" s="13"/>
    </row>
    <row r="660" spans="3:32" x14ac:dyDescent="0.4"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22"/>
      <c r="O660" s="122"/>
      <c r="P660" s="122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26"/>
      <c r="AF660" s="13"/>
    </row>
    <row r="661" spans="3:32" x14ac:dyDescent="0.4">
      <c r="AE661" s="26"/>
      <c r="AF661" s="13"/>
    </row>
    <row r="662" spans="3:32" x14ac:dyDescent="0.4">
      <c r="E662" s="115"/>
      <c r="F662" s="115"/>
      <c r="G662" s="115"/>
      <c r="H662" s="115"/>
      <c r="I662" s="115"/>
      <c r="J662" s="115"/>
      <c r="K662" s="115"/>
      <c r="L662" s="115"/>
      <c r="M662" s="115"/>
      <c r="N662" s="122"/>
      <c r="O662" s="122"/>
      <c r="P662" s="122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26"/>
      <c r="AF662" s="13"/>
    </row>
    <row r="663" spans="3:32" x14ac:dyDescent="0.4"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22"/>
      <c r="O663" s="122"/>
      <c r="P663" s="122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26"/>
      <c r="AF663" s="13"/>
    </row>
    <row r="664" spans="3:32" x14ac:dyDescent="0.4">
      <c r="AE664" s="26"/>
      <c r="AF664" s="13"/>
    </row>
    <row r="665" spans="3:32" x14ac:dyDescent="0.4"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22"/>
      <c r="O665" s="122"/>
      <c r="P665" s="122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26"/>
      <c r="AF665" s="13"/>
    </row>
    <row r="666" spans="3:32" x14ac:dyDescent="0.4">
      <c r="AE666" s="26"/>
      <c r="AF666" s="13"/>
    </row>
    <row r="667" spans="3:32" x14ac:dyDescent="0.4">
      <c r="H667" s="115"/>
      <c r="I667" s="115"/>
      <c r="J667" s="115"/>
      <c r="K667" s="115"/>
      <c r="L667" s="115"/>
      <c r="M667" s="115"/>
      <c r="N667" s="122"/>
      <c r="O667" s="122"/>
      <c r="P667" s="122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26"/>
      <c r="AF667" s="13"/>
    </row>
    <row r="668" spans="3:32" x14ac:dyDescent="0.4">
      <c r="AE668" s="26"/>
      <c r="AF668" s="13"/>
    </row>
    <row r="669" spans="3:32" x14ac:dyDescent="0.4"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22"/>
      <c r="O669" s="122"/>
      <c r="P669" s="122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26"/>
      <c r="AF669" s="15"/>
    </row>
    <row r="670" spans="3:32" x14ac:dyDescent="0.4"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22"/>
      <c r="O670" s="122"/>
      <c r="P670" s="122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26"/>
      <c r="AF670" s="15"/>
    </row>
    <row r="671" spans="3:32" x14ac:dyDescent="0.4"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22"/>
      <c r="O671" s="122"/>
      <c r="P671" s="122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6"/>
      <c r="AF671" s="15"/>
    </row>
    <row r="672" spans="3:32" x14ac:dyDescent="0.4">
      <c r="AE672" s="26"/>
      <c r="AF672" s="13"/>
    </row>
    <row r="673" spans="1:32" x14ac:dyDescent="0.4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22"/>
      <c r="O673" s="122"/>
      <c r="P673" s="122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26"/>
      <c r="AF673" s="15"/>
    </row>
    <row r="674" spans="1:32" x14ac:dyDescent="0.4">
      <c r="AE674" s="26"/>
      <c r="AF674" s="15"/>
    </row>
    <row r="675" spans="1:32" x14ac:dyDescent="0.4">
      <c r="AE675" s="26"/>
      <c r="AF675" s="15"/>
    </row>
    <row r="676" spans="1:32" x14ac:dyDescent="0.4">
      <c r="E676" s="115"/>
      <c r="F676" s="115"/>
      <c r="G676" s="115"/>
      <c r="H676" s="115"/>
      <c r="I676" s="115"/>
      <c r="J676" s="115"/>
      <c r="K676" s="115"/>
      <c r="L676" s="115"/>
      <c r="M676" s="115"/>
      <c r="N676" s="122"/>
      <c r="O676" s="122"/>
      <c r="P676" s="122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26"/>
      <c r="AF676" s="15"/>
    </row>
    <row r="677" spans="1:32" x14ac:dyDescent="0.4"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22"/>
      <c r="O677" s="122"/>
      <c r="P677" s="122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6"/>
      <c r="AF677" s="15"/>
    </row>
    <row r="678" spans="1:32" x14ac:dyDescent="0.4">
      <c r="AE678" s="26"/>
      <c r="AF678" s="15"/>
    </row>
    <row r="679" spans="1:32" x14ac:dyDescent="0.4">
      <c r="G679" s="115"/>
      <c r="H679" s="115"/>
      <c r="I679" s="115"/>
      <c r="J679" s="115"/>
      <c r="K679" s="115"/>
      <c r="L679" s="115"/>
      <c r="M679" s="115"/>
      <c r="N679" s="122"/>
      <c r="O679" s="122"/>
      <c r="P679" s="122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26"/>
      <c r="AF679" s="15"/>
    </row>
    <row r="680" spans="1:32" x14ac:dyDescent="0.4"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22"/>
      <c r="O680" s="122"/>
      <c r="P680" s="122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26"/>
      <c r="AF680" s="15"/>
    </row>
    <row r="681" spans="1:32" x14ac:dyDescent="0.4"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22"/>
      <c r="O681" s="122"/>
      <c r="P681" s="122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26"/>
      <c r="AF681" s="15"/>
    </row>
    <row r="682" spans="1:32" x14ac:dyDescent="0.4"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22"/>
      <c r="O682" s="122"/>
      <c r="P682" s="122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26"/>
      <c r="AF682" s="15"/>
    </row>
    <row r="683" spans="1:32" x14ac:dyDescent="0.4"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22"/>
      <c r="O683" s="122"/>
      <c r="P683" s="122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6"/>
      <c r="AF683" s="15"/>
    </row>
    <row r="684" spans="1:32" x14ac:dyDescent="0.4">
      <c r="AE684" s="26"/>
      <c r="AF684" s="15"/>
    </row>
    <row r="685" spans="1:32" x14ac:dyDescent="0.4">
      <c r="J685" s="115"/>
      <c r="K685" s="115"/>
      <c r="L685" s="115"/>
      <c r="M685" s="115"/>
      <c r="N685" s="122"/>
      <c r="O685" s="122"/>
      <c r="P685" s="122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7"/>
      <c r="AF685" s="15"/>
    </row>
    <row r="686" spans="1:32" x14ac:dyDescent="0.4">
      <c r="AE686" s="26"/>
      <c r="AF686" s="15"/>
    </row>
    <row r="687" spans="1:32" x14ac:dyDescent="0.4">
      <c r="H687" s="115"/>
      <c r="I687" s="115"/>
      <c r="J687" s="115"/>
      <c r="K687" s="115"/>
      <c r="L687" s="115"/>
      <c r="M687" s="115"/>
      <c r="N687" s="122"/>
      <c r="O687" s="122"/>
      <c r="P687" s="122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26"/>
      <c r="AF687" s="15"/>
    </row>
    <row r="688" spans="1:32" x14ac:dyDescent="0.4">
      <c r="AE688" s="26"/>
      <c r="AF688" s="15"/>
    </row>
    <row r="689" spans="1:32" x14ac:dyDescent="0.4">
      <c r="AE689" s="26"/>
      <c r="AF689" s="15"/>
    </row>
    <row r="690" spans="1:32" x14ac:dyDescent="0.4">
      <c r="E690" s="115"/>
      <c r="F690" s="115"/>
      <c r="G690" s="115"/>
      <c r="H690" s="115"/>
      <c r="I690" s="115"/>
      <c r="J690" s="115"/>
      <c r="K690" s="115"/>
      <c r="L690" s="115"/>
      <c r="M690" s="115"/>
      <c r="N690" s="122"/>
      <c r="O690" s="122"/>
      <c r="P690" s="122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26"/>
      <c r="AF690" s="15"/>
    </row>
    <row r="691" spans="1:32" x14ac:dyDescent="0.4">
      <c r="E691" s="115"/>
      <c r="F691" s="115"/>
      <c r="G691" s="115"/>
      <c r="H691" s="115"/>
      <c r="I691" s="115"/>
      <c r="J691" s="115"/>
      <c r="K691" s="115"/>
      <c r="L691" s="115"/>
      <c r="M691" s="115"/>
      <c r="N691" s="122"/>
      <c r="O691" s="122"/>
      <c r="P691" s="122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26"/>
      <c r="AF691" s="15"/>
    </row>
    <row r="692" spans="1:32" x14ac:dyDescent="0.4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22"/>
      <c r="O692" s="122"/>
      <c r="P692" s="122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26"/>
      <c r="AF692" s="15"/>
    </row>
    <row r="693" spans="1:32" x14ac:dyDescent="0.4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22"/>
      <c r="O693" s="122"/>
      <c r="P693" s="122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26"/>
      <c r="AF693" s="15"/>
    </row>
    <row r="694" spans="1:32" x14ac:dyDescent="0.4">
      <c r="AE694" s="26"/>
      <c r="AF694" s="15"/>
    </row>
    <row r="695" spans="1:32" x14ac:dyDescent="0.4">
      <c r="J695" s="115"/>
      <c r="K695" s="115"/>
      <c r="L695" s="115"/>
      <c r="M695" s="115"/>
      <c r="N695" s="122"/>
      <c r="O695" s="122"/>
      <c r="P695" s="122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7"/>
      <c r="AF695" s="15"/>
    </row>
    <row r="696" spans="1:32" x14ac:dyDescent="0.4">
      <c r="AE696" s="26"/>
      <c r="AF696" s="15"/>
    </row>
    <row r="697" spans="1:32" x14ac:dyDescent="0.4">
      <c r="E697" s="115"/>
      <c r="F697" s="115"/>
      <c r="G697" s="115"/>
      <c r="H697" s="115"/>
      <c r="I697" s="115"/>
      <c r="J697" s="115"/>
      <c r="K697" s="115"/>
      <c r="L697" s="115"/>
      <c r="M697" s="115"/>
      <c r="N697" s="122"/>
      <c r="O697" s="122"/>
      <c r="P697" s="122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26"/>
      <c r="AF697" s="15"/>
    </row>
    <row r="698" spans="1:32" x14ac:dyDescent="0.4"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22"/>
      <c r="O698" s="122"/>
      <c r="P698" s="122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26"/>
      <c r="AF698" s="15"/>
    </row>
    <row r="699" spans="1:32" x14ac:dyDescent="0.4"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22"/>
      <c r="O699" s="122"/>
      <c r="P699" s="122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7"/>
      <c r="AF699" s="15"/>
    </row>
    <row r="700" spans="1:32" x14ac:dyDescent="0.4">
      <c r="AE700" s="26"/>
      <c r="AF700" s="15"/>
    </row>
    <row r="701" spans="1:32" x14ac:dyDescent="0.4"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22"/>
      <c r="O701" s="122"/>
      <c r="P701" s="122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26"/>
      <c r="AF701" s="15"/>
    </row>
    <row r="702" spans="1:32" x14ac:dyDescent="0.4"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22"/>
      <c r="O702" s="122"/>
      <c r="P702" s="122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7"/>
      <c r="AF702" s="15"/>
    </row>
    <row r="703" spans="1:32" x14ac:dyDescent="0.4">
      <c r="AE703" s="26"/>
      <c r="AF703" s="15"/>
    </row>
    <row r="704" spans="1:32" x14ac:dyDescent="0.4">
      <c r="J704" s="115"/>
      <c r="K704" s="115"/>
      <c r="L704" s="115"/>
      <c r="M704" s="115"/>
      <c r="N704" s="122"/>
      <c r="O704" s="122"/>
      <c r="P704" s="122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7"/>
      <c r="AF704" s="15"/>
    </row>
    <row r="705" spans="3:32" x14ac:dyDescent="0.4"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22"/>
      <c r="O705" s="122"/>
      <c r="P705" s="122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26"/>
      <c r="AF705" s="15"/>
    </row>
    <row r="706" spans="3:32" x14ac:dyDescent="0.4"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22"/>
      <c r="O706" s="122"/>
      <c r="P706" s="122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7"/>
      <c r="AF706" s="15"/>
    </row>
    <row r="707" spans="3:32" x14ac:dyDescent="0.4">
      <c r="AE707" s="26"/>
      <c r="AF707" s="15"/>
    </row>
    <row r="708" spans="3:32" x14ac:dyDescent="0.4">
      <c r="AE708" s="26"/>
      <c r="AF708" s="15"/>
    </row>
    <row r="709" spans="3:32" x14ac:dyDescent="0.4">
      <c r="I709" s="115"/>
      <c r="J709" s="115"/>
      <c r="K709" s="115"/>
      <c r="L709" s="115"/>
      <c r="M709" s="115"/>
      <c r="N709" s="122"/>
      <c r="O709" s="122"/>
      <c r="P709" s="122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26"/>
      <c r="AF709" s="15"/>
    </row>
    <row r="710" spans="3:32" x14ac:dyDescent="0.4">
      <c r="G710" s="115"/>
      <c r="H710" s="115"/>
      <c r="I710" s="115"/>
      <c r="J710" s="115"/>
      <c r="K710" s="115"/>
      <c r="L710" s="115"/>
      <c r="M710" s="115"/>
      <c r="N710" s="122"/>
      <c r="O710" s="122"/>
      <c r="P710" s="122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6"/>
      <c r="AF710" s="15"/>
    </row>
    <row r="711" spans="3:32" x14ac:dyDescent="0.4">
      <c r="G711" s="115"/>
      <c r="H711" s="115"/>
      <c r="I711" s="115"/>
      <c r="J711" s="115"/>
      <c r="K711" s="115"/>
      <c r="L711" s="115"/>
      <c r="M711" s="115"/>
      <c r="N711" s="122"/>
      <c r="O711" s="122"/>
      <c r="P711" s="122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26"/>
      <c r="AF711" s="15"/>
    </row>
    <row r="712" spans="3:32" x14ac:dyDescent="0.4">
      <c r="E712" s="115"/>
      <c r="F712" s="115"/>
      <c r="G712" s="115"/>
      <c r="H712" s="115"/>
      <c r="I712" s="115"/>
      <c r="J712" s="115"/>
      <c r="K712" s="115"/>
      <c r="L712" s="115"/>
      <c r="M712" s="115"/>
      <c r="N712" s="122"/>
      <c r="O712" s="122"/>
      <c r="P712" s="122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6"/>
      <c r="AF712" s="15"/>
    </row>
    <row r="713" spans="3:32" x14ac:dyDescent="0.4">
      <c r="E713" s="115"/>
      <c r="F713" s="115"/>
      <c r="G713" s="115"/>
      <c r="H713" s="115"/>
      <c r="I713" s="115"/>
      <c r="J713" s="115"/>
      <c r="K713" s="115"/>
      <c r="L713" s="115"/>
      <c r="M713" s="115"/>
      <c r="N713" s="122"/>
      <c r="O713" s="122"/>
      <c r="P713" s="122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26"/>
      <c r="AF713" s="15"/>
    </row>
    <row r="714" spans="3:32" x14ac:dyDescent="0.4">
      <c r="AE714" s="26"/>
      <c r="AF714" s="15"/>
    </row>
    <row r="715" spans="3:32" x14ac:dyDescent="0.4">
      <c r="I715" s="115"/>
      <c r="J715" s="115"/>
      <c r="K715" s="115"/>
      <c r="L715" s="115"/>
      <c r="M715" s="115"/>
      <c r="N715" s="122"/>
      <c r="O715" s="122"/>
      <c r="P715" s="122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6"/>
      <c r="AF715" s="15"/>
    </row>
    <row r="716" spans="3:32" x14ac:dyDescent="0.4">
      <c r="AE716" s="26"/>
      <c r="AF716" s="15"/>
    </row>
    <row r="717" spans="3:32" x14ac:dyDescent="0.4">
      <c r="J717" s="115"/>
      <c r="K717" s="115"/>
      <c r="L717" s="115"/>
      <c r="M717" s="115"/>
      <c r="N717" s="122"/>
      <c r="O717" s="122"/>
      <c r="P717" s="122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7"/>
      <c r="AF717" s="15"/>
    </row>
    <row r="718" spans="3:32" x14ac:dyDescent="0.4">
      <c r="I718" s="115"/>
      <c r="J718" s="115"/>
      <c r="K718" s="115"/>
      <c r="L718" s="115"/>
      <c r="M718" s="115"/>
      <c r="N718" s="122"/>
      <c r="O718" s="122"/>
      <c r="P718" s="122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26"/>
      <c r="AF718" s="15"/>
    </row>
    <row r="719" spans="3:32" x14ac:dyDescent="0.4"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22"/>
      <c r="O719" s="122"/>
      <c r="P719" s="122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6"/>
      <c r="AF719" s="15"/>
    </row>
    <row r="720" spans="3:32" x14ac:dyDescent="0.4"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22"/>
      <c r="O720" s="122"/>
      <c r="P720" s="122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7"/>
      <c r="AF720" s="15"/>
    </row>
    <row r="721" spans="4:32" x14ac:dyDescent="0.4">
      <c r="AE721" s="26"/>
      <c r="AF721" s="15"/>
    </row>
    <row r="722" spans="4:32" x14ac:dyDescent="0.4">
      <c r="J722" s="115"/>
      <c r="K722" s="115"/>
      <c r="L722" s="115"/>
      <c r="M722" s="115"/>
      <c r="N722" s="122"/>
      <c r="O722" s="122"/>
      <c r="P722" s="122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7"/>
      <c r="AF722" s="15"/>
    </row>
    <row r="723" spans="4:32" x14ac:dyDescent="0.4">
      <c r="I723" s="115"/>
      <c r="J723" s="115"/>
      <c r="K723" s="115"/>
      <c r="L723" s="115"/>
      <c r="M723" s="115"/>
      <c r="N723" s="122"/>
      <c r="O723" s="122"/>
      <c r="P723" s="122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26"/>
      <c r="AF723" s="15"/>
    </row>
    <row r="724" spans="4:32" x14ac:dyDescent="0.4">
      <c r="I724" s="115"/>
      <c r="J724" s="115"/>
      <c r="K724" s="115"/>
      <c r="L724" s="115"/>
      <c r="M724" s="115"/>
      <c r="N724" s="122"/>
      <c r="O724" s="122"/>
      <c r="P724" s="122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7"/>
      <c r="AF724" s="15"/>
    </row>
    <row r="725" spans="4:32" x14ac:dyDescent="0.4">
      <c r="I725" s="115"/>
      <c r="J725" s="115"/>
      <c r="K725" s="115"/>
      <c r="L725" s="115"/>
      <c r="M725" s="115"/>
      <c r="N725" s="122"/>
      <c r="O725" s="122"/>
      <c r="P725" s="122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7"/>
      <c r="AF725" s="15"/>
    </row>
    <row r="726" spans="4:32" x14ac:dyDescent="0.4">
      <c r="E726" s="115"/>
      <c r="F726" s="115"/>
      <c r="G726" s="115"/>
      <c r="H726" s="115"/>
      <c r="I726" s="115"/>
      <c r="J726" s="115"/>
      <c r="K726" s="115"/>
      <c r="L726" s="115"/>
      <c r="M726" s="115"/>
      <c r="N726" s="122"/>
      <c r="O726" s="122"/>
      <c r="P726" s="122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26"/>
      <c r="AF726" s="15"/>
    </row>
    <row r="727" spans="4:32" x14ac:dyDescent="0.4">
      <c r="E727" s="115"/>
      <c r="F727" s="115"/>
      <c r="G727" s="115"/>
      <c r="H727" s="115"/>
      <c r="I727" s="115"/>
      <c r="J727" s="115"/>
      <c r="K727" s="115"/>
      <c r="L727" s="115"/>
      <c r="M727" s="115"/>
      <c r="N727" s="122"/>
      <c r="O727" s="122"/>
      <c r="P727" s="122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26"/>
      <c r="AF727" s="15"/>
    </row>
    <row r="728" spans="4:32" x14ac:dyDescent="0.4">
      <c r="E728" s="115"/>
      <c r="F728" s="115"/>
      <c r="G728" s="115"/>
      <c r="H728" s="115"/>
      <c r="I728" s="115"/>
      <c r="J728" s="115"/>
      <c r="K728" s="115"/>
      <c r="L728" s="115"/>
      <c r="M728" s="115"/>
      <c r="N728" s="122"/>
      <c r="O728" s="122"/>
      <c r="P728" s="122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26"/>
      <c r="AF728" s="15"/>
    </row>
    <row r="729" spans="4:32" x14ac:dyDescent="0.4"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22"/>
      <c r="O729" s="122"/>
      <c r="P729" s="122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26"/>
      <c r="AF729" s="15"/>
    </row>
    <row r="730" spans="4:32" x14ac:dyDescent="0.4"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22"/>
      <c r="O730" s="122"/>
      <c r="P730" s="122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26"/>
      <c r="AF730" s="15"/>
    </row>
    <row r="731" spans="4:32" x14ac:dyDescent="0.4"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22"/>
      <c r="O731" s="122"/>
      <c r="P731" s="122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7"/>
      <c r="AF731" s="15"/>
    </row>
    <row r="732" spans="4:32" x14ac:dyDescent="0.4">
      <c r="AE732" s="26"/>
      <c r="AF732" s="15"/>
    </row>
    <row r="733" spans="4:32" x14ac:dyDescent="0.4">
      <c r="I733" s="115"/>
      <c r="J733" s="115"/>
      <c r="K733" s="115"/>
      <c r="L733" s="115"/>
      <c r="M733" s="115"/>
      <c r="N733" s="122"/>
      <c r="O733" s="122"/>
      <c r="P733" s="122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7"/>
      <c r="AF733" s="13"/>
    </row>
    <row r="734" spans="4:32" x14ac:dyDescent="0.4">
      <c r="I734" s="115"/>
      <c r="J734" s="115"/>
      <c r="K734" s="115"/>
      <c r="L734" s="115"/>
      <c r="M734" s="115"/>
      <c r="N734" s="122"/>
      <c r="O734" s="122"/>
      <c r="P734" s="122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7"/>
      <c r="AF734" s="13"/>
    </row>
    <row r="735" spans="4:32" x14ac:dyDescent="0.4">
      <c r="G735" s="115"/>
      <c r="H735" s="115"/>
      <c r="I735" s="115"/>
      <c r="J735" s="115"/>
      <c r="K735" s="115"/>
      <c r="L735" s="115"/>
      <c r="M735" s="115"/>
      <c r="N735" s="122"/>
      <c r="O735" s="122"/>
      <c r="P735" s="122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26"/>
      <c r="AF735" s="13"/>
    </row>
    <row r="736" spans="4:32" x14ac:dyDescent="0.4">
      <c r="G736" s="115"/>
      <c r="H736" s="115"/>
      <c r="I736" s="115"/>
      <c r="J736" s="115"/>
      <c r="K736" s="115"/>
      <c r="L736" s="115"/>
      <c r="M736" s="115"/>
      <c r="N736" s="122"/>
      <c r="O736" s="122"/>
      <c r="P736" s="122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7"/>
      <c r="AF736" s="13"/>
    </row>
    <row r="737" spans="3:32" x14ac:dyDescent="0.4">
      <c r="AE737" s="26"/>
      <c r="AF737" s="13"/>
    </row>
    <row r="738" spans="3:32" x14ac:dyDescent="0.4">
      <c r="H738" s="115"/>
      <c r="I738" s="115"/>
      <c r="J738" s="115"/>
      <c r="K738" s="115"/>
      <c r="L738" s="115"/>
      <c r="M738" s="115"/>
      <c r="N738" s="122"/>
      <c r="O738" s="122"/>
      <c r="P738" s="122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7"/>
      <c r="AF738" s="13"/>
    </row>
    <row r="739" spans="3:32" x14ac:dyDescent="0.4">
      <c r="AE739" s="26"/>
      <c r="AF739" s="13"/>
    </row>
    <row r="740" spans="3:32" x14ac:dyDescent="0.4">
      <c r="AE740" s="26"/>
      <c r="AF740" s="13"/>
    </row>
    <row r="741" spans="3:32" x14ac:dyDescent="0.4"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22"/>
      <c r="O741" s="122"/>
      <c r="P741" s="122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26"/>
      <c r="AF741" s="13"/>
    </row>
    <row r="742" spans="3:32" x14ac:dyDescent="0.4"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22"/>
      <c r="O742" s="122"/>
      <c r="P742" s="122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26"/>
      <c r="AF742" s="13"/>
    </row>
    <row r="743" spans="3:32" x14ac:dyDescent="0.4">
      <c r="AE743" s="26"/>
      <c r="AF743" s="13"/>
    </row>
    <row r="744" spans="3:32" x14ac:dyDescent="0.4">
      <c r="AE744" s="26"/>
      <c r="AF744" s="13"/>
    </row>
    <row r="745" spans="3:32" x14ac:dyDescent="0.4">
      <c r="E745" s="115"/>
      <c r="F745" s="115"/>
      <c r="G745" s="115"/>
      <c r="H745" s="115"/>
      <c r="I745" s="115"/>
      <c r="J745" s="115"/>
      <c r="K745" s="115"/>
      <c r="L745" s="115"/>
      <c r="M745" s="115"/>
      <c r="N745" s="122"/>
      <c r="O745" s="122"/>
      <c r="P745" s="122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26"/>
      <c r="AF745" s="13"/>
    </row>
    <row r="746" spans="3:32" x14ac:dyDescent="0.4">
      <c r="AE746" s="26"/>
      <c r="AF746" s="105"/>
    </row>
    <row r="747" spans="3:32" x14ac:dyDescent="0.4">
      <c r="E747" s="115"/>
      <c r="F747" s="115"/>
      <c r="G747" s="115"/>
      <c r="H747" s="115"/>
      <c r="I747" s="115"/>
      <c r="J747" s="115"/>
      <c r="K747" s="115"/>
      <c r="L747" s="115"/>
      <c r="M747" s="115"/>
      <c r="N747" s="122"/>
      <c r="O747" s="122"/>
      <c r="P747" s="122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26"/>
      <c r="AF747" s="15"/>
    </row>
    <row r="748" spans="3:32" x14ac:dyDescent="0.4">
      <c r="E748" s="115"/>
      <c r="F748" s="115"/>
      <c r="G748" s="115"/>
      <c r="H748" s="115"/>
      <c r="I748" s="115"/>
      <c r="J748" s="115"/>
      <c r="K748" s="115"/>
      <c r="L748" s="115"/>
      <c r="M748" s="115"/>
      <c r="N748" s="122"/>
      <c r="O748" s="122"/>
      <c r="P748" s="122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7"/>
      <c r="AF748" s="15"/>
    </row>
    <row r="749" spans="3:32" x14ac:dyDescent="0.4">
      <c r="AE749" s="26"/>
      <c r="AF749" s="15"/>
    </row>
    <row r="750" spans="3:32" x14ac:dyDescent="0.4">
      <c r="E750" s="115"/>
      <c r="F750" s="115"/>
      <c r="G750" s="115"/>
      <c r="H750" s="115"/>
      <c r="I750" s="115"/>
      <c r="J750" s="115"/>
      <c r="K750" s="115"/>
      <c r="L750" s="115"/>
      <c r="M750" s="115"/>
      <c r="N750" s="122"/>
      <c r="O750" s="122"/>
      <c r="P750" s="122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26"/>
      <c r="AF750" s="15"/>
    </row>
    <row r="751" spans="3:32" x14ac:dyDescent="0.4"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22"/>
      <c r="O751" s="122"/>
      <c r="P751" s="122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26"/>
      <c r="AF751" s="15"/>
    </row>
    <row r="752" spans="3:32" x14ac:dyDescent="0.4"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22"/>
      <c r="O752" s="122"/>
      <c r="P752" s="122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26"/>
      <c r="AF752" s="13"/>
    </row>
    <row r="753" spans="2:32" x14ac:dyDescent="0.4">
      <c r="AE753" s="26"/>
      <c r="AF753" s="15"/>
    </row>
    <row r="754" spans="2:32" x14ac:dyDescent="0.4">
      <c r="E754" s="115"/>
      <c r="F754" s="115"/>
      <c r="G754" s="115"/>
      <c r="H754" s="115"/>
      <c r="I754" s="115"/>
      <c r="J754" s="115"/>
      <c r="K754" s="115"/>
      <c r="L754" s="115"/>
      <c r="M754" s="115"/>
      <c r="N754" s="122"/>
      <c r="O754" s="122"/>
      <c r="P754" s="122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26"/>
      <c r="AF754" s="15"/>
    </row>
    <row r="755" spans="2:32" x14ac:dyDescent="0.4">
      <c r="E755" s="115"/>
      <c r="F755" s="115"/>
      <c r="G755" s="115"/>
      <c r="H755" s="115"/>
      <c r="I755" s="115"/>
      <c r="J755" s="115"/>
      <c r="K755" s="115"/>
      <c r="L755" s="115"/>
      <c r="M755" s="115"/>
      <c r="N755" s="122"/>
      <c r="O755" s="122"/>
      <c r="P755" s="122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26"/>
      <c r="AF755" s="15"/>
    </row>
    <row r="756" spans="2:32" x14ac:dyDescent="0.4"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22"/>
      <c r="O756" s="122"/>
      <c r="P756" s="122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26"/>
      <c r="AF756" s="15"/>
    </row>
    <row r="757" spans="2:32" x14ac:dyDescent="0.4"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22"/>
      <c r="O757" s="122"/>
      <c r="P757" s="122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26"/>
      <c r="AF757" s="15"/>
    </row>
    <row r="758" spans="2:32" x14ac:dyDescent="0.4"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22"/>
      <c r="O758" s="122"/>
      <c r="P758" s="122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26"/>
      <c r="AF758" s="15"/>
    </row>
    <row r="759" spans="2:32" x14ac:dyDescent="0.4"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22"/>
      <c r="O759" s="122"/>
      <c r="P759" s="122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26"/>
      <c r="AF759" s="15"/>
    </row>
    <row r="760" spans="2:32" ht="19.5" customHeight="1" x14ac:dyDescent="0.4"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22"/>
      <c r="O760" s="122"/>
      <c r="P760" s="122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26"/>
      <c r="AF760" s="15"/>
    </row>
    <row r="761" spans="2:32" ht="19.5" customHeight="1" x14ac:dyDescent="0.4"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22"/>
      <c r="O761" s="122"/>
      <c r="P761" s="122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26"/>
      <c r="AF761" s="15"/>
    </row>
    <row r="762" spans="2:32" x14ac:dyDescent="0.4">
      <c r="AE762" s="26"/>
      <c r="AF762" s="15"/>
    </row>
    <row r="763" spans="2:32" x14ac:dyDescent="0.4"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22"/>
      <c r="O763" s="122"/>
      <c r="P763" s="122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26"/>
      <c r="AF763" s="15"/>
    </row>
    <row r="764" spans="2:32" x14ac:dyDescent="0.4"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22"/>
      <c r="O764" s="122"/>
      <c r="P764" s="122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26"/>
      <c r="AF764" s="15"/>
    </row>
    <row r="765" spans="2:32" x14ac:dyDescent="0.4"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22"/>
      <c r="O765" s="122"/>
      <c r="P765" s="122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7"/>
      <c r="AF765" s="15"/>
    </row>
    <row r="766" spans="2:32" x14ac:dyDescent="0.4">
      <c r="AE766" s="26"/>
      <c r="AF766" s="15"/>
    </row>
    <row r="767" spans="2:32" x14ac:dyDescent="0.4">
      <c r="H767" s="115"/>
      <c r="I767" s="115"/>
      <c r="J767" s="115"/>
      <c r="K767" s="115"/>
      <c r="L767" s="115"/>
      <c r="M767" s="115"/>
      <c r="N767" s="122"/>
      <c r="O767" s="122"/>
      <c r="P767" s="122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7"/>
      <c r="AF767" s="15"/>
    </row>
    <row r="768" spans="2:32" x14ac:dyDescent="0.4"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22"/>
      <c r="O768" s="122"/>
      <c r="P768" s="122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26"/>
      <c r="AF768" s="15"/>
    </row>
    <row r="769" spans="1:32" x14ac:dyDescent="0.4">
      <c r="AE769" s="26"/>
      <c r="AF769" s="15"/>
    </row>
    <row r="770" spans="1:32" x14ac:dyDescent="0.4">
      <c r="AE770" s="26"/>
      <c r="AF770" s="15"/>
    </row>
    <row r="771" spans="1:32" x14ac:dyDescent="0.4">
      <c r="G771" s="115"/>
      <c r="H771" s="115"/>
      <c r="I771" s="115"/>
      <c r="J771" s="115"/>
      <c r="K771" s="115"/>
      <c r="L771" s="115"/>
      <c r="M771" s="115"/>
      <c r="N771" s="122"/>
      <c r="O771" s="122"/>
      <c r="P771" s="122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26"/>
      <c r="AF771" s="15"/>
    </row>
    <row r="772" spans="1:32" x14ac:dyDescent="0.4">
      <c r="AE772" s="26"/>
      <c r="AF772" s="15"/>
    </row>
    <row r="773" spans="1:32" x14ac:dyDescent="0.4">
      <c r="H773" s="115"/>
      <c r="I773" s="115"/>
      <c r="J773" s="115"/>
      <c r="K773" s="115"/>
      <c r="L773" s="115"/>
      <c r="M773" s="115"/>
      <c r="N773" s="122"/>
      <c r="O773" s="122"/>
      <c r="P773" s="122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7"/>
      <c r="AF773" s="15"/>
    </row>
    <row r="774" spans="1:32" x14ac:dyDescent="0.4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22"/>
      <c r="O774" s="122"/>
      <c r="P774" s="122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26"/>
      <c r="AF774" s="15"/>
    </row>
    <row r="775" spans="1:32" x14ac:dyDescent="0.4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22"/>
      <c r="O775" s="122"/>
      <c r="P775" s="122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7"/>
      <c r="AF775" s="13"/>
    </row>
    <row r="776" spans="1:32" x14ac:dyDescent="0.4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22"/>
      <c r="O776" s="122"/>
      <c r="P776" s="122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7"/>
      <c r="AF776" s="13"/>
    </row>
    <row r="777" spans="1:32" x14ac:dyDescent="0.4">
      <c r="AE777" s="26"/>
      <c r="AF777" s="13"/>
    </row>
    <row r="778" spans="1:32" x14ac:dyDescent="0.4"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22"/>
      <c r="O778" s="122"/>
      <c r="P778" s="122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26"/>
      <c r="AF778" s="15"/>
    </row>
    <row r="779" spans="1:32" x14ac:dyDescent="0.4"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22"/>
      <c r="O779" s="122"/>
      <c r="P779" s="122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26"/>
      <c r="AF779" s="15"/>
    </row>
    <row r="780" spans="1:32" x14ac:dyDescent="0.4">
      <c r="AE780" s="26"/>
      <c r="AF780" s="15"/>
    </row>
    <row r="781" spans="1:32" x14ac:dyDescent="0.4"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22"/>
      <c r="O781" s="122"/>
      <c r="P781" s="122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26"/>
      <c r="AF781" s="15"/>
    </row>
    <row r="782" spans="1:32" x14ac:dyDescent="0.4"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22"/>
      <c r="O782" s="122"/>
      <c r="P782" s="122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26"/>
      <c r="AF782" s="15"/>
    </row>
    <row r="783" spans="1:32" x14ac:dyDescent="0.4"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22"/>
      <c r="O783" s="122"/>
      <c r="P783" s="122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26"/>
      <c r="AF783" s="15"/>
    </row>
    <row r="784" spans="1:32" x14ac:dyDescent="0.4"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22"/>
      <c r="O784" s="122"/>
      <c r="P784" s="122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26"/>
      <c r="AF784" s="15"/>
    </row>
    <row r="785" spans="1:32" x14ac:dyDescent="0.4">
      <c r="AE785" s="26"/>
      <c r="AF785" s="15"/>
    </row>
    <row r="786" spans="1:32" x14ac:dyDescent="0.4"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22"/>
      <c r="O786" s="122"/>
      <c r="P786" s="122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26"/>
      <c r="AF786" s="15"/>
    </row>
    <row r="787" spans="1:32" x14ac:dyDescent="0.4">
      <c r="AE787" s="26"/>
      <c r="AF787" s="15"/>
    </row>
    <row r="788" spans="1:32" x14ac:dyDescent="0.4"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22"/>
      <c r="O788" s="122"/>
      <c r="P788" s="122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26"/>
      <c r="AF788" s="15"/>
    </row>
    <row r="789" spans="1:32" x14ac:dyDescent="0.4"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22"/>
      <c r="O789" s="122"/>
      <c r="P789" s="122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26"/>
      <c r="AF789" s="15"/>
    </row>
    <row r="790" spans="1:32" x14ac:dyDescent="0.4"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22"/>
      <c r="O790" s="122"/>
      <c r="P790" s="122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7"/>
      <c r="AF790" s="15"/>
    </row>
    <row r="791" spans="1:32" x14ac:dyDescent="0.4">
      <c r="AE791" s="26"/>
      <c r="AF791" s="15"/>
    </row>
    <row r="792" spans="1:32" x14ac:dyDescent="0.4">
      <c r="AE792" s="26"/>
      <c r="AF792" s="15"/>
    </row>
    <row r="793" spans="1:32" x14ac:dyDescent="0.4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22"/>
      <c r="O793" s="122"/>
      <c r="P793" s="122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26"/>
      <c r="AF793" s="15"/>
    </row>
    <row r="794" spans="1:32" x14ac:dyDescent="0.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22"/>
      <c r="O794" s="122"/>
      <c r="P794" s="122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7"/>
      <c r="AF794" s="15"/>
    </row>
    <row r="795" spans="1:32" x14ac:dyDescent="0.4">
      <c r="AE795" s="26"/>
      <c r="AF795" s="15"/>
    </row>
    <row r="796" spans="1:32" ht="17.25" customHeight="1" x14ac:dyDescent="0.4"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22"/>
      <c r="O796" s="122"/>
      <c r="P796" s="122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26"/>
      <c r="AF796" s="15"/>
    </row>
    <row r="797" spans="1:32" x14ac:dyDescent="0.4">
      <c r="AE797" s="26"/>
      <c r="AF797" s="15"/>
    </row>
    <row r="798" spans="1:32" x14ac:dyDescent="0.4">
      <c r="G798" s="115"/>
      <c r="H798" s="115"/>
      <c r="I798" s="115"/>
      <c r="J798" s="115"/>
      <c r="K798" s="115"/>
      <c r="L798" s="115"/>
      <c r="M798" s="115"/>
      <c r="N798" s="122"/>
      <c r="O798" s="122"/>
      <c r="P798" s="122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7"/>
      <c r="AF798" s="15"/>
    </row>
    <row r="799" spans="1:32" ht="16.5" customHeight="1" x14ac:dyDescent="0.4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22"/>
      <c r="O799" s="122"/>
      <c r="P799" s="122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26"/>
      <c r="AF799" s="15"/>
    </row>
    <row r="800" spans="1:32" ht="22.5" customHeight="1" x14ac:dyDescent="0.4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22"/>
      <c r="O800" s="122"/>
      <c r="P800" s="122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26"/>
      <c r="AF800" s="15"/>
    </row>
    <row r="801" spans="1:32" x14ac:dyDescent="0.4">
      <c r="AE801" s="26"/>
      <c r="AF801" s="15"/>
    </row>
    <row r="802" spans="1:32" x14ac:dyDescent="0.4">
      <c r="AE802" s="26"/>
      <c r="AF802" s="105"/>
    </row>
    <row r="803" spans="1:32" x14ac:dyDescent="0.4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22"/>
      <c r="O803" s="122"/>
      <c r="P803" s="122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26"/>
      <c r="AF803" s="15"/>
    </row>
    <row r="804" spans="1:32" x14ac:dyDescent="0.4">
      <c r="AE804" s="26"/>
      <c r="AF804" s="15"/>
    </row>
    <row r="805" spans="1:32" x14ac:dyDescent="0.4">
      <c r="AE805" s="26"/>
      <c r="AF805" s="15"/>
    </row>
    <row r="806" spans="1:32" x14ac:dyDescent="0.4">
      <c r="AE806" s="26"/>
      <c r="AF806" s="15"/>
    </row>
    <row r="807" spans="1:32" x14ac:dyDescent="0.4">
      <c r="AE807" s="26"/>
      <c r="AF807" s="15"/>
    </row>
    <row r="808" spans="1:32" x14ac:dyDescent="0.4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22"/>
      <c r="O808" s="122"/>
      <c r="P808" s="122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26"/>
      <c r="AF808" s="15"/>
    </row>
    <row r="809" spans="1:32" x14ac:dyDescent="0.4">
      <c r="AE809" s="26"/>
      <c r="AF809" s="15"/>
    </row>
    <row r="810" spans="1:32" x14ac:dyDescent="0.4">
      <c r="AE810" s="26"/>
      <c r="AF810" s="15"/>
    </row>
    <row r="811" spans="1:32" x14ac:dyDescent="0.4">
      <c r="AE811" s="26"/>
      <c r="AF811" s="15"/>
    </row>
    <row r="812" spans="1:32" x14ac:dyDescent="0.4">
      <c r="AE812" s="26"/>
      <c r="AF812" s="15"/>
    </row>
    <row r="813" spans="1:32" ht="18.75" customHeight="1" x14ac:dyDescent="0.4"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22"/>
      <c r="O813" s="122"/>
      <c r="P813" s="122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26"/>
      <c r="AF813" s="15"/>
    </row>
    <row r="814" spans="1:32" x14ac:dyDescent="0.4">
      <c r="AE814" s="26"/>
      <c r="AF814" s="15"/>
    </row>
    <row r="815" spans="1:32" x14ac:dyDescent="0.4">
      <c r="AE815" s="26"/>
      <c r="AF815" s="15"/>
    </row>
    <row r="816" spans="1:32" x14ac:dyDescent="0.4"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22"/>
      <c r="O816" s="122"/>
      <c r="P816" s="122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26"/>
      <c r="AF816" s="15"/>
    </row>
    <row r="817" spans="1:32" x14ac:dyDescent="0.4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22"/>
      <c r="O817" s="122"/>
      <c r="P817" s="122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26"/>
      <c r="AF817" s="15"/>
    </row>
    <row r="818" spans="1:32" x14ac:dyDescent="0.4">
      <c r="AE818" s="26"/>
      <c r="AF818" s="15"/>
    </row>
    <row r="819" spans="1:32" x14ac:dyDescent="0.4">
      <c r="G819" s="115"/>
      <c r="H819" s="115"/>
      <c r="I819" s="115"/>
      <c r="J819" s="115"/>
      <c r="K819" s="115"/>
      <c r="L819" s="115"/>
      <c r="M819" s="115"/>
      <c r="N819" s="122"/>
      <c r="O819" s="122"/>
      <c r="P819" s="122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7"/>
      <c r="AF819" s="15"/>
    </row>
    <row r="820" spans="1:32" x14ac:dyDescent="0.4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22"/>
      <c r="O820" s="122"/>
      <c r="P820" s="122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26"/>
      <c r="AF820" s="15"/>
    </row>
    <row r="821" spans="1:32" x14ac:dyDescent="0.4">
      <c r="AE821" s="26"/>
      <c r="AF821" s="15"/>
    </row>
    <row r="822" spans="1:32" x14ac:dyDescent="0.4">
      <c r="G822" s="115"/>
      <c r="H822" s="115"/>
      <c r="I822" s="115"/>
      <c r="J822" s="115"/>
      <c r="K822" s="115"/>
      <c r="L822" s="115"/>
      <c r="M822" s="115"/>
      <c r="N822" s="122"/>
      <c r="O822" s="122"/>
      <c r="P822" s="122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7"/>
      <c r="AF822" s="15"/>
    </row>
    <row r="823" spans="1:32" x14ac:dyDescent="0.4">
      <c r="AE823" s="26"/>
      <c r="AF823" s="15"/>
    </row>
    <row r="824" spans="1:32" x14ac:dyDescent="0.4"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22"/>
      <c r="O824" s="122"/>
      <c r="P824" s="122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26"/>
      <c r="AF824" s="15"/>
    </row>
    <row r="825" spans="1:32" x14ac:dyDescent="0.4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22"/>
      <c r="O825" s="122"/>
      <c r="P825" s="122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26"/>
      <c r="AF825" s="15"/>
    </row>
    <row r="826" spans="1:32" x14ac:dyDescent="0.4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22"/>
      <c r="O826" s="122"/>
      <c r="P826" s="122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26"/>
      <c r="AF826" s="15"/>
    </row>
    <row r="827" spans="1:32" x14ac:dyDescent="0.4">
      <c r="AE827" s="26"/>
      <c r="AF827" s="15"/>
    </row>
    <row r="828" spans="1:32" x14ac:dyDescent="0.4"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22"/>
      <c r="O828" s="122"/>
      <c r="P828" s="122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26"/>
      <c r="AF828" s="15"/>
    </row>
    <row r="829" spans="1:32" x14ac:dyDescent="0.4">
      <c r="AE829" s="26"/>
      <c r="AF829" s="15"/>
    </row>
    <row r="830" spans="1:32" x14ac:dyDescent="0.4"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22"/>
      <c r="O830" s="122"/>
      <c r="P830" s="122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26"/>
      <c r="AF830" s="15"/>
    </row>
    <row r="831" spans="1:32" x14ac:dyDescent="0.4">
      <c r="AE831" s="26"/>
      <c r="AF831" s="15"/>
    </row>
    <row r="832" spans="1:32" x14ac:dyDescent="0.4">
      <c r="AE832" s="26"/>
      <c r="AF832" s="15"/>
    </row>
    <row r="833" spans="1:32" x14ac:dyDescent="0.4">
      <c r="AE833" s="26"/>
      <c r="AF833" s="15"/>
    </row>
    <row r="834" spans="1:32" x14ac:dyDescent="0.4">
      <c r="AE834" s="26"/>
      <c r="AF834" s="15"/>
    </row>
    <row r="835" spans="1:32" x14ac:dyDescent="0.4">
      <c r="AE835" s="26"/>
      <c r="AF835" s="15"/>
    </row>
    <row r="836" spans="1:32" x14ac:dyDescent="0.4">
      <c r="AE836" s="26"/>
      <c r="AF836" s="15"/>
    </row>
    <row r="837" spans="1:32" x14ac:dyDescent="0.4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22"/>
      <c r="O837" s="122"/>
      <c r="P837" s="122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26"/>
      <c r="AF837" s="15"/>
    </row>
    <row r="838" spans="1:32" x14ac:dyDescent="0.4">
      <c r="AE838" s="26"/>
      <c r="AF838" s="15"/>
    </row>
    <row r="839" spans="1:32" x14ac:dyDescent="0.4">
      <c r="AE839" s="26"/>
      <c r="AF839" s="15"/>
    </row>
    <row r="840" spans="1:32" x14ac:dyDescent="0.4">
      <c r="AE840" s="26"/>
      <c r="AF840" s="15"/>
    </row>
    <row r="841" spans="1:32" x14ac:dyDescent="0.4">
      <c r="AE841" s="26"/>
      <c r="AF841" s="15"/>
    </row>
    <row r="842" spans="1:32" x14ac:dyDescent="0.4">
      <c r="AE842" s="26"/>
      <c r="AF842" s="15"/>
    </row>
    <row r="843" spans="1:32" x14ac:dyDescent="0.4">
      <c r="G843" s="115"/>
      <c r="H843" s="115"/>
      <c r="I843" s="115"/>
      <c r="J843" s="115"/>
      <c r="K843" s="115"/>
      <c r="L843" s="115"/>
      <c r="M843" s="115"/>
      <c r="N843" s="122"/>
      <c r="O843" s="122"/>
      <c r="P843" s="122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7"/>
      <c r="AF843" s="15"/>
    </row>
    <row r="844" spans="1:32" x14ac:dyDescent="0.4">
      <c r="G844" s="115"/>
      <c r="H844" s="115"/>
      <c r="I844" s="115"/>
      <c r="J844" s="115"/>
      <c r="K844" s="115"/>
      <c r="L844" s="115"/>
      <c r="M844" s="115"/>
      <c r="N844" s="122"/>
      <c r="O844" s="122"/>
      <c r="P844" s="122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7"/>
      <c r="AF844" s="15"/>
    </row>
    <row r="845" spans="1:32" x14ac:dyDescent="0.4">
      <c r="AE845" s="26"/>
      <c r="AF845" s="15"/>
    </row>
    <row r="846" spans="1:32" x14ac:dyDescent="0.4">
      <c r="AE846" s="26"/>
      <c r="AF846" s="15"/>
    </row>
    <row r="847" spans="1:32" x14ac:dyDescent="0.4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22"/>
      <c r="O847" s="122"/>
      <c r="P847" s="122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26"/>
      <c r="AF847" s="15"/>
    </row>
    <row r="848" spans="1:32" x14ac:dyDescent="0.4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22"/>
      <c r="O848" s="122"/>
      <c r="P848" s="122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26"/>
      <c r="AF848" s="13"/>
    </row>
    <row r="849" spans="1:32" x14ac:dyDescent="0.4">
      <c r="AE849" s="26"/>
      <c r="AF849" s="15"/>
    </row>
    <row r="850" spans="1:32" x14ac:dyDescent="0.4"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22"/>
      <c r="O850" s="122"/>
      <c r="P850" s="122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26"/>
      <c r="AF850" s="15"/>
    </row>
    <row r="851" spans="1:32" x14ac:dyDescent="0.4">
      <c r="AE851" s="26"/>
      <c r="AF851" s="15"/>
    </row>
    <row r="852" spans="1:32" x14ac:dyDescent="0.4">
      <c r="AE852" s="26"/>
      <c r="AF852" s="15"/>
    </row>
    <row r="853" spans="1:32" x14ac:dyDescent="0.4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22"/>
      <c r="O853" s="122"/>
      <c r="P853" s="122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26"/>
      <c r="AF853" s="15"/>
    </row>
    <row r="854" spans="1:32" x14ac:dyDescent="0.4">
      <c r="AE854" s="26"/>
      <c r="AF854" s="13"/>
    </row>
    <row r="855" spans="1:32" x14ac:dyDescent="0.4">
      <c r="AE855" s="26"/>
      <c r="AF855" s="13"/>
    </row>
    <row r="856" spans="1:32" x14ac:dyDescent="0.4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22"/>
      <c r="O856" s="122"/>
      <c r="P856" s="122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26"/>
      <c r="AF856" s="13"/>
    </row>
    <row r="857" spans="1:32" x14ac:dyDescent="0.4">
      <c r="AE857" s="26"/>
      <c r="AF857" s="13"/>
    </row>
    <row r="858" spans="1:32" x14ac:dyDescent="0.4">
      <c r="AE858" s="26"/>
      <c r="AF858" s="13"/>
    </row>
    <row r="859" spans="1:32" x14ac:dyDescent="0.4">
      <c r="AE859" s="26"/>
      <c r="AF859" s="13"/>
    </row>
    <row r="860" spans="1:32" x14ac:dyDescent="0.4">
      <c r="AE860" s="26"/>
      <c r="AF860" s="13"/>
    </row>
    <row r="861" spans="1:32" x14ac:dyDescent="0.4">
      <c r="AE861" s="26"/>
      <c r="AF861" s="13"/>
    </row>
    <row r="862" spans="1:32" x14ac:dyDescent="0.4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22"/>
      <c r="O862" s="122"/>
      <c r="P862" s="122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26"/>
      <c r="AF862" s="25"/>
    </row>
    <row r="863" spans="1:32" x14ac:dyDescent="0.4">
      <c r="AE863" s="26"/>
      <c r="AF863" s="13"/>
    </row>
    <row r="864" spans="1:32" x14ac:dyDescent="0.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22"/>
      <c r="O864" s="122"/>
      <c r="P864" s="122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26"/>
      <c r="AF864" s="13"/>
    </row>
    <row r="865" spans="1:32" x14ac:dyDescent="0.4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22"/>
      <c r="O865" s="122"/>
      <c r="P865" s="122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26"/>
      <c r="AF865" s="13"/>
    </row>
    <row r="866" spans="1:32" x14ac:dyDescent="0.4">
      <c r="AE866" s="26"/>
      <c r="AF866" s="15"/>
    </row>
    <row r="867" spans="1:32" x14ac:dyDescent="0.4">
      <c r="AE867" s="26"/>
      <c r="AF867" s="15"/>
    </row>
    <row r="868" spans="1:32" x14ac:dyDescent="0.4">
      <c r="AE868" s="26"/>
      <c r="AF868" s="15"/>
    </row>
    <row r="869" spans="1:32" x14ac:dyDescent="0.4">
      <c r="AE869" s="26"/>
      <c r="AF869" s="13"/>
    </row>
    <row r="870" spans="1:32" x14ac:dyDescent="0.4">
      <c r="AE870" s="26"/>
      <c r="AF870" s="15"/>
    </row>
    <row r="871" spans="1:32" x14ac:dyDescent="0.4"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22"/>
      <c r="O871" s="122"/>
      <c r="P871" s="122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7"/>
      <c r="AF871" s="15"/>
    </row>
    <row r="872" spans="1:32" x14ac:dyDescent="0.4">
      <c r="AE872" s="26"/>
      <c r="AF872" s="15"/>
    </row>
    <row r="873" spans="1:32" x14ac:dyDescent="0.4"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22"/>
      <c r="O873" s="122"/>
      <c r="P873" s="122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7"/>
      <c r="AF873" s="15"/>
    </row>
    <row r="874" spans="1:32" x14ac:dyDescent="0.4">
      <c r="AE874" s="26"/>
      <c r="AF874" s="15"/>
    </row>
    <row r="875" spans="1:32" x14ac:dyDescent="0.4">
      <c r="AE875" s="26"/>
      <c r="AF875" s="15"/>
    </row>
    <row r="876" spans="1:32" x14ac:dyDescent="0.4"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22"/>
      <c r="O876" s="122"/>
      <c r="P876" s="122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7"/>
      <c r="AF876" s="15"/>
    </row>
    <row r="877" spans="1:32" x14ac:dyDescent="0.4">
      <c r="AE877" s="26"/>
      <c r="AF877" s="15"/>
    </row>
    <row r="878" spans="1:32" x14ac:dyDescent="0.4">
      <c r="AE878" s="26"/>
      <c r="AF878" s="15"/>
    </row>
    <row r="879" spans="1:32" x14ac:dyDescent="0.4">
      <c r="AE879" s="26"/>
      <c r="AF879" s="105"/>
    </row>
    <row r="880" spans="1:32" x14ac:dyDescent="0.4">
      <c r="AE880" s="26"/>
      <c r="AF880" s="15"/>
    </row>
    <row r="881" spans="2:32" x14ac:dyDescent="0.4">
      <c r="AE881" s="26"/>
      <c r="AF881" s="15"/>
    </row>
    <row r="882" spans="2:32" x14ac:dyDescent="0.4">
      <c r="AE882" s="26"/>
      <c r="AF882" s="15"/>
    </row>
    <row r="883" spans="2:32" x14ac:dyDescent="0.4">
      <c r="AE883" s="26"/>
      <c r="AF883" s="15"/>
    </row>
    <row r="884" spans="2:32" x14ac:dyDescent="0.4">
      <c r="AE884" s="26"/>
      <c r="AF884" s="15"/>
    </row>
    <row r="885" spans="2:32" x14ac:dyDescent="0.4"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22"/>
      <c r="O885" s="122"/>
      <c r="P885" s="122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9"/>
      <c r="AF885" s="119"/>
    </row>
    <row r="886" spans="2:32" x14ac:dyDescent="0.4"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22"/>
      <c r="O886" s="122"/>
      <c r="P886" s="122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9"/>
      <c r="AF886" s="119"/>
    </row>
  </sheetData>
  <sortState xmlns:xlrd2="http://schemas.microsoft.com/office/spreadsheetml/2017/richdata2" ref="G2:H171">
    <sortCondition ref="G2:G171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  <rowBreaks count="22" manualBreakCount="22">
    <brk id="9" max="16383" man="1"/>
    <brk id="11" max="16383" man="1"/>
    <brk id="13" max="16383" man="1"/>
    <brk id="21" max="16383" man="1"/>
    <brk id="23" max="16383" man="1"/>
    <brk id="25" max="16383" man="1"/>
    <brk id="30" max="16383" man="1"/>
    <brk id="34" max="16383" man="1"/>
    <brk id="43" max="16383" man="1"/>
    <brk id="47" max="16383" man="1"/>
    <brk id="70" max="16383" man="1"/>
    <brk id="95" max="16383" man="1"/>
    <brk id="103" max="16383" man="1"/>
    <brk id="105" max="16383" man="1"/>
    <brk id="129" max="16383" man="1"/>
    <brk id="137" max="16383" man="1"/>
    <brk id="156" max="16383" man="1"/>
    <brk id="165" max="16383" man="1"/>
    <brk id="182" max="16383" man="1"/>
    <brk id="196" max="16383" man="1"/>
    <brk id="198" max="16383" man="1"/>
    <brk id="20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193</v>
      </c>
      <c r="B1" s="121" t="s">
        <v>146</v>
      </c>
      <c r="C1" s="121" t="s">
        <v>147</v>
      </c>
      <c r="D1" s="121" t="s">
        <v>148</v>
      </c>
      <c r="G1" s="120" t="s">
        <v>200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2024-08-22T08:50:13Z</cp:lastPrinted>
  <dcterms:created xsi:type="dcterms:W3CDTF">2020-05-08T06:29:04Z</dcterms:created>
  <dcterms:modified xsi:type="dcterms:W3CDTF">2024-08-22T23:40:14Z</dcterms:modified>
</cp:coreProperties>
</file>