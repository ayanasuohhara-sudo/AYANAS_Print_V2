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F3BA4B81-7F8D-4422-AE1A-27383FDA1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C25" i="3"/>
  <c r="B25" i="3"/>
  <c r="T149" i="3"/>
  <c r="S149" i="3"/>
  <c r="T146" i="3"/>
  <c r="S146" i="3"/>
  <c r="T142" i="3"/>
  <c r="S142" i="3"/>
  <c r="T140" i="3"/>
  <c r="S140" i="3"/>
  <c r="T137" i="3"/>
  <c r="S137" i="3"/>
  <c r="T135" i="3"/>
  <c r="S135" i="3"/>
  <c r="T132" i="3"/>
  <c r="S132" i="3"/>
  <c r="T124" i="3"/>
  <c r="S124" i="3"/>
  <c r="T118" i="3"/>
  <c r="S118" i="3"/>
  <c r="T111" i="3"/>
  <c r="S111" i="3"/>
  <c r="T105" i="3"/>
  <c r="S105" i="3"/>
  <c r="T102" i="3"/>
  <c r="S102" i="3"/>
  <c r="T99" i="3"/>
  <c r="S99" i="3"/>
  <c r="T83" i="3"/>
  <c r="S83" i="3"/>
  <c r="T64" i="3"/>
  <c r="S64" i="3"/>
  <c r="T54" i="3"/>
  <c r="S54" i="3"/>
  <c r="T51" i="3"/>
  <c r="S51" i="3"/>
  <c r="T49" i="3"/>
  <c r="S49" i="3"/>
  <c r="T45" i="3"/>
  <c r="S45" i="3"/>
  <c r="T26" i="3"/>
  <c r="S26" i="3"/>
  <c r="T18" i="3"/>
  <c r="S18" i="3"/>
  <c r="T3" i="3"/>
  <c r="T150" i="3" s="1"/>
  <c r="S3" i="3"/>
  <c r="S150" i="3" s="1"/>
  <c r="A241" i="1"/>
  <c r="AE548" i="3"/>
  <c r="AC54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C830" i="3"/>
  <c r="BB830" i="3"/>
  <c r="BC825" i="3"/>
  <c r="BB825" i="3"/>
  <c r="BC823" i="3"/>
  <c r="BB823" i="3"/>
  <c r="BC809" i="3"/>
  <c r="BB809" i="3"/>
  <c r="BC791" i="3"/>
  <c r="BB791" i="3"/>
  <c r="BC780" i="3"/>
  <c r="BB780" i="3"/>
  <c r="BC746" i="3"/>
  <c r="BB746" i="3"/>
  <c r="BC733" i="3"/>
  <c r="BB733" i="3"/>
  <c r="BC695" i="3"/>
  <c r="BB695" i="3"/>
  <c r="BC686" i="3"/>
  <c r="BB686" i="3"/>
  <c r="BC672" i="3"/>
  <c r="BB672" i="3"/>
  <c r="BC639" i="3"/>
  <c r="BB639" i="3"/>
  <c r="BC586" i="3"/>
  <c r="BB586" i="3"/>
  <c r="BC574" i="3"/>
  <c r="BB574" i="3"/>
  <c r="BC551" i="3"/>
  <c r="BB551" i="3"/>
  <c r="BC536" i="3"/>
  <c r="BB536" i="3"/>
  <c r="BC512" i="3"/>
  <c r="BB512" i="3"/>
  <c r="BC494" i="3"/>
  <c r="BB494" i="3"/>
  <c r="BC474" i="3"/>
  <c r="BB474" i="3"/>
  <c r="BC460" i="3"/>
  <c r="BB460" i="3"/>
  <c r="BC451" i="3"/>
  <c r="BB451" i="3"/>
  <c r="BC377" i="3"/>
  <c r="BB377" i="3"/>
  <c r="B61" i="1"/>
  <c r="A151" i="1"/>
  <c r="AB43" i="1"/>
  <c r="BB831" i="3" l="1"/>
  <c r="BC83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<sst xmlns="http://schemas.openxmlformats.org/spreadsheetml/2006/main" count="2521" uniqueCount="355">
  <si>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</si>
  <si>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</si>
  <si>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</si>
  <si>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</si>
  <si>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</si>
  <si>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</si>
  <si>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</si>
  <si>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</si>
  <si>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</si>
  <si>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</si>
  <si>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</si>
  <si>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</si>
  <si>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</si>
  <si>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</si>
  <si>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</si>
  <si>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</si>
  <si>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</si>
  <si>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</si>
  <si>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</si>
  <si>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</si>
  <si>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</si>
  <si>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</si>
  <si>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</si>
  <si>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</si>
  <si>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</si>
  <si>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</si>
  <si>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</si>
  <si>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</si>
  <si>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</si>
  <si>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</si>
  <si>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</si>
  <si>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</si>
  <si>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</si>
  <si>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</si>
  <si>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</si>
  <si>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</si>
  <si>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</si>
  <si>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</si>
  <si>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</si>
  <si>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</si>
  <si>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</si>
  <si>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</si>
  <si>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</si>
  <si>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</si>
  <si>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</si>
  <si>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</si>
  <si>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</si>
  <si>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</si>
  <si>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</si>
  <si>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</si>
  <si>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</si>
  <si>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</si>
  <si>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</si>
  <si>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</si>
  <si>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</si>
  <si>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</si>
  <si>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</si>
  <si>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</si>
  <si>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</si>
  <si>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</si>
  <si>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</si>
  <si>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</si>
  <si>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</si>
  <si>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</si>
  <si>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</si>
  <si>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</si>
  <si>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</si>
  <si>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</si>
  <si>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</si>
  <si>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</si>
  <si>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</si>
  <si>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</si>
  <si>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</si>
  <si>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</si>
  <si>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</si>
  <si>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</si>
  <si>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</si>
  <si>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</si>
  <si>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</si>
  <si>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</si>
  <si>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</si>
  <si>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</si>
  <si>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</si>
  <si>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</si>
  <si>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</si>
  <si>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</si>
  <si>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</si>
  <si>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</si>
  <si>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</si>
  <si>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</si>
  <si>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</si>
  <si>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</si>
  <si>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</si>
  <si>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</si>
  <si>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</si>
  <si>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</si>
  <si>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</si>
  <si>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</si>
  <si>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</si>
  <si>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</si>
  <si>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</si>
  <si>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</si>
  <si>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</si>
  <si>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</si>
  <si>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</si>
  <si>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</si>
  <si>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</si>
  <si>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</si>
  <si>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</si>
  <si>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</si>
  <si>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</si>
  <si>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</si>
  <si>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</si>
  <si>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</si>
  <si>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</si>
  <si>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</si>
  <si>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</si>
  <si>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</si>
  <si>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</si>
  <si>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</si>
  <si>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</si>
  <si>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</si>
  <si>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</si>
  <si>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</si>
  <si>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</si>
  <si>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</si>
  <si>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</si>
  <si>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</si>
  <si>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</si>
  <si>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</si>
  <si>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</si>
  <si>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</si>
  <si>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</si>
  <si>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</si>
  <si>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</si>
  <si>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</si>
  <si>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</si>
  <si>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</si>
  <si>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</si>
  <si>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</si>
  <si>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</si>
  <si>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</si>
  <si>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</si>
  <si>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</si>
  <si>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</si>
  <si>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</si>
  <si>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</si>
  <si>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</si>
  <si>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</si>
  <si>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</si>
  <si>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</si>
  <si>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</si>
  <si>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</si>
  <si>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</si>
  <si>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</si>
  <si>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</si>
  <si>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</si>
  <si>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</si>
  <si>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</si>
  <si>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</si>
  <si>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</si>
  <si>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</si>
  <si>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</si>
  <si>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</si>
  <si>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</si>
  <si>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</si>
  <si>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</si>
  <si>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</si>
  <si>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</si>
  <si>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</si>
  <si>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</si>
  <si>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</si>
  <si>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</si>
  <si>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</si>
  <si>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</si>
  <si>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</si>
  <si>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</si>
  <si>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</si>
  <si>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</si>
  <si>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</si>
  <si>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</si>
  <si>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C</t>
    <phoneticPr fontId="1"/>
  </si>
  <si>
    <t>A732</t>
    <phoneticPr fontId="1"/>
  </si>
  <si>
    <t>M074</t>
    <phoneticPr fontId="1"/>
  </si>
  <si>
    <t>2025/7/8 個数</t>
  </si>
  <si>
    <t>2025/7/27 個数</t>
  </si>
  <si>
    <t>AYG110</t>
    <phoneticPr fontId="1"/>
  </si>
  <si>
    <t>A505</t>
    <phoneticPr fontId="1"/>
  </si>
  <si>
    <t>A120</t>
    <phoneticPr fontId="1"/>
  </si>
  <si>
    <t>A123</t>
    <phoneticPr fontId="1"/>
  </si>
  <si>
    <t>A623</t>
    <phoneticPr fontId="1"/>
  </si>
  <si>
    <t>2025/7/3 個数</t>
  </si>
  <si>
    <t>2025/7/6 個数</t>
  </si>
  <si>
    <t>2025/7/7 個数</t>
  </si>
  <si>
    <t>2025/7/9 個数</t>
  </si>
  <si>
    <t>2025/7/12 個数</t>
  </si>
  <si>
    <t>2025/7/13 個数</t>
  </si>
  <si>
    <t>2025/7/16 個数</t>
  </si>
  <si>
    <t>2025/7/28 個数</t>
  </si>
  <si>
    <t>AYG111</t>
    <phoneticPr fontId="1"/>
  </si>
  <si>
    <t>07050009</t>
    <phoneticPr fontId="1"/>
  </si>
  <si>
    <t>07060001</t>
    <phoneticPr fontId="1"/>
  </si>
  <si>
    <t>07060042</t>
    <phoneticPr fontId="1"/>
  </si>
  <si>
    <t>07060072</t>
    <phoneticPr fontId="1"/>
  </si>
  <si>
    <t>07060073</t>
    <phoneticPr fontId="1"/>
  </si>
  <si>
    <t>07060074</t>
    <phoneticPr fontId="1"/>
  </si>
  <si>
    <t>07060075</t>
    <phoneticPr fontId="1"/>
  </si>
  <si>
    <t>07060079</t>
    <phoneticPr fontId="1"/>
  </si>
  <si>
    <t>07060080</t>
    <phoneticPr fontId="1"/>
  </si>
  <si>
    <t>07060081</t>
    <phoneticPr fontId="1"/>
  </si>
  <si>
    <t>07060082</t>
    <phoneticPr fontId="1"/>
  </si>
  <si>
    <t>07060083</t>
    <phoneticPr fontId="1"/>
  </si>
  <si>
    <t>07060084</t>
    <phoneticPr fontId="1"/>
  </si>
  <si>
    <t>07060085</t>
    <phoneticPr fontId="1"/>
  </si>
  <si>
    <t>07060142</t>
    <phoneticPr fontId="1"/>
  </si>
  <si>
    <t>07060049</t>
    <phoneticPr fontId="1"/>
  </si>
  <si>
    <t>A700</t>
    <phoneticPr fontId="1"/>
  </si>
  <si>
    <t>07060104</t>
    <phoneticPr fontId="1"/>
  </si>
  <si>
    <t>07060105</t>
    <phoneticPr fontId="1"/>
  </si>
  <si>
    <t>07060106</t>
    <phoneticPr fontId="1"/>
  </si>
  <si>
    <t>07060107</t>
    <phoneticPr fontId="1"/>
  </si>
  <si>
    <t>E</t>
    <phoneticPr fontId="1"/>
  </si>
  <si>
    <t>07060108</t>
    <phoneticPr fontId="1"/>
  </si>
  <si>
    <t>07060109</t>
    <phoneticPr fontId="1"/>
  </si>
  <si>
    <t>07060143</t>
    <phoneticPr fontId="1"/>
  </si>
  <si>
    <t>07060164</t>
    <phoneticPr fontId="1"/>
  </si>
  <si>
    <t>A255</t>
    <phoneticPr fontId="1"/>
  </si>
  <si>
    <t>07050459</t>
    <phoneticPr fontId="1"/>
  </si>
  <si>
    <t>A650</t>
    <phoneticPr fontId="1"/>
  </si>
  <si>
    <t>07050460</t>
    <phoneticPr fontId="1"/>
  </si>
  <si>
    <t>07050463</t>
    <phoneticPr fontId="1"/>
  </si>
  <si>
    <t>M070</t>
    <phoneticPr fontId="1"/>
  </si>
  <si>
    <t>07060008</t>
    <phoneticPr fontId="1"/>
  </si>
  <si>
    <t>07060060</t>
    <phoneticPr fontId="1"/>
  </si>
  <si>
    <t>07060071</t>
    <phoneticPr fontId="1"/>
  </si>
  <si>
    <t>07060154</t>
    <phoneticPr fontId="1"/>
  </si>
  <si>
    <t>P</t>
    <phoneticPr fontId="1"/>
  </si>
  <si>
    <t>07060155</t>
    <phoneticPr fontId="1"/>
  </si>
  <si>
    <t>07060183</t>
    <phoneticPr fontId="1"/>
  </si>
  <si>
    <t>A552</t>
    <phoneticPr fontId="1"/>
  </si>
  <si>
    <t>07060184</t>
    <phoneticPr fontId="1"/>
  </si>
  <si>
    <t>07060185</t>
    <phoneticPr fontId="1"/>
  </si>
  <si>
    <t>A550</t>
    <phoneticPr fontId="1"/>
  </si>
  <si>
    <t>07060186</t>
    <phoneticPr fontId="1"/>
  </si>
  <si>
    <t>A529</t>
    <phoneticPr fontId="1"/>
  </si>
  <si>
    <t>07060187</t>
    <phoneticPr fontId="1"/>
  </si>
  <si>
    <t>07060188</t>
    <phoneticPr fontId="1"/>
  </si>
  <si>
    <t>07060189</t>
    <phoneticPr fontId="1"/>
  </si>
  <si>
    <t>07060190</t>
    <phoneticPr fontId="1"/>
  </si>
  <si>
    <t>07050100</t>
    <phoneticPr fontId="1"/>
  </si>
  <si>
    <t>M078</t>
    <phoneticPr fontId="1"/>
  </si>
  <si>
    <t>07060044</t>
    <phoneticPr fontId="1"/>
  </si>
  <si>
    <t>07060063</t>
    <phoneticPr fontId="1"/>
  </si>
  <si>
    <t>M037</t>
    <phoneticPr fontId="1"/>
  </si>
  <si>
    <t>07060064</t>
    <phoneticPr fontId="1"/>
  </si>
  <si>
    <t>07060065</t>
    <phoneticPr fontId="1"/>
  </si>
  <si>
    <t>07060066</t>
    <phoneticPr fontId="1"/>
  </si>
  <si>
    <t>07060136</t>
    <phoneticPr fontId="1"/>
  </si>
  <si>
    <t>07060137</t>
    <phoneticPr fontId="1"/>
  </si>
  <si>
    <t>07060138</t>
    <phoneticPr fontId="1"/>
  </si>
  <si>
    <t>07060139</t>
    <phoneticPr fontId="1"/>
  </si>
  <si>
    <t>07060141</t>
    <phoneticPr fontId="1"/>
  </si>
  <si>
    <t>07060144</t>
    <phoneticPr fontId="1"/>
  </si>
  <si>
    <t>07060045</t>
    <phoneticPr fontId="1"/>
  </si>
  <si>
    <t>07060050</t>
    <phoneticPr fontId="1"/>
  </si>
  <si>
    <t>07060055</t>
    <phoneticPr fontId="1"/>
  </si>
  <si>
    <t>A545</t>
    <phoneticPr fontId="1"/>
  </si>
  <si>
    <t>07060056</t>
    <phoneticPr fontId="1"/>
  </si>
  <si>
    <t>07060076</t>
    <phoneticPr fontId="1"/>
  </si>
  <si>
    <t>07060077</t>
    <phoneticPr fontId="1"/>
  </si>
  <si>
    <t>07060078</t>
    <phoneticPr fontId="1"/>
  </si>
  <si>
    <t>07060094</t>
    <phoneticPr fontId="1"/>
  </si>
  <si>
    <t>07060103</t>
    <phoneticPr fontId="1"/>
  </si>
  <si>
    <t>07060140</t>
    <phoneticPr fontId="1"/>
  </si>
  <si>
    <t>07060145</t>
    <phoneticPr fontId="1"/>
  </si>
  <si>
    <t>07060146</t>
    <phoneticPr fontId="1"/>
  </si>
  <si>
    <t>07060147</t>
    <phoneticPr fontId="1"/>
  </si>
  <si>
    <t>A318</t>
    <phoneticPr fontId="1"/>
  </si>
  <si>
    <t>07050168</t>
    <phoneticPr fontId="1"/>
  </si>
  <si>
    <t>07050169</t>
    <phoneticPr fontId="1"/>
  </si>
  <si>
    <t>A997</t>
    <phoneticPr fontId="1"/>
  </si>
  <si>
    <t>07060182</t>
    <phoneticPr fontId="1"/>
  </si>
  <si>
    <t>07050005</t>
    <phoneticPr fontId="1"/>
  </si>
  <si>
    <t>M025</t>
    <phoneticPr fontId="1"/>
  </si>
  <si>
    <t>07050006</t>
    <phoneticPr fontId="1"/>
  </si>
  <si>
    <t>07050115</t>
    <phoneticPr fontId="1"/>
  </si>
  <si>
    <t>07050127</t>
    <phoneticPr fontId="1"/>
  </si>
  <si>
    <t>07050128</t>
    <phoneticPr fontId="1"/>
  </si>
  <si>
    <t>07050233</t>
    <phoneticPr fontId="1"/>
  </si>
  <si>
    <t>07050302</t>
    <phoneticPr fontId="1"/>
  </si>
  <si>
    <t>07050348</t>
    <phoneticPr fontId="1"/>
  </si>
  <si>
    <t>07060165</t>
    <phoneticPr fontId="1"/>
  </si>
  <si>
    <t>07060166</t>
    <phoneticPr fontId="1"/>
  </si>
  <si>
    <t>07060224</t>
    <phoneticPr fontId="1"/>
  </si>
  <si>
    <t>07060225</t>
    <phoneticPr fontId="1"/>
  </si>
  <si>
    <t>07060226</t>
    <phoneticPr fontId="1"/>
  </si>
  <si>
    <t>07060229</t>
    <phoneticPr fontId="1"/>
  </si>
  <si>
    <t>07060270</t>
    <phoneticPr fontId="1"/>
  </si>
  <si>
    <t>07040128</t>
    <phoneticPr fontId="1"/>
  </si>
  <si>
    <t>M079</t>
    <phoneticPr fontId="1"/>
  </si>
  <si>
    <t>07060269</t>
    <phoneticPr fontId="1"/>
  </si>
  <si>
    <t>07060295</t>
    <phoneticPr fontId="1"/>
  </si>
  <si>
    <t>07060297</t>
    <phoneticPr fontId="1"/>
  </si>
  <si>
    <t>07060298</t>
    <phoneticPr fontId="1"/>
  </si>
  <si>
    <t>07060299</t>
    <phoneticPr fontId="1"/>
  </si>
  <si>
    <t>07060310</t>
    <phoneticPr fontId="1"/>
  </si>
  <si>
    <t>A335</t>
    <phoneticPr fontId="1"/>
  </si>
  <si>
    <t>07060311</t>
    <phoneticPr fontId="1"/>
  </si>
  <si>
    <t>07060312</t>
    <phoneticPr fontId="1"/>
  </si>
  <si>
    <t>07060313</t>
    <phoneticPr fontId="1"/>
  </si>
  <si>
    <t>07060314</t>
    <phoneticPr fontId="1"/>
  </si>
  <si>
    <t>07060315</t>
    <phoneticPr fontId="1"/>
  </si>
  <si>
    <t>07060316</t>
    <phoneticPr fontId="1"/>
  </si>
  <si>
    <t>07060317</t>
    <phoneticPr fontId="1"/>
  </si>
  <si>
    <t>07060090</t>
    <phoneticPr fontId="1"/>
  </si>
  <si>
    <t>07060091</t>
    <phoneticPr fontId="1"/>
  </si>
  <si>
    <t>07060093</t>
    <phoneticPr fontId="1"/>
  </si>
  <si>
    <t>07060223</t>
    <phoneticPr fontId="1"/>
  </si>
  <si>
    <t>07060284</t>
    <phoneticPr fontId="1"/>
  </si>
  <si>
    <t>07060285</t>
    <phoneticPr fontId="1"/>
  </si>
  <si>
    <t>07060286</t>
    <phoneticPr fontId="1"/>
  </si>
  <si>
    <t>07050116</t>
    <phoneticPr fontId="1"/>
  </si>
  <si>
    <t>07060043</t>
    <phoneticPr fontId="1"/>
  </si>
  <si>
    <t>07060047</t>
    <phoneticPr fontId="1"/>
  </si>
  <si>
    <t>07060149</t>
    <phoneticPr fontId="1"/>
  </si>
  <si>
    <t>07060150</t>
    <phoneticPr fontId="1"/>
  </si>
  <si>
    <t>07060151</t>
    <phoneticPr fontId="1"/>
  </si>
  <si>
    <t>07060152</t>
    <phoneticPr fontId="1"/>
  </si>
  <si>
    <t>07060153</t>
    <phoneticPr fontId="1"/>
  </si>
  <si>
    <t>07060170</t>
    <phoneticPr fontId="1"/>
  </si>
  <si>
    <t>07060171</t>
    <phoneticPr fontId="1"/>
  </si>
  <si>
    <t>07060175</t>
    <phoneticPr fontId="1"/>
  </si>
  <si>
    <t>07060177</t>
    <phoneticPr fontId="1"/>
  </si>
  <si>
    <t>07060178</t>
    <phoneticPr fontId="1"/>
  </si>
  <si>
    <t>07060179</t>
    <phoneticPr fontId="1"/>
  </si>
  <si>
    <t>07060227</t>
    <phoneticPr fontId="1"/>
  </si>
  <si>
    <t>07060296</t>
    <phoneticPr fontId="1"/>
  </si>
  <si>
    <t>07060305</t>
    <phoneticPr fontId="1"/>
  </si>
  <si>
    <t>07060306</t>
    <phoneticPr fontId="1"/>
  </si>
  <si>
    <t>07060307</t>
    <phoneticPr fontId="1"/>
  </si>
  <si>
    <t>07060308</t>
    <phoneticPr fontId="1"/>
  </si>
  <si>
    <t>07060309</t>
    <phoneticPr fontId="1"/>
  </si>
  <si>
    <t>07060320</t>
    <phoneticPr fontId="1"/>
  </si>
  <si>
    <t>2025/7/10 個数</t>
  </si>
  <si>
    <t>2025/7/14 個数</t>
  </si>
  <si>
    <t>2025/7/15 個数</t>
  </si>
  <si>
    <t>2025/7/17 個数</t>
  </si>
  <si>
    <t>2025/7/18 個数</t>
  </si>
  <si>
    <t>2025/7/20 個数</t>
  </si>
  <si>
    <t>2025/7/21 個数</t>
  </si>
  <si>
    <t>2025/7/23 個数</t>
  </si>
  <si>
    <t>2025/7/25 個数</t>
  </si>
  <si>
    <t>2025/7/26 個数</t>
  </si>
  <si>
    <t>2025/7/29 個数</t>
  </si>
  <si>
    <t>2025/8/29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</si>
</sst>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56" zoomScale="106" zoomScaleNormal="106" workbookViewId="0">
      <selection activeCell="N77" sqref="N7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199</v>
      </c>
      <c r="B1" s="24">
        <v>45820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/>
      <c r="C3" s="85" t="s">
        <v>200</v>
      </c>
      <c r="D3" s="109" t="s">
        <v>183</v>
      </c>
      <c r="E3" s="15" t="s">
        <v>38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45844</v>
      </c>
      <c r="U3" s="13" t="s">
        <v>147</v>
      </c>
      <c r="V3">
        <v>1</v>
      </c>
      <c r="X3" s="51" t="s">
        <v>106</v>
      </c>
      <c r="Y3" s="52">
        <f>COUNTIF(U3:U27,"K")</f>
        <v>2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201</v>
      </c>
      <c r="D4" s="109" t="s">
        <v>179</v>
      </c>
      <c r="E4" s="15" t="s">
        <v>36</v>
      </c>
      <c r="F4" s="16"/>
      <c r="G4" s="12" t="s">
        <v>180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45844</v>
      </c>
      <c r="U4" s="13" t="s">
        <v>147</v>
      </c>
      <c r="V4">
        <v>2</v>
      </c>
      <c r="X4" s="51" t="s">
        <v>107</v>
      </c>
      <c r="Y4" s="52">
        <f>COUNTIF(U3:U27,"R")</f>
        <v>9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202</v>
      </c>
      <c r="D5" s="109" t="s">
        <v>187</v>
      </c>
      <c r="E5" s="15" t="s">
        <v>58</v>
      </c>
      <c r="F5" s="16"/>
      <c r="G5" s="12" t="s">
        <v>180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/>
      <c r="T5" s="25">
        <v>45845</v>
      </c>
      <c r="U5" s="13" t="s">
        <v>147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203</v>
      </c>
      <c r="D6" s="109" t="s">
        <v>190</v>
      </c>
      <c r="E6" s="15" t="s">
        <v>38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45852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204</v>
      </c>
      <c r="D7" s="109" t="s">
        <v>190</v>
      </c>
      <c r="E7" s="15" t="s">
        <v>40</v>
      </c>
      <c r="F7" s="16"/>
      <c r="G7" s="12" t="s">
        <v>180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>
        <v>1</v>
      </c>
      <c r="S7" s="15"/>
      <c r="T7" s="25">
        <v>45852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205</v>
      </c>
      <c r="D8" s="109">
        <v>1183</v>
      </c>
      <c r="E8" s="15" t="s">
        <v>37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45852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206</v>
      </c>
      <c r="D9" s="109">
        <v>1183</v>
      </c>
      <c r="E9" s="15" t="s">
        <v>40</v>
      </c>
      <c r="F9" s="16"/>
      <c r="G9" s="12" t="s">
        <v>180</v>
      </c>
      <c r="H9" s="15"/>
      <c r="I9" s="13"/>
      <c r="J9" s="15"/>
      <c r="K9" s="15"/>
      <c r="L9" s="17"/>
      <c r="M9" s="17"/>
      <c r="N9" s="13"/>
      <c r="O9" s="17">
        <v>1</v>
      </c>
      <c r="P9" s="17">
        <v>1</v>
      </c>
      <c r="Q9" s="17">
        <v>1</v>
      </c>
      <c r="R9" s="17"/>
      <c r="S9" s="15"/>
      <c r="T9" s="25">
        <v>45852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207</v>
      </c>
      <c r="D10" s="109" t="s">
        <v>182</v>
      </c>
      <c r="E10" s="15" t="s">
        <v>37</v>
      </c>
      <c r="F10" s="16"/>
      <c r="G10" s="12" t="s">
        <v>180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45852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208</v>
      </c>
      <c r="D11" s="109" t="s">
        <v>182</v>
      </c>
      <c r="E11" s="15" t="s">
        <v>57</v>
      </c>
      <c r="F11" s="16"/>
      <c r="G11" s="12" t="s">
        <v>181</v>
      </c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>
        <v>45856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209</v>
      </c>
      <c r="D12" s="109" t="s">
        <v>189</v>
      </c>
      <c r="E12" s="15" t="s">
        <v>37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45852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210</v>
      </c>
      <c r="D13" s="109" t="s">
        <v>189</v>
      </c>
      <c r="E13" s="15" t="s">
        <v>37</v>
      </c>
      <c r="F13" s="16"/>
      <c r="G13" s="12" t="s">
        <v>180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/>
      <c r="R13" s="17"/>
      <c r="S13" s="15"/>
      <c r="T13" s="25">
        <v>45852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211</v>
      </c>
      <c r="D14" s="109" t="s">
        <v>189</v>
      </c>
      <c r="E14" s="15" t="s">
        <v>40</v>
      </c>
      <c r="F14" s="16"/>
      <c r="G14" s="12" t="s">
        <v>180</v>
      </c>
      <c r="H14" s="15"/>
      <c r="I14" s="15"/>
      <c r="J14" s="15"/>
      <c r="K14" s="15"/>
      <c r="L14" s="17"/>
      <c r="M14" s="17"/>
      <c r="N14" s="17">
        <v>1</v>
      </c>
      <c r="O14" s="17">
        <v>1</v>
      </c>
      <c r="P14" s="17"/>
      <c r="Q14" s="17"/>
      <c r="R14" s="17">
        <v>1</v>
      </c>
      <c r="S14" s="15"/>
      <c r="T14" s="25">
        <v>45852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212</v>
      </c>
      <c r="D15" s="109" t="s">
        <v>182</v>
      </c>
      <c r="E15" s="15" t="s">
        <v>57</v>
      </c>
      <c r="F15" s="16"/>
      <c r="G15" s="12" t="s">
        <v>181</v>
      </c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>
        <v>45856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213</v>
      </c>
      <c r="D16" s="109" t="s">
        <v>188</v>
      </c>
      <c r="E16" s="15" t="s">
        <v>37</v>
      </c>
      <c r="F16" s="16"/>
      <c r="G16" s="12" t="s">
        <v>180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45852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214</v>
      </c>
      <c r="D17" s="106" t="s">
        <v>179</v>
      </c>
      <c r="E17" s="15" t="s">
        <v>40</v>
      </c>
      <c r="F17" s="16"/>
      <c r="G17" s="15" t="s">
        <v>180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/>
      <c r="R17" s="17">
        <v>1</v>
      </c>
      <c r="S17" s="15"/>
      <c r="T17" s="25">
        <v>45844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239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>
        <f t="shared" si="0"/>
        <v>4</v>
      </c>
      <c r="L28" s="29">
        <f t="shared" si="0"/>
        <v>0</v>
      </c>
      <c r="M28" s="29">
        <f t="shared" si="0"/>
        <v>4</v>
      </c>
      <c r="N28" s="29">
        <f t="shared" si="0"/>
        <v>5</v>
      </c>
      <c r="O28" s="29">
        <f t="shared" si="0"/>
        <v>4</v>
      </c>
      <c r="P28" s="29">
        <f t="shared" si="0"/>
        <v>3</v>
      </c>
      <c r="Q28" s="29">
        <f t="shared" si="0"/>
        <v>5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32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AYG111</v>
      </c>
      <c r="B31" s="24">
        <f>B1</f>
        <v>45820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/>
      <c r="C33" s="85" t="s">
        <v>215</v>
      </c>
      <c r="D33" s="109" t="s">
        <v>179</v>
      </c>
      <c r="E33" s="15" t="s">
        <v>75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45844</v>
      </c>
      <c r="U33" s="13" t="s">
        <v>147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38</v>
      </c>
    </row>
    <row r="34" spans="1:29" x14ac:dyDescent="0.4">
      <c r="A34" s="138"/>
      <c r="B34" s="141"/>
      <c r="C34" s="85" t="s">
        <v>217</v>
      </c>
      <c r="D34" s="109" t="s">
        <v>216</v>
      </c>
      <c r="E34" s="15" t="s">
        <v>42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>
        <v>1</v>
      </c>
      <c r="T34" s="25">
        <v>45852</v>
      </c>
      <c r="U34" s="13" t="s">
        <v>147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31</v>
      </c>
    </row>
    <row r="35" spans="1:29" ht="19.5" thickBot="1" x14ac:dyDescent="0.45">
      <c r="A35" s="138"/>
      <c r="B35" s="141"/>
      <c r="C35" s="85" t="s">
        <v>218</v>
      </c>
      <c r="D35" s="109" t="s">
        <v>216</v>
      </c>
      <c r="E35" s="15" t="s">
        <v>41</v>
      </c>
      <c r="F35" s="16"/>
      <c r="G35" s="12" t="s">
        <v>180</v>
      </c>
      <c r="H35" s="13"/>
      <c r="I35" s="13"/>
      <c r="J35" s="15">
        <v>1</v>
      </c>
      <c r="K35" s="15"/>
      <c r="L35" s="17"/>
      <c r="M35" s="17"/>
      <c r="N35" s="13"/>
      <c r="O35" s="17"/>
      <c r="P35" s="17"/>
      <c r="Q35" s="17"/>
      <c r="R35" s="17"/>
      <c r="S35" s="15"/>
      <c r="T35" s="25">
        <v>45852</v>
      </c>
      <c r="U35" s="13" t="s">
        <v>146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0</v>
      </c>
    </row>
    <row r="36" spans="1:29" x14ac:dyDescent="0.4">
      <c r="A36" s="138"/>
      <c r="B36" s="141"/>
      <c r="C36" s="85" t="s">
        <v>219</v>
      </c>
      <c r="D36" s="109" t="s">
        <v>216</v>
      </c>
      <c r="E36" s="15" t="s">
        <v>42</v>
      </c>
      <c r="F36" s="16"/>
      <c r="G36" s="12" t="s">
        <v>180</v>
      </c>
      <c r="H36" s="15"/>
      <c r="I36" s="13"/>
      <c r="J36" s="13"/>
      <c r="K36" s="15"/>
      <c r="L36" s="17"/>
      <c r="M36" s="17"/>
      <c r="N36" s="13"/>
      <c r="O36" s="17"/>
      <c r="P36" s="17"/>
      <c r="Q36" s="17"/>
      <c r="R36" s="17"/>
      <c r="S36" s="15">
        <v>2</v>
      </c>
      <c r="T36" s="25">
        <v>45852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34</v>
      </c>
    </row>
    <row r="37" spans="1:29" x14ac:dyDescent="0.4">
      <c r="A37" s="138"/>
      <c r="B37" s="141"/>
      <c r="C37" s="85" t="s">
        <v>220</v>
      </c>
      <c r="D37" s="109" t="s">
        <v>216</v>
      </c>
      <c r="E37" s="15" t="s">
        <v>41</v>
      </c>
      <c r="F37" s="16"/>
      <c r="G37" s="12" t="s">
        <v>180</v>
      </c>
      <c r="H37" s="15"/>
      <c r="I37" s="13"/>
      <c r="J37" s="15">
        <v>1</v>
      </c>
      <c r="K37" s="15"/>
      <c r="L37" s="17"/>
      <c r="M37" s="17"/>
      <c r="N37" s="13"/>
      <c r="O37" s="17"/>
      <c r="P37" s="17"/>
      <c r="Q37" s="17"/>
      <c r="R37" s="17"/>
      <c r="S37" s="15"/>
      <c r="T37" s="25">
        <v>45852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30</v>
      </c>
    </row>
    <row r="38" spans="1:29" x14ac:dyDescent="0.4">
      <c r="A38" s="138"/>
      <c r="B38" s="141"/>
      <c r="C38" s="85" t="s">
        <v>222</v>
      </c>
      <c r="D38" s="109" t="s">
        <v>216</v>
      </c>
      <c r="E38" s="15" t="s">
        <v>59</v>
      </c>
      <c r="F38" s="16"/>
      <c r="G38" s="12" t="s">
        <v>180</v>
      </c>
      <c r="H38" s="13" t="s">
        <v>221</v>
      </c>
      <c r="I38" s="13"/>
      <c r="J38" s="15">
        <v>2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45851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38"/>
      <c r="B39" s="141"/>
      <c r="C39" s="85" t="s">
        <v>223</v>
      </c>
      <c r="D39" s="109" t="s">
        <v>216</v>
      </c>
      <c r="E39" s="15" t="s">
        <v>59</v>
      </c>
      <c r="F39" s="16"/>
      <c r="G39" s="12" t="s">
        <v>180</v>
      </c>
      <c r="H39" s="15" t="s">
        <v>221</v>
      </c>
      <c r="I39" s="13"/>
      <c r="J39" s="15">
        <v>2</v>
      </c>
      <c r="K39" s="15"/>
      <c r="L39" s="17"/>
      <c r="M39" s="17"/>
      <c r="N39" s="13"/>
      <c r="O39" s="17"/>
      <c r="P39" s="17"/>
      <c r="Q39" s="17"/>
      <c r="R39" s="17"/>
      <c r="S39" s="15"/>
      <c r="T39" s="25">
        <v>45852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12</v>
      </c>
    </row>
    <row r="40" spans="1:29" x14ac:dyDescent="0.4">
      <c r="A40" s="138"/>
      <c r="B40" s="141"/>
      <c r="C40" s="85" t="s">
        <v>224</v>
      </c>
      <c r="D40" s="109" t="s">
        <v>179</v>
      </c>
      <c r="E40" s="15" t="s">
        <v>40</v>
      </c>
      <c r="F40" s="16"/>
      <c r="G40" s="12" t="s">
        <v>180</v>
      </c>
      <c r="H40" s="15"/>
      <c r="I40" s="13"/>
      <c r="J40" s="15"/>
      <c r="K40" s="15"/>
      <c r="L40" s="17"/>
      <c r="M40" s="17"/>
      <c r="N40" s="13"/>
      <c r="O40" s="17">
        <v>1</v>
      </c>
      <c r="P40" s="17">
        <v>1</v>
      </c>
      <c r="Q40" s="17"/>
      <c r="R40" s="17"/>
      <c r="S40" s="15"/>
      <c r="T40" s="25">
        <v>45845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36</v>
      </c>
    </row>
    <row r="41" spans="1:29" x14ac:dyDescent="0.4">
      <c r="A41" s="138"/>
      <c r="B41" s="141"/>
      <c r="C41" s="85" t="s">
        <v>225</v>
      </c>
      <c r="D41" s="109" t="s">
        <v>226</v>
      </c>
      <c r="E41" s="15" t="s">
        <v>133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>
        <v>1</v>
      </c>
      <c r="P41" s="17"/>
      <c r="Q41" s="17"/>
      <c r="R41" s="17"/>
      <c r="S41" s="15"/>
      <c r="T41" s="25">
        <v>45864</v>
      </c>
      <c r="U41" s="13" t="s">
        <v>148</v>
      </c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38"/>
      <c r="B42" s="141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207</v>
      </c>
    </row>
    <row r="43" spans="1:29" ht="19.5" thickBot="1" x14ac:dyDescent="0.45">
      <c r="A43" s="138"/>
      <c r="B43" s="141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38"/>
      <c r="B45" s="141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38"/>
      <c r="B46" s="141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119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9</v>
      </c>
      <c r="D58" s="112"/>
      <c r="E58" s="29"/>
      <c r="F58" s="29" t="s">
        <v>34</v>
      </c>
      <c r="G58" s="29">
        <f>COUNTIF(G33:G57,"S")</f>
        <v>9</v>
      </c>
      <c r="H58" s="29">
        <f>COUNTIF(H33:H57,"E")</f>
        <v>2</v>
      </c>
      <c r="I58" s="29">
        <f>SUM(I33:I57)</f>
        <v>0</v>
      </c>
      <c r="J58" s="29">
        <f t="shared" ref="J58:S58" si="1">SUM(J33:J57)</f>
        <v>6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2</v>
      </c>
      <c r="P58" s="29">
        <f t="shared" si="1"/>
        <v>1</v>
      </c>
      <c r="Q58" s="29">
        <f t="shared" si="1"/>
        <v>0</v>
      </c>
      <c r="R58" s="29">
        <f t="shared" si="1"/>
        <v>0</v>
      </c>
      <c r="S58" s="29">
        <f t="shared" si="1"/>
        <v>3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12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AYG111</v>
      </c>
      <c r="B61" s="24">
        <f>B1</f>
        <v>45820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/>
      <c r="C63" s="85" t="s">
        <v>227</v>
      </c>
      <c r="D63" s="109" t="s">
        <v>228</v>
      </c>
      <c r="E63" s="15" t="s">
        <v>37</v>
      </c>
      <c r="F63" s="14"/>
      <c r="G63" s="12" t="s">
        <v>180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45861</v>
      </c>
      <c r="U63" s="13" t="s">
        <v>146</v>
      </c>
      <c r="V63">
        <v>1</v>
      </c>
      <c r="X63" s="51" t="s">
        <v>106</v>
      </c>
      <c r="Y63" s="52">
        <f>COUNTIF(U63:U87,"K")</f>
        <v>3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229</v>
      </c>
      <c r="D64" s="109" t="s">
        <v>228</v>
      </c>
      <c r="E64" s="15" t="s">
        <v>58</v>
      </c>
      <c r="F64" s="16"/>
      <c r="G64" s="12" t="s">
        <v>180</v>
      </c>
      <c r="H64" s="15"/>
      <c r="I64" s="15"/>
      <c r="J64" s="13"/>
      <c r="K64" s="15"/>
      <c r="L64" s="13"/>
      <c r="M64" s="17"/>
      <c r="N64" s="17"/>
      <c r="O64" s="17"/>
      <c r="P64" s="17"/>
      <c r="Q64" s="17"/>
      <c r="R64" s="17"/>
      <c r="S64" s="15"/>
      <c r="T64" s="25">
        <v>45861</v>
      </c>
      <c r="U64" s="13" t="s">
        <v>147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230</v>
      </c>
      <c r="D65" s="109" t="s">
        <v>228</v>
      </c>
      <c r="E65" s="15" t="s">
        <v>37</v>
      </c>
      <c r="F65" s="16"/>
      <c r="G65" s="12" t="s">
        <v>180</v>
      </c>
      <c r="H65" s="15"/>
      <c r="I65" s="15"/>
      <c r="J65" s="13"/>
      <c r="K65" s="15"/>
      <c r="L65" s="13"/>
      <c r="M65" s="17">
        <v>1</v>
      </c>
      <c r="N65" s="17"/>
      <c r="O65" s="17"/>
      <c r="P65" s="17"/>
      <c r="Q65" s="17"/>
      <c r="R65" s="17"/>
      <c r="S65" s="15"/>
      <c r="T65" s="25">
        <v>45861</v>
      </c>
      <c r="U65" s="13" t="s">
        <v>147</v>
      </c>
      <c r="V65">
        <v>3</v>
      </c>
      <c r="X65" s="53" t="s">
        <v>108</v>
      </c>
      <c r="Y65" s="54">
        <f>COUNTIF(U63:U87,"J")</f>
        <v>6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232</v>
      </c>
      <c r="D66" s="109" t="s">
        <v>231</v>
      </c>
      <c r="E66" s="15" t="s">
        <v>75</v>
      </c>
      <c r="F66" s="16"/>
      <c r="G66" s="12" t="s">
        <v>180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/>
      <c r="T66" s="25">
        <v>45844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233</v>
      </c>
      <c r="D67" s="109" t="s">
        <v>231</v>
      </c>
      <c r="E67" s="15" t="s">
        <v>40</v>
      </c>
      <c r="F67" s="16"/>
      <c r="G67" s="12" t="s">
        <v>180</v>
      </c>
      <c r="H67" s="15"/>
      <c r="I67" s="15"/>
      <c r="J67" s="13"/>
      <c r="K67" s="15"/>
      <c r="L67" s="13"/>
      <c r="M67" s="17"/>
      <c r="N67" s="17"/>
      <c r="O67" s="17">
        <v>1</v>
      </c>
      <c r="P67" s="17">
        <v>1</v>
      </c>
      <c r="Q67" s="17"/>
      <c r="R67" s="17"/>
      <c r="S67" s="15"/>
      <c r="T67" s="25">
        <v>45844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234</v>
      </c>
      <c r="D68" s="109" t="s">
        <v>228</v>
      </c>
      <c r="E68" s="15" t="s">
        <v>37</v>
      </c>
      <c r="F68" s="16"/>
      <c r="G68" s="12" t="s">
        <v>180</v>
      </c>
      <c r="H68" s="15"/>
      <c r="I68" s="15"/>
      <c r="J68" s="13"/>
      <c r="K68" s="15"/>
      <c r="L68" s="13"/>
      <c r="M68" s="17">
        <v>1</v>
      </c>
      <c r="N68" s="17"/>
      <c r="O68" s="17"/>
      <c r="P68" s="17"/>
      <c r="Q68" s="17">
        <v>1</v>
      </c>
      <c r="R68" s="17"/>
      <c r="S68" s="15"/>
      <c r="T68" s="25">
        <v>45852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235</v>
      </c>
      <c r="D69" s="109" t="s">
        <v>231</v>
      </c>
      <c r="E69" s="15" t="s">
        <v>40</v>
      </c>
      <c r="F69" s="16"/>
      <c r="G69" s="12" t="s">
        <v>236</v>
      </c>
      <c r="H69" s="15"/>
      <c r="I69" s="15"/>
      <c r="J69" s="13"/>
      <c r="K69" s="15"/>
      <c r="L69" s="13"/>
      <c r="M69" s="17"/>
      <c r="N69" s="17"/>
      <c r="O69" s="17">
        <v>1</v>
      </c>
      <c r="P69" s="17">
        <v>1</v>
      </c>
      <c r="Q69" s="17"/>
      <c r="R69" s="17"/>
      <c r="S69" s="15"/>
      <c r="T69" s="25">
        <v>45844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237</v>
      </c>
      <c r="D70" s="109" t="s">
        <v>231</v>
      </c>
      <c r="E70" s="15" t="s">
        <v>40</v>
      </c>
      <c r="F70" s="16"/>
      <c r="G70" s="12" t="s">
        <v>236</v>
      </c>
      <c r="H70" s="15"/>
      <c r="I70" s="15"/>
      <c r="J70" s="13"/>
      <c r="K70" s="15"/>
      <c r="L70" s="13"/>
      <c r="M70" s="17"/>
      <c r="N70" s="17"/>
      <c r="O70" s="17">
        <v>1</v>
      </c>
      <c r="P70" s="17">
        <v>1</v>
      </c>
      <c r="Q70" s="17"/>
      <c r="R70" s="17"/>
      <c r="S70" s="15"/>
      <c r="T70" s="25">
        <v>45844</v>
      </c>
      <c r="U70" s="13" t="s">
        <v>148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238</v>
      </c>
      <c r="D71" s="109" t="s">
        <v>239</v>
      </c>
      <c r="E71" s="15" t="s">
        <v>74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45855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240</v>
      </c>
      <c r="D72" s="109" t="s">
        <v>239</v>
      </c>
      <c r="E72" s="15" t="s">
        <v>38</v>
      </c>
      <c r="F72" s="16"/>
      <c r="G72" s="12" t="s">
        <v>180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45855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241</v>
      </c>
      <c r="D73" s="109" t="s">
        <v>242</v>
      </c>
      <c r="E73" s="15" t="s">
        <v>40</v>
      </c>
      <c r="F73" s="16"/>
      <c r="G73" s="15" t="s">
        <v>236</v>
      </c>
      <c r="H73" s="15"/>
      <c r="I73" s="15"/>
      <c r="J73" s="15"/>
      <c r="K73" s="15"/>
      <c r="L73" s="17"/>
      <c r="M73" s="17"/>
      <c r="N73" s="17"/>
      <c r="O73" s="17">
        <v>1</v>
      </c>
      <c r="P73" s="17"/>
      <c r="Q73" s="17"/>
      <c r="R73" s="17"/>
      <c r="S73" s="15"/>
      <c r="T73" s="25">
        <v>45851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243</v>
      </c>
      <c r="D74" s="109" t="s">
        <v>244</v>
      </c>
      <c r="E74" s="15" t="s">
        <v>36</v>
      </c>
      <c r="F74" s="16"/>
      <c r="G74" s="15" t="s">
        <v>180</v>
      </c>
      <c r="H74" s="15"/>
      <c r="I74" s="15"/>
      <c r="J74" s="15"/>
      <c r="K74" s="15"/>
      <c r="L74" s="17"/>
      <c r="M74" s="17">
        <v>1</v>
      </c>
      <c r="N74" s="17"/>
      <c r="O74" s="17"/>
      <c r="P74" s="17"/>
      <c r="Q74" s="17">
        <v>1</v>
      </c>
      <c r="R74" s="17"/>
      <c r="S74" s="15"/>
      <c r="T74" s="25">
        <v>45851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245</v>
      </c>
      <c r="D75" s="109" t="s">
        <v>244</v>
      </c>
      <c r="E75" s="15" t="s">
        <v>37</v>
      </c>
      <c r="F75" s="16"/>
      <c r="G75" s="15" t="s">
        <v>180</v>
      </c>
      <c r="H75" s="15"/>
      <c r="I75" s="15"/>
      <c r="J75" s="15"/>
      <c r="K75" s="15"/>
      <c r="L75" s="17"/>
      <c r="M75" s="17">
        <v>1</v>
      </c>
      <c r="N75" s="17"/>
      <c r="O75" s="17"/>
      <c r="P75" s="17"/>
      <c r="Q75" s="17">
        <v>1</v>
      </c>
      <c r="R75" s="17"/>
      <c r="S75" s="15"/>
      <c r="T75" s="25">
        <v>45851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 t="s">
        <v>246</v>
      </c>
      <c r="D76" s="109" t="s">
        <v>242</v>
      </c>
      <c r="E76" s="15" t="s">
        <v>40</v>
      </c>
      <c r="F76" s="16"/>
      <c r="G76" s="15" t="s">
        <v>236</v>
      </c>
      <c r="H76" s="15"/>
      <c r="I76" s="15"/>
      <c r="J76" s="15"/>
      <c r="K76" s="15"/>
      <c r="L76" s="17"/>
      <c r="M76" s="17"/>
      <c r="N76" s="17"/>
      <c r="O76" s="17">
        <v>1</v>
      </c>
      <c r="P76" s="17"/>
      <c r="Q76" s="17"/>
      <c r="R76" s="17"/>
      <c r="S76" s="15"/>
      <c r="T76" s="25">
        <v>45851</v>
      </c>
      <c r="U76" s="15" t="s">
        <v>148</v>
      </c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 t="s">
        <v>247</v>
      </c>
      <c r="D77" s="109" t="s">
        <v>244</v>
      </c>
      <c r="E77" s="15" t="s">
        <v>41</v>
      </c>
      <c r="F77" s="16"/>
      <c r="G77" s="15" t="s">
        <v>180</v>
      </c>
      <c r="H77" s="15"/>
      <c r="I77" s="15"/>
      <c r="J77" s="15"/>
      <c r="K77" s="15"/>
      <c r="L77" s="17"/>
      <c r="M77" s="17"/>
      <c r="N77" s="17"/>
      <c r="O77" s="17"/>
      <c r="P77" s="17"/>
      <c r="Q77" s="17">
        <v>1</v>
      </c>
      <c r="R77" s="17"/>
      <c r="S77" s="15"/>
      <c r="T77" s="25">
        <v>45851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 t="s">
        <v>248</v>
      </c>
      <c r="D78" s="109" t="s">
        <v>244</v>
      </c>
      <c r="E78" s="15" t="s">
        <v>40</v>
      </c>
      <c r="F78" s="16"/>
      <c r="G78" s="15" t="s">
        <v>236</v>
      </c>
      <c r="H78" s="15"/>
      <c r="I78" s="15"/>
      <c r="J78" s="15"/>
      <c r="K78" s="15"/>
      <c r="L78" s="19"/>
      <c r="M78" s="19"/>
      <c r="N78" s="19"/>
      <c r="O78" s="19"/>
      <c r="P78" s="19"/>
      <c r="Q78" s="19">
        <v>1</v>
      </c>
      <c r="R78" s="19"/>
      <c r="S78" s="15"/>
      <c r="T78" s="25">
        <v>45851</v>
      </c>
      <c r="U78" s="15" t="s">
        <v>148</v>
      </c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11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0</v>
      </c>
      <c r="M88" s="29">
        <f t="shared" si="2"/>
        <v>4</v>
      </c>
      <c r="N88" s="29">
        <f t="shared" si="2"/>
        <v>0</v>
      </c>
      <c r="O88" s="29">
        <f t="shared" si="2"/>
        <v>5</v>
      </c>
      <c r="P88" s="29">
        <f t="shared" si="2"/>
        <v>3</v>
      </c>
      <c r="Q88" s="29">
        <f t="shared" si="2"/>
        <v>5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5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AYG111</v>
      </c>
      <c r="B91" s="24">
        <f>B1</f>
        <v>45820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/>
      <c r="C93" s="85" t="s">
        <v>249</v>
      </c>
      <c r="D93" s="109" t="s">
        <v>250</v>
      </c>
      <c r="E93" s="15" t="s">
        <v>37</v>
      </c>
      <c r="F93" s="14"/>
      <c r="G93" s="12" t="s">
        <v>180</v>
      </c>
      <c r="H93" s="13"/>
      <c r="I93" s="13"/>
      <c r="J93" s="13">
        <v>1</v>
      </c>
      <c r="K93" s="13">
        <v>1</v>
      </c>
      <c r="L93" s="13"/>
      <c r="M93" s="13"/>
      <c r="N93" s="13">
        <v>1</v>
      </c>
      <c r="O93" s="13"/>
      <c r="P93" s="13"/>
      <c r="Q93" s="13"/>
      <c r="R93" s="13"/>
      <c r="S93" s="13"/>
      <c r="T93" s="25">
        <v>45853</v>
      </c>
      <c r="U93" s="13" t="s">
        <v>147</v>
      </c>
      <c r="V93">
        <v>1</v>
      </c>
      <c r="X93" s="51" t="s">
        <v>106</v>
      </c>
      <c r="Y93" s="52">
        <f>COUNTIF(U93:U117,"K")</f>
        <v>1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251</v>
      </c>
      <c r="D94" s="109" t="s">
        <v>179</v>
      </c>
      <c r="E94" s="15" t="s">
        <v>36</v>
      </c>
      <c r="F94" s="16"/>
      <c r="G94" s="12" t="s">
        <v>180</v>
      </c>
      <c r="H94" s="15"/>
      <c r="I94" s="15"/>
      <c r="J94" s="15"/>
      <c r="K94" s="15"/>
      <c r="L94" s="17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45846</v>
      </c>
      <c r="U94" s="13" t="s">
        <v>147</v>
      </c>
      <c r="V94">
        <v>2</v>
      </c>
      <c r="X94" s="51" t="s">
        <v>107</v>
      </c>
      <c r="Y94" s="52">
        <f>COUNTIF(U93:U117,"R")</f>
        <v>10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252</v>
      </c>
      <c r="D95" s="109" t="s">
        <v>253</v>
      </c>
      <c r="E95" s="15" t="s">
        <v>40</v>
      </c>
      <c r="F95" s="16"/>
      <c r="G95" s="12" t="s">
        <v>180</v>
      </c>
      <c r="H95" s="15"/>
      <c r="I95" s="15"/>
      <c r="J95" s="15"/>
      <c r="K95" s="15"/>
      <c r="L95" s="17"/>
      <c r="M95" s="17"/>
      <c r="N95" s="17"/>
      <c r="O95" s="17">
        <v>1</v>
      </c>
      <c r="P95" s="17">
        <v>1</v>
      </c>
      <c r="Q95" s="17"/>
      <c r="R95" s="17"/>
      <c r="S95" s="15"/>
      <c r="T95" s="25">
        <v>45858</v>
      </c>
      <c r="U95" s="13" t="s">
        <v>148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254</v>
      </c>
      <c r="D96" s="109" t="s">
        <v>253</v>
      </c>
      <c r="E96" s="15" t="s">
        <v>36</v>
      </c>
      <c r="F96" s="16"/>
      <c r="G96" s="12" t="s">
        <v>180</v>
      </c>
      <c r="H96" s="15"/>
      <c r="I96" s="15"/>
      <c r="J96" s="15"/>
      <c r="K96" s="15"/>
      <c r="L96" s="17"/>
      <c r="M96" s="17"/>
      <c r="N96" s="17">
        <v>1</v>
      </c>
      <c r="O96" s="17"/>
      <c r="P96" s="17"/>
      <c r="Q96" s="17">
        <v>1</v>
      </c>
      <c r="R96" s="17"/>
      <c r="S96" s="15"/>
      <c r="T96" s="25">
        <v>45858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255</v>
      </c>
      <c r="D97" s="109" t="s">
        <v>179</v>
      </c>
      <c r="E97" s="15" t="s">
        <v>36</v>
      </c>
      <c r="F97" s="16"/>
      <c r="G97" s="12" t="s">
        <v>180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/>
      <c r="R97" s="17"/>
      <c r="S97" s="15"/>
      <c r="T97" s="25">
        <v>45844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256</v>
      </c>
      <c r="D98" s="109" t="s">
        <v>253</v>
      </c>
      <c r="E98" s="15" t="s">
        <v>75</v>
      </c>
      <c r="F98" s="16"/>
      <c r="G98" s="12" t="s">
        <v>180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>
        <v>45859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257</v>
      </c>
      <c r="D99" s="109" t="s">
        <v>231</v>
      </c>
      <c r="E99" s="15" t="s">
        <v>75</v>
      </c>
      <c r="F99" s="16"/>
      <c r="G99" s="12" t="s">
        <v>180</v>
      </c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>
        <v>45846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258</v>
      </c>
      <c r="D100" s="109" t="s">
        <v>231</v>
      </c>
      <c r="E100" s="15" t="s">
        <v>75</v>
      </c>
      <c r="F100" s="16"/>
      <c r="G100" s="12" t="s">
        <v>180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45846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259</v>
      </c>
      <c r="D101" s="109" t="s">
        <v>179</v>
      </c>
      <c r="E101" s="15" t="s">
        <v>36</v>
      </c>
      <c r="F101" s="16"/>
      <c r="G101" s="12" t="s">
        <v>180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45846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260</v>
      </c>
      <c r="D102" s="109" t="s">
        <v>179</v>
      </c>
      <c r="E102" s="15" t="s">
        <v>36</v>
      </c>
      <c r="F102" s="16"/>
      <c r="G102" s="12" t="s">
        <v>180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45847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261</v>
      </c>
      <c r="D103" s="109" t="s">
        <v>179</v>
      </c>
      <c r="E103" s="15" t="s">
        <v>36</v>
      </c>
      <c r="F103" s="16"/>
      <c r="G103" s="12" t="s">
        <v>180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45846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262</v>
      </c>
      <c r="D104" s="109" t="s">
        <v>179</v>
      </c>
      <c r="E104" s="15" t="s">
        <v>38</v>
      </c>
      <c r="F104" s="16"/>
      <c r="G104" s="12" t="s">
        <v>180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45845</v>
      </c>
      <c r="U104" s="15" t="s">
        <v>142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12</v>
      </c>
      <c r="D118" s="112"/>
      <c r="E118" s="29"/>
      <c r="F118" s="29" t="s">
        <v>34</v>
      </c>
      <c r="G118" s="29">
        <f>COUNTIF(G93:G117,"S")</f>
        <v>12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2</v>
      </c>
      <c r="K118" s="29">
        <f t="shared" ref="K118" si="4">SUM(K93:K117)</f>
        <v>2</v>
      </c>
      <c r="L118" s="29">
        <f t="shared" ref="L118" si="5">SUM(L93:L117)</f>
        <v>0</v>
      </c>
      <c r="M118" s="29">
        <f t="shared" ref="M118" si="6">SUM(M93:M117)</f>
        <v>5</v>
      </c>
      <c r="N118" s="29">
        <f t="shared" ref="N118" si="7">SUM(N93:N117)</f>
        <v>7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5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AYG111</v>
      </c>
      <c r="B121" s="24">
        <f>B1</f>
        <v>45820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/>
      <c r="C123" s="85" t="s">
        <v>263</v>
      </c>
      <c r="D123" s="106" t="s">
        <v>179</v>
      </c>
      <c r="E123" s="15" t="s">
        <v>36</v>
      </c>
      <c r="F123" s="14"/>
      <c r="G123" s="12" t="s">
        <v>180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45846</v>
      </c>
      <c r="U123" s="13" t="s">
        <v>147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264</v>
      </c>
      <c r="D124" s="106" t="s">
        <v>179</v>
      </c>
      <c r="E124" s="15" t="s">
        <v>36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3">
        <v>1</v>
      </c>
      <c r="O124" s="17"/>
      <c r="P124" s="17"/>
      <c r="Q124" s="17"/>
      <c r="R124" s="17"/>
      <c r="S124" s="15"/>
      <c r="T124" s="25">
        <v>45846</v>
      </c>
      <c r="U124" s="13" t="s">
        <v>147</v>
      </c>
      <c r="V124">
        <v>2</v>
      </c>
      <c r="X124" s="51" t="s">
        <v>107</v>
      </c>
      <c r="Y124" s="52">
        <f>COUNTIF(U123:U147,"R")</f>
        <v>11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265</v>
      </c>
      <c r="D125" s="106" t="s">
        <v>266</v>
      </c>
      <c r="E125" s="15" t="s">
        <v>36</v>
      </c>
      <c r="F125" s="16"/>
      <c r="G125" s="12" t="s">
        <v>180</v>
      </c>
      <c r="H125" s="13"/>
      <c r="I125" s="15"/>
      <c r="J125" s="15"/>
      <c r="K125" s="15"/>
      <c r="L125" s="17"/>
      <c r="M125" s="17">
        <v>1</v>
      </c>
      <c r="N125" s="13"/>
      <c r="O125" s="17"/>
      <c r="P125" s="17"/>
      <c r="Q125" s="17">
        <v>1</v>
      </c>
      <c r="R125" s="17"/>
      <c r="S125" s="15"/>
      <c r="T125" s="25">
        <v>45854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267</v>
      </c>
      <c r="D126" s="106" t="s">
        <v>266</v>
      </c>
      <c r="E126" s="15" t="s">
        <v>36</v>
      </c>
      <c r="F126" s="16"/>
      <c r="G126" s="12" t="s">
        <v>180</v>
      </c>
      <c r="H126" s="15"/>
      <c r="I126" s="15"/>
      <c r="J126" s="15"/>
      <c r="K126" s="15"/>
      <c r="L126" s="17"/>
      <c r="M126" s="17">
        <v>1</v>
      </c>
      <c r="N126" s="13"/>
      <c r="O126" s="17"/>
      <c r="P126" s="17"/>
      <c r="Q126" s="17">
        <v>1</v>
      </c>
      <c r="R126" s="17"/>
      <c r="S126" s="15"/>
      <c r="T126" s="25">
        <v>45854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268</v>
      </c>
      <c r="D127" s="106">
        <v>1183</v>
      </c>
      <c r="E127" s="15" t="s">
        <v>36</v>
      </c>
      <c r="F127" s="16"/>
      <c r="G127" s="12" t="s">
        <v>180</v>
      </c>
      <c r="H127" s="15"/>
      <c r="I127" s="15"/>
      <c r="J127" s="15"/>
      <c r="K127" s="15"/>
      <c r="L127" s="17"/>
      <c r="M127" s="17">
        <v>1</v>
      </c>
      <c r="N127" s="13">
        <v>1</v>
      </c>
      <c r="O127" s="17"/>
      <c r="P127" s="17"/>
      <c r="Q127" s="17">
        <v>1</v>
      </c>
      <c r="R127" s="17"/>
      <c r="S127" s="15"/>
      <c r="T127" s="25">
        <v>45852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269</v>
      </c>
      <c r="D128" s="106">
        <v>1183</v>
      </c>
      <c r="E128" s="15" t="s">
        <v>36</v>
      </c>
      <c r="F128" s="16"/>
      <c r="G128" s="12" t="s">
        <v>180</v>
      </c>
      <c r="H128" s="13"/>
      <c r="I128" s="15"/>
      <c r="J128" s="15"/>
      <c r="K128" s="15"/>
      <c r="L128" s="17"/>
      <c r="M128" s="17">
        <v>1</v>
      </c>
      <c r="N128" s="13">
        <v>1</v>
      </c>
      <c r="O128" s="17"/>
      <c r="P128" s="17"/>
      <c r="Q128" s="17">
        <v>1</v>
      </c>
      <c r="R128" s="17"/>
      <c r="S128" s="15"/>
      <c r="T128" s="25">
        <v>45852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270</v>
      </c>
      <c r="D129" s="106">
        <v>1183</v>
      </c>
      <c r="E129" s="15" t="s">
        <v>36</v>
      </c>
      <c r="F129" s="16"/>
      <c r="G129" s="12" t="s">
        <v>180</v>
      </c>
      <c r="H129" s="15"/>
      <c r="I129" s="15"/>
      <c r="J129" s="15"/>
      <c r="K129" s="15"/>
      <c r="L129" s="17"/>
      <c r="M129" s="17">
        <v>1</v>
      </c>
      <c r="N129" s="13">
        <v>1</v>
      </c>
      <c r="O129" s="17"/>
      <c r="P129" s="17"/>
      <c r="Q129" s="17">
        <v>1</v>
      </c>
      <c r="R129" s="17"/>
      <c r="S129" s="15"/>
      <c r="T129" s="25">
        <v>45852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271</v>
      </c>
      <c r="D130" s="106" t="s">
        <v>183</v>
      </c>
      <c r="E130" s="15" t="s">
        <v>44</v>
      </c>
      <c r="F130" s="16"/>
      <c r="G130" s="12" t="s">
        <v>180</v>
      </c>
      <c r="H130" s="15"/>
      <c r="I130" s="15"/>
      <c r="J130" s="15"/>
      <c r="K130" s="15"/>
      <c r="L130" s="17"/>
      <c r="M130" s="17">
        <v>1</v>
      </c>
      <c r="N130" s="13">
        <v>1</v>
      </c>
      <c r="O130" s="17"/>
      <c r="P130" s="17"/>
      <c r="Q130" s="17"/>
      <c r="R130" s="17"/>
      <c r="S130" s="15"/>
      <c r="T130" s="25">
        <v>45841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272</v>
      </c>
      <c r="D131" s="106" t="s">
        <v>250</v>
      </c>
      <c r="E131" s="15" t="s">
        <v>58</v>
      </c>
      <c r="F131" s="16"/>
      <c r="G131" s="12" t="s">
        <v>180</v>
      </c>
      <c r="H131" s="15"/>
      <c r="I131" s="15"/>
      <c r="J131" s="15"/>
      <c r="K131" s="15"/>
      <c r="L131" s="17"/>
      <c r="M131" s="17"/>
      <c r="N131" s="13"/>
      <c r="O131" s="17"/>
      <c r="P131" s="17"/>
      <c r="Q131" s="17"/>
      <c r="R131" s="17"/>
      <c r="S131" s="86"/>
      <c r="T131" s="25">
        <v>45844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273</v>
      </c>
      <c r="D132" s="106" t="s">
        <v>179</v>
      </c>
      <c r="E132" s="15" t="s">
        <v>37</v>
      </c>
      <c r="F132" s="16"/>
      <c r="G132" s="12" t="s">
        <v>180</v>
      </c>
      <c r="H132" s="15"/>
      <c r="I132" s="15"/>
      <c r="J132" s="15"/>
      <c r="K132" s="15"/>
      <c r="L132" s="17"/>
      <c r="M132" s="17">
        <v>1</v>
      </c>
      <c r="N132" s="13">
        <v>1</v>
      </c>
      <c r="O132" s="17"/>
      <c r="P132" s="17"/>
      <c r="Q132" s="17">
        <v>1</v>
      </c>
      <c r="R132" s="17"/>
      <c r="S132" s="15"/>
      <c r="T132" s="25">
        <v>45844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274</v>
      </c>
      <c r="D133" s="106" t="s">
        <v>266</v>
      </c>
      <c r="E133" s="15" t="s">
        <v>41</v>
      </c>
      <c r="F133" s="16"/>
      <c r="G133" s="12" t="s">
        <v>180</v>
      </c>
      <c r="H133" s="15"/>
      <c r="I133" s="15"/>
      <c r="J133" s="15">
        <v>1</v>
      </c>
      <c r="K133" s="15"/>
      <c r="L133" s="17"/>
      <c r="M133" s="17"/>
      <c r="N133" s="13"/>
      <c r="O133" s="17"/>
      <c r="P133" s="17"/>
      <c r="Q133" s="17"/>
      <c r="R133" s="17"/>
      <c r="S133" s="15"/>
      <c r="T133" s="25">
        <v>45861</v>
      </c>
      <c r="U133" s="13" t="s">
        <v>142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275</v>
      </c>
      <c r="D134" s="106" t="s">
        <v>266</v>
      </c>
      <c r="E134" s="15" t="s">
        <v>42</v>
      </c>
      <c r="F134" s="16"/>
      <c r="G134" s="12" t="s">
        <v>180</v>
      </c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>
        <v>1</v>
      </c>
      <c r="T134" s="25">
        <v>45861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276</v>
      </c>
      <c r="D135" s="106" t="s">
        <v>266</v>
      </c>
      <c r="E135" s="15" t="s">
        <v>40</v>
      </c>
      <c r="F135" s="16"/>
      <c r="G135" s="12" t="s">
        <v>180</v>
      </c>
      <c r="H135" s="15"/>
      <c r="I135" s="15"/>
      <c r="J135" s="15"/>
      <c r="K135" s="15"/>
      <c r="L135" s="17"/>
      <c r="M135" s="17"/>
      <c r="N135" s="13"/>
      <c r="O135" s="17">
        <v>1</v>
      </c>
      <c r="P135" s="17"/>
      <c r="Q135" s="17"/>
      <c r="R135" s="17"/>
      <c r="S135" s="15"/>
      <c r="T135" s="25">
        <v>45861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278</v>
      </c>
      <c r="D136" s="106" t="s">
        <v>277</v>
      </c>
      <c r="E136" s="15" t="s">
        <v>39</v>
      </c>
      <c r="F136" s="16"/>
      <c r="G136" s="12" t="s">
        <v>180</v>
      </c>
      <c r="H136" s="15"/>
      <c r="I136" s="15"/>
      <c r="J136" s="15">
        <v>1</v>
      </c>
      <c r="K136" s="15">
        <v>1</v>
      </c>
      <c r="L136" s="17"/>
      <c r="M136" s="17"/>
      <c r="N136" s="13"/>
      <c r="O136" s="17"/>
      <c r="P136" s="17"/>
      <c r="Q136" s="17"/>
      <c r="R136" s="17"/>
      <c r="S136" s="15"/>
      <c r="T136" s="25">
        <v>45898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279</v>
      </c>
      <c r="D137" s="106" t="s">
        <v>277</v>
      </c>
      <c r="E137" s="15" t="s">
        <v>133</v>
      </c>
      <c r="F137" s="16"/>
      <c r="G137" s="12" t="s">
        <v>180</v>
      </c>
      <c r="H137" s="15"/>
      <c r="I137" s="15"/>
      <c r="J137" s="15"/>
      <c r="K137" s="15"/>
      <c r="L137" s="17"/>
      <c r="M137" s="17"/>
      <c r="N137" s="13"/>
      <c r="O137" s="17">
        <v>1</v>
      </c>
      <c r="P137" s="17"/>
      <c r="Q137" s="17"/>
      <c r="R137" s="17">
        <v>1</v>
      </c>
      <c r="S137" s="15"/>
      <c r="T137" s="25">
        <v>45898</v>
      </c>
      <c r="U137" s="13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 t="s">
        <v>281</v>
      </c>
      <c r="D138" s="106" t="s">
        <v>280</v>
      </c>
      <c r="E138" s="15" t="s">
        <v>74</v>
      </c>
      <c r="F138" s="16"/>
      <c r="G138" s="12" t="s">
        <v>180</v>
      </c>
      <c r="H138" s="15"/>
      <c r="I138" s="15"/>
      <c r="J138" s="18"/>
      <c r="K138" s="15"/>
      <c r="L138" s="19"/>
      <c r="M138" s="19">
        <v>1</v>
      </c>
      <c r="N138" s="13">
        <v>1</v>
      </c>
      <c r="O138" s="19"/>
      <c r="P138" s="19"/>
      <c r="Q138" s="19">
        <v>1</v>
      </c>
      <c r="R138" s="19"/>
      <c r="S138" s="15"/>
      <c r="T138" s="25">
        <v>45858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2</v>
      </c>
      <c r="K148" s="29">
        <f t="shared" ref="K148" si="14">SUM(K123:K147)</f>
        <v>1</v>
      </c>
      <c r="L148" s="29">
        <f t="shared" ref="L148" si="15">SUM(L123:L147)</f>
        <v>0</v>
      </c>
      <c r="M148" s="29">
        <f t="shared" ref="M148" si="16">SUM(M123:M147)</f>
        <v>10</v>
      </c>
      <c r="N148" s="29">
        <f t="shared" ref="N148" si="17">SUM(N123:N147)</f>
        <v>8</v>
      </c>
      <c r="O148" s="29">
        <f t="shared" ref="O148" si="18">SUM(O123:O147)</f>
        <v>2</v>
      </c>
      <c r="P148" s="29">
        <f t="shared" ref="P148" si="19">SUM(P123:P147)</f>
        <v>0</v>
      </c>
      <c r="Q148" s="29">
        <f t="shared" ref="Q148" si="20">SUM(Q123:Q147)</f>
        <v>8</v>
      </c>
      <c r="R148" s="29">
        <f t="shared" ref="R148" si="21">SUM(R123:R147)</f>
        <v>1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33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AYG111</v>
      </c>
      <c r="B151" s="24">
        <f>B1</f>
        <v>45820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/>
      <c r="C153" s="85" t="s">
        <v>282</v>
      </c>
      <c r="D153" s="109" t="s">
        <v>283</v>
      </c>
      <c r="E153" s="13" t="s">
        <v>41</v>
      </c>
      <c r="F153" s="14"/>
      <c r="G153" s="12" t="s">
        <v>180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45845</v>
      </c>
      <c r="U153" s="13" t="s">
        <v>146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284</v>
      </c>
      <c r="D154" s="109" t="s">
        <v>283</v>
      </c>
      <c r="E154" s="13" t="s">
        <v>42</v>
      </c>
      <c r="F154" s="16"/>
      <c r="G154" s="12" t="s">
        <v>180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>
        <v>1</v>
      </c>
      <c r="T154" s="26">
        <v>45845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285</v>
      </c>
      <c r="D155" s="106" t="s">
        <v>283</v>
      </c>
      <c r="E155" s="106" t="s">
        <v>39</v>
      </c>
      <c r="F155" s="16"/>
      <c r="G155" s="12" t="s">
        <v>180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45844</v>
      </c>
      <c r="U155" s="13" t="s">
        <v>146</v>
      </c>
      <c r="V155">
        <v>3</v>
      </c>
      <c r="X155" s="53" t="s">
        <v>108</v>
      </c>
      <c r="Y155" s="54">
        <f>COUNTIF(U153:U177,"J")</f>
        <v>5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286</v>
      </c>
      <c r="D156" s="106" t="s">
        <v>266</v>
      </c>
      <c r="E156" s="106" t="s">
        <v>36</v>
      </c>
      <c r="F156" s="16"/>
      <c r="G156" s="12" t="s">
        <v>180</v>
      </c>
      <c r="H156" s="15"/>
      <c r="I156" s="15"/>
      <c r="J156" s="13"/>
      <c r="K156" s="15"/>
      <c r="L156" s="13"/>
      <c r="M156" s="17"/>
      <c r="N156" s="17"/>
      <c r="O156" s="17"/>
      <c r="P156" s="17"/>
      <c r="Q156" s="17">
        <v>1</v>
      </c>
      <c r="R156" s="17"/>
      <c r="S156" s="15"/>
      <c r="T156" s="25">
        <v>45846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287</v>
      </c>
      <c r="D157" s="106" t="s">
        <v>266</v>
      </c>
      <c r="E157" s="106" t="s">
        <v>36</v>
      </c>
      <c r="F157" s="16"/>
      <c r="G157" s="12" t="s">
        <v>180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>
        <v>1</v>
      </c>
      <c r="R157" s="17"/>
      <c r="S157" s="15"/>
      <c r="T157" s="25">
        <v>45846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288</v>
      </c>
      <c r="D158" s="106" t="s">
        <v>250</v>
      </c>
      <c r="E158" s="106" t="s">
        <v>38</v>
      </c>
      <c r="F158" s="16"/>
      <c r="G158" s="12" t="s">
        <v>180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45848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289</v>
      </c>
      <c r="D159" s="106" t="s">
        <v>239</v>
      </c>
      <c r="E159" s="106" t="s">
        <v>44</v>
      </c>
      <c r="F159" s="16"/>
      <c r="G159" s="12" t="s">
        <v>180</v>
      </c>
      <c r="H159" s="15"/>
      <c r="I159" s="15"/>
      <c r="J159" s="13"/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45865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290</v>
      </c>
      <c r="D160" s="106" t="s">
        <v>179</v>
      </c>
      <c r="E160" s="106" t="s">
        <v>38</v>
      </c>
      <c r="F160" s="16"/>
      <c r="G160" s="12" t="s">
        <v>180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5">
        <v>45846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291</v>
      </c>
      <c r="D161" s="106" t="s">
        <v>188</v>
      </c>
      <c r="E161" s="106" t="s">
        <v>39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45866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292</v>
      </c>
      <c r="D162" s="106" t="s">
        <v>188</v>
      </c>
      <c r="E162" s="106" t="s">
        <v>133</v>
      </c>
      <c r="F162" s="106"/>
      <c r="G162" s="12" t="s">
        <v>180</v>
      </c>
      <c r="H162" s="15"/>
      <c r="I162" s="15"/>
      <c r="J162" s="13"/>
      <c r="K162" s="15"/>
      <c r="L162" s="13"/>
      <c r="M162" s="17"/>
      <c r="N162" s="17"/>
      <c r="O162" s="17">
        <v>1</v>
      </c>
      <c r="P162" s="17"/>
      <c r="Q162" s="17">
        <v>1</v>
      </c>
      <c r="R162" s="17">
        <v>1</v>
      </c>
      <c r="S162" s="15"/>
      <c r="T162" s="25">
        <v>45856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293</v>
      </c>
      <c r="D163" s="106" t="s">
        <v>179</v>
      </c>
      <c r="E163" s="106" t="s">
        <v>40</v>
      </c>
      <c r="F163" s="16"/>
      <c r="G163" s="12" t="s">
        <v>180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>
        <v>1</v>
      </c>
      <c r="R163" s="17">
        <v>1</v>
      </c>
      <c r="S163" s="15"/>
      <c r="T163" s="25">
        <v>45851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294</v>
      </c>
      <c r="D164" s="106" t="s">
        <v>179</v>
      </c>
      <c r="E164" s="106" t="s">
        <v>40</v>
      </c>
      <c r="F164" s="16"/>
      <c r="G164" s="12" t="s">
        <v>180</v>
      </c>
      <c r="H164" s="15" t="s">
        <v>147</v>
      </c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/>
      <c r="R164" s="17">
        <v>1</v>
      </c>
      <c r="S164" s="15"/>
      <c r="T164" s="25">
        <v>45847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295</v>
      </c>
      <c r="D165" s="106" t="s">
        <v>179</v>
      </c>
      <c r="E165" s="106" t="s">
        <v>40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/>
      <c r="R165" s="17">
        <v>1</v>
      </c>
      <c r="S165" s="15"/>
      <c r="T165" s="25">
        <v>45844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 t="s">
        <v>296</v>
      </c>
      <c r="D166" s="106" t="s">
        <v>231</v>
      </c>
      <c r="E166" s="106" t="s">
        <v>40</v>
      </c>
      <c r="F166" s="16"/>
      <c r="G166" s="12" t="s">
        <v>180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/>
      <c r="S166" s="15"/>
      <c r="T166" s="25">
        <v>45851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 t="s">
        <v>297</v>
      </c>
      <c r="D167" s="106" t="s">
        <v>226</v>
      </c>
      <c r="E167" s="106" t="s">
        <v>37</v>
      </c>
      <c r="F167" s="16"/>
      <c r="G167" s="12" t="s">
        <v>180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>
        <v>1</v>
      </c>
      <c r="R167" s="17"/>
      <c r="S167" s="15"/>
      <c r="T167" s="25">
        <v>45859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5</v>
      </c>
      <c r="K178" s="29">
        <f t="shared" ref="K178" si="24">SUM(K153:K177)</f>
        <v>5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5</v>
      </c>
      <c r="P178" s="29">
        <f t="shared" ref="P178" si="29">SUM(P153:P177)</f>
        <v>4</v>
      </c>
      <c r="Q178" s="29">
        <f t="shared" ref="Q178" si="30">SUM(Q153:Q177)</f>
        <v>5</v>
      </c>
      <c r="R178" s="29">
        <f t="shared" ref="R178" si="31">SUM(R153:R177)</f>
        <v>4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1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31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178</v>
      </c>
      <c r="B181" s="24">
        <v>45789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/>
      <c r="C183" s="85" t="s">
        <v>298</v>
      </c>
      <c r="D183" s="110" t="s">
        <v>299</v>
      </c>
      <c r="E183" s="18" t="s">
        <v>44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45859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300</v>
      </c>
      <c r="D184" s="110" t="s">
        <v>299</v>
      </c>
      <c r="E184" s="15" t="s">
        <v>41</v>
      </c>
      <c r="F184" s="16"/>
      <c r="G184" s="18" t="s">
        <v>180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45845</v>
      </c>
      <c r="U184" s="15" t="s">
        <v>147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301</v>
      </c>
      <c r="D185" s="110" t="s">
        <v>266</v>
      </c>
      <c r="E185" s="15" t="s">
        <v>40</v>
      </c>
      <c r="F185" s="16"/>
      <c r="G185" s="18" t="s">
        <v>180</v>
      </c>
      <c r="H185" s="15"/>
      <c r="I185" s="15"/>
      <c r="J185" s="15"/>
      <c r="K185" s="15"/>
      <c r="L185" s="17"/>
      <c r="M185" s="17"/>
      <c r="N185" s="17"/>
      <c r="O185" s="17"/>
      <c r="P185" s="17"/>
      <c r="Q185" s="17"/>
      <c r="R185" s="17"/>
      <c r="S185" s="15"/>
      <c r="T185" s="25">
        <v>45867</v>
      </c>
      <c r="U185" s="15" t="s">
        <v>148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302</v>
      </c>
      <c r="D186" s="110" t="s">
        <v>266</v>
      </c>
      <c r="E186" s="15" t="s">
        <v>75</v>
      </c>
      <c r="F186" s="16"/>
      <c r="G186" s="18" t="s">
        <v>180</v>
      </c>
      <c r="H186" s="15"/>
      <c r="I186" s="15"/>
      <c r="J186" s="15"/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45865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303</v>
      </c>
      <c r="D187" s="106">
        <v>1101</v>
      </c>
      <c r="E187" s="13" t="s">
        <v>36</v>
      </c>
      <c r="F187" s="16"/>
      <c r="G187" s="18" t="s">
        <v>180</v>
      </c>
      <c r="H187" s="15"/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>
        <v>1</v>
      </c>
      <c r="R187" s="17"/>
      <c r="S187" s="15"/>
      <c r="T187" s="25">
        <v>45858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304</v>
      </c>
      <c r="D188" s="106">
        <v>1101</v>
      </c>
      <c r="E188" s="13" t="s">
        <v>38</v>
      </c>
      <c r="F188" s="16"/>
      <c r="G188" s="18" t="s">
        <v>180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45858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305</v>
      </c>
      <c r="D189" s="106" t="s">
        <v>306</v>
      </c>
      <c r="E189" s="13" t="s">
        <v>74</v>
      </c>
      <c r="F189" s="16"/>
      <c r="G189" s="18" t="s">
        <v>180</v>
      </c>
      <c r="H189" s="15"/>
      <c r="I189" s="15"/>
      <c r="J189" s="15">
        <v>1</v>
      </c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45846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307</v>
      </c>
      <c r="D190" s="106" t="s">
        <v>306</v>
      </c>
      <c r="E190" s="13" t="s">
        <v>37</v>
      </c>
      <c r="F190" s="16"/>
      <c r="G190" s="18" t="s">
        <v>180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45846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308</v>
      </c>
      <c r="D191" s="106" t="s">
        <v>306</v>
      </c>
      <c r="E191" s="13" t="s">
        <v>41</v>
      </c>
      <c r="F191" s="16"/>
      <c r="G191" s="18" t="s">
        <v>180</v>
      </c>
      <c r="H191" s="15"/>
      <c r="I191" s="15"/>
      <c r="J191" s="15">
        <v>1</v>
      </c>
      <c r="K191" s="15">
        <v>1</v>
      </c>
      <c r="L191" s="17"/>
      <c r="M191" s="17"/>
      <c r="N191" s="17"/>
      <c r="O191" s="17"/>
      <c r="P191" s="17"/>
      <c r="Q191" s="17"/>
      <c r="R191" s="17"/>
      <c r="S191" s="15"/>
      <c r="T191" s="25">
        <v>45846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309</v>
      </c>
      <c r="D192" s="106" t="s">
        <v>306</v>
      </c>
      <c r="E192" s="13" t="s">
        <v>78</v>
      </c>
      <c r="F192" s="16"/>
      <c r="G192" s="18" t="s">
        <v>180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45846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310</v>
      </c>
      <c r="D193" s="106" t="s">
        <v>306</v>
      </c>
      <c r="E193" s="13" t="s">
        <v>36</v>
      </c>
      <c r="F193" s="16"/>
      <c r="G193" s="18" t="s">
        <v>180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45846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311</v>
      </c>
      <c r="D194" s="106" t="s">
        <v>306</v>
      </c>
      <c r="E194" s="13" t="s">
        <v>37</v>
      </c>
      <c r="F194" s="16"/>
      <c r="G194" s="18" t="s">
        <v>180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/>
      <c r="R194" s="17"/>
      <c r="S194" s="15"/>
      <c r="T194" s="25">
        <v>45846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312</v>
      </c>
      <c r="D195" s="106" t="s">
        <v>306</v>
      </c>
      <c r="E195" s="15" t="s">
        <v>36</v>
      </c>
      <c r="F195" s="16"/>
      <c r="G195" s="18" t="s">
        <v>180</v>
      </c>
      <c r="H195" s="15"/>
      <c r="I195" s="15"/>
      <c r="J195" s="15"/>
      <c r="K195" s="15"/>
      <c r="L195" s="17"/>
      <c r="M195" s="17">
        <v>1</v>
      </c>
      <c r="N195" s="17"/>
      <c r="O195" s="17"/>
      <c r="P195" s="17"/>
      <c r="Q195" s="17">
        <v>1</v>
      </c>
      <c r="R195" s="17"/>
      <c r="S195" s="15"/>
      <c r="T195" s="25">
        <v>45846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313</v>
      </c>
      <c r="D196" s="106" t="s">
        <v>306</v>
      </c>
      <c r="E196" s="15" t="s">
        <v>44</v>
      </c>
      <c r="F196" s="16"/>
      <c r="G196" s="18" t="s">
        <v>180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45850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14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4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4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AYG111</v>
      </c>
      <c r="B211" s="24">
        <f>B1</f>
        <v>45820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/>
      <c r="C213" s="85" t="s">
        <v>314</v>
      </c>
      <c r="D213" s="106" t="s">
        <v>183</v>
      </c>
      <c r="E213" s="15" t="s">
        <v>36</v>
      </c>
      <c r="F213" s="16"/>
      <c r="G213" s="15" t="s">
        <v>180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/>
      <c r="R213" s="17"/>
      <c r="S213" s="15"/>
      <c r="T213" s="25">
        <v>45853</v>
      </c>
      <c r="U213" s="15" t="s">
        <v>147</v>
      </c>
      <c r="V213">
        <v>1</v>
      </c>
      <c r="X213" s="51" t="s">
        <v>106</v>
      </c>
      <c r="Y213" s="52">
        <f>COUNTIF(U213:U237,"K")</f>
        <v>3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315</v>
      </c>
      <c r="D214" s="106" t="s">
        <v>183</v>
      </c>
      <c r="E214" s="15" t="s">
        <v>37</v>
      </c>
      <c r="F214" s="16"/>
      <c r="G214" s="15" t="s">
        <v>180</v>
      </c>
      <c r="H214" s="15"/>
      <c r="I214" s="15"/>
      <c r="J214" s="15"/>
      <c r="K214" s="15"/>
      <c r="L214" s="19"/>
      <c r="M214" s="19">
        <v>1</v>
      </c>
      <c r="N214" s="19"/>
      <c r="O214" s="19"/>
      <c r="P214" s="19"/>
      <c r="Q214" s="19">
        <v>1</v>
      </c>
      <c r="R214" s="19"/>
      <c r="S214" s="15"/>
      <c r="T214" s="25">
        <v>45853</v>
      </c>
      <c r="U214" s="15" t="s">
        <v>147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316</v>
      </c>
      <c r="D215" s="106" t="s">
        <v>183</v>
      </c>
      <c r="E215" s="18" t="s">
        <v>40</v>
      </c>
      <c r="F215" s="16"/>
      <c r="G215" s="18" t="s">
        <v>180</v>
      </c>
      <c r="H215" s="15"/>
      <c r="I215" s="15"/>
      <c r="J215" s="18"/>
      <c r="K215" s="15"/>
      <c r="L215" s="19"/>
      <c r="M215" s="19"/>
      <c r="N215" s="19"/>
      <c r="O215" s="19">
        <v>1</v>
      </c>
      <c r="P215" s="19">
        <v>1</v>
      </c>
      <c r="Q215" s="19">
        <v>1</v>
      </c>
      <c r="R215" s="19"/>
      <c r="S215" s="15"/>
      <c r="T215" s="25">
        <v>45853</v>
      </c>
      <c r="U215" s="15" t="s">
        <v>148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317</v>
      </c>
      <c r="D216" s="110" t="s">
        <v>179</v>
      </c>
      <c r="E216" s="18" t="s">
        <v>36</v>
      </c>
      <c r="F216" s="16"/>
      <c r="G216" s="18" t="s">
        <v>180</v>
      </c>
      <c r="H216" s="15"/>
      <c r="I216" s="15"/>
      <c r="J216" s="18"/>
      <c r="K216" s="15"/>
      <c r="L216" s="19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45846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 t="s">
        <v>318</v>
      </c>
      <c r="D217" s="110" t="s">
        <v>216</v>
      </c>
      <c r="E217" s="18" t="s">
        <v>59</v>
      </c>
      <c r="F217" s="16"/>
      <c r="G217" s="18" t="s">
        <v>180</v>
      </c>
      <c r="H217" s="15" t="s">
        <v>221</v>
      </c>
      <c r="I217" s="15"/>
      <c r="J217" s="18">
        <v>2</v>
      </c>
      <c r="K217" s="15"/>
      <c r="L217" s="19"/>
      <c r="M217" s="19"/>
      <c r="N217" s="19"/>
      <c r="O217" s="19"/>
      <c r="P217" s="19"/>
      <c r="Q217" s="19"/>
      <c r="R217" s="19"/>
      <c r="S217" s="15"/>
      <c r="T217" s="26">
        <v>45850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6" t="s">
        <v>319</v>
      </c>
      <c r="D218" s="110" t="s">
        <v>216</v>
      </c>
      <c r="E218" s="18" t="s">
        <v>59</v>
      </c>
      <c r="F218" s="16"/>
      <c r="G218" s="18" t="s">
        <v>180</v>
      </c>
      <c r="H218" s="15" t="s">
        <v>221</v>
      </c>
      <c r="I218" s="15"/>
      <c r="J218" s="18">
        <v>2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6">
        <v>45859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6" t="s">
        <v>320</v>
      </c>
      <c r="D219" s="110" t="s">
        <v>216</v>
      </c>
      <c r="E219" s="18" t="s">
        <v>59</v>
      </c>
      <c r="F219" s="16"/>
      <c r="G219" s="18" t="s">
        <v>180</v>
      </c>
      <c r="H219" s="15" t="s">
        <v>221</v>
      </c>
      <c r="I219" s="15"/>
      <c r="J219" s="18">
        <v>2</v>
      </c>
      <c r="K219" s="15"/>
      <c r="L219" s="19"/>
      <c r="M219" s="19"/>
      <c r="N219" s="19"/>
      <c r="O219" s="19"/>
      <c r="P219" s="19"/>
      <c r="Q219" s="19"/>
      <c r="R219" s="19"/>
      <c r="S219" s="15"/>
      <c r="T219" s="26">
        <v>45859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/>
      <c r="D220" s="106"/>
      <c r="E220" s="106"/>
      <c r="F220" s="16"/>
      <c r="G220" s="12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3"/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/>
      <c r="D221" s="106"/>
      <c r="E221" s="106"/>
      <c r="F221" s="16"/>
      <c r="G221" s="12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3"/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/>
      <c r="D222" s="106"/>
      <c r="E222" s="106"/>
      <c r="F222" s="106"/>
      <c r="G222" s="12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3"/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/>
      <c r="D223" s="106"/>
      <c r="E223" s="106"/>
      <c r="F223" s="16"/>
      <c r="G223" s="12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/>
      <c r="D224" s="106"/>
      <c r="E224" s="106"/>
      <c r="F224" s="16"/>
      <c r="G224" s="12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7</v>
      </c>
      <c r="D238" s="112"/>
      <c r="E238" s="29"/>
      <c r="F238" s="29" t="s">
        <v>34</v>
      </c>
      <c r="G238" s="29">
        <f>COUNTIF(G213:G237,"S")</f>
        <v>7</v>
      </c>
      <c r="H238" s="29">
        <f>COUNTIF(H213:H237,"E")</f>
        <v>3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2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3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AYG111</v>
      </c>
      <c r="B241" s="24">
        <f>B1</f>
        <v>45820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/>
      <c r="C243" s="85" t="s">
        <v>321</v>
      </c>
      <c r="D243" s="106" t="s">
        <v>283</v>
      </c>
      <c r="E243" s="106" t="s">
        <v>37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45844</v>
      </c>
      <c r="U243" s="13" t="s">
        <v>146</v>
      </c>
      <c r="V243">
        <v>1</v>
      </c>
      <c r="X243" t="s">
        <v>106</v>
      </c>
      <c r="Y243">
        <f>COUNTIF(U243:U267,"K")</f>
        <v>12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322</v>
      </c>
      <c r="D244" s="106" t="s">
        <v>187</v>
      </c>
      <c r="E244" s="106" t="s">
        <v>38</v>
      </c>
      <c r="F244" s="16"/>
      <c r="G244" s="12" t="s">
        <v>180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45853</v>
      </c>
      <c r="U244" s="13" t="s">
        <v>146</v>
      </c>
      <c r="V244">
        <v>2</v>
      </c>
      <c r="X244" t="s">
        <v>107</v>
      </c>
      <c r="Y244">
        <f>COUNTIF(U243:U267,"R")</f>
        <v>7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323</v>
      </c>
      <c r="D245" s="106" t="s">
        <v>187</v>
      </c>
      <c r="E245" s="106" t="s">
        <v>38</v>
      </c>
      <c r="F245" s="16"/>
      <c r="G245" s="12" t="s">
        <v>180</v>
      </c>
      <c r="H245" s="13"/>
      <c r="I245" s="15"/>
      <c r="J245" s="13"/>
      <c r="K245" s="15"/>
      <c r="L245" s="13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5">
        <v>45853</v>
      </c>
      <c r="U245" s="13" t="s">
        <v>147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324</v>
      </c>
      <c r="D246" s="106" t="s">
        <v>187</v>
      </c>
      <c r="E246" s="106" t="s">
        <v>37</v>
      </c>
      <c r="F246" s="16"/>
      <c r="G246" s="12" t="s">
        <v>180</v>
      </c>
      <c r="H246" s="15"/>
      <c r="I246" s="15"/>
      <c r="J246" s="13"/>
      <c r="K246" s="15"/>
      <c r="L246" s="13"/>
      <c r="M246" s="17">
        <v>1</v>
      </c>
      <c r="N246" s="17"/>
      <c r="O246" s="17"/>
      <c r="P246" s="17"/>
      <c r="Q246" s="17">
        <v>1</v>
      </c>
      <c r="R246" s="17"/>
      <c r="S246" s="15"/>
      <c r="T246" s="25">
        <v>45853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325</v>
      </c>
      <c r="D247" s="106" t="s">
        <v>187</v>
      </c>
      <c r="E247" s="106" t="s">
        <v>37</v>
      </c>
      <c r="F247" s="16"/>
      <c r="G247" s="12" t="s">
        <v>180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45863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326</v>
      </c>
      <c r="D248" s="106" t="s">
        <v>187</v>
      </c>
      <c r="E248" s="106" t="s">
        <v>37</v>
      </c>
      <c r="F248" s="16"/>
      <c r="G248" s="12" t="s">
        <v>180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45863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327</v>
      </c>
      <c r="D249" s="106" t="s">
        <v>187</v>
      </c>
      <c r="E249" s="106" t="s">
        <v>38</v>
      </c>
      <c r="F249" s="16"/>
      <c r="G249" s="12" t="s">
        <v>180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45853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 t="s">
        <v>328</v>
      </c>
      <c r="D250" s="106" t="s">
        <v>187</v>
      </c>
      <c r="E250" s="106" t="s">
        <v>38</v>
      </c>
      <c r="F250" s="16"/>
      <c r="G250" s="12" t="s">
        <v>180</v>
      </c>
      <c r="H250" s="15"/>
      <c r="I250" s="15"/>
      <c r="J250" s="13">
        <v>1</v>
      </c>
      <c r="K250" s="15">
        <v>1</v>
      </c>
      <c r="L250" s="13"/>
      <c r="M250" s="17"/>
      <c r="N250" s="17"/>
      <c r="O250" s="17"/>
      <c r="P250" s="17"/>
      <c r="Q250" s="17"/>
      <c r="R250" s="17"/>
      <c r="S250" s="15"/>
      <c r="T250" s="25">
        <v>45853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 t="s">
        <v>329</v>
      </c>
      <c r="D251" s="106" t="s">
        <v>187</v>
      </c>
      <c r="E251" s="106" t="s">
        <v>40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>
        <v>1</v>
      </c>
      <c r="Q251" s="17">
        <v>1</v>
      </c>
      <c r="R251" s="17"/>
      <c r="S251" s="15"/>
      <c r="T251" s="25">
        <v>45853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 t="s">
        <v>330</v>
      </c>
      <c r="D252" s="106" t="s">
        <v>179</v>
      </c>
      <c r="E252" s="106" t="s">
        <v>40</v>
      </c>
      <c r="F252" s="106"/>
      <c r="G252" s="12" t="s">
        <v>180</v>
      </c>
      <c r="H252" s="15"/>
      <c r="I252" s="15"/>
      <c r="J252" s="13"/>
      <c r="K252" s="15"/>
      <c r="L252" s="13"/>
      <c r="M252" s="17"/>
      <c r="N252" s="17"/>
      <c r="O252" s="17"/>
      <c r="P252" s="17">
        <v>1</v>
      </c>
      <c r="Q252" s="17"/>
      <c r="R252" s="17"/>
      <c r="S252" s="15"/>
      <c r="T252" s="25">
        <v>45847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 t="s">
        <v>331</v>
      </c>
      <c r="D253" s="106" t="s">
        <v>179</v>
      </c>
      <c r="E253" s="106" t="s">
        <v>40</v>
      </c>
      <c r="F253" s="16"/>
      <c r="G253" s="12" t="s">
        <v>180</v>
      </c>
      <c r="H253" s="15"/>
      <c r="I253" s="15"/>
      <c r="J253" s="15"/>
      <c r="K253" s="15"/>
      <c r="L253" s="17"/>
      <c r="M253" s="17"/>
      <c r="N253" s="17"/>
      <c r="O253" s="17">
        <v>1</v>
      </c>
      <c r="P253" s="17">
        <v>1</v>
      </c>
      <c r="Q253" s="17">
        <v>1</v>
      </c>
      <c r="R253" s="17">
        <v>1</v>
      </c>
      <c r="S253" s="15"/>
      <c r="T253" s="25">
        <v>45845</v>
      </c>
      <c r="U253" s="13" t="s">
        <v>148</v>
      </c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 t="s">
        <v>332</v>
      </c>
      <c r="D254" s="106" t="s">
        <v>187</v>
      </c>
      <c r="E254" s="106" t="s">
        <v>74</v>
      </c>
      <c r="F254" s="16"/>
      <c r="G254" s="12" t="s">
        <v>180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/>
      <c r="R254" s="17"/>
      <c r="S254" s="15"/>
      <c r="T254" s="25">
        <v>45853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 t="s">
        <v>333</v>
      </c>
      <c r="D255" s="106" t="s">
        <v>187</v>
      </c>
      <c r="E255" s="106" t="s">
        <v>74</v>
      </c>
      <c r="F255" s="16"/>
      <c r="G255" s="12" t="s">
        <v>180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5">
        <v>45853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 t="s">
        <v>334</v>
      </c>
      <c r="D256" s="106" t="s">
        <v>187</v>
      </c>
      <c r="E256" s="106" t="s">
        <v>36</v>
      </c>
      <c r="F256" s="16"/>
      <c r="G256" s="12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45853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 t="s">
        <v>335</v>
      </c>
      <c r="D257" s="106" t="s">
        <v>283</v>
      </c>
      <c r="E257" s="106" t="s">
        <v>42</v>
      </c>
      <c r="F257" s="16"/>
      <c r="G257" s="12" t="s">
        <v>180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>
        <v>45856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 t="s">
        <v>336</v>
      </c>
      <c r="D258" s="106" t="s">
        <v>266</v>
      </c>
      <c r="E258" s="106" t="s">
        <v>38</v>
      </c>
      <c r="F258" s="16"/>
      <c r="G258" s="12" t="s">
        <v>180</v>
      </c>
      <c r="H258" s="15"/>
      <c r="I258" s="15"/>
      <c r="J258" s="18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5">
        <v>45861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 t="s">
        <v>337</v>
      </c>
      <c r="D259" s="106" t="s">
        <v>242</v>
      </c>
      <c r="E259" s="106" t="s">
        <v>37</v>
      </c>
      <c r="F259" s="16"/>
      <c r="G259" s="12" t="s">
        <v>180</v>
      </c>
      <c r="H259" s="15"/>
      <c r="I259" s="15"/>
      <c r="J259" s="18"/>
      <c r="K259" s="15">
        <v>1</v>
      </c>
      <c r="L259" s="19"/>
      <c r="M259" s="19">
        <v>1</v>
      </c>
      <c r="N259" s="19"/>
      <c r="O259" s="19"/>
      <c r="P259" s="19"/>
      <c r="Q259" s="19"/>
      <c r="R259" s="19"/>
      <c r="S259" s="15"/>
      <c r="T259" s="25">
        <v>45867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 t="s">
        <v>338</v>
      </c>
      <c r="D260" s="110" t="s">
        <v>242</v>
      </c>
      <c r="E260" s="18" t="s">
        <v>36</v>
      </c>
      <c r="F260" s="16"/>
      <c r="G260" s="18" t="s">
        <v>180</v>
      </c>
      <c r="H260" s="15"/>
      <c r="I260" s="15"/>
      <c r="J260" s="18"/>
      <c r="K260" s="15"/>
      <c r="L260" s="19"/>
      <c r="M260" s="19">
        <v>1</v>
      </c>
      <c r="N260" s="19"/>
      <c r="O260" s="19"/>
      <c r="P260" s="19"/>
      <c r="Q260" s="19">
        <v>1</v>
      </c>
      <c r="R260" s="19"/>
      <c r="S260" s="15"/>
      <c r="T260" s="26">
        <v>45853</v>
      </c>
      <c r="U260" s="15" t="s">
        <v>147</v>
      </c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 t="s">
        <v>339</v>
      </c>
      <c r="D261" s="110" t="s">
        <v>242</v>
      </c>
      <c r="E261" s="18" t="s">
        <v>36</v>
      </c>
      <c r="F261" s="16"/>
      <c r="G261" s="18" t="s">
        <v>180</v>
      </c>
      <c r="H261" s="15"/>
      <c r="I261" s="15"/>
      <c r="J261" s="18">
        <v>1</v>
      </c>
      <c r="K261" s="15">
        <v>1</v>
      </c>
      <c r="L261" s="19"/>
      <c r="M261" s="19"/>
      <c r="N261" s="19"/>
      <c r="O261" s="19"/>
      <c r="P261" s="19"/>
      <c r="Q261" s="19"/>
      <c r="R261" s="19"/>
      <c r="S261" s="15"/>
      <c r="T261" s="26">
        <v>45853</v>
      </c>
      <c r="U261" s="15" t="s">
        <v>146</v>
      </c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 t="s">
        <v>340</v>
      </c>
      <c r="D262" s="110" t="s">
        <v>242</v>
      </c>
      <c r="E262" s="18" t="s">
        <v>37</v>
      </c>
      <c r="F262" s="16"/>
      <c r="G262" s="18" t="s">
        <v>180</v>
      </c>
      <c r="H262" s="15"/>
      <c r="I262" s="15"/>
      <c r="J262" s="18">
        <v>1</v>
      </c>
      <c r="K262" s="15">
        <v>1</v>
      </c>
      <c r="L262" s="19"/>
      <c r="M262" s="19"/>
      <c r="N262" s="19"/>
      <c r="O262" s="19"/>
      <c r="P262" s="19"/>
      <c r="Q262" s="19"/>
      <c r="R262" s="19"/>
      <c r="S262" s="15"/>
      <c r="T262" s="30">
        <v>45856</v>
      </c>
      <c r="U262" s="15" t="s">
        <v>146</v>
      </c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 t="s">
        <v>341</v>
      </c>
      <c r="D263" s="110" t="s">
        <v>242</v>
      </c>
      <c r="E263" s="18" t="s">
        <v>74</v>
      </c>
      <c r="F263" s="16"/>
      <c r="G263" s="18" t="s">
        <v>180</v>
      </c>
      <c r="H263" s="15"/>
      <c r="I263" s="15"/>
      <c r="J263" s="18">
        <v>1</v>
      </c>
      <c r="K263" s="15">
        <v>1</v>
      </c>
      <c r="L263" s="19"/>
      <c r="M263" s="19"/>
      <c r="N263" s="19"/>
      <c r="O263" s="19"/>
      <c r="P263" s="19"/>
      <c r="Q263" s="19"/>
      <c r="R263" s="19"/>
      <c r="S263" s="15"/>
      <c r="T263" s="30">
        <v>45867</v>
      </c>
      <c r="U263" s="15" t="s">
        <v>146</v>
      </c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 t="s">
        <v>342</v>
      </c>
      <c r="D264" s="106" t="s">
        <v>283</v>
      </c>
      <c r="E264" s="15" t="s">
        <v>40</v>
      </c>
      <c r="F264" s="16"/>
      <c r="G264" s="15" t="s">
        <v>180</v>
      </c>
      <c r="H264" s="15"/>
      <c r="I264" s="15"/>
      <c r="J264" s="15">
        <v>1</v>
      </c>
      <c r="K264" s="15">
        <v>1</v>
      </c>
      <c r="L264" s="17"/>
      <c r="M264" s="17"/>
      <c r="N264" s="17"/>
      <c r="O264" s="17"/>
      <c r="P264" s="17"/>
      <c r="Q264" s="17"/>
      <c r="R264" s="17"/>
      <c r="S264" s="15"/>
      <c r="T264" s="26">
        <v>45858</v>
      </c>
      <c r="U264" s="15" t="s">
        <v>146</v>
      </c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0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22</v>
      </c>
      <c r="D268" s="112"/>
      <c r="E268" s="29"/>
      <c r="F268" s="29" t="s">
        <v>34</v>
      </c>
      <c r="G268" s="29">
        <f>COUNTIF(G243:G267,"S")</f>
        <v>22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12</v>
      </c>
      <c r="K268" s="29">
        <f t="shared" ref="K268" si="54">SUM(K243:K267)</f>
        <v>13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3</v>
      </c>
      <c r="O268" s="29">
        <f t="shared" ref="O268" si="58">SUM(O243:O267)</f>
        <v>2</v>
      </c>
      <c r="P268" s="29">
        <f t="shared" ref="P268" si="59">SUM(P243:P267)</f>
        <v>3</v>
      </c>
      <c r="Q268" s="29">
        <f t="shared" ref="Q268" si="60">SUM(Q243:Q267)</f>
        <v>6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46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AYG111</v>
      </c>
      <c r="B271" s="24">
        <f>B1</f>
        <v>45820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AYG111</v>
      </c>
      <c r="B301" s="24">
        <f>B1</f>
        <v>45820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AYG111</v>
      </c>
      <c r="B331" s="24">
        <f>B151</f>
        <v>45820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J1513"/>
  <sheetViews>
    <sheetView zoomScaleNormal="100" workbookViewId="0">
      <selection sqref="A1:D27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5" width="16.625" customWidth="1"/>
    <col min="36" max="36" width="11" customWidth="1"/>
    <col min="37" max="37" width="10.5" style="121" customWidth="1"/>
    <col min="38" max="38" width="10.25" style="121" customWidth="1"/>
    <col min="39" max="39" width="10.875" style="121" customWidth="1"/>
    <col min="40" max="53" width="16.625" customWidth="1"/>
    <col min="54" max="54" width="20.5" customWidth="1"/>
    <col min="59" max="59" width="12.375" customWidth="1"/>
    <col min="60" max="60" width="11.25" customWidth="1"/>
    <col min="61" max="61" width="10.5" customWidth="1"/>
    <col min="62" max="62" width="10.25" customWidth="1"/>
  </cols>
  <sheetData>
    <row r="1" spans="1:58" x14ac:dyDescent="0.4">
      <c r="A1" s="120" t="s">
        <v>186</v>
      </c>
      <c r="B1" s="121"/>
      <c r="C1" s="121"/>
      <c r="D1" s="121"/>
      <c r="S1" t="s">
        <v>143</v>
      </c>
      <c r="T1" t="s">
        <v>144</v>
      </c>
      <c r="AD1" t="s">
        <v>143</v>
      </c>
      <c r="AE1" t="s">
        <v>144</v>
      </c>
      <c r="AJ1" s="120"/>
      <c r="BB1" t="s">
        <v>143</v>
      </c>
      <c r="BC1" t="s">
        <v>144</v>
      </c>
    </row>
    <row r="2" spans="1:58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S2" s="25">
        <v>45841</v>
      </c>
      <c r="T2" s="13" t="s">
        <v>147</v>
      </c>
      <c r="AD2" s="25">
        <v>45669</v>
      </c>
      <c r="AE2" s="13" t="s">
        <v>147</v>
      </c>
      <c r="AJ2" s="116"/>
      <c r="AK2" s="123"/>
      <c r="AL2" s="123"/>
      <c r="AM2" s="123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25">
        <v>45258</v>
      </c>
      <c r="BC2" s="13" t="s">
        <v>162</v>
      </c>
      <c r="BF2" s="114"/>
    </row>
    <row r="3" spans="1:58" ht="20.100000000000001" customHeight="1" x14ac:dyDescent="0.4">
      <c r="A3" s="117">
        <v>45841</v>
      </c>
      <c r="B3" s="123"/>
      <c r="C3" s="123">
        <v>1</v>
      </c>
      <c r="D3" s="123"/>
      <c r="R3" s="115" t="s">
        <v>191</v>
      </c>
      <c r="S3" s="13">
        <f>SUBTOTAL(3,S2:S2)</f>
        <v>1</v>
      </c>
      <c r="T3" s="13">
        <f>SUBTOTAL(3,T2:T2)</f>
        <v>1</v>
      </c>
      <c r="AD3" s="25"/>
      <c r="AE3" s="13"/>
      <c r="AJ3" s="116"/>
      <c r="AK3" s="123"/>
      <c r="AL3" s="123"/>
      <c r="AM3" s="123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25"/>
      <c r="BC3" s="13"/>
      <c r="BF3" s="114"/>
    </row>
    <row r="4" spans="1:58" ht="20.100000000000001" customHeight="1" x14ac:dyDescent="0.4">
      <c r="A4" s="117">
        <v>45844</v>
      </c>
      <c r="B4" s="123">
        <v>2</v>
      </c>
      <c r="C4" s="123">
        <v>7</v>
      </c>
      <c r="D4" s="123">
        <v>5</v>
      </c>
      <c r="Q4" s="115"/>
      <c r="R4" s="115"/>
      <c r="S4" s="25">
        <v>45844</v>
      </c>
      <c r="T4" s="13" t="s">
        <v>147</v>
      </c>
      <c r="AD4" s="25"/>
      <c r="AE4" s="13"/>
      <c r="AJ4" s="116"/>
      <c r="AK4" s="123"/>
      <c r="AL4" s="123"/>
      <c r="AM4" s="123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25"/>
      <c r="BC4" s="13"/>
      <c r="BF4" s="114"/>
    </row>
    <row r="5" spans="1:58" ht="20.100000000000001" customHeight="1" x14ac:dyDescent="0.4">
      <c r="A5" s="117">
        <v>45845</v>
      </c>
      <c r="B5" s="123">
        <v>3</v>
      </c>
      <c r="C5" s="123">
        <v>2</v>
      </c>
      <c r="D5" s="123">
        <v>2</v>
      </c>
      <c r="P5" s="115"/>
      <c r="Q5" s="115"/>
      <c r="R5" s="115"/>
      <c r="S5" s="25">
        <v>45844</v>
      </c>
      <c r="T5" s="13" t="s">
        <v>147</v>
      </c>
      <c r="AD5" s="25"/>
      <c r="AE5" s="13"/>
      <c r="AJ5" s="116"/>
      <c r="AK5" s="123"/>
      <c r="AL5" s="123"/>
      <c r="AM5" s="123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25"/>
      <c r="BC5" s="13"/>
      <c r="BF5" s="114"/>
    </row>
    <row r="6" spans="1:58" ht="20.100000000000001" customHeight="1" x14ac:dyDescent="0.4">
      <c r="A6" s="117">
        <v>45846</v>
      </c>
      <c r="B6" s="123">
        <v>5</v>
      </c>
      <c r="C6" s="123">
        <v>13</v>
      </c>
      <c r="D6" s="123"/>
      <c r="P6" s="115"/>
      <c r="Q6" s="115"/>
      <c r="R6" s="115"/>
      <c r="S6" s="25">
        <v>45844</v>
      </c>
      <c r="T6" s="13" t="s">
        <v>148</v>
      </c>
      <c r="AD6" s="25"/>
      <c r="AE6" s="13"/>
      <c r="AJ6" s="116"/>
      <c r="AK6" s="123"/>
      <c r="AL6" s="123"/>
      <c r="AM6" s="123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25"/>
      <c r="BC6" s="13"/>
      <c r="BF6" s="114"/>
    </row>
    <row r="7" spans="1:58" ht="20.100000000000001" customHeight="1" x14ac:dyDescent="0.4">
      <c r="A7" s="117">
        <v>45847</v>
      </c>
      <c r="B7" s="123"/>
      <c r="C7" s="123">
        <v>1</v>
      </c>
      <c r="D7" s="123">
        <v>2</v>
      </c>
      <c r="N7" s="115"/>
      <c r="O7" s="115"/>
      <c r="P7" s="115"/>
      <c r="Q7" s="115"/>
      <c r="R7" s="115"/>
      <c r="S7" s="25">
        <v>45844</v>
      </c>
      <c r="T7" s="13" t="s">
        <v>147</v>
      </c>
      <c r="AD7" s="25"/>
      <c r="AE7" s="13"/>
      <c r="AJ7" s="116"/>
      <c r="AK7" s="123"/>
      <c r="AL7" s="123"/>
      <c r="AM7" s="123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25"/>
      <c r="BC7" s="13"/>
      <c r="BF7" s="114"/>
    </row>
    <row r="8" spans="1:58" ht="20.100000000000001" customHeight="1" x14ac:dyDescent="0.4">
      <c r="A8" s="117">
        <v>45848</v>
      </c>
      <c r="B8" s="123">
        <v>1</v>
      </c>
      <c r="C8" s="123"/>
      <c r="D8" s="123"/>
      <c r="N8" s="115"/>
      <c r="O8" s="115"/>
      <c r="P8" s="115"/>
      <c r="Q8" s="115"/>
      <c r="R8" s="115"/>
      <c r="S8" s="25">
        <v>45844</v>
      </c>
      <c r="T8" s="13" t="s">
        <v>147</v>
      </c>
      <c r="AD8" s="25"/>
      <c r="AE8" s="13"/>
      <c r="AJ8" s="116"/>
      <c r="AK8" s="123"/>
      <c r="AL8" s="123"/>
      <c r="AM8" s="123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25"/>
      <c r="BC8" s="13"/>
      <c r="BF8" s="114"/>
    </row>
    <row r="9" spans="1:58" ht="20.100000000000001" customHeight="1" x14ac:dyDescent="0.4">
      <c r="A9" s="117">
        <v>45850</v>
      </c>
      <c r="B9" s="123">
        <v>2</v>
      </c>
      <c r="C9" s="123"/>
      <c r="D9" s="123"/>
      <c r="N9" s="115"/>
      <c r="O9" s="115"/>
      <c r="P9" s="115"/>
      <c r="Q9" s="115"/>
      <c r="R9" s="115"/>
      <c r="S9" s="25">
        <v>45844</v>
      </c>
      <c r="T9" s="13" t="s">
        <v>148</v>
      </c>
      <c r="AD9" s="25"/>
      <c r="AE9" s="13"/>
      <c r="AJ9" s="116"/>
      <c r="AK9" s="123"/>
      <c r="AL9" s="123"/>
      <c r="AM9" s="123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25"/>
      <c r="BC9" s="13"/>
      <c r="BF9" s="114"/>
    </row>
    <row r="10" spans="1:58" ht="20.100000000000001" customHeight="1" x14ac:dyDescent="0.4">
      <c r="A10" s="117">
        <v>45851</v>
      </c>
      <c r="B10" s="123">
        <v>1</v>
      </c>
      <c r="C10" s="123">
        <v>3</v>
      </c>
      <c r="D10" s="123">
        <v>5</v>
      </c>
      <c r="N10" s="115"/>
      <c r="O10" s="115"/>
      <c r="P10" s="115"/>
      <c r="Q10" s="115"/>
      <c r="R10" s="115"/>
      <c r="S10" s="25">
        <v>45844</v>
      </c>
      <c r="T10" s="13" t="s">
        <v>148</v>
      </c>
      <c r="AD10" s="25"/>
      <c r="AE10" s="13"/>
      <c r="AJ10" s="116"/>
      <c r="AK10" s="123"/>
      <c r="AL10" s="123"/>
      <c r="AM10" s="123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25"/>
      <c r="BC10" s="13"/>
      <c r="BF10" s="114"/>
    </row>
    <row r="11" spans="1:58" ht="20.100000000000001" customHeight="1" x14ac:dyDescent="0.4">
      <c r="A11" s="117">
        <v>45852</v>
      </c>
      <c r="B11" s="123">
        <v>6</v>
      </c>
      <c r="C11" s="123">
        <v>9</v>
      </c>
      <c r="D11" s="123">
        <v>3</v>
      </c>
      <c r="N11" s="115"/>
      <c r="O11" s="115"/>
      <c r="P11" s="115"/>
      <c r="Q11" s="115"/>
      <c r="R11" s="115"/>
      <c r="S11" s="25">
        <v>45844</v>
      </c>
      <c r="T11" s="13" t="s">
        <v>148</v>
      </c>
      <c r="AD11" s="25"/>
      <c r="AE11" s="13"/>
      <c r="AJ11" s="116"/>
      <c r="AK11" s="123"/>
      <c r="AL11" s="123"/>
      <c r="AM11" s="123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25"/>
      <c r="BC11" s="13"/>
      <c r="BF11" s="114"/>
    </row>
    <row r="12" spans="1:58" ht="20.100000000000001" customHeight="1" x14ac:dyDescent="0.4">
      <c r="A12" s="117">
        <v>45853</v>
      </c>
      <c r="B12" s="123">
        <v>5</v>
      </c>
      <c r="C12" s="123">
        <v>8</v>
      </c>
      <c r="D12" s="123">
        <v>2</v>
      </c>
      <c r="N12" s="115"/>
      <c r="O12" s="115"/>
      <c r="P12" s="115"/>
      <c r="Q12" s="115"/>
      <c r="R12" s="115"/>
      <c r="S12" s="25">
        <v>45844</v>
      </c>
      <c r="T12" s="13" t="s">
        <v>147</v>
      </c>
      <c r="AD12" s="25"/>
      <c r="AE12" s="13"/>
      <c r="AJ12" s="116"/>
      <c r="AK12" s="123"/>
      <c r="AL12" s="123"/>
      <c r="AM12" s="123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25"/>
      <c r="BC12" s="13"/>
      <c r="BF12" s="114"/>
    </row>
    <row r="13" spans="1:58" ht="20.100000000000001" customHeight="1" x14ac:dyDescent="0.4">
      <c r="A13" s="117">
        <v>45854</v>
      </c>
      <c r="B13" s="123"/>
      <c r="C13" s="123">
        <v>2</v>
      </c>
      <c r="D13" s="123"/>
      <c r="K13" s="115"/>
      <c r="L13" s="115"/>
      <c r="M13" s="115"/>
      <c r="N13" s="115"/>
      <c r="O13" s="115"/>
      <c r="P13" s="115"/>
      <c r="Q13" s="115"/>
      <c r="R13" s="115"/>
      <c r="S13" s="25">
        <v>45844</v>
      </c>
      <c r="T13" s="13" t="s">
        <v>147</v>
      </c>
      <c r="AD13" s="25"/>
      <c r="AE13" s="13"/>
      <c r="AJ13" s="116"/>
      <c r="AK13" s="123"/>
      <c r="AL13" s="123"/>
      <c r="AM13" s="123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25"/>
      <c r="BC13" s="13"/>
      <c r="BF13" s="114"/>
    </row>
    <row r="14" spans="1:58" ht="20.100000000000001" customHeight="1" x14ac:dyDescent="0.4">
      <c r="A14" s="117">
        <v>45855</v>
      </c>
      <c r="B14" s="123">
        <v>2</v>
      </c>
      <c r="C14" s="123"/>
      <c r="D14" s="123"/>
      <c r="K14" s="115"/>
      <c r="L14" s="115"/>
      <c r="M14" s="115"/>
      <c r="N14" s="115"/>
      <c r="O14" s="115"/>
      <c r="P14" s="115"/>
      <c r="Q14" s="115"/>
      <c r="R14" s="115"/>
      <c r="S14" s="25">
        <v>45844</v>
      </c>
      <c r="T14" s="13" t="s">
        <v>147</v>
      </c>
      <c r="AD14" s="25"/>
      <c r="AE14" s="13"/>
      <c r="AJ14" s="116"/>
      <c r="AK14" s="123"/>
      <c r="AL14" s="123"/>
      <c r="AM14" s="123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25"/>
      <c r="BC14" s="13"/>
      <c r="BF14" s="114"/>
    </row>
    <row r="15" spans="1:58" ht="20.100000000000001" customHeight="1" x14ac:dyDescent="0.4">
      <c r="A15" s="117">
        <v>45856</v>
      </c>
      <c r="B15" s="123">
        <v>1</v>
      </c>
      <c r="C15" s="123">
        <v>3</v>
      </c>
      <c r="D15" s="123">
        <v>1</v>
      </c>
      <c r="K15" s="115"/>
      <c r="L15" s="115"/>
      <c r="M15" s="115"/>
      <c r="N15" s="115"/>
      <c r="O15" s="115"/>
      <c r="P15" s="115"/>
      <c r="Q15" s="115"/>
      <c r="R15" s="115"/>
      <c r="S15" s="25">
        <v>45844</v>
      </c>
      <c r="T15" s="13" t="s">
        <v>146</v>
      </c>
      <c r="AD15" s="25"/>
      <c r="AE15" s="13"/>
      <c r="AJ15" s="116"/>
      <c r="AK15" s="123"/>
      <c r="AL15" s="123"/>
      <c r="AM15" s="123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25"/>
      <c r="BC15" s="13"/>
      <c r="BF15" s="114"/>
    </row>
    <row r="16" spans="1:58" ht="20.100000000000001" customHeight="1" x14ac:dyDescent="0.4">
      <c r="A16" s="117">
        <v>45858</v>
      </c>
      <c r="B16" s="123">
        <v>2</v>
      </c>
      <c r="C16" s="123">
        <v>3</v>
      </c>
      <c r="D16" s="123">
        <v>1</v>
      </c>
      <c r="K16" s="115"/>
      <c r="L16" s="115"/>
      <c r="M16" s="115"/>
      <c r="N16" s="115"/>
      <c r="O16" s="115"/>
      <c r="P16" s="115"/>
      <c r="Q16" s="115"/>
      <c r="R16" s="115"/>
      <c r="S16" s="25">
        <v>45844</v>
      </c>
      <c r="T16" s="13" t="s">
        <v>148</v>
      </c>
      <c r="AD16" s="25"/>
      <c r="AE16" s="13"/>
      <c r="AJ16" s="116"/>
      <c r="AK16" s="123"/>
      <c r="AL16" s="123"/>
      <c r="AM16" s="123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25"/>
      <c r="BC16" s="13"/>
      <c r="BF16" s="114"/>
    </row>
    <row r="17" spans="1:58" ht="20.100000000000001" customHeight="1" x14ac:dyDescent="0.4">
      <c r="A17" s="117">
        <v>45859</v>
      </c>
      <c r="B17" s="123">
        <v>3</v>
      </c>
      <c r="C17" s="123">
        <v>2</v>
      </c>
      <c r="D17" s="123"/>
      <c r="F17" s="117"/>
      <c r="J17" s="115"/>
      <c r="K17" s="115"/>
      <c r="L17" s="115"/>
      <c r="M17" s="115"/>
      <c r="N17" s="115"/>
      <c r="O17" s="115"/>
      <c r="P17" s="115"/>
      <c r="Q17" s="115"/>
      <c r="R17" s="115"/>
      <c r="S17" s="25">
        <v>45844</v>
      </c>
      <c r="T17" s="15" t="s">
        <v>146</v>
      </c>
      <c r="AD17" s="25"/>
      <c r="AE17" s="13"/>
      <c r="AJ17" s="116"/>
      <c r="AK17" s="123"/>
      <c r="AL17" s="123"/>
      <c r="AM17" s="123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25"/>
      <c r="BC17" s="13"/>
      <c r="BF17" s="114"/>
    </row>
    <row r="18" spans="1:58" ht="20.100000000000001" customHeight="1" x14ac:dyDescent="0.4">
      <c r="A18" s="117">
        <v>45861</v>
      </c>
      <c r="B18" s="123">
        <v>5</v>
      </c>
      <c r="C18" s="123">
        <v>2</v>
      </c>
      <c r="D18" s="123"/>
      <c r="F18" s="117"/>
      <c r="J18" s="115"/>
      <c r="K18" s="115"/>
      <c r="L18" s="115"/>
      <c r="M18" s="115"/>
      <c r="N18" s="115"/>
      <c r="O18" s="115"/>
      <c r="P18" s="115"/>
      <c r="Q18" s="115"/>
      <c r="R18" s="115" t="s">
        <v>192</v>
      </c>
      <c r="S18" s="13">
        <f>SUBTOTAL(3,S4:S17)</f>
        <v>14</v>
      </c>
      <c r="T18" s="13">
        <f>SUBTOTAL(3,T4:T17)</f>
        <v>14</v>
      </c>
      <c r="AD18" s="25"/>
      <c r="AE18" s="13"/>
      <c r="AJ18" s="116"/>
      <c r="AK18" s="123"/>
      <c r="AL18" s="123"/>
      <c r="AM18" s="123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25"/>
      <c r="BC18" s="13"/>
      <c r="BF18" s="114"/>
    </row>
    <row r="19" spans="1:58" ht="20.100000000000001" customHeight="1" x14ac:dyDescent="0.4">
      <c r="A19" s="117">
        <v>45863</v>
      </c>
      <c r="B19" s="123">
        <v>2</v>
      </c>
      <c r="C19" s="123"/>
      <c r="D19" s="123"/>
      <c r="F19" s="117"/>
      <c r="J19" s="115"/>
      <c r="K19" s="115"/>
      <c r="L19" s="115"/>
      <c r="M19" s="115"/>
      <c r="N19" s="115"/>
      <c r="O19" s="115"/>
      <c r="P19" s="115"/>
      <c r="Q19" s="115"/>
      <c r="R19" s="115"/>
      <c r="S19" s="25">
        <v>45845</v>
      </c>
      <c r="T19" s="13" t="s">
        <v>147</v>
      </c>
      <c r="AD19" s="25"/>
      <c r="AE19" s="13"/>
      <c r="AJ19" s="116"/>
      <c r="AK19" s="123"/>
      <c r="AL19" s="123"/>
      <c r="AM19" s="123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25"/>
      <c r="BC19" s="13"/>
      <c r="BF19" s="114"/>
    </row>
    <row r="20" spans="1:58" ht="20.100000000000001" customHeight="1" x14ac:dyDescent="0.4">
      <c r="A20" s="117">
        <v>45864</v>
      </c>
      <c r="B20" s="123"/>
      <c r="C20" s="123"/>
      <c r="D20" s="123">
        <v>1</v>
      </c>
      <c r="F20" s="117"/>
      <c r="J20" s="115"/>
      <c r="K20" s="115"/>
      <c r="L20" s="115"/>
      <c r="M20" s="115"/>
      <c r="N20" s="115"/>
      <c r="O20" s="115"/>
      <c r="P20" s="115"/>
      <c r="Q20" s="115"/>
      <c r="R20" s="115"/>
      <c r="S20" s="25">
        <v>45845</v>
      </c>
      <c r="T20" s="13" t="s">
        <v>148</v>
      </c>
      <c r="AD20" s="25"/>
      <c r="AE20" s="13"/>
      <c r="AJ20" s="116"/>
      <c r="AK20" s="123"/>
      <c r="AL20" s="123"/>
      <c r="AM20" s="123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25"/>
      <c r="BC20" s="13"/>
      <c r="BF20" s="114"/>
    </row>
    <row r="21" spans="1:58" ht="20.100000000000001" customHeight="1" x14ac:dyDescent="0.4">
      <c r="A21" s="117">
        <v>45865</v>
      </c>
      <c r="B21" s="123">
        <v>1</v>
      </c>
      <c r="C21" s="123">
        <v>1</v>
      </c>
      <c r="D21" s="123"/>
      <c r="F21" s="117"/>
      <c r="J21" s="115"/>
      <c r="K21" s="115"/>
      <c r="L21" s="115"/>
      <c r="M21" s="115"/>
      <c r="N21" s="115"/>
      <c r="O21" s="115"/>
      <c r="P21" s="115"/>
      <c r="Q21" s="115"/>
      <c r="R21" s="115"/>
      <c r="S21" s="25">
        <v>45845</v>
      </c>
      <c r="T21" s="13" t="s">
        <v>142</v>
      </c>
      <c r="AD21" s="25"/>
      <c r="AE21" s="13"/>
      <c r="AJ21" s="116"/>
      <c r="AK21" s="123"/>
      <c r="AL21" s="123"/>
      <c r="AM21" s="123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25"/>
      <c r="BC21" s="13"/>
      <c r="BF21" s="114"/>
    </row>
    <row r="22" spans="1:58" ht="20.100000000000001" customHeight="1" x14ac:dyDescent="0.4">
      <c r="A22" s="117">
        <v>45866</v>
      </c>
      <c r="B22" s="123">
        <v>1</v>
      </c>
      <c r="C22" s="123"/>
      <c r="D22" s="123"/>
      <c r="F22" s="117"/>
      <c r="S22" s="25">
        <v>45845</v>
      </c>
      <c r="T22" s="13" t="s">
        <v>146</v>
      </c>
      <c r="AD22" s="25"/>
      <c r="AE22" s="13"/>
      <c r="AJ22" s="116"/>
      <c r="AK22" s="123"/>
      <c r="AL22" s="123"/>
      <c r="AM22" s="123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25"/>
      <c r="BC22" s="13"/>
      <c r="BF22" s="114"/>
    </row>
    <row r="23" spans="1:58" ht="20.100000000000001" customHeight="1" x14ac:dyDescent="0.4">
      <c r="A23" s="117">
        <v>45867</v>
      </c>
      <c r="B23" s="123">
        <v>1</v>
      </c>
      <c r="C23" s="123">
        <v>1</v>
      </c>
      <c r="D23" s="123">
        <v>1</v>
      </c>
      <c r="F23" s="117"/>
      <c r="O23" s="115"/>
      <c r="P23" s="115"/>
      <c r="Q23" s="115"/>
      <c r="R23" s="115"/>
      <c r="S23" s="25">
        <v>45845</v>
      </c>
      <c r="T23" s="13" t="s">
        <v>146</v>
      </c>
      <c r="AD23" s="25"/>
      <c r="AE23" s="13"/>
      <c r="AJ23" s="116"/>
      <c r="AK23" s="123"/>
      <c r="AL23" s="123"/>
      <c r="AM23" s="123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25"/>
      <c r="BC23" s="13"/>
      <c r="BF23" s="114"/>
    </row>
    <row r="24" spans="1:58" ht="20.100000000000001" customHeight="1" x14ac:dyDescent="0.4">
      <c r="A24" s="117">
        <v>45898</v>
      </c>
      <c r="B24" s="123">
        <v>1</v>
      </c>
      <c r="C24" s="123"/>
      <c r="D24" s="123">
        <v>1</v>
      </c>
      <c r="F24" s="117"/>
      <c r="O24" s="115"/>
      <c r="P24" s="115"/>
      <c r="Q24" s="115"/>
      <c r="R24" s="115"/>
      <c r="S24" s="25">
        <v>45845</v>
      </c>
      <c r="T24" s="13" t="s">
        <v>147</v>
      </c>
      <c r="AD24" s="25"/>
      <c r="AE24" s="13"/>
      <c r="AJ24" s="116"/>
      <c r="AK24" s="123"/>
      <c r="AL24" s="123"/>
      <c r="AM24" s="123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25"/>
      <c r="BC24" s="13"/>
      <c r="BF24" s="114"/>
    </row>
    <row r="25" spans="1:58" ht="20.100000000000001" customHeight="1" x14ac:dyDescent="0.4">
      <c r="A25" s="117"/>
      <c r="B25" s="123">
        <f>SUM(B3:B24)</f>
        <v>44</v>
      </c>
      <c r="C25" s="123">
        <f>SUM(C3:C23)</f>
        <v>58</v>
      </c>
      <c r="D25" s="123">
        <f>SUM(D3:D24)</f>
        <v>24</v>
      </c>
      <c r="N25" s="115"/>
      <c r="O25" s="115"/>
      <c r="P25" s="115"/>
      <c r="Q25" s="115"/>
      <c r="R25" s="115"/>
      <c r="S25" s="25">
        <v>45845</v>
      </c>
      <c r="T25" s="13" t="s">
        <v>148</v>
      </c>
      <c r="AD25" s="25"/>
      <c r="AE25" s="13"/>
      <c r="AJ25" s="116"/>
      <c r="AK25" s="123"/>
      <c r="AL25" s="123"/>
      <c r="AM25" s="123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25"/>
      <c r="BC25" s="13"/>
      <c r="BF25" s="114"/>
    </row>
    <row r="26" spans="1:58" ht="20.100000000000001" customHeight="1" x14ac:dyDescent="0.4">
      <c r="A26" s="117"/>
      <c r="B26" s="123"/>
      <c r="C26" s="123"/>
      <c r="D26" s="123">
        <f>SUM(B25:D25)</f>
        <v>126</v>
      </c>
      <c r="N26" s="115"/>
      <c r="O26" s="115"/>
      <c r="P26" s="115"/>
      <c r="Q26" s="115"/>
      <c r="R26" s="115" t="s">
        <v>193</v>
      </c>
      <c r="S26" s="13">
        <f>SUBTOTAL(3,S19:S25)</f>
        <v>7</v>
      </c>
      <c r="T26" s="13">
        <f>SUBTOTAL(3,T19:T25)</f>
        <v>7</v>
      </c>
      <c r="AD26" s="25"/>
      <c r="AE26" s="13"/>
      <c r="AJ26" s="116"/>
      <c r="AK26" s="123"/>
      <c r="AL26" s="123"/>
      <c r="AM26" s="123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25"/>
      <c r="BC26" s="13"/>
      <c r="BF26" s="114"/>
    </row>
    <row r="27" spans="1:58" ht="20.100000000000001" customHeight="1" x14ac:dyDescent="0.4">
      <c r="A27" s="117"/>
      <c r="B27" s="123"/>
      <c r="C27" s="123"/>
      <c r="D27" s="123"/>
      <c r="N27" s="115"/>
      <c r="O27" s="115"/>
      <c r="P27" s="115"/>
      <c r="Q27" s="115"/>
      <c r="R27" s="115"/>
      <c r="S27" s="25">
        <v>45846</v>
      </c>
      <c r="T27" s="13" t="s">
        <v>147</v>
      </c>
      <c r="AD27" s="25"/>
      <c r="AE27" s="13"/>
      <c r="AJ27" s="116"/>
      <c r="AK27" s="123"/>
      <c r="AL27" s="123"/>
      <c r="AM27" s="123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25"/>
      <c r="BC27" s="13"/>
      <c r="BF27" s="114"/>
    </row>
    <row r="28" spans="1:58" ht="20.100000000000001" customHeight="1" x14ac:dyDescent="0.4">
      <c r="A28" s="117"/>
      <c r="B28" s="123"/>
      <c r="C28" s="123"/>
      <c r="D28" s="123"/>
      <c r="M28" s="115"/>
      <c r="N28" s="115"/>
      <c r="O28" s="115"/>
      <c r="P28" s="115"/>
      <c r="Q28" s="115"/>
      <c r="R28" s="115"/>
      <c r="S28" s="25">
        <v>45846</v>
      </c>
      <c r="T28" s="13" t="s">
        <v>147</v>
      </c>
      <c r="AD28" s="25"/>
      <c r="AE28" s="13"/>
      <c r="AJ28" s="116"/>
      <c r="AK28" s="123"/>
      <c r="AL28" s="123"/>
      <c r="AM28" s="123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25"/>
      <c r="BC28" s="13"/>
      <c r="BF28" s="114"/>
    </row>
    <row r="29" spans="1:58" ht="20.100000000000001" customHeight="1" x14ac:dyDescent="0.4">
      <c r="A29" s="117"/>
      <c r="B29" s="123"/>
      <c r="C29" s="123"/>
      <c r="D29" s="123"/>
      <c r="M29" s="115"/>
      <c r="N29" s="115"/>
      <c r="O29" s="115"/>
      <c r="P29" s="115"/>
      <c r="Q29" s="115"/>
      <c r="R29" s="115"/>
      <c r="S29" s="25">
        <v>45846</v>
      </c>
      <c r="T29" s="13" t="s">
        <v>147</v>
      </c>
      <c r="AD29" s="25"/>
      <c r="AE29" s="13"/>
      <c r="AJ29" s="116"/>
      <c r="AK29" s="123"/>
      <c r="AL29" s="123"/>
      <c r="AM29" s="123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25"/>
      <c r="BC29" s="13"/>
      <c r="BF29" s="114"/>
    </row>
    <row r="30" spans="1:58" ht="20.100000000000001" customHeight="1" x14ac:dyDescent="0.4">
      <c r="A30" s="117"/>
      <c r="B30" s="123"/>
      <c r="C30" s="123"/>
      <c r="D30" s="123"/>
      <c r="M30" s="115"/>
      <c r="N30" s="115"/>
      <c r="O30" s="115"/>
      <c r="P30" s="115"/>
      <c r="Q30" s="115"/>
      <c r="R30" s="115"/>
      <c r="S30" s="25">
        <v>45846</v>
      </c>
      <c r="T30" s="13" t="s">
        <v>147</v>
      </c>
      <c r="AD30" s="25"/>
      <c r="AE30" s="13"/>
      <c r="AJ30" s="116"/>
      <c r="AK30" s="123"/>
      <c r="AL30" s="123"/>
      <c r="AM30" s="123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25"/>
      <c r="BC30" s="13"/>
      <c r="BF30" s="114"/>
    </row>
    <row r="31" spans="1:58" ht="20.100000000000001" customHeight="1" x14ac:dyDescent="0.4">
      <c r="A31" s="117"/>
      <c r="B31" s="123"/>
      <c r="C31" s="123"/>
      <c r="D31" s="123"/>
      <c r="M31" s="115"/>
      <c r="N31" s="115"/>
      <c r="O31" s="115"/>
      <c r="P31" s="115"/>
      <c r="Q31" s="115"/>
      <c r="R31" s="115"/>
      <c r="S31" s="25">
        <v>45846</v>
      </c>
      <c r="T31" s="13" t="s">
        <v>147</v>
      </c>
      <c r="AD31" s="25"/>
      <c r="AE31" s="13"/>
      <c r="AJ31" s="116"/>
      <c r="AK31" s="123"/>
      <c r="AL31" s="123"/>
      <c r="AM31" s="123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25"/>
      <c r="BC31" s="13"/>
      <c r="BF31" s="114"/>
    </row>
    <row r="32" spans="1:58" ht="20.100000000000001" customHeight="1" x14ac:dyDescent="0.4">
      <c r="A32" s="117"/>
      <c r="B32" s="123"/>
      <c r="C32" s="123"/>
      <c r="D32" s="123"/>
      <c r="L32" s="115"/>
      <c r="M32" s="115"/>
      <c r="N32" s="115"/>
      <c r="O32" s="115"/>
      <c r="P32" s="115"/>
      <c r="Q32" s="115"/>
      <c r="R32" s="115"/>
      <c r="S32" s="25">
        <v>45846</v>
      </c>
      <c r="T32" s="13" t="s">
        <v>147</v>
      </c>
      <c r="AD32" s="25"/>
      <c r="AE32" s="13"/>
      <c r="AJ32" s="116"/>
      <c r="AK32" s="123"/>
      <c r="AL32" s="123"/>
      <c r="AM32" s="123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25"/>
      <c r="BC32" s="13"/>
      <c r="BF32" s="114"/>
    </row>
    <row r="33" spans="1:58" ht="20.100000000000001" customHeight="1" x14ac:dyDescent="0.4">
      <c r="A33" s="117"/>
      <c r="B33" s="123"/>
      <c r="C33" s="123"/>
      <c r="D33" s="123"/>
      <c r="L33" s="115"/>
      <c r="M33" s="115"/>
      <c r="N33" s="115"/>
      <c r="O33" s="115"/>
      <c r="P33" s="115"/>
      <c r="Q33" s="115"/>
      <c r="R33" s="115"/>
      <c r="S33" s="25">
        <v>45846</v>
      </c>
      <c r="T33" s="13" t="s">
        <v>147</v>
      </c>
      <c r="AD33" s="25"/>
      <c r="AE33" s="13"/>
      <c r="AJ33" s="116"/>
      <c r="AK33" s="123"/>
      <c r="AL33" s="123"/>
      <c r="AM33" s="123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25"/>
      <c r="BC33" s="13"/>
      <c r="BF33" s="114"/>
    </row>
    <row r="34" spans="1:58" ht="20.100000000000001" customHeight="1" x14ac:dyDescent="0.4">
      <c r="A34" s="117"/>
      <c r="B34" s="123"/>
      <c r="C34" s="123"/>
      <c r="D34" s="123"/>
      <c r="L34" s="115"/>
      <c r="M34" s="115"/>
      <c r="N34" s="115"/>
      <c r="O34" s="115"/>
      <c r="P34" s="115"/>
      <c r="Q34" s="115"/>
      <c r="R34" s="115"/>
      <c r="S34" s="25">
        <v>45846</v>
      </c>
      <c r="T34" s="13" t="s">
        <v>147</v>
      </c>
      <c r="AD34" s="25"/>
      <c r="AE34" s="13"/>
      <c r="AJ34" s="116"/>
      <c r="AK34" s="123"/>
      <c r="AL34" s="123"/>
      <c r="AM34" s="123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25"/>
      <c r="BC34" s="13"/>
      <c r="BF34" s="114"/>
    </row>
    <row r="35" spans="1:58" ht="20.100000000000001" customHeight="1" x14ac:dyDescent="0.4">
      <c r="A35" s="117"/>
      <c r="B35" s="123"/>
      <c r="C35" s="123"/>
      <c r="D35" s="123"/>
      <c r="L35" s="115"/>
      <c r="M35" s="115"/>
      <c r="N35" s="115"/>
      <c r="O35" s="115"/>
      <c r="P35" s="115"/>
      <c r="Q35" s="115"/>
      <c r="R35" s="115"/>
      <c r="S35" s="25">
        <v>45846</v>
      </c>
      <c r="T35" s="13" t="s">
        <v>147</v>
      </c>
      <c r="AD35" s="25"/>
      <c r="AE35" s="13"/>
      <c r="AJ35" s="116"/>
      <c r="AK35" s="123"/>
      <c r="AL35" s="123"/>
      <c r="AM35" s="123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25"/>
      <c r="BC35" s="13"/>
      <c r="BF35" s="114"/>
    </row>
    <row r="36" spans="1:58" ht="20.100000000000001" customHeight="1" x14ac:dyDescent="0.4">
      <c r="A36" s="117"/>
      <c r="B36" s="123"/>
      <c r="C36" s="123"/>
      <c r="D36" s="123"/>
      <c r="L36" s="115"/>
      <c r="M36" s="115"/>
      <c r="N36" s="115"/>
      <c r="O36" s="115"/>
      <c r="P36" s="115"/>
      <c r="Q36" s="115"/>
      <c r="R36" s="115"/>
      <c r="S36" s="25">
        <v>45846</v>
      </c>
      <c r="T36" s="13" t="s">
        <v>146</v>
      </c>
      <c r="AD36" s="25"/>
      <c r="AE36" s="13"/>
      <c r="AJ36" s="116"/>
      <c r="AK36" s="123"/>
      <c r="AL36" s="123"/>
      <c r="AM36" s="123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25"/>
      <c r="BC36" s="13"/>
      <c r="BF36" s="114"/>
    </row>
    <row r="37" spans="1:58" ht="20.100000000000001" customHeight="1" x14ac:dyDescent="0.4">
      <c r="A37" s="117"/>
      <c r="B37" s="123"/>
      <c r="C37" s="123"/>
      <c r="D37" s="123"/>
      <c r="L37" s="115"/>
      <c r="M37" s="115"/>
      <c r="N37" s="115"/>
      <c r="O37" s="115"/>
      <c r="P37" s="115"/>
      <c r="Q37" s="115"/>
      <c r="R37" s="115"/>
      <c r="S37" s="25">
        <v>45846</v>
      </c>
      <c r="T37" s="25" t="s">
        <v>146</v>
      </c>
      <c r="AD37" s="25"/>
      <c r="AE37" s="13"/>
      <c r="AJ37" s="116"/>
      <c r="AK37" s="123"/>
      <c r="AL37" s="123"/>
      <c r="AM37" s="123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25"/>
      <c r="BC37" s="13"/>
      <c r="BF37" s="114"/>
    </row>
    <row r="38" spans="1:58" ht="20.100000000000001" customHeight="1" x14ac:dyDescent="0.4">
      <c r="A38" s="117"/>
      <c r="B38" s="123"/>
      <c r="C38" s="123"/>
      <c r="D38" s="123"/>
      <c r="S38" s="25">
        <v>45846</v>
      </c>
      <c r="T38" s="25" t="s">
        <v>146</v>
      </c>
      <c r="AD38" s="25"/>
      <c r="AE38" s="13"/>
      <c r="AJ38" s="116"/>
      <c r="AK38" s="123"/>
      <c r="AL38" s="123"/>
      <c r="AM38" s="123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25"/>
      <c r="BC38" s="13"/>
      <c r="BF38" s="114"/>
    </row>
    <row r="39" spans="1:58" ht="20.100000000000001" customHeight="1" x14ac:dyDescent="0.4">
      <c r="A39" s="117"/>
      <c r="B39" s="123"/>
      <c r="C39" s="123"/>
      <c r="D39" s="123"/>
      <c r="P39" s="115"/>
      <c r="Q39" s="115"/>
      <c r="R39" s="115"/>
      <c r="S39" s="25">
        <v>45846</v>
      </c>
      <c r="T39" s="105" t="s">
        <v>146</v>
      </c>
      <c r="AD39" s="25"/>
      <c r="AE39" s="13"/>
      <c r="AJ39" s="116"/>
      <c r="AK39" s="123"/>
      <c r="AL39" s="123"/>
      <c r="AM39" s="123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25"/>
      <c r="BC39" s="13"/>
      <c r="BF39" s="114"/>
    </row>
    <row r="40" spans="1:58" ht="20.100000000000001" customHeight="1" x14ac:dyDescent="0.4">
      <c r="A40" s="117"/>
      <c r="B40" s="123"/>
      <c r="C40" s="123"/>
      <c r="D40" s="123"/>
      <c r="N40" s="115"/>
      <c r="O40" s="115"/>
      <c r="P40" s="115"/>
      <c r="Q40" s="115"/>
      <c r="R40" s="115"/>
      <c r="S40" s="25">
        <v>45846</v>
      </c>
      <c r="T40" s="15" t="s">
        <v>146</v>
      </c>
      <c r="AD40" s="25"/>
      <c r="AE40" s="13"/>
      <c r="AJ40" s="116"/>
      <c r="AK40" s="123"/>
      <c r="AL40" s="123"/>
      <c r="AM40" s="123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25"/>
      <c r="BC40" s="13"/>
      <c r="BF40" s="114"/>
    </row>
    <row r="41" spans="1:58" ht="20.100000000000001" customHeight="1" x14ac:dyDescent="0.4">
      <c r="A41" s="117"/>
      <c r="B41" s="123"/>
      <c r="C41" s="123"/>
      <c r="D41" s="123"/>
      <c r="N41" s="115"/>
      <c r="O41" s="115"/>
      <c r="P41" s="115"/>
      <c r="Q41" s="115"/>
      <c r="R41" s="115"/>
      <c r="S41" s="25">
        <v>45846</v>
      </c>
      <c r="T41" s="15" t="s">
        <v>147</v>
      </c>
      <c r="AD41" s="25"/>
      <c r="AE41" s="13"/>
      <c r="AJ41" s="116"/>
      <c r="AK41" s="123"/>
      <c r="AL41" s="123"/>
      <c r="AM41" s="123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25"/>
      <c r="BC41" s="13"/>
      <c r="BF41" s="114"/>
    </row>
    <row r="42" spans="1:58" ht="20.100000000000001" customHeight="1" x14ac:dyDescent="0.4">
      <c r="A42" s="117"/>
      <c r="B42" s="123"/>
      <c r="C42" s="123"/>
      <c r="D42" s="123"/>
      <c r="N42" s="115"/>
      <c r="O42" s="115"/>
      <c r="P42" s="115"/>
      <c r="Q42" s="115"/>
      <c r="R42" s="115"/>
      <c r="S42" s="25">
        <v>45846</v>
      </c>
      <c r="T42" s="15" t="s">
        <v>147</v>
      </c>
      <c r="AD42" s="25"/>
      <c r="AE42" s="13"/>
      <c r="AJ42" s="116"/>
      <c r="AK42" s="123"/>
      <c r="AL42" s="123"/>
      <c r="AM42" s="123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25"/>
      <c r="BC42" s="13"/>
      <c r="BF42" s="114"/>
    </row>
    <row r="43" spans="1:58" ht="20.100000000000001" customHeight="1" x14ac:dyDescent="0.4">
      <c r="A43" s="117"/>
      <c r="B43" s="123"/>
      <c r="C43" s="123"/>
      <c r="D43" s="123"/>
      <c r="L43" s="115"/>
      <c r="M43" s="115"/>
      <c r="N43" s="115"/>
      <c r="O43" s="115"/>
      <c r="P43" s="115"/>
      <c r="Q43" s="115"/>
      <c r="R43" s="115"/>
      <c r="S43" s="25">
        <v>45846</v>
      </c>
      <c r="T43" s="15" t="s">
        <v>147</v>
      </c>
      <c r="AD43" s="25"/>
      <c r="AE43" s="13"/>
      <c r="AJ43" s="116"/>
      <c r="AK43" s="123"/>
      <c r="AL43" s="123"/>
      <c r="AM43" s="123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25"/>
      <c r="BC43" s="13"/>
      <c r="BF43" s="114"/>
    </row>
    <row r="44" spans="1:58" ht="20.100000000000001" customHeight="1" x14ac:dyDescent="0.4">
      <c r="A44" s="117"/>
      <c r="B44" s="123"/>
      <c r="C44" s="123"/>
      <c r="D44" s="123"/>
      <c r="L44" s="115"/>
      <c r="M44" s="115"/>
      <c r="N44" s="115"/>
      <c r="O44" s="115"/>
      <c r="P44" s="115"/>
      <c r="Q44" s="115"/>
      <c r="R44" s="115"/>
      <c r="S44" s="25">
        <v>45846</v>
      </c>
      <c r="T44" s="15" t="s">
        <v>147</v>
      </c>
      <c r="AD44" s="25"/>
      <c r="AE44" s="13"/>
      <c r="AJ44" s="116"/>
      <c r="AK44" s="123"/>
      <c r="AL44" s="123"/>
      <c r="AM44" s="123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25"/>
      <c r="BC44" s="13"/>
      <c r="BF44" s="114"/>
    </row>
    <row r="45" spans="1:58" ht="20.100000000000001" customHeight="1" x14ac:dyDescent="0.4">
      <c r="A45" s="117"/>
      <c r="B45" s="123"/>
      <c r="C45" s="123"/>
      <c r="D45" s="123"/>
      <c r="L45" s="115"/>
      <c r="M45" s="115"/>
      <c r="N45" s="115"/>
      <c r="O45" s="115"/>
      <c r="P45" s="115"/>
      <c r="Q45" s="115"/>
      <c r="R45" s="115" t="s">
        <v>184</v>
      </c>
      <c r="S45" s="13">
        <f>SUBTOTAL(3,S27:S44)</f>
        <v>18</v>
      </c>
      <c r="T45" s="13">
        <f>SUBTOTAL(3,T27:T44)</f>
        <v>18</v>
      </c>
      <c r="AD45" s="25"/>
      <c r="AE45" s="13"/>
      <c r="AJ45" s="116"/>
      <c r="AK45" s="123"/>
      <c r="AL45" s="123"/>
      <c r="AM45" s="123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25"/>
      <c r="BC45" s="13"/>
      <c r="BF45" s="114"/>
    </row>
    <row r="46" spans="1:58" ht="20.100000000000001" customHeight="1" x14ac:dyDescent="0.4">
      <c r="A46" s="117"/>
      <c r="B46" s="123"/>
      <c r="C46" s="123"/>
      <c r="D46" s="123"/>
      <c r="L46" s="115"/>
      <c r="M46" s="115"/>
      <c r="N46" s="115"/>
      <c r="O46" s="115"/>
      <c r="P46" s="115"/>
      <c r="Q46" s="115"/>
      <c r="R46" s="115"/>
      <c r="S46" s="25">
        <v>45847</v>
      </c>
      <c r="T46" s="13" t="s">
        <v>147</v>
      </c>
      <c r="AD46" s="25"/>
      <c r="AE46" s="13"/>
      <c r="AJ46" s="116"/>
      <c r="AK46" s="123"/>
      <c r="AL46" s="123"/>
      <c r="AM46" s="123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25"/>
      <c r="BC46" s="13"/>
      <c r="BF46" s="114"/>
    </row>
    <row r="47" spans="1:58" ht="20.100000000000001" customHeight="1" x14ac:dyDescent="0.4">
      <c r="A47" s="117"/>
      <c r="B47" s="123"/>
      <c r="C47" s="123"/>
      <c r="D47" s="123"/>
      <c r="K47" s="115"/>
      <c r="L47" s="115"/>
      <c r="M47" s="115"/>
      <c r="N47" s="115"/>
      <c r="O47" s="115"/>
      <c r="P47" s="115"/>
      <c r="Q47" s="115"/>
      <c r="R47" s="115"/>
      <c r="S47" s="25">
        <v>45847</v>
      </c>
      <c r="T47" s="13" t="s">
        <v>148</v>
      </c>
      <c r="AD47" s="25"/>
      <c r="AE47" s="13"/>
      <c r="AJ47" s="116"/>
      <c r="AK47" s="123"/>
      <c r="AL47" s="123"/>
      <c r="AM47" s="123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25"/>
      <c r="BC47" s="13"/>
      <c r="BF47" s="114"/>
    </row>
    <row r="48" spans="1:58" ht="20.100000000000001" customHeight="1" x14ac:dyDescent="0.4">
      <c r="A48" s="117"/>
      <c r="B48" s="123"/>
      <c r="C48" s="123"/>
      <c r="D48" s="123"/>
      <c r="K48" s="115"/>
      <c r="L48" s="115"/>
      <c r="M48" s="115"/>
      <c r="N48" s="115"/>
      <c r="O48" s="115"/>
      <c r="P48" s="115"/>
      <c r="Q48" s="115"/>
      <c r="R48" s="115"/>
      <c r="S48" s="25">
        <v>45847</v>
      </c>
      <c r="T48" s="13" t="s">
        <v>148</v>
      </c>
      <c r="AD48" s="25"/>
      <c r="AE48" s="13"/>
      <c r="AJ48" s="116"/>
      <c r="AK48" s="123"/>
      <c r="AL48" s="123"/>
      <c r="AM48" s="123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25"/>
      <c r="BC48" s="13"/>
      <c r="BF48" s="114"/>
    </row>
    <row r="49" spans="1:58" ht="20.100000000000001" customHeight="1" x14ac:dyDescent="0.4">
      <c r="A49" s="117"/>
      <c r="B49" s="123"/>
      <c r="C49" s="123"/>
      <c r="D49" s="123"/>
      <c r="K49" s="115"/>
      <c r="L49" s="115"/>
      <c r="M49" s="115"/>
      <c r="N49" s="115"/>
      <c r="O49" s="115"/>
      <c r="P49" s="115"/>
      <c r="Q49" s="115"/>
      <c r="R49" s="115" t="s">
        <v>194</v>
      </c>
      <c r="S49" s="13">
        <f>SUBTOTAL(3,S46:S48)</f>
        <v>3</v>
      </c>
      <c r="T49" s="13">
        <f>SUBTOTAL(3,T46:T48)</f>
        <v>3</v>
      </c>
      <c r="AD49" s="25"/>
      <c r="AE49" s="13"/>
      <c r="AJ49" s="116"/>
      <c r="AK49" s="123"/>
      <c r="AL49" s="123"/>
      <c r="AM49" s="123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25"/>
      <c r="BC49" s="13"/>
      <c r="BF49" s="114"/>
    </row>
    <row r="50" spans="1:58" ht="20.100000000000001" customHeight="1" x14ac:dyDescent="0.4">
      <c r="A50" s="117"/>
      <c r="B50" s="123"/>
      <c r="C50" s="123"/>
      <c r="D50" s="123"/>
      <c r="K50" s="115"/>
      <c r="L50" s="115"/>
      <c r="M50" s="115"/>
      <c r="N50" s="115"/>
      <c r="O50" s="115"/>
      <c r="P50" s="115"/>
      <c r="Q50" s="115"/>
      <c r="R50" s="115"/>
      <c r="S50" s="25">
        <v>45848</v>
      </c>
      <c r="T50" s="13" t="s">
        <v>146</v>
      </c>
      <c r="AD50" s="25"/>
      <c r="AE50" s="13"/>
      <c r="AJ50" s="116"/>
      <c r="AK50" s="123"/>
      <c r="AL50" s="123"/>
      <c r="AM50" s="123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25"/>
      <c r="BC50" s="13"/>
      <c r="BF50" s="114"/>
    </row>
    <row r="51" spans="1:58" ht="20.100000000000001" customHeight="1" x14ac:dyDescent="0.4">
      <c r="A51" s="117"/>
      <c r="B51" s="123"/>
      <c r="C51" s="123"/>
      <c r="D51" s="123"/>
      <c r="K51" s="115"/>
      <c r="L51" s="115"/>
      <c r="M51" s="115"/>
      <c r="N51" s="115"/>
      <c r="O51" s="115"/>
      <c r="P51" s="115"/>
      <c r="Q51" s="115"/>
      <c r="R51" s="115" t="s">
        <v>343</v>
      </c>
      <c r="S51" s="13">
        <f>SUBTOTAL(3,S50:S50)</f>
        <v>1</v>
      </c>
      <c r="T51" s="13">
        <f>SUBTOTAL(3,T50:T50)</f>
        <v>1</v>
      </c>
      <c r="AD51" s="25"/>
      <c r="AE51" s="13"/>
      <c r="AJ51" s="116"/>
      <c r="AK51" s="123"/>
      <c r="AL51" s="123"/>
      <c r="AM51" s="123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25"/>
      <c r="BC51" s="13"/>
      <c r="BF51" s="114"/>
    </row>
    <row r="52" spans="1:58" ht="20.100000000000001" customHeight="1" x14ac:dyDescent="0.4">
      <c r="A52" s="117"/>
      <c r="B52" s="123"/>
      <c r="C52" s="123"/>
      <c r="D52" s="123"/>
      <c r="K52" s="115"/>
      <c r="L52" s="115"/>
      <c r="M52" s="115"/>
      <c r="N52" s="115"/>
      <c r="O52" s="115"/>
      <c r="P52" s="115"/>
      <c r="Q52" s="115"/>
      <c r="R52" s="115"/>
      <c r="S52" s="25">
        <v>45850</v>
      </c>
      <c r="T52" s="13" t="s">
        <v>146</v>
      </c>
      <c r="AD52" s="25"/>
      <c r="AE52" s="13"/>
      <c r="AJ52" s="116"/>
      <c r="AK52" s="123"/>
      <c r="AL52" s="123"/>
      <c r="AM52" s="123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25"/>
      <c r="BC52" s="13"/>
      <c r="BF52" s="114"/>
    </row>
    <row r="53" spans="1:58" ht="20.100000000000001" customHeight="1" x14ac:dyDescent="0.4">
      <c r="A53" s="117"/>
      <c r="B53" s="123"/>
      <c r="C53" s="123"/>
      <c r="D53" s="123"/>
      <c r="K53" s="115"/>
      <c r="L53" s="115"/>
      <c r="M53" s="115"/>
      <c r="N53" s="115"/>
      <c r="O53" s="115"/>
      <c r="P53" s="115"/>
      <c r="Q53" s="115"/>
      <c r="R53" s="115"/>
      <c r="S53" s="25">
        <v>45850</v>
      </c>
      <c r="T53" s="13" t="s">
        <v>146</v>
      </c>
      <c r="AD53" s="25"/>
      <c r="AE53" s="13"/>
      <c r="AJ53" s="116"/>
      <c r="AK53" s="123"/>
      <c r="AL53" s="123"/>
      <c r="AM53" s="123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25"/>
      <c r="BC53" s="13"/>
      <c r="BF53" s="114"/>
    </row>
    <row r="54" spans="1:58" ht="20.100000000000001" customHeight="1" x14ac:dyDescent="0.4">
      <c r="A54" s="117"/>
      <c r="B54" s="123"/>
      <c r="C54" s="123"/>
      <c r="D54" s="123"/>
      <c r="K54" s="115"/>
      <c r="L54" s="115"/>
      <c r="M54" s="115"/>
      <c r="N54" s="115"/>
      <c r="O54" s="115"/>
      <c r="P54" s="115"/>
      <c r="Q54" s="115"/>
      <c r="R54" s="115" t="s">
        <v>195</v>
      </c>
      <c r="S54" s="13">
        <f>SUBTOTAL(3,S52:S53)</f>
        <v>2</v>
      </c>
      <c r="T54" s="13">
        <f>SUBTOTAL(3,T52:T53)</f>
        <v>2</v>
      </c>
      <c r="AD54" s="25"/>
      <c r="AE54" s="13"/>
      <c r="AJ54" s="116"/>
      <c r="AK54" s="123"/>
      <c r="AL54" s="123"/>
      <c r="AM54" s="123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25"/>
      <c r="BC54" s="13"/>
      <c r="BF54" s="114"/>
    </row>
    <row r="55" spans="1:58" ht="20.100000000000001" customHeight="1" x14ac:dyDescent="0.4">
      <c r="A55" s="117"/>
      <c r="B55" s="123"/>
      <c r="C55" s="123"/>
      <c r="D55" s="123"/>
      <c r="K55" s="115"/>
      <c r="L55" s="115"/>
      <c r="M55" s="115"/>
      <c r="N55" s="115"/>
      <c r="O55" s="115"/>
      <c r="P55" s="115"/>
      <c r="Q55" s="115"/>
      <c r="R55" s="115"/>
      <c r="S55" s="25">
        <v>45851</v>
      </c>
      <c r="T55" s="13" t="s">
        <v>146</v>
      </c>
      <c r="AD55" s="25"/>
      <c r="AE55" s="13"/>
      <c r="AJ55" s="116"/>
      <c r="AK55" s="123"/>
      <c r="AL55" s="123"/>
      <c r="AM55" s="123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25"/>
      <c r="BC55" s="13"/>
      <c r="BF55" s="114"/>
    </row>
    <row r="56" spans="1:58" ht="20.100000000000001" customHeight="1" x14ac:dyDescent="0.4">
      <c r="A56" s="117"/>
      <c r="B56" s="123"/>
      <c r="C56" s="123"/>
      <c r="D56" s="123"/>
      <c r="F56" s="125"/>
      <c r="S56" s="25">
        <v>45851</v>
      </c>
      <c r="T56" s="15" t="s">
        <v>148</v>
      </c>
      <c r="AD56" s="25"/>
      <c r="AE56" s="13"/>
      <c r="AJ56" s="116"/>
      <c r="AK56" s="123"/>
      <c r="AL56" s="123"/>
      <c r="AM56" s="123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25"/>
      <c r="BC56" s="13"/>
      <c r="BF56" s="114"/>
    </row>
    <row r="57" spans="1:58" ht="20.100000000000001" customHeight="1" x14ac:dyDescent="0.4">
      <c r="A57" s="117"/>
      <c r="B57" s="123"/>
      <c r="C57" s="123"/>
      <c r="D57" s="123"/>
      <c r="F57" s="117"/>
      <c r="J57" s="115"/>
      <c r="K57" s="115"/>
      <c r="L57" s="115"/>
      <c r="M57" s="115"/>
      <c r="N57" s="115"/>
      <c r="O57" s="115"/>
      <c r="P57" s="115"/>
      <c r="Q57" s="115"/>
      <c r="R57" s="115"/>
      <c r="S57" s="25">
        <v>45851</v>
      </c>
      <c r="T57" s="15" t="s">
        <v>147</v>
      </c>
      <c r="AD57" s="25"/>
      <c r="AE57" s="13"/>
      <c r="AJ57" s="116"/>
      <c r="AK57" s="123"/>
      <c r="AL57" s="123"/>
      <c r="AM57" s="123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25"/>
      <c r="BC57" s="13"/>
      <c r="BF57" s="114"/>
    </row>
    <row r="58" spans="1:58" ht="20.100000000000001" customHeight="1" x14ac:dyDescent="0.4">
      <c r="A58" s="117"/>
      <c r="B58" s="123"/>
      <c r="C58" s="123"/>
      <c r="D58" s="123"/>
      <c r="F58" s="117"/>
      <c r="J58" s="115"/>
      <c r="K58" s="115"/>
      <c r="L58" s="115"/>
      <c r="M58" s="115"/>
      <c r="N58" s="115"/>
      <c r="O58" s="115"/>
      <c r="P58" s="115"/>
      <c r="Q58" s="115"/>
      <c r="R58" s="115"/>
      <c r="S58" s="25">
        <v>45851</v>
      </c>
      <c r="T58" s="15" t="s">
        <v>147</v>
      </c>
      <c r="AD58" s="25"/>
      <c r="AE58" s="13"/>
      <c r="AJ58" s="116"/>
      <c r="AK58" s="123"/>
      <c r="AL58" s="123"/>
      <c r="AM58" s="123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25"/>
      <c r="BC58" s="13"/>
      <c r="BF58" s="114"/>
    </row>
    <row r="59" spans="1:58" ht="20.100000000000001" customHeight="1" x14ac:dyDescent="0.4">
      <c r="A59" s="117"/>
      <c r="B59" s="123"/>
      <c r="C59" s="123"/>
      <c r="D59" s="123"/>
      <c r="F59" s="117"/>
      <c r="J59" s="115"/>
      <c r="K59" s="115"/>
      <c r="L59" s="115"/>
      <c r="M59" s="115"/>
      <c r="N59" s="115"/>
      <c r="O59" s="115"/>
      <c r="P59" s="115"/>
      <c r="Q59" s="115"/>
      <c r="R59" s="115"/>
      <c r="S59" s="25">
        <v>45851</v>
      </c>
      <c r="T59" s="15" t="s">
        <v>148</v>
      </c>
      <c r="AD59" s="25"/>
      <c r="AE59" s="13"/>
      <c r="AJ59" s="116"/>
      <c r="AK59" s="123"/>
      <c r="AL59" s="123"/>
      <c r="AM59" s="123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25"/>
      <c r="BC59" s="13"/>
      <c r="BF59" s="114"/>
    </row>
    <row r="60" spans="1:58" ht="20.100000000000001" customHeight="1" x14ac:dyDescent="0.4">
      <c r="A60" s="117"/>
      <c r="B60" s="123"/>
      <c r="C60" s="123"/>
      <c r="D60" s="123"/>
      <c r="F60" s="117"/>
      <c r="J60" s="115"/>
      <c r="K60" s="115"/>
      <c r="L60" s="115"/>
      <c r="M60" s="115"/>
      <c r="N60" s="115"/>
      <c r="O60" s="115"/>
      <c r="P60" s="115"/>
      <c r="Q60" s="115"/>
      <c r="R60" s="115"/>
      <c r="S60" s="25">
        <v>45851</v>
      </c>
      <c r="T60" s="15" t="s">
        <v>147</v>
      </c>
      <c r="AD60" s="25"/>
      <c r="AE60" s="13"/>
      <c r="AJ60" s="116"/>
      <c r="AK60" s="123"/>
      <c r="AL60" s="123"/>
      <c r="AM60" s="123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25"/>
      <c r="BC60" s="13"/>
      <c r="BF60" s="114"/>
    </row>
    <row r="61" spans="1:58" ht="20.100000000000001" customHeight="1" x14ac:dyDescent="0.4">
      <c r="A61" s="117"/>
      <c r="B61" s="123"/>
      <c r="C61" s="123"/>
      <c r="D61" s="123"/>
      <c r="F61" s="117"/>
      <c r="J61" s="115"/>
      <c r="K61" s="115"/>
      <c r="L61" s="115"/>
      <c r="M61" s="115"/>
      <c r="N61" s="115"/>
      <c r="O61" s="115"/>
      <c r="P61" s="115"/>
      <c r="Q61" s="115"/>
      <c r="R61" s="115"/>
      <c r="S61" s="25">
        <v>45851</v>
      </c>
      <c r="T61" s="13" t="s">
        <v>148</v>
      </c>
      <c r="AD61" s="25"/>
      <c r="AE61" s="13"/>
      <c r="AJ61" s="116"/>
      <c r="AK61" s="123"/>
      <c r="AL61" s="123"/>
      <c r="AM61" s="123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25"/>
      <c r="BC61" s="13"/>
      <c r="BF61" s="114"/>
    </row>
    <row r="62" spans="1:58" ht="20.100000000000001" customHeight="1" x14ac:dyDescent="0.4">
      <c r="A62" s="117"/>
      <c r="B62" s="123"/>
      <c r="C62" s="123"/>
      <c r="D62" s="123"/>
      <c r="F62" s="117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25">
        <v>45851</v>
      </c>
      <c r="T62" s="13" t="s">
        <v>148</v>
      </c>
      <c r="AD62" s="25"/>
      <c r="AE62" s="13"/>
      <c r="AJ62" s="116"/>
      <c r="AK62" s="123"/>
      <c r="AL62" s="123"/>
      <c r="AM62" s="123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25"/>
      <c r="BC62" s="13"/>
      <c r="BF62" s="114"/>
    </row>
    <row r="63" spans="1:58" ht="20.100000000000001" customHeight="1" x14ac:dyDescent="0.4">
      <c r="A63" s="117"/>
      <c r="B63" s="123"/>
      <c r="C63" s="123"/>
      <c r="D63" s="123"/>
      <c r="F63" s="117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25">
        <v>45851</v>
      </c>
      <c r="T63" s="13" t="s">
        <v>148</v>
      </c>
      <c r="AD63" s="25"/>
      <c r="AE63" s="13"/>
      <c r="AJ63" s="116"/>
      <c r="AK63" s="123"/>
      <c r="AL63" s="123"/>
      <c r="AM63" s="123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25"/>
      <c r="BC63" s="13"/>
      <c r="BF63" s="114"/>
    </row>
    <row r="64" spans="1:58" ht="20.100000000000001" customHeight="1" x14ac:dyDescent="0.4">
      <c r="A64" s="117"/>
      <c r="B64" s="123"/>
      <c r="C64" s="123"/>
      <c r="D64" s="123"/>
      <c r="F64" s="117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 t="s">
        <v>196</v>
      </c>
      <c r="S64" s="13">
        <f>SUBTOTAL(3,S55:S63)</f>
        <v>9</v>
      </c>
      <c r="T64" s="13">
        <f>SUBTOTAL(3,T55:T63)</f>
        <v>9</v>
      </c>
      <c r="AD64" s="25"/>
      <c r="AE64" s="13"/>
      <c r="AJ64" s="116"/>
      <c r="AK64" s="123"/>
      <c r="AL64" s="123"/>
      <c r="AM64" s="123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25"/>
      <c r="BC64" s="13"/>
      <c r="BF64" s="114"/>
    </row>
    <row r="65" spans="1:58" ht="20.100000000000001" customHeight="1" x14ac:dyDescent="0.4">
      <c r="A65" s="117"/>
      <c r="B65" s="123"/>
      <c r="C65" s="123"/>
      <c r="D65" s="123"/>
      <c r="F65" s="117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25">
        <v>45852</v>
      </c>
      <c r="T65" s="13" t="s">
        <v>146</v>
      </c>
      <c r="AD65" s="25"/>
      <c r="AE65" s="13"/>
      <c r="AJ65" s="116"/>
      <c r="AK65" s="123"/>
      <c r="AL65" s="123"/>
      <c r="AM65" s="123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25"/>
      <c r="BC65" s="13"/>
      <c r="BF65" s="114"/>
    </row>
    <row r="66" spans="1:58" ht="20.100000000000001" customHeight="1" x14ac:dyDescent="0.4">
      <c r="A66" s="117"/>
      <c r="B66" s="123"/>
      <c r="C66" s="123"/>
      <c r="D66" s="123"/>
      <c r="F66" s="117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25">
        <v>45852</v>
      </c>
      <c r="T66" s="13" t="s">
        <v>148</v>
      </c>
      <c r="AD66" s="25"/>
      <c r="AE66" s="13"/>
      <c r="AJ66" s="116"/>
      <c r="AK66" s="123"/>
      <c r="AL66" s="123"/>
      <c r="AM66" s="123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25"/>
      <c r="BC66" s="13"/>
      <c r="BF66" s="114"/>
    </row>
    <row r="67" spans="1:58" ht="20.100000000000001" customHeight="1" x14ac:dyDescent="0.4">
      <c r="A67" s="117"/>
      <c r="B67" s="123"/>
      <c r="C67" s="123"/>
      <c r="D67" s="123"/>
      <c r="F67" s="117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25">
        <v>45852</v>
      </c>
      <c r="T67" s="13" t="s">
        <v>147</v>
      </c>
      <c r="AD67" s="25"/>
      <c r="AE67" s="13"/>
      <c r="AJ67" s="116"/>
      <c r="AK67" s="123"/>
      <c r="AL67" s="123"/>
      <c r="AM67" s="123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25"/>
      <c r="BC67" s="13"/>
      <c r="BF67" s="114"/>
    </row>
    <row r="68" spans="1:58" ht="20.100000000000001" customHeight="1" x14ac:dyDescent="0.4">
      <c r="A68" s="117"/>
      <c r="B68" s="123"/>
      <c r="C68" s="123"/>
      <c r="D68" s="123"/>
      <c r="F68" s="117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25">
        <v>45852</v>
      </c>
      <c r="T68" s="13" t="s">
        <v>148</v>
      </c>
      <c r="AD68" s="25"/>
      <c r="AE68" s="13"/>
      <c r="AJ68" s="116"/>
      <c r="AK68" s="123"/>
      <c r="AL68" s="123"/>
      <c r="AM68" s="123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25"/>
      <c r="BC68" s="13"/>
      <c r="BF68" s="114"/>
    </row>
    <row r="69" spans="1:58" ht="20.100000000000001" customHeight="1" x14ac:dyDescent="0.4">
      <c r="A69" s="117"/>
      <c r="B69" s="123"/>
      <c r="C69" s="123"/>
      <c r="D69" s="123"/>
      <c r="F69" s="117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25">
        <v>45852</v>
      </c>
      <c r="T69" s="13" t="s">
        <v>147</v>
      </c>
      <c r="AD69" s="25"/>
      <c r="AE69" s="13"/>
      <c r="AJ69" s="116"/>
      <c r="AK69" s="123"/>
      <c r="AL69" s="123"/>
      <c r="AM69" s="123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25"/>
      <c r="BC69" s="13"/>
      <c r="BF69" s="114"/>
    </row>
    <row r="70" spans="1:58" ht="20.100000000000001" customHeight="1" x14ac:dyDescent="0.4">
      <c r="A70" s="117"/>
      <c r="B70" s="123"/>
      <c r="C70" s="123"/>
      <c r="D70" s="123"/>
      <c r="F70" s="117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25">
        <v>45852</v>
      </c>
      <c r="T70" s="13" t="s">
        <v>146</v>
      </c>
      <c r="AD70" s="25"/>
      <c r="AE70" s="13"/>
      <c r="AJ70" s="116"/>
      <c r="AK70" s="123"/>
      <c r="AL70" s="123"/>
      <c r="AM70" s="123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25"/>
      <c r="BC70" s="13"/>
      <c r="BF70" s="114"/>
    </row>
    <row r="71" spans="1:58" ht="20.100000000000001" customHeight="1" x14ac:dyDescent="0.4">
      <c r="A71" s="117"/>
      <c r="B71" s="123"/>
      <c r="C71" s="123"/>
      <c r="D71" s="123"/>
      <c r="F71" s="117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25">
        <v>45852</v>
      </c>
      <c r="T71" s="13" t="s">
        <v>147</v>
      </c>
      <c r="AD71" s="25"/>
      <c r="AE71" s="13"/>
      <c r="AJ71" s="116"/>
      <c r="AK71" s="123"/>
      <c r="AL71" s="123"/>
      <c r="AM71" s="123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25"/>
      <c r="BC71" s="13"/>
      <c r="BF71" s="114"/>
    </row>
    <row r="72" spans="1:58" ht="20.100000000000001" customHeight="1" x14ac:dyDescent="0.4">
      <c r="A72" s="117"/>
      <c r="B72" s="123"/>
      <c r="C72" s="123"/>
      <c r="D72" s="123"/>
      <c r="F72" s="117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25">
        <v>45852</v>
      </c>
      <c r="T72" s="13" t="s">
        <v>148</v>
      </c>
      <c r="AD72" s="25"/>
      <c r="AE72" s="13"/>
      <c r="AJ72" s="116"/>
      <c r="AK72" s="123"/>
      <c r="AL72" s="123"/>
      <c r="AM72" s="123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25"/>
      <c r="BC72" s="13"/>
      <c r="BF72" s="114"/>
    </row>
    <row r="73" spans="1:58" ht="20.100000000000001" customHeight="1" x14ac:dyDescent="0.4">
      <c r="A73" s="117"/>
      <c r="B73" s="123"/>
      <c r="C73" s="123"/>
      <c r="D73" s="123"/>
      <c r="F73" s="12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25">
        <v>45852</v>
      </c>
      <c r="T73" s="13" t="s">
        <v>147</v>
      </c>
      <c r="AD73" s="25"/>
      <c r="AE73" s="13"/>
      <c r="AJ73" s="116"/>
      <c r="AK73" s="123"/>
      <c r="AL73" s="123"/>
      <c r="AM73" s="123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25"/>
      <c r="BC73" s="13"/>
      <c r="BF73" s="114"/>
    </row>
    <row r="74" spans="1:58" ht="20.100000000000001" customHeight="1" x14ac:dyDescent="0.4">
      <c r="A74" s="117"/>
      <c r="B74" s="123"/>
      <c r="C74" s="123"/>
      <c r="D74" s="123"/>
      <c r="F74" s="12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25">
        <v>45852</v>
      </c>
      <c r="T74" s="13" t="s">
        <v>147</v>
      </c>
      <c r="AD74" s="25"/>
      <c r="AE74" s="13"/>
      <c r="AJ74" s="116"/>
      <c r="AK74" s="123"/>
      <c r="AL74" s="123"/>
      <c r="AM74" s="123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25"/>
      <c r="BC74" s="13"/>
      <c r="BF74" s="114"/>
    </row>
    <row r="75" spans="1:58" ht="20.100000000000001" customHeight="1" x14ac:dyDescent="0.4">
      <c r="A75" s="117"/>
      <c r="B75" s="123"/>
      <c r="C75" s="123"/>
      <c r="D75" s="123"/>
      <c r="F75" s="12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25">
        <v>45852</v>
      </c>
      <c r="T75" s="13" t="s">
        <v>146</v>
      </c>
      <c r="AD75" s="25"/>
      <c r="AE75" s="13"/>
      <c r="AJ75" s="116"/>
      <c r="AK75" s="123"/>
      <c r="AL75" s="123"/>
      <c r="AM75" s="123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25"/>
      <c r="BC75" s="13"/>
      <c r="BF75" s="114"/>
    </row>
    <row r="76" spans="1:58" ht="20.100000000000001" customHeight="1" x14ac:dyDescent="0.4">
      <c r="A76" s="117"/>
      <c r="B76" s="123"/>
      <c r="C76" s="123"/>
      <c r="D76" s="123"/>
      <c r="F76" s="12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25">
        <v>45852</v>
      </c>
      <c r="T76" s="13" t="s">
        <v>146</v>
      </c>
      <c r="AD76" s="25"/>
      <c r="AE76" s="13"/>
      <c r="AJ76" s="116"/>
      <c r="AK76" s="123"/>
      <c r="AL76" s="123"/>
      <c r="AM76" s="123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25"/>
      <c r="BC76" s="13"/>
      <c r="BF76" s="114"/>
    </row>
    <row r="77" spans="1:58" ht="20.100000000000001" customHeight="1" x14ac:dyDescent="0.4">
      <c r="A77" s="117"/>
      <c r="B77" s="123"/>
      <c r="C77" s="123"/>
      <c r="D77" s="123"/>
      <c r="F77" s="12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25">
        <v>45852</v>
      </c>
      <c r="T77" s="13" t="s">
        <v>146</v>
      </c>
      <c r="AD77" s="25"/>
      <c r="AE77" s="13"/>
      <c r="AJ77" s="116"/>
      <c r="AK77" s="123"/>
      <c r="AL77" s="123"/>
      <c r="AM77" s="123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25"/>
      <c r="BC77" s="13"/>
      <c r="BF77" s="114"/>
    </row>
    <row r="78" spans="1:58" ht="20.100000000000001" customHeight="1" x14ac:dyDescent="0.4">
      <c r="A78" s="117"/>
      <c r="B78" s="123"/>
      <c r="C78" s="123"/>
      <c r="D78" s="123"/>
      <c r="F78" s="12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26">
        <v>45852</v>
      </c>
      <c r="T78" s="13" t="s">
        <v>146</v>
      </c>
      <c r="AD78" s="25"/>
      <c r="AE78" s="13"/>
      <c r="AJ78" s="116"/>
      <c r="AK78" s="123"/>
      <c r="AL78" s="123"/>
      <c r="AM78" s="123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25"/>
      <c r="BC78" s="13"/>
      <c r="BF78" s="114"/>
    </row>
    <row r="79" spans="1:58" ht="20.100000000000001" customHeight="1" x14ac:dyDescent="0.4">
      <c r="A79" s="117"/>
      <c r="B79" s="123"/>
      <c r="C79" s="123"/>
      <c r="D79" s="123"/>
      <c r="F79" s="12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26">
        <v>45852</v>
      </c>
      <c r="T79" s="13" t="s">
        <v>147</v>
      </c>
      <c r="AD79" s="25"/>
      <c r="AE79" s="13"/>
      <c r="AJ79" s="116"/>
      <c r="AK79" s="123"/>
      <c r="AL79" s="123"/>
      <c r="AM79" s="123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25"/>
      <c r="BC79" s="13"/>
      <c r="BF79" s="114"/>
    </row>
    <row r="80" spans="1:58" ht="20.100000000000001" customHeight="1" x14ac:dyDescent="0.4">
      <c r="A80" s="117"/>
      <c r="B80" s="123"/>
      <c r="C80" s="123"/>
      <c r="D80" s="123"/>
      <c r="F80" s="12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25">
        <v>45852</v>
      </c>
      <c r="T80" s="13" t="s">
        <v>147</v>
      </c>
      <c r="AD80" s="25"/>
      <c r="AE80" s="13"/>
      <c r="AJ80" s="116"/>
      <c r="AK80" s="123"/>
      <c r="AL80" s="123"/>
      <c r="AM80" s="123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25"/>
      <c r="BC80" s="13"/>
      <c r="BF80" s="114"/>
    </row>
    <row r="81" spans="1:58" ht="20.100000000000001" customHeight="1" x14ac:dyDescent="0.4">
      <c r="A81" s="117"/>
      <c r="B81" s="123"/>
      <c r="C81" s="123"/>
      <c r="D81" s="123"/>
      <c r="F81" s="12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25">
        <v>45852</v>
      </c>
      <c r="T81" s="13" t="s">
        <v>147</v>
      </c>
      <c r="AD81" s="25"/>
      <c r="AE81" s="13"/>
      <c r="AJ81" s="116"/>
      <c r="AK81" s="123"/>
      <c r="AL81" s="123"/>
      <c r="AM81" s="123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25"/>
      <c r="BC81" s="13"/>
      <c r="BF81" s="114"/>
    </row>
    <row r="82" spans="1:58" ht="20.100000000000001" customHeight="1" x14ac:dyDescent="0.4">
      <c r="A82" s="117"/>
      <c r="B82" s="123"/>
      <c r="C82" s="123"/>
      <c r="D82" s="123"/>
      <c r="F82" s="12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25">
        <v>45852</v>
      </c>
      <c r="T82" s="13" t="s">
        <v>147</v>
      </c>
      <c r="AD82" s="25"/>
      <c r="AE82" s="13"/>
      <c r="AJ82" s="116"/>
      <c r="AK82" s="123"/>
      <c r="AL82" s="123"/>
      <c r="AM82" s="123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25"/>
      <c r="BC82" s="13"/>
      <c r="BF82" s="114"/>
    </row>
    <row r="83" spans="1:58" ht="20.100000000000001" customHeight="1" x14ac:dyDescent="0.4">
      <c r="A83" s="117"/>
      <c r="B83" s="123"/>
      <c r="C83" s="123"/>
      <c r="D83" s="123"/>
      <c r="F83" s="12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 t="s">
        <v>344</v>
      </c>
      <c r="S83" s="13">
        <f>SUBTOTAL(3,S65:S82)</f>
        <v>18</v>
      </c>
      <c r="T83" s="13">
        <f>SUBTOTAL(3,T65:T82)</f>
        <v>18</v>
      </c>
      <c r="AD83" s="25"/>
      <c r="AE83" s="13"/>
      <c r="AJ83" s="116"/>
      <c r="AK83" s="123"/>
      <c r="AL83" s="123"/>
      <c r="AM83" s="123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25"/>
      <c r="BC83" s="13"/>
      <c r="BF83" s="114"/>
    </row>
    <row r="84" spans="1:58" ht="20.100000000000001" customHeight="1" x14ac:dyDescent="0.4">
      <c r="A84" s="117"/>
      <c r="B84" s="123"/>
      <c r="C84" s="123"/>
      <c r="D84" s="123"/>
      <c r="F84" s="12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25">
        <v>45853</v>
      </c>
      <c r="T84" s="13" t="s">
        <v>147</v>
      </c>
      <c r="AD84" s="25"/>
      <c r="AE84" s="13"/>
      <c r="AJ84" s="116"/>
      <c r="AK84" s="123"/>
      <c r="AL84" s="123"/>
      <c r="AM84" s="123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25"/>
      <c r="BC84" s="13"/>
      <c r="BF84" s="114"/>
    </row>
    <row r="85" spans="1:58" ht="20.100000000000001" customHeight="1" x14ac:dyDescent="0.4">
      <c r="A85" s="117"/>
      <c r="B85" s="123"/>
      <c r="C85" s="123"/>
      <c r="D85" s="123"/>
      <c r="F85" s="12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25">
        <v>45853</v>
      </c>
      <c r="T85" s="13" t="s">
        <v>147</v>
      </c>
      <c r="AD85" s="25"/>
      <c r="AE85" s="13"/>
      <c r="AJ85" s="116"/>
      <c r="AK85" s="123"/>
      <c r="AL85" s="123"/>
      <c r="AM85" s="123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25"/>
      <c r="BC85" s="13"/>
      <c r="BF85" s="114"/>
    </row>
    <row r="86" spans="1:58" ht="20.100000000000001" customHeight="1" x14ac:dyDescent="0.4">
      <c r="A86" s="117"/>
      <c r="B86" s="123"/>
      <c r="C86" s="123"/>
      <c r="D86" s="123"/>
      <c r="F86" s="12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25">
        <v>45853</v>
      </c>
      <c r="T86" s="13" t="s">
        <v>147</v>
      </c>
      <c r="AD86" s="25"/>
      <c r="AE86" s="13"/>
      <c r="AJ86" s="116"/>
      <c r="AK86" s="123"/>
      <c r="AL86" s="123"/>
      <c r="AM86" s="123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25"/>
      <c r="BC86" s="13"/>
      <c r="BF86" s="114"/>
    </row>
    <row r="87" spans="1:58" ht="20.100000000000001" customHeight="1" x14ac:dyDescent="0.4">
      <c r="A87" s="117"/>
      <c r="B87" s="123"/>
      <c r="C87" s="123"/>
      <c r="D87" s="123"/>
      <c r="F87" s="12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25">
        <v>45853</v>
      </c>
      <c r="T87" s="13" t="s">
        <v>148</v>
      </c>
      <c r="AD87" s="25"/>
      <c r="AE87" s="13"/>
      <c r="AJ87" s="116"/>
      <c r="AK87" s="123"/>
      <c r="AL87" s="123"/>
      <c r="AM87" s="123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25"/>
      <c r="BC87" s="13"/>
      <c r="BF87" s="114"/>
    </row>
    <row r="88" spans="1:58" ht="20.100000000000001" customHeight="1" x14ac:dyDescent="0.4">
      <c r="A88" s="117"/>
      <c r="B88" s="123"/>
      <c r="C88" s="123"/>
      <c r="D88" s="123"/>
      <c r="F88" s="12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25">
        <v>45853</v>
      </c>
      <c r="T88" s="13" t="s">
        <v>146</v>
      </c>
      <c r="AD88" s="25"/>
      <c r="AE88" s="13"/>
      <c r="AJ88" s="116"/>
      <c r="AK88" s="123"/>
      <c r="AL88" s="123"/>
      <c r="AM88" s="123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25"/>
      <c r="BC88" s="13"/>
      <c r="BF88" s="114"/>
    </row>
    <row r="89" spans="1:58" ht="20.100000000000001" customHeight="1" x14ac:dyDescent="0.4">
      <c r="A89" s="117"/>
      <c r="B89" s="123"/>
      <c r="C89" s="123"/>
      <c r="D89" s="123"/>
      <c r="F89" s="12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25">
        <v>45853</v>
      </c>
      <c r="T89" s="13" t="s">
        <v>147</v>
      </c>
      <c r="AD89" s="25"/>
      <c r="AE89" s="13"/>
      <c r="AJ89" s="116"/>
      <c r="AK89" s="123"/>
      <c r="AL89" s="123"/>
      <c r="AM89" s="123"/>
      <c r="AR89" s="115"/>
      <c r="AS89" s="115"/>
      <c r="AT89" s="115"/>
      <c r="AU89" s="115"/>
      <c r="AV89" s="115"/>
      <c r="AW89" s="115"/>
      <c r="AX89" s="115"/>
      <c r="AY89" s="115"/>
      <c r="AZ89" s="115"/>
      <c r="BA89" s="115"/>
      <c r="BB89" s="25"/>
      <c r="BC89" s="13"/>
      <c r="BF89" s="114"/>
    </row>
    <row r="90" spans="1:58" ht="20.100000000000001" customHeight="1" x14ac:dyDescent="0.4">
      <c r="A90" s="117"/>
      <c r="B90" s="123"/>
      <c r="C90" s="123"/>
      <c r="D90" s="123"/>
      <c r="F90" s="12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25">
        <v>45853</v>
      </c>
      <c r="T90" s="13" t="s">
        <v>147</v>
      </c>
      <c r="AD90" s="25"/>
      <c r="AE90" s="13"/>
      <c r="AJ90" s="116"/>
      <c r="AK90" s="123"/>
      <c r="AL90" s="123"/>
      <c r="AM90" s="123"/>
      <c r="AR90" s="115"/>
      <c r="AS90" s="115"/>
      <c r="AT90" s="115"/>
      <c r="AU90" s="115"/>
      <c r="AV90" s="115"/>
      <c r="AW90" s="115"/>
      <c r="AX90" s="115"/>
      <c r="AY90" s="115"/>
      <c r="AZ90" s="115"/>
      <c r="BA90" s="115"/>
      <c r="BB90" s="25"/>
      <c r="BC90" s="13"/>
      <c r="BF90" s="114"/>
    </row>
    <row r="91" spans="1:58" ht="20.100000000000001" customHeight="1" x14ac:dyDescent="0.4">
      <c r="A91" s="117"/>
      <c r="B91" s="123"/>
      <c r="C91" s="123"/>
      <c r="D91" s="123"/>
      <c r="F91" s="12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25">
        <v>45853</v>
      </c>
      <c r="T91" s="13" t="s">
        <v>147</v>
      </c>
      <c r="AD91" s="25"/>
      <c r="AE91" s="13"/>
      <c r="AJ91" s="116"/>
      <c r="AK91" s="123"/>
      <c r="AL91" s="123"/>
      <c r="AM91" s="123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25"/>
      <c r="BC91" s="13"/>
      <c r="BF91" s="114"/>
    </row>
    <row r="92" spans="1:58" ht="20.100000000000001" customHeight="1" x14ac:dyDescent="0.4">
      <c r="A92" s="117"/>
      <c r="B92" s="123"/>
      <c r="C92" s="123"/>
      <c r="D92" s="123"/>
      <c r="F92" s="125"/>
      <c r="S92" s="25">
        <v>45853</v>
      </c>
      <c r="T92" s="13" t="s">
        <v>146</v>
      </c>
      <c r="Z92" s="115"/>
      <c r="AA92" s="115"/>
      <c r="AB92" s="115"/>
      <c r="AC92" s="115"/>
      <c r="AD92" s="25">
        <v>45669</v>
      </c>
      <c r="AE92" s="13" t="s">
        <v>147</v>
      </c>
      <c r="AJ92" s="116"/>
      <c r="AK92" s="123"/>
      <c r="AL92" s="123"/>
      <c r="AM92" s="123"/>
      <c r="AR92" s="115"/>
      <c r="AS92" s="115"/>
      <c r="AT92" s="115"/>
      <c r="AU92" s="115"/>
      <c r="AV92" s="115"/>
      <c r="AW92" s="115"/>
      <c r="AX92" s="115"/>
      <c r="AY92" s="115"/>
      <c r="AZ92" s="115"/>
      <c r="BA92" s="115"/>
      <c r="BB92" s="25"/>
      <c r="BC92" s="13"/>
      <c r="BF92" s="114"/>
    </row>
    <row r="93" spans="1:58" ht="20.100000000000001" customHeight="1" x14ac:dyDescent="0.4">
      <c r="A93" s="117"/>
      <c r="B93" s="123"/>
      <c r="C93" s="123"/>
      <c r="D93" s="123"/>
      <c r="F93" s="125"/>
      <c r="N93" s="115"/>
      <c r="O93" s="115"/>
      <c r="P93" s="115"/>
      <c r="Q93" s="115"/>
      <c r="R93" s="115"/>
      <c r="S93" s="25">
        <v>45853</v>
      </c>
      <c r="T93" s="13" t="s">
        <v>148</v>
      </c>
      <c r="Z93" s="115"/>
      <c r="AA93" s="115"/>
      <c r="AB93" s="115"/>
      <c r="AC93" s="115"/>
      <c r="AD93" s="25"/>
      <c r="AE93" s="13"/>
      <c r="AJ93" s="116"/>
      <c r="AK93" s="123"/>
      <c r="AL93" s="123"/>
      <c r="AM93" s="123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25"/>
      <c r="BC93" s="13"/>
      <c r="BF93" s="114"/>
    </row>
    <row r="94" spans="1:58" ht="20.100000000000001" customHeight="1" x14ac:dyDescent="0.4">
      <c r="A94" s="117"/>
      <c r="B94" s="123"/>
      <c r="C94" s="123"/>
      <c r="D94" s="123"/>
      <c r="F94" s="125"/>
      <c r="S94" s="25">
        <v>45853</v>
      </c>
      <c r="T94" s="15" t="s">
        <v>147</v>
      </c>
      <c r="Z94" s="115"/>
      <c r="AA94" s="115"/>
      <c r="AB94" s="115"/>
      <c r="AC94" s="115"/>
      <c r="AD94" s="25"/>
      <c r="AE94" s="13"/>
      <c r="AJ94" s="116"/>
      <c r="AK94" s="123"/>
      <c r="AL94" s="123"/>
      <c r="AM94" s="123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25"/>
      <c r="BC94" s="13"/>
      <c r="BF94" s="114"/>
    </row>
    <row r="95" spans="1:58" ht="20.100000000000001" customHeight="1" x14ac:dyDescent="0.4">
      <c r="A95" s="117"/>
      <c r="B95" s="123"/>
      <c r="C95" s="123"/>
      <c r="D95" s="123"/>
      <c r="F95" s="12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25">
        <v>45853</v>
      </c>
      <c r="T95" s="15" t="s">
        <v>146</v>
      </c>
      <c r="Z95" s="115"/>
      <c r="AA95" s="115"/>
      <c r="AB95" s="115"/>
      <c r="AC95" s="115"/>
      <c r="AD95" s="25"/>
      <c r="AE95" s="13"/>
      <c r="AJ95" s="116"/>
      <c r="AK95" s="123"/>
      <c r="AL95" s="123"/>
      <c r="AM95" s="123"/>
      <c r="AR95" s="115"/>
      <c r="AS95" s="115"/>
      <c r="AT95" s="115"/>
      <c r="AU95" s="115"/>
      <c r="AV95" s="115"/>
      <c r="AW95" s="115"/>
      <c r="AX95" s="115"/>
      <c r="AY95" s="115"/>
      <c r="AZ95" s="115"/>
      <c r="BA95" s="115"/>
      <c r="BB95" s="25"/>
      <c r="BC95" s="13"/>
      <c r="BF95" s="114"/>
    </row>
    <row r="96" spans="1:58" ht="20.100000000000001" customHeight="1" x14ac:dyDescent="0.4">
      <c r="A96" s="117"/>
      <c r="B96" s="123"/>
      <c r="C96" s="123"/>
      <c r="D96" s="123"/>
      <c r="F96" s="12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25">
        <v>45853</v>
      </c>
      <c r="T96" s="15" t="s">
        <v>146</v>
      </c>
      <c r="Z96" s="115"/>
      <c r="AA96" s="115"/>
      <c r="AB96" s="115"/>
      <c r="AC96" s="115"/>
      <c r="AD96" s="25"/>
      <c r="AE96" s="13"/>
      <c r="AJ96" s="116"/>
      <c r="AK96" s="123"/>
      <c r="AL96" s="123"/>
      <c r="AM96" s="123"/>
      <c r="AR96" s="115"/>
      <c r="AS96" s="115"/>
      <c r="AT96" s="115"/>
      <c r="AU96" s="115"/>
      <c r="AV96" s="115"/>
      <c r="AW96" s="115"/>
      <c r="AX96" s="115"/>
      <c r="AY96" s="115"/>
      <c r="AZ96" s="115"/>
      <c r="BA96" s="115"/>
      <c r="BB96" s="25"/>
      <c r="BC96" s="13"/>
      <c r="BF96" s="114"/>
    </row>
    <row r="97" spans="1:58" ht="20.100000000000001" customHeight="1" x14ac:dyDescent="0.4">
      <c r="A97" s="117"/>
      <c r="B97" s="123"/>
      <c r="C97" s="123"/>
      <c r="D97" s="123"/>
      <c r="F97" s="12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25">
        <v>45853</v>
      </c>
      <c r="T97" s="13" t="s">
        <v>147</v>
      </c>
      <c r="Z97" s="115"/>
      <c r="AA97" s="115"/>
      <c r="AB97" s="115"/>
      <c r="AC97" s="115"/>
      <c r="AD97" s="25"/>
      <c r="AE97" s="13"/>
      <c r="AJ97" s="116"/>
      <c r="AK97" s="123"/>
      <c r="AL97" s="123"/>
      <c r="AM97" s="123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25"/>
      <c r="BC97" s="13"/>
      <c r="BF97" s="114"/>
    </row>
    <row r="98" spans="1:58" ht="20.100000000000001" customHeight="1" x14ac:dyDescent="0.4">
      <c r="A98" s="117"/>
      <c r="B98" s="123"/>
      <c r="C98" s="123"/>
      <c r="D98" s="123"/>
      <c r="F98" s="12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25">
        <v>45853</v>
      </c>
      <c r="T98" s="13" t="s">
        <v>146</v>
      </c>
      <c r="Z98" s="115"/>
      <c r="AA98" s="115"/>
      <c r="AB98" s="115"/>
      <c r="AC98" s="115"/>
      <c r="AD98" s="25"/>
      <c r="AE98" s="13"/>
      <c r="AJ98" s="116"/>
      <c r="AK98" s="123"/>
      <c r="AL98" s="123"/>
      <c r="AM98" s="123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25"/>
      <c r="BC98" s="13"/>
      <c r="BF98" s="114"/>
    </row>
    <row r="99" spans="1:58" ht="20.100000000000001" customHeight="1" x14ac:dyDescent="0.4">
      <c r="A99" s="117"/>
      <c r="B99" s="123"/>
      <c r="C99" s="123"/>
      <c r="D99" s="123"/>
      <c r="F99" s="12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 t="s">
        <v>345</v>
      </c>
      <c r="S99" s="13">
        <f>SUBTOTAL(3,S84:S98)</f>
        <v>15</v>
      </c>
      <c r="T99" s="13">
        <f>SUBTOTAL(3,T84:T98)</f>
        <v>15</v>
      </c>
      <c r="Z99" s="115"/>
      <c r="AA99" s="115"/>
      <c r="AB99" s="115"/>
      <c r="AC99" s="115"/>
      <c r="AD99" s="25"/>
      <c r="AE99" s="13"/>
      <c r="AJ99" s="116"/>
      <c r="AK99" s="123"/>
      <c r="AL99" s="123"/>
      <c r="AM99" s="123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25"/>
      <c r="BC99" s="13"/>
      <c r="BF99" s="114"/>
    </row>
    <row r="100" spans="1:58" ht="20.100000000000001" customHeight="1" x14ac:dyDescent="0.4">
      <c r="A100" s="117"/>
      <c r="B100" s="123"/>
      <c r="C100" s="123"/>
      <c r="D100" s="123"/>
      <c r="F100" s="12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25">
        <v>45854</v>
      </c>
      <c r="T100" s="13" t="s">
        <v>147</v>
      </c>
      <c r="Z100" s="115"/>
      <c r="AA100" s="115"/>
      <c r="AB100" s="115"/>
      <c r="AC100" s="115"/>
      <c r="AD100" s="25"/>
      <c r="AE100" s="13"/>
      <c r="AJ100" s="116"/>
      <c r="AK100" s="123"/>
      <c r="AL100" s="123"/>
      <c r="AM100" s="123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25"/>
      <c r="BC100" s="13"/>
      <c r="BF100" s="114"/>
    </row>
    <row r="101" spans="1:58" ht="20.100000000000001" customHeight="1" x14ac:dyDescent="0.4">
      <c r="A101" s="117"/>
      <c r="B101" s="123"/>
      <c r="C101" s="123"/>
      <c r="D101" s="123"/>
      <c r="F101" s="12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25">
        <v>45854</v>
      </c>
      <c r="T101" s="13" t="s">
        <v>147</v>
      </c>
      <c r="Z101" s="115"/>
      <c r="AA101" s="115"/>
      <c r="AB101" s="115"/>
      <c r="AC101" s="115"/>
      <c r="AD101" s="25"/>
      <c r="AE101" s="13"/>
      <c r="AJ101" s="116"/>
      <c r="AK101" s="123"/>
      <c r="AL101" s="123"/>
      <c r="AM101" s="123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25"/>
      <c r="BC101" s="13"/>
      <c r="BF101" s="114"/>
    </row>
    <row r="102" spans="1:58" ht="20.100000000000001" customHeight="1" x14ac:dyDescent="0.4">
      <c r="A102" s="117"/>
      <c r="B102" s="123"/>
      <c r="C102" s="123"/>
      <c r="D102" s="123"/>
      <c r="F102" s="12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 t="s">
        <v>197</v>
      </c>
      <c r="S102" s="13">
        <f>SUBTOTAL(3,S100:S101)</f>
        <v>2</v>
      </c>
      <c r="T102" s="13">
        <f>SUBTOTAL(3,T100:T101)</f>
        <v>2</v>
      </c>
      <c r="Z102" s="115"/>
      <c r="AA102" s="115"/>
      <c r="AB102" s="115"/>
      <c r="AC102" s="115"/>
      <c r="AD102" s="25"/>
      <c r="AE102" s="13"/>
      <c r="AJ102" s="116"/>
      <c r="AK102" s="123"/>
      <c r="AL102" s="123"/>
      <c r="AM102" s="123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25"/>
      <c r="BC102" s="13"/>
      <c r="BF102" s="114"/>
    </row>
    <row r="103" spans="1:58" ht="20.100000000000001" customHeight="1" x14ac:dyDescent="0.4">
      <c r="A103" s="117"/>
      <c r="B103" s="123"/>
      <c r="C103" s="123"/>
      <c r="D103" s="123"/>
      <c r="F103" s="12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25">
        <v>45855</v>
      </c>
      <c r="T103" s="13" t="s">
        <v>146</v>
      </c>
      <c r="Z103" s="115"/>
      <c r="AA103" s="115"/>
      <c r="AB103" s="115"/>
      <c r="AC103" s="115"/>
      <c r="AD103" s="25"/>
      <c r="AE103" s="13"/>
      <c r="AJ103" s="116"/>
      <c r="AK103" s="123"/>
      <c r="AL103" s="123"/>
      <c r="AM103" s="123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25"/>
      <c r="BC103" s="13"/>
      <c r="BF103" s="114"/>
    </row>
    <row r="104" spans="1:58" ht="20.100000000000001" customHeight="1" x14ac:dyDescent="0.4">
      <c r="A104" s="117"/>
      <c r="B104" s="123"/>
      <c r="C104" s="123"/>
      <c r="D104" s="123"/>
      <c r="F104" s="12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25">
        <v>45855</v>
      </c>
      <c r="T104" s="13" t="s">
        <v>146</v>
      </c>
      <c r="Z104" s="115"/>
      <c r="AA104" s="115"/>
      <c r="AB104" s="115"/>
      <c r="AC104" s="115"/>
      <c r="AD104" s="25"/>
      <c r="AE104" s="13"/>
      <c r="AJ104" s="116"/>
      <c r="AK104" s="123"/>
      <c r="AL104" s="123"/>
      <c r="AM104" s="123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25"/>
      <c r="BC104" s="13"/>
      <c r="BF104" s="114"/>
    </row>
    <row r="105" spans="1:58" ht="20.100000000000001" customHeight="1" x14ac:dyDescent="0.4">
      <c r="A105" s="117"/>
      <c r="B105" s="123"/>
      <c r="C105" s="123"/>
      <c r="D105" s="123"/>
      <c r="F105" s="12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 t="s">
        <v>346</v>
      </c>
      <c r="S105" s="13">
        <f>SUBTOTAL(3,S103:S104)</f>
        <v>2</v>
      </c>
      <c r="T105" s="13">
        <f>SUBTOTAL(3,T103:T104)</f>
        <v>2</v>
      </c>
      <c r="Z105" s="115"/>
      <c r="AA105" s="115"/>
      <c r="AB105" s="115"/>
      <c r="AC105" s="115"/>
      <c r="AD105" s="25"/>
      <c r="AE105" s="13"/>
      <c r="AJ105" s="116"/>
      <c r="AK105" s="123"/>
      <c r="AL105" s="123"/>
      <c r="AM105" s="123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25"/>
      <c r="BC105" s="13"/>
      <c r="BF105" s="114"/>
    </row>
    <row r="106" spans="1:58" ht="20.100000000000001" customHeight="1" x14ac:dyDescent="0.4">
      <c r="A106" s="117"/>
      <c r="B106" s="123"/>
      <c r="C106" s="123"/>
      <c r="D106" s="123"/>
      <c r="F106" s="12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25">
        <v>45856</v>
      </c>
      <c r="T106" s="15" t="s">
        <v>147</v>
      </c>
      <c r="Z106" s="115"/>
      <c r="AA106" s="115"/>
      <c r="AB106" s="115"/>
      <c r="AC106" s="115"/>
      <c r="AD106" s="25"/>
      <c r="AE106" s="13"/>
      <c r="AJ106" s="116"/>
      <c r="AK106" s="123"/>
      <c r="AL106" s="123"/>
      <c r="AM106" s="123"/>
      <c r="AR106" s="115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25"/>
      <c r="BC106" s="13"/>
      <c r="BF106" s="114"/>
    </row>
    <row r="107" spans="1:58" ht="20.100000000000001" customHeight="1" x14ac:dyDescent="0.4">
      <c r="A107" s="117"/>
      <c r="B107" s="123"/>
      <c r="C107" s="123"/>
      <c r="D107" s="123"/>
      <c r="F107" s="12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25">
        <v>45856</v>
      </c>
      <c r="T107" s="15" t="s">
        <v>147</v>
      </c>
      <c r="Z107" s="115"/>
      <c r="AA107" s="115"/>
      <c r="AB107" s="115"/>
      <c r="AC107" s="115"/>
      <c r="AD107" s="25"/>
      <c r="AE107" s="13"/>
      <c r="AJ107" s="116"/>
      <c r="AK107" s="123"/>
      <c r="AL107" s="123"/>
      <c r="AM107" s="123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25"/>
      <c r="BC107" s="13"/>
      <c r="BF107" s="114"/>
    </row>
    <row r="108" spans="1:58" ht="20.100000000000001" customHeight="1" x14ac:dyDescent="0.4">
      <c r="A108" s="117"/>
      <c r="B108" s="123"/>
      <c r="C108" s="123"/>
      <c r="D108" s="123"/>
      <c r="F108" s="12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25">
        <v>45856</v>
      </c>
      <c r="T108" s="15" t="s">
        <v>148</v>
      </c>
      <c r="Z108" s="115"/>
      <c r="AA108" s="115"/>
      <c r="AB108" s="115"/>
      <c r="AC108" s="115"/>
      <c r="AD108" s="25"/>
      <c r="AE108" s="13"/>
      <c r="AJ108" s="116"/>
      <c r="AK108" s="123"/>
      <c r="AL108" s="123"/>
      <c r="AM108" s="123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25"/>
      <c r="BC108" s="13"/>
      <c r="BF108" s="114"/>
    </row>
    <row r="109" spans="1:58" ht="20.100000000000001" customHeight="1" x14ac:dyDescent="0.4">
      <c r="A109" s="117"/>
      <c r="B109" s="123"/>
      <c r="C109" s="123"/>
      <c r="D109" s="123"/>
      <c r="F109" s="12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25">
        <v>45856</v>
      </c>
      <c r="T109" s="15" t="s">
        <v>147</v>
      </c>
      <c r="Z109" s="115"/>
      <c r="AA109" s="115"/>
      <c r="AB109" s="115"/>
      <c r="AC109" s="115"/>
      <c r="AD109" s="25"/>
      <c r="AE109" s="13"/>
      <c r="AJ109" s="116"/>
      <c r="AK109" s="123"/>
      <c r="AL109" s="123"/>
      <c r="AM109" s="123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25"/>
      <c r="BC109" s="13"/>
      <c r="BF109" s="114"/>
    </row>
    <row r="110" spans="1:58" ht="20.100000000000001" customHeight="1" x14ac:dyDescent="0.4">
      <c r="A110" s="117"/>
      <c r="B110" s="123"/>
      <c r="C110" s="123"/>
      <c r="D110" s="123"/>
      <c r="F110" s="12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25">
        <v>45856</v>
      </c>
      <c r="T110" s="15" t="s">
        <v>146</v>
      </c>
      <c r="Z110" s="115"/>
      <c r="AA110" s="115"/>
      <c r="AB110" s="115"/>
      <c r="AC110" s="115"/>
      <c r="AD110" s="25"/>
      <c r="AE110" s="13"/>
      <c r="AJ110" s="116"/>
      <c r="AK110" s="123"/>
      <c r="AL110" s="123"/>
      <c r="AM110" s="123"/>
      <c r="AR110" s="115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25"/>
      <c r="BC110" s="13"/>
      <c r="BF110" s="114"/>
    </row>
    <row r="111" spans="1:58" ht="20.100000000000001" customHeight="1" x14ac:dyDescent="0.4">
      <c r="A111" s="117"/>
      <c r="B111" s="123"/>
      <c r="C111" s="123"/>
      <c r="D111" s="123"/>
      <c r="F111" s="12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 t="s">
        <v>347</v>
      </c>
      <c r="S111" s="13">
        <f>SUBTOTAL(3,S106:S110)</f>
        <v>5</v>
      </c>
      <c r="T111" s="15">
        <f>SUBTOTAL(3,T106:T110)</f>
        <v>5</v>
      </c>
      <c r="Z111" s="115"/>
      <c r="AA111" s="115"/>
      <c r="AB111" s="115"/>
      <c r="AC111" s="115"/>
      <c r="AD111" s="25"/>
      <c r="AE111" s="13"/>
      <c r="AJ111" s="116"/>
      <c r="AK111" s="123"/>
      <c r="AL111" s="123"/>
      <c r="AM111" s="123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115"/>
      <c r="BB111" s="25"/>
      <c r="BC111" s="13"/>
      <c r="BF111" s="114"/>
    </row>
    <row r="112" spans="1:58" ht="20.100000000000001" customHeight="1" x14ac:dyDescent="0.4">
      <c r="A112" s="117"/>
      <c r="B112" s="123"/>
      <c r="C112" s="123"/>
      <c r="D112" s="123"/>
      <c r="F112" s="125"/>
      <c r="S112" s="25">
        <v>45858</v>
      </c>
      <c r="T112" s="15" t="s">
        <v>148</v>
      </c>
      <c r="Z112" s="115"/>
      <c r="AA112" s="115"/>
      <c r="AB112" s="115"/>
      <c r="AC112" s="115"/>
      <c r="AD112" s="25">
        <v>45671</v>
      </c>
      <c r="AE112" s="13" t="s">
        <v>146</v>
      </c>
      <c r="AJ112" s="116"/>
      <c r="AK112" s="123"/>
      <c r="AL112" s="123"/>
      <c r="AM112" s="123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25"/>
      <c r="BC112" s="13"/>
      <c r="BF112" s="114"/>
    </row>
    <row r="113" spans="1:58" ht="20.100000000000001" customHeight="1" x14ac:dyDescent="0.4">
      <c r="A113" s="117"/>
      <c r="B113" s="123"/>
      <c r="C113" s="123"/>
      <c r="D113" s="123"/>
      <c r="F113" s="125"/>
      <c r="J113" s="115"/>
      <c r="K113" s="115"/>
      <c r="L113" s="115"/>
      <c r="M113" s="115"/>
      <c r="N113" s="115"/>
      <c r="O113" s="115"/>
      <c r="P113" s="115"/>
      <c r="Q113" s="115"/>
      <c r="R113" s="115"/>
      <c r="S113" s="25">
        <v>45858</v>
      </c>
      <c r="T113" s="15" t="s">
        <v>147</v>
      </c>
      <c r="Z113" s="115"/>
      <c r="AA113" s="115"/>
      <c r="AB113" s="115"/>
      <c r="AC113" s="115"/>
      <c r="AD113" s="25"/>
      <c r="AE113" s="13"/>
      <c r="AJ113" s="116"/>
      <c r="AK113" s="123"/>
      <c r="AL113" s="123"/>
      <c r="AM113" s="123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25"/>
      <c r="BC113" s="13"/>
      <c r="BF113" s="114"/>
    </row>
    <row r="114" spans="1:58" ht="20.100000000000001" customHeight="1" x14ac:dyDescent="0.4">
      <c r="A114" s="117"/>
      <c r="B114" s="123"/>
      <c r="C114" s="123"/>
      <c r="D114" s="123"/>
      <c r="F114" s="125"/>
      <c r="J114" s="115"/>
      <c r="K114" s="115"/>
      <c r="L114" s="115"/>
      <c r="M114" s="115"/>
      <c r="N114" s="115"/>
      <c r="O114" s="115"/>
      <c r="P114" s="115"/>
      <c r="Q114" s="115"/>
      <c r="R114" s="115"/>
      <c r="S114" s="25">
        <v>45858</v>
      </c>
      <c r="T114" s="15" t="s">
        <v>147</v>
      </c>
      <c r="Z114" s="115"/>
      <c r="AA114" s="115"/>
      <c r="AB114" s="115"/>
      <c r="AC114" s="115"/>
      <c r="AD114" s="25"/>
      <c r="AE114" s="13"/>
      <c r="AJ114" s="116"/>
      <c r="AK114" s="123"/>
      <c r="AL114" s="123"/>
      <c r="AM114" s="123"/>
      <c r="AR114" s="115"/>
      <c r="AS114" s="115"/>
      <c r="AT114" s="115"/>
      <c r="AU114" s="115"/>
      <c r="AV114" s="115"/>
      <c r="AW114" s="115"/>
      <c r="AX114" s="115"/>
      <c r="AY114" s="115"/>
      <c r="AZ114" s="115"/>
      <c r="BA114" s="115"/>
      <c r="BB114" s="25"/>
      <c r="BC114" s="13"/>
      <c r="BF114" s="114"/>
    </row>
    <row r="115" spans="1:58" ht="20.100000000000001" customHeight="1" x14ac:dyDescent="0.4">
      <c r="A115" s="117"/>
      <c r="B115" s="123"/>
      <c r="C115" s="123"/>
      <c r="D115" s="123"/>
      <c r="F115" s="125"/>
      <c r="S115" s="25">
        <v>45858</v>
      </c>
      <c r="T115" s="105" t="s">
        <v>147</v>
      </c>
      <c r="X115" s="115"/>
      <c r="Y115" s="115"/>
      <c r="Z115" s="115"/>
      <c r="AA115" s="115"/>
      <c r="AB115" s="115"/>
      <c r="AC115" s="115"/>
      <c r="AD115" s="25">
        <v>45671</v>
      </c>
      <c r="AE115" s="13" t="s">
        <v>148</v>
      </c>
      <c r="AJ115" s="116"/>
      <c r="AK115" s="123"/>
      <c r="AL115" s="123"/>
      <c r="AM115" s="123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25"/>
      <c r="BC115" s="13"/>
      <c r="BF115" s="114"/>
    </row>
    <row r="116" spans="1:58" ht="20.100000000000001" customHeight="1" x14ac:dyDescent="0.4">
      <c r="A116" s="117"/>
      <c r="B116" s="123"/>
      <c r="C116" s="123"/>
      <c r="D116" s="123"/>
      <c r="F116" s="125"/>
      <c r="Q116" s="115"/>
      <c r="R116" s="115"/>
      <c r="S116" s="26">
        <v>45858</v>
      </c>
      <c r="T116" s="105" t="s">
        <v>146</v>
      </c>
      <c r="X116" s="115"/>
      <c r="Y116" s="115"/>
      <c r="Z116" s="115"/>
      <c r="AA116" s="115"/>
      <c r="AB116" s="115"/>
      <c r="AC116" s="115"/>
      <c r="AD116" s="25"/>
      <c r="AE116" s="13"/>
      <c r="AJ116" s="116"/>
      <c r="AK116" s="123"/>
      <c r="AL116" s="123"/>
      <c r="AM116" s="123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25"/>
      <c r="BC116" s="13"/>
      <c r="BF116" s="114"/>
    </row>
    <row r="117" spans="1:58" ht="20.100000000000001" customHeight="1" x14ac:dyDescent="0.4">
      <c r="A117" s="117"/>
      <c r="B117" s="123"/>
      <c r="C117" s="123"/>
      <c r="D117" s="123"/>
      <c r="F117" s="125"/>
      <c r="P117" s="115"/>
      <c r="Q117" s="115"/>
      <c r="R117" s="115"/>
      <c r="S117" s="26">
        <v>45858</v>
      </c>
      <c r="T117" s="15" t="s">
        <v>146</v>
      </c>
      <c r="X117" s="115"/>
      <c r="Y117" s="115"/>
      <c r="Z117" s="115"/>
      <c r="AA117" s="115"/>
      <c r="AB117" s="115"/>
      <c r="AC117" s="115"/>
      <c r="AD117" s="25"/>
      <c r="AE117" s="13"/>
      <c r="AJ117" s="116"/>
      <c r="AK117" s="123"/>
      <c r="AL117" s="123"/>
      <c r="AM117" s="123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25"/>
      <c r="BC117" s="13"/>
      <c r="BF117" s="114"/>
    </row>
    <row r="118" spans="1:58" ht="20.100000000000001" customHeight="1" x14ac:dyDescent="0.4">
      <c r="A118" s="117"/>
      <c r="B118" s="123"/>
      <c r="C118" s="123"/>
      <c r="D118" s="123"/>
      <c r="F118" s="125"/>
      <c r="P118" s="115"/>
      <c r="Q118" s="115"/>
      <c r="R118" s="115" t="s">
        <v>348</v>
      </c>
      <c r="S118" s="17">
        <f>SUBTOTAL(3,S112:S117)</f>
        <v>6</v>
      </c>
      <c r="T118" s="15">
        <f>SUBTOTAL(3,T112:T117)</f>
        <v>6</v>
      </c>
      <c r="X118" s="115"/>
      <c r="Y118" s="115"/>
      <c r="Z118" s="115"/>
      <c r="AA118" s="115"/>
      <c r="AB118" s="115"/>
      <c r="AC118" s="115"/>
      <c r="AD118" s="25"/>
      <c r="AE118" s="13"/>
      <c r="AJ118" s="116"/>
      <c r="AK118" s="123"/>
      <c r="AL118" s="123"/>
      <c r="AM118" s="123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25"/>
      <c r="BC118" s="13"/>
      <c r="BF118" s="114"/>
    </row>
    <row r="119" spans="1:58" ht="20.100000000000001" customHeight="1" x14ac:dyDescent="0.4">
      <c r="A119" s="117"/>
      <c r="B119" s="123"/>
      <c r="C119" s="123"/>
      <c r="D119" s="123"/>
      <c r="S119" s="26">
        <v>45859</v>
      </c>
      <c r="T119" s="15" t="s">
        <v>147</v>
      </c>
      <c r="X119" s="115"/>
      <c r="Y119" s="115"/>
      <c r="Z119" s="115"/>
      <c r="AA119" s="115"/>
      <c r="AB119" s="115"/>
      <c r="AC119" s="115"/>
      <c r="AD119" s="25"/>
      <c r="AE119" s="13"/>
      <c r="AJ119" s="116"/>
      <c r="AK119" s="123"/>
      <c r="AL119" s="123"/>
      <c r="AM119" s="123"/>
      <c r="AR119" s="115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25"/>
      <c r="BC119" s="13"/>
      <c r="BF119" s="114"/>
    </row>
    <row r="120" spans="1:58" ht="20.100000000000001" customHeight="1" x14ac:dyDescent="0.4">
      <c r="A120" s="117"/>
      <c r="B120" s="123"/>
      <c r="C120" s="123"/>
      <c r="D120" s="123"/>
      <c r="N120" s="115"/>
      <c r="O120" s="115"/>
      <c r="P120" s="115"/>
      <c r="Q120" s="115"/>
      <c r="R120" s="115"/>
      <c r="S120" s="25">
        <v>45859</v>
      </c>
      <c r="T120" s="13" t="s">
        <v>147</v>
      </c>
      <c r="X120" s="115"/>
      <c r="Y120" s="115"/>
      <c r="Z120" s="115"/>
      <c r="AA120" s="115"/>
      <c r="AB120" s="115"/>
      <c r="AC120" s="115"/>
      <c r="AD120" s="25"/>
      <c r="AE120" s="13"/>
      <c r="AJ120" s="116"/>
      <c r="AK120" s="123"/>
      <c r="AL120" s="123"/>
      <c r="AM120" s="123"/>
      <c r="AR120" s="115"/>
      <c r="AS120" s="115"/>
      <c r="AT120" s="115"/>
      <c r="AU120" s="115"/>
      <c r="AV120" s="115"/>
      <c r="AW120" s="115"/>
      <c r="AX120" s="115"/>
      <c r="AY120" s="115"/>
      <c r="AZ120" s="115"/>
      <c r="BA120" s="115"/>
      <c r="BB120" s="25"/>
      <c r="BC120" s="13"/>
      <c r="BF120" s="114"/>
    </row>
    <row r="121" spans="1:58" ht="20.100000000000001" customHeight="1" x14ac:dyDescent="0.4">
      <c r="A121" s="117"/>
      <c r="B121" s="123"/>
      <c r="C121" s="123"/>
      <c r="D121" s="123"/>
      <c r="N121" s="115"/>
      <c r="O121" s="115"/>
      <c r="P121" s="115"/>
      <c r="Q121" s="115"/>
      <c r="R121" s="115"/>
      <c r="S121" s="25">
        <v>45859</v>
      </c>
      <c r="T121" s="13" t="s">
        <v>146</v>
      </c>
      <c r="X121" s="115"/>
      <c r="Y121" s="115"/>
      <c r="Z121" s="115"/>
      <c r="AA121" s="115"/>
      <c r="AB121" s="115"/>
      <c r="AC121" s="115"/>
      <c r="AD121" s="25"/>
      <c r="AE121" s="13"/>
      <c r="AJ121" s="116"/>
      <c r="AK121" s="123"/>
      <c r="AL121" s="123"/>
      <c r="AM121" s="123"/>
      <c r="AR121" s="115"/>
      <c r="AS121" s="115"/>
      <c r="AT121" s="115"/>
      <c r="AU121" s="115"/>
      <c r="AV121" s="115"/>
      <c r="AW121" s="115"/>
      <c r="AX121" s="115"/>
      <c r="AY121" s="115"/>
      <c r="AZ121" s="115"/>
      <c r="BA121" s="115"/>
      <c r="BB121" s="25"/>
      <c r="BC121" s="13"/>
      <c r="BF121" s="114"/>
    </row>
    <row r="122" spans="1:58" ht="20.100000000000001" customHeight="1" x14ac:dyDescent="0.4">
      <c r="A122" s="117"/>
      <c r="B122" s="123"/>
      <c r="C122" s="123"/>
      <c r="D122" s="123"/>
      <c r="N122" s="115"/>
      <c r="O122" s="115"/>
      <c r="P122" s="115"/>
      <c r="Q122" s="115"/>
      <c r="R122" s="115"/>
      <c r="S122" s="25">
        <v>45859</v>
      </c>
      <c r="T122" s="13" t="s">
        <v>146</v>
      </c>
      <c r="X122" s="115"/>
      <c r="Y122" s="115"/>
      <c r="Z122" s="115"/>
      <c r="AA122" s="115"/>
      <c r="AB122" s="115"/>
      <c r="AC122" s="115"/>
      <c r="AD122" s="25"/>
      <c r="AE122" s="13"/>
      <c r="AJ122" s="116"/>
      <c r="AK122" s="123"/>
      <c r="AL122" s="123"/>
      <c r="AM122" s="123"/>
      <c r="AR122" s="115"/>
      <c r="AS122" s="115"/>
      <c r="AT122" s="115"/>
      <c r="AU122" s="115"/>
      <c r="AV122" s="115"/>
      <c r="AW122" s="115"/>
      <c r="AX122" s="115"/>
      <c r="AY122" s="115"/>
      <c r="AZ122" s="115"/>
      <c r="BA122" s="115"/>
      <c r="BB122" s="25"/>
      <c r="BC122" s="13"/>
      <c r="BF122" s="114"/>
    </row>
    <row r="123" spans="1:58" ht="20.100000000000001" customHeight="1" x14ac:dyDescent="0.4">
      <c r="A123" s="117"/>
      <c r="B123" s="123"/>
      <c r="C123" s="123"/>
      <c r="D123" s="123"/>
      <c r="N123" s="115"/>
      <c r="O123" s="115"/>
      <c r="P123" s="115"/>
      <c r="Q123" s="115"/>
      <c r="R123" s="115"/>
      <c r="S123" s="25">
        <v>45859</v>
      </c>
      <c r="T123" s="13" t="s">
        <v>146</v>
      </c>
      <c r="X123" s="115"/>
      <c r="Y123" s="115"/>
      <c r="Z123" s="115"/>
      <c r="AA123" s="115"/>
      <c r="AB123" s="115"/>
      <c r="AC123" s="115"/>
      <c r="AD123" s="25"/>
      <c r="AE123" s="13"/>
      <c r="AJ123" s="116"/>
      <c r="AK123" s="123"/>
      <c r="AL123" s="123"/>
      <c r="AM123" s="123"/>
      <c r="AR123" s="115"/>
      <c r="AS123" s="115"/>
      <c r="AT123" s="115"/>
      <c r="AU123" s="115"/>
      <c r="AV123" s="115"/>
      <c r="AW123" s="115"/>
      <c r="AX123" s="115"/>
      <c r="AY123" s="115"/>
      <c r="AZ123" s="115"/>
      <c r="BA123" s="115"/>
      <c r="BB123" s="25"/>
      <c r="BC123" s="13"/>
      <c r="BF123" s="114"/>
    </row>
    <row r="124" spans="1:58" ht="20.100000000000001" customHeight="1" x14ac:dyDescent="0.4">
      <c r="A124" s="117"/>
      <c r="B124" s="123"/>
      <c r="C124" s="123"/>
      <c r="D124" s="123"/>
      <c r="N124" s="115"/>
      <c r="O124" s="115"/>
      <c r="P124" s="115"/>
      <c r="Q124" s="115"/>
      <c r="R124" s="115" t="s">
        <v>349</v>
      </c>
      <c r="S124" s="13">
        <f>SUBTOTAL(3,S119:S123)</f>
        <v>5</v>
      </c>
      <c r="T124" s="13">
        <f>SUBTOTAL(3,T119:T123)</f>
        <v>5</v>
      </c>
      <c r="X124" s="115"/>
      <c r="Y124" s="115"/>
      <c r="Z124" s="115"/>
      <c r="AA124" s="115"/>
      <c r="AB124" s="115"/>
      <c r="AC124" s="115"/>
      <c r="AD124" s="25"/>
      <c r="AE124" s="13"/>
      <c r="AJ124" s="116"/>
      <c r="AK124" s="123"/>
      <c r="AL124" s="123"/>
      <c r="AM124" s="123"/>
      <c r="AR124" s="115"/>
      <c r="AS124" s="115"/>
      <c r="AT124" s="115"/>
      <c r="AU124" s="115"/>
      <c r="AV124" s="115"/>
      <c r="AW124" s="115"/>
      <c r="AX124" s="115"/>
      <c r="AY124" s="115"/>
      <c r="AZ124" s="115"/>
      <c r="BA124" s="115"/>
      <c r="BB124" s="25"/>
      <c r="BC124" s="13"/>
      <c r="BF124" s="114"/>
    </row>
    <row r="125" spans="1:58" ht="20.100000000000001" customHeight="1" x14ac:dyDescent="0.4">
      <c r="A125" s="117"/>
      <c r="B125" s="123"/>
      <c r="C125" s="123"/>
      <c r="D125" s="123"/>
      <c r="S125" s="25">
        <v>45861</v>
      </c>
      <c r="T125" s="13" t="s">
        <v>146</v>
      </c>
      <c r="X125" s="115"/>
      <c r="Y125" s="115"/>
      <c r="Z125" s="115"/>
      <c r="AA125" s="115"/>
      <c r="AB125" s="115"/>
      <c r="AC125" s="115"/>
      <c r="AD125" s="25"/>
      <c r="AE125" s="13"/>
      <c r="AJ125" s="116"/>
      <c r="AK125" s="123"/>
      <c r="AL125" s="123"/>
      <c r="AM125" s="123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25"/>
      <c r="BC125" s="13"/>
      <c r="BF125" s="114"/>
    </row>
    <row r="126" spans="1:58" ht="20.100000000000001" customHeight="1" x14ac:dyDescent="0.4">
      <c r="A126" s="117"/>
      <c r="B126" s="123"/>
      <c r="C126" s="123"/>
      <c r="D126" s="123"/>
      <c r="M126" s="115"/>
      <c r="N126" s="115"/>
      <c r="O126" s="115"/>
      <c r="P126" s="115"/>
      <c r="Q126" s="115"/>
      <c r="R126" s="115"/>
      <c r="S126" s="25">
        <v>45861</v>
      </c>
      <c r="T126" s="13" t="s">
        <v>147</v>
      </c>
      <c r="X126" s="115"/>
      <c r="Y126" s="115"/>
      <c r="Z126" s="115"/>
      <c r="AA126" s="115"/>
      <c r="AB126" s="115"/>
      <c r="AC126" s="115"/>
      <c r="AD126" s="25"/>
      <c r="AE126" s="13"/>
      <c r="AJ126" s="116"/>
      <c r="AK126" s="123"/>
      <c r="AL126" s="123"/>
      <c r="AM126" s="123"/>
      <c r="AR126" s="115"/>
      <c r="AS126" s="115"/>
      <c r="AT126" s="115"/>
      <c r="AU126" s="115"/>
      <c r="AV126" s="115"/>
      <c r="AW126" s="115"/>
      <c r="AX126" s="115"/>
      <c r="AY126" s="115"/>
      <c r="AZ126" s="115"/>
      <c r="BA126" s="115"/>
      <c r="BB126" s="25"/>
      <c r="BC126" s="13"/>
      <c r="BF126" s="114"/>
    </row>
    <row r="127" spans="1:58" ht="20.100000000000001" customHeight="1" x14ac:dyDescent="0.4">
      <c r="A127" s="117"/>
      <c r="B127" s="123"/>
      <c r="C127" s="123"/>
      <c r="D127" s="123"/>
      <c r="M127" s="115"/>
      <c r="N127" s="115"/>
      <c r="O127" s="115"/>
      <c r="P127" s="115"/>
      <c r="Q127" s="115"/>
      <c r="R127" s="115"/>
      <c r="S127" s="25">
        <v>45861</v>
      </c>
      <c r="T127" s="13" t="s">
        <v>147</v>
      </c>
      <c r="X127" s="115"/>
      <c r="Y127" s="115"/>
      <c r="Z127" s="115"/>
      <c r="AA127" s="115"/>
      <c r="AB127" s="115"/>
      <c r="AC127" s="115"/>
      <c r="AD127" s="25"/>
      <c r="AE127" s="13"/>
      <c r="AJ127" s="116"/>
      <c r="AK127" s="123"/>
      <c r="AL127" s="123"/>
      <c r="AM127" s="123"/>
      <c r="AR127" s="115"/>
      <c r="AS127" s="115"/>
      <c r="AT127" s="115"/>
      <c r="AU127" s="115"/>
      <c r="AV127" s="115"/>
      <c r="AW127" s="115"/>
      <c r="AX127" s="115"/>
      <c r="AY127" s="115"/>
      <c r="AZ127" s="115"/>
      <c r="BA127" s="115"/>
      <c r="BB127" s="25"/>
      <c r="BC127" s="13"/>
      <c r="BF127" s="114"/>
    </row>
    <row r="128" spans="1:58" ht="20.100000000000001" customHeight="1" x14ac:dyDescent="0.4">
      <c r="A128" s="117"/>
      <c r="B128" s="123"/>
      <c r="C128" s="123"/>
      <c r="D128" s="123"/>
      <c r="S128" s="25">
        <v>45861</v>
      </c>
      <c r="T128" s="13" t="s">
        <v>142</v>
      </c>
      <c r="X128" s="115"/>
      <c r="Y128" s="115"/>
      <c r="Z128" s="115"/>
      <c r="AA128" s="115"/>
      <c r="AB128" s="115"/>
      <c r="AC128" s="115"/>
      <c r="AD128" s="25"/>
      <c r="AE128" s="13"/>
      <c r="AJ128" s="116"/>
      <c r="AK128" s="123"/>
      <c r="AL128" s="123"/>
      <c r="AM128" s="123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25"/>
      <c r="BC128" s="13"/>
      <c r="BF128" s="114"/>
    </row>
    <row r="129" spans="1:58" ht="20.100000000000001" customHeight="1" x14ac:dyDescent="0.4">
      <c r="A129" s="117"/>
      <c r="B129" s="123"/>
      <c r="C129" s="123"/>
      <c r="D129" s="123"/>
      <c r="K129" s="115"/>
      <c r="L129" s="115"/>
      <c r="M129" s="115"/>
      <c r="N129" s="115"/>
      <c r="O129" s="115"/>
      <c r="P129" s="115"/>
      <c r="Q129" s="115"/>
      <c r="R129" s="115"/>
      <c r="S129" s="25">
        <v>45861</v>
      </c>
      <c r="T129" s="13" t="s">
        <v>146</v>
      </c>
      <c r="X129" s="115"/>
      <c r="Y129" s="115"/>
      <c r="Z129" s="115"/>
      <c r="AA129" s="115"/>
      <c r="AB129" s="115"/>
      <c r="AC129" s="115"/>
      <c r="AD129" s="25"/>
      <c r="AE129" s="13"/>
      <c r="AJ129" s="116"/>
      <c r="AK129" s="123"/>
      <c r="AL129" s="123"/>
      <c r="AM129" s="123"/>
      <c r="AR129" s="115"/>
      <c r="AS129" s="115"/>
      <c r="AT129" s="115"/>
      <c r="AU129" s="115"/>
      <c r="AV129" s="115"/>
      <c r="AW129" s="115"/>
      <c r="AX129" s="115"/>
      <c r="AY129" s="115"/>
      <c r="AZ129" s="115"/>
      <c r="BA129" s="115"/>
      <c r="BB129" s="25"/>
      <c r="BC129" s="13"/>
      <c r="BF129" s="114"/>
    </row>
    <row r="130" spans="1:58" ht="20.100000000000001" customHeight="1" x14ac:dyDescent="0.4">
      <c r="A130" s="117"/>
      <c r="B130" s="123"/>
      <c r="C130" s="123"/>
      <c r="D130" s="123"/>
      <c r="J130" s="115"/>
      <c r="K130" s="115"/>
      <c r="L130" s="115"/>
      <c r="M130" s="115"/>
      <c r="N130" s="115"/>
      <c r="O130" s="115"/>
      <c r="P130" s="115"/>
      <c r="Q130" s="115"/>
      <c r="R130" s="115"/>
      <c r="S130" s="25">
        <v>45861</v>
      </c>
      <c r="T130" s="13" t="s">
        <v>146</v>
      </c>
      <c r="X130" s="115"/>
      <c r="Y130" s="115"/>
      <c r="Z130" s="115"/>
      <c r="AA130" s="115"/>
      <c r="AB130" s="115"/>
      <c r="AC130" s="115"/>
      <c r="AD130" s="25"/>
      <c r="AE130" s="13"/>
      <c r="AJ130" s="116"/>
      <c r="AK130" s="123"/>
      <c r="AL130" s="123"/>
      <c r="AM130" s="123"/>
      <c r="AR130" s="115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25"/>
      <c r="BC130" s="13"/>
      <c r="BF130" s="114"/>
    </row>
    <row r="131" spans="1:58" ht="20.100000000000001" customHeight="1" x14ac:dyDescent="0.4">
      <c r="A131" s="117"/>
      <c r="B131" s="123"/>
      <c r="C131" s="123"/>
      <c r="D131" s="123"/>
      <c r="J131" s="115"/>
      <c r="K131" s="115"/>
      <c r="L131" s="115"/>
      <c r="M131" s="115"/>
      <c r="N131" s="115"/>
      <c r="O131" s="115"/>
      <c r="P131" s="115"/>
      <c r="Q131" s="115"/>
      <c r="R131" s="115"/>
      <c r="S131" s="25">
        <v>45861</v>
      </c>
      <c r="T131" s="13" t="s">
        <v>146</v>
      </c>
      <c r="X131" s="115"/>
      <c r="Y131" s="115"/>
      <c r="Z131" s="115"/>
      <c r="AA131" s="115"/>
      <c r="AB131" s="115"/>
      <c r="AC131" s="115"/>
      <c r="AD131" s="25"/>
      <c r="AE131" s="13"/>
      <c r="AJ131" s="116"/>
      <c r="AK131" s="123"/>
      <c r="AL131" s="123"/>
      <c r="AM131" s="123"/>
      <c r="AR131" s="115"/>
      <c r="AS131" s="115"/>
      <c r="AT131" s="115"/>
      <c r="AU131" s="115"/>
      <c r="AV131" s="115"/>
      <c r="AW131" s="115"/>
      <c r="AX131" s="115"/>
      <c r="AY131" s="115"/>
      <c r="AZ131" s="115"/>
      <c r="BA131" s="115"/>
      <c r="BB131" s="25"/>
      <c r="BC131" s="13"/>
      <c r="BF131" s="114"/>
    </row>
    <row r="132" spans="1:58" ht="20.100000000000001" customHeight="1" x14ac:dyDescent="0.4">
      <c r="A132" s="117"/>
      <c r="B132" s="123"/>
      <c r="C132" s="123"/>
      <c r="D132" s="123"/>
      <c r="J132" s="115"/>
      <c r="K132" s="115"/>
      <c r="L132" s="115"/>
      <c r="M132" s="115"/>
      <c r="N132" s="115"/>
      <c r="O132" s="115"/>
      <c r="P132" s="115"/>
      <c r="Q132" s="115"/>
      <c r="R132" s="115" t="s">
        <v>350</v>
      </c>
      <c r="S132" s="13">
        <f>SUBTOTAL(3,S125:S131)</f>
        <v>7</v>
      </c>
      <c r="T132" s="13">
        <f>SUBTOTAL(3,T125:T131)</f>
        <v>7</v>
      </c>
      <c r="X132" s="115"/>
      <c r="Y132" s="115"/>
      <c r="Z132" s="115"/>
      <c r="AA132" s="115"/>
      <c r="AB132" s="115"/>
      <c r="AC132" s="115"/>
      <c r="AD132" s="25"/>
      <c r="AE132" s="13"/>
      <c r="AJ132" s="116"/>
      <c r="AK132" s="123"/>
      <c r="AL132" s="123"/>
      <c r="AM132" s="123"/>
      <c r="AR132" s="115"/>
      <c r="AS132" s="115"/>
      <c r="AT132" s="115"/>
      <c r="AU132" s="115"/>
      <c r="AV132" s="115"/>
      <c r="AW132" s="115"/>
      <c r="AX132" s="115"/>
      <c r="AY132" s="115"/>
      <c r="AZ132" s="115"/>
      <c r="BA132" s="115"/>
      <c r="BB132" s="25"/>
      <c r="BC132" s="13"/>
      <c r="BF132" s="114"/>
    </row>
    <row r="133" spans="1:58" ht="20.100000000000001" customHeight="1" x14ac:dyDescent="0.4">
      <c r="A133" s="117"/>
      <c r="B133" s="123"/>
      <c r="C133" s="123"/>
      <c r="D133" s="123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25">
        <v>45863</v>
      </c>
      <c r="T133" s="13" t="s">
        <v>146</v>
      </c>
      <c r="X133" s="115"/>
      <c r="Y133" s="115"/>
      <c r="Z133" s="115"/>
      <c r="AA133" s="115"/>
      <c r="AB133" s="115"/>
      <c r="AC133" s="115"/>
      <c r="AD133" s="25"/>
      <c r="AE133" s="13"/>
      <c r="AJ133" s="116"/>
      <c r="AK133" s="123"/>
      <c r="AL133" s="123"/>
      <c r="AM133" s="123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25"/>
      <c r="BC133" s="13"/>
      <c r="BF133" s="114"/>
    </row>
    <row r="134" spans="1:58" ht="20.100000000000001" customHeight="1" x14ac:dyDescent="0.4">
      <c r="A134" s="117"/>
      <c r="B134" s="123"/>
      <c r="C134" s="123"/>
      <c r="D134" s="123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25">
        <v>45863</v>
      </c>
      <c r="T134" s="13" t="s">
        <v>146</v>
      </c>
      <c r="X134" s="115"/>
      <c r="Y134" s="115"/>
      <c r="Z134" s="115"/>
      <c r="AA134" s="115"/>
      <c r="AB134" s="115"/>
      <c r="AC134" s="115"/>
      <c r="AD134" s="25"/>
      <c r="AE134" s="13"/>
      <c r="AJ134" s="116"/>
      <c r="AK134" s="123"/>
      <c r="AL134" s="123"/>
      <c r="AM134" s="123"/>
      <c r="AR134" s="115"/>
      <c r="AS134" s="115"/>
      <c r="AT134" s="115"/>
      <c r="AU134" s="115"/>
      <c r="AV134" s="115"/>
      <c r="AW134" s="115"/>
      <c r="AX134" s="115"/>
      <c r="AY134" s="115"/>
      <c r="AZ134" s="115"/>
      <c r="BA134" s="115"/>
      <c r="BB134" s="25"/>
      <c r="BC134" s="13"/>
      <c r="BF134" s="114"/>
    </row>
    <row r="135" spans="1:58" ht="20.100000000000001" customHeight="1" x14ac:dyDescent="0.4">
      <c r="A135" s="117"/>
      <c r="B135" s="123"/>
      <c r="C135" s="123"/>
      <c r="D135" s="123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 t="s">
        <v>351</v>
      </c>
      <c r="S135" s="13">
        <f>SUBTOTAL(3,S133:S134)</f>
        <v>2</v>
      </c>
      <c r="T135" s="13">
        <f>SUBTOTAL(3,T133:T134)</f>
        <v>2</v>
      </c>
      <c r="X135" s="115"/>
      <c r="Y135" s="115"/>
      <c r="Z135" s="115"/>
      <c r="AA135" s="115"/>
      <c r="AB135" s="115"/>
      <c r="AC135" s="115"/>
      <c r="AD135" s="25"/>
      <c r="AE135" s="13"/>
      <c r="AJ135" s="116"/>
      <c r="AK135" s="123"/>
      <c r="AL135" s="123"/>
      <c r="AM135" s="123"/>
      <c r="AR135" s="115"/>
      <c r="AS135" s="115"/>
      <c r="AT135" s="115"/>
      <c r="AU135" s="115"/>
      <c r="AV135" s="115"/>
      <c r="AW135" s="115"/>
      <c r="AX135" s="115"/>
      <c r="AY135" s="115"/>
      <c r="AZ135" s="115"/>
      <c r="BA135" s="115"/>
      <c r="BB135" s="25"/>
      <c r="BC135" s="13"/>
      <c r="BF135" s="114"/>
    </row>
    <row r="136" spans="1:58" ht="20.100000000000001" customHeight="1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25">
        <v>45864</v>
      </c>
      <c r="T136" s="13" t="s">
        <v>148</v>
      </c>
      <c r="X136" s="115"/>
      <c r="Y136" s="115"/>
      <c r="Z136" s="115"/>
      <c r="AA136" s="115"/>
      <c r="AB136" s="115"/>
      <c r="AC136" s="115"/>
      <c r="AD136" s="25"/>
      <c r="AE136" s="13"/>
      <c r="AJ136" s="116"/>
      <c r="AK136" s="123"/>
      <c r="AL136" s="123"/>
      <c r="AM136" s="123"/>
      <c r="AR136" s="115"/>
      <c r="AS136" s="115"/>
      <c r="AT136" s="115"/>
      <c r="AU136" s="115"/>
      <c r="AV136" s="115"/>
      <c r="AW136" s="115"/>
      <c r="AX136" s="115"/>
      <c r="AY136" s="115"/>
      <c r="AZ136" s="115"/>
      <c r="BA136" s="115"/>
      <c r="BB136" s="25"/>
      <c r="BC136" s="13"/>
      <c r="BF136" s="114"/>
    </row>
    <row r="137" spans="1:58" ht="20.100000000000001" customHeight="1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 t="s">
        <v>352</v>
      </c>
      <c r="S137" s="13">
        <f>SUBTOTAL(3,S136:S136)</f>
        <v>1</v>
      </c>
      <c r="T137" s="13">
        <f>SUBTOTAL(3,T136:T136)</f>
        <v>1</v>
      </c>
      <c r="X137" s="115"/>
      <c r="Y137" s="115"/>
      <c r="Z137" s="115"/>
      <c r="AA137" s="115"/>
      <c r="AB137" s="115"/>
      <c r="AC137" s="115"/>
      <c r="AD137" s="25"/>
      <c r="AE137" s="13"/>
      <c r="AJ137" s="116"/>
      <c r="AK137" s="123"/>
      <c r="AL137" s="123"/>
      <c r="AM137" s="123"/>
      <c r="AR137" s="115"/>
      <c r="AS137" s="115"/>
      <c r="AT137" s="115"/>
      <c r="AU137" s="115"/>
      <c r="AV137" s="115"/>
      <c r="AW137" s="115"/>
      <c r="AX137" s="115"/>
      <c r="AY137" s="115"/>
      <c r="AZ137" s="115"/>
      <c r="BA137" s="115"/>
      <c r="BB137" s="25"/>
      <c r="BC137" s="13"/>
      <c r="BF137" s="114"/>
    </row>
    <row r="138" spans="1:58" ht="20.100000000000001" customHeight="1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25">
        <v>45865</v>
      </c>
      <c r="T138" s="13" t="s">
        <v>146</v>
      </c>
      <c r="X138" s="115"/>
      <c r="Y138" s="115"/>
      <c r="Z138" s="115"/>
      <c r="AA138" s="115"/>
      <c r="AB138" s="115"/>
      <c r="AC138" s="115"/>
      <c r="AD138" s="25"/>
      <c r="AE138" s="13"/>
      <c r="AJ138" s="116"/>
      <c r="AK138" s="123"/>
      <c r="AL138" s="123"/>
      <c r="AM138" s="123"/>
      <c r="AR138" s="115"/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25"/>
      <c r="BC138" s="13"/>
      <c r="BF138" s="114"/>
    </row>
    <row r="139" spans="1:58" ht="20.100000000000001" customHeight="1" x14ac:dyDescent="0.4">
      <c r="A139" s="117"/>
      <c r="B139" s="123"/>
      <c r="C139" s="123"/>
      <c r="D139" s="123"/>
      <c r="S139" s="25">
        <v>45865</v>
      </c>
      <c r="T139" s="25" t="s">
        <v>147</v>
      </c>
      <c r="X139" s="115"/>
      <c r="Y139" s="115"/>
      <c r="Z139" s="115"/>
      <c r="AA139" s="115"/>
      <c r="AB139" s="115"/>
      <c r="AC139" s="115"/>
      <c r="AD139" s="25">
        <v>45672</v>
      </c>
      <c r="AE139" s="13" t="s">
        <v>146</v>
      </c>
      <c r="AJ139" s="116"/>
      <c r="AK139" s="123"/>
      <c r="AL139" s="123"/>
      <c r="AM139" s="123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25"/>
      <c r="BC139" s="13"/>
      <c r="BF139" s="114"/>
    </row>
    <row r="140" spans="1:58" ht="20.100000000000001" customHeight="1" x14ac:dyDescent="0.4">
      <c r="A140" s="117"/>
      <c r="B140" s="123"/>
      <c r="C140" s="123"/>
      <c r="D140" s="123"/>
      <c r="R140" s="115" t="s">
        <v>185</v>
      </c>
      <c r="S140" s="13">
        <f>SUBTOTAL(3,S138:S139)</f>
        <v>2</v>
      </c>
      <c r="T140" s="13">
        <f>SUBTOTAL(3,T138:T139)</f>
        <v>2</v>
      </c>
      <c r="X140" s="115"/>
      <c r="Y140" s="115"/>
      <c r="Z140" s="115"/>
      <c r="AA140" s="115"/>
      <c r="AB140" s="115"/>
      <c r="AC140" s="115"/>
      <c r="AD140" s="25"/>
      <c r="AE140" s="13"/>
      <c r="AJ140" s="116"/>
      <c r="AK140" s="123"/>
      <c r="AL140" s="123"/>
      <c r="AM140" s="123"/>
      <c r="AR140" s="115"/>
      <c r="AS140" s="115"/>
      <c r="AT140" s="115"/>
      <c r="AU140" s="115"/>
      <c r="AV140" s="115"/>
      <c r="AW140" s="115"/>
      <c r="AX140" s="115"/>
      <c r="AY140" s="115"/>
      <c r="AZ140" s="115"/>
      <c r="BA140" s="115"/>
      <c r="BB140" s="25"/>
      <c r="BC140" s="13"/>
      <c r="BF140" s="114"/>
    </row>
    <row r="141" spans="1:58" ht="20.100000000000001" customHeight="1" x14ac:dyDescent="0.4">
      <c r="A141" s="117"/>
      <c r="B141" s="123"/>
      <c r="C141" s="123"/>
      <c r="D141" s="123"/>
      <c r="O141" s="115"/>
      <c r="P141" s="115"/>
      <c r="Q141" s="115"/>
      <c r="R141" s="115"/>
      <c r="S141" s="25">
        <v>45866</v>
      </c>
      <c r="T141" s="13" t="s">
        <v>146</v>
      </c>
      <c r="X141" s="115"/>
      <c r="Y141" s="115"/>
      <c r="Z141" s="115"/>
      <c r="AA141" s="115"/>
      <c r="AB141" s="115"/>
      <c r="AC141" s="115"/>
      <c r="AD141" s="25"/>
      <c r="AE141" s="13"/>
      <c r="AJ141" s="116"/>
      <c r="AK141" s="123"/>
      <c r="AL141" s="123"/>
      <c r="AM141" s="123"/>
      <c r="AR141" s="115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25"/>
      <c r="BC141" s="13"/>
      <c r="BF141" s="114"/>
    </row>
    <row r="142" spans="1:58" ht="20.100000000000001" customHeight="1" x14ac:dyDescent="0.4">
      <c r="A142" s="117"/>
      <c r="B142" s="123"/>
      <c r="C142" s="123"/>
      <c r="D142" s="123"/>
      <c r="O142" s="115"/>
      <c r="P142" s="115"/>
      <c r="Q142" s="115"/>
      <c r="R142" s="115" t="s">
        <v>198</v>
      </c>
      <c r="S142" s="20">
        <f>SUBTOTAL(3,S141:S141)</f>
        <v>1</v>
      </c>
      <c r="T142" s="13">
        <f>SUBTOTAL(3,T141:T141)</f>
        <v>1</v>
      </c>
      <c r="X142" s="115"/>
      <c r="Y142" s="115"/>
      <c r="Z142" s="115"/>
      <c r="AA142" s="115"/>
      <c r="AB142" s="115"/>
      <c r="AC142" s="115"/>
      <c r="AD142" s="25"/>
      <c r="AE142" s="13"/>
      <c r="AJ142" s="116"/>
      <c r="AK142" s="123"/>
      <c r="AL142" s="123"/>
      <c r="AM142" s="123"/>
      <c r="AR142" s="115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25"/>
      <c r="BC142" s="13"/>
      <c r="BF142" s="114"/>
    </row>
    <row r="143" spans="1:58" ht="20.100000000000001" customHeight="1" x14ac:dyDescent="0.4">
      <c r="A143" s="117"/>
      <c r="B143" s="123"/>
      <c r="C143" s="123"/>
      <c r="D143" s="123"/>
      <c r="N143" s="115"/>
      <c r="O143" s="115"/>
      <c r="P143" s="115"/>
      <c r="Q143" s="115"/>
      <c r="R143" s="115"/>
      <c r="S143" s="26">
        <v>45867</v>
      </c>
      <c r="T143" s="15" t="s">
        <v>148</v>
      </c>
      <c r="X143" s="115"/>
      <c r="Y143" s="115"/>
      <c r="Z143" s="115"/>
      <c r="AA143" s="115"/>
      <c r="AB143" s="115"/>
      <c r="AC143" s="115"/>
      <c r="AD143" s="25"/>
      <c r="AE143" s="13"/>
      <c r="AJ143" s="116"/>
      <c r="AK143" s="123"/>
      <c r="AL143" s="123"/>
      <c r="AM143" s="123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25"/>
      <c r="BC143" s="13"/>
      <c r="BF143" s="114"/>
    </row>
    <row r="144" spans="1:58" ht="20.100000000000001" customHeight="1" x14ac:dyDescent="0.4">
      <c r="A144" s="117"/>
      <c r="B144" s="123"/>
      <c r="C144" s="123"/>
      <c r="D144" s="123"/>
      <c r="S144" s="26">
        <v>45867</v>
      </c>
      <c r="T144" s="15" t="s">
        <v>147</v>
      </c>
      <c r="X144" s="115"/>
      <c r="Y144" s="115"/>
      <c r="Z144" s="115"/>
      <c r="AA144" s="115"/>
      <c r="AB144" s="115"/>
      <c r="AC144" s="115"/>
      <c r="AD144" s="25">
        <v>45672</v>
      </c>
      <c r="AE144" s="13" t="s">
        <v>146</v>
      </c>
      <c r="AJ144" s="116"/>
      <c r="AK144" s="123"/>
      <c r="AL144" s="123"/>
      <c r="AM144" s="123"/>
      <c r="AR144" s="115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25"/>
      <c r="BC144" s="13"/>
      <c r="BF144" s="114"/>
    </row>
    <row r="145" spans="1:58" ht="20.100000000000001" customHeight="1" x14ac:dyDescent="0.4">
      <c r="A145" s="117"/>
      <c r="B145" s="123"/>
      <c r="C145" s="123"/>
      <c r="D145" s="123"/>
      <c r="S145" s="30">
        <v>45867</v>
      </c>
      <c r="T145" s="15" t="s">
        <v>146</v>
      </c>
      <c r="X145" s="115"/>
      <c r="Y145" s="115"/>
      <c r="Z145" s="115"/>
      <c r="AA145" s="115"/>
      <c r="AB145" s="115"/>
      <c r="AC145" s="115"/>
      <c r="AD145" s="25"/>
      <c r="AE145" s="13"/>
      <c r="AJ145" s="116"/>
      <c r="AK145" s="123"/>
      <c r="AL145" s="123"/>
      <c r="AM145" s="123"/>
      <c r="AR145" s="115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25"/>
      <c r="BC145" s="13"/>
      <c r="BF145" s="114"/>
    </row>
    <row r="146" spans="1:58" ht="20.100000000000001" customHeight="1" x14ac:dyDescent="0.4">
      <c r="A146" s="117"/>
      <c r="B146" s="123"/>
      <c r="C146" s="123"/>
      <c r="D146" s="123"/>
      <c r="R146" s="115" t="s">
        <v>353</v>
      </c>
      <c r="S146" s="19">
        <f>SUBTOTAL(3,S143:S145)</f>
        <v>3</v>
      </c>
      <c r="T146" s="15">
        <f>SUBTOTAL(3,T143:T145)</f>
        <v>3</v>
      </c>
      <c r="X146" s="115"/>
      <c r="Y146" s="115"/>
      <c r="Z146" s="115"/>
      <c r="AA146" s="115"/>
      <c r="AB146" s="115"/>
      <c r="AC146" s="115"/>
      <c r="AD146" s="25"/>
      <c r="AE146" s="13"/>
      <c r="AJ146" s="116"/>
      <c r="AK146" s="123"/>
      <c r="AL146" s="123"/>
      <c r="AM146" s="123"/>
      <c r="AR146" s="115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25"/>
      <c r="BC146" s="13"/>
      <c r="BF146" s="114"/>
    </row>
    <row r="147" spans="1:58" ht="20.100000000000001" customHeight="1" x14ac:dyDescent="0.4">
      <c r="A147" s="117"/>
      <c r="B147" s="123"/>
      <c r="C147" s="123"/>
      <c r="D147" s="123"/>
      <c r="S147" s="30">
        <v>45898</v>
      </c>
      <c r="T147" s="15" t="s">
        <v>146</v>
      </c>
      <c r="X147" s="115"/>
      <c r="Y147" s="115"/>
      <c r="Z147" s="115"/>
      <c r="AA147" s="115"/>
      <c r="AB147" s="115"/>
      <c r="AC147" s="115"/>
      <c r="AD147" s="25">
        <v>45672</v>
      </c>
      <c r="AE147" s="25" t="s">
        <v>147</v>
      </c>
      <c r="AJ147" s="116"/>
      <c r="AK147" s="123"/>
      <c r="AL147" s="123"/>
      <c r="AM147" s="123"/>
      <c r="AR147" s="115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25"/>
      <c r="BC147" s="13"/>
      <c r="BF147" s="114"/>
    </row>
    <row r="148" spans="1:58" ht="20.100000000000001" customHeight="1" x14ac:dyDescent="0.4">
      <c r="A148" s="117"/>
      <c r="B148" s="123"/>
      <c r="C148" s="123"/>
      <c r="D148" s="123"/>
      <c r="S148" s="26">
        <v>45898</v>
      </c>
      <c r="T148" s="15" t="s">
        <v>148</v>
      </c>
      <c r="X148" s="115"/>
      <c r="Y148" s="115"/>
      <c r="Z148" s="115"/>
      <c r="AA148" s="115"/>
      <c r="AB148" s="115"/>
      <c r="AC148" s="115"/>
      <c r="AD148" s="25"/>
      <c r="AE148" s="25"/>
      <c r="AJ148" s="116"/>
      <c r="AK148" s="123"/>
      <c r="AL148" s="123"/>
      <c r="AM148" s="123"/>
      <c r="AR148" s="115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25"/>
      <c r="BC148" s="13"/>
      <c r="BF148" s="114"/>
    </row>
    <row r="149" spans="1:58" ht="20.100000000000001" customHeight="1" x14ac:dyDescent="0.4">
      <c r="A149" s="117"/>
      <c r="B149" s="123"/>
      <c r="C149" s="123"/>
      <c r="D149" s="123"/>
      <c r="R149" s="115" t="s">
        <v>354</v>
      </c>
      <c r="S149" s="20">
        <f>SUBTOTAL(3,S147:S148)</f>
        <v>2</v>
      </c>
      <c r="T149" s="13">
        <f>SUBTOTAL(3,T147:T148)</f>
        <v>2</v>
      </c>
      <c r="X149" s="115"/>
      <c r="Y149" s="115"/>
      <c r="Z149" s="115"/>
      <c r="AA149" s="115"/>
      <c r="AB149" s="115"/>
      <c r="AC149" s="115"/>
      <c r="AD149" s="25"/>
      <c r="AE149" s="25"/>
      <c r="AJ149" s="116"/>
      <c r="AK149" s="123"/>
      <c r="AL149" s="123"/>
      <c r="AM149" s="123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25"/>
      <c r="BC149" s="13"/>
      <c r="BF149" s="114"/>
    </row>
    <row r="150" spans="1:58" ht="20.100000000000001" customHeight="1" x14ac:dyDescent="0.4">
      <c r="A150" s="117"/>
      <c r="B150" s="123"/>
      <c r="C150" s="123"/>
      <c r="D150" s="123"/>
      <c r="R150" s="115" t="s">
        <v>145</v>
      </c>
      <c r="S150" s="20">
        <f>SUBTOTAL(3,S2:S148)</f>
        <v>126</v>
      </c>
      <c r="T150" s="13">
        <f>SUBTOTAL(3,T2:T148)</f>
        <v>126</v>
      </c>
      <c r="X150" s="115"/>
      <c r="Y150" s="115"/>
      <c r="Z150" s="115"/>
      <c r="AA150" s="115"/>
      <c r="AB150" s="115"/>
      <c r="AC150" s="115"/>
      <c r="AD150" s="25"/>
      <c r="AE150" s="25"/>
      <c r="AJ150" s="116"/>
      <c r="AK150" s="123"/>
      <c r="AL150" s="123"/>
      <c r="AM150" s="123"/>
      <c r="AR150" s="115"/>
      <c r="AS150" s="115"/>
      <c r="AT150" s="115"/>
      <c r="AU150" s="115"/>
      <c r="AV150" s="115"/>
      <c r="AW150" s="115"/>
      <c r="AX150" s="115"/>
      <c r="AY150" s="115"/>
      <c r="AZ150" s="115"/>
      <c r="BA150" s="115"/>
      <c r="BB150" s="25"/>
      <c r="BC150" s="13"/>
      <c r="BF150" s="114"/>
    </row>
    <row r="151" spans="1:58" ht="20.100000000000001" customHeight="1" x14ac:dyDescent="0.4">
      <c r="A151" s="117"/>
      <c r="B151" s="123"/>
      <c r="C151" s="123"/>
      <c r="D151" s="123"/>
      <c r="O151" s="115"/>
      <c r="P151" s="115"/>
      <c r="Q151" s="115"/>
      <c r="R151" s="115"/>
      <c r="S151" s="25"/>
      <c r="T151" s="13"/>
      <c r="X151" s="115"/>
      <c r="Y151" s="115"/>
      <c r="Z151" s="115"/>
      <c r="AA151" s="115"/>
      <c r="AB151" s="115"/>
      <c r="AC151" s="115"/>
      <c r="AD151" s="25"/>
      <c r="AE151" s="25"/>
      <c r="AJ151" s="116"/>
      <c r="AK151" s="123"/>
      <c r="AL151" s="123"/>
      <c r="AM151" s="123"/>
      <c r="AR151" s="115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25"/>
      <c r="BC151" s="13"/>
      <c r="BF151" s="114"/>
    </row>
    <row r="152" spans="1:58" ht="20.100000000000001" customHeight="1" x14ac:dyDescent="0.4">
      <c r="A152" s="117"/>
      <c r="B152" s="123"/>
      <c r="C152" s="123"/>
      <c r="D152" s="123"/>
      <c r="O152" s="115"/>
      <c r="P152" s="115"/>
      <c r="Q152" s="115"/>
      <c r="R152" s="115"/>
      <c r="S152" s="20"/>
      <c r="T152" s="13"/>
      <c r="X152" s="115"/>
      <c r="Y152" s="115"/>
      <c r="Z152" s="115"/>
      <c r="AA152" s="115"/>
      <c r="AB152" s="115"/>
      <c r="AC152" s="115"/>
      <c r="AD152" s="25"/>
      <c r="AE152" s="25"/>
      <c r="AJ152" s="116"/>
      <c r="AK152" s="123"/>
      <c r="AL152" s="123"/>
      <c r="AM152" s="123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25"/>
      <c r="BC152" s="13"/>
      <c r="BF152" s="114"/>
    </row>
    <row r="153" spans="1:58" ht="20.100000000000001" customHeight="1" x14ac:dyDescent="0.4">
      <c r="A153" s="117"/>
      <c r="B153" s="123"/>
      <c r="C153" s="123"/>
      <c r="D153" s="123"/>
      <c r="N153" s="115"/>
      <c r="O153" s="115"/>
      <c r="P153" s="115"/>
      <c r="Q153" s="115"/>
      <c r="R153" s="115"/>
      <c r="S153" s="26"/>
      <c r="T153" s="13"/>
      <c r="X153" s="115"/>
      <c r="Y153" s="115"/>
      <c r="Z153" s="115"/>
      <c r="AA153" s="115"/>
      <c r="AB153" s="115"/>
      <c r="AC153" s="115"/>
      <c r="AD153" s="25"/>
      <c r="AE153" s="25"/>
      <c r="AJ153" s="116"/>
      <c r="AK153" s="123"/>
      <c r="AL153" s="123"/>
      <c r="AM153" s="123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25"/>
      <c r="BC153" s="13"/>
      <c r="BF153" s="114"/>
    </row>
    <row r="154" spans="1:58" ht="20.100000000000001" customHeight="1" x14ac:dyDescent="0.4">
      <c r="A154" s="117"/>
      <c r="B154" s="123"/>
      <c r="C154" s="123"/>
      <c r="D154" s="123"/>
      <c r="S154" s="26"/>
      <c r="T154" s="13"/>
      <c r="X154" s="115"/>
      <c r="Y154" s="115"/>
      <c r="Z154" s="115"/>
      <c r="AA154" s="115"/>
      <c r="AB154" s="115"/>
      <c r="AC154" s="115"/>
      <c r="AD154" s="25">
        <v>45673</v>
      </c>
      <c r="AE154" s="13" t="s">
        <v>147</v>
      </c>
      <c r="AJ154" s="116"/>
      <c r="AK154" s="123"/>
      <c r="AL154" s="123"/>
      <c r="AM154" s="123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25"/>
      <c r="BC154" s="13"/>
      <c r="BF154" s="114"/>
    </row>
    <row r="155" spans="1:58" ht="20.100000000000001" customHeight="1" x14ac:dyDescent="0.4">
      <c r="A155" s="117"/>
      <c r="B155" s="123"/>
      <c r="C155" s="123"/>
      <c r="D155" s="123"/>
      <c r="P155" s="115"/>
      <c r="Q155" s="115"/>
      <c r="R155" s="115"/>
      <c r="S155" s="26"/>
      <c r="T155" s="13"/>
      <c r="X155" s="115"/>
      <c r="Y155" s="115"/>
      <c r="Z155" s="115"/>
      <c r="AA155" s="115"/>
      <c r="AB155" s="115"/>
      <c r="AC155" s="115"/>
      <c r="AD155" s="25"/>
      <c r="AE155" s="13"/>
      <c r="AJ155" s="116"/>
      <c r="AK155" s="123"/>
      <c r="AL155" s="123"/>
      <c r="AM155" s="123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25"/>
      <c r="BC155" s="13"/>
      <c r="BF155" s="114"/>
    </row>
    <row r="156" spans="1:58" ht="20.100000000000001" customHeight="1" x14ac:dyDescent="0.4">
      <c r="A156" s="117"/>
      <c r="B156" s="123"/>
      <c r="C156" s="123"/>
      <c r="D156" s="123"/>
      <c r="L156" s="115"/>
      <c r="M156" s="115"/>
      <c r="N156" s="115"/>
      <c r="O156" s="115"/>
      <c r="P156" s="115"/>
      <c r="Q156" s="115"/>
      <c r="R156" s="115"/>
      <c r="S156" s="26"/>
      <c r="T156" s="13"/>
      <c r="X156" s="115"/>
      <c r="Y156" s="115"/>
      <c r="Z156" s="115"/>
      <c r="AA156" s="115"/>
      <c r="AB156" s="115"/>
      <c r="AC156" s="115"/>
      <c r="AD156" s="25"/>
      <c r="AE156" s="13"/>
      <c r="AJ156" s="116"/>
      <c r="AK156" s="123"/>
      <c r="AL156" s="123"/>
      <c r="AM156" s="123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25"/>
      <c r="BC156" s="13"/>
      <c r="BF156" s="114"/>
    </row>
    <row r="157" spans="1:58" ht="20.100000000000001" customHeight="1" x14ac:dyDescent="0.4">
      <c r="A157" s="117"/>
      <c r="B157" s="123"/>
      <c r="C157" s="123"/>
      <c r="D157" s="123"/>
      <c r="L157" s="115"/>
      <c r="M157" s="115"/>
      <c r="N157" s="115"/>
      <c r="O157" s="115"/>
      <c r="P157" s="115"/>
      <c r="Q157" s="115"/>
      <c r="R157" s="115"/>
      <c r="S157" s="17"/>
      <c r="T157" s="13"/>
      <c r="X157" s="115"/>
      <c r="Y157" s="115"/>
      <c r="Z157" s="115"/>
      <c r="AA157" s="115"/>
      <c r="AB157" s="115"/>
      <c r="AC157" s="115"/>
      <c r="AD157" s="25"/>
      <c r="AE157" s="13"/>
      <c r="AJ157" s="116"/>
      <c r="AK157" s="123"/>
      <c r="AL157" s="123"/>
      <c r="AM157" s="123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25"/>
      <c r="BC157" s="13"/>
      <c r="BF157" s="114"/>
    </row>
    <row r="158" spans="1:58" ht="20.100000000000001" customHeight="1" x14ac:dyDescent="0.4">
      <c r="A158" s="117"/>
      <c r="B158" s="123"/>
      <c r="C158" s="123"/>
      <c r="D158" s="123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26"/>
      <c r="T158" s="13"/>
      <c r="X158" s="115"/>
      <c r="Y158" s="115"/>
      <c r="Z158" s="115"/>
      <c r="AA158" s="115"/>
      <c r="AB158" s="115"/>
      <c r="AC158" s="115"/>
      <c r="AD158" s="25"/>
      <c r="AE158" s="13"/>
      <c r="AJ158" s="116"/>
      <c r="AK158" s="123"/>
      <c r="AL158" s="123"/>
      <c r="AM158" s="123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25"/>
      <c r="BC158" s="13"/>
      <c r="BF158" s="114"/>
    </row>
    <row r="159" spans="1:58" ht="20.100000000000001" customHeight="1" x14ac:dyDescent="0.4">
      <c r="A159" s="117"/>
      <c r="B159" s="123"/>
      <c r="C159" s="123"/>
      <c r="D159" s="123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7"/>
      <c r="T159" s="13"/>
      <c r="X159" s="115"/>
      <c r="Y159" s="115"/>
      <c r="Z159" s="115"/>
      <c r="AA159" s="115"/>
      <c r="AB159" s="115"/>
      <c r="AC159" s="115"/>
      <c r="AD159" s="25"/>
      <c r="AE159" s="13"/>
      <c r="AJ159" s="116"/>
      <c r="AK159" s="123"/>
      <c r="AL159" s="123"/>
      <c r="AM159" s="123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25"/>
      <c r="BC159" s="13"/>
      <c r="BF159" s="114"/>
    </row>
    <row r="160" spans="1:58" ht="20.100000000000001" customHeight="1" x14ac:dyDescent="0.4">
      <c r="A160" s="117"/>
      <c r="B160" s="123"/>
      <c r="C160" s="123"/>
      <c r="D160" s="123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26"/>
      <c r="T160" s="13"/>
      <c r="X160" s="115"/>
      <c r="Y160" s="115"/>
      <c r="Z160" s="115"/>
      <c r="AA160" s="115"/>
      <c r="AB160" s="115"/>
      <c r="AC160" s="115"/>
      <c r="AD160" s="25"/>
      <c r="AE160" s="13"/>
      <c r="AJ160" s="116"/>
      <c r="AK160" s="123"/>
      <c r="AL160" s="123"/>
      <c r="AM160" s="123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25"/>
      <c r="BC160" s="13"/>
      <c r="BF160" s="114"/>
    </row>
    <row r="161" spans="1:58" ht="20.100000000000001" customHeight="1" x14ac:dyDescent="0.4">
      <c r="A161" s="117"/>
      <c r="B161" s="123"/>
      <c r="C161" s="123"/>
      <c r="D161" s="123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7"/>
      <c r="T161" s="13"/>
      <c r="X161" s="115"/>
      <c r="Y161" s="115"/>
      <c r="Z161" s="115"/>
      <c r="AA161" s="115"/>
      <c r="AB161" s="115"/>
      <c r="AC161" s="115"/>
      <c r="AD161" s="25"/>
      <c r="AE161" s="13"/>
      <c r="AJ161" s="116"/>
      <c r="AK161" s="123"/>
      <c r="AL161" s="123"/>
      <c r="AM161" s="123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25"/>
      <c r="BC161" s="13"/>
      <c r="BF161" s="114"/>
    </row>
    <row r="162" spans="1:58" ht="20.100000000000001" customHeight="1" x14ac:dyDescent="0.4">
      <c r="A162" s="117"/>
      <c r="B162" s="123"/>
      <c r="C162" s="123"/>
      <c r="D162" s="123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26"/>
      <c r="T162" s="25"/>
      <c r="X162" s="115"/>
      <c r="Y162" s="115"/>
      <c r="Z162" s="115"/>
      <c r="AA162" s="115"/>
      <c r="AB162" s="115"/>
      <c r="AC162" s="115"/>
      <c r="AD162" s="25"/>
      <c r="AE162" s="13"/>
      <c r="AJ162" s="116"/>
      <c r="AK162" s="123"/>
      <c r="AL162" s="123"/>
      <c r="AM162" s="123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25"/>
      <c r="BC162" s="13"/>
      <c r="BF162" s="114"/>
    </row>
    <row r="163" spans="1:58" ht="20.100000000000001" customHeight="1" x14ac:dyDescent="0.4">
      <c r="A163" s="117"/>
      <c r="B163" s="123"/>
      <c r="C163" s="123"/>
      <c r="D163" s="123"/>
      <c r="S163" s="26"/>
      <c r="T163" s="25"/>
      <c r="X163" s="115"/>
      <c r="Y163" s="115"/>
      <c r="Z163" s="115"/>
      <c r="AA163" s="115"/>
      <c r="AB163" s="115"/>
      <c r="AC163" s="115"/>
      <c r="AD163" s="25">
        <v>45673</v>
      </c>
      <c r="AE163" s="13" t="s">
        <v>147</v>
      </c>
      <c r="AJ163" s="116"/>
      <c r="AK163" s="123"/>
      <c r="AL163" s="123"/>
      <c r="AM163" s="123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25"/>
      <c r="BC163" s="13"/>
      <c r="BF163" s="114"/>
    </row>
    <row r="164" spans="1:58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26"/>
      <c r="T164" s="13"/>
      <c r="X164" s="115"/>
      <c r="Y164" s="115"/>
      <c r="Z164" s="115"/>
      <c r="AA164" s="115"/>
      <c r="AB164" s="115"/>
      <c r="AC164" s="115"/>
      <c r="AD164" s="25"/>
      <c r="AE164" s="13"/>
      <c r="AJ164" s="116"/>
      <c r="AK164" s="123"/>
      <c r="AL164" s="123"/>
      <c r="AM164" s="123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25"/>
      <c r="BC164" s="13"/>
      <c r="BF164" s="114"/>
    </row>
    <row r="165" spans="1:58" ht="20.100000000000001" customHeight="1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26"/>
      <c r="T165" s="13"/>
      <c r="X165" s="115"/>
      <c r="Y165" s="115"/>
      <c r="Z165" s="115"/>
      <c r="AA165" s="115"/>
      <c r="AB165" s="115"/>
      <c r="AC165" s="115"/>
      <c r="AD165" s="25"/>
      <c r="AE165" s="13"/>
      <c r="AJ165" s="116"/>
      <c r="AK165" s="123"/>
      <c r="AL165" s="123"/>
      <c r="AM165" s="123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25"/>
      <c r="BC165" s="13"/>
      <c r="BF165" s="114"/>
    </row>
    <row r="166" spans="1:58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26"/>
      <c r="T166" s="13"/>
      <c r="X166" s="115"/>
      <c r="Y166" s="115"/>
      <c r="Z166" s="115"/>
      <c r="AA166" s="115"/>
      <c r="AB166" s="115"/>
      <c r="AC166" s="115"/>
      <c r="AD166" s="25"/>
      <c r="AE166" s="13"/>
      <c r="AJ166" s="116"/>
      <c r="AK166" s="123"/>
      <c r="AL166" s="123"/>
      <c r="AM166" s="123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25"/>
      <c r="BC166" s="13"/>
      <c r="BF166" s="114"/>
    </row>
    <row r="167" spans="1:58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26"/>
      <c r="T167" s="13"/>
      <c r="X167" s="115"/>
      <c r="Y167" s="115"/>
      <c r="Z167" s="115"/>
      <c r="AA167" s="115"/>
      <c r="AB167" s="115"/>
      <c r="AC167" s="115"/>
      <c r="AD167" s="25"/>
      <c r="AE167" s="13"/>
      <c r="AJ167" s="116"/>
      <c r="AK167" s="123"/>
      <c r="AL167" s="123"/>
      <c r="AM167" s="123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25"/>
      <c r="BC167" s="13"/>
      <c r="BF167" s="114"/>
    </row>
    <row r="168" spans="1:58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7"/>
      <c r="T168" s="13"/>
      <c r="X168" s="115"/>
      <c r="Y168" s="115"/>
      <c r="Z168" s="115"/>
      <c r="AA168" s="115"/>
      <c r="AB168" s="115"/>
      <c r="AC168" s="115"/>
      <c r="AD168" s="25"/>
      <c r="AE168" s="13"/>
      <c r="AJ168" s="116"/>
      <c r="AK168" s="123"/>
      <c r="AL168" s="123"/>
      <c r="AM168" s="123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25"/>
      <c r="BC168" s="13"/>
      <c r="BF168" s="114"/>
    </row>
    <row r="169" spans="1:58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7"/>
      <c r="T169" s="13"/>
      <c r="X169" s="115"/>
      <c r="Y169" s="115"/>
      <c r="Z169" s="115"/>
      <c r="AA169" s="115"/>
      <c r="AB169" s="115"/>
      <c r="AC169" s="115"/>
      <c r="AD169" s="25"/>
      <c r="AE169" s="13"/>
      <c r="AJ169" s="116"/>
      <c r="AK169" s="123"/>
      <c r="AL169" s="123"/>
      <c r="AM169" s="123"/>
      <c r="AR169" s="115"/>
      <c r="AS169" s="115"/>
      <c r="AT169" s="115"/>
      <c r="AU169" s="115"/>
      <c r="AV169" s="115"/>
      <c r="AW169" s="115"/>
      <c r="AX169" s="115"/>
      <c r="AY169" s="115"/>
      <c r="AZ169" s="115"/>
      <c r="BA169" s="115"/>
      <c r="BB169" s="25"/>
      <c r="BC169" s="13"/>
      <c r="BF169" s="114"/>
    </row>
    <row r="170" spans="1:58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26"/>
      <c r="T170" s="13"/>
      <c r="X170" s="115"/>
      <c r="Y170" s="115"/>
      <c r="Z170" s="115"/>
      <c r="AA170" s="115"/>
      <c r="AB170" s="115"/>
      <c r="AC170" s="115"/>
      <c r="AD170" s="25"/>
      <c r="AE170" s="13"/>
      <c r="AJ170" s="116"/>
      <c r="AK170" s="123"/>
      <c r="AL170" s="123"/>
      <c r="AM170" s="123"/>
      <c r="AR170" s="115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25"/>
      <c r="BC170" s="13"/>
      <c r="BF170" s="114"/>
    </row>
    <row r="171" spans="1:58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26"/>
      <c r="T171" s="13"/>
      <c r="X171" s="115"/>
      <c r="Y171" s="115"/>
      <c r="Z171" s="115"/>
      <c r="AA171" s="115"/>
      <c r="AB171" s="115"/>
      <c r="AC171" s="115"/>
      <c r="AD171" s="25"/>
      <c r="AE171" s="13"/>
      <c r="AJ171" s="116"/>
      <c r="AK171" s="123"/>
      <c r="AL171" s="123"/>
      <c r="AM171" s="123"/>
      <c r="AR171" s="115"/>
      <c r="AS171" s="115"/>
      <c r="AT171" s="115"/>
      <c r="AU171" s="115"/>
      <c r="AV171" s="115"/>
      <c r="AW171" s="115"/>
      <c r="AX171" s="115"/>
      <c r="AY171" s="115"/>
      <c r="AZ171" s="115"/>
      <c r="BA171" s="115"/>
      <c r="BB171" s="25"/>
      <c r="BC171" s="13"/>
      <c r="BF171" s="114"/>
    </row>
    <row r="172" spans="1:58" ht="20.100000000000001" customHeight="1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26"/>
      <c r="T172" s="13"/>
      <c r="X172" s="115"/>
      <c r="Y172" s="115"/>
      <c r="Z172" s="115"/>
      <c r="AA172" s="115"/>
      <c r="AB172" s="115"/>
      <c r="AC172" s="115"/>
      <c r="AD172" s="25"/>
      <c r="AE172" s="13"/>
      <c r="AJ172" s="116"/>
      <c r="AK172" s="123"/>
      <c r="AL172" s="123"/>
      <c r="AM172" s="123"/>
      <c r="AR172" s="115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25"/>
      <c r="BC172" s="13"/>
      <c r="BF172" s="114"/>
    </row>
    <row r="173" spans="1:58" ht="20.100000000000001" customHeight="1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26"/>
      <c r="T173" s="13"/>
      <c r="X173" s="115"/>
      <c r="Y173" s="115"/>
      <c r="Z173" s="115"/>
      <c r="AA173" s="115"/>
      <c r="AB173" s="115"/>
      <c r="AC173" s="115"/>
      <c r="AD173" s="25"/>
      <c r="AE173" s="13"/>
      <c r="AJ173" s="116"/>
      <c r="AK173" s="123"/>
      <c r="AL173" s="123"/>
      <c r="AM173" s="123"/>
      <c r="AR173" s="115"/>
      <c r="AS173" s="115"/>
      <c r="AT173" s="115"/>
      <c r="AU173" s="115"/>
      <c r="AV173" s="115"/>
      <c r="AW173" s="115"/>
      <c r="AX173" s="115"/>
      <c r="AY173" s="115"/>
      <c r="AZ173" s="115"/>
      <c r="BA173" s="115"/>
      <c r="BB173" s="25"/>
      <c r="BC173" s="13"/>
      <c r="BF173" s="114"/>
    </row>
    <row r="174" spans="1:58" ht="20.100000000000001" customHeight="1" x14ac:dyDescent="0.4">
      <c r="A174" s="117"/>
      <c r="B174" s="123"/>
      <c r="C174" s="123"/>
      <c r="D174" s="123"/>
      <c r="S174" s="26"/>
      <c r="T174" s="13"/>
      <c r="V174" s="115"/>
      <c r="W174" s="115"/>
      <c r="X174" s="115"/>
      <c r="Y174" s="115"/>
      <c r="Z174" s="115"/>
      <c r="AA174" s="115"/>
      <c r="AB174" s="115"/>
      <c r="AC174" s="115"/>
      <c r="AD174" s="25">
        <v>45673</v>
      </c>
      <c r="AE174" s="13" t="s">
        <v>148</v>
      </c>
      <c r="AJ174" s="116"/>
      <c r="AK174" s="123"/>
      <c r="AL174" s="123"/>
      <c r="AM174" s="123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25"/>
      <c r="BC174" s="13"/>
      <c r="BF174" s="114"/>
    </row>
    <row r="175" spans="1:58" ht="20.100000000000001" customHeight="1" x14ac:dyDescent="0.4">
      <c r="A175" s="117"/>
      <c r="B175" s="123"/>
      <c r="C175" s="123"/>
      <c r="D175" s="123"/>
      <c r="P175" s="115"/>
      <c r="Q175" s="115"/>
      <c r="R175" s="115"/>
      <c r="S175" s="17"/>
      <c r="T175" s="13"/>
      <c r="V175" s="115"/>
      <c r="W175" s="115"/>
      <c r="X175" s="115"/>
      <c r="Y175" s="115"/>
      <c r="Z175" s="115"/>
      <c r="AA175" s="115"/>
      <c r="AB175" s="115"/>
      <c r="AC175" s="115"/>
      <c r="AD175" s="25"/>
      <c r="AE175" s="13"/>
      <c r="AJ175" s="116"/>
      <c r="AK175" s="123"/>
      <c r="AL175" s="123"/>
      <c r="AM175" s="123"/>
      <c r="AR175" s="115"/>
      <c r="AS175" s="115"/>
      <c r="AT175" s="115"/>
      <c r="AU175" s="115"/>
      <c r="AV175" s="115"/>
      <c r="AW175" s="115"/>
      <c r="AX175" s="115"/>
      <c r="AY175" s="115"/>
      <c r="AZ175" s="115"/>
      <c r="BA175" s="115"/>
      <c r="BB175" s="25"/>
      <c r="BC175" s="13"/>
      <c r="BF175" s="114"/>
    </row>
    <row r="176" spans="1:58" ht="20.100000000000001" customHeight="1" x14ac:dyDescent="0.4">
      <c r="A176" s="117"/>
      <c r="B176" s="123"/>
      <c r="C176" s="123"/>
      <c r="D176" s="123"/>
      <c r="K176" s="115"/>
      <c r="L176" s="115"/>
      <c r="M176" s="115"/>
      <c r="N176" s="115"/>
      <c r="O176" s="115"/>
      <c r="P176" s="115"/>
      <c r="Q176" s="115"/>
      <c r="R176" s="115"/>
      <c r="S176" s="26"/>
      <c r="T176" s="13"/>
      <c r="V176" s="115"/>
      <c r="W176" s="115"/>
      <c r="X176" s="115"/>
      <c r="Y176" s="115"/>
      <c r="Z176" s="115"/>
      <c r="AA176" s="115"/>
      <c r="AB176" s="115"/>
      <c r="AC176" s="115"/>
      <c r="AD176" s="25"/>
      <c r="AE176" s="13"/>
      <c r="AJ176" s="116"/>
      <c r="AK176" s="123"/>
      <c r="AL176" s="123"/>
      <c r="AM176" s="123"/>
      <c r="AR176" s="115"/>
      <c r="AS176" s="115"/>
      <c r="AT176" s="115"/>
      <c r="AU176" s="115"/>
      <c r="AV176" s="115"/>
      <c r="AW176" s="115"/>
      <c r="AX176" s="115"/>
      <c r="AY176" s="115"/>
      <c r="AZ176" s="115"/>
      <c r="BA176" s="115"/>
      <c r="BB176" s="25"/>
      <c r="BC176" s="13"/>
      <c r="BF176" s="114"/>
    </row>
    <row r="177" spans="1:58" ht="20.100000000000001" customHeight="1" x14ac:dyDescent="0.4">
      <c r="A177" s="117"/>
      <c r="B177" s="123"/>
      <c r="C177" s="123"/>
      <c r="D177" s="123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26"/>
      <c r="T177" s="13"/>
      <c r="V177" s="115"/>
      <c r="W177" s="115"/>
      <c r="X177" s="115"/>
      <c r="Y177" s="115"/>
      <c r="Z177" s="115"/>
      <c r="AA177" s="115"/>
      <c r="AB177" s="115"/>
      <c r="AC177" s="115"/>
      <c r="AD177" s="25"/>
      <c r="AE177" s="13"/>
      <c r="AJ177" s="116"/>
      <c r="AK177" s="123"/>
      <c r="AL177" s="123"/>
      <c r="AM177" s="123"/>
      <c r="AR177" s="115"/>
      <c r="AS177" s="115"/>
      <c r="AT177" s="115"/>
      <c r="AU177" s="115"/>
      <c r="AV177" s="115"/>
      <c r="AW177" s="115"/>
      <c r="AX177" s="115"/>
      <c r="AY177" s="115"/>
      <c r="AZ177" s="115"/>
      <c r="BA177" s="115"/>
      <c r="BB177" s="25"/>
      <c r="BC177" s="13"/>
      <c r="BF177" s="114"/>
    </row>
    <row r="178" spans="1:58" ht="20.100000000000001" customHeight="1" x14ac:dyDescent="0.4">
      <c r="A178" s="117"/>
      <c r="B178" s="123"/>
      <c r="C178" s="123"/>
      <c r="D178" s="123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26"/>
      <c r="T178" s="13"/>
      <c r="V178" s="115"/>
      <c r="W178" s="115"/>
      <c r="X178" s="115"/>
      <c r="Y178" s="115"/>
      <c r="Z178" s="115"/>
      <c r="AA178" s="115"/>
      <c r="AB178" s="115"/>
      <c r="AC178" s="115"/>
      <c r="AD178" s="25"/>
      <c r="AE178" s="13"/>
      <c r="AJ178" s="116"/>
      <c r="AK178" s="123"/>
      <c r="AL178" s="123"/>
      <c r="AM178" s="123"/>
      <c r="AR178" s="115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25"/>
      <c r="BC178" s="13"/>
      <c r="BF178" s="114"/>
    </row>
    <row r="179" spans="1:58" ht="20.100000000000001" customHeight="1" x14ac:dyDescent="0.4">
      <c r="A179" s="117"/>
      <c r="B179" s="123"/>
      <c r="C179" s="123"/>
      <c r="D179" s="123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26"/>
      <c r="T179" s="13"/>
      <c r="V179" s="115"/>
      <c r="W179" s="115"/>
      <c r="X179" s="115"/>
      <c r="Y179" s="115"/>
      <c r="Z179" s="115"/>
      <c r="AA179" s="115"/>
      <c r="AB179" s="115"/>
      <c r="AC179" s="115"/>
      <c r="AD179" s="25"/>
      <c r="AE179" s="13"/>
      <c r="AJ179" s="116"/>
      <c r="AK179" s="123"/>
      <c r="AL179" s="123"/>
      <c r="AM179" s="123"/>
      <c r="AR179" s="115"/>
      <c r="AS179" s="115"/>
      <c r="AT179" s="115"/>
      <c r="AU179" s="115"/>
      <c r="AV179" s="115"/>
      <c r="AW179" s="115"/>
      <c r="AX179" s="115"/>
      <c r="AY179" s="115"/>
      <c r="AZ179" s="115"/>
      <c r="BA179" s="115"/>
      <c r="BB179" s="25"/>
      <c r="BC179" s="13"/>
      <c r="BF179" s="114"/>
    </row>
    <row r="180" spans="1:58" ht="20.100000000000001" customHeight="1" x14ac:dyDescent="0.4">
      <c r="A180" s="117"/>
      <c r="B180" s="123"/>
      <c r="C180" s="123"/>
      <c r="D180" s="123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7"/>
      <c r="T180" s="13"/>
      <c r="V180" s="115"/>
      <c r="W180" s="115"/>
      <c r="X180" s="115"/>
      <c r="Y180" s="115"/>
      <c r="Z180" s="115"/>
      <c r="AA180" s="115"/>
      <c r="AB180" s="115"/>
      <c r="AC180" s="115"/>
      <c r="AD180" s="25"/>
      <c r="AE180" s="13"/>
      <c r="AJ180" s="116"/>
      <c r="AK180" s="123"/>
      <c r="AL180" s="123"/>
      <c r="AM180" s="123"/>
      <c r="AR180" s="115"/>
      <c r="AS180" s="115"/>
      <c r="AT180" s="115"/>
      <c r="AU180" s="115"/>
      <c r="AV180" s="115"/>
      <c r="AW180" s="115"/>
      <c r="AX180" s="115"/>
      <c r="AY180" s="115"/>
      <c r="AZ180" s="115"/>
      <c r="BA180" s="115"/>
      <c r="BB180" s="25"/>
      <c r="BC180" s="13"/>
      <c r="BF180" s="114"/>
    </row>
    <row r="181" spans="1:58" ht="20.100000000000001" customHeight="1" x14ac:dyDescent="0.4">
      <c r="A181" s="117"/>
      <c r="B181" s="123"/>
      <c r="C181" s="123"/>
      <c r="D181" s="123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26"/>
      <c r="T181" s="13"/>
      <c r="V181" s="115"/>
      <c r="W181" s="115"/>
      <c r="X181" s="115"/>
      <c r="Y181" s="115"/>
      <c r="Z181" s="115"/>
      <c r="AA181" s="115"/>
      <c r="AB181" s="115"/>
      <c r="AC181" s="115"/>
      <c r="AD181" s="25"/>
      <c r="AE181" s="13"/>
      <c r="AJ181" s="116"/>
      <c r="AK181" s="123"/>
      <c r="AL181" s="123"/>
      <c r="AM181" s="123"/>
      <c r="AR181" s="115"/>
      <c r="AS181" s="115"/>
      <c r="AT181" s="115"/>
      <c r="AU181" s="115"/>
      <c r="AV181" s="115"/>
      <c r="AW181" s="115"/>
      <c r="AX181" s="115"/>
      <c r="AY181" s="115"/>
      <c r="AZ181" s="115"/>
      <c r="BA181" s="115"/>
      <c r="BB181" s="25"/>
      <c r="BC181" s="13"/>
      <c r="BF181" s="114"/>
    </row>
    <row r="182" spans="1:58" ht="20.100000000000001" customHeight="1" x14ac:dyDescent="0.4">
      <c r="A182" s="117"/>
      <c r="B182" s="123"/>
      <c r="C182" s="123"/>
      <c r="D182" s="123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26"/>
      <c r="T182" s="15"/>
      <c r="V182" s="115"/>
      <c r="W182" s="115"/>
      <c r="X182" s="115"/>
      <c r="Y182" s="115"/>
      <c r="Z182" s="115"/>
      <c r="AA182" s="115"/>
      <c r="AB182" s="115"/>
      <c r="AC182" s="115"/>
      <c r="AD182" s="25"/>
      <c r="AE182" s="13"/>
      <c r="AJ182" s="116"/>
      <c r="AK182" s="123"/>
      <c r="AL182" s="123"/>
      <c r="AM182" s="123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25"/>
      <c r="BC182" s="13"/>
      <c r="BF182" s="114"/>
    </row>
    <row r="183" spans="1:58" ht="20.100000000000001" customHeight="1" x14ac:dyDescent="0.4">
      <c r="A183" s="117"/>
      <c r="B183" s="123"/>
      <c r="C183" s="123"/>
      <c r="D183" s="123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26"/>
      <c r="T183" s="15"/>
      <c r="V183" s="115"/>
      <c r="W183" s="115"/>
      <c r="X183" s="115"/>
      <c r="Y183" s="115"/>
      <c r="Z183" s="115"/>
      <c r="AA183" s="115"/>
      <c r="AB183" s="115"/>
      <c r="AC183" s="115"/>
      <c r="AD183" s="25"/>
      <c r="AE183" s="13"/>
      <c r="AJ183" s="116"/>
      <c r="AK183" s="123"/>
      <c r="AL183" s="123"/>
      <c r="AM183" s="123"/>
      <c r="AR183" s="115"/>
      <c r="AS183" s="115"/>
      <c r="AT183" s="115"/>
      <c r="AU183" s="115"/>
      <c r="AV183" s="115"/>
      <c r="AW183" s="115"/>
      <c r="AX183" s="115"/>
      <c r="AY183" s="115"/>
      <c r="AZ183" s="115"/>
      <c r="BA183" s="115"/>
      <c r="BB183" s="25"/>
      <c r="BC183" s="13"/>
      <c r="BF183" s="114"/>
    </row>
    <row r="184" spans="1:58" ht="20.100000000000001" customHeight="1" x14ac:dyDescent="0.4">
      <c r="A184" s="117"/>
      <c r="B184" s="123"/>
      <c r="C184" s="123"/>
      <c r="D184" s="123"/>
      <c r="S184" s="26"/>
      <c r="T184" s="15"/>
      <c r="V184" s="115"/>
      <c r="W184" s="115"/>
      <c r="X184" s="115"/>
      <c r="Y184" s="115"/>
      <c r="Z184" s="115"/>
      <c r="AA184" s="115"/>
      <c r="AB184" s="115"/>
      <c r="AC184" s="115"/>
      <c r="AD184" s="25">
        <v>45673</v>
      </c>
      <c r="AE184" s="13" t="s">
        <v>147</v>
      </c>
      <c r="AJ184" s="116"/>
      <c r="AK184" s="123"/>
      <c r="AL184" s="123"/>
      <c r="AM184" s="123"/>
      <c r="AR184" s="115"/>
      <c r="AS184" s="115"/>
      <c r="AT184" s="115"/>
      <c r="AU184" s="115"/>
      <c r="AV184" s="115"/>
      <c r="AW184" s="115"/>
      <c r="AX184" s="115"/>
      <c r="AY184" s="115"/>
      <c r="AZ184" s="115"/>
      <c r="BA184" s="115"/>
      <c r="BB184" s="25"/>
      <c r="BC184" s="13"/>
      <c r="BF184" s="114"/>
    </row>
    <row r="185" spans="1:58" ht="20.100000000000001" customHeight="1" x14ac:dyDescent="0.4">
      <c r="A185" s="117"/>
      <c r="B185" s="123"/>
      <c r="C185" s="123"/>
      <c r="D185" s="123"/>
      <c r="P185" s="115"/>
      <c r="Q185" s="115"/>
      <c r="R185" s="115"/>
      <c r="S185" s="17"/>
      <c r="T185" s="15"/>
      <c r="V185" s="115"/>
      <c r="W185" s="115"/>
      <c r="X185" s="115"/>
      <c r="Y185" s="115"/>
      <c r="Z185" s="115"/>
      <c r="AA185" s="115"/>
      <c r="AB185" s="115"/>
      <c r="AC185" s="115"/>
      <c r="AD185" s="25"/>
      <c r="AE185" s="13"/>
      <c r="AJ185" s="116"/>
      <c r="AK185" s="123"/>
      <c r="AL185" s="123"/>
      <c r="AM185" s="123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25"/>
      <c r="BC185" s="13"/>
      <c r="BF185" s="114"/>
    </row>
    <row r="186" spans="1:58" ht="20.100000000000001" customHeight="1" x14ac:dyDescent="0.4">
      <c r="A186" s="117"/>
      <c r="B186" s="123"/>
      <c r="C186" s="123"/>
      <c r="D186" s="123"/>
      <c r="S186" s="26"/>
      <c r="T186" s="15"/>
      <c r="V186" s="115"/>
      <c r="W186" s="115"/>
      <c r="X186" s="115"/>
      <c r="Y186" s="115"/>
      <c r="Z186" s="115"/>
      <c r="AA186" s="115"/>
      <c r="AB186" s="115"/>
      <c r="AC186" s="115"/>
      <c r="AD186" s="25"/>
      <c r="AE186" s="13"/>
      <c r="AJ186" s="116"/>
      <c r="AK186" s="123"/>
      <c r="AL186" s="123"/>
      <c r="AM186" s="123"/>
      <c r="AR186" s="115"/>
      <c r="AS186" s="115"/>
      <c r="AT186" s="115"/>
      <c r="AU186" s="115"/>
      <c r="AV186" s="115"/>
      <c r="AW186" s="115"/>
      <c r="AX186" s="115"/>
      <c r="AY186" s="115"/>
      <c r="AZ186" s="115"/>
      <c r="BA186" s="115"/>
      <c r="BB186" s="25"/>
      <c r="BC186" s="13"/>
      <c r="BF186" s="114"/>
    </row>
    <row r="187" spans="1:58" ht="20.100000000000001" customHeight="1" x14ac:dyDescent="0.4">
      <c r="A187" s="117"/>
      <c r="B187" s="123"/>
      <c r="C187" s="123"/>
      <c r="D187" s="123"/>
      <c r="P187" s="115"/>
      <c r="Q187" s="115"/>
      <c r="R187" s="115"/>
      <c r="S187" s="17"/>
      <c r="T187" s="15"/>
      <c r="V187" s="115"/>
      <c r="W187" s="115"/>
      <c r="X187" s="115"/>
      <c r="Y187" s="115"/>
      <c r="Z187" s="115"/>
      <c r="AA187" s="115"/>
      <c r="AB187" s="115"/>
      <c r="AC187" s="115"/>
      <c r="AD187" s="25"/>
      <c r="AE187" s="13"/>
      <c r="AJ187" s="116"/>
      <c r="AK187" s="123"/>
      <c r="AL187" s="123"/>
      <c r="AM187" s="123"/>
      <c r="AR187" s="115"/>
      <c r="AS187" s="115"/>
      <c r="AT187" s="115"/>
      <c r="AU187" s="115"/>
      <c r="AV187" s="115"/>
      <c r="AW187" s="115"/>
      <c r="AX187" s="115"/>
      <c r="AY187" s="115"/>
      <c r="AZ187" s="115"/>
      <c r="BA187" s="115"/>
      <c r="BB187" s="25"/>
      <c r="BC187" s="13"/>
      <c r="BF187" s="114"/>
    </row>
    <row r="188" spans="1:58" ht="20.100000000000001" customHeight="1" x14ac:dyDescent="0.4">
      <c r="A188" s="117"/>
      <c r="B188" s="123"/>
      <c r="C188" s="123"/>
      <c r="D188" s="123"/>
      <c r="K188" s="115"/>
      <c r="L188" s="115"/>
      <c r="M188" s="115"/>
      <c r="N188" s="115"/>
      <c r="O188" s="115"/>
      <c r="P188" s="115"/>
      <c r="Q188" s="115"/>
      <c r="R188" s="115"/>
      <c r="S188" s="26"/>
      <c r="T188" s="15"/>
      <c r="V188" s="115"/>
      <c r="W188" s="115"/>
      <c r="X188" s="115"/>
      <c r="Y188" s="115"/>
      <c r="Z188" s="115"/>
      <c r="AA188" s="115"/>
      <c r="AB188" s="115"/>
      <c r="AC188" s="115"/>
      <c r="AD188" s="25"/>
      <c r="AE188" s="13"/>
      <c r="AJ188" s="116"/>
      <c r="AK188" s="123"/>
      <c r="AL188" s="123"/>
      <c r="AM188" s="123"/>
      <c r="AR188" s="115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25"/>
      <c r="BC188" s="13"/>
      <c r="BF188" s="114"/>
    </row>
    <row r="189" spans="1:58" ht="20.100000000000001" customHeight="1" x14ac:dyDescent="0.4">
      <c r="A189" s="117"/>
      <c r="B189" s="123"/>
      <c r="C189" s="123"/>
      <c r="D189" s="123"/>
      <c r="K189" s="115"/>
      <c r="L189" s="115"/>
      <c r="M189" s="115"/>
      <c r="N189" s="115"/>
      <c r="O189" s="115"/>
      <c r="P189" s="115"/>
      <c r="Q189" s="115"/>
      <c r="R189" s="115"/>
      <c r="S189" s="20"/>
      <c r="T189" s="13"/>
      <c r="V189" s="115"/>
      <c r="W189" s="115"/>
      <c r="X189" s="115"/>
      <c r="Y189" s="115"/>
      <c r="Z189" s="115"/>
      <c r="AA189" s="115"/>
      <c r="AB189" s="115"/>
      <c r="AC189" s="115"/>
      <c r="AD189" s="25"/>
      <c r="AE189" s="13"/>
      <c r="AJ189" s="116"/>
      <c r="AK189" s="123"/>
      <c r="AL189" s="123"/>
      <c r="AM189" s="123"/>
      <c r="AR189" s="115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25"/>
      <c r="BC189" s="13"/>
      <c r="BF189" s="114"/>
    </row>
    <row r="190" spans="1:58" ht="20.100000000000001" customHeight="1" x14ac:dyDescent="0.4">
      <c r="A190" s="117"/>
      <c r="B190" s="123"/>
      <c r="C190" s="123"/>
      <c r="D190" s="123"/>
      <c r="K190" s="115"/>
      <c r="L190" s="115"/>
      <c r="M190" s="115"/>
      <c r="N190" s="115"/>
      <c r="O190" s="115"/>
      <c r="P190" s="115"/>
      <c r="Q190" s="115"/>
      <c r="R190" s="115"/>
      <c r="S190" s="20"/>
      <c r="T190" s="13"/>
      <c r="V190" s="115"/>
      <c r="W190" s="115"/>
      <c r="X190" s="115"/>
      <c r="Y190" s="115"/>
      <c r="Z190" s="115"/>
      <c r="AA190" s="115"/>
      <c r="AB190" s="115"/>
      <c r="AC190" s="115"/>
      <c r="AD190" s="25"/>
      <c r="AE190" s="13"/>
      <c r="AJ190" s="116"/>
      <c r="AK190" s="123"/>
      <c r="AL190" s="123"/>
      <c r="AM190" s="123"/>
      <c r="AR190" s="115"/>
      <c r="AS190" s="115"/>
      <c r="AT190" s="115"/>
      <c r="AU190" s="115"/>
      <c r="AV190" s="115"/>
      <c r="AW190" s="115"/>
      <c r="AX190" s="115"/>
      <c r="AY190" s="115"/>
      <c r="AZ190" s="115"/>
      <c r="BA190" s="115"/>
      <c r="BB190" s="25"/>
      <c r="BC190" s="13"/>
      <c r="BF190" s="114"/>
    </row>
    <row r="191" spans="1:58" ht="20.100000000000001" customHeight="1" x14ac:dyDescent="0.4">
      <c r="A191" s="117"/>
      <c r="B191" s="123"/>
      <c r="C191" s="123"/>
      <c r="D191" s="123"/>
      <c r="K191" s="115"/>
      <c r="L191" s="115"/>
      <c r="M191" s="115"/>
      <c r="N191" s="115"/>
      <c r="O191" s="115"/>
      <c r="P191" s="115"/>
      <c r="Q191" s="115"/>
      <c r="R191" s="115"/>
      <c r="S191" s="13"/>
      <c r="T191" s="13"/>
      <c r="V191" s="115"/>
      <c r="W191" s="115"/>
      <c r="X191" s="115"/>
      <c r="Y191" s="115"/>
      <c r="Z191" s="115"/>
      <c r="AA191" s="115"/>
      <c r="AB191" s="115"/>
      <c r="AC191" s="115"/>
      <c r="AD191" s="25"/>
      <c r="AE191" s="13"/>
      <c r="AJ191" s="116"/>
      <c r="AK191" s="123"/>
      <c r="AL191" s="123"/>
      <c r="AM191" s="123"/>
      <c r="AR191" s="115"/>
      <c r="AS191" s="115"/>
      <c r="AT191" s="115"/>
      <c r="AU191" s="115"/>
      <c r="AV191" s="115"/>
      <c r="AW191" s="115"/>
      <c r="AX191" s="115"/>
      <c r="AY191" s="115"/>
      <c r="AZ191" s="115"/>
      <c r="BA191" s="115"/>
      <c r="BB191" s="25"/>
      <c r="BC191" s="13"/>
      <c r="BF191" s="114"/>
    </row>
    <row r="192" spans="1:58" ht="20.100000000000001" customHeight="1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25"/>
      <c r="T192" s="13"/>
      <c r="V192" s="115"/>
      <c r="W192" s="115"/>
      <c r="X192" s="115"/>
      <c r="Y192" s="115"/>
      <c r="Z192" s="115"/>
      <c r="AA192" s="115"/>
      <c r="AB192" s="115"/>
      <c r="AC192" s="115"/>
      <c r="AD192" s="25"/>
      <c r="AE192" s="13"/>
      <c r="AJ192" s="116"/>
      <c r="AK192" s="123"/>
      <c r="AL192" s="123"/>
      <c r="AM192" s="123"/>
      <c r="AR192" s="115"/>
      <c r="AS192" s="115"/>
      <c r="AT192" s="115"/>
      <c r="AU192" s="115"/>
      <c r="AV192" s="115"/>
      <c r="AW192" s="115"/>
      <c r="AX192" s="115"/>
      <c r="AY192" s="115"/>
      <c r="AZ192" s="115"/>
      <c r="BA192" s="115"/>
      <c r="BB192" s="25"/>
      <c r="BC192" s="13"/>
      <c r="BF192" s="114"/>
    </row>
    <row r="193" spans="1:58" ht="20.100000000000001" customHeight="1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3"/>
      <c r="T193" s="13"/>
      <c r="V193" s="115"/>
      <c r="W193" s="115"/>
      <c r="X193" s="115"/>
      <c r="Y193" s="115"/>
      <c r="Z193" s="115"/>
      <c r="AA193" s="115"/>
      <c r="AB193" s="115"/>
      <c r="AC193" s="115"/>
      <c r="AD193" s="25"/>
      <c r="AE193" s="13"/>
      <c r="AJ193" s="116"/>
      <c r="AK193" s="123"/>
      <c r="AL193" s="123"/>
      <c r="AM193" s="123"/>
      <c r="AR193" s="115"/>
      <c r="AS193" s="115"/>
      <c r="AT193" s="115"/>
      <c r="AU193" s="115"/>
      <c r="AV193" s="115"/>
      <c r="AW193" s="115"/>
      <c r="AX193" s="115"/>
      <c r="AY193" s="115"/>
      <c r="AZ193" s="115"/>
      <c r="BA193" s="115"/>
      <c r="BB193" s="25"/>
      <c r="BC193" s="13"/>
      <c r="BF193" s="114"/>
    </row>
    <row r="194" spans="1:58" ht="20.100000000000001" customHeight="1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25"/>
      <c r="T194" s="13"/>
      <c r="V194" s="115"/>
      <c r="W194" s="115"/>
      <c r="X194" s="115"/>
      <c r="Y194" s="115"/>
      <c r="Z194" s="115"/>
      <c r="AA194" s="115"/>
      <c r="AB194" s="115"/>
      <c r="AC194" s="115"/>
      <c r="AD194" s="25"/>
      <c r="AE194" s="13"/>
      <c r="AJ194" s="116"/>
      <c r="AK194" s="123"/>
      <c r="AL194" s="123"/>
      <c r="AM194" s="123"/>
      <c r="AR194" s="115"/>
      <c r="AS194" s="115"/>
      <c r="AT194" s="115"/>
      <c r="AU194" s="115"/>
      <c r="AV194" s="115"/>
      <c r="AW194" s="115"/>
      <c r="AX194" s="115"/>
      <c r="AY194" s="115"/>
      <c r="AZ194" s="115"/>
      <c r="BA194" s="115"/>
      <c r="BB194" s="25"/>
      <c r="BC194" s="13"/>
      <c r="BF194" s="114"/>
    </row>
    <row r="195" spans="1:58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25"/>
      <c r="T195" s="13"/>
      <c r="V195" s="115"/>
      <c r="W195" s="115"/>
      <c r="X195" s="115"/>
      <c r="Y195" s="115"/>
      <c r="Z195" s="115"/>
      <c r="AA195" s="115"/>
      <c r="AB195" s="115"/>
      <c r="AC195" s="115"/>
      <c r="AD195" s="25"/>
      <c r="AE195" s="13"/>
      <c r="AJ195" s="116"/>
      <c r="AK195" s="123"/>
      <c r="AL195" s="123"/>
      <c r="AM195" s="123"/>
      <c r="AR195" s="115"/>
      <c r="AS195" s="115"/>
      <c r="AT195" s="115"/>
      <c r="AU195" s="115"/>
      <c r="AV195" s="115"/>
      <c r="AW195" s="115"/>
      <c r="AX195" s="115"/>
      <c r="AY195" s="115"/>
      <c r="AZ195" s="115"/>
      <c r="BA195" s="115"/>
      <c r="BB195" s="25"/>
      <c r="BC195" s="13"/>
      <c r="BF195" s="114"/>
    </row>
    <row r="196" spans="1:58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25"/>
      <c r="T196" s="13"/>
      <c r="V196" s="115"/>
      <c r="W196" s="115"/>
      <c r="X196" s="115"/>
      <c r="Y196" s="115"/>
      <c r="Z196" s="115"/>
      <c r="AA196" s="115"/>
      <c r="AB196" s="115"/>
      <c r="AC196" s="115"/>
      <c r="AD196" s="25"/>
      <c r="AE196" s="13"/>
      <c r="AJ196" s="116"/>
      <c r="AK196" s="123"/>
      <c r="AL196" s="123"/>
      <c r="AM196" s="123"/>
      <c r="AR196" s="115"/>
      <c r="AS196" s="115"/>
      <c r="AT196" s="115"/>
      <c r="AU196" s="115"/>
      <c r="AV196" s="115"/>
      <c r="AW196" s="115"/>
      <c r="AX196" s="115"/>
      <c r="AY196" s="115"/>
      <c r="AZ196" s="115"/>
      <c r="BA196" s="115"/>
      <c r="BB196" s="25"/>
      <c r="BC196" s="13"/>
      <c r="BF196" s="114"/>
    </row>
    <row r="197" spans="1:58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25"/>
      <c r="T197" s="13"/>
      <c r="V197" s="115"/>
      <c r="W197" s="115"/>
      <c r="X197" s="115"/>
      <c r="Y197" s="115"/>
      <c r="Z197" s="115"/>
      <c r="AA197" s="115"/>
      <c r="AB197" s="115"/>
      <c r="AC197" s="115"/>
      <c r="AD197" s="25"/>
      <c r="AE197" s="13"/>
      <c r="AJ197" s="116"/>
      <c r="AK197" s="123"/>
      <c r="AL197" s="123"/>
      <c r="AM197" s="123"/>
      <c r="AR197" s="115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25"/>
      <c r="BC197" s="13"/>
      <c r="BF197" s="114"/>
    </row>
    <row r="198" spans="1:58" ht="20.100000000000001" customHeight="1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25"/>
      <c r="T198" s="13"/>
      <c r="V198" s="115"/>
      <c r="W198" s="115"/>
      <c r="X198" s="115"/>
      <c r="Y198" s="115"/>
      <c r="Z198" s="115"/>
      <c r="AA198" s="115"/>
      <c r="AB198" s="115"/>
      <c r="AC198" s="115"/>
      <c r="AD198" s="25"/>
      <c r="AE198" s="13"/>
      <c r="AJ198" s="116"/>
      <c r="AK198" s="123"/>
      <c r="AL198" s="123"/>
      <c r="AM198" s="123"/>
      <c r="AR198" s="115"/>
      <c r="AS198" s="115"/>
      <c r="AT198" s="115"/>
      <c r="AU198" s="115"/>
      <c r="AV198" s="115"/>
      <c r="AW198" s="115"/>
      <c r="AX198" s="115"/>
      <c r="AY198" s="115"/>
      <c r="AZ198" s="115"/>
      <c r="BA198" s="115"/>
      <c r="BB198" s="25"/>
      <c r="BC198" s="13"/>
      <c r="BF198" s="114"/>
    </row>
    <row r="199" spans="1:58" ht="20.100000000000001" customHeight="1" x14ac:dyDescent="0.4">
      <c r="A199" s="117"/>
      <c r="B199" s="123"/>
      <c r="C199" s="123"/>
      <c r="D199" s="123"/>
      <c r="S199" s="25"/>
      <c r="T199" s="13"/>
      <c r="V199" s="115"/>
      <c r="W199" s="115"/>
      <c r="X199" s="115"/>
      <c r="Y199" s="115"/>
      <c r="Z199" s="115"/>
      <c r="AA199" s="115"/>
      <c r="AB199" s="115"/>
      <c r="AC199" s="115"/>
      <c r="AD199" s="25">
        <v>45673</v>
      </c>
      <c r="AE199" s="13" t="s">
        <v>147</v>
      </c>
      <c r="AJ199" s="116"/>
      <c r="AK199" s="123"/>
      <c r="AL199" s="123"/>
      <c r="AM199" s="123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25"/>
      <c r="BC199" s="13"/>
      <c r="BF199" s="114"/>
    </row>
    <row r="200" spans="1:58" ht="20.100000000000001" customHeight="1" x14ac:dyDescent="0.4">
      <c r="A200" s="117"/>
      <c r="B200" s="123"/>
      <c r="C200" s="123"/>
      <c r="D200" s="123"/>
      <c r="S200" s="25"/>
      <c r="T200" s="13"/>
      <c r="V200" s="115"/>
      <c r="W200" s="115"/>
      <c r="X200" s="115"/>
      <c r="Y200" s="115"/>
      <c r="Z200" s="115"/>
      <c r="AA200" s="115"/>
      <c r="AB200" s="115"/>
      <c r="AC200" s="115"/>
      <c r="AD200" s="25">
        <v>45673</v>
      </c>
      <c r="AE200" s="13" t="s">
        <v>147</v>
      </c>
      <c r="AJ200" s="116"/>
      <c r="AK200" s="123"/>
      <c r="AL200" s="123"/>
      <c r="AM200" s="123"/>
      <c r="AR200" s="115"/>
      <c r="AS200" s="115"/>
      <c r="AT200" s="115"/>
      <c r="AU200" s="115"/>
      <c r="AV200" s="115"/>
      <c r="AW200" s="115"/>
      <c r="AX200" s="115"/>
      <c r="AY200" s="115"/>
      <c r="AZ200" s="115"/>
      <c r="BA200" s="115"/>
      <c r="BB200" s="25"/>
      <c r="BC200" s="13"/>
      <c r="BF200" s="114"/>
    </row>
    <row r="201" spans="1:58" ht="20.100000000000001" customHeight="1" x14ac:dyDescent="0.4">
      <c r="A201" s="117"/>
      <c r="B201" s="123"/>
      <c r="C201" s="123"/>
      <c r="D201" s="123"/>
      <c r="S201" s="25"/>
      <c r="T201" s="13"/>
      <c r="V201" s="115"/>
      <c r="W201" s="115"/>
      <c r="X201" s="115"/>
      <c r="Y201" s="115"/>
      <c r="Z201" s="115"/>
      <c r="AA201" s="115"/>
      <c r="AB201" s="115"/>
      <c r="AC201" s="115"/>
      <c r="AD201" s="25">
        <v>45675</v>
      </c>
      <c r="AE201" s="13" t="s">
        <v>147</v>
      </c>
      <c r="AJ201" s="116"/>
      <c r="AK201" s="123"/>
      <c r="AL201" s="123"/>
      <c r="AM201" s="123"/>
      <c r="AR201" s="115"/>
      <c r="AS201" s="115"/>
      <c r="AT201" s="115"/>
      <c r="AU201" s="115"/>
      <c r="AV201" s="115"/>
      <c r="AW201" s="115"/>
      <c r="AX201" s="115"/>
      <c r="AY201" s="115"/>
      <c r="AZ201" s="115"/>
      <c r="BA201" s="115"/>
      <c r="BB201" s="25"/>
      <c r="BC201" s="13"/>
      <c r="BF201" s="114"/>
    </row>
    <row r="202" spans="1:58" ht="20.100000000000001" customHeight="1" x14ac:dyDescent="0.4">
      <c r="A202" s="117"/>
      <c r="B202" s="123"/>
      <c r="C202" s="123"/>
      <c r="D202" s="123"/>
      <c r="S202" s="25"/>
      <c r="T202" s="13"/>
      <c r="V202" s="115"/>
      <c r="W202" s="115"/>
      <c r="X202" s="115"/>
      <c r="Y202" s="115"/>
      <c r="Z202" s="115"/>
      <c r="AA202" s="115"/>
      <c r="AB202" s="115"/>
      <c r="AC202" s="115"/>
      <c r="AD202" s="25"/>
      <c r="AE202" s="13"/>
      <c r="AJ202" s="116"/>
      <c r="AK202" s="123"/>
      <c r="AL202" s="123"/>
      <c r="AM202" s="123"/>
      <c r="AR202" s="115"/>
      <c r="AS202" s="115"/>
      <c r="AT202" s="115"/>
      <c r="AU202" s="115"/>
      <c r="AV202" s="115"/>
      <c r="AW202" s="115"/>
      <c r="AX202" s="115"/>
      <c r="AY202" s="115"/>
      <c r="AZ202" s="115"/>
      <c r="BA202" s="115"/>
      <c r="BB202" s="25"/>
      <c r="BC202" s="13"/>
      <c r="BF202" s="114"/>
    </row>
    <row r="203" spans="1:58" ht="20.100000000000001" customHeight="1" x14ac:dyDescent="0.4">
      <c r="A203" s="117"/>
      <c r="B203" s="123"/>
      <c r="C203" s="123"/>
      <c r="D203" s="123"/>
      <c r="N203" s="115"/>
      <c r="O203" s="115"/>
      <c r="P203" s="115"/>
      <c r="Q203" s="115"/>
      <c r="R203" s="115"/>
      <c r="S203" s="25"/>
      <c r="T203" s="13"/>
      <c r="V203" s="115"/>
      <c r="W203" s="115"/>
      <c r="X203" s="115"/>
      <c r="Y203" s="115"/>
      <c r="Z203" s="115"/>
      <c r="AA203" s="115"/>
      <c r="AB203" s="115"/>
      <c r="AC203" s="115"/>
      <c r="AD203" s="25"/>
      <c r="AE203" s="13"/>
      <c r="AJ203" s="116"/>
      <c r="AK203" s="123"/>
      <c r="AL203" s="123"/>
      <c r="AM203" s="123"/>
      <c r="AR203" s="115"/>
      <c r="AS203" s="115"/>
      <c r="AT203" s="115"/>
      <c r="AU203" s="115"/>
      <c r="AV203" s="115"/>
      <c r="AW203" s="115"/>
      <c r="AX203" s="115"/>
      <c r="AY203" s="115"/>
      <c r="AZ203" s="115"/>
      <c r="BA203" s="115"/>
      <c r="BB203" s="25"/>
      <c r="BC203" s="13"/>
      <c r="BF203" s="114"/>
    </row>
    <row r="204" spans="1:58" ht="20.100000000000001" customHeight="1" x14ac:dyDescent="0.4">
      <c r="A204" s="117"/>
      <c r="B204" s="123"/>
      <c r="C204" s="123"/>
      <c r="D204" s="123"/>
      <c r="S204" s="25"/>
      <c r="T204" s="13"/>
      <c r="V204" s="115"/>
      <c r="W204" s="115"/>
      <c r="X204" s="115"/>
      <c r="Y204" s="115"/>
      <c r="Z204" s="115"/>
      <c r="AA204" s="115"/>
      <c r="AB204" s="115"/>
      <c r="AC204" s="115"/>
      <c r="AD204" s="25">
        <v>45675</v>
      </c>
      <c r="AE204" s="15" t="s">
        <v>147</v>
      </c>
      <c r="AJ204" s="116"/>
      <c r="AK204" s="123"/>
      <c r="AL204" s="123"/>
      <c r="AM204" s="123"/>
      <c r="AR204" s="115"/>
      <c r="AS204" s="115"/>
      <c r="AT204" s="115"/>
      <c r="AU204" s="115"/>
      <c r="AV204" s="115"/>
      <c r="AW204" s="115"/>
      <c r="AX204" s="115"/>
      <c r="AY204" s="115"/>
      <c r="AZ204" s="115"/>
      <c r="BA204" s="115"/>
      <c r="BB204" s="25"/>
      <c r="BC204" s="13"/>
      <c r="BF204" s="114"/>
    </row>
    <row r="205" spans="1:58" ht="20.100000000000001" customHeight="1" x14ac:dyDescent="0.4">
      <c r="A205" s="117"/>
      <c r="B205" s="123"/>
      <c r="C205" s="123"/>
      <c r="D205" s="123"/>
      <c r="S205" s="26"/>
      <c r="T205" s="13"/>
      <c r="V205" s="115"/>
      <c r="W205" s="115"/>
      <c r="X205" s="115"/>
      <c r="Y205" s="115"/>
      <c r="Z205" s="115"/>
      <c r="AA205" s="115"/>
      <c r="AB205" s="115"/>
      <c r="AC205" s="115"/>
      <c r="AD205" s="25"/>
      <c r="AE205" s="13"/>
      <c r="AJ205" s="116"/>
      <c r="AK205" s="123"/>
      <c r="AL205" s="123"/>
      <c r="AM205" s="123"/>
      <c r="AR205" s="115"/>
      <c r="AS205" s="115"/>
      <c r="AT205" s="115"/>
      <c r="AU205" s="115"/>
      <c r="AV205" s="115"/>
      <c r="AW205" s="115"/>
      <c r="AX205" s="115"/>
      <c r="AY205" s="115"/>
      <c r="AZ205" s="115"/>
      <c r="BA205" s="115"/>
      <c r="BB205" s="25"/>
      <c r="BC205" s="13"/>
      <c r="BF205" s="114"/>
    </row>
    <row r="206" spans="1:58" ht="20.100000000000001" customHeight="1" x14ac:dyDescent="0.4">
      <c r="A206" s="117"/>
      <c r="B206" s="123"/>
      <c r="C206" s="123"/>
      <c r="D206" s="123"/>
      <c r="S206" s="26"/>
      <c r="T206" s="13"/>
      <c r="V206" s="115"/>
      <c r="W206" s="115"/>
      <c r="X206" s="115"/>
      <c r="Y206" s="115"/>
      <c r="Z206" s="115"/>
      <c r="AA206" s="115"/>
      <c r="AB206" s="115"/>
      <c r="AC206" s="115"/>
      <c r="AD206" s="25">
        <v>45675</v>
      </c>
      <c r="AE206" s="13" t="s">
        <v>147</v>
      </c>
      <c r="AJ206" s="116"/>
      <c r="AK206" s="123"/>
      <c r="AL206" s="123"/>
      <c r="AM206" s="123"/>
      <c r="AR206" s="115"/>
      <c r="AS206" s="115"/>
      <c r="AT206" s="115"/>
      <c r="AU206" s="115"/>
      <c r="AV206" s="115"/>
      <c r="AW206" s="115"/>
      <c r="AX206" s="115"/>
      <c r="AY206" s="115"/>
      <c r="AZ206" s="115"/>
      <c r="BA206" s="115"/>
      <c r="BB206" s="25"/>
      <c r="BC206" s="13"/>
      <c r="BF206" s="114"/>
    </row>
    <row r="207" spans="1:58" ht="20.100000000000001" customHeight="1" x14ac:dyDescent="0.4">
      <c r="A207" s="117"/>
      <c r="B207" s="123"/>
      <c r="C207" s="123"/>
      <c r="D207" s="123"/>
      <c r="K207" s="115"/>
      <c r="L207" s="115"/>
      <c r="M207" s="115"/>
      <c r="N207" s="115"/>
      <c r="O207" s="115"/>
      <c r="P207" s="115"/>
      <c r="Q207" s="115"/>
      <c r="R207" s="115"/>
      <c r="S207" s="26"/>
      <c r="T207" s="13"/>
      <c r="V207" s="115"/>
      <c r="W207" s="115"/>
      <c r="X207" s="115"/>
      <c r="Y207" s="115"/>
      <c r="Z207" s="115"/>
      <c r="AA207" s="115"/>
      <c r="AB207" s="115"/>
      <c r="AC207" s="115"/>
      <c r="AD207" s="25"/>
      <c r="AE207" s="13"/>
      <c r="AJ207" s="116"/>
      <c r="AK207" s="123"/>
      <c r="AL207" s="123"/>
      <c r="AM207" s="123"/>
      <c r="AR207" s="115"/>
      <c r="AS207" s="115"/>
      <c r="AT207" s="115"/>
      <c r="AU207" s="115"/>
      <c r="AV207" s="115"/>
      <c r="AW207" s="115"/>
      <c r="AX207" s="115"/>
      <c r="AY207" s="115"/>
      <c r="AZ207" s="115"/>
      <c r="BA207" s="115"/>
      <c r="BB207" s="25"/>
      <c r="BC207" s="13"/>
      <c r="BF207" s="114"/>
    </row>
    <row r="208" spans="1:58" ht="20.100000000000001" customHeight="1" x14ac:dyDescent="0.4">
      <c r="A208" s="117"/>
      <c r="B208" s="123"/>
      <c r="C208" s="123"/>
      <c r="D208" s="123"/>
      <c r="S208" s="26"/>
      <c r="T208" s="13"/>
      <c r="V208" s="115"/>
      <c r="W208" s="115"/>
      <c r="X208" s="115"/>
      <c r="Y208" s="115"/>
      <c r="Z208" s="115"/>
      <c r="AA208" s="115"/>
      <c r="AB208" s="115"/>
      <c r="AC208" s="115"/>
      <c r="AD208" s="25"/>
      <c r="AE208" s="13"/>
      <c r="AJ208" s="116"/>
      <c r="AK208" s="123"/>
      <c r="AL208" s="123"/>
      <c r="AM208" s="123"/>
      <c r="AR208" s="115"/>
      <c r="AS208" s="115"/>
      <c r="AT208" s="115"/>
      <c r="AU208" s="115"/>
      <c r="AV208" s="115"/>
      <c r="AW208" s="115"/>
      <c r="AX208" s="115"/>
      <c r="AY208" s="115"/>
      <c r="AZ208" s="115"/>
      <c r="BA208" s="115"/>
      <c r="BB208" s="25"/>
      <c r="BC208" s="13"/>
      <c r="BF208" s="114"/>
    </row>
    <row r="209" spans="1:58" ht="20.100000000000001" customHeight="1" x14ac:dyDescent="0.4">
      <c r="A209" s="117"/>
      <c r="B209" s="123"/>
      <c r="C209" s="123"/>
      <c r="D209" s="123"/>
      <c r="M209" s="115"/>
      <c r="N209" s="115"/>
      <c r="O209" s="115"/>
      <c r="P209" s="115"/>
      <c r="Q209" s="115"/>
      <c r="R209" s="115"/>
      <c r="S209" s="26"/>
      <c r="T209" s="13"/>
      <c r="V209" s="115"/>
      <c r="W209" s="115"/>
      <c r="X209" s="115"/>
      <c r="Y209" s="115"/>
      <c r="Z209" s="115"/>
      <c r="AA209" s="115"/>
      <c r="AB209" s="115"/>
      <c r="AC209" s="115"/>
      <c r="AD209" s="25"/>
      <c r="AE209" s="13"/>
      <c r="AJ209" s="116"/>
      <c r="AK209" s="123"/>
      <c r="AL209" s="123"/>
      <c r="AM209" s="123"/>
      <c r="AR209" s="115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25"/>
      <c r="BC209" s="13"/>
      <c r="BF209" s="114"/>
    </row>
    <row r="210" spans="1:58" ht="20.100000000000001" customHeight="1" x14ac:dyDescent="0.4">
      <c r="A210" s="117"/>
      <c r="B210" s="123"/>
      <c r="C210" s="123"/>
      <c r="D210" s="123"/>
      <c r="M210" s="115"/>
      <c r="N210" s="115"/>
      <c r="O210" s="115"/>
      <c r="P210" s="115"/>
      <c r="Q210" s="115"/>
      <c r="R210" s="115"/>
      <c r="S210" s="17"/>
      <c r="T210" s="13"/>
      <c r="V210" s="115"/>
      <c r="W210" s="115"/>
      <c r="X210" s="115"/>
      <c r="Y210" s="115"/>
      <c r="Z210" s="115"/>
      <c r="AA210" s="115"/>
      <c r="AB210" s="115"/>
      <c r="AC210" s="115"/>
      <c r="AD210" s="25"/>
      <c r="AE210" s="13"/>
      <c r="AJ210" s="116"/>
      <c r="AK210" s="123"/>
      <c r="AL210" s="123"/>
      <c r="AM210" s="123"/>
      <c r="AR210" s="115"/>
      <c r="AS210" s="115"/>
      <c r="AT210" s="115"/>
      <c r="AU210" s="115"/>
      <c r="AV210" s="115"/>
      <c r="AW210" s="115"/>
      <c r="AX210" s="115"/>
      <c r="AY210" s="115"/>
      <c r="AZ210" s="115"/>
      <c r="BA210" s="115"/>
      <c r="BB210" s="25"/>
      <c r="BC210" s="13"/>
      <c r="BF210" s="114"/>
    </row>
    <row r="211" spans="1:58" ht="20.100000000000001" customHeight="1" x14ac:dyDescent="0.4">
      <c r="A211" s="117"/>
      <c r="B211" s="123"/>
      <c r="C211" s="123"/>
      <c r="D211" s="123"/>
      <c r="L211" s="115"/>
      <c r="M211" s="115"/>
      <c r="N211" s="115"/>
      <c r="O211" s="115"/>
      <c r="P211" s="115"/>
      <c r="Q211" s="115"/>
      <c r="R211" s="115"/>
      <c r="S211" s="26"/>
      <c r="T211" s="25"/>
      <c r="V211" s="115"/>
      <c r="W211" s="115"/>
      <c r="X211" s="115"/>
      <c r="Y211" s="115"/>
      <c r="Z211" s="115"/>
      <c r="AA211" s="115"/>
      <c r="AB211" s="115"/>
      <c r="AC211" s="115"/>
      <c r="AD211" s="25"/>
      <c r="AE211" s="13"/>
      <c r="AJ211" s="116"/>
      <c r="AK211" s="123"/>
      <c r="AL211" s="123"/>
      <c r="AM211" s="123"/>
      <c r="AR211" s="115"/>
      <c r="AS211" s="115"/>
      <c r="AT211" s="115"/>
      <c r="AU211" s="115"/>
      <c r="AV211" s="115"/>
      <c r="AW211" s="115"/>
      <c r="AX211" s="115"/>
      <c r="AY211" s="115"/>
      <c r="AZ211" s="115"/>
      <c r="BA211" s="115"/>
      <c r="BB211" s="25"/>
      <c r="BC211" s="13"/>
      <c r="BF211" s="114"/>
    </row>
    <row r="212" spans="1:58" ht="20.100000000000001" customHeight="1" x14ac:dyDescent="0.4">
      <c r="A212" s="117"/>
      <c r="B212" s="123"/>
      <c r="C212" s="123"/>
      <c r="D212" s="123"/>
      <c r="S212" s="26"/>
      <c r="T212" s="25"/>
      <c r="V212" s="115"/>
      <c r="W212" s="115"/>
      <c r="X212" s="115"/>
      <c r="Y212" s="115"/>
      <c r="Z212" s="115"/>
      <c r="AA212" s="115"/>
      <c r="AB212" s="115"/>
      <c r="AC212" s="115"/>
      <c r="AD212" s="25"/>
      <c r="AE212" s="13"/>
      <c r="AJ212" s="116"/>
      <c r="AK212" s="123"/>
      <c r="AL212" s="123"/>
      <c r="AM212" s="123"/>
      <c r="AR212" s="115"/>
      <c r="AS212" s="115"/>
      <c r="AT212" s="115"/>
      <c r="AU212" s="115"/>
      <c r="AV212" s="115"/>
      <c r="AW212" s="115"/>
      <c r="AX212" s="115"/>
      <c r="AY212" s="115"/>
      <c r="AZ212" s="115"/>
      <c r="BA212" s="115"/>
      <c r="BB212" s="25"/>
      <c r="BC212" s="13"/>
      <c r="BF212" s="114"/>
    </row>
    <row r="213" spans="1:58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26"/>
      <c r="T213" s="25"/>
      <c r="V213" s="115"/>
      <c r="W213" s="115"/>
      <c r="X213" s="115"/>
      <c r="Y213" s="115"/>
      <c r="Z213" s="115"/>
      <c r="AA213" s="115"/>
      <c r="AB213" s="115"/>
      <c r="AC213" s="115"/>
      <c r="AD213" s="25"/>
      <c r="AE213" s="13"/>
      <c r="AJ213" s="116"/>
      <c r="AK213" s="123"/>
      <c r="AL213" s="123"/>
      <c r="AM213" s="123"/>
      <c r="AR213" s="115"/>
      <c r="AS213" s="115"/>
      <c r="AT213" s="115"/>
      <c r="AU213" s="115"/>
      <c r="AV213" s="115"/>
      <c r="AW213" s="115"/>
      <c r="AX213" s="115"/>
      <c r="AY213" s="115"/>
      <c r="AZ213" s="115"/>
      <c r="BA213" s="115"/>
      <c r="BB213" s="25"/>
      <c r="BC213" s="13"/>
      <c r="BF213" s="114"/>
    </row>
    <row r="214" spans="1:58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26"/>
      <c r="T214" s="13"/>
      <c r="V214" s="115"/>
      <c r="W214" s="115"/>
      <c r="X214" s="115"/>
      <c r="Y214" s="115"/>
      <c r="Z214" s="115"/>
      <c r="AA214" s="115"/>
      <c r="AB214" s="115"/>
      <c r="AC214" s="115"/>
      <c r="AD214" s="25"/>
      <c r="AE214" s="13"/>
      <c r="AJ214" s="116"/>
      <c r="AK214" s="123"/>
      <c r="AL214" s="123"/>
      <c r="AM214" s="123"/>
      <c r="AR214" s="115"/>
      <c r="AS214" s="115"/>
      <c r="AT214" s="115"/>
      <c r="AU214" s="115"/>
      <c r="AV214" s="115"/>
      <c r="AW214" s="115"/>
      <c r="AX214" s="115"/>
      <c r="AY214" s="115"/>
      <c r="AZ214" s="115"/>
      <c r="BA214" s="115"/>
      <c r="BB214" s="25"/>
      <c r="BC214" s="13"/>
      <c r="BF214" s="114"/>
    </row>
    <row r="215" spans="1:58" ht="20.100000000000001" customHeight="1" x14ac:dyDescent="0.4">
      <c r="A215" s="117"/>
      <c r="B215" s="123"/>
      <c r="C215" s="123"/>
      <c r="D215" s="123"/>
      <c r="S215" s="26"/>
      <c r="T215" s="13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25">
        <v>45675</v>
      </c>
      <c r="AE215" s="13" t="s">
        <v>146</v>
      </c>
      <c r="AJ215" s="116"/>
      <c r="AK215" s="123"/>
      <c r="AL215" s="123"/>
      <c r="AM215" s="123"/>
      <c r="AR215" s="115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25"/>
      <c r="BC215" s="13"/>
      <c r="BF215" s="114"/>
    </row>
    <row r="216" spans="1:58" ht="20.100000000000001" customHeight="1" x14ac:dyDescent="0.4">
      <c r="A216" s="117"/>
      <c r="B216" s="123"/>
      <c r="C216" s="123"/>
      <c r="D216" s="123"/>
      <c r="O216" s="115"/>
      <c r="P216" s="115"/>
      <c r="Q216" s="115"/>
      <c r="R216" s="115"/>
      <c r="S216" s="17"/>
      <c r="T216" s="13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25"/>
      <c r="AE216" s="13"/>
      <c r="AJ216" s="116"/>
      <c r="AK216" s="123"/>
      <c r="AL216" s="123"/>
      <c r="AM216" s="123"/>
      <c r="AR216" s="115"/>
      <c r="AS216" s="115"/>
      <c r="AT216" s="115"/>
      <c r="AU216" s="115"/>
      <c r="AV216" s="115"/>
      <c r="AW216" s="115"/>
      <c r="AX216" s="115"/>
      <c r="AY216" s="115"/>
      <c r="AZ216" s="115"/>
      <c r="BA216" s="115"/>
      <c r="BB216" s="25"/>
      <c r="BC216" s="13"/>
      <c r="BF216" s="114"/>
    </row>
    <row r="217" spans="1:58" ht="20.100000000000001" customHeight="1" x14ac:dyDescent="0.4">
      <c r="A217" s="117"/>
      <c r="B217" s="123"/>
      <c r="C217" s="123"/>
      <c r="D217" s="123"/>
      <c r="S217" s="26"/>
      <c r="T217" s="13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25">
        <v>45676</v>
      </c>
      <c r="AE217" s="13" t="s">
        <v>148</v>
      </c>
      <c r="AJ217" s="116"/>
      <c r="AK217" s="123"/>
      <c r="AL217" s="123"/>
      <c r="AM217" s="123"/>
      <c r="AR217" s="115"/>
      <c r="AS217" s="115"/>
      <c r="AT217" s="115"/>
      <c r="AU217" s="115"/>
      <c r="AV217" s="115"/>
      <c r="AW217" s="115"/>
      <c r="AX217" s="115"/>
      <c r="AY217" s="115"/>
      <c r="AZ217" s="115"/>
      <c r="BA217" s="115"/>
      <c r="BB217" s="25"/>
      <c r="BC217" s="13"/>
      <c r="BF217" s="114"/>
    </row>
    <row r="218" spans="1:58" ht="20.100000000000001" customHeight="1" x14ac:dyDescent="0.4">
      <c r="A218" s="117"/>
      <c r="B218" s="123"/>
      <c r="C218" s="123"/>
      <c r="D218" s="123"/>
      <c r="O218" s="115"/>
      <c r="P218" s="115"/>
      <c r="Q218" s="115"/>
      <c r="R218" s="115"/>
      <c r="S218" s="17"/>
      <c r="T218" s="13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5"/>
      <c r="AE218" s="13"/>
      <c r="AJ218" s="116"/>
      <c r="AK218" s="123"/>
      <c r="AL218" s="123"/>
      <c r="AM218" s="123"/>
      <c r="AR218" s="115"/>
      <c r="AS218" s="115"/>
      <c r="AT218" s="115"/>
      <c r="AU218" s="115"/>
      <c r="AV218" s="115"/>
      <c r="AW218" s="115"/>
      <c r="AX218" s="115"/>
      <c r="AY218" s="115"/>
      <c r="AZ218" s="115"/>
      <c r="BA218" s="115"/>
      <c r="BB218" s="25"/>
      <c r="BC218" s="13"/>
      <c r="BF218" s="114"/>
    </row>
    <row r="219" spans="1:58" ht="20.100000000000001" customHeight="1" x14ac:dyDescent="0.4">
      <c r="A219" s="117"/>
      <c r="B219" s="123"/>
      <c r="C219" s="123"/>
      <c r="D219" s="123"/>
      <c r="N219" s="115"/>
      <c r="O219" s="115"/>
      <c r="P219" s="115"/>
      <c r="Q219" s="115"/>
      <c r="R219" s="115"/>
      <c r="S219" s="26"/>
      <c r="T219" s="13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25"/>
      <c r="AE219" s="13"/>
      <c r="AJ219" s="116"/>
      <c r="AK219" s="123"/>
      <c r="AL219" s="123"/>
      <c r="AM219" s="123"/>
      <c r="AR219" s="115"/>
      <c r="AS219" s="115"/>
      <c r="AT219" s="115"/>
      <c r="AU219" s="115"/>
      <c r="AV219" s="115"/>
      <c r="AW219" s="115"/>
      <c r="AX219" s="115"/>
      <c r="AY219" s="115"/>
      <c r="AZ219" s="115"/>
      <c r="BA219" s="115"/>
      <c r="BB219" s="25"/>
      <c r="BC219" s="13"/>
      <c r="BF219" s="114"/>
    </row>
    <row r="220" spans="1:58" ht="20.100000000000001" customHeight="1" x14ac:dyDescent="0.4">
      <c r="A220" s="117"/>
      <c r="B220" s="123"/>
      <c r="C220" s="123"/>
      <c r="D220" s="123"/>
      <c r="N220" s="115"/>
      <c r="O220" s="115"/>
      <c r="P220" s="115"/>
      <c r="Q220" s="115"/>
      <c r="R220" s="115"/>
      <c r="S220" s="17"/>
      <c r="T220" s="13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25"/>
      <c r="AE220" s="13"/>
      <c r="AJ220" s="116"/>
      <c r="AK220" s="123"/>
      <c r="AL220" s="123"/>
      <c r="AM220" s="123"/>
      <c r="AR220" s="115"/>
      <c r="AS220" s="115"/>
      <c r="AT220" s="115"/>
      <c r="AU220" s="115"/>
      <c r="AV220" s="115"/>
      <c r="AW220" s="115"/>
      <c r="AX220" s="115"/>
      <c r="AY220" s="115"/>
      <c r="AZ220" s="115"/>
      <c r="BA220" s="115"/>
      <c r="BB220" s="25"/>
      <c r="BC220" s="13"/>
      <c r="BF220" s="114"/>
    </row>
    <row r="221" spans="1:58" ht="20.100000000000001" customHeight="1" x14ac:dyDescent="0.4">
      <c r="A221" s="117"/>
      <c r="B221" s="123"/>
      <c r="C221" s="123"/>
      <c r="D221" s="123"/>
      <c r="J221" s="115"/>
      <c r="K221" s="115"/>
      <c r="L221" s="115"/>
      <c r="M221" s="115"/>
      <c r="N221" s="115"/>
      <c r="O221" s="115"/>
      <c r="P221" s="115"/>
      <c r="Q221" s="115"/>
      <c r="R221" s="115"/>
      <c r="S221" s="26"/>
      <c r="T221" s="13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25"/>
      <c r="AE221" s="13"/>
      <c r="AJ221" s="116"/>
      <c r="AK221" s="123"/>
      <c r="AL221" s="123"/>
      <c r="AM221" s="123"/>
      <c r="AR221" s="115"/>
      <c r="AS221" s="115"/>
      <c r="AT221" s="115"/>
      <c r="AU221" s="115"/>
      <c r="AV221" s="115"/>
      <c r="AW221" s="115"/>
      <c r="AX221" s="115"/>
      <c r="AY221" s="115"/>
      <c r="AZ221" s="115"/>
      <c r="BA221" s="115"/>
      <c r="BB221" s="25"/>
      <c r="BC221" s="13"/>
      <c r="BF221" s="114"/>
    </row>
    <row r="222" spans="1:58" ht="20.100000000000001" customHeight="1" x14ac:dyDescent="0.4">
      <c r="A222" s="117"/>
      <c r="B222" s="123"/>
      <c r="C222" s="123"/>
      <c r="D222" s="123"/>
      <c r="J222" s="115"/>
      <c r="K222" s="115"/>
      <c r="L222" s="115"/>
      <c r="M222" s="115"/>
      <c r="N222" s="115"/>
      <c r="O222" s="115"/>
      <c r="P222" s="115"/>
      <c r="Q222" s="115"/>
      <c r="R222" s="115"/>
      <c r="S222" s="26"/>
      <c r="T222" s="13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5"/>
      <c r="AE222" s="13"/>
      <c r="AJ222" s="116"/>
      <c r="AK222" s="123"/>
      <c r="AL222" s="123"/>
      <c r="AM222" s="123"/>
      <c r="AR222" s="115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25"/>
      <c r="BC222" s="13"/>
      <c r="BF222" s="114"/>
    </row>
    <row r="223" spans="1:58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26"/>
      <c r="T223" s="13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25"/>
      <c r="AE223" s="13"/>
      <c r="AJ223" s="116"/>
      <c r="AK223" s="123"/>
      <c r="AL223" s="123"/>
      <c r="AM223" s="123"/>
      <c r="AR223" s="115"/>
      <c r="AS223" s="115"/>
      <c r="AT223" s="115"/>
      <c r="AU223" s="115"/>
      <c r="AV223" s="115"/>
      <c r="AW223" s="115"/>
      <c r="AX223" s="115"/>
      <c r="AY223" s="115"/>
      <c r="AZ223" s="115"/>
      <c r="BA223" s="115"/>
      <c r="BB223" s="25"/>
      <c r="BC223" s="13"/>
      <c r="BF223" s="114"/>
    </row>
    <row r="224" spans="1:58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26"/>
      <c r="T224" s="13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25"/>
      <c r="AE224" s="13"/>
      <c r="AJ224" s="116"/>
      <c r="AK224" s="123"/>
      <c r="AL224" s="123"/>
      <c r="AM224" s="123"/>
      <c r="AR224" s="115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25"/>
      <c r="BC224" s="13"/>
      <c r="BF224" s="114"/>
    </row>
    <row r="225" spans="1:58" ht="20.100000000000001" customHeight="1" x14ac:dyDescent="0.4">
      <c r="A225" s="117"/>
      <c r="B225" s="123"/>
      <c r="C225" s="123"/>
      <c r="D225" s="123"/>
      <c r="S225" s="26"/>
      <c r="T225" s="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25">
        <v>45677</v>
      </c>
      <c r="AE225" s="13" t="s">
        <v>146</v>
      </c>
      <c r="AJ225" s="116"/>
      <c r="AK225" s="123"/>
      <c r="AL225" s="123"/>
      <c r="AM225" s="123"/>
      <c r="AR225" s="115"/>
      <c r="AS225" s="115"/>
      <c r="AT225" s="115"/>
      <c r="AU225" s="115"/>
      <c r="AV225" s="115"/>
      <c r="AW225" s="115"/>
      <c r="AX225" s="115"/>
      <c r="AY225" s="115"/>
      <c r="AZ225" s="115"/>
      <c r="BA225" s="115"/>
      <c r="BB225" s="25"/>
      <c r="BC225" s="13"/>
      <c r="BF225" s="114"/>
    </row>
    <row r="226" spans="1:58" ht="20.100000000000001" customHeight="1" x14ac:dyDescent="0.4">
      <c r="A226" s="117"/>
      <c r="B226" s="123"/>
      <c r="C226" s="123"/>
      <c r="D226" s="123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26"/>
      <c r="T226" s="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25"/>
      <c r="AE226" s="13"/>
      <c r="AJ226" s="116"/>
      <c r="AK226" s="123"/>
      <c r="AL226" s="123"/>
      <c r="AM226" s="123"/>
      <c r="AR226" s="115"/>
      <c r="AS226" s="115"/>
      <c r="AT226" s="115"/>
      <c r="AU226" s="115"/>
      <c r="AV226" s="115"/>
      <c r="AW226" s="115"/>
      <c r="AX226" s="115"/>
      <c r="AY226" s="115"/>
      <c r="AZ226" s="115"/>
      <c r="BA226" s="115"/>
      <c r="BB226" s="25"/>
      <c r="BC226" s="13"/>
      <c r="BF226" s="114"/>
    </row>
    <row r="227" spans="1:58" ht="20.100000000000001" customHeight="1" x14ac:dyDescent="0.4">
      <c r="A227" s="117"/>
      <c r="B227" s="123"/>
      <c r="C227" s="123"/>
      <c r="D227" s="123"/>
      <c r="S227" s="26"/>
      <c r="T227" s="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25"/>
      <c r="AE227" s="13"/>
      <c r="AJ227" s="116"/>
      <c r="AK227" s="123"/>
      <c r="AL227" s="123"/>
      <c r="AM227" s="123"/>
      <c r="AR227" s="115"/>
      <c r="AS227" s="115"/>
      <c r="AT227" s="115"/>
      <c r="AU227" s="115"/>
      <c r="AV227" s="115"/>
      <c r="AW227" s="115"/>
      <c r="AX227" s="115"/>
      <c r="AY227" s="115"/>
      <c r="AZ227" s="115"/>
      <c r="BA227" s="115"/>
      <c r="BB227" s="25"/>
      <c r="BC227" s="13"/>
      <c r="BF227" s="114"/>
    </row>
    <row r="228" spans="1:58" ht="20.100000000000001" customHeight="1" x14ac:dyDescent="0.4">
      <c r="A228" s="117"/>
      <c r="B228" s="123"/>
      <c r="C228" s="123"/>
      <c r="D228" s="123"/>
      <c r="K228" s="115"/>
      <c r="L228" s="115"/>
      <c r="M228" s="115"/>
      <c r="N228" s="115"/>
      <c r="O228" s="115"/>
      <c r="P228" s="115"/>
      <c r="Q228" s="115"/>
      <c r="R228" s="115"/>
      <c r="S228" s="26"/>
      <c r="T228" s="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5"/>
      <c r="AE228" s="13"/>
      <c r="AJ228" s="116"/>
      <c r="AK228" s="123"/>
      <c r="AL228" s="123"/>
      <c r="AM228" s="123"/>
      <c r="AR228" s="115"/>
      <c r="AS228" s="115"/>
      <c r="AT228" s="115"/>
      <c r="AU228" s="115"/>
      <c r="AV228" s="115"/>
      <c r="AW228" s="115"/>
      <c r="AX228" s="115"/>
      <c r="AY228" s="115"/>
      <c r="AZ228" s="115"/>
      <c r="BA228" s="115"/>
      <c r="BB228" s="25"/>
      <c r="BC228" s="13"/>
      <c r="BF228" s="114"/>
    </row>
    <row r="229" spans="1:58" ht="20.100000000000001" customHeight="1" x14ac:dyDescent="0.4">
      <c r="A229" s="117"/>
      <c r="B229" s="123"/>
      <c r="C229" s="123"/>
      <c r="D229" s="123"/>
      <c r="K229" s="115"/>
      <c r="L229" s="115"/>
      <c r="M229" s="115"/>
      <c r="N229" s="115"/>
      <c r="O229" s="115"/>
      <c r="P229" s="115"/>
      <c r="Q229" s="115"/>
      <c r="R229" s="115"/>
      <c r="S229" s="26"/>
      <c r="T229" s="13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25"/>
      <c r="AE229" s="13"/>
      <c r="AJ229" s="116"/>
      <c r="AK229" s="123"/>
      <c r="AL229" s="123"/>
      <c r="AM229" s="123"/>
      <c r="AR229" s="115"/>
      <c r="AS229" s="115"/>
      <c r="AT229" s="115"/>
      <c r="AU229" s="115"/>
      <c r="AV229" s="115"/>
      <c r="AW229" s="115"/>
      <c r="AX229" s="115"/>
      <c r="AY229" s="115"/>
      <c r="AZ229" s="115"/>
      <c r="BA229" s="115"/>
      <c r="BB229" s="25"/>
      <c r="BC229" s="13"/>
      <c r="BF229" s="114"/>
    </row>
    <row r="230" spans="1:58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26"/>
      <c r="T230" s="13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5"/>
      <c r="AE230" s="13"/>
      <c r="AJ230" s="116"/>
      <c r="AK230" s="123"/>
      <c r="AL230" s="123"/>
      <c r="AM230" s="123"/>
      <c r="AR230" s="115"/>
      <c r="AS230" s="115"/>
      <c r="AT230" s="115"/>
      <c r="AU230" s="115"/>
      <c r="AV230" s="115"/>
      <c r="AW230" s="115"/>
      <c r="AX230" s="115"/>
      <c r="AY230" s="115"/>
      <c r="AZ230" s="115"/>
      <c r="BA230" s="115"/>
      <c r="BB230" s="25"/>
      <c r="BC230" s="13"/>
      <c r="BF230" s="114"/>
    </row>
    <row r="231" spans="1:58" ht="20.100000000000001" customHeight="1" x14ac:dyDescent="0.4">
      <c r="A231" s="117"/>
      <c r="B231" s="123"/>
      <c r="C231" s="123"/>
      <c r="D231" s="123"/>
      <c r="S231" s="26"/>
      <c r="T231" s="13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5">
        <v>45677</v>
      </c>
      <c r="AE231" s="13" t="s">
        <v>146</v>
      </c>
      <c r="AJ231" s="116"/>
      <c r="AK231" s="123"/>
      <c r="AL231" s="123"/>
      <c r="AM231" s="123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25"/>
      <c r="BC231" s="13"/>
      <c r="BF231" s="114"/>
    </row>
    <row r="232" spans="1:58" ht="20.100000000000001" customHeight="1" x14ac:dyDescent="0.4">
      <c r="A232" s="117"/>
      <c r="B232" s="123"/>
      <c r="C232" s="123"/>
      <c r="D232" s="123"/>
      <c r="N232" s="115"/>
      <c r="O232" s="115"/>
      <c r="P232" s="115"/>
      <c r="Q232" s="115"/>
      <c r="R232" s="115"/>
      <c r="S232" s="26"/>
      <c r="T232" s="13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25"/>
      <c r="AE232" s="13"/>
      <c r="AJ232" s="116"/>
      <c r="AK232" s="123"/>
      <c r="AL232" s="123"/>
      <c r="AM232" s="123"/>
      <c r="AR232" s="115"/>
      <c r="AS232" s="115"/>
      <c r="AT232" s="115"/>
      <c r="AU232" s="115"/>
      <c r="AV232" s="115"/>
      <c r="AW232" s="115"/>
      <c r="AX232" s="115"/>
      <c r="AY232" s="115"/>
      <c r="AZ232" s="115"/>
      <c r="BA232" s="115"/>
      <c r="BB232" s="25"/>
      <c r="BC232" s="13"/>
      <c r="BF232" s="114"/>
    </row>
    <row r="233" spans="1:58" ht="20.100000000000001" customHeight="1" x14ac:dyDescent="0.4">
      <c r="A233" s="117"/>
      <c r="B233" s="123"/>
      <c r="C233" s="123"/>
      <c r="D233" s="123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26"/>
      <c r="T233" s="13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25"/>
      <c r="AE233" s="13"/>
      <c r="AJ233" s="116"/>
      <c r="AK233" s="123"/>
      <c r="AL233" s="123"/>
      <c r="AM233" s="123"/>
      <c r="AR233" s="115"/>
      <c r="AS233" s="115"/>
      <c r="AT233" s="115"/>
      <c r="AU233" s="115"/>
      <c r="AV233" s="115"/>
      <c r="AW233" s="115"/>
      <c r="AX233" s="115"/>
      <c r="AY233" s="115"/>
      <c r="AZ233" s="115"/>
      <c r="BA233" s="115"/>
      <c r="BB233" s="25"/>
      <c r="BC233" s="13"/>
      <c r="BF233" s="114"/>
    </row>
    <row r="234" spans="1:58" ht="20.100000000000001" customHeight="1" x14ac:dyDescent="0.4">
      <c r="A234" s="117"/>
      <c r="B234" s="123"/>
      <c r="C234" s="123"/>
      <c r="D234" s="123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7"/>
      <c r="T234" s="13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25"/>
      <c r="AE234" s="13"/>
      <c r="AJ234" s="116"/>
      <c r="AK234" s="123"/>
      <c r="AL234" s="123"/>
      <c r="AM234" s="123"/>
      <c r="AR234" s="115"/>
      <c r="AS234" s="115"/>
      <c r="AT234" s="115"/>
      <c r="AU234" s="115"/>
      <c r="AV234" s="115"/>
      <c r="AW234" s="115"/>
      <c r="AX234" s="115"/>
      <c r="AY234" s="115"/>
      <c r="AZ234" s="115"/>
      <c r="BA234" s="115"/>
      <c r="BB234" s="25"/>
      <c r="BC234" s="13"/>
      <c r="BF234" s="114"/>
    </row>
    <row r="235" spans="1:58" ht="20.100000000000001" customHeight="1" x14ac:dyDescent="0.4">
      <c r="A235" s="117"/>
      <c r="B235" s="123"/>
      <c r="C235" s="123"/>
      <c r="D235" s="123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26"/>
      <c r="T235" s="13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25"/>
      <c r="AE235" s="13"/>
      <c r="AJ235" s="116"/>
      <c r="AK235" s="123"/>
      <c r="AL235" s="123"/>
      <c r="AM235" s="123"/>
      <c r="AR235" s="115"/>
      <c r="AS235" s="115"/>
      <c r="AT235" s="115"/>
      <c r="AU235" s="115"/>
      <c r="AV235" s="115"/>
      <c r="AW235" s="115"/>
      <c r="AX235" s="115"/>
      <c r="AY235" s="115"/>
      <c r="AZ235" s="115"/>
      <c r="BA235" s="115"/>
      <c r="BB235" s="25"/>
      <c r="BC235" s="13"/>
      <c r="BF235" s="114"/>
    </row>
    <row r="236" spans="1:58" ht="20.100000000000001" customHeight="1" x14ac:dyDescent="0.4">
      <c r="A236" s="117"/>
      <c r="B236" s="123"/>
      <c r="C236" s="123"/>
      <c r="D236" s="123"/>
      <c r="S236" s="26"/>
      <c r="T236" s="13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5">
        <v>45677</v>
      </c>
      <c r="AE236" s="13" t="s">
        <v>148</v>
      </c>
      <c r="AJ236" s="116"/>
      <c r="AK236" s="123"/>
      <c r="AL236" s="123"/>
      <c r="AM236" s="123"/>
      <c r="AR236" s="115"/>
      <c r="AS236" s="115"/>
      <c r="AT236" s="115"/>
      <c r="AU236" s="115"/>
      <c r="AV236" s="115"/>
      <c r="AW236" s="115"/>
      <c r="AX236" s="115"/>
      <c r="AY236" s="115"/>
      <c r="AZ236" s="115"/>
      <c r="BA236" s="115"/>
      <c r="BB236" s="25"/>
      <c r="BC236" s="13"/>
      <c r="BF236" s="114"/>
    </row>
    <row r="237" spans="1:58" ht="19.5" x14ac:dyDescent="0.4">
      <c r="A237" s="117"/>
      <c r="B237" s="123"/>
      <c r="C237" s="123"/>
      <c r="D237" s="123"/>
      <c r="S237" s="26"/>
      <c r="T237" s="13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5"/>
      <c r="AE237" s="13"/>
      <c r="AJ237" s="116"/>
      <c r="AK237" s="123"/>
      <c r="AL237" s="123"/>
      <c r="AM237" s="123"/>
      <c r="AR237" s="115"/>
      <c r="AS237" s="115"/>
      <c r="AT237" s="115"/>
      <c r="AU237" s="115"/>
      <c r="AV237" s="115"/>
      <c r="AW237" s="115"/>
      <c r="AX237" s="115"/>
      <c r="AY237" s="115"/>
      <c r="AZ237" s="115"/>
      <c r="BA237" s="115"/>
      <c r="BB237" s="25"/>
      <c r="BC237" s="13"/>
      <c r="BF237" s="114"/>
    </row>
    <row r="238" spans="1:58" ht="19.5" x14ac:dyDescent="0.4">
      <c r="A238" s="117"/>
      <c r="B238" s="123"/>
      <c r="C238" s="123"/>
      <c r="D238" s="123"/>
      <c r="O238" s="115"/>
      <c r="P238" s="115"/>
      <c r="Q238" s="115"/>
      <c r="R238" s="115"/>
      <c r="S238" s="17"/>
      <c r="T238" s="13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5"/>
      <c r="AE238" s="13"/>
      <c r="AJ238" s="116"/>
      <c r="AK238" s="123"/>
      <c r="AL238" s="123"/>
      <c r="AM238" s="123"/>
      <c r="AR238" s="115"/>
      <c r="AS238" s="115"/>
      <c r="AT238" s="115"/>
      <c r="AU238" s="115"/>
      <c r="AV238" s="115"/>
      <c r="AW238" s="115"/>
      <c r="AX238" s="115"/>
      <c r="AY238" s="115"/>
      <c r="AZ238" s="115"/>
      <c r="BA238" s="115"/>
      <c r="BB238" s="25"/>
      <c r="BC238" s="13"/>
      <c r="BF238" s="114"/>
    </row>
    <row r="239" spans="1:58" ht="19.5" x14ac:dyDescent="0.4">
      <c r="A239" s="117"/>
      <c r="B239" s="123"/>
      <c r="C239" s="123"/>
      <c r="D239" s="123"/>
      <c r="M239" s="115"/>
      <c r="N239" s="115"/>
      <c r="O239" s="115"/>
      <c r="P239" s="115"/>
      <c r="Q239" s="115"/>
      <c r="R239" s="115"/>
      <c r="S239" s="26"/>
      <c r="T239" s="13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25"/>
      <c r="AE239" s="13"/>
      <c r="AJ239" s="116"/>
      <c r="AK239" s="123"/>
      <c r="AL239" s="123"/>
      <c r="AM239" s="123"/>
      <c r="AR239" s="115"/>
      <c r="AS239" s="115"/>
      <c r="AT239" s="115"/>
      <c r="AU239" s="115"/>
      <c r="AV239" s="115"/>
      <c r="AW239" s="115"/>
      <c r="AX239" s="115"/>
      <c r="AY239" s="115"/>
      <c r="AZ239" s="115"/>
      <c r="BA239" s="115"/>
      <c r="BB239" s="25"/>
      <c r="BC239" s="13"/>
      <c r="BF239" s="114"/>
    </row>
    <row r="240" spans="1:58" ht="19.5" x14ac:dyDescent="0.4">
      <c r="A240" s="117"/>
      <c r="B240" s="123"/>
      <c r="C240" s="123"/>
      <c r="D240" s="123"/>
      <c r="M240" s="115"/>
      <c r="N240" s="115"/>
      <c r="O240" s="115"/>
      <c r="P240" s="115"/>
      <c r="Q240" s="115"/>
      <c r="R240" s="115"/>
      <c r="S240" s="17"/>
      <c r="T240" s="13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25"/>
      <c r="AE240" s="13"/>
      <c r="AJ240" s="116"/>
      <c r="AK240" s="123"/>
      <c r="AL240" s="123"/>
      <c r="AM240" s="123"/>
      <c r="AR240" s="115"/>
      <c r="AS240" s="115"/>
      <c r="AT240" s="115"/>
      <c r="AU240" s="115"/>
      <c r="AV240" s="115"/>
      <c r="AW240" s="115"/>
      <c r="AX240" s="115"/>
      <c r="AY240" s="115"/>
      <c r="AZ240" s="115"/>
      <c r="BA240" s="115"/>
      <c r="BB240" s="25"/>
      <c r="BC240" s="13"/>
      <c r="BF240" s="114"/>
    </row>
    <row r="241" spans="1:58" ht="19.5" x14ac:dyDescent="0.4">
      <c r="A241" s="117"/>
      <c r="B241" s="123"/>
      <c r="C241" s="123"/>
      <c r="D241" s="123"/>
      <c r="K241" s="115"/>
      <c r="L241" s="115"/>
      <c r="M241" s="115"/>
      <c r="N241" s="115"/>
      <c r="O241" s="115"/>
      <c r="P241" s="115"/>
      <c r="Q241" s="115"/>
      <c r="R241" s="115"/>
      <c r="S241" s="26"/>
      <c r="T241" s="13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25"/>
      <c r="AE241" s="13"/>
      <c r="AJ241" s="116"/>
      <c r="AK241" s="123"/>
      <c r="AL241" s="123"/>
      <c r="AM241" s="123"/>
      <c r="AR241" s="115"/>
      <c r="AS241" s="115"/>
      <c r="AT241" s="115"/>
      <c r="AU241" s="115"/>
      <c r="AV241" s="115"/>
      <c r="AW241" s="115"/>
      <c r="AX241" s="115"/>
      <c r="AY241" s="115"/>
      <c r="AZ241" s="115"/>
      <c r="BA241" s="115"/>
      <c r="BB241" s="25"/>
      <c r="BC241" s="13"/>
      <c r="BF241" s="114"/>
    </row>
    <row r="242" spans="1:58" ht="19.5" x14ac:dyDescent="0.4">
      <c r="A242" s="117"/>
      <c r="B242" s="123"/>
      <c r="C242" s="123"/>
      <c r="D242" s="123"/>
      <c r="K242" s="115"/>
      <c r="L242" s="115"/>
      <c r="M242" s="115"/>
      <c r="N242" s="115"/>
      <c r="O242" s="115"/>
      <c r="P242" s="115"/>
      <c r="Q242" s="115"/>
      <c r="R242" s="115"/>
      <c r="S242" s="17"/>
      <c r="T242" s="13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5"/>
      <c r="AE242" s="13"/>
      <c r="AJ242" s="116"/>
      <c r="AK242" s="123"/>
      <c r="AL242" s="123"/>
      <c r="AM242" s="123"/>
      <c r="AR242" s="115"/>
      <c r="AS242" s="115"/>
      <c r="AT242" s="115"/>
      <c r="AU242" s="115"/>
      <c r="AV242" s="115"/>
      <c r="AW242" s="115"/>
      <c r="AX242" s="115"/>
      <c r="AY242" s="115"/>
      <c r="AZ242" s="115"/>
      <c r="BA242" s="115"/>
      <c r="BB242" s="25"/>
      <c r="BC242" s="13"/>
      <c r="BF242" s="114"/>
    </row>
    <row r="243" spans="1:58" ht="19.5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26"/>
      <c r="T243" s="13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5"/>
      <c r="AE243" s="13"/>
      <c r="AJ243" s="116"/>
      <c r="AK243" s="123"/>
      <c r="AL243" s="123"/>
      <c r="AM243" s="123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115"/>
      <c r="BB243" s="25"/>
      <c r="BC243" s="13"/>
      <c r="BF243" s="114"/>
    </row>
    <row r="244" spans="1:58" ht="19.5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26"/>
      <c r="T244" s="13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5"/>
      <c r="AE244" s="13"/>
      <c r="AJ244" s="116"/>
      <c r="AK244" s="123"/>
      <c r="AL244" s="123"/>
      <c r="AM244" s="123"/>
      <c r="AR244" s="115"/>
      <c r="AS244" s="115"/>
      <c r="AT244" s="115"/>
      <c r="AU244" s="115"/>
      <c r="AV244" s="115"/>
      <c r="AW244" s="115"/>
      <c r="AX244" s="115"/>
      <c r="AY244" s="115"/>
      <c r="AZ244" s="115"/>
      <c r="BA244" s="115"/>
      <c r="BB244" s="25"/>
      <c r="BC244" s="13"/>
      <c r="BF244" s="114"/>
    </row>
    <row r="245" spans="1:58" ht="19.5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26"/>
      <c r="T245" s="13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25"/>
      <c r="AE245" s="13"/>
      <c r="AJ245" s="116"/>
      <c r="AK245" s="123"/>
      <c r="AL245" s="123"/>
      <c r="AM245" s="123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25"/>
      <c r="BC245" s="13"/>
      <c r="BF245" s="114"/>
    </row>
    <row r="246" spans="1:58" ht="19.5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7"/>
      <c r="T246" s="13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5"/>
      <c r="AE246" s="13"/>
      <c r="AJ246" s="116"/>
      <c r="AK246" s="123"/>
      <c r="AL246" s="123"/>
      <c r="AM246" s="123"/>
      <c r="AR246" s="115"/>
      <c r="AS246" s="115"/>
      <c r="AT246" s="115"/>
      <c r="AU246" s="115"/>
      <c r="AV246" s="115"/>
      <c r="AW246" s="115"/>
      <c r="AX246" s="115"/>
      <c r="AY246" s="115"/>
      <c r="AZ246" s="115"/>
      <c r="BA246" s="115"/>
      <c r="BB246" s="25"/>
      <c r="BC246" s="13"/>
      <c r="BF246" s="114"/>
    </row>
    <row r="247" spans="1:58" ht="19.5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26"/>
      <c r="T247" s="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5"/>
      <c r="AE247" s="13"/>
      <c r="AJ247" s="116"/>
      <c r="AK247" s="123"/>
      <c r="AL247" s="123"/>
      <c r="AM247" s="123"/>
      <c r="AR247" s="115"/>
      <c r="AS247" s="115"/>
      <c r="AT247" s="115"/>
      <c r="AU247" s="115"/>
      <c r="AV247" s="115"/>
      <c r="AW247" s="115"/>
      <c r="AX247" s="115"/>
      <c r="AY247" s="115"/>
      <c r="AZ247" s="115"/>
      <c r="BA247" s="115"/>
      <c r="BB247" s="25"/>
      <c r="BC247" s="13"/>
      <c r="BF247" s="114"/>
    </row>
    <row r="248" spans="1:58" ht="19.5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7"/>
      <c r="T248" s="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25"/>
      <c r="AE248" s="13"/>
      <c r="AJ248" s="116"/>
      <c r="AK248" s="123"/>
      <c r="AL248" s="123"/>
      <c r="AM248" s="123"/>
      <c r="AR248" s="115"/>
      <c r="AS248" s="115"/>
      <c r="AT248" s="115"/>
      <c r="AU248" s="115"/>
      <c r="AV248" s="115"/>
      <c r="AW248" s="115"/>
      <c r="AX248" s="115"/>
      <c r="AY248" s="115"/>
      <c r="AZ248" s="115"/>
      <c r="BA248" s="115"/>
      <c r="BB248" s="25"/>
      <c r="BC248" s="13"/>
      <c r="BF248" s="114"/>
    </row>
    <row r="249" spans="1:58" ht="19.5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26"/>
      <c r="T249" s="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25"/>
      <c r="AE249" s="13"/>
      <c r="AJ249" s="116"/>
      <c r="AK249" s="123"/>
      <c r="AL249" s="123"/>
      <c r="AM249" s="123"/>
      <c r="AR249" s="115"/>
      <c r="AS249" s="115"/>
      <c r="AT249" s="115"/>
      <c r="AU249" s="115"/>
      <c r="AV249" s="115"/>
      <c r="AW249" s="115"/>
      <c r="AX249" s="115"/>
      <c r="AY249" s="115"/>
      <c r="AZ249" s="115"/>
      <c r="BA249" s="115"/>
      <c r="BB249" s="25"/>
      <c r="BC249" s="13"/>
      <c r="BF249" s="114"/>
    </row>
    <row r="250" spans="1:58" ht="19.5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7"/>
      <c r="T250" s="13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5"/>
      <c r="AE250" s="13"/>
      <c r="AJ250" s="116"/>
      <c r="AK250" s="123"/>
      <c r="AL250" s="123"/>
      <c r="AM250" s="123"/>
      <c r="AR250" s="115"/>
      <c r="AS250" s="115"/>
      <c r="AT250" s="115"/>
      <c r="AU250" s="115"/>
      <c r="AV250" s="115"/>
      <c r="AW250" s="115"/>
      <c r="AX250" s="115"/>
      <c r="AY250" s="115"/>
      <c r="AZ250" s="115"/>
      <c r="BA250" s="115"/>
      <c r="BB250" s="25"/>
      <c r="BC250" s="13"/>
      <c r="BF250" s="114"/>
    </row>
    <row r="251" spans="1:58" ht="19.5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7"/>
      <c r="T251" s="13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5"/>
      <c r="AE251" s="13"/>
      <c r="AJ251" s="116"/>
      <c r="AK251" s="123"/>
      <c r="AL251" s="123"/>
      <c r="AM251" s="123"/>
      <c r="AR251" s="115"/>
      <c r="AS251" s="115"/>
      <c r="AT251" s="115"/>
      <c r="AU251" s="115"/>
      <c r="AV251" s="115"/>
      <c r="AW251" s="115"/>
      <c r="AX251" s="115"/>
      <c r="AY251" s="115"/>
      <c r="AZ251" s="115"/>
      <c r="BA251" s="115"/>
      <c r="BB251" s="25"/>
      <c r="BC251" s="13"/>
      <c r="BF251" s="114"/>
    </row>
    <row r="252" spans="1:58" ht="19.5" x14ac:dyDescent="0.4">
      <c r="A252" s="117"/>
      <c r="B252" s="123"/>
      <c r="C252" s="123"/>
      <c r="D252" s="123"/>
      <c r="S252" s="26"/>
      <c r="T252" s="13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5">
        <v>45677</v>
      </c>
      <c r="AE252" s="13" t="s">
        <v>146</v>
      </c>
      <c r="AJ252" s="116"/>
      <c r="AK252" s="123"/>
      <c r="AL252" s="123"/>
      <c r="AM252" s="123"/>
      <c r="AR252" s="115"/>
      <c r="AS252" s="115"/>
      <c r="AT252" s="115"/>
      <c r="AU252" s="115"/>
      <c r="AV252" s="115"/>
      <c r="AW252" s="115"/>
      <c r="AX252" s="115"/>
      <c r="AY252" s="115"/>
      <c r="AZ252" s="115"/>
      <c r="BA252" s="115"/>
      <c r="BB252" s="25"/>
      <c r="BC252" s="13"/>
      <c r="BF252" s="114"/>
    </row>
    <row r="253" spans="1:58" ht="19.5" x14ac:dyDescent="0.4">
      <c r="A253" s="117"/>
      <c r="B253" s="123"/>
      <c r="C253" s="123"/>
      <c r="D253" s="123"/>
      <c r="K253" s="115"/>
      <c r="L253" s="115"/>
      <c r="M253" s="115"/>
      <c r="N253" s="115"/>
      <c r="O253" s="115"/>
      <c r="P253" s="115"/>
      <c r="Q253" s="115"/>
      <c r="R253" s="115"/>
      <c r="S253" s="26"/>
      <c r="T253" s="13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25"/>
      <c r="AE253" s="13"/>
      <c r="AJ253" s="116"/>
      <c r="AK253" s="123"/>
      <c r="AL253" s="123"/>
      <c r="AM253" s="123"/>
      <c r="AR253" s="115"/>
      <c r="AS253" s="115"/>
      <c r="AT253" s="115"/>
      <c r="AU253" s="115"/>
      <c r="AV253" s="115"/>
      <c r="AW253" s="115"/>
      <c r="AX253" s="115"/>
      <c r="AY253" s="115"/>
      <c r="AZ253" s="115"/>
      <c r="BA253" s="115"/>
      <c r="BB253" s="25"/>
      <c r="BC253" s="13"/>
      <c r="BF253" s="114"/>
    </row>
    <row r="254" spans="1:58" ht="19.5" x14ac:dyDescent="0.4">
      <c r="A254" s="117"/>
      <c r="B254" s="123"/>
      <c r="C254" s="123"/>
      <c r="D254" s="123"/>
      <c r="S254" s="26"/>
      <c r="T254" s="13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5"/>
      <c r="AE254" s="13"/>
      <c r="AJ254" s="116"/>
      <c r="AK254" s="123"/>
      <c r="AL254" s="123"/>
      <c r="AM254" s="123"/>
      <c r="AR254" s="115"/>
      <c r="AS254" s="115"/>
      <c r="AT254" s="115"/>
      <c r="AU254" s="115"/>
      <c r="AV254" s="115"/>
      <c r="AW254" s="115"/>
      <c r="AX254" s="115"/>
      <c r="AY254" s="115"/>
      <c r="AZ254" s="115"/>
      <c r="BA254" s="115"/>
      <c r="BB254" s="25"/>
      <c r="BC254" s="13"/>
      <c r="BF254" s="114"/>
    </row>
    <row r="255" spans="1:58" ht="19.5" x14ac:dyDescent="0.4">
      <c r="A255" s="117"/>
      <c r="B255" s="123"/>
      <c r="C255" s="123"/>
      <c r="D255" s="123"/>
      <c r="K255" s="115"/>
      <c r="L255" s="115"/>
      <c r="M255" s="115"/>
      <c r="N255" s="115"/>
      <c r="O255" s="115"/>
      <c r="P255" s="115"/>
      <c r="Q255" s="115"/>
      <c r="R255" s="115"/>
      <c r="S255" s="26"/>
      <c r="T255" s="13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5"/>
      <c r="AE255" s="13"/>
      <c r="AJ255" s="116"/>
      <c r="AK255" s="123"/>
      <c r="AL255" s="123"/>
      <c r="AM255" s="123"/>
      <c r="AR255" s="115"/>
      <c r="AS255" s="115"/>
      <c r="AT255" s="115"/>
      <c r="AU255" s="115"/>
      <c r="AV255" s="115"/>
      <c r="AW255" s="115"/>
      <c r="AX255" s="115"/>
      <c r="AY255" s="115"/>
      <c r="AZ255" s="115"/>
      <c r="BA255" s="115"/>
      <c r="BB255" s="25"/>
      <c r="BC255" s="13"/>
      <c r="BF255" s="114"/>
    </row>
    <row r="256" spans="1:58" ht="19.5" x14ac:dyDescent="0.4">
      <c r="A256" s="117"/>
      <c r="B256" s="123"/>
      <c r="C256" s="123"/>
      <c r="D256" s="123"/>
      <c r="K256" s="115"/>
      <c r="L256" s="115"/>
      <c r="M256" s="115"/>
      <c r="N256" s="115"/>
      <c r="O256" s="115"/>
      <c r="P256" s="115"/>
      <c r="Q256" s="115"/>
      <c r="R256" s="115"/>
      <c r="S256" s="26"/>
      <c r="T256" s="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25"/>
      <c r="AE256" s="13"/>
      <c r="AJ256" s="116"/>
      <c r="AK256" s="123"/>
      <c r="AL256" s="123"/>
      <c r="AM256" s="123"/>
      <c r="AR256" s="115"/>
      <c r="AS256" s="115"/>
      <c r="AT256" s="115"/>
      <c r="AU256" s="115"/>
      <c r="AV256" s="115"/>
      <c r="AW256" s="115"/>
      <c r="AX256" s="115"/>
      <c r="AY256" s="115"/>
      <c r="AZ256" s="115"/>
      <c r="BA256" s="115"/>
      <c r="BB256" s="25"/>
      <c r="BC256" s="13"/>
      <c r="BF256" s="114"/>
    </row>
    <row r="257" spans="1:58" ht="19.5" x14ac:dyDescent="0.4">
      <c r="A257" s="117"/>
      <c r="B257" s="123"/>
      <c r="C257" s="123"/>
      <c r="D257" s="123"/>
      <c r="S257" s="26"/>
      <c r="T257" s="13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25"/>
      <c r="AE257" s="13"/>
      <c r="AJ257" s="116"/>
      <c r="AK257" s="123"/>
      <c r="AL257" s="123"/>
      <c r="AM257" s="123"/>
      <c r="AR257" s="115"/>
      <c r="AS257" s="115"/>
      <c r="AT257" s="115"/>
      <c r="AU257" s="115"/>
      <c r="AV257" s="115"/>
      <c r="AW257" s="115"/>
      <c r="AX257" s="115"/>
      <c r="AY257" s="115"/>
      <c r="AZ257" s="115"/>
      <c r="BA257" s="115"/>
      <c r="BB257" s="25"/>
      <c r="BC257" s="13"/>
      <c r="BF257" s="114"/>
    </row>
    <row r="258" spans="1:58" ht="19.5" x14ac:dyDescent="0.4">
      <c r="A258" s="117"/>
      <c r="B258" s="123"/>
      <c r="C258" s="123"/>
      <c r="D258" s="123"/>
      <c r="M258" s="115"/>
      <c r="N258" s="115"/>
      <c r="O258" s="115"/>
      <c r="P258" s="115"/>
      <c r="Q258" s="115"/>
      <c r="R258" s="115"/>
      <c r="S258" s="26"/>
      <c r="T258" s="13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5"/>
      <c r="AE258" s="13"/>
      <c r="AJ258" s="116"/>
      <c r="AK258" s="123"/>
      <c r="AL258" s="123"/>
      <c r="AM258" s="123"/>
      <c r="AR258" s="115"/>
      <c r="AS258" s="115"/>
      <c r="AT258" s="115"/>
      <c r="AU258" s="115"/>
      <c r="AV258" s="115"/>
      <c r="AW258" s="115"/>
      <c r="AX258" s="115"/>
      <c r="AY258" s="115"/>
      <c r="AZ258" s="115"/>
      <c r="BA258" s="115"/>
      <c r="BB258" s="25"/>
      <c r="BC258" s="13"/>
      <c r="BF258" s="114"/>
    </row>
    <row r="259" spans="1:58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26"/>
      <c r="T259" s="13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25"/>
      <c r="AE259" s="13"/>
      <c r="AJ259" s="116"/>
      <c r="AK259" s="123"/>
      <c r="AL259" s="123"/>
      <c r="AM259" s="123"/>
      <c r="AR259" s="115"/>
      <c r="AS259" s="115"/>
      <c r="AT259" s="115"/>
      <c r="AU259" s="115"/>
      <c r="AV259" s="115"/>
      <c r="AW259" s="115"/>
      <c r="AX259" s="115"/>
      <c r="AY259" s="115"/>
      <c r="AZ259" s="115"/>
      <c r="BA259" s="115"/>
      <c r="BB259" s="25"/>
      <c r="BC259" s="13"/>
      <c r="BF259" s="114"/>
    </row>
    <row r="260" spans="1:58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26"/>
      <c r="T260" s="13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25"/>
      <c r="AE260" s="13"/>
      <c r="AJ260" s="116"/>
      <c r="AK260" s="123"/>
      <c r="AL260" s="123"/>
      <c r="AM260" s="123"/>
      <c r="AR260" s="115"/>
      <c r="AS260" s="115"/>
      <c r="AT260" s="115"/>
      <c r="AU260" s="115"/>
      <c r="AV260" s="115"/>
      <c r="AW260" s="115"/>
      <c r="AX260" s="115"/>
      <c r="AY260" s="115"/>
      <c r="AZ260" s="115"/>
      <c r="BA260" s="115"/>
      <c r="BB260" s="25"/>
      <c r="BC260" s="13"/>
      <c r="BF260" s="114"/>
    </row>
    <row r="261" spans="1:58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7"/>
      <c r="T261" s="13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25"/>
      <c r="AE261" s="13"/>
      <c r="AJ261" s="116"/>
      <c r="AK261" s="123"/>
      <c r="AL261" s="123"/>
      <c r="AM261" s="123"/>
      <c r="AR261" s="115"/>
      <c r="AS261" s="115"/>
      <c r="AT261" s="115"/>
      <c r="AU261" s="115"/>
      <c r="AV261" s="115"/>
      <c r="AW261" s="115"/>
      <c r="AX261" s="115"/>
      <c r="AY261" s="115"/>
      <c r="AZ261" s="115"/>
      <c r="BA261" s="115"/>
      <c r="BB261" s="25"/>
      <c r="BC261" s="13"/>
      <c r="BF261" s="114"/>
    </row>
    <row r="262" spans="1:58" ht="19.5" x14ac:dyDescent="0.4">
      <c r="A262" s="117"/>
      <c r="B262" s="123"/>
      <c r="C262" s="123"/>
      <c r="D262" s="123"/>
      <c r="S262" s="26"/>
      <c r="T262" s="13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5">
        <v>45677</v>
      </c>
      <c r="AE262" s="13" t="s">
        <v>147</v>
      </c>
      <c r="AJ262" s="116"/>
      <c r="AK262" s="123"/>
      <c r="AL262" s="123"/>
      <c r="AM262" s="123"/>
      <c r="AR262" s="115"/>
      <c r="AS262" s="115"/>
      <c r="AT262" s="115"/>
      <c r="AU262" s="115"/>
      <c r="AV262" s="115"/>
      <c r="AW262" s="115"/>
      <c r="AX262" s="115"/>
      <c r="AY262" s="115"/>
      <c r="AZ262" s="115"/>
      <c r="BA262" s="115"/>
      <c r="BB262" s="25"/>
      <c r="BC262" s="13"/>
      <c r="BF262" s="114"/>
    </row>
    <row r="263" spans="1:58" ht="19.5" x14ac:dyDescent="0.4">
      <c r="A263" s="117"/>
      <c r="B263" s="123"/>
      <c r="C263" s="123"/>
      <c r="D263" s="123"/>
      <c r="L263" s="115"/>
      <c r="M263" s="115"/>
      <c r="N263" s="115"/>
      <c r="O263" s="115"/>
      <c r="P263" s="115"/>
      <c r="Q263" s="115"/>
      <c r="R263" s="115"/>
      <c r="S263" s="26"/>
      <c r="T263" s="13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5"/>
      <c r="AE263" s="13"/>
      <c r="AJ263" s="116"/>
      <c r="AK263" s="123"/>
      <c r="AL263" s="123"/>
      <c r="AM263" s="123"/>
      <c r="AR263" s="115"/>
      <c r="AS263" s="115"/>
      <c r="AT263" s="115"/>
      <c r="AU263" s="115"/>
      <c r="AV263" s="115"/>
      <c r="AW263" s="115"/>
      <c r="AX263" s="115"/>
      <c r="AY263" s="115"/>
      <c r="AZ263" s="115"/>
      <c r="BA263" s="115"/>
      <c r="BB263" s="25"/>
      <c r="BC263" s="13"/>
      <c r="BF263" s="114"/>
    </row>
    <row r="264" spans="1:58" ht="19.5" x14ac:dyDescent="0.4">
      <c r="A264" s="117"/>
      <c r="B264" s="123"/>
      <c r="C264" s="123"/>
      <c r="D264" s="123"/>
      <c r="S264" s="26"/>
      <c r="T264" s="13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5">
        <v>45677</v>
      </c>
      <c r="AE264" s="25" t="s">
        <v>147</v>
      </c>
      <c r="AJ264" s="116"/>
      <c r="AK264" s="123"/>
      <c r="AL264" s="123"/>
      <c r="AM264" s="123"/>
      <c r="AR264" s="115"/>
      <c r="AS264" s="115"/>
      <c r="AT264" s="115"/>
      <c r="AU264" s="115"/>
      <c r="AV264" s="115"/>
      <c r="AW264" s="115"/>
      <c r="AX264" s="115"/>
      <c r="AY264" s="115"/>
      <c r="AZ264" s="115"/>
      <c r="BA264" s="115"/>
      <c r="BB264" s="25"/>
      <c r="BC264" s="13"/>
      <c r="BF264" s="114"/>
    </row>
    <row r="265" spans="1:58" ht="19.5" x14ac:dyDescent="0.4">
      <c r="A265" s="117"/>
      <c r="B265" s="123"/>
      <c r="C265" s="123"/>
      <c r="D265" s="123"/>
      <c r="S265" s="26"/>
      <c r="T265" s="13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5"/>
      <c r="AE265" s="25"/>
      <c r="AJ265" s="116"/>
      <c r="AK265" s="123"/>
      <c r="AL265" s="123"/>
      <c r="AM265" s="123"/>
      <c r="AR265" s="115"/>
      <c r="AS265" s="115"/>
      <c r="AT265" s="115"/>
      <c r="AU265" s="115"/>
      <c r="AV265" s="115"/>
      <c r="AW265" s="115"/>
      <c r="AX265" s="115"/>
      <c r="AY265" s="115"/>
      <c r="AZ265" s="115"/>
      <c r="BA265" s="115"/>
      <c r="BB265" s="25"/>
      <c r="BC265" s="13"/>
      <c r="BF265" s="114"/>
    </row>
    <row r="266" spans="1:58" ht="19.5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26"/>
      <c r="T266" s="13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5"/>
      <c r="AE266" s="25"/>
      <c r="AJ266" s="116"/>
      <c r="AK266" s="123"/>
      <c r="AL266" s="123"/>
      <c r="AM266" s="123"/>
      <c r="AR266" s="115"/>
      <c r="AS266" s="115"/>
      <c r="AT266" s="115"/>
      <c r="AU266" s="115"/>
      <c r="AV266" s="115"/>
      <c r="AW266" s="115"/>
      <c r="AX266" s="115"/>
      <c r="AY266" s="115"/>
      <c r="AZ266" s="115"/>
      <c r="BA266" s="115"/>
      <c r="BB266" s="25"/>
      <c r="BC266" s="13"/>
      <c r="BF266" s="114"/>
    </row>
    <row r="267" spans="1:58" ht="19.5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26"/>
      <c r="T267" s="13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25"/>
      <c r="AE267" s="25"/>
      <c r="AJ267" s="116"/>
      <c r="AK267" s="123"/>
      <c r="AL267" s="123"/>
      <c r="AM267" s="123"/>
      <c r="AR267" s="115"/>
      <c r="AS267" s="115"/>
      <c r="AT267" s="115"/>
      <c r="AU267" s="115"/>
      <c r="AV267" s="115"/>
      <c r="AW267" s="115"/>
      <c r="AX267" s="115"/>
      <c r="AY267" s="115"/>
      <c r="AZ267" s="115"/>
      <c r="BA267" s="115"/>
      <c r="BB267" s="25"/>
      <c r="BC267" s="13"/>
      <c r="BF267" s="114"/>
    </row>
    <row r="268" spans="1:58" ht="19.5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26"/>
      <c r="T268" s="13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25"/>
      <c r="AE268" s="25"/>
      <c r="AJ268" s="116"/>
      <c r="AK268" s="123"/>
      <c r="AL268" s="123"/>
      <c r="AM268" s="123"/>
      <c r="AR268" s="115"/>
      <c r="AS268" s="115"/>
      <c r="AT268" s="115"/>
      <c r="AU268" s="115"/>
      <c r="AV268" s="115"/>
      <c r="AW268" s="115"/>
      <c r="AX268" s="115"/>
      <c r="AY268" s="115"/>
      <c r="AZ268" s="115"/>
      <c r="BA268" s="115"/>
      <c r="BB268" s="25"/>
      <c r="BC268" s="13"/>
      <c r="BF268" s="114"/>
    </row>
    <row r="269" spans="1:58" ht="19.5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7"/>
      <c r="T269" s="13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5"/>
      <c r="AE269" s="25"/>
      <c r="AJ269" s="116"/>
      <c r="AK269" s="123"/>
      <c r="AL269" s="123"/>
      <c r="AM269" s="123"/>
      <c r="AR269" s="115"/>
      <c r="AS269" s="115"/>
      <c r="AT269" s="115"/>
      <c r="AU269" s="115"/>
      <c r="AV269" s="115"/>
      <c r="AW269" s="115"/>
      <c r="AX269" s="115"/>
      <c r="AY269" s="115"/>
      <c r="AZ269" s="115"/>
      <c r="BA269" s="115"/>
      <c r="BB269" s="25"/>
      <c r="BC269" s="13"/>
      <c r="BF269" s="114"/>
    </row>
    <row r="270" spans="1:58" ht="19.5" x14ac:dyDescent="0.4">
      <c r="A270" s="117"/>
      <c r="B270" s="123"/>
      <c r="C270" s="123"/>
      <c r="D270" s="123"/>
      <c r="S270" s="26"/>
      <c r="T270" s="13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25">
        <v>45678</v>
      </c>
      <c r="AE270" s="13" t="s">
        <v>147</v>
      </c>
      <c r="AJ270" s="116"/>
      <c r="AK270" s="123"/>
      <c r="AL270" s="123"/>
      <c r="AM270" s="123"/>
      <c r="AR270" s="115"/>
      <c r="AS270" s="115"/>
      <c r="AT270" s="115"/>
      <c r="AU270" s="115"/>
      <c r="AV270" s="115"/>
      <c r="AW270" s="115"/>
      <c r="AX270" s="115"/>
      <c r="AY270" s="115"/>
      <c r="AZ270" s="115"/>
      <c r="BA270" s="115"/>
      <c r="BB270" s="25"/>
      <c r="BC270" s="13"/>
      <c r="BF270" s="114"/>
    </row>
    <row r="271" spans="1:58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26"/>
      <c r="T271" s="13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5"/>
      <c r="AE271" s="13"/>
      <c r="AJ271" s="116"/>
      <c r="AK271" s="123"/>
      <c r="AL271" s="123"/>
      <c r="AM271" s="123"/>
      <c r="AR271" s="115"/>
      <c r="AS271" s="115"/>
      <c r="AT271" s="115"/>
      <c r="AU271" s="115"/>
      <c r="AV271" s="115"/>
      <c r="AW271" s="115"/>
      <c r="AX271" s="115"/>
      <c r="AY271" s="115"/>
      <c r="AZ271" s="115"/>
      <c r="BA271" s="115"/>
      <c r="BB271" s="25"/>
      <c r="BC271" s="13"/>
      <c r="BF271" s="114"/>
    </row>
    <row r="272" spans="1:58" ht="19.5" x14ac:dyDescent="0.4">
      <c r="A272" s="117"/>
      <c r="B272" s="123"/>
      <c r="C272" s="123"/>
      <c r="D272" s="123"/>
      <c r="S272" s="26"/>
      <c r="T272" s="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25">
        <v>45678</v>
      </c>
      <c r="AE272" s="13" t="s">
        <v>146</v>
      </c>
      <c r="AJ272" s="116"/>
      <c r="AK272" s="123"/>
      <c r="AL272" s="123"/>
      <c r="AM272" s="123"/>
      <c r="AR272" s="115"/>
      <c r="AS272" s="115"/>
      <c r="AT272" s="115"/>
      <c r="AU272" s="115"/>
      <c r="AV272" s="115"/>
      <c r="AW272" s="115"/>
      <c r="AX272" s="115"/>
      <c r="AY272" s="115"/>
      <c r="AZ272" s="115"/>
      <c r="BA272" s="115"/>
      <c r="BB272" s="25"/>
      <c r="BC272" s="13"/>
      <c r="BF272" s="114"/>
    </row>
    <row r="273" spans="1:58" ht="19.5" x14ac:dyDescent="0.4">
      <c r="A273" s="117"/>
      <c r="B273" s="123"/>
      <c r="C273" s="123"/>
      <c r="D273" s="123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26"/>
      <c r="T273" s="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5"/>
      <c r="AE273" s="13"/>
      <c r="AJ273" s="116"/>
      <c r="AK273" s="123"/>
      <c r="AL273" s="123"/>
      <c r="AM273" s="123"/>
      <c r="AR273" s="115"/>
      <c r="AS273" s="115"/>
      <c r="AT273" s="115"/>
      <c r="AU273" s="115"/>
      <c r="AV273" s="115"/>
      <c r="AW273" s="115"/>
      <c r="AX273" s="115"/>
      <c r="AY273" s="115"/>
      <c r="AZ273" s="115"/>
      <c r="BA273" s="115"/>
      <c r="BB273" s="25"/>
      <c r="BC273" s="13"/>
      <c r="BF273" s="114"/>
    </row>
    <row r="274" spans="1:58" ht="19.5" x14ac:dyDescent="0.4">
      <c r="A274" s="117"/>
      <c r="B274" s="123"/>
      <c r="C274" s="123"/>
      <c r="D274" s="123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26"/>
      <c r="T274" s="13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25"/>
      <c r="AE274" s="13"/>
      <c r="AJ274" s="116"/>
      <c r="AK274" s="123"/>
      <c r="AL274" s="123"/>
      <c r="AM274" s="123"/>
      <c r="AR274" s="115"/>
      <c r="AS274" s="115"/>
      <c r="AT274" s="115"/>
      <c r="AU274" s="115"/>
      <c r="AV274" s="115"/>
      <c r="AW274" s="115"/>
      <c r="AX274" s="115"/>
      <c r="AY274" s="115"/>
      <c r="AZ274" s="115"/>
      <c r="BA274" s="115"/>
      <c r="BB274" s="25"/>
      <c r="BC274" s="13"/>
      <c r="BF274" s="114"/>
    </row>
    <row r="275" spans="1:58" ht="19.5" x14ac:dyDescent="0.4">
      <c r="A275" s="117"/>
      <c r="B275" s="123"/>
      <c r="C275" s="123"/>
      <c r="D275" s="123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26"/>
      <c r="T275" s="13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5"/>
      <c r="AE275" s="13"/>
      <c r="AJ275" s="116"/>
      <c r="AK275" s="123"/>
      <c r="AL275" s="123"/>
      <c r="AM275" s="123"/>
      <c r="AR275" s="115"/>
      <c r="AS275" s="115"/>
      <c r="AT275" s="115"/>
      <c r="AU275" s="115"/>
      <c r="AV275" s="115"/>
      <c r="AW275" s="115"/>
      <c r="AX275" s="115"/>
      <c r="AY275" s="115"/>
      <c r="AZ275" s="115"/>
      <c r="BA275" s="115"/>
      <c r="BB275" s="25"/>
      <c r="BC275" s="13"/>
      <c r="BF275" s="114"/>
    </row>
    <row r="276" spans="1:58" ht="19.5" x14ac:dyDescent="0.4">
      <c r="A276" s="117"/>
      <c r="B276" s="123"/>
      <c r="C276" s="123"/>
      <c r="D276" s="123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26"/>
      <c r="T276" s="13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25"/>
      <c r="AE276" s="13"/>
      <c r="AJ276" s="116"/>
      <c r="AK276" s="123"/>
      <c r="AL276" s="123"/>
      <c r="AM276" s="123"/>
      <c r="AR276" s="115"/>
      <c r="AS276" s="115"/>
      <c r="AT276" s="115"/>
      <c r="AU276" s="115"/>
      <c r="AV276" s="115"/>
      <c r="AW276" s="115"/>
      <c r="AX276" s="115"/>
      <c r="AY276" s="115"/>
      <c r="AZ276" s="115"/>
      <c r="BA276" s="115"/>
      <c r="BB276" s="25"/>
      <c r="BC276" s="13"/>
      <c r="BF276" s="114"/>
    </row>
    <row r="277" spans="1:58" ht="19.5" x14ac:dyDescent="0.4">
      <c r="A277" s="117"/>
      <c r="B277" s="123"/>
      <c r="C277" s="123"/>
      <c r="D277" s="123"/>
      <c r="S277" s="26"/>
      <c r="T277" s="13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25">
        <v>45678</v>
      </c>
      <c r="AE277" s="13" t="s">
        <v>148</v>
      </c>
      <c r="AJ277" s="116"/>
      <c r="AK277" s="123"/>
      <c r="AL277" s="123"/>
      <c r="AM277" s="123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25"/>
      <c r="BC277" s="13"/>
      <c r="BF277" s="114"/>
    </row>
    <row r="278" spans="1:58" ht="19.5" x14ac:dyDescent="0.4">
      <c r="A278" s="117"/>
      <c r="B278" s="123"/>
      <c r="C278" s="123"/>
      <c r="D278" s="123"/>
      <c r="K278" s="115"/>
      <c r="L278" s="115"/>
      <c r="M278" s="115"/>
      <c r="N278" s="115"/>
      <c r="O278" s="115"/>
      <c r="P278" s="115"/>
      <c r="Q278" s="115"/>
      <c r="R278" s="115"/>
      <c r="S278" s="26"/>
      <c r="T278" s="13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5"/>
      <c r="AE278" s="13"/>
      <c r="AJ278" s="116"/>
      <c r="AK278" s="123"/>
      <c r="AL278" s="123"/>
      <c r="AM278" s="123"/>
      <c r="AR278" s="115"/>
      <c r="AS278" s="115"/>
      <c r="AT278" s="115"/>
      <c r="AU278" s="115"/>
      <c r="AV278" s="115"/>
      <c r="AW278" s="115"/>
      <c r="AX278" s="115"/>
      <c r="AY278" s="115"/>
      <c r="AZ278" s="115"/>
      <c r="BA278" s="115"/>
      <c r="BB278" s="25"/>
      <c r="BC278" s="13"/>
      <c r="BF278" s="114"/>
    </row>
    <row r="279" spans="1:58" ht="19.5" x14ac:dyDescent="0.4">
      <c r="A279" s="117"/>
      <c r="B279" s="123"/>
      <c r="C279" s="123"/>
      <c r="D279" s="123"/>
      <c r="K279" s="115"/>
      <c r="L279" s="115"/>
      <c r="M279" s="115"/>
      <c r="N279" s="115"/>
      <c r="O279" s="115"/>
      <c r="P279" s="115"/>
      <c r="Q279" s="115"/>
      <c r="R279" s="115"/>
      <c r="S279" s="17"/>
      <c r="T279" s="13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25"/>
      <c r="AE279" s="13"/>
      <c r="AJ279" s="116"/>
      <c r="AK279" s="123"/>
      <c r="AL279" s="123"/>
      <c r="AM279" s="123"/>
      <c r="AR279" s="115"/>
      <c r="AS279" s="115"/>
      <c r="AT279" s="115"/>
      <c r="AU279" s="115"/>
      <c r="AV279" s="115"/>
      <c r="AW279" s="115"/>
      <c r="AX279" s="115"/>
      <c r="AY279" s="115"/>
      <c r="AZ279" s="115"/>
      <c r="BA279" s="115"/>
      <c r="BB279" s="25"/>
      <c r="BC279" s="13"/>
      <c r="BF279" s="114"/>
    </row>
    <row r="280" spans="1:58" ht="19.5" x14ac:dyDescent="0.4">
      <c r="A280" s="117"/>
      <c r="B280" s="123"/>
      <c r="C280" s="123"/>
      <c r="D280" s="123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26"/>
      <c r="T280" s="134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25"/>
      <c r="AE280" s="13"/>
      <c r="AJ280" s="116"/>
      <c r="AK280" s="123"/>
      <c r="AL280" s="123"/>
      <c r="AM280" s="123"/>
      <c r="AR280" s="115"/>
      <c r="AS280" s="115"/>
      <c r="AT280" s="115"/>
      <c r="AU280" s="115"/>
      <c r="AV280" s="115"/>
      <c r="AW280" s="115"/>
      <c r="AX280" s="115"/>
      <c r="AY280" s="115"/>
      <c r="AZ280" s="115"/>
      <c r="BA280" s="115"/>
      <c r="BB280" s="25"/>
      <c r="BC280" s="13"/>
      <c r="BF280" s="114"/>
    </row>
    <row r="281" spans="1:58" ht="19.5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26"/>
      <c r="T281" s="13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25"/>
      <c r="AE281" s="13"/>
      <c r="AJ281" s="116"/>
      <c r="AK281" s="123"/>
      <c r="AL281" s="123"/>
      <c r="AM281" s="123"/>
      <c r="AR281" s="115"/>
      <c r="AS281" s="115"/>
      <c r="AT281" s="115"/>
      <c r="AU281" s="115"/>
      <c r="AV281" s="115"/>
      <c r="AW281" s="115"/>
      <c r="AX281" s="115"/>
      <c r="AY281" s="115"/>
      <c r="AZ281" s="115"/>
      <c r="BA281" s="115"/>
      <c r="BB281" s="25"/>
      <c r="BC281" s="13"/>
      <c r="BF281" s="114"/>
    </row>
    <row r="282" spans="1:58" ht="19.5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26"/>
      <c r="T282" s="13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25"/>
      <c r="AE282" s="13"/>
      <c r="AJ282" s="116"/>
      <c r="AK282" s="123"/>
      <c r="AL282" s="123"/>
      <c r="AM282" s="123"/>
      <c r="AR282" s="115"/>
      <c r="AS282" s="115"/>
      <c r="AT282" s="115"/>
      <c r="AU282" s="115"/>
      <c r="AV282" s="115"/>
      <c r="AW282" s="115"/>
      <c r="AX282" s="115"/>
      <c r="AY282" s="115"/>
      <c r="AZ282" s="115"/>
      <c r="BA282" s="115"/>
      <c r="BB282" s="25"/>
      <c r="BC282" s="13"/>
      <c r="BF282" s="114"/>
    </row>
    <row r="283" spans="1:58" ht="19.5" x14ac:dyDescent="0.4">
      <c r="A283" s="117"/>
      <c r="B283" s="123"/>
      <c r="C283" s="123"/>
      <c r="D283" s="123"/>
      <c r="S283" s="26"/>
      <c r="T283" s="1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25">
        <v>45678</v>
      </c>
      <c r="AE283" s="13" t="s">
        <v>148</v>
      </c>
      <c r="AJ283" s="116"/>
      <c r="AK283" s="123"/>
      <c r="AL283" s="123"/>
      <c r="AM283" s="123"/>
      <c r="AR283" s="115"/>
      <c r="AS283" s="115"/>
      <c r="AT283" s="115"/>
      <c r="AU283" s="115"/>
      <c r="AV283" s="115"/>
      <c r="AW283" s="115"/>
      <c r="AX283" s="115"/>
      <c r="AY283" s="115"/>
      <c r="AZ283" s="115"/>
      <c r="BA283" s="115"/>
      <c r="BB283" s="25"/>
      <c r="BC283" s="13"/>
      <c r="BF283" s="114"/>
    </row>
    <row r="284" spans="1:58" ht="19.5" x14ac:dyDescent="0.4">
      <c r="A284" s="117"/>
      <c r="B284" s="123"/>
      <c r="C284" s="123"/>
      <c r="D284" s="123"/>
      <c r="S284" s="26"/>
      <c r="T284" s="13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25">
        <v>45678</v>
      </c>
      <c r="AE284" s="13" t="s">
        <v>148</v>
      </c>
      <c r="AJ284" s="116"/>
      <c r="AK284" s="123"/>
      <c r="AL284" s="123"/>
      <c r="AM284" s="123"/>
      <c r="AR284" s="115"/>
      <c r="AS284" s="115"/>
      <c r="AT284" s="115"/>
      <c r="AU284" s="115"/>
      <c r="AV284" s="115"/>
      <c r="AW284" s="115"/>
      <c r="AX284" s="115"/>
      <c r="AY284" s="115"/>
      <c r="AZ284" s="115"/>
      <c r="BA284" s="115"/>
      <c r="BB284" s="25"/>
      <c r="BC284" s="13"/>
      <c r="BF284" s="114"/>
    </row>
    <row r="285" spans="1:58" ht="19.5" x14ac:dyDescent="0.4">
      <c r="A285" s="117"/>
      <c r="B285" s="123"/>
      <c r="C285" s="123"/>
      <c r="D285" s="123"/>
      <c r="L285" s="115"/>
      <c r="M285" s="115"/>
      <c r="N285" s="115"/>
      <c r="O285" s="115"/>
      <c r="P285" s="115"/>
      <c r="Q285" s="115"/>
      <c r="R285" s="115"/>
      <c r="S285" s="26"/>
      <c r="T285" s="13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25"/>
      <c r="AE285" s="13"/>
      <c r="AJ285" s="116"/>
      <c r="AK285" s="123"/>
      <c r="AL285" s="123"/>
      <c r="AM285" s="123"/>
      <c r="AR285" s="115"/>
      <c r="AS285" s="115"/>
      <c r="AT285" s="115"/>
      <c r="AU285" s="115"/>
      <c r="AV285" s="115"/>
      <c r="AW285" s="115"/>
      <c r="AX285" s="115"/>
      <c r="AY285" s="115"/>
      <c r="AZ285" s="115"/>
      <c r="BA285" s="115"/>
      <c r="BB285" s="25"/>
      <c r="BC285" s="13"/>
      <c r="BF285" s="114"/>
    </row>
    <row r="286" spans="1:58" ht="19.5" x14ac:dyDescent="0.4">
      <c r="A286" s="117"/>
      <c r="B286" s="123"/>
      <c r="C286" s="123"/>
      <c r="D286" s="123"/>
      <c r="L286" s="115"/>
      <c r="M286" s="115"/>
      <c r="N286" s="115"/>
      <c r="O286" s="115"/>
      <c r="P286" s="115"/>
      <c r="Q286" s="115"/>
      <c r="R286" s="115"/>
      <c r="S286" s="26"/>
      <c r="T286" s="13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25"/>
      <c r="AE286" s="13"/>
      <c r="AJ286" s="116"/>
      <c r="AK286" s="123"/>
      <c r="AL286" s="123"/>
      <c r="AM286" s="123"/>
      <c r="AR286" s="115"/>
      <c r="AS286" s="115"/>
      <c r="AT286" s="115"/>
      <c r="AU286" s="115"/>
      <c r="AV286" s="115"/>
      <c r="AW286" s="115"/>
      <c r="AX286" s="115"/>
      <c r="AY286" s="115"/>
      <c r="AZ286" s="115"/>
      <c r="BA286" s="115"/>
      <c r="BB286" s="25"/>
      <c r="BC286" s="13"/>
      <c r="BF286" s="114"/>
    </row>
    <row r="287" spans="1:58" ht="19.5" x14ac:dyDescent="0.4">
      <c r="A287" s="117"/>
      <c r="B287" s="123"/>
      <c r="C287" s="123"/>
      <c r="D287" s="123"/>
      <c r="J287" s="115"/>
      <c r="K287" s="115"/>
      <c r="L287" s="115"/>
      <c r="M287" s="115"/>
      <c r="N287" s="115"/>
      <c r="O287" s="115"/>
      <c r="P287" s="115"/>
      <c r="Q287" s="115"/>
      <c r="R287" s="115"/>
      <c r="S287" s="26"/>
      <c r="T287" s="13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5"/>
      <c r="AE287" s="13"/>
      <c r="AJ287" s="116"/>
      <c r="AK287" s="123"/>
      <c r="AL287" s="123"/>
      <c r="AM287" s="123"/>
      <c r="AR287" s="115"/>
      <c r="AS287" s="115"/>
      <c r="AT287" s="115"/>
      <c r="AU287" s="115"/>
      <c r="AV287" s="115"/>
      <c r="AW287" s="115"/>
      <c r="AX287" s="115"/>
      <c r="AY287" s="115"/>
      <c r="AZ287" s="115"/>
      <c r="BA287" s="115"/>
      <c r="BB287" s="25"/>
      <c r="BC287" s="13"/>
      <c r="BF287" s="114"/>
    </row>
    <row r="288" spans="1:58" ht="19.5" x14ac:dyDescent="0.4">
      <c r="A288" s="117"/>
      <c r="B288" s="123"/>
      <c r="C288" s="123"/>
      <c r="D288" s="123"/>
      <c r="J288" s="115"/>
      <c r="K288" s="115"/>
      <c r="L288" s="115"/>
      <c r="M288" s="115"/>
      <c r="N288" s="115"/>
      <c r="O288" s="115"/>
      <c r="P288" s="115"/>
      <c r="Q288" s="115"/>
      <c r="R288" s="115"/>
      <c r="S288" s="26"/>
      <c r="T288" s="13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25"/>
      <c r="AE288" s="13"/>
      <c r="AJ288" s="116"/>
      <c r="AK288" s="123"/>
      <c r="AL288" s="123"/>
      <c r="AM288" s="123"/>
      <c r="AR288" s="115"/>
      <c r="AS288" s="115"/>
      <c r="AT288" s="115"/>
      <c r="AU288" s="115"/>
      <c r="AV288" s="115"/>
      <c r="AW288" s="115"/>
      <c r="AX288" s="115"/>
      <c r="AY288" s="115"/>
      <c r="AZ288" s="115"/>
      <c r="BA288" s="115"/>
      <c r="BB288" s="25"/>
      <c r="BC288" s="13"/>
      <c r="BF288" s="114"/>
    </row>
    <row r="289" spans="1:58" ht="19.5" x14ac:dyDescent="0.4">
      <c r="A289" s="117"/>
      <c r="B289" s="123"/>
      <c r="C289" s="123"/>
      <c r="D289" s="123"/>
      <c r="S289" s="26"/>
      <c r="T289" s="13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25">
        <v>45679</v>
      </c>
      <c r="AE289" s="15" t="s">
        <v>146</v>
      </c>
      <c r="AJ289" s="116"/>
      <c r="AK289" s="123"/>
      <c r="AL289" s="123"/>
      <c r="AM289" s="123"/>
      <c r="AR289" s="115"/>
      <c r="AS289" s="115"/>
      <c r="AT289" s="115"/>
      <c r="AU289" s="115"/>
      <c r="AV289" s="115"/>
      <c r="AW289" s="115"/>
      <c r="AX289" s="115"/>
      <c r="AY289" s="115"/>
      <c r="AZ289" s="115"/>
      <c r="BA289" s="115"/>
      <c r="BB289" s="25"/>
      <c r="BC289" s="13"/>
      <c r="BF289" s="114"/>
    </row>
    <row r="290" spans="1:58" ht="19.5" x14ac:dyDescent="0.4">
      <c r="A290" s="117"/>
      <c r="B290" s="123"/>
      <c r="C290" s="123"/>
      <c r="D290" s="123"/>
      <c r="M290" s="115"/>
      <c r="N290" s="115"/>
      <c r="O290" s="115"/>
      <c r="P290" s="115"/>
      <c r="Q290" s="115"/>
      <c r="R290" s="115"/>
      <c r="S290" s="26"/>
      <c r="T290" s="13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25"/>
      <c r="AE290" s="15"/>
      <c r="AJ290" s="116"/>
      <c r="AK290" s="123"/>
      <c r="AL290" s="123"/>
      <c r="AM290" s="123"/>
      <c r="AR290" s="115"/>
      <c r="AS290" s="115"/>
      <c r="AT290" s="115"/>
      <c r="AU290" s="115"/>
      <c r="AV290" s="115"/>
      <c r="AW290" s="115"/>
      <c r="AX290" s="115"/>
      <c r="AY290" s="115"/>
      <c r="AZ290" s="115"/>
      <c r="BA290" s="115"/>
      <c r="BB290" s="25"/>
      <c r="BC290" s="13"/>
      <c r="BF290" s="114"/>
    </row>
    <row r="291" spans="1:58" ht="19.5" x14ac:dyDescent="0.4">
      <c r="A291" s="117"/>
      <c r="B291" s="123"/>
      <c r="C291" s="123"/>
      <c r="D291" s="123"/>
      <c r="M291" s="115"/>
      <c r="N291" s="115"/>
      <c r="O291" s="115"/>
      <c r="P291" s="115"/>
      <c r="Q291" s="115"/>
      <c r="R291" s="115"/>
      <c r="S291" s="17"/>
      <c r="T291" s="13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25"/>
      <c r="AE291" s="15"/>
      <c r="AJ291" s="116"/>
      <c r="AK291" s="123"/>
      <c r="AL291" s="123"/>
      <c r="AM291" s="123"/>
      <c r="AR291" s="115"/>
      <c r="AS291" s="115"/>
      <c r="AT291" s="115"/>
      <c r="AU291" s="115"/>
      <c r="AV291" s="115"/>
      <c r="AW291" s="115"/>
      <c r="AX291" s="115"/>
      <c r="AY291" s="115"/>
      <c r="AZ291" s="115"/>
      <c r="BA291" s="115"/>
      <c r="BB291" s="25"/>
      <c r="BC291" s="13"/>
      <c r="BF291" s="114"/>
    </row>
    <row r="292" spans="1:58" ht="19.5" x14ac:dyDescent="0.4">
      <c r="A292" s="117"/>
      <c r="B292" s="123"/>
      <c r="C292" s="123"/>
      <c r="D292" s="123"/>
      <c r="S292" s="26"/>
      <c r="T292" s="13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5"/>
      <c r="AE292" s="15"/>
      <c r="AJ292" s="116"/>
      <c r="AK292" s="123"/>
      <c r="AL292" s="123"/>
      <c r="AM292" s="123"/>
      <c r="AR292" s="115"/>
      <c r="AS292" s="115"/>
      <c r="AT292" s="115"/>
      <c r="AU292" s="115"/>
      <c r="AV292" s="115"/>
      <c r="AW292" s="115"/>
      <c r="AX292" s="115"/>
      <c r="AY292" s="115"/>
      <c r="AZ292" s="115"/>
      <c r="BA292" s="115"/>
      <c r="BB292" s="25"/>
      <c r="BC292" s="13"/>
      <c r="BF292" s="114"/>
    </row>
    <row r="293" spans="1:58" ht="19.5" x14ac:dyDescent="0.4">
      <c r="A293" s="117"/>
      <c r="B293" s="123"/>
      <c r="C293" s="123"/>
      <c r="D293" s="123"/>
      <c r="M293" s="115"/>
      <c r="N293" s="115"/>
      <c r="O293" s="115"/>
      <c r="P293" s="115"/>
      <c r="Q293" s="115"/>
      <c r="R293" s="115"/>
      <c r="S293" s="26"/>
      <c r="T293" s="13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25"/>
      <c r="AE293" s="15"/>
      <c r="AJ293" s="116"/>
      <c r="AK293" s="123"/>
      <c r="AL293" s="123"/>
      <c r="AM293" s="123"/>
      <c r="AR293" s="115"/>
      <c r="AS293" s="115"/>
      <c r="AT293" s="115"/>
      <c r="AU293" s="115"/>
      <c r="AV293" s="115"/>
      <c r="AW293" s="115"/>
      <c r="AX293" s="115"/>
      <c r="AY293" s="115"/>
      <c r="AZ293" s="115"/>
      <c r="BA293" s="115"/>
      <c r="BB293" s="25"/>
      <c r="BC293" s="13"/>
      <c r="BF293" s="114"/>
    </row>
    <row r="294" spans="1:58" ht="19.5" x14ac:dyDescent="0.4">
      <c r="A294" s="117"/>
      <c r="B294" s="123"/>
      <c r="C294" s="123"/>
      <c r="D294" s="123"/>
      <c r="M294" s="115"/>
      <c r="N294" s="115"/>
      <c r="O294" s="115"/>
      <c r="P294" s="115"/>
      <c r="Q294" s="115"/>
      <c r="R294" s="115"/>
      <c r="S294" s="17"/>
      <c r="T294" s="13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25"/>
      <c r="AE294" s="15"/>
      <c r="AJ294" s="116"/>
      <c r="AK294" s="123"/>
      <c r="AL294" s="123"/>
      <c r="AM294" s="123"/>
      <c r="AR294" s="115"/>
      <c r="AS294" s="115"/>
      <c r="AT294" s="115"/>
      <c r="AU294" s="115"/>
      <c r="AV294" s="115"/>
      <c r="AW294" s="115"/>
      <c r="AX294" s="115"/>
      <c r="AY294" s="115"/>
      <c r="AZ294" s="115"/>
      <c r="BA294" s="115"/>
      <c r="BB294" s="25"/>
      <c r="BC294" s="13"/>
      <c r="BF294" s="114"/>
    </row>
    <row r="295" spans="1:58" ht="19.5" x14ac:dyDescent="0.4">
      <c r="A295" s="117"/>
      <c r="B295" s="123"/>
      <c r="C295" s="123"/>
      <c r="D295" s="123"/>
      <c r="L295" s="115"/>
      <c r="M295" s="115"/>
      <c r="N295" s="115"/>
      <c r="O295" s="115"/>
      <c r="P295" s="115"/>
      <c r="Q295" s="115"/>
      <c r="R295" s="115"/>
      <c r="S295" s="26"/>
      <c r="T295" s="13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25"/>
      <c r="AE295" s="15"/>
      <c r="AJ295" s="116"/>
      <c r="AK295" s="123"/>
      <c r="AL295" s="123"/>
      <c r="AM295" s="123"/>
      <c r="AR295" s="115"/>
      <c r="AS295" s="115"/>
      <c r="AT295" s="115"/>
      <c r="AU295" s="115"/>
      <c r="AV295" s="115"/>
      <c r="AW295" s="115"/>
      <c r="AX295" s="115"/>
      <c r="AY295" s="115"/>
      <c r="AZ295" s="115"/>
      <c r="BA295" s="115"/>
      <c r="BB295" s="25"/>
      <c r="BC295" s="13"/>
      <c r="BF295" s="114"/>
    </row>
    <row r="296" spans="1:58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26"/>
      <c r="T296" s="13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25"/>
      <c r="AE296" s="15"/>
      <c r="AJ296" s="116"/>
      <c r="AK296" s="123"/>
      <c r="AL296" s="123"/>
      <c r="AM296" s="123"/>
      <c r="AR296" s="115"/>
      <c r="AS296" s="115"/>
      <c r="AT296" s="115"/>
      <c r="AU296" s="115"/>
      <c r="AV296" s="115"/>
      <c r="AW296" s="115"/>
      <c r="AX296" s="115"/>
      <c r="AY296" s="115"/>
      <c r="AZ296" s="115"/>
      <c r="BA296" s="115"/>
      <c r="BB296" s="25"/>
      <c r="BC296" s="13"/>
      <c r="BF296" s="114"/>
    </row>
    <row r="297" spans="1:58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26"/>
      <c r="T297" s="13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25"/>
      <c r="AE297" s="15"/>
      <c r="AJ297" s="116"/>
      <c r="AK297" s="123"/>
      <c r="AL297" s="123"/>
      <c r="AM297" s="123"/>
      <c r="AR297" s="115"/>
      <c r="AS297" s="115"/>
      <c r="AT297" s="115"/>
      <c r="AU297" s="115"/>
      <c r="AV297" s="115"/>
      <c r="AW297" s="115"/>
      <c r="AX297" s="115"/>
      <c r="AY297" s="115"/>
      <c r="AZ297" s="115"/>
      <c r="BA297" s="115"/>
      <c r="BB297" s="25"/>
      <c r="BC297" s="13"/>
      <c r="BF297" s="114"/>
    </row>
    <row r="298" spans="1:58" ht="19.5" x14ac:dyDescent="0.4">
      <c r="A298" s="117"/>
      <c r="B298" s="123"/>
      <c r="C298" s="123"/>
      <c r="D298" s="123"/>
      <c r="S298" s="26"/>
      <c r="T298" s="13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5">
        <v>45679</v>
      </c>
      <c r="AE298" s="15" t="s">
        <v>148</v>
      </c>
      <c r="AJ298" s="116"/>
      <c r="AK298" s="123"/>
      <c r="AL298" s="123"/>
      <c r="AM298" s="123"/>
      <c r="AR298" s="115"/>
      <c r="AS298" s="115"/>
      <c r="AT298" s="115"/>
      <c r="AU298" s="115"/>
      <c r="AV298" s="115"/>
      <c r="AW298" s="115"/>
      <c r="AX298" s="115"/>
      <c r="AY298" s="115"/>
      <c r="AZ298" s="115"/>
      <c r="BA298" s="115"/>
      <c r="BB298" s="25"/>
      <c r="BC298" s="13"/>
      <c r="BF298" s="114"/>
    </row>
    <row r="299" spans="1:58" ht="19.5" x14ac:dyDescent="0.4">
      <c r="A299" s="117"/>
      <c r="B299" s="123"/>
      <c r="C299" s="123"/>
      <c r="D299" s="123"/>
      <c r="M299" s="115"/>
      <c r="N299" s="115"/>
      <c r="O299" s="115"/>
      <c r="P299" s="115"/>
      <c r="Q299" s="115"/>
      <c r="R299" s="115"/>
      <c r="S299" s="26"/>
      <c r="T299" s="13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5"/>
      <c r="AE299" s="13"/>
      <c r="AJ299" s="116"/>
      <c r="AK299" s="123"/>
      <c r="AL299" s="123"/>
      <c r="AM299" s="123"/>
      <c r="AR299" s="115"/>
      <c r="AS299" s="115"/>
      <c r="AT299" s="115"/>
      <c r="AU299" s="115"/>
      <c r="AV299" s="115"/>
      <c r="AW299" s="115"/>
      <c r="AX299" s="115"/>
      <c r="AY299" s="115"/>
      <c r="AZ299" s="115"/>
      <c r="BA299" s="115"/>
      <c r="BB299" s="25"/>
      <c r="BC299" s="13"/>
      <c r="BF299" s="114"/>
    </row>
    <row r="300" spans="1:58" ht="19.5" x14ac:dyDescent="0.4">
      <c r="A300" s="117"/>
      <c r="B300" s="123"/>
      <c r="C300" s="123"/>
      <c r="D300" s="123"/>
      <c r="L300" s="115"/>
      <c r="M300" s="115"/>
      <c r="N300" s="115"/>
      <c r="O300" s="115"/>
      <c r="P300" s="115"/>
      <c r="Q300" s="115"/>
      <c r="R300" s="115"/>
      <c r="S300" s="26"/>
      <c r="T300" s="13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5"/>
      <c r="AE300" s="13"/>
      <c r="AJ300" s="116"/>
      <c r="AK300" s="123"/>
      <c r="AL300" s="123"/>
      <c r="AM300" s="123"/>
      <c r="AR300" s="115"/>
      <c r="AS300" s="115"/>
      <c r="AT300" s="115"/>
      <c r="AU300" s="115"/>
      <c r="AV300" s="115"/>
      <c r="AW300" s="115"/>
      <c r="AX300" s="115"/>
      <c r="AY300" s="115"/>
      <c r="AZ300" s="115"/>
      <c r="BA300" s="115"/>
      <c r="BB300" s="25"/>
      <c r="BC300" s="13"/>
      <c r="BF300" s="114"/>
    </row>
    <row r="301" spans="1:58" ht="19.5" x14ac:dyDescent="0.4">
      <c r="A301" s="117"/>
      <c r="B301" s="123"/>
      <c r="C301" s="123"/>
      <c r="D301" s="123"/>
      <c r="L301" s="115"/>
      <c r="M301" s="115"/>
      <c r="N301" s="115"/>
      <c r="O301" s="115"/>
      <c r="P301" s="115"/>
      <c r="Q301" s="115"/>
      <c r="R301" s="115"/>
      <c r="S301" s="26"/>
      <c r="T301" s="13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25"/>
      <c r="AE301" s="13"/>
      <c r="AJ301" s="116"/>
      <c r="AK301" s="123"/>
      <c r="AL301" s="123"/>
      <c r="AM301" s="123"/>
      <c r="AR301" s="115"/>
      <c r="AS301" s="115"/>
      <c r="AT301" s="115"/>
      <c r="AU301" s="115"/>
      <c r="AV301" s="115"/>
      <c r="AW301" s="115"/>
      <c r="AX301" s="115"/>
      <c r="AY301" s="115"/>
      <c r="AZ301" s="115"/>
      <c r="BA301" s="115"/>
      <c r="BB301" s="25"/>
      <c r="BC301" s="13"/>
      <c r="BF301" s="114"/>
    </row>
    <row r="302" spans="1:58" ht="19.5" x14ac:dyDescent="0.4">
      <c r="A302" s="117"/>
      <c r="B302" s="123"/>
      <c r="C302" s="123"/>
      <c r="D302" s="123"/>
      <c r="L302" s="115"/>
      <c r="M302" s="115"/>
      <c r="N302" s="115"/>
      <c r="O302" s="115"/>
      <c r="P302" s="115"/>
      <c r="Q302" s="115"/>
      <c r="R302" s="115"/>
      <c r="S302" s="17"/>
      <c r="T302" s="13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5"/>
      <c r="AE302" s="13"/>
      <c r="AJ302" s="116"/>
      <c r="AK302" s="123"/>
      <c r="AL302" s="123"/>
      <c r="AM302" s="123"/>
      <c r="AR302" s="115"/>
      <c r="AS302" s="115"/>
      <c r="AT302" s="115"/>
      <c r="AU302" s="115"/>
      <c r="AV302" s="115"/>
      <c r="AW302" s="115"/>
      <c r="AX302" s="115"/>
      <c r="AY302" s="115"/>
      <c r="AZ302" s="115"/>
      <c r="BA302" s="115"/>
      <c r="BB302" s="25"/>
      <c r="BC302" s="13"/>
      <c r="BF302" s="114"/>
    </row>
    <row r="303" spans="1:58" ht="19.5" x14ac:dyDescent="0.4">
      <c r="A303" s="117"/>
      <c r="B303" s="123"/>
      <c r="C303" s="123"/>
      <c r="D303" s="123"/>
      <c r="K303" s="115"/>
      <c r="L303" s="115"/>
      <c r="M303" s="115"/>
      <c r="N303" s="115"/>
      <c r="O303" s="115"/>
      <c r="P303" s="115"/>
      <c r="Q303" s="115"/>
      <c r="R303" s="115"/>
      <c r="S303" s="26"/>
      <c r="T303" s="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5"/>
      <c r="AE303" s="13"/>
      <c r="AJ303" s="116"/>
      <c r="AK303" s="123"/>
      <c r="AL303" s="123"/>
      <c r="AM303" s="123"/>
      <c r="AR303" s="115"/>
      <c r="AS303" s="115"/>
      <c r="AT303" s="115"/>
      <c r="AU303" s="115"/>
      <c r="AV303" s="115"/>
      <c r="AW303" s="115"/>
      <c r="AX303" s="115"/>
      <c r="AY303" s="115"/>
      <c r="AZ303" s="115"/>
      <c r="BA303" s="115"/>
      <c r="BB303" s="25"/>
      <c r="BC303" s="13"/>
      <c r="BF303" s="114"/>
    </row>
    <row r="304" spans="1:58" ht="19.5" x14ac:dyDescent="0.4">
      <c r="A304" s="117"/>
      <c r="B304" s="123"/>
      <c r="C304" s="123"/>
      <c r="D304" s="123"/>
      <c r="K304" s="115"/>
      <c r="L304" s="115"/>
      <c r="M304" s="115"/>
      <c r="N304" s="115"/>
      <c r="O304" s="115"/>
      <c r="P304" s="115"/>
      <c r="Q304" s="115"/>
      <c r="R304" s="115"/>
      <c r="S304" s="17"/>
      <c r="T304" s="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25"/>
      <c r="AE304" s="13"/>
      <c r="AJ304" s="116"/>
      <c r="AK304" s="123"/>
      <c r="AL304" s="123"/>
      <c r="AM304" s="123"/>
      <c r="AR304" s="115"/>
      <c r="AS304" s="115"/>
      <c r="AT304" s="115"/>
      <c r="AU304" s="115"/>
      <c r="AV304" s="115"/>
      <c r="AW304" s="115"/>
      <c r="AX304" s="115"/>
      <c r="AY304" s="115"/>
      <c r="AZ304" s="115"/>
      <c r="BA304" s="115"/>
      <c r="BB304" s="25"/>
      <c r="BC304" s="13"/>
      <c r="BF304" s="114"/>
    </row>
    <row r="305" spans="1:58" ht="19.5" x14ac:dyDescent="0.4">
      <c r="A305" s="117"/>
      <c r="B305" s="123"/>
      <c r="C305" s="123"/>
      <c r="D305" s="123"/>
      <c r="K305" s="115"/>
      <c r="L305" s="115"/>
      <c r="M305" s="115"/>
      <c r="N305" s="115"/>
      <c r="O305" s="115"/>
      <c r="P305" s="115"/>
      <c r="Q305" s="115"/>
      <c r="R305" s="115"/>
      <c r="S305" s="26"/>
      <c r="T305" s="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5"/>
      <c r="AE305" s="13"/>
      <c r="AJ305" s="116"/>
      <c r="AK305" s="123"/>
      <c r="AL305" s="123"/>
      <c r="AM305" s="123"/>
      <c r="AR305" s="115"/>
      <c r="AS305" s="115"/>
      <c r="AT305" s="115"/>
      <c r="AU305" s="115"/>
      <c r="AV305" s="115"/>
      <c r="AW305" s="115"/>
      <c r="AX305" s="115"/>
      <c r="AY305" s="115"/>
      <c r="AZ305" s="115"/>
      <c r="BA305" s="115"/>
      <c r="BB305" s="25"/>
      <c r="BC305" s="13"/>
      <c r="BF305" s="114"/>
    </row>
    <row r="306" spans="1:58" ht="19.5" x14ac:dyDescent="0.4">
      <c r="A306" s="117"/>
      <c r="B306" s="123"/>
      <c r="C306" s="123"/>
      <c r="D306" s="123"/>
      <c r="K306" s="115"/>
      <c r="L306" s="115"/>
      <c r="M306" s="115"/>
      <c r="N306" s="115"/>
      <c r="O306" s="115"/>
      <c r="P306" s="115"/>
      <c r="Q306" s="115"/>
      <c r="R306" s="115"/>
      <c r="S306" s="17"/>
      <c r="T306" s="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5"/>
      <c r="AE306" s="13"/>
      <c r="AJ306" s="116"/>
      <c r="AK306" s="123"/>
      <c r="AL306" s="123"/>
      <c r="AM306" s="123"/>
      <c r="AR306" s="115"/>
      <c r="AS306" s="115"/>
      <c r="AT306" s="115"/>
      <c r="AU306" s="115"/>
      <c r="AV306" s="115"/>
      <c r="AW306" s="115"/>
      <c r="AX306" s="115"/>
      <c r="AY306" s="115"/>
      <c r="AZ306" s="115"/>
      <c r="BA306" s="115"/>
      <c r="BB306" s="25"/>
      <c r="BC306" s="13"/>
      <c r="BF306" s="114"/>
    </row>
    <row r="307" spans="1:58" ht="19.5" x14ac:dyDescent="0.4">
      <c r="A307" s="117"/>
      <c r="B307" s="123"/>
      <c r="C307" s="123"/>
      <c r="D307" s="123"/>
      <c r="K307" s="115"/>
      <c r="L307" s="115"/>
      <c r="M307" s="115"/>
      <c r="N307" s="115"/>
      <c r="O307" s="115"/>
      <c r="P307" s="115"/>
      <c r="Q307" s="115"/>
      <c r="R307" s="115"/>
      <c r="S307" s="26"/>
      <c r="T307" s="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25"/>
      <c r="AE307" s="13"/>
      <c r="AJ307" s="116"/>
      <c r="AK307" s="123"/>
      <c r="AL307" s="123"/>
      <c r="AM307" s="123"/>
      <c r="AR307" s="115"/>
      <c r="AS307" s="115"/>
      <c r="AT307" s="115"/>
      <c r="AU307" s="115"/>
      <c r="AV307" s="115"/>
      <c r="AW307" s="115"/>
      <c r="AX307" s="115"/>
      <c r="AY307" s="115"/>
      <c r="AZ307" s="115"/>
      <c r="BA307" s="115"/>
      <c r="BB307" s="25"/>
      <c r="BC307" s="13"/>
      <c r="BF307" s="114"/>
    </row>
    <row r="308" spans="1:58" ht="19.5" x14ac:dyDescent="0.4">
      <c r="A308" s="117"/>
      <c r="B308" s="123"/>
      <c r="C308" s="123"/>
      <c r="D308" s="123"/>
      <c r="S308" s="26"/>
      <c r="T308" s="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5">
        <v>45679</v>
      </c>
      <c r="AE308" s="13" t="s">
        <v>147</v>
      </c>
      <c r="AJ308" s="116"/>
      <c r="AK308" s="123"/>
      <c r="AL308" s="123"/>
      <c r="AM308" s="123"/>
      <c r="AR308" s="115"/>
      <c r="AS308" s="115"/>
      <c r="AT308" s="115"/>
      <c r="AU308" s="115"/>
      <c r="AV308" s="115"/>
      <c r="AW308" s="115"/>
      <c r="AX308" s="115"/>
      <c r="AY308" s="115"/>
      <c r="AZ308" s="115"/>
      <c r="BA308" s="115"/>
      <c r="BB308" s="25"/>
      <c r="BC308" s="13"/>
      <c r="BF308" s="114"/>
    </row>
    <row r="309" spans="1:58" ht="19.5" x14ac:dyDescent="0.4">
      <c r="A309" s="117"/>
      <c r="B309" s="123"/>
      <c r="C309" s="123"/>
      <c r="D309" s="123"/>
      <c r="N309" s="115"/>
      <c r="O309" s="115"/>
      <c r="P309" s="115"/>
      <c r="Q309" s="115"/>
      <c r="R309" s="115"/>
      <c r="S309" s="17"/>
      <c r="T309" s="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5"/>
      <c r="AE309" s="13"/>
      <c r="AJ309" s="116"/>
      <c r="AK309" s="123"/>
      <c r="AL309" s="123"/>
      <c r="AM309" s="123"/>
      <c r="AR309" s="115"/>
      <c r="AS309" s="115"/>
      <c r="AT309" s="115"/>
      <c r="AU309" s="115"/>
      <c r="AV309" s="115"/>
      <c r="AW309" s="115"/>
      <c r="AX309" s="115"/>
      <c r="AY309" s="115"/>
      <c r="AZ309" s="115"/>
      <c r="BA309" s="115"/>
      <c r="BB309" s="25"/>
      <c r="BC309" s="13"/>
      <c r="BF309" s="114"/>
    </row>
    <row r="310" spans="1:58" ht="19.5" x14ac:dyDescent="0.4">
      <c r="A310" s="117"/>
      <c r="B310" s="123"/>
      <c r="C310" s="123"/>
      <c r="D310" s="123"/>
      <c r="K310" s="115"/>
      <c r="L310" s="115"/>
      <c r="M310" s="115"/>
      <c r="N310" s="115"/>
      <c r="O310" s="115"/>
      <c r="P310" s="115"/>
      <c r="Q310" s="115"/>
      <c r="R310" s="115"/>
      <c r="S310" s="26"/>
      <c r="T310" s="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5"/>
      <c r="AE310" s="13"/>
      <c r="AJ310" s="116"/>
      <c r="AK310" s="123"/>
      <c r="AL310" s="123"/>
      <c r="AM310" s="123"/>
      <c r="AR310" s="115"/>
      <c r="AS310" s="115"/>
      <c r="AT310" s="115"/>
      <c r="AU310" s="115"/>
      <c r="AV310" s="115"/>
      <c r="AW310" s="115"/>
      <c r="AX310" s="115"/>
      <c r="AY310" s="115"/>
      <c r="AZ310" s="115"/>
      <c r="BA310" s="115"/>
      <c r="BB310" s="25"/>
      <c r="BC310" s="13"/>
      <c r="BF310" s="114"/>
    </row>
    <row r="311" spans="1:58" ht="19.5" x14ac:dyDescent="0.4">
      <c r="A311" s="117"/>
      <c r="B311" s="123"/>
      <c r="C311" s="123"/>
      <c r="D311" s="123"/>
      <c r="K311" s="115"/>
      <c r="L311" s="115"/>
      <c r="M311" s="115"/>
      <c r="N311" s="115"/>
      <c r="O311" s="115"/>
      <c r="P311" s="115"/>
      <c r="Q311" s="115"/>
      <c r="R311" s="115"/>
      <c r="S311" s="26"/>
      <c r="T311" s="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5"/>
      <c r="AE311" s="13"/>
      <c r="AJ311" s="116"/>
      <c r="AK311" s="123"/>
      <c r="AL311" s="123"/>
      <c r="AM311" s="123"/>
      <c r="AR311" s="115"/>
      <c r="AS311" s="115"/>
      <c r="AT311" s="115"/>
      <c r="AU311" s="115"/>
      <c r="AV311" s="115"/>
      <c r="AW311" s="115"/>
      <c r="AX311" s="115"/>
      <c r="AY311" s="115"/>
      <c r="AZ311" s="115"/>
      <c r="BA311" s="115"/>
      <c r="BB311" s="25"/>
      <c r="BC311" s="13"/>
      <c r="BF311" s="114"/>
    </row>
    <row r="312" spans="1:58" ht="19.5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7"/>
      <c r="T312" s="13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25"/>
      <c r="AE312" s="13"/>
      <c r="AJ312" s="116"/>
      <c r="AK312" s="123"/>
      <c r="AL312" s="123"/>
      <c r="AM312" s="123"/>
      <c r="AR312" s="115"/>
      <c r="AS312" s="115"/>
      <c r="AT312" s="115"/>
      <c r="AU312" s="115"/>
      <c r="AV312" s="115"/>
      <c r="AW312" s="115"/>
      <c r="AX312" s="115"/>
      <c r="AY312" s="115"/>
      <c r="AZ312" s="115"/>
      <c r="BA312" s="115"/>
      <c r="BB312" s="25"/>
      <c r="BC312" s="13"/>
      <c r="BF312" s="114"/>
    </row>
    <row r="313" spans="1:58" ht="19.5" x14ac:dyDescent="0.4">
      <c r="A313" s="117"/>
      <c r="B313" s="123"/>
      <c r="C313" s="123"/>
      <c r="D313" s="123"/>
      <c r="K313" s="115"/>
      <c r="L313" s="115"/>
      <c r="M313" s="115"/>
      <c r="N313" s="115"/>
      <c r="O313" s="115"/>
      <c r="P313" s="115"/>
      <c r="Q313" s="115"/>
      <c r="R313" s="115"/>
      <c r="S313" s="17"/>
      <c r="T313" s="13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5"/>
      <c r="AE313" s="13"/>
      <c r="AJ313" s="116"/>
      <c r="AK313" s="123"/>
      <c r="AL313" s="123"/>
      <c r="AM313" s="123"/>
      <c r="AR313" s="115"/>
      <c r="AS313" s="115"/>
      <c r="AT313" s="115"/>
      <c r="AU313" s="115"/>
      <c r="AV313" s="115"/>
      <c r="AW313" s="115"/>
      <c r="AX313" s="115"/>
      <c r="AY313" s="115"/>
      <c r="AZ313" s="115"/>
      <c r="BA313" s="115"/>
      <c r="BB313" s="25"/>
      <c r="BC313" s="13"/>
      <c r="BF313" s="114"/>
    </row>
    <row r="314" spans="1:58" ht="19.5" x14ac:dyDescent="0.4">
      <c r="A314" s="117"/>
      <c r="B314" s="123"/>
      <c r="C314" s="123"/>
      <c r="D314" s="123"/>
      <c r="K314" s="115"/>
      <c r="L314" s="115"/>
      <c r="M314" s="115"/>
      <c r="N314" s="115"/>
      <c r="O314" s="115"/>
      <c r="P314" s="115"/>
      <c r="Q314" s="115"/>
      <c r="R314" s="115"/>
      <c r="S314" s="26"/>
      <c r="T314" s="13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25"/>
      <c r="AE314" s="13"/>
      <c r="AJ314" s="116"/>
      <c r="AK314" s="123"/>
      <c r="AL314" s="123"/>
      <c r="AM314" s="123"/>
      <c r="AR314" s="115"/>
      <c r="AS314" s="115"/>
      <c r="AT314" s="115"/>
      <c r="AU314" s="115"/>
      <c r="AV314" s="115"/>
      <c r="AW314" s="115"/>
      <c r="AX314" s="115"/>
      <c r="AY314" s="115"/>
      <c r="AZ314" s="115"/>
      <c r="BA314" s="115"/>
      <c r="BB314" s="25"/>
      <c r="BC314" s="13"/>
      <c r="BF314" s="114"/>
    </row>
    <row r="315" spans="1:58" ht="19.5" x14ac:dyDescent="0.4">
      <c r="A315" s="117"/>
      <c r="B315" s="123"/>
      <c r="C315" s="123"/>
      <c r="D315" s="123"/>
      <c r="K315" s="115"/>
      <c r="L315" s="115"/>
      <c r="M315" s="115"/>
      <c r="N315" s="115"/>
      <c r="O315" s="115"/>
      <c r="P315" s="115"/>
      <c r="Q315" s="115"/>
      <c r="R315" s="115"/>
      <c r="S315" s="17"/>
      <c r="T315" s="13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5"/>
      <c r="AE315" s="13"/>
      <c r="AJ315" s="116"/>
      <c r="AK315" s="123"/>
      <c r="AL315" s="123"/>
      <c r="AM315" s="123"/>
      <c r="AR315" s="115"/>
      <c r="AS315" s="115"/>
      <c r="AT315" s="115"/>
      <c r="AU315" s="115"/>
      <c r="AV315" s="115"/>
      <c r="AW315" s="115"/>
      <c r="AX315" s="115"/>
      <c r="AY315" s="115"/>
      <c r="AZ315" s="115"/>
      <c r="BA315" s="115"/>
      <c r="BB315" s="25"/>
      <c r="BC315" s="13"/>
      <c r="BF315" s="114"/>
    </row>
    <row r="316" spans="1:58" ht="19.5" x14ac:dyDescent="0.4">
      <c r="A316" s="117"/>
      <c r="B316" s="123"/>
      <c r="C316" s="123"/>
      <c r="D316" s="123"/>
      <c r="J316" s="115"/>
      <c r="K316" s="115"/>
      <c r="L316" s="115"/>
      <c r="M316" s="115"/>
      <c r="N316" s="115"/>
      <c r="O316" s="115"/>
      <c r="P316" s="115"/>
      <c r="Q316" s="115"/>
      <c r="R316" s="115"/>
      <c r="S316" s="26"/>
      <c r="T316" s="13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5"/>
      <c r="AE316" s="13"/>
      <c r="AJ316" s="116"/>
      <c r="AK316" s="123"/>
      <c r="AL316" s="123"/>
      <c r="AM316" s="123"/>
      <c r="AR316" s="115"/>
      <c r="AS316" s="115"/>
      <c r="AT316" s="115"/>
      <c r="AU316" s="115"/>
      <c r="AV316" s="115"/>
      <c r="AW316" s="115"/>
      <c r="AX316" s="115"/>
      <c r="AY316" s="115"/>
      <c r="AZ316" s="115"/>
      <c r="BA316" s="115"/>
      <c r="BB316" s="25"/>
      <c r="BC316" s="13"/>
      <c r="BF316" s="114"/>
    </row>
    <row r="317" spans="1:58" ht="19.5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26"/>
      <c r="T317" s="13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5"/>
      <c r="AE317" s="13"/>
      <c r="AJ317" s="116"/>
      <c r="AK317" s="123"/>
      <c r="AL317" s="123"/>
      <c r="AM317" s="123"/>
      <c r="AR317" s="115"/>
      <c r="AS317" s="115"/>
      <c r="AT317" s="115"/>
      <c r="AU317" s="115"/>
      <c r="AV317" s="115"/>
      <c r="AW317" s="115"/>
      <c r="AX317" s="115"/>
      <c r="AY317" s="115"/>
      <c r="AZ317" s="115"/>
      <c r="BA317" s="115"/>
      <c r="BB317" s="25"/>
      <c r="BC317" s="13"/>
      <c r="BF317" s="114"/>
    </row>
    <row r="318" spans="1:58" ht="19.5" x14ac:dyDescent="0.4">
      <c r="A318" s="117"/>
      <c r="B318" s="123"/>
      <c r="C318" s="123"/>
      <c r="D318" s="123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26"/>
      <c r="T318" s="13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25"/>
      <c r="AE318" s="13"/>
      <c r="AJ318" s="116"/>
      <c r="AK318" s="123"/>
      <c r="AL318" s="123"/>
      <c r="AM318" s="123"/>
      <c r="AR318" s="115"/>
      <c r="AS318" s="115"/>
      <c r="AT318" s="115"/>
      <c r="AU318" s="115"/>
      <c r="AV318" s="115"/>
      <c r="AW318" s="115"/>
      <c r="AX318" s="115"/>
      <c r="AY318" s="115"/>
      <c r="AZ318" s="115"/>
      <c r="BA318" s="115"/>
      <c r="BB318" s="25"/>
      <c r="BC318" s="13"/>
      <c r="BF318" s="114"/>
    </row>
    <row r="319" spans="1:58" ht="19.5" x14ac:dyDescent="0.4">
      <c r="A319" s="117"/>
      <c r="B319" s="123"/>
      <c r="C319" s="123"/>
      <c r="D319" s="123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26"/>
      <c r="T319" s="13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25"/>
      <c r="AE319" s="13"/>
      <c r="AJ319" s="116"/>
      <c r="AK319" s="123"/>
      <c r="AL319" s="123"/>
      <c r="AM319" s="123"/>
      <c r="AR319" s="115"/>
      <c r="AS319" s="115"/>
      <c r="AT319" s="115"/>
      <c r="AU319" s="115"/>
      <c r="AV319" s="115"/>
      <c r="AW319" s="115"/>
      <c r="AX319" s="115"/>
      <c r="AY319" s="115"/>
      <c r="AZ319" s="115"/>
      <c r="BA319" s="115"/>
      <c r="BB319" s="25"/>
      <c r="BC319" s="13"/>
      <c r="BF319" s="114"/>
    </row>
    <row r="320" spans="1:58" ht="19.5" x14ac:dyDescent="0.4">
      <c r="A320" s="117"/>
      <c r="B320" s="123"/>
      <c r="C320" s="123"/>
      <c r="D320" s="123"/>
      <c r="S320" s="26"/>
      <c r="T320" s="13"/>
      <c r="AD320" s="25">
        <v>45679</v>
      </c>
      <c r="AE320" s="13" t="s">
        <v>147</v>
      </c>
      <c r="AJ320" s="116"/>
      <c r="AK320" s="123"/>
      <c r="AL320" s="123"/>
      <c r="AM320" s="123"/>
      <c r="AR320" s="115"/>
      <c r="AS320" s="115"/>
      <c r="AT320" s="115"/>
      <c r="AU320" s="115"/>
      <c r="AV320" s="115"/>
      <c r="AW320" s="115"/>
      <c r="AX320" s="115"/>
      <c r="AY320" s="115"/>
      <c r="AZ320" s="115"/>
      <c r="BA320" s="115"/>
      <c r="BB320" s="25"/>
      <c r="BC320" s="13"/>
      <c r="BF320" s="114"/>
    </row>
    <row r="321" spans="1:58" ht="19.5" x14ac:dyDescent="0.4">
      <c r="A321" s="117"/>
      <c r="B321" s="123"/>
      <c r="C321" s="123"/>
      <c r="D321" s="123"/>
      <c r="K321" s="115"/>
      <c r="L321" s="115"/>
      <c r="M321" s="115"/>
      <c r="N321" s="115"/>
      <c r="O321" s="115"/>
      <c r="P321" s="115"/>
      <c r="Q321" s="115"/>
      <c r="R321" s="115"/>
      <c r="S321" s="26"/>
      <c r="T321" s="13"/>
      <c r="AD321" s="25"/>
      <c r="AE321" s="13"/>
      <c r="AJ321" s="116"/>
      <c r="AK321" s="123"/>
      <c r="AL321" s="123"/>
      <c r="AM321" s="123"/>
      <c r="AR321" s="115"/>
      <c r="AS321" s="115"/>
      <c r="AT321" s="115"/>
      <c r="AU321" s="115"/>
      <c r="AV321" s="115"/>
      <c r="AW321" s="115"/>
      <c r="AX321" s="115"/>
      <c r="AY321" s="115"/>
      <c r="AZ321" s="115"/>
      <c r="BA321" s="115"/>
      <c r="BB321" s="25"/>
      <c r="BC321" s="13"/>
      <c r="BF321" s="114"/>
    </row>
    <row r="322" spans="1:58" ht="19.5" x14ac:dyDescent="0.4">
      <c r="A322" s="117"/>
      <c r="B322" s="123"/>
      <c r="C322" s="123"/>
      <c r="D322" s="123"/>
      <c r="S322" s="26"/>
      <c r="T322" s="13"/>
      <c r="AD322" s="25"/>
      <c r="AE322" s="13"/>
      <c r="AJ322" s="116"/>
      <c r="AK322" s="123"/>
      <c r="AL322" s="123"/>
      <c r="AM322" s="123"/>
      <c r="AR322" s="115"/>
      <c r="AS322" s="115"/>
      <c r="AT322" s="115"/>
      <c r="AU322" s="115"/>
      <c r="AV322" s="115"/>
      <c r="AW322" s="115"/>
      <c r="AX322" s="115"/>
      <c r="AY322" s="115"/>
      <c r="AZ322" s="115"/>
      <c r="BA322" s="115"/>
      <c r="BB322" s="25"/>
      <c r="BC322" s="13"/>
      <c r="BF322" s="114"/>
    </row>
    <row r="323" spans="1:58" ht="19.5" x14ac:dyDescent="0.4">
      <c r="A323" s="117"/>
      <c r="B323" s="123"/>
      <c r="C323" s="123"/>
      <c r="D323" s="123"/>
      <c r="K323" s="115"/>
      <c r="L323" s="115"/>
      <c r="M323" s="115"/>
      <c r="N323" s="115"/>
      <c r="O323" s="115"/>
      <c r="P323" s="115"/>
      <c r="Q323" s="115"/>
      <c r="R323" s="115"/>
      <c r="S323" s="26"/>
      <c r="T323" s="13"/>
      <c r="AD323" s="25"/>
      <c r="AE323" s="13"/>
      <c r="AJ323" s="116"/>
      <c r="AK323" s="123"/>
      <c r="AL323" s="123"/>
      <c r="AM323" s="123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25"/>
      <c r="BC323" s="13"/>
      <c r="BF323" s="114"/>
    </row>
    <row r="324" spans="1:58" ht="19.5" x14ac:dyDescent="0.4">
      <c r="A324" s="117"/>
      <c r="B324" s="123"/>
      <c r="C324" s="123"/>
      <c r="D324" s="123"/>
      <c r="K324" s="115"/>
      <c r="L324" s="115"/>
      <c r="M324" s="115"/>
      <c r="N324" s="115"/>
      <c r="O324" s="115"/>
      <c r="P324" s="115"/>
      <c r="Q324" s="115"/>
      <c r="R324" s="115"/>
      <c r="S324" s="17"/>
      <c r="T324" s="13"/>
      <c r="AD324" s="25"/>
      <c r="AE324" s="13"/>
      <c r="AJ324" s="116"/>
      <c r="AK324" s="123"/>
      <c r="AL324" s="123"/>
      <c r="AM324" s="123"/>
      <c r="AR324" s="115"/>
      <c r="AS324" s="115"/>
      <c r="AT324" s="115"/>
      <c r="AU324" s="115"/>
      <c r="AV324" s="115"/>
      <c r="AW324" s="115"/>
      <c r="AX324" s="115"/>
      <c r="AY324" s="115"/>
      <c r="AZ324" s="115"/>
      <c r="BA324" s="115"/>
      <c r="BB324" s="25"/>
      <c r="BC324" s="13"/>
      <c r="BF324" s="114"/>
    </row>
    <row r="325" spans="1:58" ht="19.5" x14ac:dyDescent="0.4">
      <c r="A325" s="117"/>
      <c r="B325" s="123"/>
      <c r="C325" s="123"/>
      <c r="D325" s="123"/>
      <c r="S325" s="26"/>
      <c r="T325" s="13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25">
        <v>45679</v>
      </c>
      <c r="AE325" s="13" t="s">
        <v>146</v>
      </c>
      <c r="AJ325" s="116"/>
      <c r="AK325" s="123"/>
      <c r="AL325" s="123"/>
      <c r="AM325" s="123"/>
      <c r="AR325" s="115"/>
      <c r="AS325" s="115"/>
      <c r="AT325" s="115"/>
      <c r="AU325" s="115"/>
      <c r="AV325" s="115"/>
      <c r="AW325" s="115"/>
      <c r="AX325" s="115"/>
      <c r="AY325" s="115"/>
      <c r="AZ325" s="115"/>
      <c r="BA325" s="115"/>
      <c r="BB325" s="25"/>
      <c r="BC325" s="13"/>
      <c r="BF325" s="114"/>
    </row>
    <row r="326" spans="1:58" ht="19.5" x14ac:dyDescent="0.4">
      <c r="A326" s="117"/>
      <c r="B326" s="123"/>
      <c r="C326" s="123"/>
      <c r="D326" s="123"/>
      <c r="K326" s="115"/>
      <c r="L326" s="115"/>
      <c r="M326" s="115"/>
      <c r="N326" s="115"/>
      <c r="O326" s="115"/>
      <c r="P326" s="115"/>
      <c r="Q326" s="115"/>
      <c r="R326" s="115"/>
      <c r="S326" s="26"/>
      <c r="T326" s="13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25"/>
      <c r="AE326" s="13"/>
      <c r="AJ326" s="116"/>
      <c r="AK326" s="123"/>
      <c r="AL326" s="123"/>
      <c r="AM326" s="123"/>
      <c r="AR326" s="115"/>
      <c r="AS326" s="115"/>
      <c r="AT326" s="115"/>
      <c r="AU326" s="115"/>
      <c r="AV326" s="115"/>
      <c r="AW326" s="115"/>
      <c r="AX326" s="115"/>
      <c r="AY326" s="115"/>
      <c r="AZ326" s="115"/>
      <c r="BA326" s="115"/>
      <c r="BB326" s="25"/>
      <c r="BC326" s="13"/>
      <c r="BF326" s="114"/>
    </row>
    <row r="327" spans="1:58" ht="19.5" x14ac:dyDescent="0.4">
      <c r="A327" s="117"/>
      <c r="B327" s="123"/>
      <c r="C327" s="123"/>
      <c r="D327" s="123"/>
      <c r="S327" s="26"/>
      <c r="T327" s="13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25"/>
      <c r="AE327" s="13"/>
      <c r="AJ327" s="116"/>
      <c r="AK327" s="123"/>
      <c r="AL327" s="123"/>
      <c r="AM327" s="123"/>
      <c r="AR327" s="115"/>
      <c r="AS327" s="115"/>
      <c r="AT327" s="115"/>
      <c r="AU327" s="115"/>
      <c r="AV327" s="115"/>
      <c r="AW327" s="115"/>
      <c r="AX327" s="115"/>
      <c r="AY327" s="115"/>
      <c r="AZ327" s="115"/>
      <c r="BA327" s="115"/>
      <c r="BB327" s="25"/>
      <c r="BC327" s="13"/>
      <c r="BF327" s="114"/>
    </row>
    <row r="328" spans="1:58" ht="19.5" x14ac:dyDescent="0.4">
      <c r="A328" s="117"/>
      <c r="B328" s="123"/>
      <c r="C328" s="123"/>
      <c r="D328" s="123"/>
      <c r="K328" s="115"/>
      <c r="L328" s="115"/>
      <c r="M328" s="115"/>
      <c r="N328" s="115"/>
      <c r="O328" s="115"/>
      <c r="P328" s="115"/>
      <c r="Q328" s="115"/>
      <c r="R328" s="115"/>
      <c r="S328" s="26"/>
      <c r="T328" s="13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5"/>
      <c r="AE328" s="13"/>
      <c r="AJ328" s="116"/>
      <c r="AK328" s="123"/>
      <c r="AL328" s="123"/>
      <c r="AM328" s="123"/>
      <c r="AR328" s="115"/>
      <c r="AS328" s="115"/>
      <c r="AT328" s="115"/>
      <c r="AU328" s="115"/>
      <c r="AV328" s="115"/>
      <c r="AW328" s="115"/>
      <c r="AX328" s="115"/>
      <c r="AY328" s="115"/>
      <c r="AZ328" s="115"/>
      <c r="BA328" s="115"/>
      <c r="BB328" s="25"/>
      <c r="BC328" s="13"/>
      <c r="BF328" s="114"/>
    </row>
    <row r="329" spans="1:58" ht="19.5" x14ac:dyDescent="0.4">
      <c r="A329" s="117"/>
      <c r="B329" s="123"/>
      <c r="C329" s="123"/>
      <c r="D329" s="123"/>
      <c r="K329" s="115"/>
      <c r="L329" s="115"/>
      <c r="M329" s="115"/>
      <c r="N329" s="115"/>
      <c r="O329" s="115"/>
      <c r="P329" s="115"/>
      <c r="Q329" s="115"/>
      <c r="R329" s="115"/>
      <c r="S329" s="26"/>
      <c r="T329" s="13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25"/>
      <c r="AE329" s="13"/>
      <c r="AJ329" s="116"/>
      <c r="AK329" s="123"/>
      <c r="AL329" s="123"/>
      <c r="AM329" s="123"/>
      <c r="AR329" s="115"/>
      <c r="AS329" s="115"/>
      <c r="AT329" s="115"/>
      <c r="AU329" s="115"/>
      <c r="AV329" s="115"/>
      <c r="AW329" s="115"/>
      <c r="AX329" s="115"/>
      <c r="AY329" s="115"/>
      <c r="AZ329" s="115"/>
      <c r="BA329" s="115"/>
      <c r="BB329" s="25"/>
      <c r="BC329" s="13"/>
      <c r="BF329" s="114"/>
    </row>
    <row r="330" spans="1:58" ht="19.5" x14ac:dyDescent="0.4">
      <c r="A330" s="117"/>
      <c r="B330" s="123"/>
      <c r="C330" s="123"/>
      <c r="D330" s="123"/>
      <c r="S330" s="26"/>
      <c r="T330" s="13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25">
        <v>45679</v>
      </c>
      <c r="AE330" s="13" t="s">
        <v>147</v>
      </c>
      <c r="AJ330" s="116"/>
      <c r="AK330" s="123"/>
      <c r="AL330" s="123"/>
      <c r="AM330" s="123"/>
      <c r="AR330" s="115"/>
      <c r="AS330" s="115"/>
      <c r="AT330" s="115"/>
      <c r="AU330" s="115"/>
      <c r="AV330" s="115"/>
      <c r="AW330" s="115"/>
      <c r="AX330" s="115"/>
      <c r="AY330" s="115"/>
      <c r="AZ330" s="115"/>
      <c r="BA330" s="115"/>
      <c r="BB330" s="25"/>
      <c r="BC330" s="13"/>
      <c r="BF330" s="114"/>
    </row>
    <row r="331" spans="1:58" ht="19.5" x14ac:dyDescent="0.4">
      <c r="A331" s="117"/>
      <c r="B331" s="123"/>
      <c r="C331" s="123"/>
      <c r="D331" s="123"/>
      <c r="S331" s="26"/>
      <c r="T331" s="1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5">
        <v>45680</v>
      </c>
      <c r="AE331" s="13" t="s">
        <v>148</v>
      </c>
      <c r="AJ331" s="116"/>
      <c r="AK331" s="123"/>
      <c r="AL331" s="123"/>
      <c r="AM331" s="123"/>
      <c r="AR331" s="115"/>
      <c r="AS331" s="115"/>
      <c r="AT331" s="115"/>
      <c r="AU331" s="115"/>
      <c r="AV331" s="115"/>
      <c r="AW331" s="115"/>
      <c r="AX331" s="115"/>
      <c r="AY331" s="115"/>
      <c r="AZ331" s="115"/>
      <c r="BA331" s="115"/>
      <c r="BB331" s="25"/>
      <c r="BC331" s="13"/>
      <c r="BF331" s="114"/>
    </row>
    <row r="332" spans="1:58" ht="19.5" x14ac:dyDescent="0.4">
      <c r="A332" s="117"/>
      <c r="B332" s="123"/>
      <c r="C332" s="123"/>
      <c r="D332" s="123"/>
      <c r="M332" s="115"/>
      <c r="N332" s="115"/>
      <c r="O332" s="115"/>
      <c r="P332" s="115"/>
      <c r="Q332" s="115"/>
      <c r="R332" s="115"/>
      <c r="S332" s="17"/>
      <c r="T332" s="13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25"/>
      <c r="AE332" s="13"/>
      <c r="AJ332" s="116"/>
      <c r="AK332" s="123"/>
      <c r="AL332" s="123"/>
      <c r="AM332" s="123"/>
      <c r="AR332" s="115"/>
      <c r="AS332" s="115"/>
      <c r="AT332" s="115"/>
      <c r="AU332" s="115"/>
      <c r="AV332" s="115"/>
      <c r="AW332" s="115"/>
      <c r="AX332" s="115"/>
      <c r="AY332" s="115"/>
      <c r="AZ332" s="115"/>
      <c r="BA332" s="115"/>
      <c r="BB332" s="25"/>
      <c r="BC332" s="13"/>
      <c r="BF332" s="114"/>
    </row>
    <row r="333" spans="1:58" ht="19.5" x14ac:dyDescent="0.4">
      <c r="A333" s="117"/>
      <c r="B333" s="123"/>
      <c r="C333" s="123"/>
      <c r="D333" s="123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26"/>
      <c r="T333" s="13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25"/>
      <c r="AE333" s="13"/>
      <c r="AJ333" s="116"/>
      <c r="AK333" s="123"/>
      <c r="AL333" s="123"/>
      <c r="AM333" s="123"/>
      <c r="AR333" s="115"/>
      <c r="AS333" s="115"/>
      <c r="AT333" s="115"/>
      <c r="AU333" s="115"/>
      <c r="AV333" s="115"/>
      <c r="AW333" s="115"/>
      <c r="AX333" s="115"/>
      <c r="AY333" s="115"/>
      <c r="AZ333" s="115"/>
      <c r="BA333" s="115"/>
      <c r="BB333" s="25"/>
      <c r="BC333" s="13"/>
      <c r="BF333" s="114"/>
    </row>
    <row r="334" spans="1:58" ht="19.5" x14ac:dyDescent="0.4">
      <c r="A334" s="117"/>
      <c r="B334" s="123"/>
      <c r="C334" s="123"/>
      <c r="D334" s="123"/>
      <c r="S334" s="26"/>
      <c r="T334" s="13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5">
        <v>45680</v>
      </c>
      <c r="AE334" s="13" t="s">
        <v>147</v>
      </c>
      <c r="AJ334" s="116"/>
      <c r="AK334" s="123"/>
      <c r="AL334" s="123"/>
      <c r="AM334" s="123"/>
      <c r="AR334" s="115"/>
      <c r="AS334" s="115"/>
      <c r="AT334" s="115"/>
      <c r="AU334" s="115"/>
      <c r="AV334" s="115"/>
      <c r="AW334" s="115"/>
      <c r="AX334" s="115"/>
      <c r="AY334" s="115"/>
      <c r="AZ334" s="115"/>
      <c r="BA334" s="115"/>
      <c r="BB334" s="25"/>
      <c r="BC334" s="13"/>
      <c r="BF334" s="114"/>
    </row>
    <row r="335" spans="1:58" ht="19.5" x14ac:dyDescent="0.4">
      <c r="A335" s="117"/>
      <c r="B335" s="123"/>
      <c r="C335" s="123"/>
      <c r="D335" s="123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26"/>
      <c r="T335" s="13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25"/>
      <c r="AE335" s="13"/>
      <c r="AJ335" s="116"/>
      <c r="AK335" s="123"/>
      <c r="AL335" s="123"/>
      <c r="AM335" s="123"/>
      <c r="AR335" s="115"/>
      <c r="AS335" s="115"/>
      <c r="AT335" s="115"/>
      <c r="AU335" s="115"/>
      <c r="AV335" s="115"/>
      <c r="AW335" s="115"/>
      <c r="AX335" s="115"/>
      <c r="AY335" s="115"/>
      <c r="AZ335" s="115"/>
      <c r="BA335" s="115"/>
      <c r="BB335" s="25"/>
      <c r="BC335" s="13"/>
      <c r="BF335" s="114"/>
    </row>
    <row r="336" spans="1:58" ht="19.5" x14ac:dyDescent="0.4">
      <c r="A336" s="117"/>
      <c r="B336" s="123"/>
      <c r="C336" s="123"/>
      <c r="D336" s="123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26"/>
      <c r="T336" s="13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25"/>
      <c r="AE336" s="13"/>
      <c r="AJ336" s="116"/>
      <c r="AK336" s="123"/>
      <c r="AL336" s="123"/>
      <c r="AM336" s="123"/>
      <c r="AR336" s="115"/>
      <c r="AS336" s="115"/>
      <c r="AT336" s="115"/>
      <c r="AU336" s="115"/>
      <c r="AV336" s="115"/>
      <c r="AW336" s="115"/>
      <c r="AX336" s="115"/>
      <c r="AY336" s="115"/>
      <c r="AZ336" s="115"/>
      <c r="BA336" s="115"/>
      <c r="BB336" s="25"/>
      <c r="BC336" s="13"/>
      <c r="BF336" s="114"/>
    </row>
    <row r="337" spans="1:58" ht="19.5" x14ac:dyDescent="0.4">
      <c r="A337" s="117"/>
      <c r="B337" s="123"/>
      <c r="C337" s="123"/>
      <c r="D337" s="123"/>
      <c r="S337" s="26"/>
      <c r="T337" s="13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5">
        <v>45680</v>
      </c>
      <c r="AE337" s="13" t="s">
        <v>147</v>
      </c>
      <c r="AJ337" s="116"/>
      <c r="AK337" s="123"/>
      <c r="AL337" s="123"/>
      <c r="AM337" s="123"/>
      <c r="AR337" s="115"/>
      <c r="AS337" s="115"/>
      <c r="AT337" s="115"/>
      <c r="AU337" s="115"/>
      <c r="AV337" s="115"/>
      <c r="AW337" s="115"/>
      <c r="AX337" s="115"/>
      <c r="AY337" s="115"/>
      <c r="AZ337" s="115"/>
      <c r="BA337" s="115"/>
      <c r="BB337" s="25"/>
      <c r="BC337" s="13"/>
      <c r="BF337" s="114"/>
    </row>
    <row r="338" spans="1:58" ht="19.5" x14ac:dyDescent="0.4">
      <c r="A338" s="117"/>
      <c r="B338" s="123"/>
      <c r="C338" s="123"/>
      <c r="D338" s="123"/>
      <c r="S338" s="26"/>
      <c r="T338" s="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25"/>
      <c r="AE338" s="13"/>
      <c r="AJ338" s="116"/>
      <c r="AK338" s="123"/>
      <c r="AL338" s="123"/>
      <c r="AM338" s="123"/>
      <c r="AR338" s="115"/>
      <c r="AS338" s="115"/>
      <c r="AT338" s="115"/>
      <c r="AU338" s="115"/>
      <c r="AV338" s="115"/>
      <c r="AW338" s="115"/>
      <c r="AX338" s="115"/>
      <c r="AY338" s="115"/>
      <c r="AZ338" s="115"/>
      <c r="BA338" s="115"/>
      <c r="BB338" s="25"/>
      <c r="BC338" s="13"/>
      <c r="BF338" s="114"/>
    </row>
    <row r="339" spans="1:58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26"/>
      <c r="T339" s="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25"/>
      <c r="AE339" s="13"/>
      <c r="AJ339" s="116"/>
      <c r="AK339" s="123"/>
      <c r="AL339" s="123"/>
      <c r="AM339" s="123"/>
      <c r="AR339" s="115"/>
      <c r="AS339" s="115"/>
      <c r="AT339" s="115"/>
      <c r="AU339" s="115"/>
      <c r="AV339" s="115"/>
      <c r="AW339" s="115"/>
      <c r="AX339" s="115"/>
      <c r="AY339" s="115"/>
      <c r="AZ339" s="115"/>
      <c r="BA339" s="115"/>
      <c r="BB339" s="25"/>
      <c r="BC339" s="13"/>
      <c r="BF339" s="114"/>
    </row>
    <row r="340" spans="1:58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26"/>
      <c r="T340" s="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25"/>
      <c r="AE340" s="13"/>
      <c r="AJ340" s="116"/>
      <c r="AK340" s="123"/>
      <c r="AL340" s="123"/>
      <c r="AM340" s="123"/>
      <c r="AR340" s="115"/>
      <c r="AS340" s="115"/>
      <c r="AT340" s="115"/>
      <c r="AU340" s="115"/>
      <c r="AV340" s="115"/>
      <c r="AW340" s="115"/>
      <c r="AX340" s="115"/>
      <c r="AY340" s="115"/>
      <c r="AZ340" s="115"/>
      <c r="BA340" s="115"/>
      <c r="BB340" s="25"/>
      <c r="BC340" s="13"/>
      <c r="BF340" s="114"/>
    </row>
    <row r="341" spans="1:58" ht="19.5" x14ac:dyDescent="0.4">
      <c r="A341" s="117"/>
      <c r="B341" s="123"/>
      <c r="C341" s="123"/>
      <c r="D341" s="123"/>
      <c r="S341" s="26"/>
      <c r="T341" s="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5">
        <v>45680</v>
      </c>
      <c r="AE341" s="13" t="s">
        <v>146</v>
      </c>
      <c r="AJ341" s="116"/>
      <c r="AK341" s="123"/>
      <c r="AL341" s="123"/>
      <c r="AM341" s="123"/>
      <c r="AR341" s="115"/>
      <c r="AS341" s="115"/>
      <c r="AT341" s="115"/>
      <c r="AU341" s="115"/>
      <c r="AV341" s="115"/>
      <c r="AW341" s="115"/>
      <c r="AX341" s="115"/>
      <c r="AY341" s="115"/>
      <c r="AZ341" s="115"/>
      <c r="BA341" s="115"/>
      <c r="BB341" s="25"/>
      <c r="BC341" s="13"/>
      <c r="BF341" s="114"/>
    </row>
    <row r="342" spans="1:58" ht="19.5" x14ac:dyDescent="0.4">
      <c r="A342" s="117"/>
      <c r="B342" s="123"/>
      <c r="C342" s="123"/>
      <c r="D342" s="123"/>
      <c r="S342" s="26"/>
      <c r="T342" s="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5">
        <v>45680</v>
      </c>
      <c r="AE342" s="13" t="s">
        <v>146</v>
      </c>
      <c r="AJ342" s="116"/>
      <c r="AK342" s="123"/>
      <c r="AL342" s="123"/>
      <c r="AM342" s="123"/>
      <c r="AR342" s="115"/>
      <c r="AS342" s="115"/>
      <c r="AT342" s="115"/>
      <c r="AU342" s="115"/>
      <c r="AV342" s="115"/>
      <c r="AW342" s="115"/>
      <c r="AX342" s="115"/>
      <c r="AY342" s="115"/>
      <c r="AZ342" s="115"/>
      <c r="BA342" s="115"/>
      <c r="BB342" s="25"/>
      <c r="BC342" s="13"/>
      <c r="BF342" s="114"/>
    </row>
    <row r="343" spans="1:58" ht="19.5" x14ac:dyDescent="0.4">
      <c r="A343" s="117"/>
      <c r="B343" s="123"/>
      <c r="C343" s="123"/>
      <c r="D343" s="123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26"/>
      <c r="T343" s="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25">
        <v>45680</v>
      </c>
      <c r="AE343" s="13" t="s">
        <v>147</v>
      </c>
      <c r="AJ343" s="116"/>
      <c r="AK343" s="123"/>
      <c r="AL343" s="123"/>
      <c r="AM343" s="123"/>
      <c r="AR343" s="115"/>
      <c r="AS343" s="115"/>
      <c r="AT343" s="115"/>
      <c r="AU343" s="115"/>
      <c r="AV343" s="115"/>
      <c r="AW343" s="115"/>
      <c r="AX343" s="115"/>
      <c r="AY343" s="115"/>
      <c r="AZ343" s="115"/>
      <c r="BA343" s="115"/>
      <c r="BB343" s="25"/>
      <c r="BC343" s="13"/>
      <c r="BF343" s="114"/>
    </row>
    <row r="344" spans="1:58" ht="19.5" x14ac:dyDescent="0.4">
      <c r="A344" s="117"/>
      <c r="B344" s="123"/>
      <c r="C344" s="123"/>
      <c r="D344" s="123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26"/>
      <c r="T344" s="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5"/>
      <c r="AE344" s="13"/>
      <c r="AJ344" s="116"/>
      <c r="AK344" s="123"/>
      <c r="AL344" s="123"/>
      <c r="AM344" s="123"/>
      <c r="AR344" s="115"/>
      <c r="AS344" s="115"/>
      <c r="AT344" s="115"/>
      <c r="AU344" s="115"/>
      <c r="AV344" s="115"/>
      <c r="AW344" s="115"/>
      <c r="AX344" s="115"/>
      <c r="AY344" s="115"/>
      <c r="AZ344" s="115"/>
      <c r="BA344" s="115"/>
      <c r="BB344" s="25"/>
      <c r="BC344" s="13"/>
      <c r="BF344" s="114"/>
    </row>
    <row r="345" spans="1:58" ht="19.5" x14ac:dyDescent="0.4">
      <c r="A345" s="117"/>
      <c r="B345" s="123"/>
      <c r="C345" s="123"/>
      <c r="D345" s="123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7"/>
      <c r="T345" s="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25"/>
      <c r="AE345" s="13"/>
      <c r="AJ345" s="116"/>
      <c r="AK345" s="123"/>
      <c r="AL345" s="123"/>
      <c r="AM345" s="123"/>
      <c r="AR345" s="115"/>
      <c r="AS345" s="115"/>
      <c r="AT345" s="115"/>
      <c r="AU345" s="115"/>
      <c r="AV345" s="115"/>
      <c r="AW345" s="115"/>
      <c r="AX345" s="115"/>
      <c r="AY345" s="115"/>
      <c r="AZ345" s="115"/>
      <c r="BA345" s="115"/>
      <c r="BB345" s="25"/>
      <c r="BC345" s="13"/>
      <c r="BF345" s="114"/>
    </row>
    <row r="346" spans="1:58" ht="19.5" x14ac:dyDescent="0.4">
      <c r="A346" s="117"/>
      <c r="B346" s="123"/>
      <c r="C346" s="123"/>
      <c r="D346" s="123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26"/>
      <c r="T346" s="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25"/>
      <c r="AE346" s="13"/>
      <c r="AJ346" s="116"/>
      <c r="AK346" s="123"/>
      <c r="AL346" s="123"/>
      <c r="AM346" s="123"/>
      <c r="AR346" s="115"/>
      <c r="AS346" s="115"/>
      <c r="AT346" s="115"/>
      <c r="AU346" s="115"/>
      <c r="AV346" s="115"/>
      <c r="AW346" s="115"/>
      <c r="AX346" s="115"/>
      <c r="AY346" s="115"/>
      <c r="AZ346" s="115"/>
      <c r="BA346" s="115"/>
      <c r="BB346" s="25"/>
      <c r="BC346" s="13"/>
      <c r="BF346" s="114"/>
    </row>
    <row r="347" spans="1:58" ht="19.5" x14ac:dyDescent="0.4">
      <c r="A347" s="117"/>
      <c r="B347" s="123"/>
      <c r="C347" s="123"/>
      <c r="D347" s="123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7"/>
      <c r="T347" s="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25"/>
      <c r="AE347" s="13"/>
      <c r="AJ347" s="116"/>
      <c r="AK347" s="123"/>
      <c r="AL347" s="123"/>
      <c r="AM347" s="123"/>
      <c r="AR347" s="115"/>
      <c r="AS347" s="115"/>
      <c r="AT347" s="115"/>
      <c r="AU347" s="115"/>
      <c r="AV347" s="115"/>
      <c r="AW347" s="115"/>
      <c r="AX347" s="115"/>
      <c r="AY347" s="115"/>
      <c r="AZ347" s="115"/>
      <c r="BA347" s="115"/>
      <c r="BB347" s="25"/>
      <c r="BC347" s="13"/>
      <c r="BF347" s="114"/>
    </row>
    <row r="348" spans="1:58" ht="19.5" x14ac:dyDescent="0.4">
      <c r="A348" s="117"/>
      <c r="B348" s="123"/>
      <c r="C348" s="123"/>
      <c r="D348" s="123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26"/>
      <c r="T348" s="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25">
        <v>45680</v>
      </c>
      <c r="AE348" s="15" t="s">
        <v>142</v>
      </c>
      <c r="AJ348" s="116"/>
      <c r="AK348" s="123"/>
      <c r="AL348" s="123"/>
      <c r="AM348" s="123"/>
      <c r="AR348" s="115"/>
      <c r="AS348" s="115"/>
      <c r="AT348" s="115"/>
      <c r="AU348" s="115"/>
      <c r="AV348" s="115"/>
      <c r="AW348" s="115"/>
      <c r="AX348" s="115"/>
      <c r="AY348" s="115"/>
      <c r="AZ348" s="115"/>
      <c r="BA348" s="115"/>
      <c r="BB348" s="25"/>
      <c r="BC348" s="13"/>
      <c r="BF348" s="114"/>
    </row>
    <row r="349" spans="1:58" ht="19.5" x14ac:dyDescent="0.4">
      <c r="A349" s="117"/>
      <c r="B349" s="123"/>
      <c r="C349" s="123"/>
      <c r="D349" s="123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7"/>
      <c r="T349" s="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25"/>
      <c r="AE349" s="15"/>
      <c r="AJ349" s="116"/>
      <c r="AK349" s="123"/>
      <c r="AL349" s="123"/>
      <c r="AM349" s="123"/>
      <c r="AR349" s="115"/>
      <c r="AS349" s="115"/>
      <c r="AT349" s="115"/>
      <c r="AU349" s="115"/>
      <c r="AV349" s="115"/>
      <c r="AW349" s="115"/>
      <c r="AX349" s="115"/>
      <c r="AY349" s="115"/>
      <c r="AZ349" s="115"/>
      <c r="BA349" s="115"/>
      <c r="BB349" s="25"/>
      <c r="BC349" s="13"/>
      <c r="BF349" s="114"/>
    </row>
    <row r="350" spans="1:58" ht="19.5" x14ac:dyDescent="0.4">
      <c r="A350" s="117"/>
      <c r="B350" s="123"/>
      <c r="C350" s="123"/>
      <c r="D350" s="123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26"/>
      <c r="T350" s="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25"/>
      <c r="AE350" s="15"/>
      <c r="AJ350" s="116"/>
      <c r="AK350" s="123"/>
      <c r="AL350" s="123"/>
      <c r="AM350" s="123"/>
      <c r="AR350" s="115"/>
      <c r="AS350" s="115"/>
      <c r="AT350" s="115"/>
      <c r="AU350" s="115"/>
      <c r="AV350" s="115"/>
      <c r="AW350" s="115"/>
      <c r="AX350" s="115"/>
      <c r="AY350" s="115"/>
      <c r="AZ350" s="115"/>
      <c r="BA350" s="115"/>
      <c r="BB350" s="25"/>
      <c r="BC350" s="13"/>
      <c r="BF350" s="114"/>
    </row>
    <row r="351" spans="1:58" ht="19.5" x14ac:dyDescent="0.4">
      <c r="A351" s="117"/>
      <c r="B351" s="123"/>
      <c r="C351" s="123"/>
      <c r="D351" s="123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26"/>
      <c r="T351" s="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25">
        <v>45680</v>
      </c>
      <c r="AE351" s="15" t="s">
        <v>146</v>
      </c>
      <c r="AJ351" s="116"/>
      <c r="AK351" s="123"/>
      <c r="AL351" s="123"/>
      <c r="AM351" s="123"/>
      <c r="AR351" s="115"/>
      <c r="AS351" s="115"/>
      <c r="AT351" s="115"/>
      <c r="AU351" s="115"/>
      <c r="AV351" s="115"/>
      <c r="AW351" s="115"/>
      <c r="AX351" s="115"/>
      <c r="AY351" s="115"/>
      <c r="AZ351" s="115"/>
      <c r="BA351" s="115"/>
      <c r="BB351" s="25"/>
      <c r="BC351" s="13"/>
      <c r="BF351" s="114"/>
    </row>
    <row r="352" spans="1:58" ht="19.5" x14ac:dyDescent="0.4">
      <c r="A352" s="117"/>
      <c r="B352" s="123"/>
      <c r="C352" s="123"/>
      <c r="D352" s="123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26"/>
      <c r="T352" s="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25"/>
      <c r="AE352" s="15"/>
      <c r="AJ352" s="116"/>
      <c r="AK352" s="123"/>
      <c r="AL352" s="123"/>
      <c r="AM352" s="123"/>
      <c r="AR352" s="115"/>
      <c r="AS352" s="115"/>
      <c r="AT352" s="115"/>
      <c r="AU352" s="115"/>
      <c r="AV352" s="115"/>
      <c r="AW352" s="115"/>
      <c r="AX352" s="115"/>
      <c r="AY352" s="115"/>
      <c r="AZ352" s="115"/>
      <c r="BA352" s="115"/>
      <c r="BB352" s="25"/>
      <c r="BC352" s="13"/>
      <c r="BF352" s="114"/>
    </row>
    <row r="353" spans="1:58" ht="19.5" x14ac:dyDescent="0.4">
      <c r="A353" s="117"/>
      <c r="B353" s="123"/>
      <c r="C353" s="123"/>
      <c r="D353" s="123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26"/>
      <c r="T353" s="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25">
        <v>45680</v>
      </c>
      <c r="AE353" s="15" t="s">
        <v>146</v>
      </c>
      <c r="AJ353" s="116"/>
      <c r="AK353" s="123"/>
      <c r="AL353" s="123"/>
      <c r="AM353" s="123"/>
      <c r="AR353" s="115"/>
      <c r="AS353" s="115"/>
      <c r="AT353" s="115"/>
      <c r="AU353" s="115"/>
      <c r="AV353" s="115"/>
      <c r="AW353" s="115"/>
      <c r="AX353" s="115"/>
      <c r="AY353" s="115"/>
      <c r="AZ353" s="115"/>
      <c r="BA353" s="115"/>
      <c r="BB353" s="25"/>
      <c r="BC353" s="13"/>
      <c r="BF353" s="114"/>
    </row>
    <row r="354" spans="1:58" ht="19.5" x14ac:dyDescent="0.4">
      <c r="A354" s="117"/>
      <c r="B354" s="123"/>
      <c r="C354" s="123"/>
      <c r="D354" s="123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26"/>
      <c r="T354" s="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5"/>
      <c r="AE354" s="15"/>
      <c r="AJ354" s="116"/>
      <c r="AK354" s="123"/>
      <c r="AL354" s="123"/>
      <c r="AM354" s="123"/>
      <c r="AR354" s="115"/>
      <c r="AS354" s="115"/>
      <c r="AT354" s="115"/>
      <c r="AU354" s="115"/>
      <c r="AV354" s="115"/>
      <c r="AW354" s="115"/>
      <c r="AX354" s="115"/>
      <c r="AY354" s="115"/>
      <c r="AZ354" s="115"/>
      <c r="BA354" s="115"/>
      <c r="BB354" s="25"/>
      <c r="BC354" s="13"/>
      <c r="BF354" s="114"/>
    </row>
    <row r="355" spans="1:58" ht="19.5" x14ac:dyDescent="0.4">
      <c r="A355" s="117"/>
      <c r="B355" s="123"/>
      <c r="C355" s="123"/>
      <c r="D355" s="123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26"/>
      <c r="T355" s="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25"/>
      <c r="AE355" s="15"/>
      <c r="AJ355" s="116"/>
      <c r="AK355" s="123"/>
      <c r="AL355" s="123"/>
      <c r="AM355" s="123"/>
      <c r="AR355" s="115"/>
      <c r="AS355" s="115"/>
      <c r="AT355" s="115"/>
      <c r="AU355" s="115"/>
      <c r="AV355" s="115"/>
      <c r="AW355" s="115"/>
      <c r="AX355" s="115"/>
      <c r="AY355" s="115"/>
      <c r="AZ355" s="115"/>
      <c r="BA355" s="115"/>
      <c r="BB355" s="25"/>
      <c r="BC355" s="13"/>
      <c r="BF355" s="114"/>
    </row>
    <row r="356" spans="1:58" ht="19.5" x14ac:dyDescent="0.4">
      <c r="A356" s="117"/>
      <c r="B356" s="123"/>
      <c r="C356" s="123"/>
      <c r="D356" s="123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26"/>
      <c r="T356" s="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25"/>
      <c r="AE356" s="15"/>
      <c r="AJ356" s="116"/>
      <c r="AK356" s="123"/>
      <c r="AL356" s="123"/>
      <c r="AM356" s="123"/>
      <c r="AR356" s="115"/>
      <c r="AS356" s="115"/>
      <c r="AT356" s="115"/>
      <c r="AU356" s="115"/>
      <c r="AV356" s="115"/>
      <c r="AW356" s="115"/>
      <c r="AX356" s="115"/>
      <c r="AY356" s="115"/>
      <c r="AZ356" s="115"/>
      <c r="BA356" s="115"/>
      <c r="BB356" s="25"/>
      <c r="BC356" s="13"/>
      <c r="BF356" s="114"/>
    </row>
    <row r="357" spans="1:58" ht="19.5" x14ac:dyDescent="0.4">
      <c r="A357" s="117"/>
      <c r="B357" s="123"/>
      <c r="C357" s="123"/>
      <c r="D357" s="123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26"/>
      <c r="T357" s="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5">
        <v>45680</v>
      </c>
      <c r="AE357" s="15" t="s">
        <v>146</v>
      </c>
      <c r="AJ357" s="116"/>
      <c r="AK357" s="123"/>
      <c r="AL357" s="123"/>
      <c r="AM357" s="123"/>
      <c r="AR357" s="115"/>
      <c r="AS357" s="115"/>
      <c r="AT357" s="115"/>
      <c r="AU357" s="115"/>
      <c r="AV357" s="115"/>
      <c r="AW357" s="115"/>
      <c r="AX357" s="115"/>
      <c r="AY357" s="115"/>
      <c r="AZ357" s="115"/>
      <c r="BA357" s="115"/>
      <c r="BB357" s="25"/>
      <c r="BC357" s="13"/>
      <c r="BF357" s="114"/>
    </row>
    <row r="358" spans="1:58" ht="19.5" x14ac:dyDescent="0.4">
      <c r="A358" s="117"/>
      <c r="B358" s="123"/>
      <c r="C358" s="123"/>
      <c r="D358" s="123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26"/>
      <c r="T358" s="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5"/>
      <c r="AE358" s="15"/>
      <c r="AJ358" s="116"/>
      <c r="AK358" s="123"/>
      <c r="AL358" s="123"/>
      <c r="AM358" s="123"/>
      <c r="AR358" s="115"/>
      <c r="AS358" s="115"/>
      <c r="AT358" s="115"/>
      <c r="AU358" s="115"/>
      <c r="AV358" s="115"/>
      <c r="AW358" s="115"/>
      <c r="AX358" s="115"/>
      <c r="AY358" s="115"/>
      <c r="AZ358" s="115"/>
      <c r="BA358" s="115"/>
      <c r="BB358" s="25"/>
      <c r="BC358" s="13"/>
      <c r="BF358" s="114"/>
    </row>
    <row r="359" spans="1:58" ht="19.5" x14ac:dyDescent="0.4">
      <c r="A359" s="117"/>
      <c r="B359" s="123"/>
      <c r="C359" s="123"/>
      <c r="D359" s="123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7"/>
      <c r="T359" s="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5"/>
      <c r="AE359" s="15"/>
      <c r="AJ359" s="116"/>
      <c r="AK359" s="123"/>
      <c r="AL359" s="123"/>
      <c r="AM359" s="123"/>
      <c r="AR359" s="115"/>
      <c r="AS359" s="115"/>
      <c r="AT359" s="115"/>
      <c r="AU359" s="115"/>
      <c r="AV359" s="115"/>
      <c r="AW359" s="115"/>
      <c r="AX359" s="115"/>
      <c r="AY359" s="115"/>
      <c r="AZ359" s="115"/>
      <c r="BA359" s="115"/>
      <c r="BB359" s="25"/>
      <c r="BC359" s="13"/>
      <c r="BF359" s="114"/>
    </row>
    <row r="360" spans="1:58" ht="19.5" x14ac:dyDescent="0.4">
      <c r="A360" s="117"/>
      <c r="B360" s="123"/>
      <c r="C360" s="123"/>
      <c r="D360" s="123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26"/>
      <c r="T360" s="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5">
        <v>45680</v>
      </c>
      <c r="AE360" s="15" t="s">
        <v>147</v>
      </c>
      <c r="AJ360" s="116"/>
      <c r="AK360" s="123"/>
      <c r="AL360" s="123"/>
      <c r="AM360" s="123"/>
      <c r="AR360" s="115"/>
      <c r="AS360" s="115"/>
      <c r="AT360" s="115"/>
      <c r="AU360" s="115"/>
      <c r="AV360" s="115"/>
      <c r="AW360" s="115"/>
      <c r="AX360" s="115"/>
      <c r="AY360" s="115"/>
      <c r="AZ360" s="115"/>
      <c r="BA360" s="115"/>
      <c r="BB360" s="25"/>
      <c r="BC360" s="13"/>
      <c r="BF360" s="114"/>
    </row>
    <row r="361" spans="1:58" ht="19.5" x14ac:dyDescent="0.4">
      <c r="A361" s="117"/>
      <c r="B361" s="123"/>
      <c r="C361" s="123"/>
      <c r="D361" s="123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7"/>
      <c r="T361" s="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25"/>
      <c r="AE361" s="13"/>
      <c r="AJ361" s="116"/>
      <c r="AK361" s="123"/>
      <c r="AL361" s="123"/>
      <c r="AM361" s="123"/>
      <c r="AR361" s="115"/>
      <c r="AS361" s="115"/>
      <c r="AT361" s="115"/>
      <c r="AU361" s="115"/>
      <c r="AV361" s="115"/>
      <c r="AW361" s="115"/>
      <c r="AX361" s="115"/>
      <c r="AY361" s="115"/>
      <c r="AZ361" s="115"/>
      <c r="BA361" s="115"/>
      <c r="BB361" s="25"/>
      <c r="BC361" s="13"/>
      <c r="BF361" s="114"/>
    </row>
    <row r="362" spans="1:58" ht="19.5" x14ac:dyDescent="0.4">
      <c r="A362" s="117"/>
      <c r="B362" s="123"/>
      <c r="C362" s="123"/>
      <c r="D362" s="123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26"/>
      <c r="T362" s="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5"/>
      <c r="AE362" s="13"/>
      <c r="AJ362" s="116"/>
      <c r="AK362" s="123"/>
      <c r="AL362" s="123"/>
      <c r="AM362" s="123"/>
      <c r="AR362" s="115"/>
      <c r="AS362" s="115"/>
      <c r="AT362" s="115"/>
      <c r="AU362" s="115"/>
      <c r="AV362" s="115"/>
      <c r="AW362" s="115"/>
      <c r="AX362" s="115"/>
      <c r="AY362" s="115"/>
      <c r="AZ362" s="115"/>
      <c r="BA362" s="115"/>
      <c r="BB362" s="25"/>
      <c r="BC362" s="13"/>
      <c r="BF362" s="114"/>
    </row>
    <row r="363" spans="1:58" ht="19.5" x14ac:dyDescent="0.4">
      <c r="A363" s="117"/>
      <c r="B363" s="123"/>
      <c r="C363" s="123"/>
      <c r="D363" s="123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26"/>
      <c r="T363" s="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5"/>
      <c r="AE363" s="13"/>
      <c r="AJ363" s="116"/>
      <c r="AK363" s="123"/>
      <c r="AL363" s="123"/>
      <c r="AM363" s="123"/>
      <c r="AR363" s="115"/>
      <c r="AS363" s="115"/>
      <c r="AT363" s="115"/>
      <c r="AU363" s="115"/>
      <c r="AV363" s="115"/>
      <c r="AW363" s="115"/>
      <c r="AX363" s="115"/>
      <c r="AY363" s="115"/>
      <c r="AZ363" s="115"/>
      <c r="BA363" s="115"/>
      <c r="BB363" s="25"/>
      <c r="BC363" s="13"/>
      <c r="BF363" s="114"/>
    </row>
    <row r="364" spans="1:58" ht="19.5" x14ac:dyDescent="0.4">
      <c r="A364" s="117"/>
      <c r="B364" s="123"/>
      <c r="C364" s="123"/>
      <c r="D364" s="123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7"/>
      <c r="T364" s="13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5"/>
      <c r="AE364" s="13"/>
      <c r="AJ364" s="116"/>
      <c r="AK364" s="123"/>
      <c r="AL364" s="123"/>
      <c r="AM364" s="123"/>
      <c r="AR364" s="115"/>
      <c r="AS364" s="115"/>
      <c r="AT364" s="115"/>
      <c r="AU364" s="115"/>
      <c r="AV364" s="115"/>
      <c r="AW364" s="115"/>
      <c r="AX364" s="115"/>
      <c r="AY364" s="115"/>
      <c r="AZ364" s="115"/>
      <c r="BA364" s="115"/>
      <c r="BB364" s="25"/>
      <c r="BC364" s="13"/>
      <c r="BF364" s="114"/>
    </row>
    <row r="365" spans="1:58" ht="19.5" x14ac:dyDescent="0.4">
      <c r="A365" s="117"/>
      <c r="B365" s="123"/>
      <c r="C365" s="123"/>
      <c r="D365" s="123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7"/>
      <c r="T365" s="13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25"/>
      <c r="AE365" s="13"/>
      <c r="AJ365" s="116"/>
      <c r="AK365" s="123"/>
      <c r="AL365" s="123"/>
      <c r="AM365" s="123"/>
      <c r="AR365" s="115"/>
      <c r="AS365" s="115"/>
      <c r="AT365" s="115"/>
      <c r="AU365" s="115"/>
      <c r="AV365" s="115"/>
      <c r="AW365" s="115"/>
      <c r="AX365" s="115"/>
      <c r="AY365" s="115"/>
      <c r="AZ365" s="115"/>
      <c r="BA365" s="115"/>
      <c r="BB365" s="25"/>
      <c r="BC365" s="13"/>
      <c r="BF365" s="114"/>
    </row>
    <row r="366" spans="1:58" ht="19.5" x14ac:dyDescent="0.4">
      <c r="A366" s="117"/>
      <c r="B366" s="123"/>
      <c r="C366" s="123"/>
      <c r="D366" s="123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26"/>
      <c r="T366" s="13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25"/>
      <c r="AE366" s="13"/>
      <c r="AJ366" s="116"/>
      <c r="AK366" s="123"/>
      <c r="AL366" s="123"/>
      <c r="AM366" s="123"/>
      <c r="AR366" s="115"/>
      <c r="AS366" s="115"/>
      <c r="AT366" s="115"/>
      <c r="AU366" s="115"/>
      <c r="AV366" s="115"/>
      <c r="AW366" s="115"/>
      <c r="AX366" s="115"/>
      <c r="AY366" s="115"/>
      <c r="AZ366" s="115"/>
      <c r="BA366" s="115"/>
      <c r="BB366" s="25"/>
      <c r="BC366" s="13"/>
      <c r="BF366" s="114"/>
    </row>
    <row r="367" spans="1:58" ht="19.5" x14ac:dyDescent="0.4">
      <c r="A367" s="117"/>
      <c r="B367" s="123"/>
      <c r="C367" s="123"/>
      <c r="D367" s="123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26"/>
      <c r="T367" s="13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25"/>
      <c r="AE367" s="13"/>
      <c r="AJ367" s="116"/>
      <c r="AK367" s="123"/>
      <c r="AL367" s="123"/>
      <c r="AM367" s="123"/>
      <c r="AR367" s="115"/>
      <c r="AS367" s="115"/>
      <c r="AT367" s="115"/>
      <c r="AU367" s="115"/>
      <c r="AV367" s="115"/>
      <c r="AW367" s="115"/>
      <c r="AX367" s="115"/>
      <c r="AY367" s="115"/>
      <c r="AZ367" s="115"/>
      <c r="BA367" s="115"/>
      <c r="BB367" s="25"/>
      <c r="BC367" s="13"/>
      <c r="BF367" s="114"/>
    </row>
    <row r="368" spans="1:58" ht="19.5" x14ac:dyDescent="0.4">
      <c r="A368" s="117"/>
      <c r="B368" s="123"/>
      <c r="C368" s="123"/>
      <c r="D368" s="123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26"/>
      <c r="T368" s="13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25"/>
      <c r="AE368" s="13"/>
      <c r="AJ368" s="116"/>
      <c r="AK368" s="123"/>
      <c r="AL368" s="123"/>
      <c r="AM368" s="123"/>
      <c r="AR368" s="115"/>
      <c r="AS368" s="115"/>
      <c r="AT368" s="115"/>
      <c r="AU368" s="115"/>
      <c r="AV368" s="115"/>
      <c r="AW368" s="115"/>
      <c r="AX368" s="115"/>
      <c r="AY368" s="115"/>
      <c r="AZ368" s="115"/>
      <c r="BA368" s="115"/>
      <c r="BB368" s="25"/>
      <c r="BC368" s="13"/>
      <c r="BF368" s="114"/>
    </row>
    <row r="369" spans="1:58" ht="19.5" x14ac:dyDescent="0.4">
      <c r="A369" s="117"/>
      <c r="B369" s="123"/>
      <c r="C369" s="123"/>
      <c r="D369" s="123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26"/>
      <c r="T369" s="13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25"/>
      <c r="AE369" s="13"/>
      <c r="AJ369" s="116"/>
      <c r="AK369" s="123"/>
      <c r="AL369" s="123"/>
      <c r="AM369" s="123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25"/>
      <c r="BC369" s="13"/>
      <c r="BF369" s="114"/>
    </row>
    <row r="370" spans="1:58" ht="19.5" x14ac:dyDescent="0.4">
      <c r="A370" s="117"/>
      <c r="B370" s="123"/>
      <c r="C370" s="123"/>
      <c r="D370" s="123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26"/>
      <c r="T370" s="13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5">
        <v>45680</v>
      </c>
      <c r="AE370" s="13" t="s">
        <v>146</v>
      </c>
      <c r="AJ370" s="116"/>
      <c r="AK370" s="123"/>
      <c r="AL370" s="123"/>
      <c r="AM370" s="123"/>
      <c r="AR370" s="115"/>
      <c r="AS370" s="115"/>
      <c r="AT370" s="115"/>
      <c r="AU370" s="115"/>
      <c r="AV370" s="115"/>
      <c r="AW370" s="115"/>
      <c r="AX370" s="115"/>
      <c r="AY370" s="115"/>
      <c r="AZ370" s="115"/>
      <c r="BA370" s="115"/>
      <c r="BB370" s="25"/>
      <c r="BC370" s="13"/>
      <c r="BF370" s="114"/>
    </row>
    <row r="371" spans="1:58" ht="19.5" x14ac:dyDescent="0.4">
      <c r="A371" s="117"/>
      <c r="B371" s="123"/>
      <c r="C371" s="123"/>
      <c r="D371" s="123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7"/>
      <c r="T371" s="13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25"/>
      <c r="AE371" s="13"/>
      <c r="AJ371" s="116"/>
      <c r="AK371" s="123"/>
      <c r="AL371" s="123"/>
      <c r="AM371" s="123"/>
      <c r="AR371" s="115"/>
      <c r="AS371" s="115"/>
      <c r="AT371" s="115"/>
      <c r="AU371" s="115"/>
      <c r="AV371" s="115"/>
      <c r="AW371" s="115"/>
      <c r="AX371" s="115"/>
      <c r="AY371" s="115"/>
      <c r="AZ371" s="115"/>
      <c r="BA371" s="115"/>
      <c r="BB371" s="25"/>
      <c r="BC371" s="13"/>
      <c r="BF371" s="114"/>
    </row>
    <row r="372" spans="1:58" ht="19.5" x14ac:dyDescent="0.4">
      <c r="A372" s="117"/>
      <c r="B372" s="123"/>
      <c r="C372" s="123"/>
      <c r="D372" s="123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26"/>
      <c r="T372" s="13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25">
        <v>45680</v>
      </c>
      <c r="AE372" s="13" t="s">
        <v>147</v>
      </c>
      <c r="AJ372" s="116"/>
      <c r="AK372" s="123"/>
      <c r="AL372" s="123"/>
      <c r="AM372" s="123"/>
      <c r="AR372" s="115"/>
      <c r="AS372" s="115"/>
      <c r="AT372" s="115"/>
      <c r="AU372" s="115"/>
      <c r="AV372" s="115"/>
      <c r="AW372" s="115"/>
      <c r="AX372" s="115"/>
      <c r="AY372" s="115"/>
      <c r="AZ372" s="115"/>
      <c r="BA372" s="115"/>
      <c r="BB372" s="25"/>
      <c r="BC372" s="13"/>
      <c r="BF372" s="114"/>
    </row>
    <row r="373" spans="1:58" ht="19.5" x14ac:dyDescent="0.4">
      <c r="A373" s="117"/>
      <c r="B373" s="123"/>
      <c r="C373" s="123"/>
      <c r="D373" s="123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26"/>
      <c r="T373" s="13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25">
        <v>45680</v>
      </c>
      <c r="AE373" s="13" t="s">
        <v>146</v>
      </c>
      <c r="AJ373" s="116"/>
      <c r="AK373" s="123"/>
      <c r="AL373" s="123"/>
      <c r="AM373" s="123"/>
      <c r="AR373" s="115"/>
      <c r="AS373" s="115"/>
      <c r="AT373" s="115"/>
      <c r="AU373" s="115"/>
      <c r="AV373" s="115"/>
      <c r="AW373" s="115"/>
      <c r="AX373" s="115"/>
      <c r="AY373" s="115"/>
      <c r="AZ373" s="115"/>
      <c r="BA373" s="115"/>
      <c r="BB373" s="25"/>
      <c r="BC373" s="13"/>
      <c r="BF373" s="114"/>
    </row>
    <row r="374" spans="1:58" ht="19.5" x14ac:dyDescent="0.4">
      <c r="A374" s="117"/>
      <c r="B374" s="123"/>
      <c r="C374" s="123"/>
      <c r="D374" s="123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7"/>
      <c r="T374" s="13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25"/>
      <c r="AE374" s="13"/>
      <c r="AJ374" s="116"/>
      <c r="AK374" s="123"/>
      <c r="AL374" s="123"/>
      <c r="AM374" s="123"/>
      <c r="AR374" s="115"/>
      <c r="AS374" s="115"/>
      <c r="AT374" s="115"/>
      <c r="AU374" s="115"/>
      <c r="AV374" s="115"/>
      <c r="AW374" s="115"/>
      <c r="AX374" s="115"/>
      <c r="AY374" s="115"/>
      <c r="AZ374" s="115"/>
      <c r="BA374" s="115"/>
      <c r="BB374" s="25"/>
      <c r="BC374" s="13"/>
      <c r="BF374" s="114"/>
    </row>
    <row r="375" spans="1:58" ht="19.5" x14ac:dyDescent="0.4">
      <c r="A375" s="117"/>
      <c r="B375" s="123"/>
      <c r="C375" s="123"/>
      <c r="D375" s="123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26"/>
      <c r="T375" s="13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25"/>
      <c r="AE375" s="13"/>
      <c r="AJ375" s="116"/>
      <c r="AK375" s="123"/>
      <c r="AL375" s="123"/>
      <c r="AM375" s="123"/>
      <c r="AR375" s="115"/>
      <c r="AS375" s="115"/>
      <c r="AT375" s="115"/>
      <c r="AU375" s="115"/>
      <c r="AV375" s="115"/>
      <c r="AW375" s="115"/>
      <c r="AX375" s="115"/>
      <c r="AY375" s="115"/>
      <c r="AZ375" s="115"/>
      <c r="BA375" s="115"/>
      <c r="BB375" s="25"/>
      <c r="BC375" s="13"/>
      <c r="BF375" s="114"/>
    </row>
    <row r="376" spans="1:58" ht="19.5" x14ac:dyDescent="0.4">
      <c r="A376" s="117"/>
      <c r="B376" s="123"/>
      <c r="C376" s="123"/>
      <c r="D376" s="123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7"/>
      <c r="T376" s="13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25"/>
      <c r="AE376" s="13"/>
      <c r="AJ376" s="116"/>
      <c r="AK376" s="123"/>
      <c r="AL376" s="123"/>
      <c r="AM376" s="123"/>
      <c r="AR376" s="115"/>
      <c r="AS376" s="115"/>
      <c r="AT376" s="115"/>
      <c r="AU376" s="115"/>
      <c r="AV376" s="115"/>
      <c r="AW376" s="115"/>
      <c r="AX376" s="115"/>
      <c r="AY376" s="115"/>
      <c r="AZ376" s="115"/>
      <c r="BA376" s="115"/>
      <c r="BB376" s="25"/>
      <c r="BC376" s="13"/>
      <c r="BF376" s="114"/>
    </row>
    <row r="377" spans="1:58" ht="19.5" x14ac:dyDescent="0.4">
      <c r="A377" s="117"/>
      <c r="B377" s="123"/>
      <c r="C377" s="123"/>
      <c r="D377" s="123"/>
      <c r="S377" s="26"/>
      <c r="T377" s="13"/>
      <c r="AD377" s="25">
        <v>45680</v>
      </c>
      <c r="AE377" s="13" t="s">
        <v>146</v>
      </c>
      <c r="AJ377" s="117"/>
      <c r="AK377" s="123"/>
      <c r="AL377" s="123"/>
      <c r="AM377" s="123"/>
      <c r="AR377" s="115"/>
      <c r="AS377" s="115"/>
      <c r="AT377" s="115"/>
      <c r="AU377" s="115"/>
      <c r="AV377" s="115"/>
      <c r="AW377" s="115"/>
      <c r="AX377" s="115"/>
      <c r="AY377" s="115"/>
      <c r="AZ377" s="115"/>
      <c r="BA377" s="115" t="s">
        <v>149</v>
      </c>
      <c r="BB377" s="13">
        <f>SUBTOTAL(3,BB2:BB2)</f>
        <v>1</v>
      </c>
      <c r="BC377" s="13">
        <f>SUBTOTAL(3,BC2:BC2)</f>
        <v>1</v>
      </c>
      <c r="BF377" s="114"/>
    </row>
    <row r="378" spans="1:58" ht="19.5" x14ac:dyDescent="0.4">
      <c r="A378" s="117"/>
      <c r="B378" s="123"/>
      <c r="C378" s="123"/>
      <c r="D378" s="123"/>
      <c r="J378" s="115"/>
      <c r="K378" s="115"/>
      <c r="L378" s="115"/>
      <c r="M378" s="115"/>
      <c r="N378" s="115"/>
      <c r="O378" s="115"/>
      <c r="P378" s="115"/>
      <c r="Q378" s="115"/>
      <c r="R378" s="115"/>
      <c r="S378" s="17"/>
      <c r="T378" s="13"/>
      <c r="AD378" s="25"/>
      <c r="AE378" s="13"/>
      <c r="AJ378" s="117"/>
      <c r="AK378" s="123"/>
      <c r="AL378" s="123"/>
      <c r="AM378" s="123"/>
      <c r="AR378" s="115"/>
      <c r="AS378" s="115"/>
      <c r="AT378" s="115"/>
      <c r="AU378" s="115"/>
      <c r="AV378" s="115"/>
      <c r="AW378" s="115"/>
      <c r="AX378" s="115"/>
      <c r="AY378" s="115"/>
      <c r="AZ378" s="115"/>
      <c r="BA378" s="115"/>
      <c r="BB378" s="13"/>
      <c r="BC378" s="13"/>
      <c r="BF378" s="114"/>
    </row>
    <row r="379" spans="1:58" ht="19.5" x14ac:dyDescent="0.4">
      <c r="A379" s="117"/>
      <c r="B379" s="123"/>
      <c r="C379" s="123"/>
      <c r="D379" s="123"/>
      <c r="S379" s="26"/>
      <c r="T379" s="13"/>
      <c r="AD379" s="25"/>
      <c r="AE379" s="13"/>
      <c r="AJ379" s="117"/>
      <c r="AK379" s="123"/>
      <c r="AL379" s="123"/>
      <c r="AM379" s="123"/>
      <c r="AR379" s="115"/>
      <c r="AS379" s="115"/>
      <c r="AT379" s="115"/>
      <c r="AU379" s="115"/>
      <c r="AV379" s="115"/>
      <c r="AW379" s="115"/>
      <c r="AX379" s="115"/>
      <c r="AY379" s="115"/>
      <c r="AZ379" s="115"/>
      <c r="BA379" s="115"/>
      <c r="BB379" s="13"/>
      <c r="BC379" s="13"/>
      <c r="BF379" s="114"/>
    </row>
    <row r="380" spans="1:58" ht="19.5" x14ac:dyDescent="0.4">
      <c r="A380" s="117"/>
      <c r="B380" s="123"/>
      <c r="C380" s="123"/>
      <c r="D380" s="123"/>
      <c r="S380" s="26"/>
      <c r="T380" s="13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25">
        <v>45682</v>
      </c>
      <c r="AE380" s="13" t="s">
        <v>147</v>
      </c>
      <c r="AJ380" s="117"/>
      <c r="AK380" s="123"/>
      <c r="AL380" s="123"/>
      <c r="AM380" s="123"/>
      <c r="AR380" s="115"/>
      <c r="AS380" s="115"/>
      <c r="AT380" s="115"/>
      <c r="AU380" s="115"/>
      <c r="AV380" s="115"/>
      <c r="AW380" s="115"/>
      <c r="AX380" s="115"/>
      <c r="AY380" s="115"/>
      <c r="AZ380" s="115"/>
      <c r="BA380" s="115"/>
      <c r="BB380" s="13"/>
      <c r="BC380" s="13"/>
      <c r="BF380" s="114"/>
    </row>
    <row r="381" spans="1:58" ht="19.5" x14ac:dyDescent="0.4">
      <c r="A381" s="117"/>
      <c r="B381" s="123"/>
      <c r="C381" s="123"/>
      <c r="D381" s="123"/>
      <c r="S381" s="26"/>
      <c r="T381" s="13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25">
        <v>45682</v>
      </c>
      <c r="AE381" s="13" t="s">
        <v>146</v>
      </c>
      <c r="AJ381" s="117"/>
      <c r="AK381" s="123"/>
      <c r="AL381" s="123"/>
      <c r="AM381" s="123"/>
      <c r="AR381" s="115"/>
      <c r="AS381" s="115"/>
      <c r="AT381" s="115"/>
      <c r="AU381" s="115"/>
      <c r="AV381" s="115"/>
      <c r="AW381" s="115"/>
      <c r="AX381" s="115"/>
      <c r="AY381" s="115"/>
      <c r="AZ381" s="115"/>
      <c r="BA381" s="115"/>
      <c r="BB381" s="13"/>
      <c r="BC381" s="13"/>
      <c r="BF381" s="114"/>
    </row>
    <row r="382" spans="1:58" ht="19.5" x14ac:dyDescent="0.4">
      <c r="A382" s="117"/>
      <c r="B382" s="123"/>
      <c r="C382" s="123"/>
      <c r="D382" s="123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26"/>
      <c r="T382" s="13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5"/>
      <c r="AE382" s="13"/>
      <c r="AJ382" s="117"/>
      <c r="AK382" s="123"/>
      <c r="AL382" s="123"/>
      <c r="AM382" s="123"/>
      <c r="AR382" s="115"/>
      <c r="AS382" s="115"/>
      <c r="AT382" s="115"/>
      <c r="AU382" s="115"/>
      <c r="AV382" s="115"/>
      <c r="AW382" s="115"/>
      <c r="AX382" s="115"/>
      <c r="AY382" s="115"/>
      <c r="AZ382" s="115"/>
      <c r="BA382" s="115"/>
      <c r="BB382" s="13"/>
      <c r="BC382" s="13"/>
      <c r="BF382" s="114"/>
    </row>
    <row r="383" spans="1:58" ht="19.5" x14ac:dyDescent="0.4">
      <c r="A383" s="117"/>
      <c r="B383" s="123"/>
      <c r="C383" s="123"/>
      <c r="D383" s="123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26"/>
      <c r="T383" s="13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25"/>
      <c r="AE383" s="13"/>
      <c r="AJ383" s="117"/>
      <c r="AK383" s="123"/>
      <c r="AL383" s="123"/>
      <c r="AM383" s="123"/>
      <c r="AR383" s="115"/>
      <c r="AS383" s="115"/>
      <c r="AT383" s="115"/>
      <c r="AU383" s="115"/>
      <c r="AV383" s="115"/>
      <c r="AW383" s="115"/>
      <c r="AX383" s="115"/>
      <c r="AY383" s="115"/>
      <c r="AZ383" s="115"/>
      <c r="BA383" s="115"/>
      <c r="BB383" s="13"/>
      <c r="BC383" s="13"/>
      <c r="BF383" s="114"/>
    </row>
    <row r="384" spans="1:58" ht="19.5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7"/>
      <c r="T384" s="13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25"/>
      <c r="AE384" s="13"/>
      <c r="AJ384" s="117"/>
      <c r="AK384" s="123"/>
      <c r="AL384" s="123"/>
      <c r="AM384" s="123"/>
      <c r="AR384" s="115"/>
      <c r="AS384" s="115"/>
      <c r="AT384" s="115"/>
      <c r="AU384" s="115"/>
      <c r="AV384" s="115"/>
      <c r="AW384" s="115"/>
      <c r="AX384" s="115"/>
      <c r="AY384" s="115"/>
      <c r="AZ384" s="115"/>
      <c r="BA384" s="115"/>
      <c r="BB384" s="13"/>
      <c r="BC384" s="13"/>
      <c r="BF384" s="114"/>
    </row>
    <row r="385" spans="1:58" ht="19.5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26"/>
      <c r="T385" s="13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25"/>
      <c r="AE385" s="13"/>
      <c r="AJ385" s="117"/>
      <c r="AK385" s="123"/>
      <c r="AL385" s="123"/>
      <c r="AM385" s="123"/>
      <c r="AR385" s="115"/>
      <c r="AS385" s="115"/>
      <c r="AT385" s="115"/>
      <c r="AU385" s="115"/>
      <c r="AV385" s="115"/>
      <c r="AW385" s="115"/>
      <c r="AX385" s="115"/>
      <c r="AY385" s="115"/>
      <c r="AZ385" s="115"/>
      <c r="BA385" s="115"/>
      <c r="BB385" s="13"/>
      <c r="BC385" s="13"/>
      <c r="BF385" s="114"/>
    </row>
    <row r="386" spans="1:58" ht="19.5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7"/>
      <c r="T386" s="13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25"/>
      <c r="AE386" s="13"/>
      <c r="AJ386" s="117"/>
      <c r="AK386" s="123"/>
      <c r="AL386" s="123"/>
      <c r="AM386" s="123"/>
      <c r="AR386" s="115"/>
      <c r="AS386" s="115"/>
      <c r="AT386" s="115"/>
      <c r="AU386" s="115"/>
      <c r="AV386" s="115"/>
      <c r="AW386" s="115"/>
      <c r="AX386" s="115"/>
      <c r="AY386" s="115"/>
      <c r="AZ386" s="115"/>
      <c r="BA386" s="115"/>
      <c r="BB386" s="13"/>
      <c r="BC386" s="13"/>
      <c r="BF386" s="114"/>
    </row>
    <row r="387" spans="1:58" ht="19.5" x14ac:dyDescent="0.4">
      <c r="A387" s="117"/>
      <c r="B387" s="123"/>
      <c r="C387" s="123"/>
      <c r="D387" s="123"/>
      <c r="S387" s="26"/>
      <c r="T387" s="13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5">
        <v>45682</v>
      </c>
      <c r="AE387" s="13" t="s">
        <v>147</v>
      </c>
      <c r="AJ387" s="117"/>
      <c r="AK387" s="123"/>
      <c r="AL387" s="123"/>
      <c r="AM387" s="123"/>
      <c r="AR387" s="115"/>
      <c r="AS387" s="115"/>
      <c r="AT387" s="115"/>
      <c r="AU387" s="115"/>
      <c r="AV387" s="115"/>
      <c r="AW387" s="115"/>
      <c r="AX387" s="115"/>
      <c r="AY387" s="115"/>
      <c r="AZ387" s="115"/>
      <c r="BA387" s="115"/>
      <c r="BB387" s="13"/>
      <c r="BC387" s="13"/>
      <c r="BF387" s="114"/>
    </row>
    <row r="388" spans="1:58" ht="19.5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7"/>
      <c r="T388" s="13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5"/>
      <c r="AE388" s="13"/>
      <c r="AJ388" s="117"/>
      <c r="AK388" s="123"/>
      <c r="AL388" s="123"/>
      <c r="AM388" s="123"/>
      <c r="AR388" s="115"/>
      <c r="AS388" s="115"/>
      <c r="AT388" s="115"/>
      <c r="AU388" s="115"/>
      <c r="AV388" s="115"/>
      <c r="AW388" s="115"/>
      <c r="AX388" s="115"/>
      <c r="AY388" s="115"/>
      <c r="AZ388" s="115"/>
      <c r="BA388" s="115"/>
      <c r="BB388" s="13"/>
      <c r="BC388" s="13"/>
      <c r="BF388" s="114"/>
    </row>
    <row r="389" spans="1:58" ht="19.5" x14ac:dyDescent="0.4">
      <c r="A389" s="117"/>
      <c r="B389" s="123"/>
      <c r="C389" s="123"/>
      <c r="D389" s="123"/>
      <c r="J389" s="115"/>
      <c r="K389" s="115"/>
      <c r="L389" s="115"/>
      <c r="M389" s="115"/>
      <c r="N389" s="115"/>
      <c r="O389" s="115"/>
      <c r="P389" s="115"/>
      <c r="Q389" s="115"/>
      <c r="R389" s="115"/>
      <c r="S389" s="17"/>
      <c r="T389" s="13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5"/>
      <c r="AE389" s="13"/>
      <c r="AJ389" s="117"/>
      <c r="AK389" s="123"/>
      <c r="AL389" s="123"/>
      <c r="AM389" s="123"/>
      <c r="AR389" s="115"/>
      <c r="AS389" s="115"/>
      <c r="AT389" s="115"/>
      <c r="AU389" s="115"/>
      <c r="AV389" s="115"/>
      <c r="AW389" s="115"/>
      <c r="AX389" s="115"/>
      <c r="AY389" s="115"/>
      <c r="AZ389" s="115"/>
      <c r="BA389" s="115"/>
      <c r="BB389" s="13"/>
      <c r="BC389" s="13"/>
      <c r="BF389" s="114"/>
    </row>
    <row r="390" spans="1:58" ht="19.5" x14ac:dyDescent="0.4">
      <c r="A390" s="117"/>
      <c r="B390" s="123"/>
      <c r="C390" s="123"/>
      <c r="D390" s="123"/>
      <c r="S390" s="129"/>
      <c r="T390" s="13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25"/>
      <c r="AE390" s="13"/>
      <c r="AJ390" s="117"/>
      <c r="AK390" s="123"/>
      <c r="AL390" s="123"/>
      <c r="AM390" s="123"/>
      <c r="AR390" s="115"/>
      <c r="AS390" s="115"/>
      <c r="AT390" s="115"/>
      <c r="AU390" s="115"/>
      <c r="AV390" s="115"/>
      <c r="AW390" s="115"/>
      <c r="AX390" s="115"/>
      <c r="AY390" s="115"/>
      <c r="AZ390" s="115"/>
      <c r="BA390" s="115"/>
      <c r="BB390" s="13"/>
      <c r="BC390" s="13"/>
      <c r="BF390" s="114"/>
    </row>
    <row r="391" spans="1:58" ht="19.5" x14ac:dyDescent="0.4">
      <c r="A391" s="117"/>
      <c r="B391" s="123"/>
      <c r="C391" s="123"/>
      <c r="D391" s="123"/>
      <c r="S391" s="26"/>
      <c r="T391" s="13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25"/>
      <c r="AE391" s="13"/>
      <c r="AJ391" s="117"/>
      <c r="AK391" s="123"/>
      <c r="AL391" s="123"/>
      <c r="AM391" s="123"/>
      <c r="AR391" s="115"/>
      <c r="AS391" s="115"/>
      <c r="AT391" s="115"/>
      <c r="AU391" s="115"/>
      <c r="AV391" s="115"/>
      <c r="AW391" s="115"/>
      <c r="AX391" s="115"/>
      <c r="AY391" s="115"/>
      <c r="AZ391" s="115"/>
      <c r="BA391" s="115"/>
      <c r="BB391" s="13"/>
      <c r="BC391" s="13"/>
      <c r="BF391" s="114"/>
    </row>
    <row r="392" spans="1:58" ht="19.5" x14ac:dyDescent="0.4">
      <c r="A392" s="117"/>
      <c r="B392" s="123"/>
      <c r="C392" s="123"/>
      <c r="D392" s="123"/>
      <c r="S392" s="26"/>
      <c r="T392" s="13"/>
      <c r="AD392" s="25">
        <v>45682</v>
      </c>
      <c r="AE392" s="15" t="s">
        <v>146</v>
      </c>
      <c r="AJ392" s="117"/>
      <c r="AK392" s="123"/>
      <c r="AL392" s="123"/>
      <c r="AM392" s="123"/>
      <c r="AR392" s="115"/>
      <c r="AS392" s="115"/>
      <c r="AT392" s="115"/>
      <c r="AU392" s="115"/>
      <c r="AV392" s="115"/>
      <c r="AW392" s="115"/>
      <c r="AX392" s="115"/>
      <c r="AY392" s="115"/>
      <c r="AZ392" s="115"/>
      <c r="BA392" s="115"/>
      <c r="BB392" s="13"/>
      <c r="BC392" s="13"/>
      <c r="BF392" s="114"/>
    </row>
    <row r="393" spans="1:58" ht="19.5" x14ac:dyDescent="0.4">
      <c r="A393" s="117"/>
      <c r="B393" s="123"/>
      <c r="C393" s="123"/>
      <c r="D393" s="123"/>
      <c r="S393" s="129"/>
      <c r="T393" s="13"/>
      <c r="AD393" s="25"/>
      <c r="AE393" s="15"/>
      <c r="AJ393" s="117"/>
      <c r="AK393" s="123"/>
      <c r="AL393" s="123"/>
      <c r="AM393" s="123"/>
      <c r="AR393" s="115"/>
      <c r="AS393" s="115"/>
      <c r="AT393" s="115"/>
      <c r="AU393" s="115"/>
      <c r="AV393" s="115"/>
      <c r="AW393" s="115"/>
      <c r="AX393" s="115"/>
      <c r="AY393" s="115"/>
      <c r="AZ393" s="115"/>
      <c r="BA393" s="115"/>
      <c r="BB393" s="13"/>
      <c r="BC393" s="13"/>
      <c r="BF393" s="114"/>
    </row>
    <row r="394" spans="1:58" ht="19.5" x14ac:dyDescent="0.4">
      <c r="A394" s="117"/>
      <c r="B394" s="123"/>
      <c r="C394" s="123"/>
      <c r="D394" s="123"/>
      <c r="S394" s="26"/>
      <c r="T394" s="13"/>
      <c r="AD394" s="25"/>
      <c r="AE394" s="15"/>
      <c r="AJ394" s="117"/>
      <c r="AK394" s="123"/>
      <c r="AL394" s="123"/>
      <c r="AM394" s="123"/>
      <c r="AR394" s="115"/>
      <c r="AS394" s="115"/>
      <c r="AT394" s="115"/>
      <c r="AU394" s="115"/>
      <c r="AV394" s="115"/>
      <c r="AW394" s="115"/>
      <c r="AX394" s="115"/>
      <c r="AY394" s="115"/>
      <c r="AZ394" s="115"/>
      <c r="BA394" s="115"/>
      <c r="BB394" s="13"/>
      <c r="BC394" s="13"/>
      <c r="BF394" s="114"/>
    </row>
    <row r="395" spans="1:58" ht="19.5" x14ac:dyDescent="0.4">
      <c r="A395" s="117"/>
      <c r="B395" s="123"/>
      <c r="C395" s="123"/>
      <c r="D395" s="123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26"/>
      <c r="T395" s="13"/>
      <c r="AD395" s="25"/>
      <c r="AE395" s="15"/>
      <c r="AJ395" s="117"/>
      <c r="AK395" s="123"/>
      <c r="AL395" s="123"/>
      <c r="AM395" s="123"/>
      <c r="AR395" s="115"/>
      <c r="AS395" s="115"/>
      <c r="AT395" s="115"/>
      <c r="AU395" s="115"/>
      <c r="AV395" s="115"/>
      <c r="AW395" s="115"/>
      <c r="AX395" s="115"/>
      <c r="AY395" s="115"/>
      <c r="AZ395" s="115"/>
      <c r="BA395" s="115"/>
      <c r="BB395" s="13"/>
      <c r="BC395" s="13"/>
      <c r="BF395" s="114"/>
    </row>
    <row r="396" spans="1:58" ht="19.5" x14ac:dyDescent="0.4">
      <c r="A396" s="117"/>
      <c r="B396" s="123"/>
      <c r="C396" s="123"/>
      <c r="D396" s="123"/>
      <c r="S396" s="26"/>
      <c r="T396" s="13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5">
        <v>45682</v>
      </c>
      <c r="AE396" s="15" t="s">
        <v>146</v>
      </c>
      <c r="AJ396" s="117"/>
      <c r="AK396" s="123"/>
      <c r="AL396" s="123"/>
      <c r="AM396" s="123"/>
      <c r="AR396" s="115"/>
      <c r="AS396" s="115"/>
      <c r="AT396" s="115"/>
      <c r="AU396" s="115"/>
      <c r="AV396" s="115"/>
      <c r="AW396" s="115"/>
      <c r="AX396" s="115"/>
      <c r="AY396" s="115"/>
      <c r="AZ396" s="115"/>
      <c r="BA396" s="115"/>
      <c r="BB396" s="13"/>
      <c r="BC396" s="13"/>
      <c r="BF396" s="114"/>
    </row>
    <row r="397" spans="1:58" ht="19.5" x14ac:dyDescent="0.4">
      <c r="A397" s="117"/>
      <c r="B397" s="123"/>
      <c r="C397" s="123"/>
      <c r="D397" s="123"/>
      <c r="S397" s="129"/>
      <c r="T397" s="13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5"/>
      <c r="AE397" s="15"/>
      <c r="AJ397" s="117"/>
      <c r="AK397" s="123"/>
      <c r="AL397" s="123"/>
      <c r="AM397" s="123"/>
      <c r="AR397" s="115"/>
      <c r="AS397" s="115"/>
      <c r="AT397" s="115"/>
      <c r="AU397" s="115"/>
      <c r="AV397" s="115"/>
      <c r="AW397" s="115"/>
      <c r="AX397" s="115"/>
      <c r="AY397" s="115"/>
      <c r="AZ397" s="115"/>
      <c r="BA397" s="115"/>
      <c r="BB397" s="13"/>
      <c r="BC397" s="13"/>
      <c r="BF397" s="114"/>
    </row>
    <row r="398" spans="1:58" ht="19.5" x14ac:dyDescent="0.4">
      <c r="A398" s="117"/>
      <c r="B398" s="123"/>
      <c r="C398" s="123"/>
      <c r="D398" s="123"/>
      <c r="S398" s="26"/>
      <c r="T398" s="13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5">
        <v>45682</v>
      </c>
      <c r="AE398" s="15" t="s">
        <v>148</v>
      </c>
      <c r="AJ398" s="117"/>
      <c r="AK398" s="123"/>
      <c r="AL398" s="123"/>
      <c r="AM398" s="123"/>
      <c r="AR398" s="115"/>
      <c r="AS398" s="115"/>
      <c r="AT398" s="115"/>
      <c r="AU398" s="115"/>
      <c r="AV398" s="115"/>
      <c r="AW398" s="115"/>
      <c r="AX398" s="115"/>
      <c r="AY398" s="115"/>
      <c r="AZ398" s="115"/>
      <c r="BA398" s="115"/>
      <c r="BB398" s="13"/>
      <c r="BC398" s="13"/>
      <c r="BF398" s="114"/>
    </row>
    <row r="399" spans="1:58" ht="19.5" x14ac:dyDescent="0.4">
      <c r="A399" s="117"/>
      <c r="B399" s="123"/>
      <c r="C399" s="123"/>
      <c r="D399" s="123"/>
      <c r="S399" s="26"/>
      <c r="T399" s="13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25">
        <v>45682</v>
      </c>
      <c r="AE399" s="15" t="s">
        <v>146</v>
      </c>
      <c r="AJ399" s="117"/>
      <c r="AK399" s="123"/>
      <c r="AL399" s="123"/>
      <c r="AM399" s="123"/>
      <c r="AR399" s="115"/>
      <c r="AS399" s="115"/>
      <c r="AT399" s="115"/>
      <c r="AU399" s="115"/>
      <c r="AV399" s="115"/>
      <c r="AW399" s="115"/>
      <c r="AX399" s="115"/>
      <c r="AY399" s="115"/>
      <c r="AZ399" s="115"/>
      <c r="BA399" s="115"/>
      <c r="BB399" s="13"/>
      <c r="BC399" s="13"/>
      <c r="BF399" s="114"/>
    </row>
    <row r="400" spans="1:58" ht="19.5" x14ac:dyDescent="0.4">
      <c r="A400" s="117"/>
      <c r="B400" s="123"/>
      <c r="C400" s="123"/>
      <c r="D400" s="123"/>
      <c r="S400" s="26"/>
      <c r="T400" s="13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5">
        <v>45682</v>
      </c>
      <c r="AE400" s="15" t="s">
        <v>148</v>
      </c>
      <c r="AJ400" s="117"/>
      <c r="AK400" s="123"/>
      <c r="AL400" s="123"/>
      <c r="AM400" s="123"/>
      <c r="AR400" s="115"/>
      <c r="AS400" s="115"/>
      <c r="AT400" s="115"/>
      <c r="AU400" s="115"/>
      <c r="AV400" s="115"/>
      <c r="AW400" s="115"/>
      <c r="AX400" s="115"/>
      <c r="AY400" s="115"/>
      <c r="AZ400" s="115"/>
      <c r="BA400" s="115"/>
      <c r="BB400" s="13"/>
      <c r="BC400" s="13"/>
      <c r="BF400" s="114"/>
    </row>
    <row r="401" spans="1:58" ht="19.5" x14ac:dyDescent="0.4">
      <c r="A401" s="117"/>
      <c r="B401" s="123"/>
      <c r="C401" s="123"/>
      <c r="D401" s="123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26"/>
      <c r="T401" s="13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25"/>
      <c r="AE401" s="15"/>
      <c r="AJ401" s="117"/>
      <c r="AK401" s="123"/>
      <c r="AL401" s="123"/>
      <c r="AM401" s="123"/>
      <c r="AR401" s="115"/>
      <c r="AS401" s="115"/>
      <c r="AT401" s="115"/>
      <c r="AU401" s="115"/>
      <c r="AV401" s="115"/>
      <c r="AW401" s="115"/>
      <c r="AX401" s="115"/>
      <c r="AY401" s="115"/>
      <c r="AZ401" s="115"/>
      <c r="BA401" s="115"/>
      <c r="BB401" s="13"/>
      <c r="BC401" s="13"/>
      <c r="BF401" s="114"/>
    </row>
    <row r="402" spans="1:58" ht="19.5" x14ac:dyDescent="0.4">
      <c r="A402" s="117"/>
      <c r="B402" s="123"/>
      <c r="C402" s="123"/>
      <c r="D402" s="123"/>
      <c r="S402" s="26"/>
      <c r="T402" s="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25">
        <v>45682</v>
      </c>
      <c r="AE402" s="15" t="s">
        <v>148</v>
      </c>
      <c r="AJ402" s="117"/>
      <c r="AK402" s="123"/>
      <c r="AL402" s="123"/>
      <c r="AM402" s="123"/>
      <c r="AR402" s="115"/>
      <c r="AS402" s="115"/>
      <c r="AT402" s="115"/>
      <c r="AU402" s="115"/>
      <c r="AV402" s="115"/>
      <c r="AW402" s="115"/>
      <c r="AX402" s="115"/>
      <c r="AY402" s="115"/>
      <c r="AZ402" s="115"/>
      <c r="BA402" s="115"/>
      <c r="BB402" s="13"/>
      <c r="BC402" s="13"/>
      <c r="BF402" s="114"/>
    </row>
    <row r="403" spans="1:58" ht="19.5" x14ac:dyDescent="0.4">
      <c r="A403" s="117"/>
      <c r="B403" s="123"/>
      <c r="C403" s="123"/>
      <c r="D403" s="123"/>
      <c r="S403" s="26"/>
      <c r="T403" s="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25">
        <v>45682</v>
      </c>
      <c r="AE403" s="105" t="s">
        <v>148</v>
      </c>
      <c r="AJ403" s="117"/>
      <c r="AK403" s="123"/>
      <c r="AL403" s="123"/>
      <c r="AM403" s="123"/>
      <c r="AR403" s="115"/>
      <c r="AS403" s="115"/>
      <c r="AT403" s="115"/>
      <c r="AU403" s="115"/>
      <c r="AV403" s="115"/>
      <c r="AW403" s="115"/>
      <c r="AX403" s="115"/>
      <c r="AY403" s="115"/>
      <c r="AZ403" s="115"/>
      <c r="BA403" s="115"/>
      <c r="BB403" s="13"/>
      <c r="BC403" s="13"/>
      <c r="BF403" s="114"/>
    </row>
    <row r="404" spans="1:58" ht="19.5" x14ac:dyDescent="0.4">
      <c r="A404" s="117"/>
      <c r="B404" s="123"/>
      <c r="C404" s="123"/>
      <c r="D404" s="123"/>
      <c r="S404" s="26"/>
      <c r="T404" s="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25">
        <v>45682</v>
      </c>
      <c r="AE404" s="105" t="s">
        <v>146</v>
      </c>
      <c r="AJ404" s="117"/>
      <c r="AK404" s="123"/>
      <c r="AL404" s="123"/>
      <c r="AM404" s="123"/>
      <c r="AR404" s="115"/>
      <c r="AS404" s="115"/>
      <c r="AT404" s="115"/>
      <c r="AU404" s="115"/>
      <c r="AV404" s="115"/>
      <c r="AW404" s="115"/>
      <c r="AX404" s="115"/>
      <c r="AY404" s="115"/>
      <c r="AZ404" s="115"/>
      <c r="BA404" s="115"/>
      <c r="BB404" s="13"/>
      <c r="BC404" s="13"/>
      <c r="BF404" s="114"/>
    </row>
    <row r="405" spans="1:58" ht="19.5" x14ac:dyDescent="0.4">
      <c r="A405" s="117"/>
      <c r="B405" s="123"/>
      <c r="C405" s="123"/>
      <c r="D405" s="123"/>
      <c r="S405" s="129"/>
      <c r="T405" s="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25"/>
      <c r="AE405" s="105"/>
      <c r="AJ405" s="117"/>
      <c r="AK405" s="123"/>
      <c r="AL405" s="123"/>
      <c r="AM405" s="123"/>
      <c r="AR405" s="115"/>
      <c r="AS405" s="115"/>
      <c r="AT405" s="115"/>
      <c r="AU405" s="115"/>
      <c r="AV405" s="115"/>
      <c r="AW405" s="115"/>
      <c r="AX405" s="115"/>
      <c r="AY405" s="115"/>
      <c r="AZ405" s="115"/>
      <c r="BA405" s="115"/>
      <c r="BB405" s="13"/>
      <c r="BC405" s="13"/>
      <c r="BF405" s="114"/>
    </row>
    <row r="406" spans="1:58" ht="19.5" x14ac:dyDescent="0.4">
      <c r="A406" s="117"/>
      <c r="B406" s="123"/>
      <c r="C406" s="123"/>
      <c r="D406" s="123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26"/>
      <c r="T406" s="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25">
        <v>45682</v>
      </c>
      <c r="AE406" s="15" t="s">
        <v>146</v>
      </c>
      <c r="AJ406" s="117"/>
      <c r="AK406" s="123"/>
      <c r="AL406" s="123"/>
      <c r="AM406" s="123"/>
      <c r="AR406" s="115"/>
      <c r="AS406" s="115"/>
      <c r="AT406" s="115"/>
      <c r="AU406" s="115"/>
      <c r="AV406" s="115"/>
      <c r="AW406" s="115"/>
      <c r="AX406" s="115"/>
      <c r="AY406" s="115"/>
      <c r="AZ406" s="115"/>
      <c r="BA406" s="115"/>
      <c r="BB406" s="13"/>
      <c r="BC406" s="13"/>
      <c r="BF406" s="114"/>
    </row>
    <row r="407" spans="1:58" ht="19.5" x14ac:dyDescent="0.4">
      <c r="A407" s="117"/>
      <c r="B407" s="123"/>
      <c r="C407" s="123"/>
      <c r="D407" s="123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26"/>
      <c r="T407" s="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25">
        <v>45683</v>
      </c>
      <c r="AE407" s="13" t="s">
        <v>147</v>
      </c>
      <c r="AJ407" s="117"/>
      <c r="AK407" s="123"/>
      <c r="AL407" s="123"/>
      <c r="AM407" s="123"/>
      <c r="AR407" s="115"/>
      <c r="AS407" s="115"/>
      <c r="AT407" s="115"/>
      <c r="AU407" s="115"/>
      <c r="AV407" s="115"/>
      <c r="AW407" s="115"/>
      <c r="AX407" s="115"/>
      <c r="AY407" s="115"/>
      <c r="AZ407" s="115"/>
      <c r="BA407" s="115"/>
      <c r="BB407" s="13"/>
      <c r="BC407" s="13"/>
      <c r="BF407" s="114"/>
    </row>
    <row r="408" spans="1:58" ht="19.5" x14ac:dyDescent="0.4">
      <c r="A408" s="117"/>
      <c r="B408" s="123"/>
      <c r="C408" s="123"/>
      <c r="D408" s="123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26"/>
      <c r="T408" s="13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25">
        <v>45683</v>
      </c>
      <c r="AE408" s="13" t="s">
        <v>147</v>
      </c>
      <c r="AJ408" s="117"/>
      <c r="AK408" s="123"/>
      <c r="AL408" s="123"/>
      <c r="AM408" s="123"/>
      <c r="AR408" s="115"/>
      <c r="AS408" s="115"/>
      <c r="AT408" s="115"/>
      <c r="AU408" s="115"/>
      <c r="AV408" s="115"/>
      <c r="AW408" s="115"/>
      <c r="AX408" s="115"/>
      <c r="AY408" s="115"/>
      <c r="AZ408" s="115"/>
      <c r="BA408" s="115"/>
      <c r="BB408" s="13"/>
      <c r="BC408" s="13"/>
      <c r="BF408" s="114"/>
    </row>
    <row r="409" spans="1:58" ht="19.5" x14ac:dyDescent="0.4">
      <c r="A409" s="117"/>
      <c r="B409" s="123"/>
      <c r="C409" s="123"/>
      <c r="D409" s="123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26"/>
      <c r="T409" s="13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25"/>
      <c r="AE409" s="13"/>
      <c r="AJ409" s="117"/>
      <c r="AK409" s="123"/>
      <c r="AL409" s="123"/>
      <c r="AM409" s="123"/>
      <c r="AR409" s="115"/>
      <c r="AS409" s="115"/>
      <c r="AT409" s="115"/>
      <c r="AU409" s="115"/>
      <c r="AV409" s="115"/>
      <c r="AW409" s="115"/>
      <c r="AX409" s="115"/>
      <c r="AY409" s="115"/>
      <c r="AZ409" s="115"/>
      <c r="BA409" s="115"/>
      <c r="BB409" s="13"/>
      <c r="BC409" s="13"/>
      <c r="BF409" s="114"/>
    </row>
    <row r="410" spans="1:58" ht="19.5" x14ac:dyDescent="0.4">
      <c r="A410" s="117"/>
      <c r="B410" s="123"/>
      <c r="C410" s="123"/>
      <c r="D410" s="123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26"/>
      <c r="T410" s="13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5">
        <v>45684</v>
      </c>
      <c r="AE410" s="13" t="s">
        <v>146</v>
      </c>
      <c r="AJ410" s="117"/>
      <c r="AK410" s="123"/>
      <c r="AL410" s="123"/>
      <c r="AM410" s="123"/>
      <c r="AR410" s="115"/>
      <c r="AS410" s="115"/>
      <c r="AT410" s="115"/>
      <c r="AU410" s="115"/>
      <c r="AV410" s="115"/>
      <c r="AW410" s="115"/>
      <c r="AX410" s="115"/>
      <c r="AY410" s="115"/>
      <c r="AZ410" s="115"/>
      <c r="BA410" s="115"/>
      <c r="BB410" s="13"/>
      <c r="BC410" s="13"/>
      <c r="BF410" s="114"/>
    </row>
    <row r="411" spans="1:58" ht="19.5" x14ac:dyDescent="0.4">
      <c r="A411" s="117"/>
      <c r="B411" s="123"/>
      <c r="C411" s="123"/>
      <c r="D411" s="123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26"/>
      <c r="T411" s="13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25"/>
      <c r="AE411" s="13"/>
      <c r="AJ411" s="117"/>
      <c r="AK411" s="123"/>
      <c r="AL411" s="123"/>
      <c r="AM411" s="123"/>
      <c r="AR411" s="115"/>
      <c r="AS411" s="115"/>
      <c r="AT411" s="115"/>
      <c r="AU411" s="115"/>
      <c r="AV411" s="115"/>
      <c r="AW411" s="115"/>
      <c r="AX411" s="115"/>
      <c r="AY411" s="115"/>
      <c r="AZ411" s="115"/>
      <c r="BA411" s="115"/>
      <c r="BB411" s="13"/>
      <c r="BC411" s="13"/>
      <c r="BF411" s="114"/>
    </row>
    <row r="412" spans="1:58" ht="19.5" x14ac:dyDescent="0.4">
      <c r="A412" s="117"/>
      <c r="B412" s="123"/>
      <c r="C412" s="123"/>
      <c r="D412" s="123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29"/>
      <c r="T412" s="13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25"/>
      <c r="AE412" s="13"/>
      <c r="AJ412" s="117"/>
      <c r="AK412" s="123"/>
      <c r="AL412" s="123"/>
      <c r="AM412" s="123"/>
      <c r="AR412" s="115"/>
      <c r="AS412" s="115"/>
      <c r="AT412" s="115"/>
      <c r="AU412" s="115"/>
      <c r="AV412" s="115"/>
      <c r="AW412" s="115"/>
      <c r="AX412" s="115"/>
      <c r="AY412" s="115"/>
      <c r="AZ412" s="115"/>
      <c r="BA412" s="115"/>
      <c r="BB412" s="13"/>
      <c r="BC412" s="13"/>
      <c r="BF412" s="114"/>
    </row>
    <row r="413" spans="1:58" ht="19.5" x14ac:dyDescent="0.4">
      <c r="A413" s="117"/>
      <c r="B413" s="123"/>
      <c r="C413" s="123"/>
      <c r="D413" s="123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26"/>
      <c r="T413" s="13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25">
        <v>45684</v>
      </c>
      <c r="AE413" s="13" t="s">
        <v>148</v>
      </c>
      <c r="AJ413" s="117"/>
      <c r="AK413" s="123"/>
      <c r="AL413" s="123"/>
      <c r="AM413" s="123"/>
      <c r="AR413" s="115"/>
      <c r="AS413" s="115"/>
      <c r="AT413" s="115"/>
      <c r="AU413" s="115"/>
      <c r="AV413" s="115"/>
      <c r="AW413" s="115"/>
      <c r="AX413" s="115"/>
      <c r="AY413" s="115"/>
      <c r="AZ413" s="115"/>
      <c r="BA413" s="115"/>
      <c r="BB413" s="13"/>
      <c r="BC413" s="13"/>
      <c r="BF413" s="114"/>
    </row>
    <row r="414" spans="1:58" ht="19.5" x14ac:dyDescent="0.4">
      <c r="A414" s="117"/>
      <c r="B414" s="123"/>
      <c r="C414" s="123"/>
      <c r="D414" s="123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26"/>
      <c r="T414" s="13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25"/>
      <c r="AE414" s="13"/>
      <c r="AJ414" s="117"/>
      <c r="AK414" s="123"/>
      <c r="AL414" s="123"/>
      <c r="AM414" s="123"/>
      <c r="AR414" s="115"/>
      <c r="AS414" s="115"/>
      <c r="AT414" s="115"/>
      <c r="AU414" s="115"/>
      <c r="AV414" s="115"/>
      <c r="AW414" s="115"/>
      <c r="AX414" s="115"/>
      <c r="AY414" s="115"/>
      <c r="AZ414" s="115"/>
      <c r="BA414" s="115"/>
      <c r="BB414" s="13"/>
      <c r="BC414" s="13"/>
      <c r="BF414" s="114"/>
    </row>
    <row r="415" spans="1:58" ht="19.5" x14ac:dyDescent="0.4">
      <c r="A415" s="117"/>
      <c r="B415" s="123"/>
      <c r="C415" s="123"/>
      <c r="D415" s="123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26"/>
      <c r="T415" s="13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5"/>
      <c r="AE415" s="13"/>
      <c r="AJ415" s="117"/>
      <c r="AK415" s="123"/>
      <c r="AL415" s="123"/>
      <c r="AM415" s="123"/>
      <c r="AR415" s="115"/>
      <c r="AS415" s="115"/>
      <c r="AT415" s="115"/>
      <c r="AU415" s="115"/>
      <c r="AV415" s="115"/>
      <c r="AW415" s="115"/>
      <c r="AX415" s="115"/>
      <c r="AY415" s="115"/>
      <c r="AZ415" s="115"/>
      <c r="BA415" s="115"/>
      <c r="BB415" s="13"/>
      <c r="BC415" s="13"/>
      <c r="BF415" s="114"/>
    </row>
    <row r="416" spans="1:58" ht="19.5" x14ac:dyDescent="0.4">
      <c r="A416" s="117"/>
      <c r="B416" s="123"/>
      <c r="C416" s="123"/>
      <c r="D416" s="123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29"/>
      <c r="T416" s="13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5"/>
      <c r="AE416" s="13"/>
      <c r="AJ416" s="117"/>
      <c r="AK416" s="123"/>
      <c r="AL416" s="123"/>
      <c r="AM416" s="123"/>
      <c r="AR416" s="115"/>
      <c r="AS416" s="115"/>
      <c r="AT416" s="115"/>
      <c r="AU416" s="115"/>
      <c r="AV416" s="115"/>
      <c r="AW416" s="115"/>
      <c r="AX416" s="115"/>
      <c r="AY416" s="115"/>
      <c r="AZ416" s="115"/>
      <c r="BA416" s="115"/>
      <c r="BB416" s="13"/>
      <c r="BC416" s="13"/>
      <c r="BF416" s="114"/>
    </row>
    <row r="417" spans="1:58" ht="19.5" x14ac:dyDescent="0.4">
      <c r="A417" s="117"/>
      <c r="B417" s="123"/>
      <c r="C417" s="123"/>
      <c r="D417" s="123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26"/>
      <c r="T417" s="2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25"/>
      <c r="AE417" s="13"/>
      <c r="AJ417" s="117"/>
      <c r="AK417" s="123"/>
      <c r="AL417" s="123"/>
      <c r="AM417" s="123"/>
      <c r="AR417" s="115"/>
      <c r="AS417" s="115"/>
      <c r="AT417" s="115"/>
      <c r="AU417" s="115"/>
      <c r="AV417" s="115"/>
      <c r="AW417" s="115"/>
      <c r="AX417" s="115"/>
      <c r="AY417" s="115"/>
      <c r="AZ417" s="115"/>
      <c r="BA417" s="115"/>
      <c r="BB417" s="13"/>
      <c r="BC417" s="13"/>
      <c r="BF417" s="114"/>
    </row>
    <row r="418" spans="1:58" ht="19.5" x14ac:dyDescent="0.4">
      <c r="A418" s="117"/>
      <c r="B418" s="123"/>
      <c r="C418" s="123"/>
      <c r="D418" s="123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26"/>
      <c r="T418" s="13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5"/>
      <c r="AE418" s="13"/>
      <c r="AJ418" s="117"/>
      <c r="AK418" s="123"/>
      <c r="AL418" s="123"/>
      <c r="AM418" s="123"/>
      <c r="AR418" s="115"/>
      <c r="AS418" s="115"/>
      <c r="AT418" s="115"/>
      <c r="AU418" s="115"/>
      <c r="AV418" s="115"/>
      <c r="AW418" s="115"/>
      <c r="AX418" s="115"/>
      <c r="AY418" s="115"/>
      <c r="AZ418" s="115"/>
      <c r="BA418" s="115"/>
      <c r="BB418" s="13"/>
      <c r="BC418" s="13"/>
      <c r="BF418" s="114"/>
    </row>
    <row r="419" spans="1:58" ht="19.5" x14ac:dyDescent="0.4">
      <c r="A419" s="117"/>
      <c r="B419" s="123"/>
      <c r="C419" s="123"/>
      <c r="D419" s="123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26"/>
      <c r="T419" s="13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25"/>
      <c r="AE419" s="13"/>
      <c r="AJ419" s="117"/>
      <c r="AK419" s="123"/>
      <c r="AL419" s="123"/>
      <c r="AM419" s="123"/>
      <c r="AR419" s="115"/>
      <c r="AS419" s="115"/>
      <c r="AT419" s="115"/>
      <c r="AU419" s="115"/>
      <c r="AV419" s="115"/>
      <c r="AW419" s="115"/>
      <c r="AX419" s="115"/>
      <c r="AY419" s="115"/>
      <c r="AZ419" s="115"/>
      <c r="BA419" s="115"/>
      <c r="BB419" s="13"/>
      <c r="BC419" s="13"/>
      <c r="BF419" s="114"/>
    </row>
    <row r="420" spans="1:58" ht="19.5" x14ac:dyDescent="0.4">
      <c r="A420" s="117"/>
      <c r="B420" s="123"/>
      <c r="C420" s="123"/>
      <c r="D420" s="123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29"/>
      <c r="T420" s="13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5"/>
      <c r="AE420" s="13"/>
      <c r="AJ420" s="117"/>
      <c r="AK420" s="123"/>
      <c r="AL420" s="123"/>
      <c r="AM420" s="123"/>
      <c r="AR420" s="115"/>
      <c r="AS420" s="115"/>
      <c r="AT420" s="115"/>
      <c r="AU420" s="115"/>
      <c r="AV420" s="115"/>
      <c r="AW420" s="115"/>
      <c r="AX420" s="115"/>
      <c r="AY420" s="115"/>
      <c r="AZ420" s="115"/>
      <c r="BA420" s="115"/>
      <c r="BB420" s="13"/>
      <c r="BC420" s="13"/>
      <c r="BF420" s="114"/>
    </row>
    <row r="421" spans="1:58" ht="19.5" x14ac:dyDescent="0.4">
      <c r="A421" s="117"/>
      <c r="B421" s="123"/>
      <c r="C421" s="123"/>
      <c r="D421" s="123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26"/>
      <c r="T421" s="134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5"/>
      <c r="AE421" s="13"/>
      <c r="AJ421" s="117"/>
      <c r="AK421" s="123"/>
      <c r="AL421" s="123"/>
      <c r="AM421" s="123"/>
      <c r="AR421" s="115"/>
      <c r="AS421" s="115"/>
      <c r="AT421" s="115"/>
      <c r="AU421" s="115"/>
      <c r="AV421" s="115"/>
      <c r="AW421" s="115"/>
      <c r="AX421" s="115"/>
      <c r="AY421" s="115"/>
      <c r="AZ421" s="115"/>
      <c r="BA421" s="115"/>
      <c r="BB421" s="13"/>
      <c r="BC421" s="13"/>
      <c r="BF421" s="114"/>
    </row>
    <row r="422" spans="1:58" ht="19.5" x14ac:dyDescent="0.4">
      <c r="A422" s="117"/>
      <c r="B422" s="123"/>
      <c r="C422" s="123"/>
      <c r="D422" s="123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26"/>
      <c r="T422" s="13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25">
        <v>45684</v>
      </c>
      <c r="AE422" s="13" t="s">
        <v>147</v>
      </c>
      <c r="AJ422" s="117"/>
      <c r="AK422" s="123"/>
      <c r="AL422" s="123"/>
      <c r="AM422" s="123"/>
      <c r="AR422" s="115"/>
      <c r="AS422" s="115"/>
      <c r="AT422" s="115"/>
      <c r="AU422" s="115"/>
      <c r="AV422" s="115"/>
      <c r="AW422" s="115"/>
      <c r="AX422" s="115"/>
      <c r="AY422" s="115"/>
      <c r="AZ422" s="115"/>
      <c r="BA422" s="115"/>
      <c r="BB422" s="13"/>
      <c r="BC422" s="13"/>
      <c r="BF422" s="114"/>
    </row>
    <row r="423" spans="1:58" ht="19.5" x14ac:dyDescent="0.4">
      <c r="A423" s="117"/>
      <c r="B423" s="123"/>
      <c r="C423" s="123"/>
      <c r="D423" s="123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29"/>
      <c r="T423" s="13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25"/>
      <c r="AE423" s="13"/>
      <c r="AJ423" s="117"/>
      <c r="AK423" s="123"/>
      <c r="AL423" s="123"/>
      <c r="AM423" s="123"/>
      <c r="AR423" s="115"/>
      <c r="AS423" s="115"/>
      <c r="AT423" s="115"/>
      <c r="AU423" s="115"/>
      <c r="AV423" s="115"/>
      <c r="AW423" s="115"/>
      <c r="AX423" s="115"/>
      <c r="AY423" s="115"/>
      <c r="AZ423" s="115"/>
      <c r="BA423" s="115"/>
      <c r="BB423" s="13"/>
      <c r="BC423" s="13"/>
      <c r="BF423" s="114"/>
    </row>
    <row r="424" spans="1:58" ht="19.5" x14ac:dyDescent="0.4">
      <c r="A424" s="117"/>
      <c r="B424" s="123"/>
      <c r="C424" s="123"/>
      <c r="D424" s="123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26"/>
      <c r="T424" s="13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25"/>
      <c r="AE424" s="13"/>
      <c r="AJ424" s="117"/>
      <c r="AK424" s="123"/>
      <c r="AL424" s="123"/>
      <c r="AM424" s="123"/>
      <c r="AR424" s="115"/>
      <c r="AS424" s="115"/>
      <c r="AT424" s="115"/>
      <c r="AU424" s="115"/>
      <c r="AV424" s="115"/>
      <c r="AW424" s="115"/>
      <c r="AX424" s="115"/>
      <c r="AY424" s="115"/>
      <c r="AZ424" s="115"/>
      <c r="BA424" s="115"/>
      <c r="BB424" s="13"/>
      <c r="BC424" s="13"/>
      <c r="BF424" s="114"/>
    </row>
    <row r="425" spans="1:58" ht="19.5" x14ac:dyDescent="0.4">
      <c r="A425" s="117"/>
      <c r="B425" s="123"/>
      <c r="C425" s="123"/>
      <c r="D425" s="123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26"/>
      <c r="T425" s="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25">
        <v>45684</v>
      </c>
      <c r="AE425" s="13" t="s">
        <v>146</v>
      </c>
      <c r="AJ425" s="117"/>
      <c r="AK425" s="123"/>
      <c r="AL425" s="123"/>
      <c r="AM425" s="123"/>
      <c r="AR425" s="115"/>
      <c r="AS425" s="115"/>
      <c r="AT425" s="115"/>
      <c r="AU425" s="115"/>
      <c r="AV425" s="115"/>
      <c r="AW425" s="115"/>
      <c r="AX425" s="115"/>
      <c r="AY425" s="115"/>
      <c r="AZ425" s="115"/>
      <c r="BA425" s="115"/>
      <c r="BB425" s="13"/>
      <c r="BC425" s="13"/>
      <c r="BF425" s="114"/>
    </row>
    <row r="426" spans="1:58" ht="19.5" x14ac:dyDescent="0.4">
      <c r="A426" s="117"/>
      <c r="B426" s="123"/>
      <c r="C426" s="123"/>
      <c r="D426" s="123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29"/>
      <c r="T426" s="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25"/>
      <c r="AE426" s="13"/>
      <c r="AJ426" s="117"/>
      <c r="AK426" s="123"/>
      <c r="AL426" s="123"/>
      <c r="AM426" s="123"/>
      <c r="AR426" s="115"/>
      <c r="AS426" s="115"/>
      <c r="AT426" s="115"/>
      <c r="AU426" s="115"/>
      <c r="AV426" s="115"/>
      <c r="AW426" s="115"/>
      <c r="AX426" s="115"/>
      <c r="AY426" s="115"/>
      <c r="AZ426" s="115"/>
      <c r="BA426" s="115"/>
      <c r="BB426" s="13"/>
      <c r="BC426" s="13"/>
      <c r="BF426" s="114"/>
    </row>
    <row r="427" spans="1:58" ht="19.5" x14ac:dyDescent="0.4">
      <c r="A427" s="117"/>
      <c r="B427" s="123"/>
      <c r="C427" s="123"/>
      <c r="D427" s="123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26"/>
      <c r="T427" s="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25"/>
      <c r="AE427" s="13"/>
      <c r="AJ427" s="117"/>
      <c r="AK427" s="123"/>
      <c r="AL427" s="123"/>
      <c r="AM427" s="123"/>
      <c r="AR427" s="115"/>
      <c r="AS427" s="115"/>
      <c r="AT427" s="115"/>
      <c r="AU427" s="115"/>
      <c r="AV427" s="115"/>
      <c r="AW427" s="115"/>
      <c r="AX427" s="115"/>
      <c r="AY427" s="115"/>
      <c r="AZ427" s="115"/>
      <c r="BA427" s="115"/>
      <c r="BB427" s="13"/>
      <c r="BC427" s="13"/>
      <c r="BF427" s="114"/>
    </row>
    <row r="428" spans="1:58" ht="19.5" x14ac:dyDescent="0.4">
      <c r="A428" s="117"/>
      <c r="B428" s="123"/>
      <c r="C428" s="123"/>
      <c r="D428" s="123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29"/>
      <c r="T428" s="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25"/>
      <c r="AE428" s="13"/>
      <c r="AJ428" s="117"/>
      <c r="AK428" s="123"/>
      <c r="AL428" s="123"/>
      <c r="AM428" s="123"/>
      <c r="AR428" s="115"/>
      <c r="AS428" s="115"/>
      <c r="AT428" s="115"/>
      <c r="AU428" s="115"/>
      <c r="AV428" s="115"/>
      <c r="AW428" s="115"/>
      <c r="AX428" s="115"/>
      <c r="AY428" s="115"/>
      <c r="AZ428" s="115"/>
      <c r="BA428" s="115"/>
      <c r="BB428" s="13"/>
      <c r="BC428" s="13"/>
      <c r="BF428" s="114"/>
    </row>
    <row r="429" spans="1:58" ht="19.5" x14ac:dyDescent="0.4">
      <c r="A429" s="117"/>
      <c r="B429" s="123"/>
      <c r="C429" s="123"/>
      <c r="D429" s="123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26"/>
      <c r="T429" s="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5"/>
      <c r="AE429" s="13"/>
      <c r="AJ429" s="117"/>
      <c r="AK429" s="123"/>
      <c r="AL429" s="123"/>
      <c r="AM429" s="123"/>
      <c r="AR429" s="115"/>
      <c r="AS429" s="115"/>
      <c r="AT429" s="115"/>
      <c r="AU429" s="115"/>
      <c r="AV429" s="115"/>
      <c r="AW429" s="115"/>
      <c r="AX429" s="115"/>
      <c r="AY429" s="115"/>
      <c r="AZ429" s="115"/>
      <c r="BA429" s="115"/>
      <c r="BB429" s="13"/>
      <c r="BC429" s="13"/>
      <c r="BF429" s="114"/>
    </row>
    <row r="430" spans="1:58" ht="19.5" x14ac:dyDescent="0.4">
      <c r="A430" s="117"/>
      <c r="B430" s="123"/>
      <c r="C430" s="123"/>
      <c r="D430" s="123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29"/>
      <c r="T430" s="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25"/>
      <c r="AE430" s="13"/>
      <c r="AJ430" s="117"/>
      <c r="AK430" s="123"/>
      <c r="AL430" s="123"/>
      <c r="AM430" s="123"/>
      <c r="AR430" s="115"/>
      <c r="AS430" s="115"/>
      <c r="AT430" s="115"/>
      <c r="AU430" s="115"/>
      <c r="AV430" s="115"/>
      <c r="AW430" s="115"/>
      <c r="AX430" s="115"/>
      <c r="AY430" s="115"/>
      <c r="AZ430" s="115"/>
      <c r="BA430" s="115"/>
      <c r="BB430" s="13"/>
      <c r="BC430" s="13"/>
      <c r="BF430" s="114"/>
    </row>
    <row r="431" spans="1:58" ht="19.5" x14ac:dyDescent="0.4">
      <c r="A431" s="117"/>
      <c r="B431" s="123"/>
      <c r="C431" s="123"/>
      <c r="D431" s="123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29"/>
      <c r="T431" s="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25"/>
      <c r="AE431" s="13"/>
      <c r="AJ431" s="117"/>
      <c r="AK431" s="123"/>
      <c r="AL431" s="123"/>
      <c r="AM431" s="123"/>
      <c r="AR431" s="115"/>
      <c r="AS431" s="115"/>
      <c r="AT431" s="115"/>
      <c r="AU431" s="115"/>
      <c r="AV431" s="115"/>
      <c r="AW431" s="115"/>
      <c r="AX431" s="115"/>
      <c r="AY431" s="115"/>
      <c r="AZ431" s="115"/>
      <c r="BA431" s="115"/>
      <c r="BB431" s="13"/>
      <c r="BC431" s="13"/>
      <c r="BF431" s="114"/>
    </row>
    <row r="432" spans="1:58" ht="19.5" x14ac:dyDescent="0.4">
      <c r="A432" s="117"/>
      <c r="B432" s="123"/>
      <c r="C432" s="123"/>
      <c r="D432" s="123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26"/>
      <c r="T432" s="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25">
        <v>45684</v>
      </c>
      <c r="AE432" s="13" t="s">
        <v>147</v>
      </c>
      <c r="AJ432" s="117"/>
      <c r="AK432" s="123"/>
      <c r="AL432" s="123"/>
      <c r="AM432" s="123"/>
      <c r="AR432" s="115"/>
      <c r="AS432" s="115"/>
      <c r="AT432" s="115"/>
      <c r="AU432" s="115"/>
      <c r="AV432" s="115"/>
      <c r="AW432" s="115"/>
      <c r="AX432" s="115"/>
      <c r="AY432" s="115"/>
      <c r="AZ432" s="115"/>
      <c r="BA432" s="115"/>
      <c r="BB432" s="13"/>
      <c r="BC432" s="13"/>
      <c r="BF432" s="114"/>
    </row>
    <row r="433" spans="1:58" ht="19.5" x14ac:dyDescent="0.4">
      <c r="A433" s="117"/>
      <c r="B433" s="123"/>
      <c r="C433" s="123"/>
      <c r="D433" s="123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26"/>
      <c r="T433" s="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25">
        <v>45684</v>
      </c>
      <c r="AE433" s="13" t="s">
        <v>146</v>
      </c>
      <c r="AJ433" s="117"/>
      <c r="AK433" s="123"/>
      <c r="AL433" s="123"/>
      <c r="AM433" s="123"/>
      <c r="AR433" s="115"/>
      <c r="AS433" s="115"/>
      <c r="AT433" s="115"/>
      <c r="AU433" s="115"/>
      <c r="AV433" s="115"/>
      <c r="AW433" s="115"/>
      <c r="AX433" s="115"/>
      <c r="AY433" s="115"/>
      <c r="AZ433" s="115"/>
      <c r="BA433" s="115"/>
      <c r="BB433" s="13"/>
      <c r="BC433" s="13"/>
      <c r="BF433" s="114"/>
    </row>
    <row r="434" spans="1:58" ht="19.5" x14ac:dyDescent="0.4">
      <c r="A434" s="117"/>
      <c r="B434" s="123"/>
      <c r="C434" s="123"/>
      <c r="D434" s="123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26"/>
      <c r="T434" s="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25">
        <v>45684</v>
      </c>
      <c r="AE434" s="13" t="s">
        <v>146</v>
      </c>
      <c r="AJ434" s="117"/>
      <c r="AK434" s="123"/>
      <c r="AL434" s="123"/>
      <c r="AM434" s="123"/>
      <c r="AR434" s="115"/>
      <c r="AS434" s="115"/>
      <c r="AT434" s="115"/>
      <c r="AU434" s="115"/>
      <c r="AV434" s="115"/>
      <c r="AW434" s="115"/>
      <c r="AX434" s="115"/>
      <c r="AY434" s="115"/>
      <c r="AZ434" s="115"/>
      <c r="BA434" s="115"/>
      <c r="BB434" s="13"/>
      <c r="BC434" s="13"/>
      <c r="BF434" s="114"/>
    </row>
    <row r="435" spans="1:58" ht="19.5" x14ac:dyDescent="0.4">
      <c r="A435" s="117"/>
      <c r="B435" s="123"/>
      <c r="C435" s="123"/>
      <c r="D435" s="123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20"/>
      <c r="T435" s="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25"/>
      <c r="AE435" s="13"/>
      <c r="AJ435" s="117"/>
      <c r="AK435" s="123"/>
      <c r="AL435" s="123"/>
      <c r="AM435" s="123"/>
      <c r="AR435" s="115"/>
      <c r="AS435" s="115"/>
      <c r="AT435" s="115"/>
      <c r="AU435" s="115"/>
      <c r="AV435" s="115"/>
      <c r="AW435" s="115"/>
      <c r="AX435" s="115"/>
      <c r="AY435" s="115"/>
      <c r="AZ435" s="115"/>
      <c r="BA435" s="115"/>
      <c r="BB435" s="13"/>
      <c r="BC435" s="13"/>
      <c r="BF435" s="114"/>
    </row>
    <row r="436" spans="1:58" ht="19.5" x14ac:dyDescent="0.4">
      <c r="A436" s="117"/>
      <c r="B436" s="123"/>
      <c r="C436" s="123"/>
      <c r="D436" s="123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20"/>
      <c r="T436" s="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25"/>
      <c r="AE436" s="13"/>
      <c r="AJ436" s="117"/>
      <c r="AK436" s="123"/>
      <c r="AL436" s="123"/>
      <c r="AM436" s="123"/>
      <c r="AR436" s="115"/>
      <c r="AS436" s="115"/>
      <c r="AT436" s="115"/>
      <c r="AU436" s="115"/>
      <c r="AV436" s="115"/>
      <c r="AW436" s="115"/>
      <c r="AX436" s="115"/>
      <c r="AY436" s="115"/>
      <c r="AZ436" s="115"/>
      <c r="BA436" s="115"/>
      <c r="BB436" s="13"/>
      <c r="BC436" s="13"/>
      <c r="BF436" s="114"/>
    </row>
    <row r="437" spans="1:58" ht="19.5" x14ac:dyDescent="0.4">
      <c r="A437" s="117"/>
      <c r="B437" s="123"/>
      <c r="C437" s="123"/>
      <c r="D437" s="123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25"/>
      <c r="T437" s="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5">
        <v>45684</v>
      </c>
      <c r="AE437" s="13" t="s">
        <v>147</v>
      </c>
      <c r="AJ437" s="117"/>
      <c r="AK437" s="123"/>
      <c r="AL437" s="123"/>
      <c r="AM437" s="123"/>
      <c r="AR437" s="115"/>
      <c r="AS437" s="115"/>
      <c r="AT437" s="115"/>
      <c r="AU437" s="115"/>
      <c r="AV437" s="115"/>
      <c r="AW437" s="115"/>
      <c r="AX437" s="115"/>
      <c r="AY437" s="115"/>
      <c r="AZ437" s="115"/>
      <c r="BA437" s="115"/>
      <c r="BB437" s="13"/>
      <c r="BC437" s="13"/>
      <c r="BF437" s="114"/>
    </row>
    <row r="438" spans="1:58" ht="19.5" x14ac:dyDescent="0.4">
      <c r="A438" s="117"/>
      <c r="B438" s="123"/>
      <c r="C438" s="123"/>
      <c r="D438" s="123"/>
      <c r="S438" s="25"/>
      <c r="T438" s="15"/>
      <c r="AD438" s="25">
        <v>45685</v>
      </c>
      <c r="AE438" s="13" t="s">
        <v>146</v>
      </c>
      <c r="AJ438" s="117"/>
      <c r="AK438" s="123"/>
      <c r="AL438" s="123"/>
      <c r="AM438" s="123"/>
      <c r="AR438" s="115"/>
      <c r="AS438" s="115"/>
      <c r="AT438" s="115"/>
      <c r="AU438" s="115"/>
      <c r="AV438" s="115"/>
      <c r="AW438" s="115"/>
      <c r="AX438" s="115"/>
      <c r="AY438" s="115"/>
      <c r="AZ438" s="115"/>
      <c r="BA438" s="115"/>
      <c r="BB438" s="25">
        <v>45263</v>
      </c>
      <c r="BC438" s="13" t="s">
        <v>162</v>
      </c>
      <c r="BF438" s="114"/>
    </row>
    <row r="439" spans="1:58" ht="19.5" x14ac:dyDescent="0.4">
      <c r="A439" s="117"/>
      <c r="B439" s="123"/>
      <c r="C439" s="123"/>
      <c r="D439" s="123"/>
      <c r="S439" s="25"/>
      <c r="T439" s="15"/>
      <c r="AA439" s="115"/>
      <c r="AB439" s="115"/>
      <c r="AC439" s="115"/>
      <c r="AD439" s="25">
        <v>45685</v>
      </c>
      <c r="AE439" s="13" t="s">
        <v>147</v>
      </c>
      <c r="AJ439" s="117"/>
      <c r="AK439" s="123"/>
      <c r="AL439" s="123"/>
      <c r="AM439" s="123"/>
      <c r="AR439" s="115"/>
      <c r="AS439" s="115"/>
      <c r="AT439" s="115"/>
      <c r="AU439" s="115"/>
      <c r="AV439" s="115"/>
      <c r="AW439" s="115"/>
      <c r="AX439" s="115"/>
      <c r="AY439" s="115"/>
      <c r="AZ439" s="115"/>
      <c r="BA439" s="115"/>
      <c r="BB439" s="25"/>
      <c r="BC439" s="13"/>
      <c r="BF439" s="114"/>
    </row>
    <row r="440" spans="1:58" ht="19.5" x14ac:dyDescent="0.4">
      <c r="A440" s="117"/>
      <c r="B440" s="123"/>
      <c r="C440" s="123"/>
      <c r="D440" s="123"/>
      <c r="S440" s="133"/>
      <c r="T440" s="15"/>
      <c r="AA440" s="115"/>
      <c r="AB440" s="115"/>
      <c r="AC440" s="115"/>
      <c r="AD440" s="25"/>
      <c r="AE440" s="13"/>
      <c r="AJ440" s="117"/>
      <c r="AK440" s="123"/>
      <c r="AL440" s="123"/>
      <c r="AM440" s="123"/>
      <c r="AR440" s="115"/>
      <c r="AS440" s="115"/>
      <c r="AT440" s="115"/>
      <c r="AU440" s="115"/>
      <c r="AV440" s="115"/>
      <c r="AW440" s="115"/>
      <c r="AX440" s="115"/>
      <c r="AY440" s="115"/>
      <c r="AZ440" s="115"/>
      <c r="BA440" s="115"/>
      <c r="BB440" s="25"/>
      <c r="BC440" s="13"/>
      <c r="BF440" s="114"/>
    </row>
    <row r="441" spans="1:58" ht="19.5" x14ac:dyDescent="0.4">
      <c r="A441" s="117"/>
      <c r="B441" s="123"/>
      <c r="C441" s="123"/>
      <c r="D441" s="123"/>
      <c r="S441" s="25"/>
      <c r="T441" s="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25">
        <v>45685</v>
      </c>
      <c r="AE441" s="13" t="s">
        <v>147</v>
      </c>
      <c r="AJ441" s="117"/>
      <c r="AK441" s="123"/>
      <c r="AL441" s="123"/>
      <c r="AM441" s="123"/>
      <c r="AR441" s="115"/>
      <c r="AS441" s="115"/>
      <c r="AT441" s="115"/>
      <c r="AU441" s="115"/>
      <c r="AV441" s="115"/>
      <c r="AW441" s="115"/>
      <c r="AX441" s="115"/>
      <c r="AY441" s="115"/>
      <c r="AZ441" s="115"/>
      <c r="BA441" s="115"/>
      <c r="BB441" s="25"/>
      <c r="BC441" s="13"/>
      <c r="BF441" s="114"/>
    </row>
    <row r="442" spans="1:58" ht="19.5" x14ac:dyDescent="0.4">
      <c r="A442" s="117"/>
      <c r="B442" s="123"/>
      <c r="C442" s="123"/>
      <c r="D442" s="123"/>
      <c r="S442" s="25"/>
      <c r="T442" s="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25">
        <v>45685</v>
      </c>
      <c r="AE442" s="13" t="s">
        <v>148</v>
      </c>
      <c r="AJ442" s="117"/>
      <c r="AK442" s="123"/>
      <c r="AL442" s="123"/>
      <c r="AM442" s="123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25"/>
      <c r="BC442" s="13"/>
      <c r="BF442" s="114"/>
    </row>
    <row r="443" spans="1:58" ht="19.5" x14ac:dyDescent="0.4">
      <c r="A443" s="117"/>
      <c r="B443" s="123"/>
      <c r="C443" s="123"/>
      <c r="D443" s="123"/>
      <c r="S443" s="25"/>
      <c r="T443" s="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25">
        <v>45685</v>
      </c>
      <c r="AE443" s="13" t="s">
        <v>148</v>
      </c>
      <c r="AJ443" s="117"/>
      <c r="AK443" s="123"/>
      <c r="AL443" s="123"/>
      <c r="AM443" s="123"/>
      <c r="AR443" s="115"/>
      <c r="AS443" s="115"/>
      <c r="AT443" s="115"/>
      <c r="AU443" s="115"/>
      <c r="AV443" s="115"/>
      <c r="AW443" s="115"/>
      <c r="AX443" s="115"/>
      <c r="AY443" s="115"/>
      <c r="AZ443" s="115"/>
      <c r="BA443" s="115"/>
      <c r="BB443" s="25"/>
      <c r="BC443" s="13"/>
      <c r="BF443" s="114"/>
    </row>
    <row r="444" spans="1:58" ht="19.5" x14ac:dyDescent="0.4">
      <c r="A444" s="117"/>
      <c r="B444" s="123"/>
      <c r="C444" s="123"/>
      <c r="D444" s="123"/>
      <c r="S444" s="133"/>
      <c r="T444" s="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25"/>
      <c r="AE444" s="13"/>
      <c r="AJ444" s="117"/>
      <c r="AK444" s="123"/>
      <c r="AL444" s="123"/>
      <c r="AM444" s="123"/>
      <c r="AR444" s="115"/>
      <c r="AS444" s="115"/>
      <c r="AT444" s="115"/>
      <c r="AU444" s="115"/>
      <c r="AV444" s="115"/>
      <c r="AW444" s="115"/>
      <c r="AX444" s="115"/>
      <c r="AY444" s="115"/>
      <c r="AZ444" s="115"/>
      <c r="BA444" s="115"/>
      <c r="BB444" s="25"/>
      <c r="BC444" s="13"/>
      <c r="BF444" s="114"/>
    </row>
    <row r="445" spans="1:58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25"/>
      <c r="T445" s="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25"/>
      <c r="AE445" s="13"/>
      <c r="AJ445" s="117"/>
      <c r="AK445" s="123"/>
      <c r="AL445" s="123"/>
      <c r="AM445" s="123"/>
      <c r="AR445" s="115"/>
      <c r="AS445" s="115"/>
      <c r="AT445" s="115"/>
      <c r="AU445" s="115"/>
      <c r="AV445" s="115"/>
      <c r="AW445" s="115"/>
      <c r="AX445" s="115"/>
      <c r="AY445" s="115"/>
      <c r="AZ445" s="115"/>
      <c r="BA445" s="115"/>
      <c r="BB445" s="25"/>
      <c r="BC445" s="13"/>
      <c r="BF445" s="114"/>
    </row>
    <row r="446" spans="1:58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33"/>
      <c r="T446" s="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5"/>
      <c r="AE446" s="13"/>
      <c r="AJ446" s="117"/>
      <c r="AK446" s="123"/>
      <c r="AL446" s="123"/>
      <c r="AM446" s="123"/>
      <c r="AR446" s="115"/>
      <c r="AS446" s="115"/>
      <c r="AT446" s="115"/>
      <c r="AU446" s="115"/>
      <c r="AV446" s="115"/>
      <c r="AW446" s="115"/>
      <c r="AX446" s="115"/>
      <c r="AY446" s="115"/>
      <c r="AZ446" s="115"/>
      <c r="BA446" s="115"/>
      <c r="BB446" s="25"/>
      <c r="BC446" s="13"/>
      <c r="BF446" s="114"/>
    </row>
    <row r="447" spans="1:58" ht="19.5" x14ac:dyDescent="0.4">
      <c r="A447" s="117"/>
      <c r="B447" s="123"/>
      <c r="C447" s="123"/>
      <c r="D447" s="123"/>
      <c r="S447" s="25"/>
      <c r="T447" s="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25">
        <v>45685</v>
      </c>
      <c r="AE447" s="13" t="s">
        <v>148</v>
      </c>
      <c r="AJ447" s="117"/>
      <c r="AK447" s="123"/>
      <c r="AL447" s="123"/>
      <c r="AM447" s="123"/>
      <c r="AR447" s="115"/>
      <c r="AS447" s="115"/>
      <c r="AT447" s="115"/>
      <c r="AU447" s="115"/>
      <c r="AV447" s="115"/>
      <c r="AW447" s="115"/>
      <c r="AX447" s="115"/>
      <c r="AY447" s="115"/>
      <c r="AZ447" s="115"/>
      <c r="BA447" s="115"/>
      <c r="BB447" s="25"/>
      <c r="BC447" s="13"/>
      <c r="BF447" s="114"/>
    </row>
    <row r="448" spans="1:58" ht="19.5" x14ac:dyDescent="0.4">
      <c r="A448" s="117"/>
      <c r="B448" s="123"/>
      <c r="C448" s="123"/>
      <c r="D448" s="123"/>
      <c r="S448" s="25"/>
      <c r="T448" s="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25">
        <v>45685</v>
      </c>
      <c r="AE448" s="13" t="s">
        <v>148</v>
      </c>
      <c r="AJ448" s="117"/>
      <c r="AK448" s="123"/>
      <c r="AL448" s="123"/>
      <c r="AM448" s="123"/>
      <c r="AR448" s="115"/>
      <c r="AS448" s="115"/>
      <c r="AT448" s="115"/>
      <c r="AU448" s="115"/>
      <c r="AV448" s="115"/>
      <c r="AW448" s="115"/>
      <c r="AX448" s="115"/>
      <c r="AY448" s="115"/>
      <c r="AZ448" s="115"/>
      <c r="BA448" s="115"/>
      <c r="BB448" s="25"/>
      <c r="BC448" s="13"/>
      <c r="BF448" s="114"/>
    </row>
    <row r="449" spans="1:58" ht="19.5" x14ac:dyDescent="0.4">
      <c r="A449" s="117"/>
      <c r="B449" s="123"/>
      <c r="C449" s="123"/>
      <c r="D449" s="123"/>
      <c r="S449" s="25"/>
      <c r="T449" s="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5">
        <v>45685</v>
      </c>
      <c r="AE449" s="13" t="s">
        <v>146</v>
      </c>
      <c r="AJ449" s="117"/>
      <c r="AK449" s="123"/>
      <c r="AL449" s="123"/>
      <c r="AM449" s="123"/>
      <c r="AR449" s="115"/>
      <c r="AS449" s="115"/>
      <c r="AT449" s="115"/>
      <c r="AU449" s="115"/>
      <c r="AV449" s="115"/>
      <c r="AW449" s="115"/>
      <c r="AX449" s="115"/>
      <c r="AY449" s="115"/>
      <c r="AZ449" s="115"/>
      <c r="BA449" s="115"/>
      <c r="BB449" s="25"/>
      <c r="BC449" s="13"/>
      <c r="BF449" s="114"/>
    </row>
    <row r="450" spans="1:58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25"/>
      <c r="T450" s="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25"/>
      <c r="AE450" s="13"/>
      <c r="AJ450" s="117"/>
      <c r="AK450" s="123"/>
      <c r="AL450" s="123"/>
      <c r="AM450" s="123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25"/>
      <c r="BC450" s="13"/>
      <c r="BF450" s="114"/>
    </row>
    <row r="451" spans="1:58" ht="19.5" x14ac:dyDescent="0.4">
      <c r="A451" s="117"/>
      <c r="B451" s="123"/>
      <c r="C451" s="123"/>
      <c r="D451" s="123"/>
      <c r="S451" s="25"/>
      <c r="T451" s="15"/>
      <c r="AD451" s="25">
        <v>45685</v>
      </c>
      <c r="AE451" s="13" t="s">
        <v>148</v>
      </c>
      <c r="AJ451" s="117"/>
      <c r="AK451" s="123"/>
      <c r="AL451" s="123"/>
      <c r="AM451" s="123"/>
      <c r="AR451" s="115"/>
      <c r="AS451" s="115"/>
      <c r="AT451" s="115"/>
      <c r="AU451" s="115"/>
      <c r="AV451" s="115"/>
      <c r="AW451" s="115"/>
      <c r="AX451" s="115"/>
      <c r="AY451" s="115"/>
      <c r="AZ451" s="115"/>
      <c r="BA451" s="115" t="s">
        <v>150</v>
      </c>
      <c r="BB451" s="13">
        <f>SUBTOTAL(3,BB438:BB438)</f>
        <v>1</v>
      </c>
      <c r="BC451" s="13">
        <f>SUBTOTAL(3,BC438:BC438)</f>
        <v>1</v>
      </c>
      <c r="BF451" s="114"/>
    </row>
    <row r="452" spans="1:58" ht="19.5" x14ac:dyDescent="0.4">
      <c r="A452" s="117"/>
      <c r="B452" s="123"/>
      <c r="C452" s="123"/>
      <c r="D452" s="123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25"/>
      <c r="T452" s="15"/>
      <c r="AD452" s="25"/>
      <c r="AE452" s="13"/>
      <c r="AJ452" s="117"/>
      <c r="AK452" s="123"/>
      <c r="AL452" s="123"/>
      <c r="AM452" s="123"/>
      <c r="AR452" s="115"/>
      <c r="AS452" s="115"/>
      <c r="AT452" s="115"/>
      <c r="AU452" s="115"/>
      <c r="AV452" s="115"/>
      <c r="AW452" s="115"/>
      <c r="AX452" s="115"/>
      <c r="AY452" s="115"/>
      <c r="AZ452" s="115"/>
      <c r="BA452" s="115"/>
      <c r="BB452" s="13"/>
      <c r="BC452" s="13"/>
      <c r="BF452" s="114"/>
    </row>
    <row r="453" spans="1:58" ht="19.5" x14ac:dyDescent="0.4">
      <c r="A453" s="117"/>
      <c r="B453" s="123"/>
      <c r="C453" s="123"/>
      <c r="D453" s="123"/>
      <c r="S453" s="25"/>
      <c r="T453" s="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5">
        <v>45685</v>
      </c>
      <c r="AE453" s="15" t="s">
        <v>146</v>
      </c>
      <c r="AJ453" s="117"/>
      <c r="AK453" s="123"/>
      <c r="AL453" s="123"/>
      <c r="AM453" s="123"/>
      <c r="AR453" s="115"/>
      <c r="AS453" s="115"/>
      <c r="AT453" s="115"/>
      <c r="AU453" s="115"/>
      <c r="AV453" s="115"/>
      <c r="AW453" s="115"/>
      <c r="AX453" s="115"/>
      <c r="AY453" s="115"/>
      <c r="AZ453" s="115"/>
      <c r="BA453" s="115"/>
      <c r="BB453" s="13"/>
      <c r="BC453" s="13"/>
      <c r="BF453" s="114"/>
    </row>
    <row r="454" spans="1:58" ht="19.5" x14ac:dyDescent="0.4">
      <c r="A454" s="117"/>
      <c r="B454" s="123"/>
      <c r="C454" s="123"/>
      <c r="D454" s="123"/>
      <c r="S454" s="25"/>
      <c r="T454" s="15"/>
      <c r="AD454" s="25">
        <v>45685</v>
      </c>
      <c r="AE454" s="15" t="s">
        <v>146</v>
      </c>
      <c r="AJ454" s="117"/>
      <c r="AK454" s="123"/>
      <c r="AL454" s="123"/>
      <c r="AM454" s="123"/>
      <c r="AR454" s="115"/>
      <c r="AS454" s="115"/>
      <c r="AT454" s="115"/>
      <c r="AU454" s="115"/>
      <c r="AV454" s="115"/>
      <c r="AW454" s="115"/>
      <c r="AX454" s="115"/>
      <c r="AY454" s="115"/>
      <c r="AZ454" s="115"/>
      <c r="BA454" s="115"/>
      <c r="BB454" s="25">
        <v>45264</v>
      </c>
      <c r="BC454" s="13" t="s">
        <v>162</v>
      </c>
      <c r="BF454" s="114"/>
    </row>
    <row r="455" spans="1:58" ht="19.5" x14ac:dyDescent="0.4">
      <c r="A455" s="117"/>
      <c r="B455" s="123"/>
      <c r="C455" s="123"/>
      <c r="D455" s="123"/>
      <c r="S455" s="25"/>
      <c r="T455" s="15"/>
      <c r="Z455" s="115"/>
      <c r="AA455" s="115"/>
      <c r="AB455" s="115"/>
      <c r="AC455" s="115"/>
      <c r="AD455" s="25">
        <v>45686</v>
      </c>
      <c r="AE455" s="15" t="s">
        <v>148</v>
      </c>
      <c r="AJ455" s="117"/>
      <c r="AK455" s="123"/>
      <c r="AL455" s="123"/>
      <c r="AM455" s="123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25"/>
      <c r="BC455" s="13"/>
      <c r="BF455" s="114"/>
    </row>
    <row r="456" spans="1:58" ht="19.5" x14ac:dyDescent="0.4">
      <c r="A456" s="117"/>
      <c r="B456" s="123"/>
      <c r="C456" s="123"/>
      <c r="D456" s="123"/>
      <c r="S456" s="25"/>
      <c r="T456" s="15"/>
      <c r="X456" s="115"/>
      <c r="Y456" s="115"/>
      <c r="Z456" s="115"/>
      <c r="AA456" s="115"/>
      <c r="AB456" s="115"/>
      <c r="AC456" s="115"/>
      <c r="AD456" s="25">
        <v>45686</v>
      </c>
      <c r="AE456" s="15" t="s">
        <v>146</v>
      </c>
      <c r="AJ456" s="117"/>
      <c r="AK456" s="123"/>
      <c r="AL456" s="123"/>
      <c r="AM456" s="123"/>
      <c r="AR456" s="115"/>
      <c r="AS456" s="115"/>
      <c r="AT456" s="115"/>
      <c r="AU456" s="115"/>
      <c r="AV456" s="115"/>
      <c r="AW456" s="115"/>
      <c r="AX456" s="115"/>
      <c r="AY456" s="115"/>
      <c r="AZ456" s="115"/>
      <c r="BA456" s="115"/>
      <c r="BB456" s="25"/>
      <c r="BC456" s="13"/>
      <c r="BF456" s="114"/>
    </row>
    <row r="457" spans="1:58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25"/>
      <c r="T457" s="15"/>
      <c r="X457" s="115"/>
      <c r="Y457" s="115"/>
      <c r="Z457" s="115"/>
      <c r="AA457" s="115"/>
      <c r="AB457" s="115"/>
      <c r="AC457" s="115"/>
      <c r="AD457" s="25"/>
      <c r="AE457" s="15"/>
      <c r="AJ457" s="117"/>
      <c r="AK457" s="123"/>
      <c r="AL457" s="123"/>
      <c r="AM457" s="123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25"/>
      <c r="BC457" s="13"/>
      <c r="BF457" s="114"/>
    </row>
    <row r="458" spans="1:58" ht="19.5" x14ac:dyDescent="0.4">
      <c r="A458" s="117"/>
      <c r="B458" s="123"/>
      <c r="C458" s="123"/>
      <c r="D458" s="123"/>
      <c r="S458" s="26"/>
      <c r="T458" s="15"/>
      <c r="X458" s="115"/>
      <c r="Y458" s="115"/>
      <c r="Z458" s="115"/>
      <c r="AA458" s="115"/>
      <c r="AB458" s="115"/>
      <c r="AC458" s="115"/>
      <c r="AD458" s="25">
        <v>45686</v>
      </c>
      <c r="AE458" s="15" t="s">
        <v>148</v>
      </c>
      <c r="AJ458" s="117"/>
      <c r="AK458" s="123"/>
      <c r="AL458" s="123"/>
      <c r="AM458" s="123"/>
      <c r="AR458" s="115"/>
      <c r="AS458" s="115"/>
      <c r="AT458" s="115"/>
      <c r="AU458" s="115"/>
      <c r="AV458" s="115"/>
      <c r="AW458" s="115"/>
      <c r="AX458" s="115"/>
      <c r="AY458" s="115"/>
      <c r="AZ458" s="115"/>
      <c r="BA458" s="115"/>
      <c r="BB458" s="25"/>
      <c r="BC458" s="13"/>
      <c r="BF458" s="114"/>
    </row>
    <row r="459" spans="1:58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26"/>
      <c r="T459" s="13"/>
      <c r="X459" s="115"/>
      <c r="Y459" s="115"/>
      <c r="Z459" s="115"/>
      <c r="AA459" s="115"/>
      <c r="AB459" s="115"/>
      <c r="AC459" s="115"/>
      <c r="AD459" s="25"/>
      <c r="AE459" s="15"/>
      <c r="AJ459" s="117"/>
      <c r="AK459" s="123"/>
      <c r="AL459" s="123"/>
      <c r="AM459" s="123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25"/>
      <c r="BC459" s="13"/>
      <c r="BF459" s="114"/>
    </row>
    <row r="460" spans="1:58" ht="19.5" x14ac:dyDescent="0.4">
      <c r="A460" s="117"/>
      <c r="B460" s="123"/>
      <c r="C460" s="123"/>
      <c r="D460" s="123"/>
      <c r="S460" s="26"/>
      <c r="T460" s="13"/>
      <c r="AD460" s="25">
        <v>45686</v>
      </c>
      <c r="AE460" s="15" t="s">
        <v>146</v>
      </c>
      <c r="AJ460" s="117"/>
      <c r="AK460" s="123"/>
      <c r="AL460" s="123"/>
      <c r="AM460" s="123"/>
      <c r="AR460" s="115"/>
      <c r="AS460" s="115"/>
      <c r="AT460" s="115"/>
      <c r="AU460" s="115"/>
      <c r="AV460" s="115"/>
      <c r="AW460" s="115"/>
      <c r="AX460" s="115"/>
      <c r="AY460" s="115"/>
      <c r="AZ460" s="115"/>
      <c r="BA460" s="115" t="s">
        <v>154</v>
      </c>
      <c r="BB460" s="13">
        <f>SUBTOTAL(3,BB454:BB454)</f>
        <v>1</v>
      </c>
      <c r="BC460" s="13">
        <f>SUBTOTAL(3,BC454:BC454)</f>
        <v>1</v>
      </c>
      <c r="BF460" s="114"/>
    </row>
    <row r="461" spans="1:58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26"/>
      <c r="T461" s="13"/>
      <c r="AD461" s="25"/>
      <c r="AE461" s="15"/>
      <c r="AJ461" s="117"/>
      <c r="AK461" s="123"/>
      <c r="AL461" s="123"/>
      <c r="AM461" s="123"/>
      <c r="AR461" s="115"/>
      <c r="AS461" s="115"/>
      <c r="AT461" s="115"/>
      <c r="AU461" s="115"/>
      <c r="AV461" s="115"/>
      <c r="AW461" s="115"/>
      <c r="AX461" s="115"/>
      <c r="AY461" s="115"/>
      <c r="AZ461" s="115"/>
      <c r="BA461" s="115"/>
      <c r="BB461" s="13"/>
      <c r="BC461" s="13"/>
      <c r="BF461" s="114"/>
    </row>
    <row r="462" spans="1:58" ht="19.5" x14ac:dyDescent="0.4">
      <c r="A462" s="117"/>
      <c r="B462" s="123"/>
      <c r="C462" s="123"/>
      <c r="D462" s="123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26"/>
      <c r="T462" s="13"/>
      <c r="AD462" s="25"/>
      <c r="AE462" s="15"/>
      <c r="AJ462" s="117"/>
      <c r="AK462" s="123"/>
      <c r="AL462" s="123"/>
      <c r="AM462" s="123"/>
      <c r="AR462" s="115"/>
      <c r="AS462" s="115"/>
      <c r="AT462" s="115"/>
      <c r="AU462" s="115"/>
      <c r="AV462" s="115"/>
      <c r="AW462" s="115"/>
      <c r="AX462" s="115"/>
      <c r="AY462" s="115"/>
      <c r="AZ462" s="115"/>
      <c r="BA462" s="115"/>
      <c r="BB462" s="13"/>
      <c r="BC462" s="13"/>
      <c r="BF462" s="114"/>
    </row>
    <row r="463" spans="1:58" ht="19.5" x14ac:dyDescent="0.4">
      <c r="A463" s="117"/>
      <c r="B463" s="123"/>
      <c r="C463" s="123"/>
      <c r="D463" s="123"/>
      <c r="S463" s="26"/>
      <c r="T463" s="13"/>
      <c r="AD463" s="25">
        <v>45686</v>
      </c>
      <c r="AE463" s="15" t="s">
        <v>146</v>
      </c>
      <c r="AJ463" s="117"/>
      <c r="AK463" s="123"/>
      <c r="AL463" s="123"/>
      <c r="AM463" s="123"/>
      <c r="AR463" s="115"/>
      <c r="AS463" s="115"/>
      <c r="AT463" s="115"/>
      <c r="AU463" s="115"/>
      <c r="AV463" s="115"/>
      <c r="AW463" s="115"/>
      <c r="AX463" s="115"/>
      <c r="AY463" s="115"/>
      <c r="AZ463" s="115"/>
      <c r="BA463" s="115"/>
      <c r="BB463" s="25">
        <v>45265</v>
      </c>
      <c r="BC463" s="13" t="s">
        <v>162</v>
      </c>
      <c r="BF463" s="114"/>
    </row>
    <row r="464" spans="1:58" ht="19.5" x14ac:dyDescent="0.4">
      <c r="A464" s="117"/>
      <c r="B464" s="123"/>
      <c r="C464" s="123"/>
      <c r="D464" s="123"/>
      <c r="S464" s="26"/>
      <c r="T464" s="13"/>
      <c r="AD464" s="25">
        <v>45686</v>
      </c>
      <c r="AE464" s="15" t="s">
        <v>146</v>
      </c>
      <c r="AJ464" s="117"/>
      <c r="AK464" s="123"/>
      <c r="AL464" s="123"/>
      <c r="AM464" s="123"/>
      <c r="AR464" s="115"/>
      <c r="AS464" s="115"/>
      <c r="AT464" s="115"/>
      <c r="AU464" s="115"/>
      <c r="AV464" s="115"/>
      <c r="AW464" s="115"/>
      <c r="AX464" s="115"/>
      <c r="AY464" s="115"/>
      <c r="AZ464" s="115"/>
      <c r="BA464" s="115"/>
      <c r="BB464" s="25">
        <v>45265</v>
      </c>
      <c r="BC464" s="25" t="s">
        <v>162</v>
      </c>
      <c r="BF464" s="114"/>
    </row>
    <row r="465" spans="1:58" ht="19.5" x14ac:dyDescent="0.4">
      <c r="A465" s="117"/>
      <c r="B465" s="123"/>
      <c r="C465" s="123"/>
      <c r="D465" s="123"/>
      <c r="S465" s="26"/>
      <c r="T465" s="13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5">
        <v>45686</v>
      </c>
      <c r="AE465" s="15" t="s">
        <v>146</v>
      </c>
      <c r="AJ465" s="117"/>
      <c r="AK465" s="123"/>
      <c r="AL465" s="123"/>
      <c r="AM465" s="123"/>
      <c r="AR465" s="115"/>
      <c r="AS465" s="115"/>
      <c r="AT465" s="115"/>
      <c r="AU465" s="115"/>
      <c r="AV465" s="115"/>
      <c r="AW465" s="115"/>
      <c r="AX465" s="115"/>
      <c r="AY465" s="115"/>
      <c r="AZ465" s="115"/>
      <c r="BA465" s="115"/>
      <c r="BB465" s="25"/>
      <c r="BC465" s="25"/>
      <c r="BF465" s="114"/>
    </row>
    <row r="466" spans="1:58" ht="19.5" x14ac:dyDescent="0.4">
      <c r="A466" s="117"/>
      <c r="B466" s="123"/>
      <c r="C466" s="123"/>
      <c r="D466" s="123"/>
      <c r="S466" s="129"/>
      <c r="T466" s="13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25"/>
      <c r="AE466" s="13"/>
      <c r="AJ466" s="117"/>
      <c r="AK466" s="123"/>
      <c r="AL466" s="123"/>
      <c r="AM466" s="123"/>
      <c r="AR466" s="115"/>
      <c r="AS466" s="115"/>
      <c r="AT466" s="115"/>
      <c r="AU466" s="115"/>
      <c r="AV466" s="115"/>
      <c r="AW466" s="115"/>
      <c r="AX466" s="115"/>
      <c r="AY466" s="115"/>
      <c r="AZ466" s="115"/>
      <c r="BA466" s="115"/>
      <c r="BB466" s="25"/>
      <c r="BC466" s="25"/>
      <c r="BF466" s="114"/>
    </row>
    <row r="467" spans="1:58" ht="19.5" x14ac:dyDescent="0.4">
      <c r="A467" s="117"/>
      <c r="B467" s="123"/>
      <c r="C467" s="123"/>
      <c r="D467" s="123"/>
      <c r="S467" s="26"/>
      <c r="T467" s="13"/>
      <c r="AD467" s="25">
        <v>45686</v>
      </c>
      <c r="AE467" s="13" t="s">
        <v>146</v>
      </c>
      <c r="AJ467" s="117"/>
      <c r="AK467" s="123"/>
      <c r="AL467" s="123"/>
      <c r="AM467" s="123"/>
      <c r="AR467" s="115"/>
      <c r="AS467" s="115"/>
      <c r="AT467" s="115"/>
      <c r="AU467" s="115"/>
      <c r="AV467" s="115"/>
      <c r="AW467" s="115"/>
      <c r="AX467" s="115"/>
      <c r="AY467" s="115"/>
      <c r="AZ467" s="115"/>
      <c r="BA467" s="115"/>
      <c r="BB467" s="25">
        <v>45265</v>
      </c>
      <c r="BC467" s="13" t="s">
        <v>162</v>
      </c>
      <c r="BF467" s="114"/>
    </row>
    <row r="468" spans="1:58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26"/>
      <c r="T468" s="13"/>
      <c r="AD468" s="25"/>
      <c r="AE468" s="13"/>
      <c r="AJ468" s="117"/>
      <c r="AK468" s="123"/>
      <c r="AL468" s="123"/>
      <c r="AM468" s="123"/>
      <c r="AR468" s="115"/>
      <c r="AS468" s="115"/>
      <c r="AT468" s="115"/>
      <c r="AU468" s="115"/>
      <c r="AV468" s="115"/>
      <c r="AW468" s="115"/>
      <c r="AX468" s="115"/>
      <c r="AY468" s="115"/>
      <c r="AZ468" s="115"/>
      <c r="BA468" s="115"/>
      <c r="BB468" s="25"/>
      <c r="BC468" s="13"/>
      <c r="BF468" s="114"/>
    </row>
    <row r="469" spans="1:58" ht="19.5" x14ac:dyDescent="0.4">
      <c r="A469" s="117"/>
      <c r="B469" s="123"/>
      <c r="C469" s="123"/>
      <c r="D469" s="123"/>
      <c r="S469" s="26"/>
      <c r="T469" s="13"/>
      <c r="Z469" s="115"/>
      <c r="AA469" s="115"/>
      <c r="AB469" s="115"/>
      <c r="AC469" s="115"/>
      <c r="AD469" s="25">
        <v>45686</v>
      </c>
      <c r="AE469" s="15" t="s">
        <v>146</v>
      </c>
      <c r="AJ469" s="117"/>
      <c r="AK469" s="123"/>
      <c r="AL469" s="123"/>
      <c r="AM469" s="123"/>
      <c r="AR469" s="115"/>
      <c r="AS469" s="115"/>
      <c r="AT469" s="115"/>
      <c r="AU469" s="115"/>
      <c r="AV469" s="115"/>
      <c r="AW469" s="115"/>
      <c r="AX469" s="115"/>
      <c r="AY469" s="115"/>
      <c r="AZ469" s="115"/>
      <c r="BA469" s="115"/>
      <c r="BB469" s="25"/>
      <c r="BC469" s="13"/>
      <c r="BF469" s="114"/>
    </row>
    <row r="470" spans="1:58" ht="19.5" x14ac:dyDescent="0.4">
      <c r="A470" s="117"/>
      <c r="B470" s="123"/>
      <c r="C470" s="123"/>
      <c r="D470" s="123"/>
      <c r="S470" s="26"/>
      <c r="T470" s="13"/>
      <c r="AD470" s="25">
        <v>45686</v>
      </c>
      <c r="AE470" s="15" t="s">
        <v>147</v>
      </c>
      <c r="AJ470" s="117"/>
      <c r="AK470" s="123"/>
      <c r="AL470" s="123"/>
      <c r="AM470" s="123"/>
      <c r="AR470" s="115"/>
      <c r="AS470" s="115"/>
      <c r="AT470" s="115"/>
      <c r="AU470" s="115"/>
      <c r="AV470" s="115"/>
      <c r="AW470" s="115"/>
      <c r="AX470" s="115"/>
      <c r="AY470" s="115"/>
      <c r="AZ470" s="115"/>
      <c r="BA470" s="115"/>
      <c r="BB470" s="25">
        <v>45265</v>
      </c>
      <c r="BC470" s="13" t="s">
        <v>162</v>
      </c>
      <c r="BF470" s="114"/>
    </row>
    <row r="471" spans="1:58" ht="19.5" x14ac:dyDescent="0.4">
      <c r="A471" s="117"/>
      <c r="B471" s="123"/>
      <c r="C471" s="123"/>
      <c r="D471" s="123"/>
      <c r="S471" s="26"/>
      <c r="T471" s="13"/>
      <c r="AA471" s="115"/>
      <c r="AB471" s="115"/>
      <c r="AC471" s="115"/>
      <c r="AD471" s="25">
        <v>45686</v>
      </c>
      <c r="AE471" s="15" t="s">
        <v>147</v>
      </c>
      <c r="AJ471" s="117"/>
      <c r="AK471" s="123"/>
      <c r="AL471" s="123"/>
      <c r="AM471" s="123"/>
      <c r="AR471" s="115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25"/>
      <c r="BC471" s="13"/>
      <c r="BF471" s="114"/>
    </row>
    <row r="472" spans="1:58" ht="19.5" x14ac:dyDescent="0.4">
      <c r="A472" s="117"/>
      <c r="B472" s="123"/>
      <c r="C472" s="123"/>
      <c r="D472" s="123"/>
      <c r="S472" s="26"/>
      <c r="T472" s="13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25">
        <v>45686</v>
      </c>
      <c r="AE472" s="13" t="s">
        <v>146</v>
      </c>
      <c r="AJ472" s="117"/>
      <c r="AK472" s="123"/>
      <c r="AL472" s="123"/>
      <c r="AM472" s="123"/>
      <c r="AR472" s="115"/>
      <c r="AS472" s="115"/>
      <c r="AT472" s="115"/>
      <c r="AU472" s="115"/>
      <c r="AV472" s="115"/>
      <c r="AW472" s="115"/>
      <c r="AX472" s="115"/>
      <c r="AY472" s="115"/>
      <c r="AZ472" s="115"/>
      <c r="BA472" s="115"/>
      <c r="BB472" s="25"/>
      <c r="BC472" s="13"/>
      <c r="BF472" s="114"/>
    </row>
    <row r="473" spans="1:58" ht="19.5" x14ac:dyDescent="0.4">
      <c r="A473" s="117"/>
      <c r="B473" s="123"/>
      <c r="C473" s="123"/>
      <c r="D473" s="123"/>
      <c r="S473" s="26"/>
      <c r="T473" s="13"/>
      <c r="AD473" s="25">
        <v>45686</v>
      </c>
      <c r="AE473" s="25" t="s">
        <v>146</v>
      </c>
      <c r="AJ473" s="117"/>
      <c r="AK473" s="123"/>
      <c r="AL473" s="123"/>
      <c r="AM473" s="123"/>
      <c r="AR473" s="115"/>
      <c r="AS473" s="115"/>
      <c r="AT473" s="115"/>
      <c r="AU473" s="115"/>
      <c r="AV473" s="115"/>
      <c r="AW473" s="115"/>
      <c r="AX473" s="115"/>
      <c r="AY473" s="115"/>
      <c r="AZ473" s="115"/>
      <c r="BA473" s="115"/>
      <c r="BB473" s="25">
        <v>45265</v>
      </c>
      <c r="BC473" s="13" t="s">
        <v>163</v>
      </c>
      <c r="BF473" s="114"/>
    </row>
    <row r="474" spans="1:58" ht="19.5" x14ac:dyDescent="0.4">
      <c r="A474" s="117"/>
      <c r="B474" s="123"/>
      <c r="C474" s="123"/>
      <c r="D474" s="123"/>
      <c r="S474" s="26"/>
      <c r="T474" s="13"/>
      <c r="AD474" s="25">
        <v>45686</v>
      </c>
      <c r="AE474" s="25" t="s">
        <v>147</v>
      </c>
      <c r="AJ474" s="117"/>
      <c r="AK474" s="123"/>
      <c r="AL474" s="123"/>
      <c r="AM474" s="123"/>
      <c r="AR474" s="115"/>
      <c r="AS474" s="115"/>
      <c r="AT474" s="115"/>
      <c r="AU474" s="115"/>
      <c r="AV474" s="115"/>
      <c r="AW474" s="115"/>
      <c r="AX474" s="115"/>
      <c r="AY474" s="115"/>
      <c r="AZ474" s="115"/>
      <c r="BA474" s="115" t="s">
        <v>155</v>
      </c>
      <c r="BB474" s="13">
        <f>SUBTOTAL(3,BB463:BB473)</f>
        <v>5</v>
      </c>
      <c r="BC474" s="13">
        <f>SUBTOTAL(3,BC463:BC473)</f>
        <v>5</v>
      </c>
      <c r="BF474" s="114"/>
    </row>
    <row r="475" spans="1:58" ht="19.5" x14ac:dyDescent="0.4">
      <c r="A475" s="117"/>
      <c r="B475" s="123"/>
      <c r="C475" s="123"/>
      <c r="D475" s="123"/>
      <c r="S475" s="26"/>
      <c r="T475" s="13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25">
        <v>45686</v>
      </c>
      <c r="AE475" s="25" t="s">
        <v>148</v>
      </c>
      <c r="AJ475" s="117"/>
      <c r="AK475" s="123"/>
      <c r="AL475" s="123"/>
      <c r="AM475" s="123"/>
      <c r="AR475" s="115"/>
      <c r="AS475" s="115"/>
      <c r="AT475" s="115"/>
      <c r="AU475" s="115"/>
      <c r="AV475" s="115"/>
      <c r="AW475" s="115"/>
      <c r="AX475" s="115"/>
      <c r="AY475" s="115"/>
      <c r="AZ475" s="115"/>
      <c r="BA475" s="115"/>
      <c r="BB475" s="13"/>
      <c r="BC475" s="13"/>
      <c r="BF475" s="114"/>
    </row>
    <row r="476" spans="1:58" ht="19.5" x14ac:dyDescent="0.4">
      <c r="A476" s="117"/>
      <c r="B476" s="123"/>
      <c r="C476" s="123"/>
      <c r="D476" s="123"/>
      <c r="S476" s="26"/>
      <c r="T476" s="13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5">
        <v>45686</v>
      </c>
      <c r="AE476" s="13" t="s">
        <v>146</v>
      </c>
      <c r="AJ476" s="117"/>
      <c r="AK476" s="123"/>
      <c r="AL476" s="123"/>
      <c r="AM476" s="123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3"/>
      <c r="BC476" s="13"/>
      <c r="BF476" s="114"/>
    </row>
    <row r="477" spans="1:58" ht="19.5" x14ac:dyDescent="0.4">
      <c r="A477" s="117"/>
      <c r="B477" s="123"/>
      <c r="C477" s="123"/>
      <c r="D477" s="123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26"/>
      <c r="T477" s="13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25">
        <v>45686</v>
      </c>
      <c r="AE477" s="13" t="s">
        <v>146</v>
      </c>
      <c r="AJ477" s="117"/>
      <c r="AK477" s="123"/>
      <c r="AL477" s="123"/>
      <c r="AM477" s="123"/>
      <c r="AR477" s="115"/>
      <c r="AS477" s="115"/>
      <c r="AT477" s="115"/>
      <c r="AU477" s="115"/>
      <c r="AV477" s="115"/>
      <c r="AW477" s="115"/>
      <c r="AX477" s="115"/>
      <c r="AY477" s="115"/>
      <c r="AZ477" s="115"/>
      <c r="BA477" s="115"/>
      <c r="BB477" s="13"/>
      <c r="BC477" s="13"/>
      <c r="BF477" s="114"/>
    </row>
    <row r="478" spans="1:58" ht="19.5" x14ac:dyDescent="0.4">
      <c r="A478" s="117"/>
      <c r="B478" s="123"/>
      <c r="C478" s="123"/>
      <c r="D478" s="123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26"/>
      <c r="T478" s="13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25">
        <v>45686</v>
      </c>
      <c r="AE478" s="15" t="s">
        <v>148</v>
      </c>
      <c r="AJ478" s="117"/>
      <c r="AK478" s="123"/>
      <c r="AL478" s="123"/>
      <c r="AM478" s="123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15"/>
      <c r="BB478" s="13"/>
      <c r="BC478" s="13"/>
      <c r="BF478" s="114"/>
    </row>
    <row r="479" spans="1:58" ht="19.5" x14ac:dyDescent="0.4">
      <c r="A479" s="117"/>
      <c r="B479" s="123"/>
      <c r="C479" s="123"/>
      <c r="D479" s="123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26"/>
      <c r="T479" s="13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25">
        <v>45686</v>
      </c>
      <c r="AE479" s="15" t="s">
        <v>148</v>
      </c>
      <c r="AJ479" s="117"/>
      <c r="AK479" s="123"/>
      <c r="AL479" s="123"/>
      <c r="AM479" s="123"/>
      <c r="AR479" s="115"/>
      <c r="AS479" s="115"/>
      <c r="AT479" s="115"/>
      <c r="AU479" s="115"/>
      <c r="AV479" s="115"/>
      <c r="AW479" s="115"/>
      <c r="AX479" s="115"/>
      <c r="AY479" s="115"/>
      <c r="AZ479" s="115"/>
      <c r="BA479" s="115"/>
      <c r="BB479" s="13"/>
      <c r="BC479" s="13"/>
      <c r="BF479" s="114"/>
    </row>
    <row r="480" spans="1:58" ht="19.5" x14ac:dyDescent="0.4">
      <c r="A480" s="117"/>
      <c r="B480" s="123"/>
      <c r="C480" s="123"/>
      <c r="D480" s="123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26"/>
      <c r="T480" s="13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25">
        <v>45686</v>
      </c>
      <c r="AE480" s="15" t="s">
        <v>148</v>
      </c>
      <c r="AJ480" s="117"/>
      <c r="AK480" s="123"/>
      <c r="AL480" s="123"/>
      <c r="AM480" s="123"/>
      <c r="AR480" s="115"/>
      <c r="AS480" s="115"/>
      <c r="AT480" s="115"/>
      <c r="AU480" s="115"/>
      <c r="AV480" s="115"/>
      <c r="AW480" s="115"/>
      <c r="AX480" s="115"/>
      <c r="AY480" s="115"/>
      <c r="AZ480" s="115"/>
      <c r="BA480" s="115"/>
      <c r="BB480" s="13"/>
      <c r="BC480" s="13"/>
      <c r="BF480" s="114"/>
    </row>
    <row r="481" spans="1:58" ht="19.5" x14ac:dyDescent="0.4">
      <c r="A481" s="117"/>
      <c r="B481" s="123"/>
      <c r="C481" s="123"/>
      <c r="D481" s="123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26"/>
      <c r="T481" s="13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5">
        <v>45686</v>
      </c>
      <c r="AE481" s="15" t="s">
        <v>146</v>
      </c>
      <c r="AJ481" s="117"/>
      <c r="AK481" s="123"/>
      <c r="AL481" s="123"/>
      <c r="AM481" s="123"/>
      <c r="AR481" s="115"/>
      <c r="AS481" s="115"/>
      <c r="AT481" s="115"/>
      <c r="AU481" s="115"/>
      <c r="AV481" s="115"/>
      <c r="AW481" s="115"/>
      <c r="AX481" s="115"/>
      <c r="AY481" s="115"/>
      <c r="AZ481" s="115"/>
      <c r="BA481" s="115"/>
      <c r="BB481" s="13"/>
      <c r="BC481" s="13"/>
      <c r="BF481" s="114"/>
    </row>
    <row r="482" spans="1:58" ht="19.5" x14ac:dyDescent="0.4">
      <c r="A482" s="117"/>
      <c r="B482" s="123"/>
      <c r="C482" s="123"/>
      <c r="D482" s="123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26"/>
      <c r="T482" s="13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25">
        <v>45686</v>
      </c>
      <c r="AE482" s="15" t="s">
        <v>148</v>
      </c>
      <c r="AJ482" s="117"/>
      <c r="AK482" s="123"/>
      <c r="AL482" s="123"/>
      <c r="AM482" s="123"/>
      <c r="AR482" s="115"/>
      <c r="AS482" s="115"/>
      <c r="AT482" s="115"/>
      <c r="AU482" s="115"/>
      <c r="AV482" s="115"/>
      <c r="AW482" s="115"/>
      <c r="AX482" s="115"/>
      <c r="AY482" s="115"/>
      <c r="AZ482" s="115"/>
      <c r="BA482" s="115"/>
      <c r="BB482" s="13"/>
      <c r="BC482" s="13"/>
      <c r="BF482" s="114"/>
    </row>
    <row r="483" spans="1:58" ht="19.5" x14ac:dyDescent="0.4">
      <c r="A483" s="117"/>
      <c r="B483" s="123"/>
      <c r="C483" s="123"/>
      <c r="D483" s="123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26"/>
      <c r="T483" s="13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5">
        <v>45689</v>
      </c>
      <c r="AE483" s="15" t="s">
        <v>147</v>
      </c>
      <c r="AJ483" s="117"/>
      <c r="AK483" s="123"/>
      <c r="AL483" s="123"/>
      <c r="AM483" s="123"/>
      <c r="AR483" s="115"/>
      <c r="AS483" s="115"/>
      <c r="AT483" s="115"/>
      <c r="AU483" s="115"/>
      <c r="AV483" s="115"/>
      <c r="AW483" s="115"/>
      <c r="AX483" s="115"/>
      <c r="AY483" s="115"/>
      <c r="AZ483" s="115"/>
      <c r="BA483" s="115"/>
      <c r="BB483" s="13"/>
      <c r="BC483" s="13"/>
      <c r="BF483" s="114"/>
    </row>
    <row r="484" spans="1:58" ht="19.5" x14ac:dyDescent="0.4">
      <c r="A484" s="117"/>
      <c r="B484" s="123"/>
      <c r="C484" s="123"/>
      <c r="D484" s="123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26"/>
      <c r="T484" s="13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25"/>
      <c r="AE484" s="15"/>
      <c r="AJ484" s="117"/>
      <c r="AK484" s="123"/>
      <c r="AL484" s="123"/>
      <c r="AM484" s="123"/>
      <c r="AR484" s="115"/>
      <c r="AS484" s="115"/>
      <c r="AT484" s="115"/>
      <c r="AU484" s="115"/>
      <c r="AV484" s="115"/>
      <c r="AW484" s="115"/>
      <c r="AX484" s="115"/>
      <c r="AY484" s="115"/>
      <c r="AZ484" s="115"/>
      <c r="BA484" s="115"/>
      <c r="BB484" s="13"/>
      <c r="BC484" s="13"/>
      <c r="BF484" s="114"/>
    </row>
    <row r="485" spans="1:58" ht="19.5" x14ac:dyDescent="0.4">
      <c r="A485" s="117"/>
      <c r="B485" s="123"/>
      <c r="C485" s="123"/>
      <c r="D485" s="123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26"/>
      <c r="T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5">
        <v>45689</v>
      </c>
      <c r="AE485" s="15" t="s">
        <v>147</v>
      </c>
      <c r="AJ485" s="117"/>
      <c r="AK485" s="123"/>
      <c r="AL485" s="123"/>
      <c r="AM485" s="123"/>
      <c r="AR485" s="115"/>
      <c r="AS485" s="115"/>
      <c r="AT485" s="115"/>
      <c r="AU485" s="115"/>
      <c r="AV485" s="115"/>
      <c r="AW485" s="115"/>
      <c r="AX485" s="115"/>
      <c r="AY485" s="115"/>
      <c r="AZ485" s="115"/>
      <c r="BA485" s="115"/>
      <c r="BB485" s="13"/>
      <c r="BC485" s="13"/>
      <c r="BF485" s="114"/>
    </row>
    <row r="486" spans="1:58" ht="19.5" x14ac:dyDescent="0.4">
      <c r="A486" s="117"/>
      <c r="B486" s="123"/>
      <c r="C486" s="123"/>
      <c r="D486" s="123"/>
      <c r="S486" s="26"/>
      <c r="T486" s="13"/>
      <c r="AD486" s="25">
        <v>45689</v>
      </c>
      <c r="AE486" s="15" t="s">
        <v>146</v>
      </c>
      <c r="AJ486" s="117"/>
      <c r="AK486" s="123"/>
      <c r="AL486" s="123"/>
      <c r="AM486" s="123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115"/>
      <c r="AZ486" s="115"/>
      <c r="BA486" s="115"/>
      <c r="BB486" s="25">
        <v>45266</v>
      </c>
      <c r="BC486" s="25" t="s">
        <v>162</v>
      </c>
      <c r="BF486" s="114"/>
    </row>
    <row r="487" spans="1:58" ht="19.5" x14ac:dyDescent="0.4">
      <c r="A487" s="117"/>
      <c r="B487" s="123"/>
      <c r="C487" s="123"/>
      <c r="D487" s="123"/>
      <c r="S487" s="129"/>
      <c r="T487" s="13"/>
      <c r="AD487" s="25"/>
      <c r="AE487" s="15"/>
      <c r="AJ487" s="117"/>
      <c r="AK487" s="123"/>
      <c r="AL487" s="123"/>
      <c r="AM487" s="123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115"/>
      <c r="BA487" s="115"/>
      <c r="BB487" s="25"/>
      <c r="BC487" s="25"/>
      <c r="BF487" s="114"/>
    </row>
    <row r="488" spans="1:58" ht="19.5" x14ac:dyDescent="0.4">
      <c r="A488" s="117"/>
      <c r="B488" s="123"/>
      <c r="C488" s="123"/>
      <c r="D488" s="123"/>
      <c r="S488" s="26"/>
      <c r="T488" s="13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25">
        <v>45689</v>
      </c>
      <c r="AE488" s="15" t="s">
        <v>146</v>
      </c>
      <c r="AJ488" s="117"/>
      <c r="AK488" s="123"/>
      <c r="AL488" s="123"/>
      <c r="AM488" s="123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25"/>
      <c r="BC488" s="25"/>
      <c r="BF488" s="114"/>
    </row>
    <row r="489" spans="1:58" ht="19.5" x14ac:dyDescent="0.4">
      <c r="A489" s="117"/>
      <c r="B489" s="123"/>
      <c r="C489" s="123"/>
      <c r="D489" s="123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26"/>
      <c r="T489" s="13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25"/>
      <c r="AE489" s="15"/>
      <c r="AJ489" s="117"/>
      <c r="AK489" s="123"/>
      <c r="AL489" s="123"/>
      <c r="AM489" s="123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115"/>
      <c r="AZ489" s="115"/>
      <c r="BA489" s="115"/>
      <c r="BB489" s="25"/>
      <c r="BC489" s="25"/>
      <c r="BF489" s="114"/>
    </row>
    <row r="490" spans="1:58" ht="19.5" x14ac:dyDescent="0.4">
      <c r="A490" s="117"/>
      <c r="B490" s="123"/>
      <c r="C490" s="123"/>
      <c r="D490" s="123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26"/>
      <c r="T490" s="13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25"/>
      <c r="AE490" s="15"/>
      <c r="AJ490" s="117"/>
      <c r="AK490" s="123"/>
      <c r="AL490" s="123"/>
      <c r="AM490" s="123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115"/>
      <c r="BA490" s="115"/>
      <c r="BB490" s="25"/>
      <c r="BC490" s="25"/>
      <c r="BF490" s="114"/>
    </row>
    <row r="491" spans="1:58" ht="19.5" x14ac:dyDescent="0.4">
      <c r="A491" s="117"/>
      <c r="B491" s="123"/>
      <c r="C491" s="123"/>
      <c r="D491" s="123"/>
      <c r="S491" s="26"/>
      <c r="T491" s="13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25">
        <v>45690</v>
      </c>
      <c r="AE491" s="15" t="s">
        <v>146</v>
      </c>
      <c r="AJ491" s="117"/>
      <c r="AK491" s="123"/>
      <c r="AL491" s="123"/>
      <c r="AM491" s="123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115"/>
      <c r="BA491" s="115"/>
      <c r="BB491" s="25"/>
      <c r="BC491" s="25"/>
      <c r="BF491" s="114"/>
    </row>
    <row r="492" spans="1:58" ht="19.5" x14ac:dyDescent="0.4">
      <c r="A492" s="117"/>
      <c r="B492" s="123"/>
      <c r="C492" s="123"/>
      <c r="D492" s="123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26"/>
      <c r="T492" s="13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25"/>
      <c r="AE492" s="15"/>
      <c r="AJ492" s="117"/>
      <c r="AK492" s="123"/>
      <c r="AL492" s="123"/>
      <c r="AM492" s="123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115"/>
      <c r="AZ492" s="115"/>
      <c r="BA492" s="115"/>
      <c r="BB492" s="25"/>
      <c r="BC492" s="25"/>
      <c r="BF492" s="114"/>
    </row>
    <row r="493" spans="1:58" ht="19.5" x14ac:dyDescent="0.4">
      <c r="A493" s="117"/>
      <c r="B493" s="123"/>
      <c r="C493" s="123"/>
      <c r="D493" s="123"/>
      <c r="S493" s="26"/>
      <c r="T493" s="13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25">
        <v>45691</v>
      </c>
      <c r="AE493" s="15" t="s">
        <v>146</v>
      </c>
      <c r="AJ493" s="117"/>
      <c r="AK493" s="123"/>
      <c r="AL493" s="123"/>
      <c r="AM493" s="123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15"/>
      <c r="BA493" s="115"/>
      <c r="BB493" s="25"/>
      <c r="BC493" s="25"/>
      <c r="BF493" s="114"/>
    </row>
    <row r="494" spans="1:58" ht="19.5" x14ac:dyDescent="0.4">
      <c r="A494" s="117"/>
      <c r="B494" s="123"/>
      <c r="C494" s="123"/>
      <c r="D494" s="123"/>
      <c r="S494" s="26"/>
      <c r="T494" s="13"/>
      <c r="AD494" s="25">
        <v>45691</v>
      </c>
      <c r="AE494" s="15" t="s">
        <v>146</v>
      </c>
      <c r="AJ494" s="117"/>
      <c r="AK494" s="123"/>
      <c r="AL494" s="123"/>
      <c r="AM494" s="123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 t="s">
        <v>156</v>
      </c>
      <c r="BB494" s="13">
        <f>SUBTOTAL(3,BB486:BB486)</f>
        <v>1</v>
      </c>
      <c r="BC494" s="13">
        <f>SUBTOTAL(3,BC486:BC486)</f>
        <v>1</v>
      </c>
      <c r="BF494" s="114"/>
    </row>
    <row r="495" spans="1:58" ht="19.5" x14ac:dyDescent="0.4">
      <c r="A495" s="117"/>
      <c r="B495" s="123"/>
      <c r="C495" s="123"/>
      <c r="D495" s="123"/>
      <c r="S495" s="26"/>
      <c r="T495" s="13"/>
      <c r="Z495" s="115"/>
      <c r="AA495" s="115"/>
      <c r="AB495" s="115"/>
      <c r="AC495" s="115"/>
      <c r="AD495" s="25">
        <v>45691</v>
      </c>
      <c r="AE495" s="15" t="s">
        <v>146</v>
      </c>
      <c r="AJ495" s="117"/>
      <c r="AK495" s="123"/>
      <c r="AL495" s="123"/>
      <c r="AM495" s="123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115"/>
      <c r="AZ495" s="115"/>
      <c r="BA495" s="115"/>
      <c r="BB495" s="13"/>
      <c r="BC495" s="13"/>
      <c r="BF495" s="114"/>
    </row>
    <row r="496" spans="1:58" ht="19.5" x14ac:dyDescent="0.4">
      <c r="A496" s="117"/>
      <c r="B496" s="123"/>
      <c r="C496" s="123"/>
      <c r="D496" s="123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26"/>
      <c r="T496" s="13"/>
      <c r="Z496" s="115"/>
      <c r="AA496" s="115"/>
      <c r="AB496" s="115"/>
      <c r="AC496" s="115"/>
      <c r="AD496" s="25"/>
      <c r="AE496" s="15"/>
      <c r="AJ496" s="117"/>
      <c r="AK496" s="123"/>
      <c r="AL496" s="123"/>
      <c r="AM496" s="123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15"/>
      <c r="BA496" s="115"/>
      <c r="BB496" s="13"/>
      <c r="BC496" s="13"/>
      <c r="BF496" s="114"/>
    </row>
    <row r="497" spans="1:58" ht="19.5" x14ac:dyDescent="0.4">
      <c r="A497" s="117"/>
      <c r="B497" s="123"/>
      <c r="C497" s="123"/>
      <c r="D497" s="123"/>
      <c r="S497" s="26"/>
      <c r="T497" s="13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25">
        <v>45691</v>
      </c>
      <c r="AE497" s="15" t="s">
        <v>146</v>
      </c>
      <c r="AJ497" s="117"/>
      <c r="AK497" s="123"/>
      <c r="AL497" s="123"/>
      <c r="AM497" s="123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15"/>
      <c r="BA497" s="115"/>
      <c r="BB497" s="13"/>
      <c r="BC497" s="13"/>
      <c r="BF497" s="114"/>
    </row>
    <row r="498" spans="1:58" ht="19.5" x14ac:dyDescent="0.4">
      <c r="A498" s="117"/>
      <c r="B498" s="123"/>
      <c r="C498" s="123"/>
      <c r="D498" s="123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26"/>
      <c r="T498" s="13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25"/>
      <c r="AE498" s="15"/>
      <c r="AJ498" s="117"/>
      <c r="AK498" s="123"/>
      <c r="AL498" s="123"/>
      <c r="AM498" s="123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3"/>
      <c r="BC498" s="13"/>
      <c r="BF498" s="114"/>
    </row>
    <row r="499" spans="1:58" ht="19.5" x14ac:dyDescent="0.4">
      <c r="A499" s="117"/>
      <c r="B499" s="123"/>
      <c r="C499" s="123"/>
      <c r="D499" s="123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26"/>
      <c r="T499" s="13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25"/>
      <c r="AE499" s="15"/>
      <c r="AJ499" s="117"/>
      <c r="AK499" s="123"/>
      <c r="AL499" s="123"/>
      <c r="AM499" s="123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15"/>
      <c r="BA499" s="115"/>
      <c r="BB499" s="13"/>
      <c r="BC499" s="13"/>
      <c r="BF499" s="114"/>
    </row>
    <row r="500" spans="1:58" ht="19.5" x14ac:dyDescent="0.4">
      <c r="A500" s="117"/>
      <c r="B500" s="123"/>
      <c r="C500" s="123"/>
      <c r="D500" s="123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26"/>
      <c r="T500" s="13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5"/>
      <c r="AE500" s="15"/>
      <c r="AJ500" s="117"/>
      <c r="AK500" s="123"/>
      <c r="AL500" s="123"/>
      <c r="AM500" s="123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15"/>
      <c r="BA500" s="115"/>
      <c r="BB500" s="13"/>
      <c r="BC500" s="13"/>
      <c r="BF500" s="114"/>
    </row>
    <row r="501" spans="1:58" ht="19.5" x14ac:dyDescent="0.4">
      <c r="A501" s="117"/>
      <c r="B501" s="123"/>
      <c r="C501" s="123"/>
      <c r="D501" s="123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29"/>
      <c r="T501" s="13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25"/>
      <c r="AE501" s="15"/>
      <c r="AJ501" s="117"/>
      <c r="AK501" s="123"/>
      <c r="AL501" s="123"/>
      <c r="AM501" s="123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3"/>
      <c r="BC501" s="13"/>
      <c r="BF501" s="114"/>
    </row>
    <row r="502" spans="1:58" ht="19.5" x14ac:dyDescent="0.4">
      <c r="A502" s="117"/>
      <c r="B502" s="123"/>
      <c r="C502" s="123"/>
      <c r="D502" s="123"/>
      <c r="S502" s="26"/>
      <c r="T502" s="13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25">
        <v>45692</v>
      </c>
      <c r="AE502" s="15" t="s">
        <v>146</v>
      </c>
      <c r="AJ502" s="117"/>
      <c r="AK502" s="123"/>
      <c r="AL502" s="123"/>
      <c r="AM502" s="123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115"/>
      <c r="BA502" s="115"/>
      <c r="BB502" s="13"/>
      <c r="BC502" s="13"/>
      <c r="BF502" s="114"/>
    </row>
    <row r="503" spans="1:58" ht="19.5" x14ac:dyDescent="0.4">
      <c r="A503" s="117"/>
      <c r="B503" s="123"/>
      <c r="C503" s="123"/>
      <c r="D503" s="123"/>
      <c r="S503" s="129"/>
      <c r="T503" s="13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25"/>
      <c r="AE503" s="15"/>
      <c r="AJ503" s="117"/>
      <c r="AK503" s="123"/>
      <c r="AL503" s="123"/>
      <c r="AM503" s="123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3"/>
      <c r="BC503" s="13"/>
      <c r="BF503" s="114"/>
    </row>
    <row r="504" spans="1:58" ht="19.5" x14ac:dyDescent="0.4">
      <c r="A504" s="117"/>
      <c r="B504" s="123"/>
      <c r="C504" s="123"/>
      <c r="D504" s="123"/>
      <c r="S504" s="26"/>
      <c r="T504" s="13"/>
      <c r="AD504" s="25">
        <v>45692</v>
      </c>
      <c r="AE504" s="15" t="s">
        <v>146</v>
      </c>
      <c r="AJ504" s="117"/>
      <c r="AK504" s="123"/>
      <c r="AL504" s="123"/>
      <c r="AM504" s="123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25">
        <v>45267</v>
      </c>
      <c r="BC504" s="13" t="s">
        <v>142</v>
      </c>
      <c r="BF504" s="114"/>
    </row>
    <row r="505" spans="1:58" ht="19.5" x14ac:dyDescent="0.4">
      <c r="A505" s="117"/>
      <c r="B505" s="123"/>
      <c r="C505" s="123"/>
      <c r="D505" s="123"/>
      <c r="S505" s="26"/>
      <c r="T505" s="13"/>
      <c r="Z505" s="115"/>
      <c r="AA505" s="115"/>
      <c r="AB505" s="115"/>
      <c r="AC505" s="115"/>
      <c r="AD505" s="25">
        <v>45692</v>
      </c>
      <c r="AE505" s="15" t="s">
        <v>146</v>
      </c>
      <c r="AJ505" s="117"/>
      <c r="AK505" s="123"/>
      <c r="AL505" s="123"/>
      <c r="AM505" s="123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25"/>
      <c r="BC505" s="13"/>
      <c r="BF505" s="114"/>
    </row>
    <row r="506" spans="1:58" ht="19.5" x14ac:dyDescent="0.4">
      <c r="A506" s="117"/>
      <c r="B506" s="123"/>
      <c r="C506" s="123"/>
      <c r="D506" s="123"/>
      <c r="S506" s="26"/>
      <c r="T506" s="13"/>
      <c r="V506" s="115"/>
      <c r="W506" s="115"/>
      <c r="X506" s="115"/>
      <c r="Y506" s="115"/>
      <c r="Z506" s="115"/>
      <c r="AA506" s="115"/>
      <c r="AB506" s="115"/>
      <c r="AC506" s="115"/>
      <c r="AD506" s="25">
        <v>45692</v>
      </c>
      <c r="AE506" s="15" t="s">
        <v>146</v>
      </c>
      <c r="AJ506" s="117"/>
      <c r="AK506" s="123"/>
      <c r="AL506" s="123"/>
      <c r="AM506" s="123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25"/>
      <c r="BC506" s="13"/>
      <c r="BF506" s="114"/>
    </row>
    <row r="507" spans="1:58" ht="19.5" x14ac:dyDescent="0.4">
      <c r="A507" s="117"/>
      <c r="B507" s="123"/>
      <c r="C507" s="123"/>
      <c r="D507" s="123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26"/>
      <c r="T507" s="13"/>
      <c r="V507" s="115"/>
      <c r="W507" s="115"/>
      <c r="X507" s="115"/>
      <c r="Y507" s="115"/>
      <c r="Z507" s="115"/>
      <c r="AA507" s="115"/>
      <c r="AB507" s="115"/>
      <c r="AC507" s="115"/>
      <c r="AD507" s="25"/>
      <c r="AE507" s="15"/>
      <c r="AJ507" s="117"/>
      <c r="AK507" s="123"/>
      <c r="AL507" s="123"/>
      <c r="AM507" s="123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115"/>
      <c r="BB507" s="25"/>
      <c r="BC507" s="13"/>
      <c r="BF507" s="114"/>
    </row>
    <row r="508" spans="1:58" ht="19.5" x14ac:dyDescent="0.4">
      <c r="A508" s="117"/>
      <c r="B508" s="123"/>
      <c r="C508" s="123"/>
      <c r="D508" s="123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29"/>
      <c r="T508" s="13"/>
      <c r="V508" s="115"/>
      <c r="W508" s="115"/>
      <c r="X508" s="115"/>
      <c r="Y508" s="115"/>
      <c r="Z508" s="115"/>
      <c r="AA508" s="115"/>
      <c r="AB508" s="115"/>
      <c r="AC508" s="115"/>
      <c r="AD508" s="25"/>
      <c r="AE508" s="15"/>
      <c r="AJ508" s="117"/>
      <c r="AK508" s="123"/>
      <c r="AL508" s="123"/>
      <c r="AM508" s="123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115"/>
      <c r="BB508" s="25"/>
      <c r="BC508" s="13"/>
      <c r="BF508" s="114"/>
    </row>
    <row r="509" spans="1:58" ht="19.5" x14ac:dyDescent="0.4">
      <c r="A509" s="117"/>
      <c r="B509" s="123"/>
      <c r="C509" s="123"/>
      <c r="D509" s="123"/>
      <c r="S509" s="26"/>
      <c r="T509" s="13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25">
        <v>45693</v>
      </c>
      <c r="AE509" s="15" t="s">
        <v>146</v>
      </c>
      <c r="AJ509" s="117"/>
      <c r="AK509" s="123"/>
      <c r="AL509" s="123"/>
      <c r="AM509" s="123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25"/>
      <c r="BC509" s="13"/>
      <c r="BF509" s="114"/>
    </row>
    <row r="510" spans="1:58" ht="19.5" x14ac:dyDescent="0.4">
      <c r="A510" s="117"/>
      <c r="B510" s="123"/>
      <c r="C510" s="123"/>
      <c r="D510" s="123"/>
      <c r="S510" s="129"/>
      <c r="T510" s="13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25"/>
      <c r="AE510" s="15"/>
      <c r="AJ510" s="117"/>
      <c r="AK510" s="123"/>
      <c r="AL510" s="123"/>
      <c r="AM510" s="123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115"/>
      <c r="BB510" s="25"/>
      <c r="BC510" s="13"/>
      <c r="BF510" s="114"/>
    </row>
    <row r="511" spans="1:58" ht="19.5" x14ac:dyDescent="0.4">
      <c r="A511" s="117"/>
      <c r="B511" s="123"/>
      <c r="C511" s="123"/>
      <c r="D511" s="123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26"/>
      <c r="T511" s="13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25"/>
      <c r="AE511" s="15"/>
      <c r="AJ511" s="117"/>
      <c r="AK511" s="123"/>
      <c r="AL511" s="123"/>
      <c r="AM511" s="123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/>
      <c r="BB511" s="25"/>
      <c r="BC511" s="13"/>
      <c r="BF511" s="114"/>
    </row>
    <row r="512" spans="1:58" ht="19.5" x14ac:dyDescent="0.4">
      <c r="A512" s="117"/>
      <c r="B512" s="123"/>
      <c r="C512" s="123"/>
      <c r="D512" s="123"/>
      <c r="S512" s="26"/>
      <c r="T512" s="13"/>
      <c r="AD512" s="25">
        <v>45693</v>
      </c>
      <c r="AE512" s="15" t="s">
        <v>146</v>
      </c>
      <c r="AJ512" s="117"/>
      <c r="AK512" s="123"/>
      <c r="AL512" s="123"/>
      <c r="AM512" s="123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115" t="s">
        <v>157</v>
      </c>
      <c r="BB512" s="13">
        <f>SUBTOTAL(3,BB504:BB504)</f>
        <v>1</v>
      </c>
      <c r="BC512" s="13">
        <f>SUBTOTAL(3,BC504:BC504)</f>
        <v>1</v>
      </c>
      <c r="BF512" s="114"/>
    </row>
    <row r="513" spans="1:58" ht="19.5" x14ac:dyDescent="0.4">
      <c r="A513" s="117"/>
      <c r="B513" s="123"/>
      <c r="C513" s="123"/>
      <c r="D513" s="123"/>
      <c r="S513" s="26"/>
      <c r="T513" s="13"/>
      <c r="V513" s="115"/>
      <c r="W513" s="115"/>
      <c r="X513" s="115"/>
      <c r="Y513" s="115"/>
      <c r="Z513" s="115"/>
      <c r="AA513" s="115"/>
      <c r="AB513" s="115"/>
      <c r="AC513" s="115"/>
      <c r="AD513" s="25">
        <v>45693</v>
      </c>
      <c r="AE513" s="15" t="s">
        <v>146</v>
      </c>
      <c r="AJ513" s="117"/>
      <c r="AK513" s="123"/>
      <c r="AL513" s="123"/>
      <c r="AM513" s="123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3"/>
      <c r="BC513" s="13"/>
      <c r="BF513" s="114"/>
    </row>
    <row r="514" spans="1:58" ht="19.5" x14ac:dyDescent="0.4">
      <c r="A514" s="117"/>
      <c r="B514" s="123"/>
      <c r="C514" s="123"/>
      <c r="D514" s="123"/>
      <c r="S514" s="129"/>
      <c r="T514" s="13"/>
      <c r="V514" s="115"/>
      <c r="W514" s="115"/>
      <c r="X514" s="115"/>
      <c r="Y514" s="115"/>
      <c r="Z514" s="115"/>
      <c r="AA514" s="115"/>
      <c r="AB514" s="115"/>
      <c r="AC514" s="115"/>
      <c r="AD514" s="25"/>
      <c r="AE514" s="15"/>
      <c r="AJ514" s="117"/>
      <c r="AK514" s="123"/>
      <c r="AL514" s="123"/>
      <c r="AM514" s="123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3"/>
      <c r="BC514" s="13"/>
      <c r="BF514" s="114"/>
    </row>
    <row r="515" spans="1:58" ht="19.5" x14ac:dyDescent="0.4">
      <c r="A515" s="117"/>
      <c r="B515" s="123"/>
      <c r="C515" s="123"/>
      <c r="D515" s="123"/>
      <c r="S515" s="129"/>
      <c r="T515" s="13"/>
      <c r="V515" s="115"/>
      <c r="W515" s="115"/>
      <c r="X515" s="115"/>
      <c r="Y515" s="115"/>
      <c r="Z515" s="115"/>
      <c r="AA515" s="115"/>
      <c r="AB515" s="115"/>
      <c r="AC515" s="115"/>
      <c r="AD515" s="25"/>
      <c r="AE515" s="15"/>
      <c r="AJ515" s="117"/>
      <c r="AK515" s="123"/>
      <c r="AL515" s="123"/>
      <c r="AM515" s="123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3"/>
      <c r="BC515" s="13"/>
      <c r="BF515" s="114"/>
    </row>
    <row r="516" spans="1:58" ht="19.5" x14ac:dyDescent="0.4">
      <c r="A516" s="117"/>
      <c r="B516" s="123"/>
      <c r="C516" s="123"/>
      <c r="D516" s="123"/>
      <c r="S516" s="26"/>
      <c r="T516" s="13"/>
      <c r="V516" s="115"/>
      <c r="W516" s="115"/>
      <c r="X516" s="115"/>
      <c r="Y516" s="115"/>
      <c r="Z516" s="115"/>
      <c r="AA516" s="115"/>
      <c r="AB516" s="115"/>
      <c r="AC516" s="115"/>
      <c r="AD516" s="25">
        <v>45694</v>
      </c>
      <c r="AE516" s="15" t="s">
        <v>147</v>
      </c>
      <c r="AJ516" s="117"/>
      <c r="AK516" s="123"/>
      <c r="AL516" s="123"/>
      <c r="AM516" s="123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3"/>
      <c r="BC516" s="13"/>
      <c r="BF516" s="114"/>
    </row>
    <row r="517" spans="1:58" ht="19.5" x14ac:dyDescent="0.4">
      <c r="A517" s="117"/>
      <c r="B517" s="123"/>
      <c r="C517" s="123"/>
      <c r="D517" s="123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7"/>
      <c r="T517" s="13"/>
      <c r="V517" s="115"/>
      <c r="W517" s="115"/>
      <c r="X517" s="115"/>
      <c r="Y517" s="115"/>
      <c r="Z517" s="115"/>
      <c r="AA517" s="115"/>
      <c r="AB517" s="115"/>
      <c r="AC517" s="115"/>
      <c r="AD517" s="25"/>
      <c r="AE517" s="15"/>
      <c r="AJ517" s="117"/>
      <c r="AK517" s="123"/>
      <c r="AL517" s="123"/>
      <c r="AM517" s="123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3"/>
      <c r="BC517" s="13"/>
      <c r="BF517" s="114"/>
    </row>
    <row r="518" spans="1:58" ht="19.5" x14ac:dyDescent="0.4">
      <c r="A518" s="117"/>
      <c r="B518" s="123"/>
      <c r="C518" s="123"/>
      <c r="D518" s="123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7"/>
      <c r="T518" s="13"/>
      <c r="V518" s="115"/>
      <c r="W518" s="115"/>
      <c r="X518" s="115"/>
      <c r="Y518" s="115"/>
      <c r="Z518" s="115"/>
      <c r="AA518" s="115"/>
      <c r="AB518" s="115"/>
      <c r="AC518" s="115"/>
      <c r="AD518" s="25"/>
      <c r="AE518" s="15"/>
      <c r="AJ518" s="117"/>
      <c r="AK518" s="123"/>
      <c r="AL518" s="123"/>
      <c r="AM518" s="123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3"/>
      <c r="BC518" s="13"/>
      <c r="BF518" s="114"/>
    </row>
    <row r="519" spans="1:58" ht="19.5" x14ac:dyDescent="0.4">
      <c r="A519" s="117"/>
      <c r="B519" s="123"/>
      <c r="C519" s="123"/>
      <c r="D519" s="123"/>
      <c r="S519" s="26"/>
      <c r="T519" s="13"/>
      <c r="V519" s="115"/>
      <c r="W519" s="115"/>
      <c r="X519" s="115"/>
      <c r="Y519" s="115"/>
      <c r="Z519" s="115"/>
      <c r="AA519" s="115"/>
      <c r="AB519" s="115"/>
      <c r="AC519" s="115"/>
      <c r="AD519" s="25">
        <v>45694</v>
      </c>
      <c r="AE519" s="105" t="s">
        <v>147</v>
      </c>
      <c r="AJ519" s="117"/>
      <c r="AK519" s="123"/>
      <c r="AL519" s="123"/>
      <c r="AM519" s="123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15"/>
      <c r="BB519" s="13"/>
      <c r="BC519" s="13"/>
      <c r="BF519" s="114"/>
    </row>
    <row r="520" spans="1:58" ht="19.5" x14ac:dyDescent="0.4">
      <c r="A520" s="117"/>
      <c r="B520" s="123"/>
      <c r="C520" s="123"/>
      <c r="D520" s="123"/>
      <c r="S520" s="26"/>
      <c r="T520" s="13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25">
        <v>45694</v>
      </c>
      <c r="AE520" s="15" t="s">
        <v>147</v>
      </c>
      <c r="AJ520" s="117"/>
      <c r="AK520" s="123"/>
      <c r="AL520" s="123"/>
      <c r="AM520" s="123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3"/>
      <c r="BC520" s="13"/>
      <c r="BF520" s="114"/>
    </row>
    <row r="521" spans="1:58" ht="19.5" x14ac:dyDescent="0.4">
      <c r="A521" s="117"/>
      <c r="B521" s="123"/>
      <c r="C521" s="123"/>
      <c r="D521" s="123"/>
      <c r="S521" s="26"/>
      <c r="T521" s="13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6">
        <v>45694</v>
      </c>
      <c r="AE521" s="15" t="s">
        <v>148</v>
      </c>
      <c r="AJ521" s="117"/>
      <c r="AK521" s="123"/>
      <c r="AL521" s="123"/>
      <c r="AM521" s="123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15"/>
      <c r="BB521" s="13"/>
      <c r="BC521" s="13"/>
      <c r="BF521" s="114"/>
    </row>
    <row r="522" spans="1:58" ht="19.5" x14ac:dyDescent="0.4">
      <c r="A522" s="117"/>
      <c r="B522" s="123"/>
      <c r="C522" s="123"/>
      <c r="D522" s="123"/>
      <c r="S522" s="26"/>
      <c r="T522" s="13"/>
      <c r="AD522" s="26">
        <v>45694</v>
      </c>
      <c r="AE522" s="13" t="s">
        <v>147</v>
      </c>
      <c r="AJ522" s="117"/>
      <c r="AK522" s="123"/>
      <c r="AL522" s="123"/>
      <c r="AM522" s="123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25">
        <v>45268</v>
      </c>
      <c r="BC522" s="13" t="s">
        <v>162</v>
      </c>
      <c r="BF522" s="114"/>
    </row>
    <row r="523" spans="1:58" ht="19.5" x14ac:dyDescent="0.4">
      <c r="A523" s="117"/>
      <c r="B523" s="123"/>
      <c r="C523" s="123"/>
      <c r="D523" s="123"/>
      <c r="S523" s="26"/>
      <c r="T523" s="13"/>
      <c r="V523" s="115"/>
      <c r="W523" s="115"/>
      <c r="X523" s="115"/>
      <c r="Y523" s="115"/>
      <c r="Z523" s="115"/>
      <c r="AA523" s="115"/>
      <c r="AB523" s="115"/>
      <c r="AC523" s="115"/>
      <c r="AD523" s="26">
        <v>45694</v>
      </c>
      <c r="AE523" s="13" t="s">
        <v>147</v>
      </c>
      <c r="AJ523" s="117"/>
      <c r="AK523" s="123"/>
      <c r="AL523" s="123"/>
      <c r="AM523" s="123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25"/>
      <c r="BC523" s="13"/>
      <c r="BF523" s="114"/>
    </row>
    <row r="524" spans="1:58" ht="19.5" x14ac:dyDescent="0.4">
      <c r="A524" s="117"/>
      <c r="B524" s="123"/>
      <c r="C524" s="123"/>
      <c r="D524" s="123"/>
      <c r="S524" s="26"/>
      <c r="T524" s="13"/>
      <c r="AD524" s="26">
        <v>45694</v>
      </c>
      <c r="AE524" s="13" t="s">
        <v>147</v>
      </c>
      <c r="AJ524" s="117"/>
      <c r="AK524" s="123"/>
      <c r="AL524" s="123"/>
      <c r="AM524" s="123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115"/>
      <c r="BB524" s="25">
        <v>45268</v>
      </c>
      <c r="BC524" s="13" t="s">
        <v>162</v>
      </c>
      <c r="BF524" s="114"/>
    </row>
    <row r="525" spans="1:58" ht="19.5" x14ac:dyDescent="0.4">
      <c r="A525" s="117"/>
      <c r="B525" s="123"/>
      <c r="C525" s="123"/>
      <c r="D525" s="123"/>
      <c r="S525" s="26"/>
      <c r="T525" s="13"/>
      <c r="AA525" s="115"/>
      <c r="AB525" s="115"/>
      <c r="AC525" s="115"/>
      <c r="AD525" s="26">
        <v>45696</v>
      </c>
      <c r="AE525" s="13" t="s">
        <v>147</v>
      </c>
      <c r="AJ525" s="117"/>
      <c r="AK525" s="123"/>
      <c r="AL525" s="123"/>
      <c r="AM525" s="123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25"/>
      <c r="BC525" s="13"/>
      <c r="BF525" s="114"/>
    </row>
    <row r="526" spans="1:58" ht="19.5" x14ac:dyDescent="0.4">
      <c r="A526" s="117"/>
      <c r="B526" s="123"/>
      <c r="C526" s="123"/>
      <c r="D526" s="123"/>
      <c r="S526" s="26"/>
      <c r="T526" s="13"/>
      <c r="AD526" s="26">
        <v>45698</v>
      </c>
      <c r="AE526" s="13" t="s">
        <v>147</v>
      </c>
      <c r="AJ526" s="117"/>
      <c r="AK526" s="123"/>
      <c r="AL526" s="123"/>
      <c r="AM526" s="123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115"/>
      <c r="BB526" s="25">
        <v>45268</v>
      </c>
      <c r="BC526" s="13" t="s">
        <v>163</v>
      </c>
      <c r="BF526" s="114"/>
    </row>
    <row r="527" spans="1:58" ht="19.5" x14ac:dyDescent="0.4">
      <c r="A527" s="117"/>
      <c r="B527" s="123"/>
      <c r="C527" s="123"/>
      <c r="D527" s="123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7"/>
      <c r="T527" s="13"/>
      <c r="AD527" s="26"/>
      <c r="AE527" s="13"/>
      <c r="AJ527" s="117"/>
      <c r="AK527" s="123"/>
      <c r="AL527" s="123"/>
      <c r="AM527" s="123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25"/>
      <c r="BC527" s="13"/>
      <c r="BF527" s="114"/>
    </row>
    <row r="528" spans="1:58" ht="19.5" x14ac:dyDescent="0.4">
      <c r="A528" s="117"/>
      <c r="B528" s="123"/>
      <c r="C528" s="123"/>
      <c r="D528" s="123"/>
      <c r="S528" s="26"/>
      <c r="T528" s="13"/>
      <c r="AA528" s="115"/>
      <c r="AB528" s="115"/>
      <c r="AC528" s="115"/>
      <c r="AD528" s="26">
        <v>45698</v>
      </c>
      <c r="AE528" s="13" t="s">
        <v>147</v>
      </c>
      <c r="AJ528" s="117"/>
      <c r="AK528" s="123"/>
      <c r="AL528" s="123"/>
      <c r="AM528" s="123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25"/>
      <c r="BC528" s="13"/>
      <c r="BF528" s="114"/>
    </row>
    <row r="529" spans="1:58" ht="19.5" x14ac:dyDescent="0.4">
      <c r="A529" s="117"/>
      <c r="B529" s="123"/>
      <c r="C529" s="123"/>
      <c r="D529" s="123"/>
      <c r="S529" s="26"/>
      <c r="T529" s="13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26">
        <v>45699</v>
      </c>
      <c r="AE529" s="13" t="s">
        <v>148</v>
      </c>
      <c r="AJ529" s="117"/>
      <c r="AK529" s="123"/>
      <c r="AL529" s="123"/>
      <c r="AM529" s="123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25"/>
      <c r="BC529" s="13"/>
      <c r="BF529" s="114"/>
    </row>
    <row r="530" spans="1:58" ht="19.5" x14ac:dyDescent="0.4">
      <c r="A530" s="117"/>
      <c r="B530" s="123"/>
      <c r="C530" s="123"/>
      <c r="D530" s="123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7"/>
      <c r="T530" s="13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26"/>
      <c r="AE530" s="13"/>
      <c r="AJ530" s="117"/>
      <c r="AK530" s="123"/>
      <c r="AL530" s="123"/>
      <c r="AM530" s="123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25"/>
      <c r="BC530" s="13"/>
      <c r="BF530" s="114"/>
    </row>
    <row r="531" spans="1:58" ht="19.5" x14ac:dyDescent="0.4">
      <c r="A531" s="117"/>
      <c r="B531" s="123"/>
      <c r="C531" s="123"/>
      <c r="D531" s="123"/>
      <c r="S531" s="26"/>
      <c r="T531" s="13"/>
      <c r="AD531" s="26">
        <v>45699</v>
      </c>
      <c r="AE531" s="13" t="s">
        <v>148</v>
      </c>
      <c r="AJ531" s="117"/>
      <c r="AK531" s="123"/>
      <c r="AL531" s="123"/>
      <c r="AM531" s="123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25">
        <v>45268</v>
      </c>
      <c r="BC531" s="13" t="s">
        <v>163</v>
      </c>
      <c r="BF531" s="114"/>
    </row>
    <row r="532" spans="1:58" ht="19.5" x14ac:dyDescent="0.4">
      <c r="A532" s="117"/>
      <c r="B532" s="123"/>
      <c r="C532" s="123"/>
      <c r="D532" s="123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7"/>
      <c r="T532" s="13"/>
      <c r="AD532" s="26"/>
      <c r="AE532" s="13"/>
      <c r="AJ532" s="117"/>
      <c r="AK532" s="123"/>
      <c r="AL532" s="123"/>
      <c r="AM532" s="123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25"/>
      <c r="BC532" s="13"/>
      <c r="BF532" s="114"/>
    </row>
    <row r="533" spans="1:58" ht="19.5" x14ac:dyDescent="0.4">
      <c r="A533" s="117"/>
      <c r="B533" s="123"/>
      <c r="C533" s="123"/>
      <c r="D533" s="123"/>
      <c r="S533" s="26"/>
      <c r="T533" s="13"/>
      <c r="W533" s="115"/>
      <c r="X533" s="115"/>
      <c r="Y533" s="115"/>
      <c r="Z533" s="115"/>
      <c r="AA533" s="115"/>
      <c r="AB533" s="115"/>
      <c r="AC533" s="115"/>
      <c r="AD533" s="26">
        <v>45699</v>
      </c>
      <c r="AE533" s="13" t="s">
        <v>148</v>
      </c>
      <c r="AJ533" s="117"/>
      <c r="AK533" s="123"/>
      <c r="AL533" s="123"/>
      <c r="AM533" s="123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25"/>
      <c r="BC533" s="13"/>
      <c r="BF533" s="114"/>
    </row>
    <row r="534" spans="1:58" ht="19.5" x14ac:dyDescent="0.4">
      <c r="A534" s="117"/>
      <c r="B534" s="123"/>
      <c r="C534" s="123"/>
      <c r="D534" s="123"/>
      <c r="S534" s="26"/>
      <c r="T534" s="13"/>
      <c r="W534" s="115"/>
      <c r="X534" s="115"/>
      <c r="Y534" s="115"/>
      <c r="Z534" s="115"/>
      <c r="AA534" s="115"/>
      <c r="AB534" s="115"/>
      <c r="AC534" s="115"/>
      <c r="AD534" s="26">
        <v>45699</v>
      </c>
      <c r="AE534" s="13" t="s">
        <v>148</v>
      </c>
      <c r="AJ534" s="117"/>
      <c r="AK534" s="123"/>
      <c r="AL534" s="123"/>
      <c r="AM534" s="123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25"/>
      <c r="BC534" s="13"/>
      <c r="BF534" s="114"/>
    </row>
    <row r="535" spans="1:58" ht="19.5" x14ac:dyDescent="0.4">
      <c r="A535" s="117"/>
      <c r="B535" s="123"/>
      <c r="C535" s="123"/>
      <c r="D535" s="123"/>
      <c r="S535" s="26"/>
      <c r="T535" s="13"/>
      <c r="W535" s="115"/>
      <c r="X535" s="115"/>
      <c r="Y535" s="115"/>
      <c r="Z535" s="115"/>
      <c r="AA535" s="115"/>
      <c r="AB535" s="115"/>
      <c r="AC535" s="115"/>
      <c r="AD535" s="26">
        <v>45699</v>
      </c>
      <c r="AE535" s="13" t="s">
        <v>148</v>
      </c>
      <c r="AJ535" s="117"/>
      <c r="AK535" s="123"/>
      <c r="AL535" s="123"/>
      <c r="AM535" s="123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25"/>
      <c r="BC535" s="13"/>
      <c r="BF535" s="114"/>
    </row>
    <row r="536" spans="1:58" ht="19.5" x14ac:dyDescent="0.4">
      <c r="A536" s="117"/>
      <c r="B536" s="123"/>
      <c r="C536" s="123"/>
      <c r="D536" s="123"/>
      <c r="S536" s="26"/>
      <c r="T536" s="13"/>
      <c r="AD536" s="26">
        <v>45699</v>
      </c>
      <c r="AE536" s="13" t="s">
        <v>148</v>
      </c>
      <c r="AJ536" s="117"/>
      <c r="AK536" s="123"/>
      <c r="AL536" s="123"/>
      <c r="AM536" s="123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 t="s">
        <v>158</v>
      </c>
      <c r="BB536" s="13">
        <f>SUBTOTAL(3,BB522:BB531)</f>
        <v>4</v>
      </c>
      <c r="BC536" s="13">
        <f>SUBTOTAL(3,BC522:BC531)</f>
        <v>4</v>
      </c>
      <c r="BF536" s="114"/>
    </row>
    <row r="537" spans="1:58" ht="19.5" x14ac:dyDescent="0.4">
      <c r="A537" s="117"/>
      <c r="B537" s="123"/>
      <c r="C537" s="123"/>
      <c r="D537" s="123"/>
      <c r="S537" s="26"/>
      <c r="T537" s="15"/>
      <c r="AA537" s="115"/>
      <c r="AB537" s="115"/>
      <c r="AC537" s="115"/>
      <c r="AD537" s="26">
        <v>45706</v>
      </c>
      <c r="AE537" s="13" t="s">
        <v>146</v>
      </c>
      <c r="AJ537" s="117"/>
      <c r="AK537" s="123"/>
      <c r="AL537" s="123"/>
      <c r="AM537" s="123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3"/>
      <c r="BC537" s="13"/>
      <c r="BF537" s="114"/>
    </row>
    <row r="538" spans="1:58" ht="19.5" x14ac:dyDescent="0.4">
      <c r="A538" s="117"/>
      <c r="B538" s="123"/>
      <c r="C538" s="123"/>
      <c r="D538" s="123"/>
      <c r="S538" s="26"/>
      <c r="T538" s="13"/>
      <c r="Z538" s="115"/>
      <c r="AA538" s="115"/>
      <c r="AB538" s="115"/>
      <c r="AC538" s="115"/>
      <c r="AD538" s="26">
        <v>45709</v>
      </c>
      <c r="AE538" s="13" t="s">
        <v>148</v>
      </c>
      <c r="AJ538" s="117"/>
      <c r="AK538" s="123"/>
      <c r="AL538" s="123"/>
      <c r="AM538" s="123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3"/>
      <c r="BC538" s="13"/>
      <c r="BF538" s="114"/>
    </row>
    <row r="539" spans="1:58" ht="19.5" x14ac:dyDescent="0.4">
      <c r="A539" s="117"/>
      <c r="B539" s="123"/>
      <c r="C539" s="123"/>
      <c r="D539" s="123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7"/>
      <c r="T539" s="13"/>
      <c r="Z539" s="115"/>
      <c r="AA539" s="115"/>
      <c r="AB539" s="115"/>
      <c r="AC539" s="115"/>
      <c r="AD539" s="26"/>
      <c r="AE539" s="13"/>
      <c r="AJ539" s="117"/>
      <c r="AK539" s="123"/>
      <c r="AL539" s="123"/>
      <c r="AM539" s="123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3"/>
      <c r="BC539" s="13"/>
      <c r="BF539" s="114"/>
    </row>
    <row r="540" spans="1:58" ht="19.5" x14ac:dyDescent="0.4">
      <c r="A540" s="117"/>
      <c r="B540" s="123"/>
      <c r="C540" s="123"/>
      <c r="D540" s="123"/>
      <c r="S540" s="26"/>
      <c r="T540" s="13"/>
      <c r="Z540" s="115"/>
      <c r="AA540" s="115"/>
      <c r="AB540" s="115"/>
      <c r="AC540" s="115"/>
      <c r="AD540" s="26">
        <v>45709</v>
      </c>
      <c r="AE540" s="13" t="s">
        <v>147</v>
      </c>
      <c r="AJ540" s="117"/>
      <c r="AK540" s="123"/>
      <c r="AL540" s="123"/>
      <c r="AM540" s="123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3"/>
      <c r="BC540" s="13"/>
      <c r="BF540" s="114"/>
    </row>
    <row r="541" spans="1:58" ht="19.5" x14ac:dyDescent="0.4">
      <c r="A541" s="117"/>
      <c r="B541" s="123"/>
      <c r="C541" s="123"/>
      <c r="D541" s="123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7"/>
      <c r="T541" s="13"/>
      <c r="Z541" s="115"/>
      <c r="AA541" s="115"/>
      <c r="AB541" s="115"/>
      <c r="AC541" s="115"/>
      <c r="AD541" s="26"/>
      <c r="AE541" s="13"/>
      <c r="AJ541" s="117"/>
      <c r="AK541" s="123"/>
      <c r="AL541" s="123"/>
      <c r="AM541" s="123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3"/>
      <c r="BC541" s="13"/>
      <c r="BF541" s="114"/>
    </row>
    <row r="542" spans="1:58" ht="19.5" x14ac:dyDescent="0.4">
      <c r="A542" s="117"/>
      <c r="B542" s="123"/>
      <c r="C542" s="123"/>
      <c r="D542" s="123"/>
      <c r="S542" s="26"/>
      <c r="T542" s="13"/>
      <c r="Z542" s="115"/>
      <c r="AA542" s="115"/>
      <c r="AB542" s="115"/>
      <c r="AC542" s="115"/>
      <c r="AD542" s="26">
        <v>45712</v>
      </c>
      <c r="AE542" s="13" t="s">
        <v>146</v>
      </c>
      <c r="AJ542" s="117"/>
      <c r="AK542" s="123"/>
      <c r="AL542" s="123"/>
      <c r="AM542" s="123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3"/>
      <c r="BC542" s="13"/>
      <c r="BF542" s="114"/>
    </row>
    <row r="543" spans="1:58" ht="19.5" x14ac:dyDescent="0.4">
      <c r="A543" s="117"/>
      <c r="B543" s="123"/>
      <c r="C543" s="123"/>
      <c r="D543" s="123"/>
      <c r="S543" s="26"/>
      <c r="T543" s="13"/>
      <c r="Z543" s="115"/>
      <c r="AA543" s="115"/>
      <c r="AB543" s="115"/>
      <c r="AC543" s="115"/>
      <c r="AD543" s="26">
        <v>45712</v>
      </c>
      <c r="AE543" s="13" t="s">
        <v>148</v>
      </c>
      <c r="AJ543" s="117"/>
      <c r="AK543" s="123"/>
      <c r="AL543" s="123"/>
      <c r="AM543" s="123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3"/>
      <c r="BC543" s="13"/>
      <c r="BF543" s="114"/>
    </row>
    <row r="544" spans="1:58" ht="19.5" x14ac:dyDescent="0.4">
      <c r="A544" s="117"/>
      <c r="B544" s="123"/>
      <c r="C544" s="123"/>
      <c r="D544" s="123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7"/>
      <c r="T544" s="13"/>
      <c r="Z544" s="115"/>
      <c r="AA544" s="115"/>
      <c r="AB544" s="115"/>
      <c r="AC544" s="115"/>
      <c r="AD544" s="26"/>
      <c r="AE544" s="13"/>
      <c r="AJ544" s="117"/>
      <c r="AK544" s="123"/>
      <c r="AL544" s="123"/>
      <c r="AM544" s="123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3"/>
      <c r="BC544" s="13"/>
      <c r="BF544" s="114"/>
    </row>
    <row r="545" spans="1:58" ht="19.5" x14ac:dyDescent="0.4">
      <c r="A545" s="117"/>
      <c r="B545" s="123"/>
      <c r="C545" s="123"/>
      <c r="D545" s="123"/>
      <c r="S545" s="26"/>
      <c r="T545" s="13"/>
      <c r="X545" s="115"/>
      <c r="Y545" s="115"/>
      <c r="Z545" s="115"/>
      <c r="AA545" s="115"/>
      <c r="AB545" s="115"/>
      <c r="AC545" s="115"/>
      <c r="AD545" s="26">
        <v>45714</v>
      </c>
      <c r="AE545" s="13" t="s">
        <v>147</v>
      </c>
      <c r="AJ545" s="117"/>
      <c r="AK545" s="123"/>
      <c r="AL545" s="123"/>
      <c r="AM545" s="123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3"/>
      <c r="BC545" s="13"/>
      <c r="BF545" s="114"/>
    </row>
    <row r="546" spans="1:58" ht="19.5" x14ac:dyDescent="0.4">
      <c r="A546" s="117"/>
      <c r="B546" s="123"/>
      <c r="C546" s="123"/>
      <c r="D546" s="123"/>
      <c r="S546" s="26"/>
      <c r="T546" s="13"/>
      <c r="AD546" s="26">
        <v>45714</v>
      </c>
      <c r="AE546" s="13" t="s">
        <v>147</v>
      </c>
      <c r="AJ546" s="117"/>
      <c r="AK546" s="123"/>
      <c r="AL546" s="123"/>
      <c r="AM546" s="123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25">
        <v>45269</v>
      </c>
      <c r="BC546" s="13" t="s">
        <v>163</v>
      </c>
      <c r="BF546" s="114"/>
    </row>
    <row r="547" spans="1:58" ht="19.5" x14ac:dyDescent="0.4">
      <c r="A547" s="117"/>
      <c r="B547" s="123"/>
      <c r="C547" s="123"/>
      <c r="D547" s="123"/>
      <c r="S547" s="26"/>
      <c r="T547" s="13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6">
        <v>45714</v>
      </c>
      <c r="AE547" s="13" t="s">
        <v>147</v>
      </c>
      <c r="AJ547" s="117"/>
      <c r="AK547" s="123"/>
      <c r="AL547" s="123"/>
      <c r="AM547" s="123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25"/>
      <c r="BC547" s="13"/>
      <c r="BF547" s="114"/>
    </row>
    <row r="548" spans="1:58" ht="19.5" x14ac:dyDescent="0.4">
      <c r="A548" s="117"/>
      <c r="B548" s="123"/>
      <c r="C548" s="123"/>
      <c r="D548" s="123"/>
      <c r="S548" s="26"/>
      <c r="T548" s="13"/>
      <c r="U548" s="115"/>
      <c r="V548" s="115"/>
      <c r="W548" s="115"/>
      <c r="X548" s="115"/>
      <c r="Y548" s="115"/>
      <c r="Z548" s="115"/>
      <c r="AA548" s="115"/>
      <c r="AB548" s="115" t="s">
        <v>145</v>
      </c>
      <c r="AC548" s="115">
        <f>SUBTOTAL(3,AC2:AC547)</f>
        <v>0</v>
      </c>
      <c r="AD548" s="26"/>
      <c r="AE548" s="13">
        <f>SUBTOTAL(3,AE2:AE547)</f>
        <v>145</v>
      </c>
      <c r="AJ548" s="117"/>
      <c r="AK548" s="123"/>
      <c r="AL548" s="123"/>
      <c r="AM548" s="123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25"/>
      <c r="BC548" s="13"/>
      <c r="BF548" s="114"/>
    </row>
    <row r="549" spans="1:58" ht="19.5" x14ac:dyDescent="0.4">
      <c r="A549" s="117"/>
      <c r="B549" s="123"/>
      <c r="C549" s="123"/>
      <c r="D549" s="123"/>
      <c r="S549" s="26"/>
      <c r="T549" s="13"/>
      <c r="AD549" s="26"/>
      <c r="AE549" s="13"/>
      <c r="AJ549" s="117"/>
      <c r="AK549" s="123"/>
      <c r="AL549" s="123"/>
      <c r="AM549" s="123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25">
        <v>45269</v>
      </c>
      <c r="BC549" s="13" t="s">
        <v>163</v>
      </c>
      <c r="BF549" s="114"/>
    </row>
    <row r="550" spans="1:58" ht="19.5" x14ac:dyDescent="0.4">
      <c r="A550" s="117"/>
      <c r="B550" s="123"/>
      <c r="C550" s="123"/>
      <c r="D550" s="123"/>
      <c r="S550" s="26"/>
      <c r="T550" s="13"/>
      <c r="W550" s="115"/>
      <c r="X550" s="115"/>
      <c r="Y550" s="115"/>
      <c r="Z550" s="115"/>
      <c r="AA550" s="115"/>
      <c r="AB550" s="115"/>
      <c r="AC550" s="115"/>
      <c r="AD550" s="26"/>
      <c r="AE550" s="13"/>
      <c r="AJ550" s="117"/>
      <c r="AK550" s="123"/>
      <c r="AL550" s="123"/>
      <c r="AM550" s="123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25"/>
      <c r="BC550" s="13"/>
      <c r="BF550" s="114"/>
    </row>
    <row r="551" spans="1:58" ht="19.5" x14ac:dyDescent="0.4">
      <c r="A551" s="117"/>
      <c r="B551" s="123"/>
      <c r="C551" s="123"/>
      <c r="D551" s="123"/>
      <c r="S551" s="26"/>
      <c r="T551" s="13"/>
      <c r="AD551" s="26"/>
      <c r="AE551" s="13"/>
      <c r="AJ551" s="117"/>
      <c r="AK551" s="123"/>
      <c r="AL551" s="123"/>
      <c r="AM551" s="123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 t="s">
        <v>159</v>
      </c>
      <c r="BB551" s="13">
        <f>SUBTOTAL(3,BB546:BB549)</f>
        <v>2</v>
      </c>
      <c r="BC551" s="13">
        <f>SUBTOTAL(3,BC546:BC549)</f>
        <v>2</v>
      </c>
      <c r="BF551" s="114"/>
    </row>
    <row r="552" spans="1:58" ht="19.5" x14ac:dyDescent="0.4">
      <c r="A552" s="117"/>
      <c r="B552" s="123"/>
      <c r="C552" s="123"/>
      <c r="D552" s="123"/>
      <c r="S552" s="26"/>
      <c r="T552" s="13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26"/>
      <c r="AE552" s="13"/>
      <c r="AJ552" s="117"/>
      <c r="AK552" s="123"/>
      <c r="AL552" s="123"/>
      <c r="AM552" s="123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3"/>
      <c r="BC552" s="13"/>
      <c r="BF552" s="114"/>
    </row>
    <row r="553" spans="1:58" ht="19.5" x14ac:dyDescent="0.4">
      <c r="A553" s="117"/>
      <c r="B553" s="123"/>
      <c r="C553" s="123"/>
      <c r="D553" s="123"/>
      <c r="S553" s="26"/>
      <c r="T553" s="13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6"/>
      <c r="AE553" s="13"/>
      <c r="AJ553" s="117"/>
      <c r="AK553" s="123"/>
      <c r="AL553" s="123"/>
      <c r="AM553" s="123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3"/>
      <c r="BC553" s="13"/>
      <c r="BF553" s="114"/>
    </row>
    <row r="554" spans="1:58" ht="19.5" x14ac:dyDescent="0.4">
      <c r="A554" s="117"/>
      <c r="B554" s="123"/>
      <c r="C554" s="123"/>
      <c r="D554" s="123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26"/>
      <c r="T554" s="13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6"/>
      <c r="AE554" s="13"/>
      <c r="AJ554" s="117"/>
      <c r="AK554" s="123"/>
      <c r="AL554" s="123"/>
      <c r="AM554" s="123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3"/>
      <c r="BC554" s="13"/>
      <c r="BF554" s="114"/>
    </row>
    <row r="555" spans="1:58" ht="19.5" x14ac:dyDescent="0.4">
      <c r="A555" s="117"/>
      <c r="B555" s="123"/>
      <c r="C555" s="123"/>
      <c r="D555" s="123"/>
      <c r="S555" s="26"/>
      <c r="T555" s="13"/>
      <c r="AD555" s="26"/>
      <c r="AE555" s="13"/>
      <c r="AJ555" s="117"/>
      <c r="AK555" s="123"/>
      <c r="AL555" s="123"/>
      <c r="AM555" s="123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25">
        <v>45270</v>
      </c>
      <c r="BC555" s="13" t="s">
        <v>164</v>
      </c>
      <c r="BF555" s="114"/>
    </row>
    <row r="556" spans="1:58" ht="19.5" x14ac:dyDescent="0.4">
      <c r="A556" s="117"/>
      <c r="B556" s="123"/>
      <c r="C556" s="123"/>
      <c r="D556" s="123"/>
      <c r="S556" s="26"/>
      <c r="T556" s="13"/>
      <c r="Y556" s="115"/>
      <c r="Z556" s="115"/>
      <c r="AA556" s="115"/>
      <c r="AB556" s="115"/>
      <c r="AC556" s="115"/>
      <c r="AD556" s="17"/>
      <c r="AE556" s="13"/>
      <c r="AJ556" s="117"/>
      <c r="AK556" s="123"/>
      <c r="AL556" s="123"/>
      <c r="AM556" s="123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25"/>
      <c r="BC556" s="13"/>
      <c r="BF556" s="114"/>
    </row>
    <row r="557" spans="1:58" ht="19.5" x14ac:dyDescent="0.4">
      <c r="A557" s="117"/>
      <c r="B557" s="123"/>
      <c r="C557" s="123"/>
      <c r="D557" s="123"/>
      <c r="S557" s="26"/>
      <c r="T557" s="13"/>
      <c r="AD557" s="26"/>
      <c r="AE557" s="13"/>
      <c r="AJ557" s="117"/>
      <c r="AK557" s="123"/>
      <c r="AL557" s="123"/>
      <c r="AM557" s="123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25"/>
      <c r="BC557" s="13"/>
      <c r="BF557" s="114"/>
    </row>
    <row r="558" spans="1:58" ht="19.5" x14ac:dyDescent="0.4">
      <c r="A558" s="117"/>
      <c r="B558" s="123"/>
      <c r="C558" s="123"/>
      <c r="D558" s="123"/>
      <c r="S558" s="26"/>
      <c r="T558" s="13"/>
      <c r="V558" s="115"/>
      <c r="W558" s="115"/>
      <c r="X558" s="115"/>
      <c r="Y558" s="115"/>
      <c r="Z558" s="115"/>
      <c r="AA558" s="115"/>
      <c r="AB558" s="115"/>
      <c r="AC558" s="115"/>
      <c r="AD558" s="26"/>
      <c r="AE558" s="13"/>
      <c r="AJ558" s="117"/>
      <c r="AK558" s="123"/>
      <c r="AL558" s="123"/>
      <c r="AM558" s="123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25"/>
      <c r="BC558" s="13"/>
      <c r="BF558" s="114"/>
    </row>
    <row r="559" spans="1:58" ht="19.5" x14ac:dyDescent="0.4">
      <c r="A559" s="117"/>
      <c r="B559" s="123"/>
      <c r="C559" s="123"/>
      <c r="D559" s="123"/>
      <c r="S559" s="26"/>
      <c r="T559" s="13"/>
      <c r="AD559" s="26"/>
      <c r="AE559" s="13"/>
      <c r="AJ559" s="117"/>
      <c r="AK559" s="123"/>
      <c r="AL559" s="123"/>
      <c r="AM559" s="123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25">
        <v>45270</v>
      </c>
      <c r="BC559" s="13" t="s">
        <v>164</v>
      </c>
      <c r="BF559" s="114"/>
    </row>
    <row r="560" spans="1:58" ht="19.5" x14ac:dyDescent="0.4">
      <c r="A560" s="117"/>
      <c r="B560" s="123"/>
      <c r="C560" s="123"/>
      <c r="D560" s="123"/>
      <c r="S560" s="26"/>
      <c r="T560" s="13"/>
      <c r="X560" s="115"/>
      <c r="Y560" s="115"/>
      <c r="Z560" s="115"/>
      <c r="AA560" s="115"/>
      <c r="AB560" s="115"/>
      <c r="AC560" s="115"/>
      <c r="AD560" s="26"/>
      <c r="AE560" s="13"/>
      <c r="AJ560" s="117"/>
      <c r="AK560" s="123"/>
      <c r="AL560" s="123"/>
      <c r="AM560" s="123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25"/>
      <c r="BC560" s="13"/>
      <c r="BF560" s="114"/>
    </row>
    <row r="561" spans="1:58" ht="19.5" x14ac:dyDescent="0.4">
      <c r="A561" s="117"/>
      <c r="B561" s="123"/>
      <c r="C561" s="123"/>
      <c r="D561" s="123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26"/>
      <c r="T561" s="13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6"/>
      <c r="AE561" s="13"/>
      <c r="AJ561" s="117"/>
      <c r="AK561" s="123"/>
      <c r="AL561" s="123"/>
      <c r="AM561" s="123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25"/>
      <c r="BC561" s="13"/>
      <c r="BF561" s="114"/>
    </row>
    <row r="562" spans="1:58" ht="19.5" x14ac:dyDescent="0.4">
      <c r="A562" s="117"/>
      <c r="B562" s="123"/>
      <c r="C562" s="123"/>
      <c r="D562" s="123"/>
      <c r="S562" s="26"/>
      <c r="T562" s="15"/>
      <c r="AD562" s="26"/>
      <c r="AE562" s="13"/>
      <c r="AJ562" s="117"/>
      <c r="AK562" s="123"/>
      <c r="AL562" s="123"/>
      <c r="AM562" s="123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25">
        <v>45270</v>
      </c>
      <c r="BC562" s="13" t="s">
        <v>162</v>
      </c>
      <c r="BF562" s="114"/>
    </row>
    <row r="563" spans="1:58" ht="19.5" x14ac:dyDescent="0.4">
      <c r="A563" s="117"/>
      <c r="B563" s="123"/>
      <c r="C563" s="123"/>
      <c r="D563" s="123"/>
      <c r="S563" s="26"/>
      <c r="T563" s="15"/>
      <c r="W563" s="115"/>
      <c r="X563" s="115"/>
      <c r="Y563" s="115"/>
      <c r="Z563" s="115"/>
      <c r="AA563" s="115"/>
      <c r="AB563" s="115"/>
      <c r="AC563" s="115"/>
      <c r="AD563" s="26"/>
      <c r="AE563" s="15"/>
      <c r="AJ563" s="117"/>
      <c r="AK563" s="123"/>
      <c r="AL563" s="123"/>
      <c r="AM563" s="123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25"/>
      <c r="BC563" s="13"/>
      <c r="BF563" s="114"/>
    </row>
    <row r="564" spans="1:58" ht="19.5" x14ac:dyDescent="0.4">
      <c r="A564" s="117"/>
      <c r="B564" s="123"/>
      <c r="C564" s="123"/>
      <c r="D564" s="123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7"/>
      <c r="T564" s="15"/>
      <c r="W564" s="115"/>
      <c r="X564" s="115"/>
      <c r="Y564" s="115"/>
      <c r="Z564" s="115"/>
      <c r="AA564" s="115"/>
      <c r="AB564" s="115"/>
      <c r="AC564" s="115"/>
      <c r="AD564" s="26"/>
      <c r="AE564" s="13"/>
      <c r="AJ564" s="117"/>
      <c r="AK564" s="123"/>
      <c r="AL564" s="123"/>
      <c r="AM564" s="123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25"/>
      <c r="BC564" s="13"/>
      <c r="BF564" s="114"/>
    </row>
    <row r="565" spans="1:58" ht="19.5" x14ac:dyDescent="0.4">
      <c r="A565" s="117"/>
      <c r="B565" s="123"/>
      <c r="C565" s="123"/>
      <c r="D565" s="123"/>
      <c r="S565" s="26"/>
      <c r="T565" s="15"/>
      <c r="AD565" s="26"/>
      <c r="AE565" s="13"/>
      <c r="AJ565" s="117"/>
      <c r="AK565" s="123"/>
      <c r="AL565" s="123"/>
      <c r="AM565" s="123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25">
        <v>45270</v>
      </c>
      <c r="BC565" s="13" t="s">
        <v>162</v>
      </c>
      <c r="BF565" s="114"/>
    </row>
    <row r="566" spans="1:58" ht="19.5" x14ac:dyDescent="0.4">
      <c r="A566" s="117"/>
      <c r="B566" s="123"/>
      <c r="C566" s="123"/>
      <c r="D566" s="123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7"/>
      <c r="T566" s="15"/>
      <c r="AD566" s="26"/>
      <c r="AE566" s="13"/>
      <c r="AJ566" s="117"/>
      <c r="AK566" s="123"/>
      <c r="AL566" s="123"/>
      <c r="AM566" s="123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25"/>
      <c r="BC566" s="13"/>
      <c r="BF566" s="114"/>
    </row>
    <row r="567" spans="1:58" ht="19.5" x14ac:dyDescent="0.4">
      <c r="A567" s="117"/>
      <c r="B567" s="123"/>
      <c r="C567" s="123"/>
      <c r="D567" s="123"/>
      <c r="S567" s="26"/>
      <c r="T567" s="15"/>
      <c r="Y567" s="115"/>
      <c r="Z567" s="115"/>
      <c r="AA567" s="115"/>
      <c r="AB567" s="115"/>
      <c r="AC567" s="115"/>
      <c r="AD567" s="17"/>
      <c r="AE567" s="13"/>
      <c r="AJ567" s="117"/>
      <c r="AK567" s="123"/>
      <c r="AL567" s="123"/>
      <c r="AM567" s="123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25"/>
      <c r="BC567" s="13"/>
      <c r="BF567" s="114"/>
    </row>
    <row r="568" spans="1:58" ht="19.5" x14ac:dyDescent="0.4">
      <c r="A568" s="117"/>
      <c r="B568" s="123"/>
      <c r="C568" s="123"/>
      <c r="D568" s="123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9"/>
      <c r="T568" s="119"/>
      <c r="Y568" s="115"/>
      <c r="Z568" s="115"/>
      <c r="AA568" s="115"/>
      <c r="AB568" s="115"/>
      <c r="AC568" s="115"/>
      <c r="AD568" s="17"/>
      <c r="AE568" s="13"/>
      <c r="AJ568" s="117"/>
      <c r="AK568" s="123"/>
      <c r="AL568" s="123"/>
      <c r="AM568" s="123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25"/>
      <c r="BC568" s="13"/>
      <c r="BF568" s="114"/>
    </row>
    <row r="569" spans="1:58" ht="19.5" x14ac:dyDescent="0.4">
      <c r="A569" s="117"/>
      <c r="B569" s="123"/>
      <c r="C569" s="123"/>
      <c r="D569" s="123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9"/>
      <c r="T569" s="119"/>
      <c r="Y569" s="115"/>
      <c r="Z569" s="115"/>
      <c r="AA569" s="115"/>
      <c r="AB569" s="115"/>
      <c r="AC569" s="115"/>
      <c r="AD569" s="17"/>
      <c r="AE569" s="13"/>
      <c r="AJ569" s="117"/>
      <c r="AK569" s="123"/>
      <c r="AL569" s="123"/>
      <c r="AM569" s="123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25"/>
      <c r="BC569" s="13"/>
      <c r="BF569" s="114"/>
    </row>
    <row r="570" spans="1:58" ht="19.5" x14ac:dyDescent="0.4">
      <c r="A570" s="117"/>
      <c r="B570" s="123"/>
      <c r="C570" s="123"/>
      <c r="D570" s="123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26"/>
      <c r="AE570" s="13"/>
      <c r="AJ570" s="117"/>
      <c r="AK570" s="123"/>
      <c r="AL570" s="123"/>
      <c r="AM570" s="123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25"/>
      <c r="BC570" s="13"/>
      <c r="BF570" s="114"/>
    </row>
    <row r="571" spans="1:58" ht="19.5" x14ac:dyDescent="0.4">
      <c r="A571" s="117"/>
      <c r="B571" s="123"/>
      <c r="C571" s="123"/>
      <c r="D571" s="123"/>
      <c r="AD571" s="26"/>
      <c r="AE571" s="13"/>
      <c r="AJ571" s="117"/>
      <c r="AK571" s="123"/>
      <c r="AL571" s="123"/>
      <c r="AM571" s="123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25"/>
      <c r="BC571" s="13"/>
      <c r="BF571" s="114"/>
    </row>
    <row r="572" spans="1:58" ht="19.5" x14ac:dyDescent="0.4">
      <c r="A572" s="117"/>
      <c r="B572" s="123"/>
      <c r="C572" s="123"/>
      <c r="D572" s="123"/>
      <c r="AD572" s="26"/>
      <c r="AE572" s="13"/>
      <c r="AJ572" s="117"/>
      <c r="AK572" s="123"/>
      <c r="AL572" s="123"/>
      <c r="AM572" s="123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25">
        <v>45270</v>
      </c>
      <c r="BC572" s="13" t="s">
        <v>163</v>
      </c>
      <c r="BF572" s="114"/>
    </row>
    <row r="573" spans="1:58" ht="19.5" x14ac:dyDescent="0.4">
      <c r="A573" s="117"/>
      <c r="B573" s="123"/>
      <c r="C573" s="123"/>
      <c r="D573" s="123"/>
      <c r="Y573" s="115"/>
      <c r="Z573" s="115"/>
      <c r="AA573" s="115"/>
      <c r="AB573" s="115"/>
      <c r="AC573" s="115"/>
      <c r="AD573" s="17"/>
      <c r="AE573" s="13"/>
      <c r="AJ573" s="117"/>
      <c r="AK573" s="123"/>
      <c r="AL573" s="123"/>
      <c r="AM573" s="123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25"/>
      <c r="BC573" s="13"/>
      <c r="BF573" s="114"/>
    </row>
    <row r="574" spans="1:58" ht="19.5" x14ac:dyDescent="0.4">
      <c r="A574" s="117"/>
      <c r="B574" s="123"/>
      <c r="C574" s="123"/>
      <c r="D574" s="123"/>
      <c r="AD574" s="26"/>
      <c r="AE574" s="13"/>
      <c r="AJ574" s="117"/>
      <c r="AK574" s="123"/>
      <c r="AL574" s="123"/>
      <c r="AM574" s="123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 t="s">
        <v>151</v>
      </c>
      <c r="BB574" s="13">
        <f>SUBTOTAL(3,BB555:BB572)</f>
        <v>5</v>
      </c>
      <c r="BC574" s="13">
        <f>SUBTOTAL(3,BC555:BC572)</f>
        <v>5</v>
      </c>
      <c r="BF574" s="114"/>
    </row>
    <row r="575" spans="1:58" ht="19.5" x14ac:dyDescent="0.4">
      <c r="A575" s="117"/>
      <c r="B575" s="123"/>
      <c r="C575" s="123"/>
      <c r="D575" s="123"/>
      <c r="X575" s="115"/>
      <c r="Y575" s="115"/>
      <c r="Z575" s="115"/>
      <c r="AA575" s="115"/>
      <c r="AB575" s="115"/>
      <c r="AC575" s="115"/>
      <c r="AD575" s="26"/>
      <c r="AE575" s="13"/>
      <c r="AJ575" s="117"/>
      <c r="AK575" s="123"/>
      <c r="AL575" s="123"/>
      <c r="AM575" s="123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3"/>
      <c r="BC575" s="13"/>
      <c r="BF575" s="114"/>
    </row>
    <row r="576" spans="1:58" ht="19.5" x14ac:dyDescent="0.4">
      <c r="A576" s="117"/>
      <c r="B576" s="123"/>
      <c r="C576" s="123"/>
      <c r="D576" s="123"/>
      <c r="AD576" s="26"/>
      <c r="AE576" s="13"/>
      <c r="AJ576" s="117"/>
      <c r="AK576" s="123"/>
      <c r="AL576" s="123"/>
      <c r="AM576" s="123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25">
        <v>45271</v>
      </c>
      <c r="BC576" s="13" t="s">
        <v>162</v>
      </c>
      <c r="BF576" s="114"/>
    </row>
    <row r="577" spans="1:58" ht="19.5" x14ac:dyDescent="0.4">
      <c r="A577" s="117"/>
      <c r="B577" s="123"/>
      <c r="C577" s="123"/>
      <c r="D577" s="123"/>
      <c r="AD577" s="26"/>
      <c r="AE577" s="13"/>
      <c r="AJ577" s="117"/>
      <c r="AK577" s="123"/>
      <c r="AL577" s="123"/>
      <c r="AM577" s="123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25">
        <v>45271</v>
      </c>
      <c r="BC577" s="13" t="s">
        <v>163</v>
      </c>
      <c r="BF577" s="114"/>
    </row>
    <row r="578" spans="1:58" ht="19.5" x14ac:dyDescent="0.4">
      <c r="A578" s="117"/>
      <c r="B578" s="123"/>
      <c r="C578" s="123"/>
      <c r="D578" s="123"/>
      <c r="X578" s="115"/>
      <c r="Y578" s="115"/>
      <c r="Z578" s="115"/>
      <c r="AA578" s="115"/>
      <c r="AB578" s="115"/>
      <c r="AC578" s="115"/>
      <c r="AD578" s="26"/>
      <c r="AE578" s="13"/>
      <c r="AJ578" s="117"/>
      <c r="AK578" s="123"/>
      <c r="AL578" s="123"/>
      <c r="AM578" s="123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25"/>
      <c r="BC578" s="13"/>
      <c r="BF578" s="114"/>
    </row>
    <row r="579" spans="1:58" ht="19.5" x14ac:dyDescent="0.4">
      <c r="A579" s="117"/>
      <c r="B579" s="123"/>
      <c r="C579" s="123"/>
      <c r="D579" s="123"/>
      <c r="W579" s="115"/>
      <c r="X579" s="115"/>
      <c r="Y579" s="115"/>
      <c r="Z579" s="115"/>
      <c r="AA579" s="115"/>
      <c r="AB579" s="115"/>
      <c r="AC579" s="115"/>
      <c r="AD579" s="26"/>
      <c r="AE579" s="13"/>
      <c r="AJ579" s="117"/>
      <c r="AK579" s="123"/>
      <c r="AL579" s="123"/>
      <c r="AM579" s="123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25"/>
      <c r="BC579" s="13"/>
      <c r="BF579" s="114"/>
    </row>
    <row r="580" spans="1:58" ht="19.5" x14ac:dyDescent="0.4">
      <c r="A580" s="117"/>
      <c r="B580" s="123"/>
      <c r="C580" s="123"/>
      <c r="D580" s="123"/>
      <c r="W580" s="115"/>
      <c r="X580" s="115"/>
      <c r="Y580" s="115"/>
      <c r="Z580" s="115"/>
      <c r="AA580" s="115"/>
      <c r="AB580" s="115"/>
      <c r="AC580" s="115"/>
      <c r="AD580" s="17"/>
      <c r="AE580" s="13"/>
      <c r="AJ580" s="117"/>
      <c r="AK580" s="123"/>
      <c r="AL580" s="123"/>
      <c r="AM580" s="123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25"/>
      <c r="BC580" s="13"/>
      <c r="BF580" s="114"/>
    </row>
    <row r="581" spans="1:58" ht="19.5" x14ac:dyDescent="0.4">
      <c r="A581" s="117"/>
      <c r="B581" s="123"/>
      <c r="C581" s="123"/>
      <c r="D581" s="123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26"/>
      <c r="AE581" s="13"/>
      <c r="AJ581" s="117"/>
      <c r="AK581" s="123"/>
      <c r="AL581" s="123"/>
      <c r="AM581" s="123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25"/>
      <c r="BC581" s="13"/>
      <c r="BF581" s="114"/>
    </row>
    <row r="582" spans="1:58" ht="19.5" x14ac:dyDescent="0.4">
      <c r="A582" s="117"/>
      <c r="B582" s="123"/>
      <c r="C582" s="123"/>
      <c r="D582" s="123"/>
      <c r="AD582" s="26"/>
      <c r="AE582" s="13"/>
      <c r="AJ582" s="117"/>
      <c r="AK582" s="123"/>
      <c r="AL582" s="123"/>
      <c r="AM582" s="123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25">
        <v>45271</v>
      </c>
      <c r="BC582" s="13" t="s">
        <v>163</v>
      </c>
      <c r="BF582" s="114"/>
    </row>
    <row r="583" spans="1:58" ht="19.5" x14ac:dyDescent="0.4">
      <c r="A583" s="117"/>
      <c r="B583" s="123"/>
      <c r="C583" s="123"/>
      <c r="D583" s="123"/>
      <c r="X583" s="115"/>
      <c r="Y583" s="115"/>
      <c r="Z583" s="115"/>
      <c r="AA583" s="115"/>
      <c r="AB583" s="115"/>
      <c r="AC583" s="115"/>
      <c r="AD583" s="26"/>
      <c r="AE583" s="13"/>
      <c r="AJ583" s="117"/>
      <c r="AK583" s="123"/>
      <c r="AL583" s="123"/>
      <c r="AM583" s="123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25"/>
      <c r="BC583" s="13"/>
      <c r="BF583" s="114"/>
    </row>
    <row r="584" spans="1:58" ht="19.5" x14ac:dyDescent="0.4">
      <c r="A584" s="117"/>
      <c r="B584" s="123"/>
      <c r="C584" s="123"/>
      <c r="D584" s="123"/>
      <c r="V584" s="115"/>
      <c r="W584" s="115"/>
      <c r="X584" s="115"/>
      <c r="Y584" s="115"/>
      <c r="Z584" s="115"/>
      <c r="AA584" s="115"/>
      <c r="AB584" s="115"/>
      <c r="AC584" s="115"/>
      <c r="AD584" s="26"/>
      <c r="AE584" s="13"/>
      <c r="AJ584" s="117"/>
      <c r="AK584" s="123"/>
      <c r="AL584" s="123"/>
      <c r="AM584" s="123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25"/>
      <c r="BC584" s="13"/>
      <c r="BF584" s="114"/>
    </row>
    <row r="585" spans="1:58" ht="19.5" x14ac:dyDescent="0.4">
      <c r="A585" s="117"/>
      <c r="B585" s="123"/>
      <c r="C585" s="123"/>
      <c r="D585" s="123"/>
      <c r="V585" s="115"/>
      <c r="W585" s="115"/>
      <c r="X585" s="115"/>
      <c r="Y585" s="115"/>
      <c r="Z585" s="115"/>
      <c r="AA585" s="115"/>
      <c r="AB585" s="115"/>
      <c r="AC585" s="115"/>
      <c r="AD585" s="17"/>
      <c r="AE585" s="13"/>
      <c r="AJ585" s="117"/>
      <c r="AK585" s="123"/>
      <c r="AL585" s="123"/>
      <c r="AM585" s="123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25"/>
      <c r="BC585" s="13"/>
      <c r="BF585" s="114"/>
    </row>
    <row r="586" spans="1:58" ht="19.5" x14ac:dyDescent="0.4">
      <c r="A586" s="117"/>
      <c r="B586" s="123"/>
      <c r="C586" s="123"/>
      <c r="D586" s="123"/>
      <c r="AD586" s="26"/>
      <c r="AE586" s="13"/>
      <c r="AJ586" s="117"/>
      <c r="AK586" s="123"/>
      <c r="AL586" s="123"/>
      <c r="AM586" s="123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 t="s">
        <v>165</v>
      </c>
      <c r="BB586" s="13">
        <f>SUBTOTAL(3,BB576:BB582)</f>
        <v>3</v>
      </c>
      <c r="BC586" s="13">
        <f>SUBTOTAL(3,BC576:BC582)</f>
        <v>3</v>
      </c>
      <c r="BF586" s="114"/>
    </row>
    <row r="587" spans="1:58" ht="19.5" x14ac:dyDescent="0.4">
      <c r="A587" s="117"/>
      <c r="B587" s="123"/>
      <c r="C587" s="123"/>
      <c r="D587" s="123"/>
      <c r="AD587" s="26"/>
      <c r="AE587" s="13"/>
      <c r="AJ587" s="117"/>
      <c r="AK587" s="123"/>
      <c r="AL587" s="123"/>
      <c r="AM587" s="123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25">
        <v>45272</v>
      </c>
      <c r="BC587" s="13" t="s">
        <v>162</v>
      </c>
      <c r="BF587" s="114"/>
    </row>
    <row r="588" spans="1:58" ht="19.5" x14ac:dyDescent="0.4">
      <c r="A588" s="117"/>
      <c r="B588" s="123"/>
      <c r="C588" s="123"/>
      <c r="D588" s="123"/>
      <c r="Y588" s="115"/>
      <c r="Z588" s="115"/>
      <c r="AA588" s="115"/>
      <c r="AB588" s="115"/>
      <c r="AC588" s="115"/>
      <c r="AD588" s="17"/>
      <c r="AE588" s="13"/>
      <c r="AJ588" s="117"/>
      <c r="AK588" s="123"/>
      <c r="AL588" s="123"/>
      <c r="AM588" s="123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25"/>
      <c r="BC588" s="13"/>
      <c r="BF588" s="114"/>
    </row>
    <row r="589" spans="1:58" ht="19.5" x14ac:dyDescent="0.4">
      <c r="A589" s="117"/>
      <c r="B589" s="123"/>
      <c r="C589" s="123"/>
      <c r="D589" s="123"/>
      <c r="AD589" s="26"/>
      <c r="AE589" s="15"/>
      <c r="AJ589" s="117"/>
      <c r="AK589" s="123"/>
      <c r="AL589" s="123"/>
      <c r="AM589" s="123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25">
        <v>45272</v>
      </c>
      <c r="BC589" s="13" t="s">
        <v>162</v>
      </c>
      <c r="BF589" s="114"/>
    </row>
    <row r="590" spans="1:58" ht="19.5" x14ac:dyDescent="0.4">
      <c r="A590" s="117"/>
      <c r="B590" s="123"/>
      <c r="C590" s="123"/>
      <c r="D590" s="123"/>
      <c r="Y590" s="115"/>
      <c r="Z590" s="115"/>
      <c r="AA590" s="115"/>
      <c r="AB590" s="115"/>
      <c r="AC590" s="115"/>
      <c r="AD590" s="17"/>
      <c r="AE590" s="13"/>
      <c r="AJ590" s="117"/>
      <c r="AK590" s="123"/>
      <c r="AL590" s="123"/>
      <c r="AM590" s="123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25"/>
      <c r="BC590" s="13"/>
      <c r="BF590" s="114"/>
    </row>
    <row r="591" spans="1:58" ht="19.5" x14ac:dyDescent="0.4">
      <c r="A591" s="117"/>
      <c r="B591" s="123"/>
      <c r="C591" s="123"/>
      <c r="D591" s="123"/>
      <c r="Y591" s="115"/>
      <c r="Z591" s="115"/>
      <c r="AA591" s="115"/>
      <c r="AB591" s="115"/>
      <c r="AC591" s="115"/>
      <c r="AD591" s="17"/>
      <c r="AE591" s="13"/>
      <c r="AJ591" s="117"/>
      <c r="AK591" s="123"/>
      <c r="AL591" s="123"/>
      <c r="AM591" s="123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25"/>
      <c r="BC591" s="13"/>
      <c r="BF591" s="114"/>
    </row>
    <row r="592" spans="1:58" ht="19.5" x14ac:dyDescent="0.4">
      <c r="A592" s="117"/>
      <c r="B592" s="123"/>
      <c r="C592" s="123"/>
      <c r="D592" s="123"/>
      <c r="AD592" s="26"/>
      <c r="AE592" s="13"/>
      <c r="AJ592" s="117"/>
      <c r="AK592" s="123"/>
      <c r="AL592" s="123"/>
      <c r="AM592" s="123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25">
        <v>45272</v>
      </c>
      <c r="BC592" s="13" t="s">
        <v>162</v>
      </c>
      <c r="BF592" s="114"/>
    </row>
    <row r="593" spans="1:58" ht="19.5" x14ac:dyDescent="0.4">
      <c r="A593" s="125"/>
      <c r="B593" s="126"/>
      <c r="C593" s="126"/>
      <c r="D593" s="126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26"/>
      <c r="AE593" s="13"/>
      <c r="AJ593" s="117"/>
      <c r="AK593" s="123"/>
      <c r="AL593" s="123"/>
      <c r="AM593" s="123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25"/>
      <c r="BC593" s="13"/>
      <c r="BF593" s="114"/>
    </row>
    <row r="594" spans="1:58" ht="19.5" x14ac:dyDescent="0.4">
      <c r="A594" s="125"/>
      <c r="B594" s="126"/>
      <c r="C594" s="126"/>
      <c r="D594" s="126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26"/>
      <c r="AE594" s="13"/>
      <c r="AJ594" s="117"/>
      <c r="AK594" s="123"/>
      <c r="AL594" s="123"/>
      <c r="AM594" s="123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25"/>
      <c r="BC594" s="13"/>
      <c r="BF594" s="114"/>
    </row>
    <row r="595" spans="1:58" ht="19.5" x14ac:dyDescent="0.4">
      <c r="A595" s="125"/>
      <c r="B595" s="126"/>
      <c r="C595" s="126"/>
      <c r="D595" s="126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7"/>
      <c r="AE595" s="13"/>
      <c r="AJ595" s="117"/>
      <c r="AK595" s="123"/>
      <c r="AL595" s="123"/>
      <c r="AM595" s="123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25"/>
      <c r="BC595" s="13"/>
      <c r="BF595" s="114"/>
    </row>
    <row r="596" spans="1:58" ht="19.5" x14ac:dyDescent="0.4">
      <c r="A596" s="125"/>
      <c r="B596" s="126"/>
      <c r="C596" s="126"/>
      <c r="D596" s="126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26"/>
      <c r="AE596" s="13"/>
      <c r="AJ596" s="117"/>
      <c r="AK596" s="123"/>
      <c r="AL596" s="123"/>
      <c r="AM596" s="123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25"/>
      <c r="BC596" s="13"/>
      <c r="BF596" s="114"/>
    </row>
    <row r="597" spans="1:58" ht="19.5" x14ac:dyDescent="0.4">
      <c r="AD597" s="26"/>
      <c r="AE597" s="13"/>
      <c r="AJ597" s="117"/>
      <c r="AK597" s="123"/>
      <c r="AL597" s="123"/>
      <c r="AM597" s="123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25">
        <v>45272</v>
      </c>
      <c r="BC597" s="13" t="s">
        <v>162</v>
      </c>
      <c r="BF597" s="114"/>
    </row>
    <row r="598" spans="1:58" ht="19.5" x14ac:dyDescent="0.4">
      <c r="AD598" s="26"/>
      <c r="AE598" s="13"/>
      <c r="AJ598" s="117"/>
      <c r="AK598" s="123"/>
      <c r="AL598" s="123"/>
      <c r="AM598" s="123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25"/>
      <c r="BC598" s="13"/>
      <c r="BF598" s="114"/>
    </row>
    <row r="599" spans="1:58" ht="19.5" x14ac:dyDescent="0.4"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26"/>
      <c r="AE599" s="25"/>
      <c r="AJ599" s="117"/>
      <c r="AK599" s="123"/>
      <c r="AL599" s="123"/>
      <c r="AM599" s="123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25"/>
      <c r="BC599" s="13"/>
      <c r="BF599" s="114"/>
    </row>
    <row r="600" spans="1:58" ht="19.5" x14ac:dyDescent="0.4">
      <c r="AD600" s="26"/>
      <c r="AE600" s="25"/>
      <c r="AJ600" s="117"/>
      <c r="AK600" s="123"/>
      <c r="AL600" s="123"/>
      <c r="AM600" s="123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25">
        <v>45272</v>
      </c>
      <c r="BC600" s="13" t="s">
        <v>162</v>
      </c>
      <c r="BF600" s="114"/>
    </row>
    <row r="601" spans="1:58" ht="19.5" x14ac:dyDescent="0.4">
      <c r="AD601" s="26"/>
      <c r="AE601" s="13"/>
      <c r="AJ601" s="117"/>
      <c r="AK601" s="123"/>
      <c r="AL601" s="123"/>
      <c r="AM601" s="123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25">
        <v>45272</v>
      </c>
      <c r="BC601" s="15" t="s">
        <v>162</v>
      </c>
      <c r="BF601" s="114"/>
    </row>
    <row r="602" spans="1:58" ht="19.5" x14ac:dyDescent="0.4">
      <c r="AD602" s="26"/>
      <c r="AE602" s="13"/>
      <c r="AJ602" s="117"/>
      <c r="AK602" s="123"/>
      <c r="AL602" s="123"/>
      <c r="AM602" s="123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25">
        <v>45272</v>
      </c>
      <c r="BC602" s="15" t="s">
        <v>162</v>
      </c>
      <c r="BF602" s="114"/>
    </row>
    <row r="603" spans="1:58" ht="19.5" x14ac:dyDescent="0.4"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26"/>
      <c r="AE603" s="13"/>
      <c r="AJ603" s="117"/>
      <c r="AK603" s="123"/>
      <c r="AL603" s="123"/>
      <c r="AM603" s="123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25"/>
      <c r="BC603" s="15"/>
      <c r="BF603" s="114"/>
    </row>
    <row r="604" spans="1:58" ht="19.5" x14ac:dyDescent="0.4"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7"/>
      <c r="AE604" s="13"/>
      <c r="AJ604" s="117"/>
      <c r="AK604" s="123"/>
      <c r="AL604" s="123"/>
      <c r="AM604" s="123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25"/>
      <c r="BC604" s="15"/>
      <c r="BF604" s="114"/>
    </row>
    <row r="605" spans="1:58" ht="19.5" x14ac:dyDescent="0.4">
      <c r="AD605" s="26"/>
      <c r="AE605" s="13"/>
      <c r="AJ605" s="117"/>
      <c r="AK605" s="123"/>
      <c r="AL605" s="123"/>
      <c r="AM605" s="123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25">
        <v>45272</v>
      </c>
      <c r="BC605" s="15" t="s">
        <v>162</v>
      </c>
      <c r="BF605" s="114"/>
    </row>
    <row r="606" spans="1:58" ht="19.5" x14ac:dyDescent="0.4"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26"/>
      <c r="AE606" s="13"/>
      <c r="AJ606" s="117"/>
      <c r="AK606" s="123"/>
      <c r="AL606" s="123"/>
      <c r="AM606" s="123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25"/>
      <c r="BC606" s="15"/>
      <c r="BF606" s="114"/>
    </row>
    <row r="607" spans="1:58" ht="19.5" x14ac:dyDescent="0.4"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26"/>
      <c r="AE607" s="13"/>
      <c r="AJ607" s="117"/>
      <c r="AK607" s="123"/>
      <c r="AL607" s="123"/>
      <c r="AM607" s="123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25"/>
      <c r="BC607" s="15"/>
      <c r="BF607" s="114"/>
    </row>
    <row r="608" spans="1:58" ht="19.5" x14ac:dyDescent="0.4"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7"/>
      <c r="AE608" s="13"/>
      <c r="AJ608" s="117"/>
      <c r="AK608" s="123"/>
      <c r="AL608" s="123"/>
      <c r="AM608" s="123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25"/>
      <c r="BC608" s="15"/>
      <c r="BF608" s="114"/>
    </row>
    <row r="609" spans="6:58" ht="19.5" x14ac:dyDescent="0.4"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26"/>
      <c r="AE609" s="13"/>
      <c r="AJ609" s="117"/>
      <c r="AK609" s="123"/>
      <c r="AL609" s="123"/>
      <c r="AM609" s="123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25"/>
      <c r="BC609" s="15"/>
      <c r="BF609" s="114"/>
    </row>
    <row r="610" spans="6:58" ht="19.5" x14ac:dyDescent="0.4"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7"/>
      <c r="AE610" s="13"/>
      <c r="AJ610" s="117"/>
      <c r="AK610" s="123"/>
      <c r="AL610" s="123"/>
      <c r="AM610" s="123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25"/>
      <c r="BC610" s="15"/>
      <c r="BF610" s="114"/>
    </row>
    <row r="611" spans="6:58" ht="19.5" x14ac:dyDescent="0.4"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6"/>
      <c r="AE611" s="13"/>
      <c r="AJ611" s="117"/>
      <c r="AK611" s="123"/>
      <c r="AL611" s="123"/>
      <c r="AM611" s="123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25"/>
      <c r="BC611" s="15"/>
      <c r="BF611" s="114"/>
    </row>
    <row r="612" spans="6:58" ht="19.5" x14ac:dyDescent="0.4">
      <c r="AD612" s="26"/>
      <c r="AE612" s="13"/>
      <c r="AJ612" s="117"/>
      <c r="AK612" s="123"/>
      <c r="AL612" s="123"/>
      <c r="AM612" s="123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25">
        <v>45272</v>
      </c>
      <c r="BC612" s="15" t="s">
        <v>162</v>
      </c>
      <c r="BF612" s="114"/>
    </row>
    <row r="613" spans="6:58" ht="19.5" x14ac:dyDescent="0.4">
      <c r="W613" s="115"/>
      <c r="X613" s="115"/>
      <c r="Y613" s="115"/>
      <c r="Z613" s="115"/>
      <c r="AA613" s="115"/>
      <c r="AB613" s="115"/>
      <c r="AC613" s="115"/>
      <c r="AD613" s="26"/>
      <c r="AE613" s="13"/>
      <c r="AJ613" s="117"/>
      <c r="AK613" s="123"/>
      <c r="AL613" s="123"/>
      <c r="AM613" s="123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25"/>
      <c r="BC613" s="15"/>
      <c r="BF613" s="114"/>
    </row>
    <row r="614" spans="6:58" ht="19.5" x14ac:dyDescent="0.4">
      <c r="W614" s="115"/>
      <c r="X614" s="115"/>
      <c r="Y614" s="115"/>
      <c r="Z614" s="115"/>
      <c r="AA614" s="115"/>
      <c r="AB614" s="115"/>
      <c r="AC614" s="115"/>
      <c r="AD614" s="17"/>
      <c r="AE614" s="13"/>
      <c r="AJ614" s="117"/>
      <c r="AK614" s="123"/>
      <c r="AL614" s="123"/>
      <c r="AM614" s="123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25"/>
      <c r="BC614" s="15"/>
      <c r="BF614" s="114"/>
    </row>
    <row r="615" spans="6:58" ht="19.5" x14ac:dyDescent="0.4"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6"/>
      <c r="AE615" s="13"/>
      <c r="AJ615" s="117"/>
      <c r="AK615" s="123"/>
      <c r="AL615" s="123"/>
      <c r="AM615" s="123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25"/>
      <c r="BC615" s="15"/>
      <c r="BF615" s="114"/>
    </row>
    <row r="616" spans="6:58" ht="19.5" x14ac:dyDescent="0.4"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7"/>
      <c r="AE616" s="13"/>
      <c r="AJ616" s="117"/>
      <c r="AK616" s="123"/>
      <c r="AL616" s="123"/>
      <c r="AM616" s="123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25"/>
      <c r="BC616" s="15"/>
      <c r="BF616" s="114"/>
    </row>
    <row r="617" spans="6:58" ht="19.5" x14ac:dyDescent="0.4"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26"/>
      <c r="AE617" s="25"/>
      <c r="AJ617" s="117"/>
      <c r="AK617" s="123"/>
      <c r="AL617" s="123"/>
      <c r="AM617" s="123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25"/>
      <c r="BC617" s="15"/>
      <c r="BF617" s="114"/>
    </row>
    <row r="618" spans="6:58" ht="19.5" x14ac:dyDescent="0.4"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7"/>
      <c r="AE618" s="13"/>
      <c r="AJ618" s="117"/>
      <c r="AK618" s="123"/>
      <c r="AL618" s="123"/>
      <c r="AM618" s="123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25"/>
      <c r="BC618" s="15"/>
      <c r="BF618" s="114"/>
    </row>
    <row r="619" spans="6:58" ht="19.5" x14ac:dyDescent="0.4"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6"/>
      <c r="AE619" s="13"/>
      <c r="AJ619" s="117"/>
      <c r="AK619" s="123"/>
      <c r="AL619" s="123"/>
      <c r="AM619" s="123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25"/>
      <c r="BC619" s="15"/>
      <c r="BF619" s="114"/>
    </row>
    <row r="620" spans="6:58" ht="19.5" x14ac:dyDescent="0.4">
      <c r="AD620" s="26"/>
      <c r="AE620" s="13"/>
      <c r="AJ620" s="117"/>
      <c r="AK620" s="123"/>
      <c r="AL620" s="123"/>
      <c r="AM620" s="123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25">
        <v>45272</v>
      </c>
      <c r="BC620" s="15" t="s">
        <v>162</v>
      </c>
      <c r="BF620" s="114"/>
    </row>
    <row r="621" spans="6:58" ht="19.5" x14ac:dyDescent="0.4">
      <c r="X621" s="115"/>
      <c r="Y621" s="115"/>
      <c r="Z621" s="115"/>
      <c r="AA621" s="115"/>
      <c r="AB621" s="115"/>
      <c r="AC621" s="115"/>
      <c r="AD621" s="17"/>
      <c r="AE621" s="13"/>
      <c r="AJ621" s="117"/>
      <c r="AK621" s="123"/>
      <c r="AL621" s="123"/>
      <c r="AM621" s="123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25"/>
      <c r="BC621" s="15"/>
      <c r="BF621" s="114"/>
    </row>
    <row r="622" spans="6:58" ht="19.5" x14ac:dyDescent="0.4">
      <c r="W622" s="115"/>
      <c r="X622" s="115"/>
      <c r="Y622" s="115"/>
      <c r="Z622" s="115"/>
      <c r="AA622" s="115"/>
      <c r="AB622" s="115"/>
      <c r="AC622" s="115"/>
      <c r="AD622" s="26"/>
      <c r="AE622" s="13"/>
      <c r="AJ622" s="117"/>
      <c r="AK622" s="123"/>
      <c r="AL622" s="123"/>
      <c r="AM622" s="123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25"/>
      <c r="BC622" s="15"/>
      <c r="BF622" s="114"/>
    </row>
    <row r="623" spans="6:58" ht="19.5" x14ac:dyDescent="0.4">
      <c r="W623" s="115"/>
      <c r="X623" s="115"/>
      <c r="Y623" s="115"/>
      <c r="Z623" s="115"/>
      <c r="AA623" s="115"/>
      <c r="AB623" s="115"/>
      <c r="AC623" s="115"/>
      <c r="AD623" s="17"/>
      <c r="AE623" s="13"/>
      <c r="AJ623" s="117"/>
      <c r="AK623" s="123"/>
      <c r="AL623" s="123"/>
      <c r="AM623" s="123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25"/>
      <c r="BC623" s="15"/>
      <c r="BF623" s="114"/>
    </row>
    <row r="624" spans="6:58" ht="19.5" x14ac:dyDescent="0.4">
      <c r="W624" s="115"/>
      <c r="X624" s="115"/>
      <c r="Y624" s="115"/>
      <c r="Z624" s="115"/>
      <c r="AA624" s="115"/>
      <c r="AB624" s="115"/>
      <c r="AC624" s="115"/>
      <c r="AD624" s="17"/>
      <c r="AE624" s="13"/>
      <c r="AJ624" s="117"/>
      <c r="AK624" s="123"/>
      <c r="AL624" s="123"/>
      <c r="AM624" s="123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25"/>
      <c r="BC624" s="15"/>
      <c r="BF624" s="114"/>
    </row>
    <row r="625" spans="6:58" ht="19.5" x14ac:dyDescent="0.4"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6"/>
      <c r="AE625" s="13"/>
      <c r="AJ625" s="117"/>
      <c r="AK625" s="123"/>
      <c r="AL625" s="123"/>
      <c r="AM625" s="123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25"/>
      <c r="BC625" s="15"/>
      <c r="BF625" s="114"/>
    </row>
    <row r="626" spans="6:58" ht="19.5" x14ac:dyDescent="0.4"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20"/>
      <c r="AE626" s="13"/>
      <c r="AJ626" s="117"/>
      <c r="AK626" s="123"/>
      <c r="AL626" s="123"/>
      <c r="AM626" s="123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25"/>
      <c r="BC626" s="15"/>
      <c r="BF626" s="114"/>
    </row>
    <row r="627" spans="6:58" ht="19.5" x14ac:dyDescent="0.4"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0"/>
      <c r="AE627" s="13"/>
      <c r="AJ627" s="117"/>
      <c r="AK627" s="123"/>
      <c r="AL627" s="123"/>
      <c r="AM627" s="123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25"/>
      <c r="BC627" s="15"/>
      <c r="BF627" s="114"/>
    </row>
    <row r="628" spans="6:58" ht="19.5" x14ac:dyDescent="0.4"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25"/>
      <c r="AE628" s="15"/>
      <c r="AJ628" s="117"/>
      <c r="AK628" s="123"/>
      <c r="AL628" s="123"/>
      <c r="AM628" s="123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25"/>
      <c r="BC628" s="15"/>
      <c r="BF628" s="114"/>
    </row>
    <row r="629" spans="6:58" ht="19.5" x14ac:dyDescent="0.4"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5"/>
      <c r="AE629" s="15"/>
      <c r="AJ629" s="117"/>
      <c r="AK629" s="123"/>
      <c r="AL629" s="123"/>
      <c r="AM629" s="123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25"/>
      <c r="BC629" s="15"/>
      <c r="BF629" s="114"/>
    </row>
    <row r="630" spans="6:58" ht="19.5" x14ac:dyDescent="0.4"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25"/>
      <c r="AE630" s="15"/>
      <c r="AJ630" s="117"/>
      <c r="AK630" s="123"/>
      <c r="AL630" s="123"/>
      <c r="AM630" s="123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25"/>
      <c r="BC630" s="15"/>
      <c r="BF630" s="114"/>
    </row>
    <row r="631" spans="6:58" ht="19.5" x14ac:dyDescent="0.4">
      <c r="AD631" s="26"/>
      <c r="AE631" s="15"/>
      <c r="AJ631" s="117"/>
      <c r="AK631" s="123"/>
      <c r="AL631" s="123"/>
      <c r="AM631" s="123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25">
        <v>45272</v>
      </c>
      <c r="BC631" s="15" t="s">
        <v>162</v>
      </c>
      <c r="BF631" s="114"/>
    </row>
    <row r="632" spans="6:58" ht="19.5" x14ac:dyDescent="0.4">
      <c r="AD632" s="26"/>
      <c r="AE632" s="13"/>
      <c r="AJ632" s="117"/>
      <c r="AK632" s="123"/>
      <c r="AL632" s="123"/>
      <c r="AM632" s="123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25"/>
      <c r="BC632" s="15"/>
      <c r="BF632" s="114"/>
    </row>
    <row r="633" spans="6:58" ht="19.5" x14ac:dyDescent="0.4"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26"/>
      <c r="AE633" s="13"/>
      <c r="AJ633" s="117"/>
      <c r="AK633" s="123"/>
      <c r="AL633" s="123"/>
      <c r="AM633" s="123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25"/>
      <c r="BC633" s="15"/>
      <c r="BF633" s="114"/>
    </row>
    <row r="634" spans="6:58" ht="19.5" x14ac:dyDescent="0.4">
      <c r="AD634" s="26"/>
      <c r="AE634" s="13"/>
      <c r="AJ634" s="117"/>
      <c r="AK634" s="123"/>
      <c r="AL634" s="123"/>
      <c r="AM634" s="123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25">
        <v>45272</v>
      </c>
      <c r="BC634" s="15" t="s">
        <v>162</v>
      </c>
      <c r="BF634" s="114"/>
    </row>
    <row r="635" spans="6:58" ht="19.5" x14ac:dyDescent="0.4">
      <c r="V635" s="115"/>
      <c r="W635" s="115"/>
      <c r="X635" s="115"/>
      <c r="Y635" s="115"/>
      <c r="Z635" s="115"/>
      <c r="AA635" s="115"/>
      <c r="AB635" s="115"/>
      <c r="AC635" s="115"/>
      <c r="AD635" s="17"/>
      <c r="AE635" s="13"/>
      <c r="AJ635" s="117"/>
      <c r="AK635" s="123"/>
      <c r="AL635" s="123"/>
      <c r="AM635" s="123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25"/>
      <c r="BC635" s="15"/>
      <c r="BF635" s="114"/>
    </row>
    <row r="636" spans="6:58" ht="19.5" x14ac:dyDescent="0.4">
      <c r="AD636" s="26"/>
      <c r="AE636" s="13"/>
      <c r="AJ636" s="117"/>
      <c r="AK636" s="123"/>
      <c r="AL636" s="123"/>
      <c r="AM636" s="123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25"/>
      <c r="BC636" s="15"/>
      <c r="BF636" s="114"/>
    </row>
    <row r="637" spans="6:58" ht="19.5" x14ac:dyDescent="0.4"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6"/>
      <c r="AE637" s="13"/>
      <c r="AJ637" s="117"/>
      <c r="AK637" s="123"/>
      <c r="AL637" s="123"/>
      <c r="AM637" s="123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25"/>
      <c r="BC637" s="15"/>
      <c r="BF637" s="114"/>
    </row>
    <row r="638" spans="6:58" ht="19.5" x14ac:dyDescent="0.4">
      <c r="AD638" s="26"/>
      <c r="AE638" s="13"/>
      <c r="AJ638" s="117"/>
      <c r="AK638" s="123"/>
      <c r="AL638" s="123"/>
      <c r="AM638" s="123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25">
        <v>45272</v>
      </c>
      <c r="BC638" s="15" t="s">
        <v>162</v>
      </c>
      <c r="BF638" s="114"/>
    </row>
    <row r="639" spans="6:58" ht="19.5" x14ac:dyDescent="0.4">
      <c r="AD639" s="26"/>
      <c r="AE639" s="13"/>
      <c r="AJ639" s="117"/>
      <c r="AK639" s="123"/>
      <c r="AL639" s="123"/>
      <c r="AM639" s="123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 t="s">
        <v>166</v>
      </c>
      <c r="BB639" s="13">
        <f>SUBTOTAL(3,BB587:BB638)</f>
        <v>13</v>
      </c>
      <c r="BC639" s="15">
        <f>SUBTOTAL(3,BC587:BC638)</f>
        <v>13</v>
      </c>
      <c r="BF639" s="114"/>
    </row>
    <row r="640" spans="6:58" ht="19.5" x14ac:dyDescent="0.4">
      <c r="V640" s="115"/>
      <c r="W640" s="115"/>
      <c r="X640" s="115"/>
      <c r="Y640" s="115"/>
      <c r="Z640" s="115"/>
      <c r="AA640" s="115"/>
      <c r="AB640" s="115"/>
      <c r="AC640" s="115"/>
      <c r="AD640" s="17"/>
      <c r="AE640" s="13"/>
      <c r="AJ640" s="117"/>
      <c r="AK640" s="123"/>
      <c r="AL640" s="123"/>
      <c r="AM640" s="123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3"/>
      <c r="BC640" s="15"/>
      <c r="BF640" s="114"/>
    </row>
    <row r="641" spans="19:58" ht="19.5" x14ac:dyDescent="0.4">
      <c r="AD641" s="26"/>
      <c r="AE641" s="13"/>
      <c r="AJ641" s="117"/>
      <c r="AK641" s="123"/>
      <c r="AL641" s="123"/>
      <c r="AM641" s="123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25">
        <v>45273</v>
      </c>
      <c r="BC641" s="105" t="s">
        <v>164</v>
      </c>
      <c r="BF641" s="114"/>
    </row>
    <row r="642" spans="19:58" ht="19.5" x14ac:dyDescent="0.4">
      <c r="AD642" s="26"/>
      <c r="AE642" s="13"/>
      <c r="AJ642" s="117"/>
      <c r="AK642" s="123"/>
      <c r="AL642" s="123"/>
      <c r="AM642" s="123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25">
        <v>45273</v>
      </c>
      <c r="BC642" s="15" t="s">
        <v>164</v>
      </c>
      <c r="BF642" s="114"/>
    </row>
    <row r="643" spans="19:58" ht="19.5" x14ac:dyDescent="0.4"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26"/>
      <c r="AE643" s="13"/>
      <c r="AJ643" s="117"/>
      <c r="AK643" s="123"/>
      <c r="AL643" s="123"/>
      <c r="AM643" s="123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25"/>
      <c r="BC643" s="13"/>
      <c r="BF643" s="114"/>
    </row>
    <row r="644" spans="19:58" ht="19.5" x14ac:dyDescent="0.4">
      <c r="AD644" s="26"/>
      <c r="AE644" s="13"/>
      <c r="AJ644" s="117"/>
      <c r="AK644" s="123"/>
      <c r="AL644" s="123"/>
      <c r="AM644" s="123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25">
        <v>45273</v>
      </c>
      <c r="BC644" s="13" t="s">
        <v>164</v>
      </c>
      <c r="BF644" s="114"/>
    </row>
    <row r="645" spans="19:58" ht="19.5" x14ac:dyDescent="0.4">
      <c r="AD645" s="26"/>
      <c r="AE645" s="13"/>
      <c r="AJ645" s="117"/>
      <c r="AK645" s="123"/>
      <c r="AL645" s="123"/>
      <c r="AM645" s="123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25">
        <v>45273</v>
      </c>
      <c r="BC645" s="15" t="s">
        <v>164</v>
      </c>
      <c r="BF645" s="114"/>
    </row>
    <row r="646" spans="19:58" ht="19.5" x14ac:dyDescent="0.4">
      <c r="AD646" s="26"/>
      <c r="AE646" s="13"/>
      <c r="AJ646" s="117"/>
      <c r="AK646" s="123"/>
      <c r="AL646" s="123"/>
      <c r="AM646" s="123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25">
        <v>45273</v>
      </c>
      <c r="BC646" s="15" t="s">
        <v>162</v>
      </c>
      <c r="BF646" s="114"/>
    </row>
    <row r="647" spans="19:58" ht="19.5" x14ac:dyDescent="0.4">
      <c r="U647" s="115"/>
      <c r="V647" s="115"/>
      <c r="W647" s="115"/>
      <c r="X647" s="115"/>
      <c r="Y647" s="115"/>
      <c r="Z647" s="115"/>
      <c r="AA647" s="115"/>
      <c r="AB647" s="115"/>
      <c r="AC647" s="115"/>
      <c r="AD647" s="26"/>
      <c r="AE647" s="13"/>
      <c r="AJ647" s="117"/>
      <c r="AK647" s="123"/>
      <c r="AL647" s="123"/>
      <c r="AM647" s="123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25"/>
      <c r="BC647" s="15"/>
      <c r="BF647" s="114"/>
    </row>
    <row r="648" spans="19:58" ht="19.5" x14ac:dyDescent="0.4">
      <c r="AD648" s="26"/>
      <c r="AE648" s="13"/>
      <c r="AJ648" s="117"/>
      <c r="AK648" s="123"/>
      <c r="AL648" s="123"/>
      <c r="AM648" s="123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25">
        <v>45273</v>
      </c>
      <c r="BC648" s="15" t="s">
        <v>162</v>
      </c>
      <c r="BF648" s="114"/>
    </row>
    <row r="649" spans="19:58" ht="19.5" x14ac:dyDescent="0.4">
      <c r="AD649" s="26"/>
      <c r="AE649" s="13"/>
      <c r="AJ649" s="117"/>
      <c r="AK649" s="123"/>
      <c r="AL649" s="123"/>
      <c r="AM649" s="123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25">
        <v>45273</v>
      </c>
      <c r="BC649" s="15" t="s">
        <v>162</v>
      </c>
      <c r="BF649" s="114"/>
    </row>
    <row r="650" spans="19:58" ht="19.5" x14ac:dyDescent="0.4">
      <c r="AD650" s="26"/>
      <c r="AE650" s="13"/>
      <c r="AJ650" s="117"/>
      <c r="AK650" s="123"/>
      <c r="AL650" s="123"/>
      <c r="AM650" s="123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25">
        <v>45273</v>
      </c>
      <c r="BC650" s="15" t="s">
        <v>162</v>
      </c>
      <c r="BF650" s="114"/>
    </row>
    <row r="651" spans="19:58" ht="19.5" x14ac:dyDescent="0.4"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26"/>
      <c r="AE651" s="13"/>
      <c r="AJ651" s="117"/>
      <c r="AK651" s="123"/>
      <c r="AL651" s="123"/>
      <c r="AM651" s="123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25"/>
      <c r="BC651" s="15"/>
      <c r="BF651" s="114"/>
    </row>
    <row r="652" spans="19:58" ht="19.5" x14ac:dyDescent="0.4">
      <c r="AD652" s="26"/>
      <c r="AE652" s="13"/>
      <c r="AJ652" s="117"/>
      <c r="AK652" s="123"/>
      <c r="AL652" s="123"/>
      <c r="AM652" s="123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25">
        <v>45273</v>
      </c>
      <c r="BC652" s="15" t="s">
        <v>162</v>
      </c>
      <c r="BF652" s="114"/>
    </row>
    <row r="653" spans="19:58" ht="19.5" x14ac:dyDescent="0.4">
      <c r="AD653" s="26"/>
      <c r="AE653" s="13"/>
      <c r="AJ653" s="117"/>
      <c r="AK653" s="123"/>
      <c r="AL653" s="123"/>
      <c r="AM653" s="123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25">
        <v>45273</v>
      </c>
      <c r="BC653" s="15" t="s">
        <v>162</v>
      </c>
      <c r="BF653" s="114"/>
    </row>
    <row r="654" spans="19:58" ht="19.5" x14ac:dyDescent="0.4">
      <c r="AD654" s="26"/>
      <c r="AE654" s="13"/>
      <c r="AJ654" s="117"/>
      <c r="AK654" s="123"/>
      <c r="AL654" s="123"/>
      <c r="AM654" s="123"/>
      <c r="AN654" s="115"/>
      <c r="AO654" s="115"/>
      <c r="AP654" s="115"/>
      <c r="AQ654" s="115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25">
        <v>45273</v>
      </c>
      <c r="BC654" s="15" t="s">
        <v>162</v>
      </c>
      <c r="BF654" s="114"/>
    </row>
    <row r="655" spans="19:58" ht="19.5" x14ac:dyDescent="0.4">
      <c r="AD655" s="26"/>
      <c r="AE655" s="13"/>
      <c r="AJ655" s="117"/>
      <c r="AK655" s="123"/>
      <c r="AL655" s="123"/>
      <c r="AM655" s="123"/>
      <c r="AN655" s="115"/>
      <c r="AO655" s="115"/>
      <c r="AP655" s="115"/>
      <c r="AQ655" s="115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25">
        <v>45273</v>
      </c>
      <c r="BC655" s="15" t="s">
        <v>162</v>
      </c>
      <c r="BF655" s="114"/>
    </row>
    <row r="656" spans="19:58" ht="19.5" x14ac:dyDescent="0.4">
      <c r="V656" s="115"/>
      <c r="W656" s="115"/>
      <c r="X656" s="115"/>
      <c r="Y656" s="115"/>
      <c r="Z656" s="115"/>
      <c r="AA656" s="115"/>
      <c r="AB656" s="115"/>
      <c r="AC656" s="115"/>
      <c r="AD656" s="17"/>
      <c r="AE656" s="13"/>
      <c r="AJ656" s="117"/>
      <c r="AK656" s="123"/>
      <c r="AL656" s="123"/>
      <c r="AM656" s="123"/>
      <c r="AN656" s="115"/>
      <c r="AO656" s="115"/>
      <c r="AP656" s="115"/>
      <c r="AQ656" s="115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25"/>
      <c r="BC656" s="15"/>
      <c r="BF656" s="114"/>
    </row>
    <row r="657" spans="6:58" ht="19.5" x14ac:dyDescent="0.4">
      <c r="AD657" s="26"/>
      <c r="AE657" s="13"/>
      <c r="AJ657" s="117"/>
      <c r="AK657" s="123"/>
      <c r="AL657" s="123"/>
      <c r="AM657" s="123"/>
      <c r="AN657" s="115"/>
      <c r="AO657" s="115"/>
      <c r="AP657" s="115"/>
      <c r="AQ657" s="115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25">
        <v>45273</v>
      </c>
      <c r="BC657" s="15" t="s">
        <v>162</v>
      </c>
      <c r="BF657" s="114"/>
    </row>
    <row r="658" spans="6:58" ht="19.5" x14ac:dyDescent="0.4">
      <c r="V658" s="115"/>
      <c r="W658" s="115"/>
      <c r="X658" s="115"/>
      <c r="Y658" s="115"/>
      <c r="Z658" s="115"/>
      <c r="AA658" s="115"/>
      <c r="AB658" s="115"/>
      <c r="AC658" s="115"/>
      <c r="AD658" s="17"/>
      <c r="AE658" s="13"/>
      <c r="AJ658" s="117"/>
      <c r="AK658" s="123"/>
      <c r="AL658" s="123"/>
      <c r="AM658" s="123"/>
      <c r="AN658" s="115"/>
      <c r="AO658" s="115"/>
      <c r="AP658" s="115"/>
      <c r="AQ658" s="115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25"/>
      <c r="BC658" s="15"/>
      <c r="BF658" s="114"/>
    </row>
    <row r="659" spans="6:58" ht="19.5" x14ac:dyDescent="0.4">
      <c r="AD659" s="26"/>
      <c r="AE659" s="13"/>
      <c r="AJ659" s="117"/>
      <c r="AK659" s="123"/>
      <c r="AL659" s="123"/>
      <c r="AM659" s="123"/>
      <c r="AN659" s="115"/>
      <c r="AO659" s="115"/>
      <c r="AP659" s="115"/>
      <c r="AQ659" s="115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25">
        <v>45273</v>
      </c>
      <c r="BC659" s="15" t="s">
        <v>162</v>
      </c>
      <c r="BF659" s="114"/>
    </row>
    <row r="660" spans="6:58" ht="19.5" x14ac:dyDescent="0.4">
      <c r="AD660" s="26"/>
      <c r="AE660" s="13"/>
      <c r="AJ660" s="117"/>
      <c r="AK660" s="123"/>
      <c r="AL660" s="123"/>
      <c r="AM660" s="123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25">
        <v>45273</v>
      </c>
      <c r="BC660" s="13" t="s">
        <v>162</v>
      </c>
      <c r="BF660" s="114"/>
    </row>
    <row r="661" spans="6:58" ht="19.5" x14ac:dyDescent="0.4">
      <c r="AD661" s="26"/>
      <c r="AE661" s="13"/>
      <c r="AJ661" s="117"/>
      <c r="AK661" s="123"/>
      <c r="AL661" s="123"/>
      <c r="AM661" s="123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25">
        <v>45273</v>
      </c>
      <c r="BC661" s="15" t="s">
        <v>162</v>
      </c>
      <c r="BF661" s="114"/>
    </row>
    <row r="662" spans="6:58" ht="19.5" x14ac:dyDescent="0.4">
      <c r="AD662" s="26"/>
      <c r="AE662" s="13"/>
      <c r="AJ662" s="117"/>
      <c r="AK662" s="123"/>
      <c r="AL662" s="123"/>
      <c r="AM662" s="123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25">
        <v>45273</v>
      </c>
      <c r="BC662" s="15" t="s">
        <v>162</v>
      </c>
      <c r="BF662" s="114"/>
    </row>
    <row r="663" spans="6:58" ht="19.5" x14ac:dyDescent="0.4"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26"/>
      <c r="AE663" s="25"/>
      <c r="AJ663" s="117"/>
      <c r="AK663" s="123"/>
      <c r="AL663" s="123"/>
      <c r="AM663" s="123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25"/>
      <c r="BC663" s="15"/>
      <c r="BF663" s="114"/>
    </row>
    <row r="664" spans="6:58" ht="19.5" x14ac:dyDescent="0.4">
      <c r="AD664" s="26"/>
      <c r="AE664" s="25"/>
      <c r="AJ664" s="117"/>
      <c r="AK664" s="123"/>
      <c r="AL664" s="123"/>
      <c r="AM664" s="123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25">
        <v>45273</v>
      </c>
      <c r="BC664" s="15" t="s">
        <v>162</v>
      </c>
      <c r="BF664" s="114"/>
    </row>
    <row r="665" spans="6:58" ht="19.5" x14ac:dyDescent="0.4">
      <c r="AD665" s="26"/>
      <c r="AE665" s="13"/>
      <c r="AJ665" s="117"/>
      <c r="AK665" s="123"/>
      <c r="AL665" s="123"/>
      <c r="AM665" s="123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25">
        <v>45273</v>
      </c>
      <c r="BC665" s="15" t="s">
        <v>162</v>
      </c>
      <c r="BF665" s="114"/>
    </row>
    <row r="666" spans="6:58" ht="19.5" x14ac:dyDescent="0.4"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26"/>
      <c r="AE666" s="13"/>
      <c r="AJ666" s="117"/>
      <c r="AK666" s="123"/>
      <c r="AL666" s="123"/>
      <c r="AM666" s="123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25"/>
      <c r="BC666" s="15"/>
      <c r="BF666" s="114"/>
    </row>
    <row r="667" spans="6:58" ht="19.5" x14ac:dyDescent="0.4"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26"/>
      <c r="AE667" s="13"/>
      <c r="AJ667" s="117"/>
      <c r="AK667" s="123"/>
      <c r="AL667" s="123"/>
      <c r="AM667" s="123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25"/>
      <c r="BC667" s="15"/>
      <c r="BF667" s="114"/>
    </row>
    <row r="668" spans="6:58" ht="19.5" x14ac:dyDescent="0.4">
      <c r="AD668" s="26"/>
      <c r="AE668" s="13"/>
      <c r="AJ668" s="117"/>
      <c r="AK668" s="123"/>
      <c r="AL668" s="123"/>
      <c r="AM668" s="123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25">
        <v>45273</v>
      </c>
      <c r="BC668" s="15" t="s">
        <v>162</v>
      </c>
      <c r="BF668" s="114"/>
    </row>
    <row r="669" spans="6:58" ht="19.5" x14ac:dyDescent="0.4">
      <c r="AD669" s="26"/>
      <c r="AE669" s="13"/>
      <c r="AJ669" s="117"/>
      <c r="AK669" s="123"/>
      <c r="AL669" s="123"/>
      <c r="AM669" s="123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25">
        <v>45273</v>
      </c>
      <c r="BC669" s="15" t="s">
        <v>162</v>
      </c>
      <c r="BF669" s="114"/>
    </row>
    <row r="670" spans="6:58" ht="19.5" x14ac:dyDescent="0.4">
      <c r="AD670" s="26"/>
      <c r="AE670" s="13"/>
      <c r="AJ670" s="117"/>
      <c r="AK670" s="123"/>
      <c r="AL670" s="123"/>
      <c r="AM670" s="123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25">
        <v>45273</v>
      </c>
      <c r="BC670" s="13" t="s">
        <v>163</v>
      </c>
      <c r="BF670" s="114"/>
    </row>
    <row r="671" spans="6:58" ht="19.5" x14ac:dyDescent="0.4">
      <c r="AD671" s="26"/>
      <c r="AE671" s="13"/>
      <c r="AJ671" s="117"/>
      <c r="AK671" s="123"/>
      <c r="AL671" s="123"/>
      <c r="AM671" s="123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25"/>
      <c r="BC671" s="13"/>
      <c r="BF671" s="114"/>
    </row>
    <row r="672" spans="6:58" ht="19.5" x14ac:dyDescent="0.4">
      <c r="AD672" s="26"/>
      <c r="AE672" s="13"/>
      <c r="AJ672" s="117"/>
      <c r="AK672" s="123"/>
      <c r="AL672" s="123"/>
      <c r="AM672" s="123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 t="s">
        <v>152</v>
      </c>
      <c r="BB672" s="13">
        <f>SUBTOTAL(3,BB641:BB670)</f>
        <v>22</v>
      </c>
      <c r="BC672" s="13">
        <f>SUBTOTAL(3,BC641:BC670)</f>
        <v>22</v>
      </c>
      <c r="BF672" s="114"/>
    </row>
    <row r="673" spans="6:58" ht="19.5" x14ac:dyDescent="0.4">
      <c r="AD673" s="26"/>
      <c r="AE673" s="13"/>
      <c r="AJ673" s="117"/>
      <c r="AK673" s="123"/>
      <c r="AL673" s="123"/>
      <c r="AM673" s="123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25">
        <v>45274</v>
      </c>
      <c r="BC673" s="15" t="s">
        <v>162</v>
      </c>
      <c r="BF673" s="114"/>
    </row>
    <row r="674" spans="6:58" ht="19.5" x14ac:dyDescent="0.4"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26"/>
      <c r="AE674" s="13"/>
      <c r="AJ674" s="117"/>
      <c r="AK674" s="123"/>
      <c r="AL674" s="123"/>
      <c r="AM674" s="123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25"/>
      <c r="BC674" s="15"/>
      <c r="BF674" s="114"/>
    </row>
    <row r="675" spans="6:58" ht="19.5" x14ac:dyDescent="0.4"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26"/>
      <c r="AE675" s="13"/>
      <c r="AJ675" s="117"/>
      <c r="AK675" s="123"/>
      <c r="AL675" s="123"/>
      <c r="AM675" s="123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25"/>
      <c r="BC675" s="15"/>
      <c r="BF675" s="114"/>
    </row>
    <row r="676" spans="6:58" ht="19.5" x14ac:dyDescent="0.4">
      <c r="AD676" s="26"/>
      <c r="AE676" s="13"/>
      <c r="AJ676" s="117"/>
      <c r="AK676" s="123"/>
      <c r="AL676" s="123"/>
      <c r="AM676" s="123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25">
        <v>45274</v>
      </c>
      <c r="BC676" s="15" t="s">
        <v>162</v>
      </c>
      <c r="BF676" s="114"/>
    </row>
    <row r="677" spans="6:58" ht="19.5" x14ac:dyDescent="0.4">
      <c r="U677" s="115"/>
      <c r="V677" s="115"/>
      <c r="W677" s="115"/>
      <c r="X677" s="115"/>
      <c r="Y677" s="115"/>
      <c r="Z677" s="115"/>
      <c r="AA677" s="115"/>
      <c r="AB677" s="115"/>
      <c r="AC677" s="115"/>
      <c r="AD677" s="26"/>
      <c r="AE677" s="13"/>
      <c r="AJ677" s="117"/>
      <c r="AK677" s="123"/>
      <c r="AL677" s="123"/>
      <c r="AM677" s="123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25"/>
      <c r="BC677" s="15"/>
      <c r="BF677" s="114"/>
    </row>
    <row r="678" spans="6:58" ht="19.5" x14ac:dyDescent="0.4"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26"/>
      <c r="AE678" s="13"/>
      <c r="AJ678" s="117"/>
      <c r="AK678" s="123"/>
      <c r="AL678" s="123"/>
      <c r="AM678" s="123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25"/>
      <c r="BC678" s="15"/>
      <c r="BF678" s="114"/>
    </row>
    <row r="679" spans="6:58" ht="19.5" x14ac:dyDescent="0.4"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6"/>
      <c r="AE679" s="13"/>
      <c r="AJ679" s="117"/>
      <c r="AK679" s="123"/>
      <c r="AL679" s="123"/>
      <c r="AM679" s="123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25"/>
      <c r="BC679" s="15"/>
      <c r="BF679" s="114"/>
    </row>
    <row r="680" spans="6:58" ht="19.5" x14ac:dyDescent="0.4">
      <c r="AD680" s="26"/>
      <c r="AE680" s="13"/>
      <c r="AJ680" s="117"/>
      <c r="AK680" s="123"/>
      <c r="AL680" s="123"/>
      <c r="AM680" s="123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25">
        <v>45274</v>
      </c>
      <c r="BC680" s="15" t="s">
        <v>162</v>
      </c>
      <c r="BF680" s="114"/>
    </row>
    <row r="681" spans="6:58" ht="19.5" x14ac:dyDescent="0.4"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26"/>
      <c r="AE681" s="13"/>
      <c r="AJ681" s="117"/>
      <c r="AK681" s="123"/>
      <c r="AL681" s="123"/>
      <c r="AM681" s="123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25"/>
      <c r="BC681" s="15"/>
      <c r="BF681" s="114"/>
    </row>
    <row r="682" spans="6:58" ht="19.5" x14ac:dyDescent="0.4">
      <c r="AD682" s="26"/>
      <c r="AE682" s="13"/>
      <c r="AJ682" s="117"/>
      <c r="AK682" s="123"/>
      <c r="AL682" s="123"/>
      <c r="AM682" s="123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25">
        <v>45274</v>
      </c>
      <c r="BC682" s="15" t="s">
        <v>162</v>
      </c>
      <c r="BF682" s="114"/>
    </row>
    <row r="683" spans="6:58" ht="19.5" x14ac:dyDescent="0.4">
      <c r="AD683" s="26"/>
      <c r="AE683" s="13"/>
      <c r="AJ683" s="117"/>
      <c r="AK683" s="123"/>
      <c r="AL683" s="123"/>
      <c r="AM683" s="123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25">
        <v>45274</v>
      </c>
      <c r="BC683" s="15" t="s">
        <v>163</v>
      </c>
      <c r="BF683" s="114"/>
    </row>
    <row r="684" spans="6:58" ht="19.5" x14ac:dyDescent="0.4">
      <c r="V684" s="115"/>
      <c r="W684" s="115"/>
      <c r="X684" s="115"/>
      <c r="Y684" s="115"/>
      <c r="Z684" s="115"/>
      <c r="AA684" s="115"/>
      <c r="AB684" s="115"/>
      <c r="AC684" s="115"/>
      <c r="AD684" s="17"/>
      <c r="AE684" s="13"/>
      <c r="AJ684" s="117"/>
      <c r="AK684" s="123"/>
      <c r="AL684" s="123"/>
      <c r="AM684" s="123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25"/>
      <c r="BC684" s="15"/>
      <c r="BF684" s="114"/>
    </row>
    <row r="685" spans="6:58" ht="19.5" x14ac:dyDescent="0.4"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26"/>
      <c r="AE685" s="13"/>
      <c r="AJ685" s="117"/>
      <c r="AK685" s="123"/>
      <c r="AL685" s="123"/>
      <c r="AM685" s="123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25"/>
      <c r="BC685" s="15"/>
      <c r="BF685" s="114"/>
    </row>
    <row r="686" spans="6:58" ht="19.5" x14ac:dyDescent="0.4">
      <c r="AD686" s="26"/>
      <c r="AE686" s="25"/>
      <c r="AJ686" s="117"/>
      <c r="AK686" s="123"/>
      <c r="AL686" s="123"/>
      <c r="AM686" s="123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 t="s">
        <v>167</v>
      </c>
      <c r="BB686" s="13">
        <f>SUBTOTAL(3,BB673:BB683)</f>
        <v>5</v>
      </c>
      <c r="BC686" s="15">
        <f>SUBTOTAL(3,BC673:BC683)</f>
        <v>5</v>
      </c>
      <c r="BF686" s="114"/>
    </row>
    <row r="687" spans="6:58" ht="19.5" x14ac:dyDescent="0.4"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26"/>
      <c r="AE687" s="105"/>
      <c r="AJ687" s="117"/>
      <c r="AK687" s="123"/>
      <c r="AL687" s="123"/>
      <c r="AM687" s="123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3"/>
      <c r="BC687" s="15"/>
      <c r="BF687" s="114"/>
    </row>
    <row r="688" spans="6:58" ht="19.5" x14ac:dyDescent="0.4">
      <c r="AD688" s="26"/>
      <c r="AE688" s="105"/>
      <c r="AJ688" s="117"/>
      <c r="AK688" s="123"/>
      <c r="AL688" s="123"/>
      <c r="AM688" s="123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3"/>
      <c r="BC688" s="15"/>
      <c r="BF688" s="114"/>
    </row>
    <row r="689" spans="6:58" ht="19.5" x14ac:dyDescent="0.4">
      <c r="V689" s="115"/>
      <c r="W689" s="115"/>
      <c r="X689" s="115"/>
      <c r="Y689" s="115"/>
      <c r="Z689" s="115"/>
      <c r="AA689" s="115"/>
      <c r="AB689" s="115"/>
      <c r="AC689" s="115"/>
      <c r="AD689" s="17"/>
      <c r="AE689" s="15"/>
      <c r="AJ689" s="117"/>
      <c r="AK689" s="123"/>
      <c r="AL689" s="123"/>
      <c r="AM689" s="123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3"/>
      <c r="BC689" s="15"/>
      <c r="BF689" s="114"/>
    </row>
    <row r="690" spans="6:58" ht="19.5" x14ac:dyDescent="0.4"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26"/>
      <c r="AE690" s="15"/>
      <c r="AJ690" s="117"/>
      <c r="AK690" s="123"/>
      <c r="AL690" s="123"/>
      <c r="AM690" s="123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3"/>
      <c r="BC690" s="15"/>
      <c r="BF690" s="114"/>
    </row>
    <row r="691" spans="6:58" ht="19.5" x14ac:dyDescent="0.4"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26"/>
      <c r="AE691" s="15"/>
      <c r="AJ691" s="117"/>
      <c r="AK691" s="123"/>
      <c r="AL691" s="123"/>
      <c r="AM691" s="123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3"/>
      <c r="BC691" s="15"/>
      <c r="BF691" s="114"/>
    </row>
    <row r="692" spans="6:58" ht="19.5" x14ac:dyDescent="0.4"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26"/>
      <c r="AE692" s="15"/>
      <c r="AJ692" s="117"/>
      <c r="AK692" s="123"/>
      <c r="AL692" s="123"/>
      <c r="AM692" s="123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3"/>
      <c r="BC692" s="15"/>
      <c r="BF692" s="114"/>
    </row>
    <row r="693" spans="6:58" ht="19.5" x14ac:dyDescent="0.4"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26"/>
      <c r="AE693" s="15"/>
      <c r="AJ693" s="117"/>
      <c r="AK693" s="123"/>
      <c r="AL693" s="123"/>
      <c r="AM693" s="123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3"/>
      <c r="BC693" s="15"/>
      <c r="BF693" s="114"/>
    </row>
    <row r="694" spans="6:58" ht="19.5" x14ac:dyDescent="0.4">
      <c r="AD694" s="26"/>
      <c r="AE694" s="15"/>
      <c r="AJ694" s="117"/>
      <c r="AK694" s="123"/>
      <c r="AL694" s="123"/>
      <c r="AM694" s="123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25">
        <v>45275</v>
      </c>
      <c r="BC694" s="15" t="s">
        <v>163</v>
      </c>
      <c r="BF694" s="114"/>
    </row>
    <row r="695" spans="6:58" ht="19.5" x14ac:dyDescent="0.4">
      <c r="AD695" s="26"/>
      <c r="AE695" s="15"/>
      <c r="AJ695" s="117"/>
      <c r="AK695" s="123"/>
      <c r="AL695" s="123"/>
      <c r="AM695" s="123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 t="s">
        <v>168</v>
      </c>
      <c r="BB695" s="13">
        <f>SUBTOTAL(3,BB694:BB694)</f>
        <v>1</v>
      </c>
      <c r="BC695" s="15">
        <f>SUBTOTAL(3,BC694:BC694)</f>
        <v>1</v>
      </c>
      <c r="BF695" s="114"/>
    </row>
    <row r="696" spans="6:58" ht="19.5" x14ac:dyDescent="0.4">
      <c r="AD696" s="26"/>
      <c r="AE696" s="15"/>
      <c r="AJ696" s="117"/>
      <c r="AK696" s="123"/>
      <c r="AL696" s="123"/>
      <c r="AM696" s="123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25">
        <v>45276</v>
      </c>
      <c r="BC696" s="15" t="s">
        <v>164</v>
      </c>
      <c r="BF696" s="114"/>
    </row>
    <row r="697" spans="6:58" ht="19.5" x14ac:dyDescent="0.4">
      <c r="AD697" s="26"/>
      <c r="AE697" s="15"/>
      <c r="AJ697" s="117"/>
      <c r="AK697" s="123"/>
      <c r="AL697" s="123"/>
      <c r="AM697" s="123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25">
        <v>45276</v>
      </c>
      <c r="BC697" s="15" t="s">
        <v>162</v>
      </c>
      <c r="BF697" s="114"/>
    </row>
    <row r="698" spans="6:58" ht="19.5" x14ac:dyDescent="0.4">
      <c r="AD698" s="26"/>
      <c r="AE698" s="15"/>
      <c r="AJ698" s="117"/>
      <c r="AK698" s="123"/>
      <c r="AL698" s="123"/>
      <c r="AM698" s="123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25">
        <v>45276</v>
      </c>
      <c r="BC698" s="15" t="s">
        <v>162</v>
      </c>
      <c r="BF698" s="114"/>
    </row>
    <row r="699" spans="6:58" ht="19.5" x14ac:dyDescent="0.4">
      <c r="AD699" s="26"/>
      <c r="AE699" s="15"/>
      <c r="AJ699" s="117"/>
      <c r="AK699" s="123"/>
      <c r="AL699" s="123"/>
      <c r="AM699" s="123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25">
        <v>45276</v>
      </c>
      <c r="BC699" s="15" t="s">
        <v>162</v>
      </c>
      <c r="BF699" s="114"/>
    </row>
    <row r="700" spans="6:58" ht="19.5" x14ac:dyDescent="0.4">
      <c r="AD700" s="26"/>
      <c r="AE700" s="15"/>
      <c r="AJ700" s="117"/>
      <c r="AK700" s="123"/>
      <c r="AL700" s="123"/>
      <c r="AM700" s="123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25">
        <v>45276</v>
      </c>
      <c r="BC700" s="15" t="s">
        <v>162</v>
      </c>
      <c r="BF700" s="114"/>
    </row>
    <row r="701" spans="6:58" ht="19.5" x14ac:dyDescent="0.4"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6"/>
      <c r="AE701" s="15"/>
      <c r="AJ701" s="117"/>
      <c r="AK701" s="123"/>
      <c r="AL701" s="123"/>
      <c r="AM701" s="123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25"/>
      <c r="BC701" s="15"/>
      <c r="BF701" s="114"/>
    </row>
    <row r="702" spans="6:58" ht="19.5" x14ac:dyDescent="0.4">
      <c r="AD702" s="26"/>
      <c r="AE702" s="15"/>
      <c r="AJ702" s="117"/>
      <c r="AK702" s="123"/>
      <c r="AL702" s="123"/>
      <c r="AM702" s="123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25">
        <v>45276</v>
      </c>
      <c r="BC702" s="15" t="s">
        <v>162</v>
      </c>
      <c r="BF702" s="114"/>
    </row>
    <row r="703" spans="6:58" ht="19.5" x14ac:dyDescent="0.4">
      <c r="AD703" s="26"/>
      <c r="AE703" s="15"/>
      <c r="AJ703" s="117"/>
      <c r="AK703" s="123"/>
      <c r="AL703" s="123"/>
      <c r="AM703" s="123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25">
        <v>45276</v>
      </c>
      <c r="BC703" s="15" t="s">
        <v>162</v>
      </c>
      <c r="BF703" s="114"/>
    </row>
    <row r="704" spans="6:58" ht="19.5" x14ac:dyDescent="0.4">
      <c r="V704" s="115"/>
      <c r="W704" s="115"/>
      <c r="X704" s="115"/>
      <c r="Y704" s="115"/>
      <c r="Z704" s="115"/>
      <c r="AA704" s="115"/>
      <c r="AB704" s="115"/>
      <c r="AC704" s="115"/>
      <c r="AD704" s="17"/>
      <c r="AE704" s="15"/>
      <c r="AJ704" s="117"/>
      <c r="AK704" s="123"/>
      <c r="AL704" s="123"/>
      <c r="AM704" s="123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25"/>
      <c r="BC704" s="15"/>
      <c r="BF704" s="114"/>
    </row>
    <row r="705" spans="6:58" ht="19.5" x14ac:dyDescent="0.4"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26"/>
      <c r="AE705" s="15"/>
      <c r="AJ705" s="117"/>
      <c r="AK705" s="123"/>
      <c r="AL705" s="123"/>
      <c r="AM705" s="123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25"/>
      <c r="BC705" s="15"/>
      <c r="BF705" s="114"/>
    </row>
    <row r="706" spans="6:58" ht="19.5" x14ac:dyDescent="0.4"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26"/>
      <c r="AE706" s="15"/>
      <c r="AJ706" s="117"/>
      <c r="AK706" s="123"/>
      <c r="AL706" s="123"/>
      <c r="AM706" s="123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25"/>
      <c r="BC706" s="15"/>
      <c r="BF706" s="114"/>
    </row>
    <row r="707" spans="6:58" ht="19.5" x14ac:dyDescent="0.4"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26"/>
      <c r="AE707" s="15"/>
      <c r="AJ707" s="117"/>
      <c r="AK707" s="123"/>
      <c r="AL707" s="123"/>
      <c r="AM707" s="123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25"/>
      <c r="BC707" s="15"/>
      <c r="BF707" s="114"/>
    </row>
    <row r="708" spans="6:58" ht="19.5" x14ac:dyDescent="0.4">
      <c r="AD708" s="26"/>
      <c r="AE708" s="15"/>
      <c r="AI708" s="115"/>
      <c r="AJ708" s="117"/>
      <c r="AK708" s="123"/>
      <c r="AL708" s="123"/>
      <c r="AM708" s="123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25">
        <v>45276</v>
      </c>
      <c r="BC708" s="15" t="s">
        <v>162</v>
      </c>
      <c r="BF708" s="114"/>
    </row>
    <row r="709" spans="6:58" ht="19.5" x14ac:dyDescent="0.4">
      <c r="AD709" s="26"/>
      <c r="AE709" s="15"/>
      <c r="AI709" s="115"/>
      <c r="AJ709" s="117"/>
      <c r="AK709" s="123"/>
      <c r="AL709" s="123"/>
      <c r="AM709" s="123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25">
        <v>45276</v>
      </c>
      <c r="BC709" s="15" t="s">
        <v>162</v>
      </c>
      <c r="BF709" s="114"/>
    </row>
    <row r="710" spans="6:58" ht="19.5" x14ac:dyDescent="0.4">
      <c r="AD710" s="26"/>
      <c r="AE710" s="15"/>
      <c r="AI710" s="115"/>
      <c r="AJ710" s="117"/>
      <c r="AK710" s="123"/>
      <c r="AL710" s="123"/>
      <c r="AM710" s="123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25">
        <v>45276</v>
      </c>
      <c r="BC710" s="15" t="s">
        <v>162</v>
      </c>
      <c r="BF710" s="114"/>
    </row>
    <row r="711" spans="6:58" ht="19.5" x14ac:dyDescent="0.4">
      <c r="V711" s="115"/>
      <c r="W711" s="115"/>
      <c r="X711" s="115"/>
      <c r="Y711" s="115"/>
      <c r="Z711" s="115"/>
      <c r="AA711" s="115"/>
      <c r="AB711" s="115"/>
      <c r="AC711" s="115"/>
      <c r="AD711" s="17"/>
      <c r="AE711" s="15"/>
      <c r="AI711" s="115"/>
      <c r="AJ711" s="117"/>
      <c r="AK711" s="123"/>
      <c r="AL711" s="123"/>
      <c r="AM711" s="123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25"/>
      <c r="BC711" s="15"/>
      <c r="BF711" s="114"/>
    </row>
    <row r="712" spans="6:58" ht="19.5" x14ac:dyDescent="0.4"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26"/>
      <c r="AE712" s="15"/>
      <c r="AI712" s="115"/>
      <c r="AJ712" s="117"/>
      <c r="AK712" s="123"/>
      <c r="AL712" s="123"/>
      <c r="AM712" s="123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25"/>
      <c r="BC712" s="15"/>
      <c r="BF712" s="114"/>
    </row>
    <row r="713" spans="6:58" ht="19.5" x14ac:dyDescent="0.4"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7"/>
      <c r="AE713" s="15"/>
      <c r="AI713" s="115"/>
      <c r="AJ713" s="117"/>
      <c r="AK713" s="123"/>
      <c r="AL713" s="123"/>
      <c r="AM713" s="123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25"/>
      <c r="BC713" s="15"/>
      <c r="BF713" s="114"/>
    </row>
    <row r="714" spans="6:58" ht="19.5" x14ac:dyDescent="0.4">
      <c r="AD714" s="26"/>
      <c r="AE714" s="15"/>
      <c r="AI714" s="115"/>
      <c r="AJ714" s="117"/>
      <c r="AK714" s="123"/>
      <c r="AL714" s="123"/>
      <c r="AM714" s="123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25"/>
      <c r="BC714" s="15"/>
      <c r="BF714" s="114"/>
    </row>
    <row r="715" spans="6:58" ht="19.5" x14ac:dyDescent="0.4"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26"/>
      <c r="AE715" s="15"/>
      <c r="AI715" s="115"/>
      <c r="AJ715" s="117"/>
      <c r="AK715" s="123"/>
      <c r="AL715" s="123"/>
      <c r="AM715" s="123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25"/>
      <c r="BC715" s="15"/>
      <c r="BF715" s="114"/>
    </row>
    <row r="716" spans="6:58" ht="19.5" x14ac:dyDescent="0.4">
      <c r="AD716" s="26"/>
      <c r="AE716" s="15"/>
      <c r="AI716" s="115"/>
      <c r="AJ716" s="117"/>
      <c r="AK716" s="123"/>
      <c r="AL716" s="123"/>
      <c r="AM716" s="123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25">
        <v>45276</v>
      </c>
      <c r="BC716" s="15" t="s">
        <v>162</v>
      </c>
      <c r="BF716" s="114"/>
    </row>
    <row r="717" spans="6:58" ht="19.5" x14ac:dyDescent="0.4">
      <c r="V717" s="115"/>
      <c r="W717" s="115"/>
      <c r="X717" s="115"/>
      <c r="Y717" s="115"/>
      <c r="Z717" s="115"/>
      <c r="AA717" s="115"/>
      <c r="AB717" s="115"/>
      <c r="AC717" s="115"/>
      <c r="AD717" s="17"/>
      <c r="AE717" s="15"/>
      <c r="AI717" s="115"/>
      <c r="AJ717" s="117"/>
      <c r="AK717" s="123"/>
      <c r="AL717" s="123"/>
      <c r="AM717" s="123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25"/>
      <c r="BC717" s="15"/>
      <c r="BF717" s="114"/>
    </row>
    <row r="718" spans="6:58" ht="19.5" x14ac:dyDescent="0.4">
      <c r="AD718" s="26"/>
      <c r="AE718" s="15"/>
      <c r="AI718" s="115"/>
      <c r="AJ718" s="117"/>
      <c r="AK718" s="123"/>
      <c r="AL718" s="123"/>
      <c r="AM718" s="123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25">
        <v>45276</v>
      </c>
      <c r="BC718" s="15" t="s">
        <v>162</v>
      </c>
      <c r="BF718" s="114"/>
    </row>
    <row r="719" spans="6:58" ht="19.5" x14ac:dyDescent="0.4">
      <c r="V719" s="115"/>
      <c r="W719" s="115"/>
      <c r="X719" s="115"/>
      <c r="Y719" s="115"/>
      <c r="Z719" s="115"/>
      <c r="AA719" s="115"/>
      <c r="AB719" s="115"/>
      <c r="AC719" s="115"/>
      <c r="AD719" s="17"/>
      <c r="AE719" s="15"/>
      <c r="AI719" s="115"/>
      <c r="AJ719" s="117"/>
      <c r="AK719" s="123"/>
      <c r="AL719" s="123"/>
      <c r="AM719" s="123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25"/>
      <c r="BC719" s="15"/>
      <c r="BF719" s="114"/>
    </row>
    <row r="720" spans="6:58" ht="19.5" x14ac:dyDescent="0.4">
      <c r="U720" s="115"/>
      <c r="V720" s="115"/>
      <c r="W720" s="115"/>
      <c r="X720" s="115"/>
      <c r="Y720" s="115"/>
      <c r="Z720" s="115"/>
      <c r="AA720" s="115"/>
      <c r="AB720" s="115"/>
      <c r="AC720" s="115"/>
      <c r="AD720" s="26"/>
      <c r="AE720" s="15"/>
      <c r="AI720" s="115"/>
      <c r="AJ720" s="117"/>
      <c r="AK720" s="123"/>
      <c r="AL720" s="123"/>
      <c r="AM720" s="123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25"/>
      <c r="BC720" s="15"/>
      <c r="BF720" s="114"/>
    </row>
    <row r="721" spans="19:58" ht="19.5" x14ac:dyDescent="0.4"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7"/>
      <c r="AE721" s="15"/>
      <c r="AI721" s="115"/>
      <c r="AJ721" s="117"/>
      <c r="AK721" s="123"/>
      <c r="AL721" s="123"/>
      <c r="AM721" s="123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25"/>
      <c r="BC721" s="15"/>
      <c r="BF721" s="114"/>
    </row>
    <row r="722" spans="19:58" ht="19.5" x14ac:dyDescent="0.4">
      <c r="AD722" s="26"/>
      <c r="AE722" s="15"/>
      <c r="AI722" s="115"/>
      <c r="AJ722" s="117"/>
      <c r="AK722" s="123"/>
      <c r="AL722" s="123"/>
      <c r="AM722" s="123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25">
        <v>45276</v>
      </c>
      <c r="BC722" s="15" t="s">
        <v>162</v>
      </c>
      <c r="BF722" s="114"/>
    </row>
    <row r="723" spans="19:58" ht="19.5" x14ac:dyDescent="0.4">
      <c r="AD723" s="26"/>
      <c r="AE723" s="15"/>
      <c r="AI723" s="115"/>
      <c r="AJ723" s="117"/>
      <c r="AK723" s="123"/>
      <c r="AL723" s="123"/>
      <c r="AM723" s="123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25">
        <v>45276</v>
      </c>
      <c r="BC723" s="15" t="s">
        <v>162</v>
      </c>
      <c r="BF723" s="114"/>
    </row>
    <row r="724" spans="19:58" ht="19.5" x14ac:dyDescent="0.4">
      <c r="AD724" s="26"/>
      <c r="AE724" s="15"/>
      <c r="AI724" s="115"/>
      <c r="AJ724" s="117"/>
      <c r="AK724" s="123"/>
      <c r="AL724" s="123"/>
      <c r="AM724" s="123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25">
        <v>45276</v>
      </c>
      <c r="BC724" s="15" t="s">
        <v>162</v>
      </c>
      <c r="BF724" s="114"/>
    </row>
    <row r="725" spans="19:58" ht="19.5" x14ac:dyDescent="0.4">
      <c r="AD725" s="26"/>
      <c r="AE725" s="15"/>
      <c r="AI725" s="115"/>
      <c r="AJ725" s="117"/>
      <c r="AK725" s="123"/>
      <c r="AL725" s="123"/>
      <c r="AM725" s="123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25"/>
      <c r="BC725" s="15"/>
      <c r="BF725" s="114"/>
    </row>
    <row r="726" spans="19:58" ht="19.5" x14ac:dyDescent="0.4">
      <c r="V726" s="115"/>
      <c r="W726" s="115"/>
      <c r="X726" s="115"/>
      <c r="Y726" s="115"/>
      <c r="Z726" s="115"/>
      <c r="AA726" s="115"/>
      <c r="AB726" s="115"/>
      <c r="AC726" s="115"/>
      <c r="AD726" s="17"/>
      <c r="AE726" s="15"/>
      <c r="AI726" s="115"/>
      <c r="AJ726" s="117"/>
      <c r="AK726" s="123"/>
      <c r="AL726" s="123"/>
      <c r="AM726" s="123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25"/>
      <c r="BC726" s="15"/>
      <c r="BF726" s="114"/>
    </row>
    <row r="727" spans="19:58" ht="19.5" x14ac:dyDescent="0.4">
      <c r="AD727" s="26"/>
      <c r="AE727" s="15"/>
      <c r="AI727" s="115"/>
      <c r="AJ727" s="117"/>
      <c r="AK727" s="123"/>
      <c r="AL727" s="123"/>
      <c r="AM727" s="123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25">
        <v>45276</v>
      </c>
      <c r="BC727" s="15" t="s">
        <v>162</v>
      </c>
      <c r="BF727" s="114"/>
    </row>
    <row r="728" spans="19:58" ht="19.5" x14ac:dyDescent="0.4">
      <c r="AD728" s="26"/>
      <c r="AE728" s="15"/>
      <c r="AI728" s="115"/>
      <c r="AJ728" s="117"/>
      <c r="AK728" s="123"/>
      <c r="AL728" s="123"/>
      <c r="AM728" s="123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25">
        <v>45276</v>
      </c>
      <c r="BC728" s="15" t="s">
        <v>162</v>
      </c>
      <c r="BF728" s="114"/>
    </row>
    <row r="729" spans="19:58" ht="19.5" x14ac:dyDescent="0.4">
      <c r="V729" s="115"/>
      <c r="W729" s="115"/>
      <c r="X729" s="115"/>
      <c r="Y729" s="115"/>
      <c r="Z729" s="115"/>
      <c r="AA729" s="115"/>
      <c r="AB729" s="115"/>
      <c r="AC729" s="115"/>
      <c r="AD729" s="17"/>
      <c r="AE729" s="15"/>
      <c r="AI729" s="115"/>
      <c r="AJ729" s="117"/>
      <c r="AK729" s="123"/>
      <c r="AL729" s="123"/>
      <c r="AM729" s="123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25"/>
      <c r="BC729" s="15"/>
      <c r="BF729" s="114"/>
    </row>
    <row r="730" spans="19:58" ht="19.5" x14ac:dyDescent="0.4"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26"/>
      <c r="AE730" s="15"/>
      <c r="AI730" s="115"/>
      <c r="AJ730" s="117"/>
      <c r="AK730" s="123"/>
      <c r="AL730" s="123"/>
      <c r="AM730" s="123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25"/>
      <c r="BC730" s="15"/>
      <c r="BF730" s="114"/>
    </row>
    <row r="731" spans="19:58" ht="19.5" x14ac:dyDescent="0.4"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7"/>
      <c r="AE731" s="15"/>
      <c r="AI731" s="115"/>
      <c r="AJ731" s="117"/>
      <c r="AK731" s="123"/>
      <c r="AL731" s="123"/>
      <c r="AM731" s="123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25"/>
      <c r="BC731" s="15"/>
      <c r="BF731" s="114"/>
    </row>
    <row r="732" spans="19:58" ht="19.5" x14ac:dyDescent="0.4"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26"/>
      <c r="AE732" s="15"/>
      <c r="AI732" s="115"/>
      <c r="AJ732" s="117"/>
      <c r="AK732" s="123"/>
      <c r="AL732" s="123"/>
      <c r="AM732" s="123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25"/>
      <c r="BC732" s="15"/>
      <c r="BF732" s="114"/>
    </row>
    <row r="733" spans="19:58" ht="19.5" x14ac:dyDescent="0.4">
      <c r="AD733" s="26"/>
      <c r="AE733" s="15"/>
      <c r="AI733" s="115"/>
      <c r="AJ733" s="117"/>
      <c r="AK733" s="123"/>
      <c r="AL733" s="123"/>
      <c r="AM733" s="123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 t="s">
        <v>169</v>
      </c>
      <c r="BB733" s="13">
        <f>SUBTOTAL(3,BB696:BB728)</f>
        <v>17</v>
      </c>
      <c r="BC733" s="15">
        <f>SUBTOTAL(3,BC696:BC728)</f>
        <v>17</v>
      </c>
      <c r="BF733" s="114"/>
    </row>
    <row r="734" spans="19:58" ht="19.5" x14ac:dyDescent="0.4"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26"/>
      <c r="AE734" s="15"/>
      <c r="AI734" s="115"/>
      <c r="AJ734" s="117"/>
      <c r="AK734" s="123"/>
      <c r="AL734" s="123"/>
      <c r="AM734" s="123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3"/>
      <c r="BC734" s="15"/>
      <c r="BF734" s="114"/>
    </row>
    <row r="735" spans="19:58" ht="19.5" x14ac:dyDescent="0.4">
      <c r="AD735" s="26"/>
      <c r="AE735" s="15"/>
      <c r="AI735" s="115"/>
      <c r="AJ735" s="117"/>
      <c r="AK735" s="123"/>
      <c r="AL735" s="123"/>
      <c r="AM735" s="123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25">
        <v>45277</v>
      </c>
      <c r="BC735" s="15" t="s">
        <v>162</v>
      </c>
      <c r="BF735" s="114"/>
    </row>
    <row r="736" spans="19:58" ht="19.5" x14ac:dyDescent="0.4">
      <c r="V736" s="115"/>
      <c r="W736" s="115"/>
      <c r="X736" s="115"/>
      <c r="Y736" s="115"/>
      <c r="Z736" s="115"/>
      <c r="AA736" s="115"/>
      <c r="AB736" s="115"/>
      <c r="AC736" s="115"/>
      <c r="AD736" s="17"/>
      <c r="AE736" s="15"/>
      <c r="AI736" s="115"/>
      <c r="AJ736" s="117"/>
      <c r="AK736" s="123"/>
      <c r="AL736" s="123"/>
      <c r="AM736" s="123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25"/>
      <c r="BC736" s="15"/>
      <c r="BF736" s="114"/>
    </row>
    <row r="737" spans="6:58" ht="19.5" x14ac:dyDescent="0.4"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26"/>
      <c r="AE737" s="15"/>
      <c r="AI737" s="115"/>
      <c r="AJ737" s="117"/>
      <c r="AK737" s="123"/>
      <c r="AL737" s="123"/>
      <c r="AM737" s="123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25"/>
      <c r="BC737" s="15"/>
      <c r="BF737" s="114"/>
    </row>
    <row r="738" spans="6:58" ht="19.5" x14ac:dyDescent="0.4"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7"/>
      <c r="AE738" s="15"/>
      <c r="AI738" s="115"/>
      <c r="AJ738" s="117"/>
      <c r="AK738" s="123"/>
      <c r="AL738" s="123"/>
      <c r="AM738" s="123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25"/>
      <c r="BC738" s="15"/>
      <c r="BF738" s="114"/>
    </row>
    <row r="739" spans="6:58" ht="19.5" x14ac:dyDescent="0.4"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7"/>
      <c r="AE739" s="15"/>
      <c r="AI739" s="115"/>
      <c r="AJ739" s="117"/>
      <c r="AK739" s="123"/>
      <c r="AL739" s="123"/>
      <c r="AM739" s="123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25"/>
      <c r="BC739" s="15"/>
      <c r="BF739" s="114"/>
    </row>
    <row r="740" spans="6:58" ht="19.5" x14ac:dyDescent="0.4">
      <c r="AD740" s="26"/>
      <c r="AE740" s="15"/>
      <c r="AI740" s="115"/>
      <c r="AJ740" s="117"/>
      <c r="AK740" s="123"/>
      <c r="AL740" s="123"/>
      <c r="AM740" s="123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25">
        <v>45277</v>
      </c>
      <c r="BC740" s="15" t="s">
        <v>162</v>
      </c>
      <c r="BF740" s="114"/>
    </row>
    <row r="741" spans="6:58" ht="19.5" x14ac:dyDescent="0.4"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7"/>
      <c r="AE741" s="15"/>
      <c r="AI741" s="115"/>
      <c r="AJ741" s="117"/>
      <c r="AK741" s="123"/>
      <c r="AL741" s="123"/>
      <c r="AM741" s="123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31"/>
      <c r="BC741" s="13"/>
      <c r="BF741" s="114"/>
    </row>
    <row r="742" spans="6:58" ht="19.5" x14ac:dyDescent="0.4">
      <c r="AD742" s="26"/>
      <c r="AE742" s="15"/>
      <c r="AI742" s="115"/>
      <c r="AJ742" s="117"/>
      <c r="AK742" s="123"/>
      <c r="AL742" s="123"/>
      <c r="AM742" s="123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26">
        <v>45277</v>
      </c>
      <c r="BC742" s="13" t="s">
        <v>162</v>
      </c>
      <c r="BF742" s="114"/>
    </row>
    <row r="743" spans="6:58" ht="19.5" x14ac:dyDescent="0.4">
      <c r="AD743" s="26"/>
      <c r="AE743" s="15"/>
      <c r="AI743" s="115"/>
      <c r="AJ743" s="117"/>
      <c r="AK743" s="123"/>
      <c r="AL743" s="123"/>
      <c r="AM743" s="123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26">
        <v>45277</v>
      </c>
      <c r="BC743" s="15" t="s">
        <v>162</v>
      </c>
      <c r="BF743" s="114"/>
    </row>
    <row r="744" spans="6:58" ht="19.5" x14ac:dyDescent="0.4"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26"/>
      <c r="AE744" s="15"/>
      <c r="AI744" s="115"/>
      <c r="AJ744" s="117"/>
      <c r="AK744" s="123"/>
      <c r="AL744" s="123"/>
      <c r="AM744" s="123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26"/>
      <c r="BC744" s="15"/>
      <c r="BF744" s="114"/>
    </row>
    <row r="745" spans="6:58" ht="19.5" x14ac:dyDescent="0.4">
      <c r="AD745" s="26"/>
      <c r="AE745" s="15"/>
      <c r="AI745" s="115"/>
      <c r="AJ745" s="117"/>
      <c r="AK745" s="123"/>
      <c r="AL745" s="123"/>
      <c r="AM745" s="123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26">
        <v>45277</v>
      </c>
      <c r="BC745" s="15" t="s">
        <v>162</v>
      </c>
      <c r="BF745" s="114"/>
    </row>
    <row r="746" spans="6:58" ht="19.5" x14ac:dyDescent="0.4">
      <c r="AD746" s="26"/>
      <c r="AE746" s="15"/>
      <c r="AI746" s="115"/>
      <c r="AJ746" s="117"/>
      <c r="AK746" s="123"/>
      <c r="AL746" s="123"/>
      <c r="AM746" s="123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 t="s">
        <v>160</v>
      </c>
      <c r="BB746" s="17">
        <f>SUBTOTAL(3,BB735:BB745)</f>
        <v>5</v>
      </c>
      <c r="BC746" s="15">
        <f>SUBTOTAL(3,BC735:BC745)</f>
        <v>5</v>
      </c>
      <c r="BF746" s="114"/>
    </row>
    <row r="747" spans="6:58" ht="19.5" x14ac:dyDescent="0.4"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26"/>
      <c r="AE747" s="15"/>
      <c r="AI747" s="115"/>
      <c r="AJ747" s="117"/>
      <c r="AK747" s="123"/>
      <c r="AL747" s="123"/>
      <c r="AM747" s="123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7"/>
      <c r="BC747" s="15"/>
      <c r="BF747" s="114"/>
    </row>
    <row r="748" spans="6:58" ht="19.5" x14ac:dyDescent="0.4"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26"/>
      <c r="AE748" s="15"/>
      <c r="AI748" s="115"/>
      <c r="AJ748" s="117"/>
      <c r="AK748" s="123"/>
      <c r="AL748" s="123"/>
      <c r="AM748" s="123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7"/>
      <c r="BC748" s="15"/>
      <c r="BF748" s="114"/>
    </row>
    <row r="749" spans="6:58" ht="19.5" x14ac:dyDescent="0.4">
      <c r="AD749" s="26"/>
      <c r="AE749" s="15"/>
      <c r="AI749" s="115"/>
      <c r="AJ749" s="117"/>
      <c r="AK749" s="123"/>
      <c r="AL749" s="123"/>
      <c r="AM749" s="123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26">
        <v>45278</v>
      </c>
      <c r="BC749" s="15" t="s">
        <v>164</v>
      </c>
      <c r="BF749" s="114"/>
    </row>
    <row r="750" spans="6:58" ht="19.5" x14ac:dyDescent="0.4">
      <c r="AD750" s="26"/>
      <c r="AE750" s="15"/>
      <c r="AI750" s="115"/>
      <c r="AJ750" s="117"/>
      <c r="AK750" s="123"/>
      <c r="AL750" s="123"/>
      <c r="AM750" s="123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26">
        <v>45278</v>
      </c>
      <c r="BC750" s="15" t="s">
        <v>164</v>
      </c>
      <c r="BF750" s="114"/>
    </row>
    <row r="751" spans="6:58" ht="19.5" x14ac:dyDescent="0.4"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26"/>
      <c r="AE751" s="15"/>
      <c r="AI751" s="115"/>
      <c r="AJ751" s="117"/>
      <c r="AK751" s="123"/>
      <c r="AL751" s="123"/>
      <c r="AM751" s="123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26"/>
      <c r="BC751" s="15"/>
      <c r="BF751" s="114"/>
    </row>
    <row r="752" spans="6:58" ht="19.5" x14ac:dyDescent="0.4">
      <c r="AD752" s="26"/>
      <c r="AE752" s="15"/>
      <c r="AI752" s="115"/>
      <c r="AJ752" s="117"/>
      <c r="AK752" s="123"/>
      <c r="AL752" s="123"/>
      <c r="AM752" s="123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26">
        <v>45278</v>
      </c>
      <c r="BC752" s="15" t="s">
        <v>162</v>
      </c>
      <c r="BF752" s="114"/>
    </row>
    <row r="753" spans="6:58" ht="19.5" x14ac:dyDescent="0.4"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7"/>
      <c r="AE753" s="15"/>
      <c r="AI753" s="115"/>
      <c r="AJ753" s="117"/>
      <c r="AK753" s="123"/>
      <c r="AL753" s="123"/>
      <c r="AM753" s="123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26"/>
      <c r="BC753" s="15"/>
      <c r="BF753" s="114"/>
    </row>
    <row r="754" spans="6:58" ht="19.5" x14ac:dyDescent="0.4"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26"/>
      <c r="AE754" s="15"/>
      <c r="AI754" s="115"/>
      <c r="AJ754" s="117"/>
      <c r="AK754" s="123"/>
      <c r="AL754" s="123"/>
      <c r="AM754" s="123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115"/>
      <c r="BB754" s="26"/>
      <c r="BC754" s="15"/>
      <c r="BF754" s="114"/>
    </row>
    <row r="755" spans="6:58" ht="19.5" x14ac:dyDescent="0.4"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7"/>
      <c r="AE755" s="15"/>
      <c r="AI755" s="115"/>
      <c r="AJ755" s="117"/>
      <c r="AK755" s="123"/>
      <c r="AL755" s="123"/>
      <c r="AM755" s="123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115"/>
      <c r="BB755" s="26"/>
      <c r="BC755" s="15"/>
      <c r="BF755" s="114"/>
    </row>
    <row r="756" spans="6:58" ht="19.5" x14ac:dyDescent="0.4">
      <c r="AD756" s="26"/>
      <c r="AE756" s="15"/>
      <c r="AI756" s="115"/>
      <c r="AJ756" s="117"/>
      <c r="AK756" s="123"/>
      <c r="AL756" s="123"/>
      <c r="AM756" s="123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115"/>
      <c r="BB756" s="26">
        <v>45278</v>
      </c>
      <c r="BC756" s="15" t="s">
        <v>142</v>
      </c>
      <c r="BF756" s="114"/>
    </row>
    <row r="757" spans="6:58" ht="19.5" x14ac:dyDescent="0.4">
      <c r="AD757" s="26"/>
      <c r="AE757" s="15"/>
      <c r="AI757" s="115"/>
      <c r="AJ757" s="117"/>
      <c r="AK757" s="123"/>
      <c r="AL757" s="123"/>
      <c r="AM757" s="123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115"/>
      <c r="BA757" s="115"/>
      <c r="BB757" s="26">
        <v>45278</v>
      </c>
      <c r="BC757" s="15" t="s">
        <v>162</v>
      </c>
      <c r="BF757" s="114"/>
    </row>
    <row r="758" spans="6:58" ht="19.5" x14ac:dyDescent="0.4">
      <c r="AD758" s="26"/>
      <c r="AE758" s="15"/>
      <c r="AI758" s="115"/>
      <c r="AJ758" s="117"/>
      <c r="AK758" s="123"/>
      <c r="AL758" s="123"/>
      <c r="AM758" s="123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115"/>
      <c r="BB758" s="26">
        <v>45278</v>
      </c>
      <c r="BC758" s="15" t="s">
        <v>162</v>
      </c>
      <c r="BF758" s="114"/>
    </row>
    <row r="759" spans="6:58" ht="19.5" x14ac:dyDescent="0.4"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7"/>
      <c r="AE759" s="15"/>
      <c r="AI759" s="115"/>
      <c r="AJ759" s="117"/>
      <c r="AK759" s="123"/>
      <c r="AL759" s="123"/>
      <c r="AM759" s="123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115"/>
      <c r="BB759" s="26"/>
      <c r="BC759" s="15"/>
      <c r="BF759" s="114"/>
    </row>
    <row r="760" spans="6:58" ht="19.5" x14ac:dyDescent="0.4"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26"/>
      <c r="AE760" s="15"/>
      <c r="AI760" s="115"/>
      <c r="AJ760" s="117"/>
      <c r="AK760" s="123"/>
      <c r="AL760" s="123"/>
      <c r="AM760" s="123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26"/>
      <c r="BC760" s="15"/>
      <c r="BF760" s="114"/>
    </row>
    <row r="761" spans="6:58" ht="19.5" x14ac:dyDescent="0.4"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26"/>
      <c r="AE761" s="15"/>
      <c r="AI761" s="115"/>
      <c r="AJ761" s="117"/>
      <c r="AK761" s="123"/>
      <c r="AL761" s="123"/>
      <c r="AM761" s="123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26"/>
      <c r="BC761" s="15"/>
      <c r="BF761" s="114"/>
    </row>
    <row r="762" spans="6:58" ht="19.5" x14ac:dyDescent="0.4"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7"/>
      <c r="AE762" s="15"/>
      <c r="AI762" s="115"/>
      <c r="AJ762" s="117"/>
      <c r="AK762" s="123"/>
      <c r="AL762" s="123"/>
      <c r="AM762" s="123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26"/>
      <c r="BC762" s="15"/>
      <c r="BF762" s="114"/>
    </row>
    <row r="763" spans="6:58" ht="19.5" x14ac:dyDescent="0.4"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26"/>
      <c r="AE763" s="15"/>
      <c r="AI763" s="115"/>
      <c r="AJ763" s="117"/>
      <c r="AK763" s="123"/>
      <c r="AL763" s="123"/>
      <c r="AM763" s="123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26"/>
      <c r="BC763" s="15"/>
      <c r="BF763" s="114"/>
    </row>
    <row r="764" spans="6:58" ht="19.5" x14ac:dyDescent="0.4">
      <c r="AD764" s="26"/>
      <c r="AE764" s="15"/>
      <c r="AI764" s="115"/>
      <c r="AJ764" s="117"/>
      <c r="AK764" s="123"/>
      <c r="AL764" s="123"/>
      <c r="AM764" s="123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26">
        <v>45278</v>
      </c>
      <c r="BC764" s="15" t="s">
        <v>162</v>
      </c>
      <c r="BF764" s="114"/>
    </row>
    <row r="765" spans="6:58" ht="19.5" x14ac:dyDescent="0.4"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26"/>
      <c r="AE765" s="15"/>
      <c r="AI765" s="115"/>
      <c r="AJ765" s="117"/>
      <c r="AK765" s="123"/>
      <c r="AL765" s="123"/>
      <c r="AM765" s="123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26"/>
      <c r="BC765" s="15"/>
      <c r="BF765" s="114"/>
    </row>
    <row r="766" spans="6:58" ht="19.5" x14ac:dyDescent="0.4">
      <c r="AD766" s="26"/>
      <c r="AE766" s="15"/>
      <c r="AI766" s="115"/>
      <c r="AJ766" s="117"/>
      <c r="AK766" s="123"/>
      <c r="AL766" s="123"/>
      <c r="AM766" s="123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26">
        <v>45278</v>
      </c>
      <c r="BC766" s="15" t="s">
        <v>163</v>
      </c>
      <c r="BF766" s="114"/>
    </row>
    <row r="767" spans="6:58" ht="19.5" x14ac:dyDescent="0.4">
      <c r="AD767" s="26"/>
      <c r="AE767" s="15"/>
      <c r="AI767" s="115"/>
      <c r="AJ767" s="117"/>
      <c r="AK767" s="123"/>
      <c r="AL767" s="123"/>
      <c r="AM767" s="123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26">
        <v>45278</v>
      </c>
      <c r="BC767" s="105" t="s">
        <v>163</v>
      </c>
      <c r="BF767" s="114"/>
    </row>
    <row r="768" spans="6:58" ht="19.5" x14ac:dyDescent="0.4">
      <c r="AD768" s="25"/>
      <c r="AE768" s="13"/>
      <c r="AI768" s="115"/>
      <c r="AJ768" s="117"/>
      <c r="AK768" s="123"/>
      <c r="AL768" s="123"/>
      <c r="AM768" s="123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26">
        <v>45278</v>
      </c>
      <c r="BC768" s="15" t="s">
        <v>163</v>
      </c>
      <c r="BF768" s="114"/>
    </row>
    <row r="769" spans="6:58" ht="19.5" x14ac:dyDescent="0.4"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25"/>
      <c r="AE769" s="13"/>
      <c r="AI769" s="115"/>
      <c r="AJ769" s="117"/>
      <c r="AK769" s="123"/>
      <c r="AL769" s="123"/>
      <c r="AM769" s="123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26"/>
      <c r="BC769" s="15"/>
      <c r="BF769" s="114"/>
    </row>
    <row r="770" spans="6:58" ht="19.5" x14ac:dyDescent="0.4"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25"/>
      <c r="AE770" s="13"/>
      <c r="AI770" s="115"/>
      <c r="AJ770" s="117"/>
      <c r="AK770" s="123"/>
      <c r="AL770" s="123"/>
      <c r="AM770" s="123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26"/>
      <c r="BC770" s="15"/>
      <c r="BF770" s="114"/>
    </row>
    <row r="771" spans="6:58" ht="19.5" x14ac:dyDescent="0.4"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25"/>
      <c r="AE771" s="13"/>
      <c r="AI771" s="115"/>
      <c r="AJ771" s="117"/>
      <c r="AK771" s="123"/>
      <c r="AL771" s="123"/>
      <c r="AM771" s="123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26"/>
      <c r="BC771" s="15"/>
      <c r="BF771" s="114"/>
    </row>
    <row r="772" spans="6:58" ht="19.5" x14ac:dyDescent="0.4"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25"/>
      <c r="AE772" s="13"/>
      <c r="AI772" s="115"/>
      <c r="AJ772" s="117"/>
      <c r="AK772" s="123"/>
      <c r="AL772" s="123"/>
      <c r="AM772" s="123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26"/>
      <c r="BC772" s="15"/>
      <c r="BF772" s="114"/>
    </row>
    <row r="773" spans="6:58" ht="19.5" x14ac:dyDescent="0.4"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25"/>
      <c r="AE773" s="13"/>
      <c r="AI773" s="115"/>
      <c r="AJ773" s="117"/>
      <c r="AK773" s="123"/>
      <c r="AL773" s="123"/>
      <c r="AM773" s="123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26"/>
      <c r="BC773" s="15"/>
      <c r="BF773" s="114"/>
    </row>
    <row r="774" spans="6:58" ht="19.5" x14ac:dyDescent="0.4"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25"/>
      <c r="AE774" s="13"/>
      <c r="AI774" s="115"/>
      <c r="AJ774" s="117"/>
      <c r="AK774" s="123"/>
      <c r="AL774" s="123"/>
      <c r="AM774" s="123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26"/>
      <c r="BC774" s="15"/>
      <c r="BF774" s="114"/>
    </row>
    <row r="775" spans="6:58" ht="19.5" x14ac:dyDescent="0.4">
      <c r="AD775" s="25"/>
      <c r="AE775" s="13"/>
      <c r="AI775" s="115"/>
      <c r="AJ775" s="117"/>
      <c r="AK775" s="123"/>
      <c r="AL775" s="123"/>
      <c r="AM775" s="123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26">
        <v>45278</v>
      </c>
      <c r="BC775" s="15" t="s">
        <v>163</v>
      </c>
      <c r="BF775" s="114"/>
    </row>
    <row r="776" spans="6:58" ht="19.5" x14ac:dyDescent="0.4">
      <c r="AD776" s="25"/>
      <c r="AE776" s="13"/>
      <c r="AI776" s="115"/>
      <c r="AJ776" s="117"/>
      <c r="AK776" s="123"/>
      <c r="AL776" s="123"/>
      <c r="AM776" s="123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26"/>
      <c r="BC776" s="15"/>
      <c r="BF776" s="114"/>
    </row>
    <row r="777" spans="6:58" ht="19.5" x14ac:dyDescent="0.4"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3"/>
      <c r="AE777" s="13"/>
      <c r="AI777" s="115"/>
      <c r="AJ777" s="117"/>
      <c r="AK777" s="123"/>
      <c r="AL777" s="123"/>
      <c r="AM777" s="123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26"/>
      <c r="BC777" s="15"/>
      <c r="BF777" s="114"/>
    </row>
    <row r="778" spans="6:58" ht="19.5" x14ac:dyDescent="0.4">
      <c r="AD778" s="25"/>
      <c r="AE778" s="13"/>
      <c r="AI778" s="115"/>
      <c r="AJ778" s="117"/>
      <c r="AK778" s="123"/>
      <c r="AL778" s="123"/>
      <c r="AM778" s="123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26">
        <v>45278</v>
      </c>
      <c r="BC778" s="15" t="s">
        <v>163</v>
      </c>
      <c r="BF778" s="114"/>
    </row>
    <row r="779" spans="6:58" ht="19.5" x14ac:dyDescent="0.4"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3"/>
      <c r="AE779" s="13"/>
      <c r="AI779" s="115"/>
      <c r="AJ779" s="117"/>
      <c r="AK779" s="123"/>
      <c r="AL779" s="123"/>
      <c r="AM779" s="123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26"/>
      <c r="BC779" s="13"/>
      <c r="BF779" s="114"/>
    </row>
    <row r="780" spans="6:58" ht="19.5" x14ac:dyDescent="0.4">
      <c r="AD780" s="25"/>
      <c r="AE780" s="13"/>
      <c r="AI780" s="115"/>
      <c r="AJ780" s="117"/>
      <c r="AK780" s="123"/>
      <c r="AL780" s="123"/>
      <c r="AM780" s="123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 t="s">
        <v>153</v>
      </c>
      <c r="BB780" s="17">
        <f>SUBTOTAL(3,BB749:BB778)</f>
        <v>12</v>
      </c>
      <c r="BC780" s="13">
        <f>SUBTOTAL(3,BC749:BC778)</f>
        <v>12</v>
      </c>
      <c r="BF780" s="114"/>
    </row>
    <row r="781" spans="6:58" ht="19.5" x14ac:dyDescent="0.4"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3"/>
      <c r="AE781" s="13"/>
      <c r="AI781" s="115"/>
      <c r="AJ781" s="117"/>
      <c r="AK781" s="123"/>
      <c r="AL781" s="123"/>
      <c r="AM781" s="123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7"/>
      <c r="BC781" s="13"/>
      <c r="BF781" s="114"/>
    </row>
    <row r="782" spans="6:58" ht="19.5" x14ac:dyDescent="0.4">
      <c r="AD782" s="25"/>
      <c r="AE782" s="13"/>
      <c r="AI782" s="115"/>
      <c r="AJ782" s="117"/>
      <c r="AK782" s="123"/>
      <c r="AL782" s="123"/>
      <c r="AM782" s="123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26">
        <v>45279</v>
      </c>
      <c r="BC782" s="25" t="s">
        <v>162</v>
      </c>
      <c r="BF782" s="114"/>
    </row>
    <row r="783" spans="6:58" ht="19.5" x14ac:dyDescent="0.4">
      <c r="AD783" s="25"/>
      <c r="AE783" s="13"/>
      <c r="AI783" s="115"/>
      <c r="AJ783" s="117"/>
      <c r="AK783" s="123"/>
      <c r="AL783" s="123"/>
      <c r="AM783" s="123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26">
        <v>45279</v>
      </c>
      <c r="BC783" s="13" t="s">
        <v>162</v>
      </c>
      <c r="BF783" s="114"/>
    </row>
    <row r="784" spans="6:58" ht="19.5" x14ac:dyDescent="0.4"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0"/>
      <c r="AE784" s="13"/>
      <c r="AI784" s="115"/>
      <c r="AJ784" s="117"/>
      <c r="AK784" s="123"/>
      <c r="AL784" s="123"/>
      <c r="AM784" s="123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26"/>
      <c r="BC784" s="13"/>
      <c r="BF784" s="114"/>
    </row>
    <row r="785" spans="21:58" ht="19.5" x14ac:dyDescent="0.4">
      <c r="U785" s="115"/>
      <c r="V785" s="115"/>
      <c r="W785" s="115"/>
      <c r="X785" s="115"/>
      <c r="Y785" s="115"/>
      <c r="Z785" s="115"/>
      <c r="AA785" s="115"/>
      <c r="AB785" s="115"/>
      <c r="AC785" s="115"/>
      <c r="AD785" s="20"/>
      <c r="AE785" s="13"/>
      <c r="AI785" s="115"/>
      <c r="AJ785" s="117"/>
      <c r="AK785" s="123"/>
      <c r="AL785" s="123"/>
      <c r="AM785" s="123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26"/>
      <c r="BC785" s="13"/>
      <c r="BF785" s="114"/>
    </row>
    <row r="786" spans="21:58" ht="19.5" x14ac:dyDescent="0.4">
      <c r="AD786" s="26"/>
      <c r="AE786" s="13"/>
      <c r="AI786" s="115"/>
      <c r="AJ786" s="117"/>
      <c r="AK786" s="123"/>
      <c r="AL786" s="123"/>
      <c r="AM786" s="123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26">
        <v>45279</v>
      </c>
      <c r="BC786" s="13" t="s">
        <v>162</v>
      </c>
      <c r="BF786" s="114"/>
    </row>
    <row r="787" spans="21:58" ht="19.5" x14ac:dyDescent="0.4">
      <c r="AD787" s="26"/>
      <c r="AE787" s="13"/>
      <c r="AI787" s="115"/>
      <c r="AJ787" s="117"/>
      <c r="AK787" s="123"/>
      <c r="AL787" s="123"/>
      <c r="AM787" s="123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26">
        <v>45279</v>
      </c>
      <c r="BC787" s="13" t="s">
        <v>162</v>
      </c>
      <c r="BF787" s="114"/>
    </row>
    <row r="788" spans="21:58" ht="19.5" x14ac:dyDescent="0.4">
      <c r="AD788" s="129"/>
      <c r="AE788" s="13"/>
      <c r="AI788" s="115"/>
      <c r="AJ788" s="117"/>
      <c r="AK788" s="123"/>
      <c r="AL788" s="123"/>
      <c r="AM788" s="123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26"/>
      <c r="BC788" s="13"/>
      <c r="BF788" s="114"/>
    </row>
    <row r="789" spans="21:58" ht="19.5" x14ac:dyDescent="0.4">
      <c r="AD789" s="26"/>
      <c r="AE789" s="13"/>
      <c r="AI789" s="115"/>
      <c r="AJ789" s="117"/>
      <c r="AK789" s="123"/>
      <c r="AL789" s="123"/>
      <c r="AM789" s="123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26">
        <v>45279</v>
      </c>
      <c r="BC789" s="13" t="s">
        <v>162</v>
      </c>
      <c r="BF789" s="114"/>
    </row>
    <row r="790" spans="21:58" ht="19.5" x14ac:dyDescent="0.4">
      <c r="AD790" s="26"/>
      <c r="AE790" s="13"/>
      <c r="AI790" s="115"/>
      <c r="AJ790" s="117"/>
      <c r="AK790" s="123"/>
      <c r="AL790" s="123"/>
      <c r="AM790" s="123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26">
        <v>45279</v>
      </c>
      <c r="BC790" s="13" t="s">
        <v>162</v>
      </c>
      <c r="BF790" s="114"/>
    </row>
    <row r="791" spans="21:58" ht="19.5" x14ac:dyDescent="0.4">
      <c r="AD791" s="26"/>
      <c r="AE791" s="13"/>
      <c r="AI791" s="115"/>
      <c r="AJ791" s="117"/>
      <c r="AK791" s="123"/>
      <c r="AL791" s="123"/>
      <c r="AM791" s="123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 t="s">
        <v>170</v>
      </c>
      <c r="BB791" s="17">
        <f>SUBTOTAL(3,BB782:BB790)</f>
        <v>6</v>
      </c>
      <c r="BC791" s="13">
        <f>SUBTOTAL(3,BC782:BC790)</f>
        <v>6</v>
      </c>
      <c r="BF791" s="114"/>
    </row>
    <row r="792" spans="21:58" ht="19.5" x14ac:dyDescent="0.4">
      <c r="AD792" s="129"/>
      <c r="AE792" s="13"/>
      <c r="AI792" s="115"/>
      <c r="AJ792" s="117"/>
      <c r="AK792" s="123"/>
      <c r="AL792" s="123"/>
      <c r="AM792" s="123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7"/>
      <c r="BC792" s="13"/>
      <c r="BF792" s="114"/>
    </row>
    <row r="793" spans="21:58" ht="19.5" x14ac:dyDescent="0.4">
      <c r="AD793" s="26"/>
      <c r="AE793" s="13"/>
      <c r="AI793" s="115"/>
      <c r="AJ793" s="117"/>
      <c r="AK793" s="123"/>
      <c r="AL793" s="123"/>
      <c r="AM793" s="123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26">
        <v>45280</v>
      </c>
      <c r="BC793" s="13" t="s">
        <v>162</v>
      </c>
      <c r="BF793" s="114"/>
    </row>
    <row r="794" spans="21:58" ht="19.5" x14ac:dyDescent="0.4">
      <c r="AD794" s="26"/>
      <c r="AE794" s="13"/>
      <c r="AI794" s="115"/>
      <c r="AJ794" s="116"/>
      <c r="AK794" s="123"/>
      <c r="AL794" s="123"/>
      <c r="AM794" s="123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26">
        <v>45280</v>
      </c>
      <c r="BC794" s="13" t="s">
        <v>162</v>
      </c>
      <c r="BF794" s="114"/>
    </row>
    <row r="795" spans="21:58" ht="19.5" x14ac:dyDescent="0.4">
      <c r="AD795" s="26"/>
      <c r="AE795" s="13"/>
      <c r="AI795" s="115"/>
      <c r="AJ795" s="116"/>
      <c r="AK795" s="123"/>
      <c r="AL795" s="123"/>
      <c r="AM795" s="123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26">
        <v>45280</v>
      </c>
      <c r="BC795" s="13" t="s">
        <v>162</v>
      </c>
      <c r="BF795" s="114"/>
    </row>
    <row r="796" spans="21:58" ht="19.5" x14ac:dyDescent="0.4">
      <c r="AD796" s="26"/>
      <c r="AE796" s="13"/>
      <c r="AI796" s="115"/>
      <c r="AJ796" s="116"/>
      <c r="AK796" s="123"/>
      <c r="AL796" s="123"/>
      <c r="AM796" s="123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26">
        <v>45280</v>
      </c>
      <c r="BC796" s="13" t="s">
        <v>162</v>
      </c>
      <c r="BF796" s="114"/>
    </row>
    <row r="797" spans="21:58" ht="19.5" x14ac:dyDescent="0.4">
      <c r="AD797" s="129"/>
      <c r="AE797" s="13"/>
      <c r="AI797" s="115"/>
      <c r="AJ797" s="116"/>
      <c r="AK797" s="123"/>
      <c r="AL797" s="123"/>
      <c r="AM797" s="123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26"/>
      <c r="BC797" s="13"/>
      <c r="BF797" s="114"/>
    </row>
    <row r="798" spans="21:58" ht="19.5" x14ac:dyDescent="0.4">
      <c r="AD798" s="26"/>
      <c r="AE798" s="13"/>
      <c r="AI798" s="115"/>
      <c r="AJ798" s="116"/>
      <c r="AK798" s="123"/>
      <c r="AL798" s="123"/>
      <c r="AM798" s="123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26">
        <v>45280</v>
      </c>
      <c r="BC798" s="13" t="s">
        <v>162</v>
      </c>
      <c r="BF798" s="114"/>
    </row>
    <row r="799" spans="21:58" ht="19.5" x14ac:dyDescent="0.4">
      <c r="AD799" s="130"/>
      <c r="AE799" s="119"/>
      <c r="AI799" s="115"/>
      <c r="AJ799" s="116"/>
      <c r="AK799" s="123"/>
      <c r="AL799" s="123"/>
      <c r="AM799" s="123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26"/>
      <c r="BC799" s="13"/>
      <c r="BF799" s="114"/>
    </row>
    <row r="800" spans="21:58" ht="19.5" x14ac:dyDescent="0.4">
      <c r="AD800" s="130"/>
      <c r="AE800" s="119"/>
      <c r="AI800" s="115"/>
      <c r="AJ800" s="116"/>
      <c r="AK800" s="123"/>
      <c r="AL800" s="123"/>
      <c r="AM800" s="123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26"/>
      <c r="BC800" s="13"/>
      <c r="BF800" s="114"/>
    </row>
    <row r="801" spans="32:58" ht="19.5" x14ac:dyDescent="0.4">
      <c r="AI801" s="115"/>
      <c r="AJ801" s="116"/>
      <c r="AK801" s="123"/>
      <c r="AL801" s="123"/>
      <c r="AM801" s="123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26">
        <v>45280</v>
      </c>
      <c r="BC801" s="13" t="s">
        <v>162</v>
      </c>
      <c r="BF801" s="114"/>
    </row>
    <row r="802" spans="32:58" ht="19.5" x14ac:dyDescent="0.4">
      <c r="AI802" s="115"/>
      <c r="AJ802" s="116"/>
      <c r="AK802" s="123"/>
      <c r="AL802" s="123"/>
      <c r="AM802" s="123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26">
        <v>45280</v>
      </c>
      <c r="BC802" s="13" t="s">
        <v>162</v>
      </c>
      <c r="BF802" s="114"/>
    </row>
    <row r="803" spans="32:58" ht="19.5" x14ac:dyDescent="0.4">
      <c r="AI803" s="115"/>
      <c r="AJ803" s="116"/>
      <c r="AK803" s="123"/>
      <c r="AL803" s="123"/>
      <c r="AM803" s="123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26">
        <v>45280</v>
      </c>
      <c r="BC803" s="13" t="s">
        <v>162</v>
      </c>
      <c r="BF803" s="114"/>
    </row>
    <row r="804" spans="32:58" ht="19.5" x14ac:dyDescent="0.4">
      <c r="AH804" s="115"/>
      <c r="AI804" s="115"/>
      <c r="AJ804" s="116"/>
      <c r="AK804" s="123"/>
      <c r="AL804" s="123"/>
      <c r="AM804" s="123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26">
        <v>45280</v>
      </c>
      <c r="BC804" s="13" t="s">
        <v>162</v>
      </c>
      <c r="BF804" s="114"/>
    </row>
    <row r="805" spans="32:58" ht="19.5" x14ac:dyDescent="0.4">
      <c r="AH805" s="115"/>
      <c r="AI805" s="115"/>
      <c r="AJ805" s="116"/>
      <c r="AK805" s="123"/>
      <c r="AL805" s="123"/>
      <c r="AM805" s="123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26">
        <v>45280</v>
      </c>
      <c r="BC805" s="13" t="s">
        <v>162</v>
      </c>
      <c r="BF805" s="114"/>
    </row>
    <row r="806" spans="32:58" ht="19.5" x14ac:dyDescent="0.4">
      <c r="AF806" s="115"/>
      <c r="AG806" s="115"/>
      <c r="AH806" s="115"/>
      <c r="AI806" s="115"/>
      <c r="AJ806" s="116"/>
      <c r="AK806" s="123"/>
      <c r="AL806" s="123"/>
      <c r="AM806" s="123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26">
        <v>45280</v>
      </c>
      <c r="BC806" s="13" t="s">
        <v>162</v>
      </c>
      <c r="BF806" s="114"/>
    </row>
    <row r="807" spans="32:58" x14ac:dyDescent="0.4">
      <c r="AF807" s="115"/>
      <c r="AG807" s="115"/>
      <c r="AH807" s="115"/>
      <c r="AI807" s="115"/>
      <c r="AJ807" s="115"/>
      <c r="AK807" s="122"/>
      <c r="AL807" s="122"/>
      <c r="AM807" s="122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26">
        <v>45280</v>
      </c>
      <c r="BC807" s="13" t="s">
        <v>162</v>
      </c>
      <c r="BF807" s="114"/>
    </row>
    <row r="808" spans="32:58" x14ac:dyDescent="0.4">
      <c r="AF808" s="115"/>
      <c r="AG808" s="115"/>
      <c r="AH808" s="115"/>
      <c r="AI808" s="115"/>
      <c r="AJ808" s="115"/>
      <c r="AK808" s="122"/>
      <c r="AL808" s="122"/>
      <c r="AM808" s="122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26">
        <v>45280</v>
      </c>
      <c r="BC808" s="13" t="s">
        <v>162</v>
      </c>
      <c r="BF808" s="114"/>
    </row>
    <row r="809" spans="32:58" x14ac:dyDescent="0.4">
      <c r="AF809" s="115"/>
      <c r="AG809" s="115"/>
      <c r="AH809" s="115"/>
      <c r="AI809" s="115"/>
      <c r="AJ809" s="115"/>
      <c r="AK809" s="122"/>
      <c r="AL809" s="122"/>
      <c r="AM809" s="122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 t="s">
        <v>171</v>
      </c>
      <c r="BB809" s="17">
        <f>SUBTOTAL(3,BB793:BB808)</f>
        <v>13</v>
      </c>
      <c r="BC809" s="13">
        <f>SUBTOTAL(3,BC793:BC808)</f>
        <v>13</v>
      </c>
      <c r="BF809" s="114"/>
    </row>
    <row r="810" spans="32:58" x14ac:dyDescent="0.4">
      <c r="AF810" s="115"/>
      <c r="AG810" s="115"/>
      <c r="AH810" s="115"/>
      <c r="AI810" s="115"/>
      <c r="AJ810" s="115"/>
      <c r="AK810" s="122"/>
      <c r="AL810" s="122"/>
      <c r="AM810" s="122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26">
        <v>45283</v>
      </c>
      <c r="BC810" s="13" t="s">
        <v>162</v>
      </c>
      <c r="BF810" s="114"/>
    </row>
    <row r="811" spans="32:58" x14ac:dyDescent="0.4">
      <c r="AF811" s="115"/>
      <c r="AG811" s="115"/>
      <c r="AH811" s="115"/>
      <c r="AI811" s="115"/>
      <c r="AJ811" s="115"/>
      <c r="AK811" s="122"/>
      <c r="AL811" s="122"/>
      <c r="AM811" s="122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26">
        <v>45283</v>
      </c>
      <c r="BC811" s="13" t="s">
        <v>162</v>
      </c>
      <c r="BF811" s="114"/>
    </row>
    <row r="812" spans="32:58" x14ac:dyDescent="0.4">
      <c r="AF812" s="115"/>
      <c r="AG812" s="115"/>
      <c r="AH812" s="115"/>
      <c r="AI812" s="115"/>
      <c r="AJ812" s="115"/>
      <c r="AK812" s="122"/>
      <c r="AL812" s="122"/>
      <c r="AM812" s="122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26">
        <v>45283</v>
      </c>
      <c r="BC812" s="13" t="s">
        <v>162</v>
      </c>
      <c r="BF812" s="114"/>
    </row>
    <row r="813" spans="32:58" x14ac:dyDescent="0.4">
      <c r="AF813" s="115"/>
      <c r="AG813" s="115"/>
      <c r="AH813" s="115"/>
      <c r="AI813" s="115"/>
      <c r="AJ813" s="115"/>
      <c r="AK813" s="122"/>
      <c r="AL813" s="122"/>
      <c r="AM813" s="122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26">
        <v>45283</v>
      </c>
      <c r="BC813" s="13" t="s">
        <v>162</v>
      </c>
      <c r="BF813" s="114"/>
    </row>
    <row r="814" spans="32:58" x14ac:dyDescent="0.4">
      <c r="AF814" s="115"/>
      <c r="AG814" s="115"/>
      <c r="AH814" s="115"/>
      <c r="AI814" s="115"/>
      <c r="AJ814" s="115"/>
      <c r="AK814" s="122"/>
      <c r="AL814" s="122"/>
      <c r="AM814" s="122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26">
        <v>45283</v>
      </c>
      <c r="BC814" s="13" t="s">
        <v>162</v>
      </c>
      <c r="BF814" s="114"/>
    </row>
    <row r="815" spans="32:58" x14ac:dyDescent="0.4">
      <c r="AF815" s="115"/>
      <c r="AG815" s="115"/>
      <c r="AH815" s="115"/>
      <c r="AI815" s="115"/>
      <c r="AJ815" s="115"/>
      <c r="AK815" s="122"/>
      <c r="AL815" s="122"/>
      <c r="AM815" s="122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26">
        <v>45283</v>
      </c>
      <c r="BC815" s="13" t="s">
        <v>162</v>
      </c>
      <c r="BF815" s="114"/>
    </row>
    <row r="816" spans="32:58" x14ac:dyDescent="0.4">
      <c r="AF816" s="115"/>
      <c r="AG816" s="115"/>
      <c r="AH816" s="115"/>
      <c r="AI816" s="115"/>
      <c r="AJ816" s="115"/>
      <c r="AK816" s="122"/>
      <c r="AL816" s="122"/>
      <c r="AM816" s="122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26">
        <v>45283</v>
      </c>
      <c r="BC816" s="13" t="s">
        <v>162</v>
      </c>
      <c r="BF816" s="114"/>
    </row>
    <row r="817" spans="32:58" x14ac:dyDescent="0.4">
      <c r="AF817" s="115"/>
      <c r="AG817" s="115"/>
      <c r="AH817" s="115"/>
      <c r="AI817" s="115"/>
      <c r="AJ817" s="115"/>
      <c r="AK817" s="122"/>
      <c r="AL817" s="122"/>
      <c r="AM817" s="122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26">
        <v>45283</v>
      </c>
      <c r="BC817" s="13" t="s">
        <v>162</v>
      </c>
      <c r="BF817" s="114"/>
    </row>
    <row r="818" spans="32:58" x14ac:dyDescent="0.4">
      <c r="AF818" s="115"/>
      <c r="AG818" s="115"/>
      <c r="AH818" s="115"/>
      <c r="AI818" s="115"/>
      <c r="AJ818" s="115"/>
      <c r="AK818" s="122"/>
      <c r="AL818" s="122"/>
      <c r="AM818" s="122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26">
        <v>45283</v>
      </c>
      <c r="BC818" s="13" t="s">
        <v>162</v>
      </c>
      <c r="BF818" s="114"/>
    </row>
    <row r="819" spans="32:58" x14ac:dyDescent="0.4">
      <c r="AF819" s="115"/>
      <c r="AG819" s="115"/>
      <c r="AH819" s="115"/>
      <c r="AI819" s="115"/>
      <c r="AJ819" s="115"/>
      <c r="AK819" s="122"/>
      <c r="AL819" s="122"/>
      <c r="AM819" s="122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26">
        <v>45283</v>
      </c>
      <c r="BC819" s="13" t="s">
        <v>162</v>
      </c>
      <c r="BF819" s="114"/>
    </row>
    <row r="820" spans="32:58" x14ac:dyDescent="0.4">
      <c r="AF820" s="115"/>
      <c r="AG820" s="115"/>
      <c r="AH820" s="115"/>
      <c r="AI820" s="115"/>
      <c r="AJ820" s="115"/>
      <c r="AK820" s="122"/>
      <c r="AL820" s="122"/>
      <c r="AM820" s="122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26">
        <v>45283</v>
      </c>
      <c r="BC820" s="13" t="s">
        <v>163</v>
      </c>
      <c r="BF820" s="114"/>
    </row>
    <row r="821" spans="32:58" x14ac:dyDescent="0.4">
      <c r="AF821" s="115"/>
      <c r="AG821" s="115"/>
      <c r="AH821" s="115"/>
      <c r="AI821" s="115"/>
      <c r="AJ821" s="115"/>
      <c r="AK821" s="122"/>
      <c r="AL821" s="122"/>
      <c r="AM821" s="122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26">
        <v>45283</v>
      </c>
      <c r="BC821" s="13" t="s">
        <v>163</v>
      </c>
      <c r="BF821" s="114"/>
    </row>
    <row r="822" spans="32:58" x14ac:dyDescent="0.4">
      <c r="AF822" s="115"/>
      <c r="AG822" s="115"/>
      <c r="AH822" s="115"/>
      <c r="AI822" s="115"/>
      <c r="AJ822" s="115"/>
      <c r="AK822" s="122"/>
      <c r="AL822" s="122"/>
      <c r="AM822" s="122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26">
        <v>45283</v>
      </c>
      <c r="BC822" s="13" t="s">
        <v>163</v>
      </c>
      <c r="BF822" s="114"/>
    </row>
    <row r="823" spans="32:58" x14ac:dyDescent="0.4">
      <c r="AF823" s="115"/>
      <c r="AG823" s="115"/>
      <c r="AH823" s="115"/>
      <c r="AI823" s="115"/>
      <c r="AJ823" s="115"/>
      <c r="AK823" s="122"/>
      <c r="AL823" s="122"/>
      <c r="AM823" s="122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 t="s">
        <v>161</v>
      </c>
      <c r="BB823" s="17">
        <f>SUBTOTAL(3,BB810:BB822)</f>
        <v>13</v>
      </c>
      <c r="BC823" s="13">
        <f>SUBTOTAL(3,BC810:BC822)</f>
        <v>13</v>
      </c>
      <c r="BF823" s="114"/>
    </row>
    <row r="824" spans="32:58" x14ac:dyDescent="0.4">
      <c r="AF824" s="115"/>
      <c r="AG824" s="115"/>
      <c r="AH824" s="115"/>
      <c r="AI824" s="115"/>
      <c r="AJ824" s="115"/>
      <c r="AK824" s="122"/>
      <c r="AL824" s="122"/>
      <c r="AM824" s="122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26">
        <v>45285</v>
      </c>
      <c r="BC824" s="13" t="s">
        <v>163</v>
      </c>
      <c r="BF824" s="114"/>
    </row>
    <row r="825" spans="32:58" x14ac:dyDescent="0.4">
      <c r="AF825" s="115"/>
      <c r="AG825" s="115"/>
      <c r="AH825" s="115"/>
      <c r="AI825" s="115"/>
      <c r="AJ825" s="115"/>
      <c r="AK825" s="122"/>
      <c r="AL825" s="122"/>
      <c r="AM825" s="122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 t="s">
        <v>172</v>
      </c>
      <c r="BB825" s="17">
        <f>SUBTOTAL(3,BB824:BB824)</f>
        <v>1</v>
      </c>
      <c r="BC825" s="13">
        <f>SUBTOTAL(3,BC824:BC824)</f>
        <v>1</v>
      </c>
      <c r="BF825" s="114"/>
    </row>
    <row r="826" spans="32:58" x14ac:dyDescent="0.4">
      <c r="AF826" s="115"/>
      <c r="AG826" s="115"/>
      <c r="AH826" s="115"/>
      <c r="AI826" s="115"/>
      <c r="AJ826" s="115"/>
      <c r="AK826" s="122"/>
      <c r="AL826" s="122"/>
      <c r="AM826" s="122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26">
        <v>45299</v>
      </c>
      <c r="BC826" s="13" t="s">
        <v>164</v>
      </c>
      <c r="BF826" s="114"/>
    </row>
    <row r="827" spans="32:58" x14ac:dyDescent="0.4">
      <c r="AF827" s="115"/>
      <c r="AG827" s="115"/>
      <c r="AH827" s="115"/>
      <c r="AI827" s="115"/>
      <c r="AJ827" s="115"/>
      <c r="AK827" s="122"/>
      <c r="AL827" s="122"/>
      <c r="AM827" s="122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26">
        <v>45299</v>
      </c>
      <c r="BC827" s="13" t="s">
        <v>162</v>
      </c>
      <c r="BF827" s="114"/>
    </row>
    <row r="828" spans="32:58" x14ac:dyDescent="0.4">
      <c r="AF828" s="115"/>
      <c r="AG828" s="115"/>
      <c r="AH828" s="115"/>
      <c r="AI828" s="115"/>
      <c r="AJ828" s="115"/>
      <c r="AK828" s="122"/>
      <c r="AL828" s="122"/>
      <c r="AM828" s="122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26">
        <v>45299</v>
      </c>
      <c r="BC828" s="13" t="s">
        <v>162</v>
      </c>
      <c r="BF828" s="114"/>
    </row>
    <row r="829" spans="32:58" x14ac:dyDescent="0.4">
      <c r="AF829" s="115"/>
      <c r="AG829" s="115"/>
      <c r="AH829" s="115"/>
      <c r="AI829" s="115"/>
      <c r="AJ829" s="115"/>
      <c r="AK829" s="122"/>
      <c r="AL829" s="122"/>
      <c r="AM829" s="122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26">
        <v>45299</v>
      </c>
      <c r="BC829" s="15" t="s">
        <v>162</v>
      </c>
      <c r="BF829" s="114"/>
    </row>
    <row r="830" spans="32:58" x14ac:dyDescent="0.4">
      <c r="AF830" s="115"/>
      <c r="AG830" s="115"/>
      <c r="AH830" s="115"/>
      <c r="AI830" s="115"/>
      <c r="AJ830" s="115"/>
      <c r="AK830" s="122"/>
      <c r="AL830" s="122"/>
      <c r="AM830" s="122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 t="s">
        <v>173</v>
      </c>
      <c r="BB830" s="17">
        <f>SUBTOTAL(3,BB826:BB829)</f>
        <v>4</v>
      </c>
      <c r="BC830" s="13">
        <f>SUBTOTAL(3,BC826:BC829)</f>
        <v>4</v>
      </c>
      <c r="BF830" s="114"/>
    </row>
    <row r="831" spans="32:58" x14ac:dyDescent="0.4">
      <c r="AF831" s="115"/>
      <c r="AG831" s="115"/>
      <c r="AH831" s="115"/>
      <c r="AI831" s="115"/>
      <c r="AJ831" s="115"/>
      <c r="AK831" s="122"/>
      <c r="AL831" s="122"/>
      <c r="AM831" s="122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 t="s">
        <v>145</v>
      </c>
      <c r="BB831" s="17">
        <f>SUBTOTAL(3,BB2:BB829)</f>
        <v>136</v>
      </c>
      <c r="BC831" s="13">
        <f>SUBTOTAL(3,BC2:BC829)</f>
        <v>136</v>
      </c>
      <c r="BF831" s="114"/>
    </row>
    <row r="832" spans="32:58" x14ac:dyDescent="0.4">
      <c r="AF832" s="115"/>
      <c r="AG832" s="115"/>
      <c r="AH832" s="115"/>
      <c r="AI832" s="115"/>
      <c r="AJ832" s="115"/>
      <c r="AK832" s="122"/>
      <c r="AL832" s="122"/>
      <c r="AM832" s="122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115" t="s">
        <v>145</v>
      </c>
      <c r="AZ832" s="115"/>
      <c r="BA832" s="115"/>
      <c r="BB832" s="26"/>
      <c r="BC832" s="13"/>
      <c r="BF832" s="114"/>
    </row>
    <row r="833" spans="32:58" x14ac:dyDescent="0.4">
      <c r="AF833" s="115"/>
      <c r="AG833" s="115"/>
      <c r="AH833" s="115"/>
      <c r="AI833" s="115"/>
      <c r="AJ833" s="115"/>
      <c r="AK833" s="122"/>
      <c r="AL833" s="122"/>
      <c r="AM833" s="122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7"/>
      <c r="BC833" s="13"/>
      <c r="BF833" s="114"/>
    </row>
    <row r="834" spans="32:58" x14ac:dyDescent="0.4">
      <c r="AF834" s="115"/>
      <c r="AG834" s="115"/>
      <c r="AH834" s="115"/>
      <c r="AI834" s="115"/>
      <c r="AJ834" s="115"/>
      <c r="AK834" s="122"/>
      <c r="AL834" s="122"/>
      <c r="AM834" s="122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26"/>
      <c r="BC834" s="13"/>
      <c r="BF834" s="114"/>
    </row>
    <row r="835" spans="32:58" x14ac:dyDescent="0.4">
      <c r="AF835" s="115"/>
      <c r="AG835" s="115"/>
      <c r="AH835" s="115"/>
      <c r="AI835" s="115"/>
      <c r="AJ835" s="115"/>
      <c r="AK835" s="122"/>
      <c r="AL835" s="122"/>
      <c r="AM835" s="122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7"/>
      <c r="BC835" s="13"/>
      <c r="BF835" s="114"/>
    </row>
    <row r="836" spans="32:58" x14ac:dyDescent="0.4">
      <c r="AF836" s="115"/>
      <c r="AG836" s="115"/>
      <c r="AH836" s="115"/>
      <c r="AI836" s="115"/>
      <c r="AJ836" s="115"/>
      <c r="AK836" s="122"/>
      <c r="AL836" s="122"/>
      <c r="AM836" s="122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26"/>
      <c r="BC836" s="13"/>
      <c r="BF836" s="114"/>
    </row>
    <row r="837" spans="32:58" x14ac:dyDescent="0.4">
      <c r="AF837" s="115"/>
      <c r="AG837" s="115"/>
      <c r="AH837" s="115"/>
      <c r="AI837" s="115"/>
      <c r="AJ837" s="115"/>
      <c r="AK837" s="122"/>
      <c r="AL837" s="122"/>
      <c r="AM837" s="122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26"/>
      <c r="BC837" s="13"/>
      <c r="BF837" s="114"/>
    </row>
    <row r="838" spans="32:58" x14ac:dyDescent="0.4">
      <c r="AF838" s="115"/>
      <c r="AG838" s="115"/>
      <c r="AH838" s="115"/>
      <c r="AI838" s="115"/>
      <c r="AJ838" s="115"/>
      <c r="AK838" s="122"/>
      <c r="AL838" s="122"/>
      <c r="AM838" s="122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26"/>
      <c r="BC838" s="13"/>
      <c r="BF838" s="114"/>
    </row>
    <row r="839" spans="32:58" x14ac:dyDescent="0.4">
      <c r="AF839" s="115"/>
      <c r="AG839" s="115"/>
      <c r="AH839" s="115"/>
      <c r="AI839" s="115"/>
      <c r="AJ839" s="115"/>
      <c r="AK839" s="122"/>
      <c r="AL839" s="122"/>
      <c r="AM839" s="122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7"/>
      <c r="BC839" s="13"/>
      <c r="BF839" s="114"/>
    </row>
    <row r="840" spans="32:58" x14ac:dyDescent="0.4">
      <c r="AF840" s="115"/>
      <c r="AG840" s="115"/>
      <c r="AH840" s="115"/>
      <c r="AI840" s="115"/>
      <c r="AJ840" s="115"/>
      <c r="AK840" s="122"/>
      <c r="AL840" s="122"/>
      <c r="AM840" s="122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26"/>
      <c r="BC840" s="13"/>
      <c r="BF840" s="114"/>
    </row>
    <row r="841" spans="32:58" x14ac:dyDescent="0.4">
      <c r="AF841" s="115"/>
      <c r="AG841" s="115"/>
      <c r="AH841" s="115"/>
      <c r="AI841" s="115"/>
      <c r="AJ841" s="115"/>
      <c r="AK841" s="122"/>
      <c r="AL841" s="122"/>
      <c r="AM841" s="122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7"/>
      <c r="BC841" s="13"/>
      <c r="BF841" s="114"/>
    </row>
    <row r="842" spans="32:58" x14ac:dyDescent="0.4">
      <c r="AF842" s="115"/>
      <c r="AG842" s="115"/>
      <c r="AH842" s="115"/>
      <c r="AI842" s="115"/>
      <c r="AJ842" s="115"/>
      <c r="AK842" s="122"/>
      <c r="AL842" s="122"/>
      <c r="AM842" s="122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26"/>
      <c r="BC842" s="13"/>
      <c r="BF842" s="114"/>
    </row>
    <row r="843" spans="32:58" x14ac:dyDescent="0.4">
      <c r="AF843" s="115"/>
      <c r="AG843" s="115"/>
      <c r="AH843" s="115"/>
      <c r="AI843" s="115"/>
      <c r="AJ843" s="115"/>
      <c r="AK843" s="122"/>
      <c r="AL843" s="122"/>
      <c r="AM843" s="122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7"/>
      <c r="BC843" s="13"/>
      <c r="BF843" s="114"/>
    </row>
    <row r="844" spans="32:58" x14ac:dyDescent="0.4">
      <c r="AF844" s="115"/>
      <c r="AG844" s="115"/>
      <c r="AH844" s="115"/>
      <c r="AI844" s="115"/>
      <c r="AJ844" s="115"/>
      <c r="AK844" s="122"/>
      <c r="AL844" s="122"/>
      <c r="AM844" s="122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7"/>
      <c r="BC844" s="13"/>
      <c r="BF844" s="114"/>
    </row>
    <row r="845" spans="32:58" x14ac:dyDescent="0.4">
      <c r="AF845" s="115"/>
      <c r="AG845" s="115"/>
      <c r="AH845" s="115"/>
      <c r="AI845" s="115"/>
      <c r="AJ845" s="115"/>
      <c r="AK845" s="122"/>
      <c r="AL845" s="122"/>
      <c r="AM845" s="122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7"/>
      <c r="BC845" s="13"/>
      <c r="BF845" s="114"/>
    </row>
    <row r="846" spans="32:58" x14ac:dyDescent="0.4">
      <c r="AF846" s="115"/>
      <c r="AG846" s="115"/>
      <c r="AH846" s="115"/>
      <c r="AI846" s="115"/>
      <c r="AJ846" s="115"/>
      <c r="AK846" s="122"/>
      <c r="AL846" s="122"/>
      <c r="AM846" s="122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26"/>
      <c r="BC846" s="13"/>
      <c r="BF846" s="114"/>
    </row>
    <row r="847" spans="32:58" x14ac:dyDescent="0.4">
      <c r="AF847" s="115"/>
      <c r="AG847" s="115"/>
      <c r="AH847" s="115"/>
      <c r="AI847" s="115"/>
      <c r="AJ847" s="115"/>
      <c r="AK847" s="122"/>
      <c r="AL847" s="122"/>
      <c r="AM847" s="122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7"/>
      <c r="BC847" s="13"/>
      <c r="BF847" s="114"/>
    </row>
    <row r="848" spans="32:58" x14ac:dyDescent="0.4">
      <c r="AF848" s="115"/>
      <c r="AG848" s="115"/>
      <c r="AH848" s="115"/>
      <c r="AI848" s="115"/>
      <c r="AJ848" s="115"/>
      <c r="AK848" s="122"/>
      <c r="AL848" s="122"/>
      <c r="AM848" s="122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26"/>
      <c r="BC848" s="13"/>
      <c r="BF848" s="114"/>
    </row>
    <row r="849" spans="32:58" x14ac:dyDescent="0.4">
      <c r="AF849" s="115"/>
      <c r="AG849" s="115"/>
      <c r="AH849" s="115"/>
      <c r="AI849" s="115"/>
      <c r="AJ849" s="115"/>
      <c r="AK849" s="122"/>
      <c r="AL849" s="122"/>
      <c r="AM849" s="122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7"/>
      <c r="BC849" s="13"/>
      <c r="BF849" s="114"/>
    </row>
    <row r="850" spans="32:58" x14ac:dyDescent="0.4">
      <c r="AF850" s="115"/>
      <c r="AG850" s="115"/>
      <c r="AH850" s="115"/>
      <c r="AI850" s="115"/>
      <c r="AJ850" s="115"/>
      <c r="AK850" s="122"/>
      <c r="AL850" s="122"/>
      <c r="AM850" s="122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26"/>
      <c r="BC850" s="25"/>
      <c r="BF850" s="114"/>
    </row>
    <row r="851" spans="32:58" x14ac:dyDescent="0.4">
      <c r="AF851" s="115"/>
      <c r="AG851" s="115"/>
      <c r="AH851" s="115"/>
      <c r="AI851" s="115"/>
      <c r="AJ851" s="115"/>
      <c r="AK851" s="122"/>
      <c r="AL851" s="122"/>
      <c r="AM851" s="122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7"/>
      <c r="BC851" s="13"/>
      <c r="BF851" s="114"/>
    </row>
    <row r="852" spans="32:58" x14ac:dyDescent="0.4">
      <c r="AF852" s="115"/>
      <c r="AG852" s="115"/>
      <c r="AH852" s="115"/>
      <c r="AI852" s="115"/>
      <c r="AJ852" s="115"/>
      <c r="AK852" s="122"/>
      <c r="AL852" s="122"/>
      <c r="AM852" s="122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7"/>
      <c r="BC852" s="13"/>
      <c r="BF852" s="114"/>
    </row>
    <row r="853" spans="32:58" x14ac:dyDescent="0.4">
      <c r="AF853" s="115"/>
      <c r="AG853" s="115"/>
      <c r="AH853" s="115"/>
      <c r="AI853" s="115"/>
      <c r="AJ853" s="115"/>
      <c r="AK853" s="122"/>
      <c r="AL853" s="122"/>
      <c r="AM853" s="122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26"/>
      <c r="BC853" s="15"/>
      <c r="BF853" s="114"/>
    </row>
    <row r="854" spans="32:58" x14ac:dyDescent="0.4">
      <c r="AF854" s="115"/>
      <c r="AG854" s="115"/>
      <c r="AH854" s="115"/>
      <c r="AI854" s="115"/>
      <c r="AJ854" s="115"/>
      <c r="AK854" s="122"/>
      <c r="AL854" s="122"/>
      <c r="AM854" s="122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26"/>
      <c r="BC854" s="15"/>
      <c r="BF854" s="114"/>
    </row>
    <row r="855" spans="32:58" x14ac:dyDescent="0.4">
      <c r="AF855" s="115"/>
      <c r="AG855" s="115"/>
      <c r="AH855" s="115"/>
      <c r="AI855" s="115"/>
      <c r="AJ855" s="115"/>
      <c r="AK855" s="122"/>
      <c r="AL855" s="122"/>
      <c r="AM855" s="122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26"/>
      <c r="BC855" s="15"/>
      <c r="BF855" s="114"/>
    </row>
    <row r="856" spans="32:58" x14ac:dyDescent="0.4">
      <c r="AF856" s="115"/>
      <c r="AG856" s="115"/>
      <c r="AH856" s="115"/>
      <c r="AI856" s="115"/>
      <c r="AJ856" s="115"/>
      <c r="AK856" s="122"/>
      <c r="AL856" s="122"/>
      <c r="AM856" s="122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26"/>
      <c r="BC856" s="15"/>
      <c r="BF856" s="114"/>
    </row>
    <row r="857" spans="32:58" x14ac:dyDescent="0.4">
      <c r="AF857" s="115"/>
      <c r="AG857" s="115"/>
      <c r="AH857" s="115"/>
      <c r="AI857" s="115"/>
      <c r="AJ857" s="115"/>
      <c r="AK857" s="122"/>
      <c r="AL857" s="122"/>
      <c r="AM857" s="122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26"/>
      <c r="BC857" s="15"/>
      <c r="BF857" s="114"/>
    </row>
    <row r="858" spans="32:58" x14ac:dyDescent="0.4">
      <c r="AF858" s="115"/>
      <c r="AG858" s="115"/>
      <c r="AH858" s="115"/>
      <c r="AI858" s="115"/>
      <c r="AJ858" s="115"/>
      <c r="AK858" s="122"/>
      <c r="AL858" s="122"/>
      <c r="AM858" s="122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26"/>
      <c r="BC858" s="15"/>
      <c r="BF858" s="114"/>
    </row>
    <row r="859" spans="32:58" x14ac:dyDescent="0.4">
      <c r="AF859" s="115"/>
      <c r="AG859" s="115"/>
      <c r="AH859" s="115"/>
      <c r="AI859" s="115"/>
      <c r="AJ859" s="115"/>
      <c r="AK859" s="122"/>
      <c r="AL859" s="122"/>
      <c r="AM859" s="122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26"/>
      <c r="BC859" s="15"/>
      <c r="BF859" s="114"/>
    </row>
    <row r="860" spans="32:58" x14ac:dyDescent="0.4">
      <c r="AF860" s="115"/>
      <c r="AG860" s="115"/>
      <c r="AH860" s="115"/>
      <c r="AI860" s="115"/>
      <c r="AJ860" s="115"/>
      <c r="AK860" s="122"/>
      <c r="AL860" s="122"/>
      <c r="AM860" s="122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26"/>
      <c r="BC860" s="15"/>
      <c r="BF860" s="114"/>
    </row>
    <row r="861" spans="32:58" x14ac:dyDescent="0.4">
      <c r="AF861" s="115"/>
      <c r="AG861" s="115"/>
      <c r="AH861" s="115"/>
      <c r="AI861" s="115"/>
      <c r="AJ861" s="115"/>
      <c r="AK861" s="122"/>
      <c r="AL861" s="122"/>
      <c r="AM861" s="122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7"/>
      <c r="BC861" s="15"/>
      <c r="BF861" s="114"/>
    </row>
    <row r="862" spans="32:58" x14ac:dyDescent="0.4">
      <c r="AF862" s="115"/>
      <c r="AG862" s="115"/>
      <c r="AH862" s="115"/>
      <c r="AI862" s="115"/>
      <c r="AJ862" s="115"/>
      <c r="AK862" s="122"/>
      <c r="AL862" s="122"/>
      <c r="AM862" s="122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26"/>
      <c r="BC862" s="15"/>
      <c r="BF862" s="114"/>
    </row>
    <row r="863" spans="32:58" x14ac:dyDescent="0.4">
      <c r="AF863" s="115"/>
      <c r="AG863" s="115"/>
      <c r="AH863" s="115"/>
      <c r="AI863" s="115"/>
      <c r="AJ863" s="115"/>
      <c r="AK863" s="122"/>
      <c r="AL863" s="122"/>
      <c r="AM863" s="122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26"/>
      <c r="BC863" s="13"/>
      <c r="BF863" s="114"/>
    </row>
    <row r="864" spans="32:58" x14ac:dyDescent="0.4">
      <c r="AF864" s="115"/>
      <c r="AG864" s="115"/>
      <c r="AH864" s="115"/>
      <c r="AI864" s="115"/>
      <c r="AJ864" s="115"/>
      <c r="AK864" s="122"/>
      <c r="AL864" s="122"/>
      <c r="AM864" s="122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26"/>
      <c r="BC864" s="13"/>
      <c r="BF864" s="114"/>
    </row>
    <row r="865" spans="32:58" x14ac:dyDescent="0.4">
      <c r="AF865" s="115"/>
      <c r="AG865" s="115"/>
      <c r="AH865" s="115"/>
      <c r="AI865" s="115"/>
      <c r="AJ865" s="115"/>
      <c r="AK865" s="122"/>
      <c r="AL865" s="122"/>
      <c r="AM865" s="122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26"/>
      <c r="BC865" s="13"/>
      <c r="BF865" s="114"/>
    </row>
    <row r="866" spans="32:58" x14ac:dyDescent="0.4">
      <c r="AF866" s="115"/>
      <c r="AG866" s="115"/>
      <c r="AH866" s="115"/>
      <c r="AI866" s="115"/>
      <c r="AJ866" s="115"/>
      <c r="AK866" s="122"/>
      <c r="AL866" s="122"/>
      <c r="AM866" s="122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26"/>
      <c r="BC866" s="13"/>
      <c r="BF866" s="114"/>
    </row>
    <row r="867" spans="32:58" x14ac:dyDescent="0.4">
      <c r="AF867" s="115"/>
      <c r="AG867" s="115"/>
      <c r="AH867" s="115"/>
      <c r="AI867" s="115"/>
      <c r="AJ867" s="115"/>
      <c r="AK867" s="122"/>
      <c r="AL867" s="122"/>
      <c r="AM867" s="122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26"/>
      <c r="BC867" s="13"/>
      <c r="BF867" s="114"/>
    </row>
    <row r="868" spans="32:58" x14ac:dyDescent="0.4">
      <c r="AF868" s="115"/>
      <c r="AG868" s="115"/>
      <c r="AH868" s="115"/>
      <c r="AI868" s="115"/>
      <c r="AJ868" s="115"/>
      <c r="AK868" s="122"/>
      <c r="AL868" s="122"/>
      <c r="AM868" s="122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26"/>
      <c r="BC868" s="13"/>
      <c r="BF868" s="114"/>
    </row>
    <row r="869" spans="32:58" x14ac:dyDescent="0.4">
      <c r="AF869" s="115"/>
      <c r="AG869" s="115"/>
      <c r="AH869" s="115"/>
      <c r="AI869" s="115"/>
      <c r="AJ869" s="115"/>
      <c r="AK869" s="122"/>
      <c r="AL869" s="122"/>
      <c r="AM869" s="122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26"/>
      <c r="BC869" s="13"/>
      <c r="BF869" s="114"/>
    </row>
    <row r="870" spans="32:58" x14ac:dyDescent="0.4">
      <c r="AF870" s="115"/>
      <c r="AG870" s="115"/>
      <c r="AH870" s="115"/>
      <c r="AI870" s="115"/>
      <c r="AJ870" s="115"/>
      <c r="AK870" s="122"/>
      <c r="AL870" s="122"/>
      <c r="AM870" s="122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26"/>
      <c r="BC870" s="13"/>
      <c r="BF870" s="114"/>
    </row>
    <row r="871" spans="32:58" x14ac:dyDescent="0.4">
      <c r="AF871" s="115"/>
      <c r="AG871" s="115"/>
      <c r="AH871" s="115"/>
      <c r="AI871" s="115"/>
      <c r="AJ871" s="115"/>
      <c r="AK871" s="122"/>
      <c r="AL871" s="122"/>
      <c r="AM871" s="122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26"/>
      <c r="BC871" s="13"/>
      <c r="BF871" s="114"/>
    </row>
    <row r="872" spans="32:58" x14ac:dyDescent="0.4">
      <c r="AF872" s="115"/>
      <c r="AG872" s="115"/>
      <c r="AH872" s="115"/>
      <c r="AI872" s="115"/>
      <c r="AJ872" s="115"/>
      <c r="AK872" s="122"/>
      <c r="AL872" s="122"/>
      <c r="AM872" s="122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26"/>
      <c r="BC872" s="13"/>
      <c r="BF872" s="114"/>
    </row>
    <row r="873" spans="32:58" x14ac:dyDescent="0.4">
      <c r="AF873" s="115"/>
      <c r="AG873" s="115"/>
      <c r="AH873" s="115"/>
      <c r="AI873" s="115"/>
      <c r="AJ873" s="115"/>
      <c r="AK873" s="122"/>
      <c r="AL873" s="122"/>
      <c r="AM873" s="122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26"/>
      <c r="BC873" s="13"/>
      <c r="BF873" s="114"/>
    </row>
    <row r="874" spans="32:58" x14ac:dyDescent="0.4">
      <c r="AF874" s="115"/>
      <c r="AG874" s="115"/>
      <c r="AH874" s="115"/>
      <c r="AI874" s="115"/>
      <c r="AJ874" s="115"/>
      <c r="AK874" s="122"/>
      <c r="AL874" s="122"/>
      <c r="AM874" s="122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7"/>
      <c r="BC874" s="13"/>
      <c r="BF874" s="114"/>
    </row>
    <row r="875" spans="32:58" x14ac:dyDescent="0.4">
      <c r="AF875" s="115"/>
      <c r="AG875" s="115"/>
      <c r="AH875" s="115"/>
      <c r="AI875" s="115"/>
      <c r="AJ875" s="115"/>
      <c r="AK875" s="122"/>
      <c r="AL875" s="122"/>
      <c r="AM875" s="122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26"/>
      <c r="BC875" s="13"/>
      <c r="BF875" s="114"/>
    </row>
    <row r="876" spans="32:58" x14ac:dyDescent="0.4">
      <c r="AF876" s="115"/>
      <c r="AG876" s="115"/>
      <c r="AH876" s="115"/>
      <c r="AI876" s="115"/>
      <c r="AJ876" s="115"/>
      <c r="AK876" s="122"/>
      <c r="AL876" s="122"/>
      <c r="AM876" s="122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26"/>
      <c r="BC876" s="13"/>
      <c r="BF876" s="114"/>
    </row>
    <row r="877" spans="32:58" x14ac:dyDescent="0.4">
      <c r="AF877" s="115"/>
      <c r="AG877" s="115"/>
      <c r="AH877" s="115"/>
      <c r="AI877" s="115"/>
      <c r="AJ877" s="115"/>
      <c r="AK877" s="122"/>
      <c r="AL877" s="122"/>
      <c r="AM877" s="122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26"/>
      <c r="BC877" s="13"/>
      <c r="BF877" s="114"/>
    </row>
    <row r="878" spans="32:58" x14ac:dyDescent="0.4">
      <c r="AF878" s="115"/>
      <c r="AG878" s="115"/>
      <c r="AH878" s="115"/>
      <c r="AI878" s="115"/>
      <c r="AJ878" s="115"/>
      <c r="AK878" s="122"/>
      <c r="AL878" s="122"/>
      <c r="AM878" s="122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7"/>
      <c r="BC878" s="13"/>
      <c r="BF878" s="114"/>
    </row>
    <row r="879" spans="32:58" x14ac:dyDescent="0.4">
      <c r="AF879" s="115"/>
      <c r="AG879" s="115"/>
      <c r="AH879" s="115"/>
      <c r="AI879" s="115"/>
      <c r="AJ879" s="115"/>
      <c r="AK879" s="122"/>
      <c r="AL879" s="122"/>
      <c r="AM879" s="122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26"/>
      <c r="BC879" s="13"/>
      <c r="BF879" s="114"/>
    </row>
    <row r="880" spans="32:58" x14ac:dyDescent="0.4">
      <c r="AF880" s="115"/>
      <c r="AG880" s="115"/>
      <c r="AH880" s="115"/>
      <c r="AI880" s="115"/>
      <c r="AJ880" s="115"/>
      <c r="AK880" s="122"/>
      <c r="AL880" s="122"/>
      <c r="AM880" s="122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7"/>
      <c r="BC880" s="13"/>
      <c r="BF880" s="114"/>
    </row>
    <row r="881" spans="31:58" x14ac:dyDescent="0.4">
      <c r="AF881" s="115"/>
      <c r="AG881" s="115"/>
      <c r="AH881" s="115"/>
      <c r="AI881" s="115"/>
      <c r="AJ881" s="115"/>
      <c r="AK881" s="122"/>
      <c r="AL881" s="122"/>
      <c r="AM881" s="122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26"/>
      <c r="BC881" s="13"/>
      <c r="BF881" s="114"/>
    </row>
    <row r="882" spans="31:58" x14ac:dyDescent="0.4">
      <c r="AF882" s="115"/>
      <c r="AG882" s="115"/>
      <c r="AH882" s="115"/>
      <c r="AI882" s="115"/>
      <c r="AJ882" s="115"/>
      <c r="AK882" s="122"/>
      <c r="AL882" s="122"/>
      <c r="AM882" s="122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26"/>
      <c r="BC882" s="15"/>
      <c r="BF882" s="114"/>
    </row>
    <row r="883" spans="31:58" x14ac:dyDescent="0.4">
      <c r="AF883" s="115"/>
      <c r="AG883" s="115"/>
      <c r="AH883" s="115"/>
      <c r="AI883" s="115"/>
      <c r="AJ883" s="115"/>
      <c r="AK883" s="122"/>
      <c r="AL883" s="122"/>
      <c r="AM883" s="122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7"/>
      <c r="BC883" s="15"/>
      <c r="BF883" s="114"/>
    </row>
    <row r="884" spans="31:58" x14ac:dyDescent="0.4">
      <c r="AF884" s="115"/>
      <c r="AG884" s="115"/>
      <c r="AH884" s="115"/>
      <c r="AI884" s="115"/>
      <c r="AJ884" s="115"/>
      <c r="AK884" s="122"/>
      <c r="AL884" s="122"/>
      <c r="AM884" s="122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7"/>
      <c r="BC884" s="15"/>
      <c r="BF884" s="114"/>
    </row>
    <row r="885" spans="31:58" x14ac:dyDescent="0.4">
      <c r="AE885" s="115"/>
      <c r="AF885" s="115"/>
      <c r="AG885" s="115"/>
      <c r="AH885" s="115"/>
      <c r="AI885" s="115"/>
      <c r="AJ885" s="115"/>
      <c r="AK885" s="122"/>
      <c r="AL885" s="122"/>
      <c r="AM885" s="122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26"/>
      <c r="BC885" s="15"/>
      <c r="BF885" s="114"/>
    </row>
    <row r="886" spans="31:58" x14ac:dyDescent="0.4">
      <c r="AE886" s="115"/>
      <c r="AF886" s="115"/>
      <c r="AG886" s="115"/>
      <c r="AH886" s="115"/>
      <c r="AI886" s="115"/>
      <c r="AJ886" s="115"/>
      <c r="AK886" s="122"/>
      <c r="AL886" s="122"/>
      <c r="AM886" s="122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7"/>
      <c r="BC886" s="15"/>
      <c r="BF886" s="114"/>
    </row>
    <row r="887" spans="31:58" x14ac:dyDescent="0.4">
      <c r="AE887" s="115"/>
      <c r="AF887" s="115"/>
      <c r="AG887" s="115"/>
      <c r="AH887" s="115"/>
      <c r="AI887" s="115"/>
      <c r="AJ887" s="115"/>
      <c r="AK887" s="122"/>
      <c r="AL887" s="122"/>
      <c r="AM887" s="122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26"/>
      <c r="BC887" s="15"/>
      <c r="BF887" s="114"/>
    </row>
    <row r="888" spans="31:58" x14ac:dyDescent="0.4">
      <c r="AE888" s="115"/>
      <c r="AF888" s="115"/>
      <c r="AG888" s="115"/>
      <c r="AH888" s="115"/>
      <c r="AI888" s="115"/>
      <c r="AJ888" s="115"/>
      <c r="AK888" s="122"/>
      <c r="AL888" s="122"/>
      <c r="AM888" s="122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26"/>
      <c r="BC888" s="15"/>
      <c r="BF888" s="114"/>
    </row>
    <row r="889" spans="31:58" x14ac:dyDescent="0.4">
      <c r="AE889" s="115"/>
      <c r="AF889" s="115"/>
      <c r="AG889" s="115"/>
      <c r="AH889" s="115"/>
      <c r="AI889" s="115"/>
      <c r="AJ889" s="115"/>
      <c r="AK889" s="122"/>
      <c r="AL889" s="122"/>
      <c r="AM889" s="122"/>
      <c r="AN889" s="115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7"/>
      <c r="BC889" s="15"/>
      <c r="BF889" s="114"/>
    </row>
    <row r="890" spans="31:58" x14ac:dyDescent="0.4">
      <c r="AE890" s="115"/>
      <c r="AF890" s="115"/>
      <c r="AG890" s="115"/>
      <c r="AH890" s="115"/>
      <c r="AI890" s="115"/>
      <c r="AJ890" s="115"/>
      <c r="AK890" s="122"/>
      <c r="AL890" s="122"/>
      <c r="AM890" s="122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26"/>
      <c r="BC890" s="15"/>
      <c r="BF890" s="114"/>
    </row>
    <row r="891" spans="31:58" x14ac:dyDescent="0.4">
      <c r="AE891" s="115"/>
      <c r="AF891" s="115"/>
      <c r="AG891" s="115"/>
      <c r="AH891" s="115"/>
      <c r="AI891" s="115"/>
      <c r="AJ891" s="115"/>
      <c r="AK891" s="122"/>
      <c r="AL891" s="122"/>
      <c r="AM891" s="122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7"/>
      <c r="BC891" s="15"/>
      <c r="BF891" s="114"/>
    </row>
    <row r="892" spans="31:58" x14ac:dyDescent="0.4">
      <c r="AE892" s="115"/>
      <c r="AF892" s="115"/>
      <c r="AG892" s="115"/>
      <c r="AH892" s="115"/>
      <c r="AI892" s="115"/>
      <c r="AJ892" s="115"/>
      <c r="AK892" s="122"/>
      <c r="AL892" s="122"/>
      <c r="AM892" s="122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7"/>
      <c r="BC892" s="15"/>
      <c r="BF892" s="114"/>
    </row>
    <row r="893" spans="31:58" x14ac:dyDescent="0.4">
      <c r="AE893" s="115"/>
      <c r="AF893" s="115"/>
      <c r="AG893" s="115"/>
      <c r="AH893" s="115"/>
      <c r="AI893" s="115"/>
      <c r="AJ893" s="115"/>
      <c r="AK893" s="122"/>
      <c r="AL893" s="122"/>
      <c r="AM893" s="122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26"/>
      <c r="BC893" s="15"/>
      <c r="BF893" s="114"/>
    </row>
    <row r="894" spans="31:58" x14ac:dyDescent="0.4">
      <c r="AE894" s="115"/>
      <c r="AF894" s="115"/>
      <c r="AG894" s="115"/>
      <c r="AH894" s="115"/>
      <c r="AI894" s="115"/>
      <c r="AJ894" s="115"/>
      <c r="AK894" s="122"/>
      <c r="AL894" s="122"/>
      <c r="AM894" s="122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26"/>
      <c r="BC894" s="15"/>
      <c r="BF894" s="114"/>
    </row>
    <row r="895" spans="31:58" x14ac:dyDescent="0.4">
      <c r="AE895" s="115"/>
      <c r="AF895" s="115"/>
      <c r="AG895" s="115"/>
      <c r="AH895" s="115"/>
      <c r="AI895" s="115"/>
      <c r="AJ895" s="115"/>
      <c r="AK895" s="122"/>
      <c r="AL895" s="122"/>
      <c r="AM895" s="122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26"/>
      <c r="BC895" s="15"/>
      <c r="BF895" s="114"/>
    </row>
    <row r="896" spans="31:58" x14ac:dyDescent="0.4">
      <c r="AE896" s="115"/>
      <c r="AF896" s="115"/>
      <c r="AG896" s="115"/>
      <c r="AH896" s="115"/>
      <c r="AI896" s="115"/>
      <c r="AJ896" s="115"/>
      <c r="AK896" s="122"/>
      <c r="AL896" s="122"/>
      <c r="AM896" s="122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26"/>
      <c r="BC896" s="15"/>
      <c r="BF896" s="114"/>
    </row>
    <row r="897" spans="31:58" x14ac:dyDescent="0.4">
      <c r="AE897" s="115"/>
      <c r="AF897" s="115"/>
      <c r="AG897" s="115"/>
      <c r="AH897" s="115"/>
      <c r="AI897" s="115"/>
      <c r="AJ897" s="115"/>
      <c r="AK897" s="122"/>
      <c r="AL897" s="122"/>
      <c r="AM897" s="122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26"/>
      <c r="BC897" s="15"/>
      <c r="BF897" s="114"/>
    </row>
    <row r="898" spans="31:58" x14ac:dyDescent="0.4">
      <c r="AE898" s="115"/>
      <c r="AF898" s="115"/>
      <c r="AG898" s="115"/>
      <c r="AH898" s="115"/>
      <c r="AI898" s="115"/>
      <c r="AJ898" s="115"/>
      <c r="AK898" s="122"/>
      <c r="AL898" s="122"/>
      <c r="AM898" s="122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26"/>
      <c r="BC898" s="15"/>
      <c r="BF898" s="114"/>
    </row>
    <row r="899" spans="31:58" x14ac:dyDescent="0.4">
      <c r="AE899" s="115"/>
      <c r="AF899" s="115"/>
      <c r="AG899" s="115"/>
      <c r="AH899" s="115"/>
      <c r="AI899" s="115"/>
      <c r="AJ899" s="115"/>
      <c r="AK899" s="122"/>
      <c r="AL899" s="122"/>
      <c r="AM899" s="122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26"/>
      <c r="BC899" s="15"/>
      <c r="BF899" s="114"/>
    </row>
    <row r="900" spans="31:58" x14ac:dyDescent="0.4">
      <c r="AE900" s="115"/>
      <c r="AF900" s="115"/>
      <c r="AG900" s="115"/>
      <c r="AH900" s="115"/>
      <c r="AI900" s="115"/>
      <c r="AJ900" s="115"/>
      <c r="AK900" s="122"/>
      <c r="AL900" s="122"/>
      <c r="AM900" s="122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7"/>
      <c r="BC900" s="15"/>
      <c r="BF900" s="114"/>
    </row>
    <row r="901" spans="31:58" x14ac:dyDescent="0.4">
      <c r="AE901" s="115"/>
      <c r="AF901" s="115"/>
      <c r="AG901" s="115"/>
      <c r="AH901" s="115"/>
      <c r="AI901" s="115"/>
      <c r="AJ901" s="115"/>
      <c r="AK901" s="122"/>
      <c r="AL901" s="122"/>
      <c r="AM901" s="122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26"/>
      <c r="BC901" s="15"/>
      <c r="BF901" s="114"/>
    </row>
    <row r="902" spans="31:58" x14ac:dyDescent="0.4">
      <c r="AE902" s="115"/>
      <c r="AF902" s="115"/>
      <c r="AG902" s="115"/>
      <c r="AH902" s="115"/>
      <c r="AI902" s="115"/>
      <c r="AJ902" s="115"/>
      <c r="AK902" s="122"/>
      <c r="AL902" s="122"/>
      <c r="AM902" s="122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26"/>
      <c r="BC902" s="15"/>
      <c r="BF902" s="114"/>
    </row>
    <row r="903" spans="31:58" x14ac:dyDescent="0.4">
      <c r="AE903" s="115"/>
      <c r="AF903" s="115"/>
      <c r="AG903" s="115"/>
      <c r="AH903" s="115"/>
      <c r="AI903" s="115"/>
      <c r="AJ903" s="115"/>
      <c r="AK903" s="122"/>
      <c r="AL903" s="122"/>
      <c r="AM903" s="122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26"/>
      <c r="BC903" s="15"/>
      <c r="BF903" s="114"/>
    </row>
    <row r="904" spans="31:58" x14ac:dyDescent="0.4">
      <c r="AE904" s="115"/>
      <c r="AF904" s="115"/>
      <c r="AG904" s="115"/>
      <c r="AH904" s="115"/>
      <c r="AI904" s="115"/>
      <c r="AJ904" s="115"/>
      <c r="AK904" s="122"/>
      <c r="AL904" s="122"/>
      <c r="AM904" s="122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26"/>
      <c r="BC904" s="13"/>
      <c r="BF904" s="114"/>
    </row>
    <row r="905" spans="31:58" x14ac:dyDescent="0.4">
      <c r="AE905" s="115"/>
      <c r="AF905" s="115"/>
      <c r="AG905" s="115"/>
      <c r="AH905" s="115"/>
      <c r="AI905" s="115"/>
      <c r="AJ905" s="115"/>
      <c r="AK905" s="122"/>
      <c r="AL905" s="122"/>
      <c r="AM905" s="122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7"/>
      <c r="BC905" s="13"/>
      <c r="BF905" s="114"/>
    </row>
    <row r="906" spans="31:58" x14ac:dyDescent="0.4">
      <c r="AE906" s="115"/>
      <c r="AF906" s="115"/>
      <c r="AG906" s="115"/>
      <c r="AH906" s="115"/>
      <c r="AI906" s="115"/>
      <c r="AJ906" s="115"/>
      <c r="AK906" s="122"/>
      <c r="AL906" s="122"/>
      <c r="AM906" s="122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26"/>
      <c r="BC906" s="13"/>
      <c r="BF906" s="114"/>
    </row>
    <row r="907" spans="31:58" x14ac:dyDescent="0.4">
      <c r="AE907" s="115"/>
      <c r="AF907" s="115"/>
      <c r="AG907" s="115"/>
      <c r="AH907" s="115"/>
      <c r="AI907" s="115"/>
      <c r="AJ907" s="115"/>
      <c r="AK907" s="122"/>
      <c r="AL907" s="122"/>
      <c r="AM907" s="122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26"/>
      <c r="BC907" s="13"/>
      <c r="BF907" s="114"/>
    </row>
    <row r="908" spans="31:58" x14ac:dyDescent="0.4">
      <c r="AE908" s="115"/>
      <c r="AF908" s="115"/>
      <c r="AG908" s="115"/>
      <c r="AH908" s="115"/>
      <c r="AI908" s="115"/>
      <c r="AJ908" s="115"/>
      <c r="AK908" s="122"/>
      <c r="AL908" s="122"/>
      <c r="AM908" s="122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26"/>
      <c r="BC908" s="13"/>
      <c r="BF908" s="114"/>
    </row>
    <row r="909" spans="31:58" x14ac:dyDescent="0.4">
      <c r="AE909" s="115"/>
      <c r="AF909" s="115"/>
      <c r="AG909" s="115"/>
      <c r="AH909" s="115"/>
      <c r="AI909" s="115"/>
      <c r="AJ909" s="115"/>
      <c r="AK909" s="122"/>
      <c r="AL909" s="122"/>
      <c r="AM909" s="122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26"/>
      <c r="BC909" s="13"/>
      <c r="BF909" s="114"/>
    </row>
    <row r="910" spans="31:58" x14ac:dyDescent="0.4">
      <c r="AE910" s="115"/>
      <c r="AF910" s="115"/>
      <c r="AG910" s="115"/>
      <c r="AH910" s="115"/>
      <c r="AI910" s="115"/>
      <c r="AJ910" s="115"/>
      <c r="AK910" s="122"/>
      <c r="AL910" s="122"/>
      <c r="AM910" s="122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26"/>
      <c r="BC910" s="13"/>
      <c r="BF910" s="114"/>
    </row>
    <row r="911" spans="31:58" x14ac:dyDescent="0.4">
      <c r="AE911" s="115"/>
      <c r="AF911" s="115"/>
      <c r="AG911" s="115"/>
      <c r="AH911" s="115"/>
      <c r="AI911" s="115"/>
      <c r="AJ911" s="115"/>
      <c r="AK911" s="122"/>
      <c r="AL911" s="122"/>
      <c r="AM911" s="122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26"/>
      <c r="BC911" s="13"/>
      <c r="BF911" s="114"/>
    </row>
    <row r="912" spans="31:58" x14ac:dyDescent="0.4">
      <c r="AE912" s="115"/>
      <c r="AF912" s="115"/>
      <c r="AG912" s="115"/>
      <c r="AH912" s="115"/>
      <c r="AI912" s="115"/>
      <c r="AJ912" s="115"/>
      <c r="AK912" s="122"/>
      <c r="AL912" s="122"/>
      <c r="AM912" s="122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7"/>
      <c r="BC912" s="13"/>
      <c r="BF912" s="114"/>
    </row>
    <row r="913" spans="5:58" x14ac:dyDescent="0.4">
      <c r="AE913" s="115"/>
      <c r="AF913" s="115"/>
      <c r="AG913" s="115"/>
      <c r="AH913" s="115"/>
      <c r="AI913" s="115"/>
      <c r="AJ913" s="115"/>
      <c r="AK913" s="122"/>
      <c r="AL913" s="122"/>
      <c r="AM913" s="122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26"/>
      <c r="BC913" s="13"/>
      <c r="BF913" s="114"/>
    </row>
    <row r="914" spans="5:58" x14ac:dyDescent="0.4">
      <c r="AE914" s="115"/>
      <c r="AF914" s="115"/>
      <c r="AG914" s="115"/>
      <c r="AH914" s="115"/>
      <c r="AI914" s="115"/>
      <c r="AJ914" s="115"/>
      <c r="AK914" s="122"/>
      <c r="AL914" s="122"/>
      <c r="AM914" s="122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26"/>
      <c r="BC914" s="13"/>
      <c r="BF914" s="114"/>
    </row>
    <row r="915" spans="5:58" x14ac:dyDescent="0.4"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22"/>
      <c r="AL915" s="122"/>
      <c r="AM915" s="122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26"/>
      <c r="BC915" s="13"/>
      <c r="BF915" s="114"/>
    </row>
    <row r="916" spans="5:58" x14ac:dyDescent="0.4"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22"/>
      <c r="AL916" s="122"/>
      <c r="AM916" s="122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26"/>
      <c r="BC916" s="13"/>
      <c r="BF916" s="114"/>
    </row>
    <row r="917" spans="5:58" x14ac:dyDescent="0.4"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22"/>
      <c r="AL917" s="122"/>
      <c r="AM917" s="122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26"/>
      <c r="BC917" s="13"/>
      <c r="BF917" s="114"/>
    </row>
    <row r="918" spans="5:58" x14ac:dyDescent="0.4"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22"/>
      <c r="AL918" s="122"/>
      <c r="AM918" s="122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26"/>
      <c r="BC918" s="13"/>
      <c r="BF918" s="114"/>
    </row>
    <row r="919" spans="5:58" x14ac:dyDescent="0.4"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22"/>
      <c r="AL919" s="122"/>
      <c r="AM919" s="122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26"/>
      <c r="BC919" s="13"/>
      <c r="BF919" s="114"/>
    </row>
    <row r="920" spans="5:58" x14ac:dyDescent="0.4"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22"/>
      <c r="AL920" s="122"/>
      <c r="AM920" s="122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26"/>
      <c r="BC920" s="13"/>
      <c r="BF920" s="114"/>
    </row>
    <row r="921" spans="5:58" x14ac:dyDescent="0.4"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22"/>
      <c r="AL921" s="122"/>
      <c r="AM921" s="122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26"/>
      <c r="BC921" s="13"/>
      <c r="BF921" s="114"/>
    </row>
    <row r="922" spans="5:58" x14ac:dyDescent="0.4"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22"/>
      <c r="AL922" s="122"/>
      <c r="AM922" s="122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26"/>
      <c r="BC922" s="13"/>
      <c r="BF922" s="114"/>
    </row>
    <row r="923" spans="5:58" x14ac:dyDescent="0.4"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22"/>
      <c r="AL923" s="122"/>
      <c r="AM923" s="122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26"/>
      <c r="BC923" s="13"/>
      <c r="BF923" s="114"/>
    </row>
    <row r="924" spans="5:58" x14ac:dyDescent="0.4"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22"/>
      <c r="AL924" s="122"/>
      <c r="AM924" s="122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26"/>
      <c r="BC924" s="13"/>
      <c r="BF924" s="114"/>
    </row>
    <row r="925" spans="5:58" x14ac:dyDescent="0.4"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22"/>
      <c r="AL925" s="122"/>
      <c r="AM925" s="122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26"/>
      <c r="BC925" s="13"/>
      <c r="BF925" s="114"/>
    </row>
    <row r="926" spans="5:58" x14ac:dyDescent="0.4"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22"/>
      <c r="AL926" s="122"/>
      <c r="AM926" s="122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26"/>
      <c r="BC926" s="13"/>
      <c r="BF926" s="114"/>
    </row>
    <row r="927" spans="5:58" x14ac:dyDescent="0.4"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22"/>
      <c r="AL927" s="122"/>
      <c r="AM927" s="122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26"/>
      <c r="BC927" s="13"/>
      <c r="BF927" s="114"/>
    </row>
    <row r="928" spans="5:58" x14ac:dyDescent="0.4"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22"/>
      <c r="AL928" s="122"/>
      <c r="AM928" s="122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26"/>
      <c r="BC928" s="13"/>
      <c r="BF928" s="114"/>
    </row>
    <row r="929" spans="3:58" x14ac:dyDescent="0.4"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22"/>
      <c r="AL929" s="122"/>
      <c r="AM929" s="122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26"/>
      <c r="BC929" s="13"/>
      <c r="BF929" s="114"/>
    </row>
    <row r="930" spans="3:58" x14ac:dyDescent="0.4"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22"/>
      <c r="AL930" s="122"/>
      <c r="AM930" s="122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26"/>
      <c r="BC930" s="13"/>
      <c r="BF930" s="114"/>
    </row>
    <row r="931" spans="3:58" x14ac:dyDescent="0.4"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22"/>
      <c r="AL931" s="122"/>
      <c r="AM931" s="122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7"/>
      <c r="BC931" s="13"/>
      <c r="BF931" s="114"/>
    </row>
    <row r="932" spans="3:58" x14ac:dyDescent="0.4"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22"/>
      <c r="AL932" s="122"/>
      <c r="AM932" s="122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26"/>
      <c r="BC932" s="13"/>
      <c r="BF932" s="114"/>
    </row>
    <row r="933" spans="3:58" x14ac:dyDescent="0.4"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22"/>
      <c r="AL933" s="122"/>
      <c r="AM933" s="122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26"/>
      <c r="BC933" s="13"/>
      <c r="BF933" s="114"/>
    </row>
    <row r="934" spans="3:58" x14ac:dyDescent="0.4"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22"/>
      <c r="AL934" s="122"/>
      <c r="AM934" s="122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26"/>
      <c r="BC934" s="13"/>
      <c r="BF934" s="114"/>
    </row>
    <row r="935" spans="3:58" x14ac:dyDescent="0.4"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22"/>
      <c r="AL935" s="122"/>
      <c r="AM935" s="122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26"/>
      <c r="BC935" s="15"/>
      <c r="BF935" s="114"/>
    </row>
    <row r="936" spans="3:58" x14ac:dyDescent="0.4"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22"/>
      <c r="AL936" s="122"/>
      <c r="AM936" s="122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26"/>
      <c r="BC936" s="15"/>
      <c r="BF936" s="114"/>
    </row>
    <row r="937" spans="3:58" x14ac:dyDescent="0.4"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22"/>
      <c r="AL937" s="122"/>
      <c r="AM937" s="122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26"/>
      <c r="BC937" s="15"/>
      <c r="BF937" s="114"/>
    </row>
    <row r="938" spans="3:58" x14ac:dyDescent="0.4"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22"/>
      <c r="AL938" s="122"/>
      <c r="AM938" s="122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26"/>
      <c r="BC938" s="13"/>
      <c r="BF938" s="114"/>
    </row>
    <row r="939" spans="3:58" x14ac:dyDescent="0.4"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22"/>
      <c r="AL939" s="122"/>
      <c r="AM939" s="122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26"/>
      <c r="BC939" s="13"/>
      <c r="BF939" s="114"/>
    </row>
    <row r="940" spans="3:58" x14ac:dyDescent="0.4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22"/>
      <c r="AL940" s="122"/>
      <c r="AM940" s="122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26"/>
      <c r="BC940" s="13"/>
      <c r="BF940" s="114"/>
    </row>
    <row r="941" spans="3:58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22"/>
      <c r="AL941" s="122"/>
      <c r="AM941" s="122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7"/>
      <c r="BC941" s="13"/>
      <c r="BF941" s="114"/>
    </row>
    <row r="942" spans="3:58" x14ac:dyDescent="0.4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22"/>
      <c r="AL942" s="122"/>
      <c r="AM942" s="122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26"/>
      <c r="BC942" s="13"/>
      <c r="BF942" s="114"/>
    </row>
    <row r="943" spans="3:58" x14ac:dyDescent="0.4"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22"/>
      <c r="AL943" s="122"/>
      <c r="AM943" s="122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26"/>
      <c r="BC943" s="25"/>
      <c r="BF943" s="114"/>
    </row>
    <row r="944" spans="3:58" x14ac:dyDescent="0.4"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22"/>
      <c r="AL944" s="122"/>
      <c r="AM944" s="122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26"/>
      <c r="BC944" s="13"/>
      <c r="BF944" s="114"/>
    </row>
    <row r="945" spans="1:58" x14ac:dyDescent="0.4"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22"/>
      <c r="AL945" s="122"/>
      <c r="AM945" s="122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26"/>
      <c r="BC945" s="13"/>
      <c r="BF945" s="114"/>
    </row>
    <row r="946" spans="1:58" x14ac:dyDescent="0.4"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22"/>
      <c r="AL946" s="122"/>
      <c r="AM946" s="122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26"/>
      <c r="BC946" s="13"/>
      <c r="BF946" s="114"/>
    </row>
    <row r="947" spans="1:58" x14ac:dyDescent="0.4"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22"/>
      <c r="AL947" s="122"/>
      <c r="AM947" s="122"/>
      <c r="AN947" s="115"/>
      <c r="AO947" s="115"/>
      <c r="AP947" s="115"/>
      <c r="AQ947" s="115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26"/>
      <c r="BC947" s="13"/>
      <c r="BF947" s="114"/>
    </row>
    <row r="948" spans="1:58" x14ac:dyDescent="0.4"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22"/>
      <c r="AL948" s="122"/>
      <c r="AM948" s="122"/>
      <c r="AN948" s="115"/>
      <c r="AO948" s="115"/>
      <c r="AP948" s="115"/>
      <c r="AQ948" s="115"/>
      <c r="BB948" s="26"/>
      <c r="BC948" s="13"/>
      <c r="BF948" s="114"/>
    </row>
    <row r="949" spans="1:58" x14ac:dyDescent="0.4"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22"/>
      <c r="AL949" s="122"/>
      <c r="AM949" s="122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26"/>
      <c r="BC949" s="13"/>
      <c r="BF949" s="114"/>
    </row>
    <row r="950" spans="1:58" x14ac:dyDescent="0.4"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22"/>
      <c r="AL950" s="122"/>
      <c r="AM950" s="122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7"/>
      <c r="BC950" s="13"/>
      <c r="BF950" s="114"/>
    </row>
    <row r="951" spans="1:58" x14ac:dyDescent="0.4"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22"/>
      <c r="AL951" s="122"/>
      <c r="AM951" s="122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26"/>
      <c r="BC951" s="13"/>
      <c r="BF951" s="114"/>
    </row>
    <row r="952" spans="1:58" x14ac:dyDescent="0.4"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22"/>
      <c r="AL952" s="122"/>
      <c r="AM952" s="122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26"/>
      <c r="BC952" s="15"/>
      <c r="BF952" s="114"/>
    </row>
    <row r="953" spans="1:58" x14ac:dyDescent="0.4"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22"/>
      <c r="AL953" s="122"/>
      <c r="AM953" s="122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7"/>
      <c r="BC953" s="15"/>
      <c r="BF953" s="114"/>
    </row>
    <row r="954" spans="1:58" x14ac:dyDescent="0.4"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22"/>
      <c r="AL954" s="122"/>
      <c r="AM954" s="122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26"/>
      <c r="BC954" s="15"/>
      <c r="BF954" s="114"/>
    </row>
    <row r="955" spans="1:58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22"/>
      <c r="AL955" s="122"/>
      <c r="AM955" s="122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26"/>
      <c r="BC955" s="15"/>
      <c r="BF955" s="114"/>
    </row>
    <row r="956" spans="1:58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22"/>
      <c r="AL956" s="122"/>
      <c r="AM956" s="122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7"/>
      <c r="BC956" s="13"/>
      <c r="BF956" s="114"/>
    </row>
    <row r="957" spans="1:58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22"/>
      <c r="AL957" s="122"/>
      <c r="AM957" s="122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7"/>
      <c r="BC957" s="13"/>
      <c r="BF957" s="114"/>
    </row>
    <row r="958" spans="1:58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22"/>
      <c r="AL958" s="122"/>
      <c r="AM958" s="122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26"/>
      <c r="BC958" s="13"/>
      <c r="BF958" s="114"/>
    </row>
    <row r="959" spans="1:58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22"/>
      <c r="AL959" s="122"/>
      <c r="AM959" s="122"/>
      <c r="AN959" s="115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26"/>
      <c r="BC959" s="13"/>
      <c r="BF959" s="114"/>
    </row>
    <row r="960" spans="1:58" x14ac:dyDescent="0.4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22"/>
      <c r="AL960" s="122"/>
      <c r="AM960" s="122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7"/>
      <c r="BC960" s="13"/>
      <c r="BF960" s="114"/>
    </row>
    <row r="961" spans="1:58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22"/>
      <c r="AL961" s="122"/>
      <c r="AM961" s="122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26"/>
      <c r="BC961" s="15"/>
      <c r="BF961" s="114"/>
    </row>
    <row r="962" spans="1:58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22"/>
      <c r="AL962" s="122"/>
      <c r="AM962" s="122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26"/>
      <c r="BC962" s="15"/>
      <c r="BF962" s="114"/>
    </row>
    <row r="963" spans="1:58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22"/>
      <c r="AL963" s="122"/>
      <c r="AM963" s="122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26"/>
      <c r="BC963" s="15"/>
      <c r="BF963" s="114"/>
    </row>
    <row r="964" spans="1:58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22"/>
      <c r="AL964" s="122"/>
      <c r="AM964" s="122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26"/>
      <c r="BC964" s="13"/>
      <c r="BF964" s="114"/>
    </row>
    <row r="965" spans="1:58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22"/>
      <c r="AL965" s="122"/>
      <c r="AM965" s="122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26"/>
      <c r="BC965" s="25"/>
      <c r="BF965" s="114"/>
    </row>
    <row r="966" spans="1:58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22"/>
      <c r="AL966" s="122"/>
      <c r="AM966" s="122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26"/>
      <c r="BC966" s="13"/>
      <c r="BF966" s="114"/>
    </row>
    <row r="967" spans="1:58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22"/>
      <c r="AL967" s="122"/>
      <c r="AM967" s="122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26"/>
      <c r="BC967" s="13"/>
      <c r="BF967" s="114"/>
    </row>
    <row r="968" spans="1:58" x14ac:dyDescent="0.4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22"/>
      <c r="AL968" s="122"/>
      <c r="AM968" s="122"/>
      <c r="AN968" s="115"/>
      <c r="AO968" s="115"/>
      <c r="AP968" s="115"/>
      <c r="AQ968" s="115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26"/>
      <c r="BC968" s="13"/>
      <c r="BF968" s="114"/>
    </row>
    <row r="969" spans="1:58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22"/>
      <c r="AL969" s="122"/>
      <c r="AM969" s="122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26"/>
      <c r="BC969" s="13"/>
      <c r="BF969" s="114"/>
    </row>
    <row r="970" spans="1:58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22"/>
      <c r="AL970" s="122"/>
      <c r="AM970" s="122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26"/>
      <c r="BC970" s="13"/>
      <c r="BF970" s="114"/>
    </row>
    <row r="971" spans="1:58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22"/>
      <c r="AL971" s="122"/>
      <c r="AM971" s="122"/>
      <c r="AN971" s="115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26"/>
      <c r="BC971" s="13"/>
      <c r="BF971" s="114"/>
    </row>
    <row r="972" spans="1:58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22"/>
      <c r="AL972" s="122"/>
      <c r="AM972" s="122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26"/>
      <c r="BC972" s="13"/>
      <c r="BF972" s="114"/>
    </row>
    <row r="973" spans="1:58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22"/>
      <c r="AL973" s="122"/>
      <c r="AM973" s="122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26"/>
      <c r="BC973" s="13"/>
      <c r="BF973" s="114"/>
    </row>
    <row r="974" spans="1:58" x14ac:dyDescent="0.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22"/>
      <c r="AL974" s="122"/>
      <c r="AM974" s="122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26"/>
      <c r="BC974" s="13"/>
      <c r="BF974" s="114"/>
    </row>
    <row r="975" spans="1:58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22"/>
      <c r="AL975" s="122"/>
      <c r="AM975" s="122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26"/>
      <c r="BC975" s="13"/>
      <c r="BF975" s="114"/>
    </row>
    <row r="976" spans="1:58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22"/>
      <c r="AL976" s="122"/>
      <c r="AM976" s="122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26"/>
      <c r="BC976" s="15"/>
      <c r="BF976" s="114"/>
    </row>
    <row r="977" spans="1:58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22"/>
      <c r="AL977" s="122"/>
      <c r="AM977" s="122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26"/>
      <c r="BC977" s="15"/>
      <c r="BF977" s="114"/>
    </row>
    <row r="978" spans="1:58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22"/>
      <c r="AL978" s="122"/>
      <c r="AM978" s="122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26"/>
      <c r="BC978" s="15"/>
      <c r="BF978" s="114"/>
    </row>
    <row r="979" spans="1:58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22"/>
      <c r="AL979" s="122"/>
      <c r="AM979" s="122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26"/>
      <c r="BC979" s="15"/>
      <c r="BF979" s="114"/>
    </row>
    <row r="980" spans="1:58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22"/>
      <c r="AL980" s="122"/>
      <c r="AM980" s="122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26"/>
      <c r="BC980" s="13"/>
      <c r="BF980" s="114"/>
    </row>
    <row r="981" spans="1:58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22"/>
      <c r="AL981" s="122"/>
      <c r="AM981" s="122"/>
      <c r="AN981" s="115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26"/>
      <c r="BC981" s="15"/>
      <c r="BF981" s="114"/>
    </row>
    <row r="982" spans="1:58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22"/>
      <c r="AL982" s="122"/>
      <c r="AM982" s="122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26"/>
      <c r="BC982" s="15"/>
      <c r="BF982" s="114"/>
    </row>
    <row r="983" spans="1:58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22"/>
      <c r="AL983" s="122"/>
      <c r="AM983" s="122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26"/>
      <c r="BC983" s="15"/>
      <c r="BF983" s="114"/>
    </row>
    <row r="984" spans="1:58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22"/>
      <c r="AL984" s="122"/>
      <c r="AM984" s="122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26"/>
      <c r="BC984" s="15"/>
      <c r="BF984" s="114"/>
    </row>
    <row r="985" spans="1:58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22"/>
      <c r="AL985" s="122"/>
      <c r="AM985" s="122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26"/>
      <c r="BC985" s="15"/>
      <c r="BF985" s="114"/>
    </row>
    <row r="986" spans="1:58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22"/>
      <c r="AL986" s="122"/>
      <c r="AM986" s="122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26"/>
      <c r="BC986" s="105"/>
      <c r="BF986" s="114"/>
    </row>
    <row r="987" spans="1:58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22"/>
      <c r="AL987" s="122"/>
      <c r="AM987" s="122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7"/>
      <c r="BC987" s="15"/>
      <c r="BF987" s="114"/>
    </row>
    <row r="988" spans="1:58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22"/>
      <c r="AL988" s="122"/>
      <c r="AM988" s="122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26"/>
      <c r="BC988" s="15"/>
      <c r="BF988" s="114"/>
    </row>
    <row r="989" spans="1:58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22"/>
      <c r="AL989" s="122"/>
      <c r="AM989" s="122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26"/>
      <c r="BC989" s="15"/>
      <c r="BF989" s="114"/>
    </row>
    <row r="990" spans="1:58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22"/>
      <c r="AL990" s="122"/>
      <c r="AM990" s="122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26"/>
      <c r="BC990" s="105"/>
      <c r="BF990" s="114"/>
    </row>
    <row r="991" spans="1:58" x14ac:dyDescent="0.4">
      <c r="BB991" s="26"/>
      <c r="BC991" s="15"/>
      <c r="BF991" s="114"/>
    </row>
    <row r="992" spans="1:58" x14ac:dyDescent="0.4">
      <c r="AL992" s="122"/>
      <c r="AM992" s="122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26"/>
      <c r="BC992" s="15"/>
      <c r="BF992" s="114"/>
    </row>
    <row r="993" spans="2:58" x14ac:dyDescent="0.4">
      <c r="AH993" s="115"/>
      <c r="AI993" s="115"/>
      <c r="AJ993" s="115"/>
      <c r="AK993" s="122"/>
      <c r="AL993" s="122"/>
      <c r="AM993" s="122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26"/>
      <c r="BC993" s="15"/>
      <c r="BF993" s="114"/>
    </row>
    <row r="994" spans="2:58" x14ac:dyDescent="0.4"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22"/>
      <c r="AL994" s="122"/>
      <c r="AM994" s="122"/>
      <c r="AN994" s="115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26"/>
      <c r="BC994" s="15"/>
      <c r="BF994" s="114"/>
    </row>
    <row r="995" spans="2:58" x14ac:dyDescent="0.4"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22"/>
      <c r="AL995" s="122"/>
      <c r="AM995" s="122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7"/>
      <c r="BC995" s="15"/>
      <c r="BF995" s="114"/>
    </row>
    <row r="996" spans="2:58" x14ac:dyDescent="0.4"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22"/>
      <c r="AL996" s="122"/>
      <c r="AM996" s="122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26"/>
      <c r="BC996" s="15"/>
      <c r="BF996" s="114"/>
    </row>
    <row r="997" spans="2:58" x14ac:dyDescent="0.4"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22"/>
      <c r="AL997" s="122"/>
      <c r="AM997" s="122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26"/>
      <c r="BC997" s="15"/>
      <c r="BF997" s="114"/>
    </row>
    <row r="998" spans="2:58" x14ac:dyDescent="0.4"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22"/>
      <c r="AL998" s="122"/>
      <c r="AM998" s="122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26"/>
      <c r="BC998" s="15"/>
      <c r="BF998" s="114"/>
    </row>
    <row r="999" spans="2:58" x14ac:dyDescent="0.4"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22"/>
      <c r="AL999" s="122"/>
      <c r="AM999" s="122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26"/>
      <c r="BC999" s="15"/>
      <c r="BF999" s="114"/>
    </row>
    <row r="1000" spans="2:58" x14ac:dyDescent="0.4"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22"/>
      <c r="AL1000" s="122"/>
      <c r="AM1000" s="122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26"/>
      <c r="BC1000" s="15"/>
      <c r="BF1000" s="114"/>
    </row>
    <row r="1001" spans="2:58" x14ac:dyDescent="0.4"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22"/>
      <c r="AL1001" s="122"/>
      <c r="AM1001" s="122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26"/>
      <c r="BC1001" s="15"/>
      <c r="BF1001" s="114"/>
    </row>
    <row r="1002" spans="2:58" x14ac:dyDescent="0.4"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22"/>
      <c r="AL1002" s="122"/>
      <c r="AM1002" s="122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26"/>
      <c r="BC1002" s="15"/>
      <c r="BF1002" s="114"/>
    </row>
    <row r="1003" spans="2:58" x14ac:dyDescent="0.4"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22"/>
      <c r="AL1003" s="122"/>
      <c r="AM1003" s="122"/>
      <c r="AN1003" s="115"/>
      <c r="AO1003" s="115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7"/>
      <c r="BC1003" s="15"/>
      <c r="BF1003" s="114"/>
    </row>
    <row r="1004" spans="2:58" x14ac:dyDescent="0.4"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22"/>
      <c r="AL1004" s="122"/>
      <c r="AM1004" s="122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26"/>
      <c r="BC1004" s="15"/>
      <c r="BF1004" s="114"/>
    </row>
    <row r="1005" spans="2:58" x14ac:dyDescent="0.4"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22"/>
      <c r="AL1005" s="122"/>
      <c r="AM1005" s="122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26"/>
      <c r="BC1005" s="15"/>
      <c r="BF1005" s="114"/>
    </row>
    <row r="1006" spans="2:58" x14ac:dyDescent="0.4"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22"/>
      <c r="AL1006" s="122"/>
      <c r="AM1006" s="122"/>
      <c r="AN1006" s="115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26"/>
      <c r="BC1006" s="15"/>
      <c r="BF1006" s="114"/>
    </row>
    <row r="1007" spans="2:58" x14ac:dyDescent="0.4"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22"/>
      <c r="AL1007" s="122"/>
      <c r="AM1007" s="122"/>
      <c r="AN1007" s="115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26"/>
      <c r="BC1007" s="15"/>
      <c r="BF1007" s="114"/>
    </row>
    <row r="1008" spans="2:58" x14ac:dyDescent="0.4"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22"/>
      <c r="AL1008" s="122"/>
      <c r="AM1008" s="122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26"/>
      <c r="BC1008" s="15"/>
      <c r="BF1008" s="114"/>
    </row>
    <row r="1009" spans="2:58" x14ac:dyDescent="0.4"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22"/>
      <c r="AL1009" s="122"/>
      <c r="AM1009" s="122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26"/>
      <c r="BC1009" s="15"/>
      <c r="BF1009" s="114"/>
    </row>
    <row r="1010" spans="2:58" x14ac:dyDescent="0.4"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22"/>
      <c r="AL1010" s="122"/>
      <c r="AM1010" s="122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26"/>
      <c r="BC1010" s="15"/>
      <c r="BF1010" s="114"/>
    </row>
    <row r="1011" spans="2:58" x14ac:dyDescent="0.4"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22"/>
      <c r="AL1011" s="122"/>
      <c r="AM1011" s="122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7"/>
      <c r="BC1011" s="15"/>
      <c r="BF1011" s="114"/>
    </row>
    <row r="1012" spans="2:58" x14ac:dyDescent="0.4"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22"/>
      <c r="AL1012" s="122"/>
      <c r="AM1012" s="122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26"/>
      <c r="BC1012" s="15"/>
      <c r="BF1012" s="114"/>
    </row>
    <row r="1013" spans="2:58" x14ac:dyDescent="0.4"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22"/>
      <c r="AL1013" s="122"/>
      <c r="AM1013" s="122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26"/>
      <c r="BC1013" s="15"/>
      <c r="BF1013" s="114"/>
    </row>
    <row r="1014" spans="2:58" x14ac:dyDescent="0.4"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22"/>
      <c r="AL1014" s="122"/>
      <c r="AM1014" s="122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26"/>
      <c r="BC1014" s="15"/>
      <c r="BF1014" s="114"/>
    </row>
    <row r="1015" spans="2:58" x14ac:dyDescent="0.4"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22"/>
      <c r="AL1015" s="122"/>
      <c r="AM1015" s="122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26"/>
      <c r="BC1015" s="15"/>
      <c r="BF1015" s="114"/>
    </row>
    <row r="1016" spans="2:58" x14ac:dyDescent="0.4"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22"/>
      <c r="AL1016" s="122"/>
      <c r="AM1016" s="122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26"/>
      <c r="BC1016" s="15"/>
      <c r="BF1016" s="114"/>
    </row>
    <row r="1017" spans="2:58" x14ac:dyDescent="0.4"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22"/>
      <c r="AL1017" s="122"/>
      <c r="AM1017" s="122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26"/>
      <c r="BC1017" s="15"/>
      <c r="BF1017" s="114"/>
    </row>
    <row r="1018" spans="2:58" x14ac:dyDescent="0.4"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22"/>
      <c r="AL1018" s="122"/>
      <c r="AM1018" s="122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26"/>
      <c r="BC1018" s="15"/>
      <c r="BF1018" s="114"/>
    </row>
    <row r="1019" spans="2:58" x14ac:dyDescent="0.4"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22"/>
      <c r="AL1019" s="122"/>
      <c r="AM1019" s="122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26"/>
      <c r="BC1019" s="15"/>
      <c r="BF1019" s="114"/>
    </row>
    <row r="1020" spans="2:58" x14ac:dyDescent="0.4"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22"/>
      <c r="AL1020" s="122"/>
      <c r="AM1020" s="122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7"/>
      <c r="BC1020" s="15"/>
      <c r="BF1020" s="114"/>
    </row>
    <row r="1021" spans="2:58" x14ac:dyDescent="0.4"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22"/>
      <c r="AL1021" s="122"/>
      <c r="AM1021" s="122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26"/>
      <c r="BC1021" s="15"/>
      <c r="BF1021" s="114"/>
    </row>
    <row r="1022" spans="2:58" x14ac:dyDescent="0.4"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22"/>
      <c r="AL1022" s="122"/>
      <c r="AM1022" s="122"/>
      <c r="AN1022" s="115"/>
      <c r="AO1022" s="115"/>
      <c r="AP1022" s="115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7"/>
      <c r="BC1022" s="15"/>
      <c r="BF1022" s="114"/>
    </row>
    <row r="1023" spans="2:58" x14ac:dyDescent="0.4"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22"/>
      <c r="AL1023" s="122"/>
      <c r="AM1023" s="122"/>
      <c r="AN1023" s="115"/>
      <c r="AO1023" s="115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26"/>
      <c r="BC1023" s="15"/>
      <c r="BF1023" s="114"/>
    </row>
    <row r="1024" spans="2:58" x14ac:dyDescent="0.4"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22"/>
      <c r="AL1024" s="122"/>
      <c r="AM1024" s="122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7"/>
      <c r="BC1024" s="15"/>
      <c r="BF1024" s="114"/>
    </row>
    <row r="1025" spans="1:58" x14ac:dyDescent="0.4"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22"/>
      <c r="AL1025" s="122"/>
      <c r="AM1025" s="122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26"/>
      <c r="BC1025" s="15"/>
      <c r="BF1025" s="114"/>
    </row>
    <row r="1026" spans="1:58" x14ac:dyDescent="0.4"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22"/>
      <c r="AL1026" s="122"/>
      <c r="AM1026" s="122"/>
      <c r="AN1026" s="115"/>
      <c r="AO1026" s="115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26"/>
      <c r="BC1026" s="15"/>
      <c r="BF1026" s="114"/>
    </row>
    <row r="1027" spans="1:58" x14ac:dyDescent="0.4"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22"/>
      <c r="AL1027" s="122"/>
      <c r="AM1027" s="122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7"/>
      <c r="BC1027" s="15"/>
      <c r="BF1027" s="114"/>
    </row>
    <row r="1028" spans="1:58" x14ac:dyDescent="0.4"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22"/>
      <c r="AL1028" s="122"/>
      <c r="AM1028" s="122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26"/>
      <c r="BC1028" s="15"/>
      <c r="BF1028" s="114"/>
    </row>
    <row r="1029" spans="1:58" x14ac:dyDescent="0.4"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22"/>
      <c r="AL1029" s="122"/>
      <c r="AM1029" s="122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26"/>
      <c r="BC1029" s="15"/>
      <c r="BF1029" s="114"/>
    </row>
    <row r="1030" spans="1:58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22"/>
      <c r="AL1030" s="122"/>
      <c r="AM1030" s="122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26"/>
      <c r="BC1030" s="105"/>
      <c r="BF1030" s="114"/>
    </row>
    <row r="1031" spans="1:58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22"/>
      <c r="AL1031" s="122"/>
      <c r="AM1031" s="122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7"/>
      <c r="BC1031" s="15"/>
      <c r="BF1031" s="114"/>
    </row>
    <row r="1032" spans="1:58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22"/>
      <c r="AL1032" s="122"/>
      <c r="AM1032" s="122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7"/>
      <c r="BC1032" s="15"/>
      <c r="BF1032" s="114"/>
    </row>
    <row r="1033" spans="1:58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22"/>
      <c r="AL1033" s="122"/>
      <c r="AM1033" s="122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26"/>
      <c r="BC1033" s="15"/>
      <c r="BF1033" s="114"/>
    </row>
    <row r="1034" spans="1:58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22"/>
      <c r="AL1034" s="122"/>
      <c r="AM1034" s="122"/>
      <c r="AN1034" s="115"/>
      <c r="AO1034" s="115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26"/>
      <c r="BC1034" s="15"/>
      <c r="BF1034" s="114"/>
    </row>
    <row r="1035" spans="1:58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22"/>
      <c r="AL1035" s="122"/>
      <c r="AM1035" s="122"/>
      <c r="AN1035" s="115"/>
      <c r="AO1035" s="115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26"/>
      <c r="BC1035" s="15"/>
      <c r="BF1035" s="114"/>
    </row>
    <row r="1036" spans="1:58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22"/>
      <c r="AL1036" s="122"/>
      <c r="AM1036" s="122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26"/>
      <c r="BC1036" s="15"/>
      <c r="BF1036" s="114"/>
    </row>
    <row r="1037" spans="1:58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22"/>
      <c r="AL1037" s="122"/>
      <c r="AM1037" s="122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26"/>
      <c r="BC1037" s="15"/>
      <c r="BF1037" s="114"/>
    </row>
    <row r="1038" spans="1:58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22"/>
      <c r="AL1038" s="122"/>
      <c r="AM1038" s="122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26"/>
      <c r="BC1038" s="15"/>
      <c r="BF1038" s="114"/>
    </row>
    <row r="1039" spans="1:58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22"/>
      <c r="AL1039" s="122"/>
      <c r="AM1039" s="122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26"/>
      <c r="BC1039" s="15"/>
      <c r="BF1039" s="114"/>
    </row>
    <row r="1040" spans="1:58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22"/>
      <c r="AL1040" s="122"/>
      <c r="AM1040" s="122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26"/>
      <c r="BC1040" s="15"/>
      <c r="BF1040" s="114"/>
    </row>
    <row r="1041" spans="1:58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22"/>
      <c r="AL1041" s="122"/>
      <c r="AM1041" s="122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26"/>
      <c r="BC1041" s="105"/>
      <c r="BF1041" s="114"/>
    </row>
    <row r="1042" spans="1:58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22"/>
      <c r="AL1042" s="122"/>
      <c r="AM1042" s="122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26"/>
      <c r="BC1042" s="15"/>
      <c r="BF1042" s="114"/>
    </row>
    <row r="1043" spans="1:58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22"/>
      <c r="AL1043" s="122"/>
      <c r="AM1043" s="122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26"/>
      <c r="BC1043" s="15"/>
      <c r="BF1043" s="114"/>
    </row>
    <row r="1044" spans="1:58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22"/>
      <c r="AL1044" s="122"/>
      <c r="AM1044" s="122"/>
      <c r="AN1044" s="115"/>
      <c r="AO1044" s="115"/>
      <c r="AP1044" s="115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26"/>
      <c r="BC1044" s="13"/>
      <c r="BF1044" s="114"/>
    </row>
    <row r="1045" spans="1:58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22"/>
      <c r="AL1045" s="122"/>
      <c r="AM1045" s="122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7"/>
      <c r="BC1045" s="13"/>
      <c r="BF1045" s="114"/>
    </row>
    <row r="1046" spans="1:58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22"/>
      <c r="AL1046" s="122"/>
      <c r="AM1046" s="122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26"/>
      <c r="BC1046" s="13"/>
      <c r="BF1046" s="114"/>
    </row>
    <row r="1047" spans="1:58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22"/>
      <c r="AL1047" s="122"/>
      <c r="AM1047" s="122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26"/>
      <c r="BC1047" s="13"/>
      <c r="BF1047" s="114"/>
    </row>
    <row r="1048" spans="1:58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22"/>
      <c r="AL1048" s="122"/>
      <c r="AM1048" s="122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26"/>
      <c r="BC1048" s="13"/>
      <c r="BF1048" s="114"/>
    </row>
    <row r="1049" spans="1:58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22"/>
      <c r="AL1049" s="122"/>
      <c r="AM1049" s="122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26"/>
      <c r="BC1049" s="13"/>
      <c r="BF1049" s="114"/>
    </row>
    <row r="1050" spans="1:58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22"/>
      <c r="AL1050" s="122"/>
      <c r="AM1050" s="122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26"/>
      <c r="BC1050" s="13"/>
      <c r="BF1050" s="114"/>
    </row>
    <row r="1051" spans="1:58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22"/>
      <c r="AL1051" s="122"/>
      <c r="AM1051" s="122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26"/>
      <c r="BC1051" s="13"/>
      <c r="BF1051" s="114"/>
    </row>
    <row r="1052" spans="1:58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22"/>
      <c r="AL1052" s="122"/>
      <c r="AM1052" s="122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7"/>
      <c r="BC1052" s="13"/>
      <c r="BF1052" s="114"/>
    </row>
    <row r="1053" spans="1:58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22"/>
      <c r="AL1053" s="122"/>
      <c r="AM1053" s="122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26"/>
      <c r="BC1053" s="13"/>
      <c r="BF1053" s="114"/>
    </row>
    <row r="1054" spans="1:58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22"/>
      <c r="AL1054" s="122"/>
      <c r="AM1054" s="122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26"/>
      <c r="BC1054" s="13"/>
      <c r="BF1054" s="114"/>
    </row>
    <row r="1055" spans="1:58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22"/>
      <c r="AL1055" s="122"/>
      <c r="AM1055" s="122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26"/>
      <c r="BC1055" s="13"/>
      <c r="BF1055" s="114"/>
    </row>
    <row r="1056" spans="1:58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22"/>
      <c r="AL1056" s="122"/>
      <c r="AM1056" s="122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26"/>
      <c r="BC1056" s="13"/>
      <c r="BF1056" s="114"/>
    </row>
    <row r="1057" spans="1:58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22"/>
      <c r="AL1057" s="122"/>
      <c r="AM1057" s="122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26"/>
      <c r="BC1057" s="25"/>
      <c r="BF1057" s="114"/>
    </row>
    <row r="1058" spans="1:58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22"/>
      <c r="AL1058" s="122"/>
      <c r="AM1058" s="122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7"/>
      <c r="BC1058" s="13"/>
      <c r="BF1058" s="114"/>
    </row>
    <row r="1059" spans="1:58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22"/>
      <c r="AL1059" s="122"/>
      <c r="AM1059" s="122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26"/>
      <c r="BC1059" s="15"/>
      <c r="BF1059" s="114"/>
    </row>
    <row r="1060" spans="1:58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22"/>
      <c r="AL1060" s="122"/>
      <c r="AM1060" s="122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26"/>
      <c r="BC1060" s="15"/>
      <c r="BF1060" s="114"/>
    </row>
    <row r="1061" spans="1:58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22"/>
      <c r="AL1061" s="122"/>
      <c r="AM1061" s="122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7"/>
      <c r="BC1061" s="15"/>
      <c r="BF1061" s="114"/>
    </row>
    <row r="1062" spans="1:58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22"/>
      <c r="AL1062" s="122"/>
      <c r="AM1062" s="122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26"/>
      <c r="BC1062" s="15"/>
      <c r="BF1062" s="114"/>
    </row>
    <row r="1063" spans="1:58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22"/>
      <c r="AL1063" s="122"/>
      <c r="AM1063" s="122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26"/>
      <c r="BC1063" s="15"/>
      <c r="BF1063" s="114"/>
    </row>
    <row r="1064" spans="1:58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22"/>
      <c r="AL1064" s="122"/>
      <c r="AM1064" s="122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26"/>
      <c r="BC1064" s="13"/>
      <c r="BF1064" s="114"/>
    </row>
    <row r="1065" spans="1:58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22"/>
      <c r="AL1065" s="122"/>
      <c r="AM1065" s="122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26"/>
      <c r="BC1065" s="13"/>
      <c r="BF1065" s="114"/>
    </row>
    <row r="1066" spans="1:58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22"/>
      <c r="AL1066" s="122"/>
      <c r="AM1066" s="122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26"/>
      <c r="BC1066" s="13"/>
      <c r="BF1066" s="114"/>
    </row>
    <row r="1067" spans="1:58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22"/>
      <c r="AL1067" s="122"/>
      <c r="AM1067" s="122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26"/>
      <c r="BC1067" s="13"/>
      <c r="BF1067" s="114"/>
    </row>
    <row r="1068" spans="1:58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22"/>
      <c r="AL1068" s="122"/>
      <c r="AM1068" s="122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26"/>
      <c r="BC1068" s="13"/>
      <c r="BF1068" s="114"/>
    </row>
    <row r="1069" spans="1:58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22"/>
      <c r="AL1069" s="122"/>
      <c r="AM1069" s="122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26"/>
      <c r="BC1069" s="13"/>
      <c r="BF1069" s="114"/>
    </row>
    <row r="1070" spans="1:58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22"/>
      <c r="AL1070" s="122"/>
      <c r="AM1070" s="122"/>
      <c r="AN1070" s="115"/>
      <c r="AO1070" s="115"/>
      <c r="AP1070" s="115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26"/>
      <c r="BC1070" s="13"/>
      <c r="BF1070" s="114"/>
    </row>
    <row r="1071" spans="1:58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22"/>
      <c r="AL1071" s="122"/>
      <c r="AM1071" s="122"/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26"/>
      <c r="BC1071" s="13"/>
      <c r="BF1071" s="114"/>
    </row>
    <row r="1072" spans="1:58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22"/>
      <c r="AL1072" s="122"/>
      <c r="AM1072" s="122"/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7"/>
      <c r="BC1072" s="13"/>
      <c r="BF1072" s="114"/>
    </row>
    <row r="1073" spans="1:59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22"/>
      <c r="AL1073" s="122"/>
      <c r="AM1073" s="122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26"/>
      <c r="BC1073" s="13"/>
      <c r="BF1073" s="114"/>
    </row>
    <row r="1074" spans="1:59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22"/>
      <c r="AL1074" s="122"/>
      <c r="AM1074" s="122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7"/>
      <c r="BC1074" s="13"/>
      <c r="BF1074" s="114"/>
    </row>
    <row r="1075" spans="1:59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22"/>
      <c r="AL1075" s="122"/>
      <c r="AM1075" s="122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26"/>
      <c r="BC1075" s="13"/>
      <c r="BF1075" s="114"/>
    </row>
    <row r="1076" spans="1:59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22"/>
      <c r="AL1076" s="122"/>
      <c r="AM1076" s="122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26"/>
      <c r="BC1076" s="13"/>
      <c r="BF1076" s="114"/>
    </row>
    <row r="1077" spans="1:59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22"/>
      <c r="AL1077" s="122"/>
      <c r="AM1077" s="122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26"/>
      <c r="BC1077" s="13"/>
      <c r="BF1077" s="114"/>
    </row>
    <row r="1078" spans="1:59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22"/>
      <c r="AL1078" s="122"/>
      <c r="AM1078" s="122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26"/>
      <c r="BC1078" s="15"/>
      <c r="BF1078" s="114"/>
    </row>
    <row r="1079" spans="1:59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22"/>
      <c r="AL1079" s="122"/>
      <c r="AM1079" s="122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26"/>
      <c r="BC1079" s="15"/>
      <c r="BF1079" s="114"/>
    </row>
    <row r="1080" spans="1:59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22"/>
      <c r="AL1080" s="122"/>
      <c r="AM1080" s="122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26"/>
      <c r="BC1080" s="15"/>
      <c r="BF1080" s="114"/>
    </row>
    <row r="1081" spans="1:59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22"/>
      <c r="AL1081" s="122"/>
      <c r="AM1081" s="122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26"/>
      <c r="BC1081" s="13"/>
      <c r="BF1081" s="114"/>
    </row>
    <row r="1082" spans="1:59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22"/>
      <c r="AL1082" s="122"/>
      <c r="AM1082" s="122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26"/>
      <c r="BC1082" s="15"/>
      <c r="BF1082" s="114"/>
    </row>
    <row r="1083" spans="1:59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22"/>
      <c r="AL1083" s="122"/>
      <c r="AM1083" s="122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26"/>
      <c r="BC1083" s="15"/>
      <c r="BF1083" s="114"/>
      <c r="BG1083" s="120"/>
    </row>
    <row r="1084" spans="1:59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22"/>
      <c r="AL1084" s="122"/>
      <c r="AM1084" s="122"/>
      <c r="AN1084" s="115"/>
      <c r="AO1084" s="115"/>
      <c r="AP1084" s="115"/>
      <c r="AQ1084" s="115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26"/>
      <c r="BC1084" s="15"/>
      <c r="BF1084" s="114"/>
      <c r="BG1084" s="120"/>
    </row>
    <row r="1085" spans="1:59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22"/>
      <c r="AL1085" s="122"/>
      <c r="AM1085" s="122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26"/>
      <c r="BC1085" s="15"/>
      <c r="BF1085" s="114"/>
      <c r="BG1085" s="120"/>
    </row>
    <row r="1086" spans="1:59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22"/>
      <c r="AL1086" s="122"/>
      <c r="AM1086" s="122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26"/>
      <c r="BC1086" s="15"/>
      <c r="BF1086" s="114"/>
      <c r="BG1086" s="120"/>
    </row>
    <row r="1087" spans="1:59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22"/>
      <c r="AL1087" s="122"/>
      <c r="AM1087" s="122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26"/>
      <c r="BC1087" s="15"/>
      <c r="BF1087" s="114"/>
      <c r="BG1087" s="120"/>
    </row>
    <row r="1088" spans="1:59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22"/>
      <c r="AL1088" s="122"/>
      <c r="AM1088" s="122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26"/>
      <c r="BC1088" s="15"/>
      <c r="BF1088" s="114"/>
      <c r="BG1088" s="120"/>
    </row>
    <row r="1089" spans="1:59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22"/>
      <c r="AL1089" s="122"/>
      <c r="AM1089" s="122"/>
      <c r="AN1089" s="115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26"/>
      <c r="BC1089" s="15"/>
      <c r="BF1089" s="114"/>
      <c r="BG1089" s="120"/>
    </row>
    <row r="1090" spans="1:59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22"/>
      <c r="AL1090" s="122"/>
      <c r="AM1090" s="122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7"/>
      <c r="BC1090" s="15"/>
      <c r="BF1090" s="114"/>
      <c r="BG1090" s="120"/>
    </row>
    <row r="1091" spans="1:59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22"/>
      <c r="AL1091" s="122"/>
      <c r="AM1091" s="122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115"/>
      <c r="BA1091" s="115"/>
      <c r="BB1091" s="26"/>
      <c r="BC1091" s="15"/>
      <c r="BF1091" s="114"/>
      <c r="BG1091" s="120"/>
    </row>
    <row r="1092" spans="1:59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22"/>
      <c r="AL1092" s="122"/>
      <c r="AM1092" s="122"/>
      <c r="AN1092" s="115"/>
      <c r="AO1092" s="115"/>
      <c r="AP1092" s="115"/>
      <c r="AQ1092" s="115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26"/>
      <c r="BC1092" s="15"/>
      <c r="BF1092" s="114"/>
    </row>
    <row r="1093" spans="1:59" x14ac:dyDescent="0.4">
      <c r="BB1093" s="26"/>
      <c r="BC1093" s="15"/>
      <c r="BF1093" s="114"/>
    </row>
    <row r="1094" spans="1:59" x14ac:dyDescent="0.4"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7"/>
      <c r="BC1094" s="15"/>
      <c r="BF1094" s="114"/>
    </row>
    <row r="1095" spans="1:59" x14ac:dyDescent="0.4"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7"/>
      <c r="BC1095" s="15"/>
      <c r="BF1095" s="114"/>
    </row>
    <row r="1096" spans="1:59" x14ac:dyDescent="0.4">
      <c r="AM1096" s="122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7"/>
      <c r="BC1096" s="15"/>
      <c r="BF1096" s="114"/>
    </row>
    <row r="1097" spans="1:59" x14ac:dyDescent="0.4">
      <c r="AH1097" s="115"/>
      <c r="AI1097" s="115"/>
      <c r="AJ1097" s="115"/>
      <c r="AK1097" s="122"/>
      <c r="AL1097" s="122"/>
      <c r="AM1097" s="122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26"/>
      <c r="BC1097" s="15"/>
      <c r="BF1097" s="114"/>
    </row>
    <row r="1098" spans="1:59" x14ac:dyDescent="0.4">
      <c r="AH1098" s="115"/>
      <c r="AI1098" s="115"/>
      <c r="AJ1098" s="115"/>
      <c r="AK1098" s="122"/>
      <c r="AL1098" s="122"/>
      <c r="AM1098" s="122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7"/>
      <c r="BC1098" s="15"/>
      <c r="BF1098" s="114"/>
    </row>
    <row r="1099" spans="1:59" x14ac:dyDescent="0.4">
      <c r="AG1099" s="115"/>
      <c r="AH1099" s="115"/>
      <c r="AI1099" s="115"/>
      <c r="AJ1099" s="115"/>
      <c r="AK1099" s="122"/>
      <c r="AL1099" s="122"/>
      <c r="AM1099" s="122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26"/>
      <c r="BC1099" s="15"/>
      <c r="BF1099" s="114"/>
    </row>
    <row r="1100" spans="1:59" x14ac:dyDescent="0.4">
      <c r="AG1100" s="115"/>
      <c r="AH1100" s="115"/>
      <c r="AI1100" s="115"/>
      <c r="AJ1100" s="115"/>
      <c r="AK1100" s="122"/>
      <c r="AL1100" s="122"/>
      <c r="AM1100" s="122"/>
      <c r="AN1100" s="115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7"/>
      <c r="BC1100" s="15"/>
      <c r="BF1100" s="114"/>
    </row>
    <row r="1101" spans="1:59" x14ac:dyDescent="0.4">
      <c r="AG1101" s="115"/>
      <c r="AH1101" s="115"/>
      <c r="AI1101" s="115"/>
      <c r="AJ1101" s="115"/>
      <c r="AK1101" s="122"/>
      <c r="AL1101" s="122"/>
      <c r="AM1101" s="122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7"/>
      <c r="BC1101" s="15"/>
      <c r="BF1101" s="114"/>
    </row>
    <row r="1102" spans="1:59" x14ac:dyDescent="0.4">
      <c r="AG1102" s="115"/>
      <c r="AH1102" s="115"/>
      <c r="AI1102" s="115"/>
      <c r="AJ1102" s="115"/>
      <c r="AK1102" s="122"/>
      <c r="AL1102" s="122"/>
      <c r="AM1102" s="122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7"/>
      <c r="BC1102" s="15"/>
      <c r="BF1102" s="114"/>
    </row>
    <row r="1103" spans="1:59" x14ac:dyDescent="0.4">
      <c r="AG1103" s="115"/>
      <c r="AH1103" s="115"/>
      <c r="AI1103" s="115"/>
      <c r="AJ1103" s="115"/>
      <c r="AK1103" s="122"/>
      <c r="AL1103" s="122"/>
      <c r="AM1103" s="122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26"/>
      <c r="BC1103" s="15"/>
      <c r="BF1103" s="114"/>
    </row>
    <row r="1104" spans="1:59" x14ac:dyDescent="0.4">
      <c r="AG1104" s="115"/>
      <c r="AH1104" s="115"/>
      <c r="AI1104" s="115"/>
      <c r="AJ1104" s="115"/>
      <c r="AK1104" s="122"/>
      <c r="AL1104" s="122"/>
      <c r="AM1104" s="122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7"/>
      <c r="BC1104" s="15"/>
      <c r="BF1104" s="114"/>
    </row>
    <row r="1105" spans="1:62" ht="19.5" x14ac:dyDescent="0.4">
      <c r="BB1105" s="26"/>
      <c r="BC1105" s="15"/>
      <c r="BG1105" s="116"/>
      <c r="BH1105" s="116"/>
      <c r="BI1105" s="116"/>
      <c r="BJ1105" s="116"/>
    </row>
    <row r="1106" spans="1:62" ht="19.5" x14ac:dyDescent="0.4">
      <c r="AL1106" s="122"/>
      <c r="AM1106" s="122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7"/>
      <c r="BC1106" s="15"/>
      <c r="BG1106" s="117"/>
      <c r="BH1106" s="116"/>
      <c r="BI1106" s="116"/>
      <c r="BJ1106" s="116"/>
    </row>
    <row r="1107" spans="1:62" ht="19.5" x14ac:dyDescent="0.4">
      <c r="AD1107" s="115"/>
      <c r="AE1107" s="115"/>
      <c r="AF1107" s="115"/>
      <c r="AG1107" s="115"/>
      <c r="AH1107" s="115"/>
      <c r="AI1107" s="115"/>
      <c r="AJ1107" s="115"/>
      <c r="AK1107" s="122"/>
      <c r="AL1107" s="122"/>
      <c r="AM1107" s="122"/>
      <c r="AN1107" s="115"/>
      <c r="AO1107" s="115"/>
      <c r="AP1107" s="115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26"/>
      <c r="BC1107" s="15"/>
      <c r="BG1107" s="117"/>
      <c r="BH1107" s="116"/>
      <c r="BI1107" s="116"/>
      <c r="BJ1107" s="116"/>
    </row>
    <row r="1108" spans="1:62" ht="19.5" x14ac:dyDescent="0.4"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22"/>
      <c r="AL1108" s="122"/>
      <c r="AM1108" s="122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26"/>
      <c r="BC1108" s="13"/>
      <c r="BG1108" s="117"/>
      <c r="BH1108" s="116"/>
      <c r="BI1108" s="116"/>
      <c r="BJ1108" s="116"/>
    </row>
    <row r="1109" spans="1:62" ht="19.5" x14ac:dyDescent="0.4"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22"/>
      <c r="AL1109" s="122"/>
      <c r="AM1109" s="122"/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26"/>
      <c r="BC1109" s="15"/>
      <c r="BG1109" s="117"/>
      <c r="BH1109" s="116"/>
      <c r="BI1109" s="116"/>
      <c r="BJ1109" s="116"/>
    </row>
    <row r="1110" spans="1:62" ht="19.5" x14ac:dyDescent="0.4"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22"/>
      <c r="AL1110" s="122"/>
      <c r="AM1110" s="122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7"/>
      <c r="BC1110" s="15"/>
      <c r="BG1110" s="117"/>
      <c r="BH1110" s="116"/>
      <c r="BI1110" s="116"/>
      <c r="BJ1110" s="116"/>
    </row>
    <row r="1111" spans="1:62" ht="19.5" x14ac:dyDescent="0.4"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22"/>
      <c r="AL1111" s="122"/>
      <c r="AM1111" s="122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26"/>
      <c r="BC1111" s="15"/>
      <c r="BG1111" s="117"/>
      <c r="BH1111" s="116"/>
      <c r="BI1111" s="116"/>
      <c r="BJ1111" s="116"/>
    </row>
    <row r="1112" spans="1:62" ht="19.5" x14ac:dyDescent="0.4"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22"/>
      <c r="AL1112" s="122"/>
      <c r="AM1112" s="122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26"/>
      <c r="BC1112" s="15"/>
      <c r="BG1112" s="117"/>
      <c r="BH1112" s="116"/>
      <c r="BI1112" s="116"/>
      <c r="BJ1112" s="116"/>
    </row>
    <row r="1113" spans="1:62" ht="19.5" x14ac:dyDescent="0.4"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22"/>
      <c r="AL1113" s="122"/>
      <c r="AM1113" s="122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7"/>
      <c r="BC1113" s="15"/>
      <c r="BG1113" s="117"/>
      <c r="BH1113" s="116"/>
      <c r="BI1113" s="116"/>
      <c r="BJ1113" s="116"/>
    </row>
    <row r="1114" spans="1:62" ht="19.5" x14ac:dyDescent="0.4"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22"/>
      <c r="AL1114" s="122"/>
      <c r="AM1114" s="122"/>
      <c r="AN1114" s="115"/>
      <c r="AO1114" s="115"/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26"/>
      <c r="BC1114" s="15"/>
      <c r="BG1114" s="117"/>
      <c r="BH1114" s="116"/>
      <c r="BI1114" s="116"/>
      <c r="BJ1114" s="116"/>
    </row>
    <row r="1115" spans="1:62" ht="19.5" x14ac:dyDescent="0.4">
      <c r="BB1115" s="26"/>
      <c r="BC1115" s="15"/>
      <c r="BG1115" s="117"/>
      <c r="BH1115" s="116"/>
      <c r="BI1115" s="116"/>
      <c r="BJ1115" s="116"/>
    </row>
    <row r="1116" spans="1:62" ht="19.5" x14ac:dyDescent="0.4">
      <c r="AL1116" s="122"/>
      <c r="AM1116" s="122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7"/>
      <c r="BC1116" s="15"/>
      <c r="BG1116" s="117"/>
      <c r="BH1116" s="116"/>
      <c r="BI1116" s="116"/>
      <c r="BJ1116" s="116"/>
    </row>
    <row r="1117" spans="1:62" ht="19.5" x14ac:dyDescent="0.4">
      <c r="AI1117" s="115"/>
      <c r="AJ1117" s="115"/>
      <c r="AK1117" s="122"/>
      <c r="AL1117" s="122"/>
      <c r="AM1117" s="122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26"/>
      <c r="BC1117" s="15"/>
      <c r="BG1117" s="117"/>
      <c r="BH1117" s="116"/>
      <c r="BI1117" s="116"/>
      <c r="BJ1117" s="116"/>
    </row>
    <row r="1118" spans="1:62" ht="19.5" x14ac:dyDescent="0.4">
      <c r="AI1118" s="115"/>
      <c r="AJ1118" s="115"/>
      <c r="AK1118" s="122"/>
      <c r="AL1118" s="122"/>
      <c r="AM1118" s="122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7"/>
      <c r="BC1118" s="15"/>
      <c r="BG1118" s="117"/>
      <c r="BH1118" s="116"/>
      <c r="BI1118" s="116"/>
      <c r="BJ1118" s="116"/>
    </row>
    <row r="1119" spans="1:62" ht="19.5" x14ac:dyDescent="0.4">
      <c r="AH1119" s="115"/>
      <c r="AI1119" s="115"/>
      <c r="AJ1119" s="115"/>
      <c r="AK1119" s="122"/>
      <c r="AL1119" s="122"/>
      <c r="AM1119" s="122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26"/>
      <c r="BC1119" s="15"/>
      <c r="BG1119" s="117"/>
      <c r="BH1119" s="116"/>
      <c r="BI1119" s="116"/>
      <c r="BJ1119" s="116"/>
    </row>
    <row r="1120" spans="1:62" ht="19.5" x14ac:dyDescent="0.4">
      <c r="A1120" s="115"/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22"/>
      <c r="AL1120" s="122"/>
      <c r="AM1120" s="122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26"/>
      <c r="BC1120" s="15"/>
      <c r="BG1120" s="117"/>
      <c r="BH1120" s="116"/>
      <c r="BI1120" s="116"/>
      <c r="BJ1120" s="116"/>
    </row>
    <row r="1121" spans="1:62" ht="19.5" x14ac:dyDescent="0.4">
      <c r="A1121" s="115"/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22"/>
      <c r="AL1121" s="122"/>
      <c r="AM1121" s="122"/>
      <c r="AN1121" s="115"/>
      <c r="AO1121" s="115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26"/>
      <c r="BC1121" s="15"/>
      <c r="BG1121" s="117"/>
      <c r="BH1121" s="116"/>
      <c r="BI1121" s="116"/>
      <c r="BJ1121" s="116"/>
    </row>
    <row r="1122" spans="1:62" ht="19.5" x14ac:dyDescent="0.4">
      <c r="A1122" s="115"/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22"/>
      <c r="AL1122" s="122"/>
      <c r="AM1122" s="122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26"/>
      <c r="BC1122" s="15"/>
      <c r="BG1122" s="117"/>
      <c r="BH1122" s="116"/>
      <c r="BI1122" s="116"/>
      <c r="BJ1122" s="116"/>
    </row>
    <row r="1123" spans="1:62" ht="19.5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22"/>
      <c r="AL1123" s="122"/>
      <c r="AM1123" s="122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26"/>
      <c r="BC1123" s="105"/>
      <c r="BG1123" s="117"/>
      <c r="BH1123" s="116"/>
      <c r="BI1123" s="116"/>
      <c r="BJ1123" s="116"/>
    </row>
    <row r="1124" spans="1:62" ht="19.5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22"/>
      <c r="AL1124" s="122"/>
      <c r="AM1124" s="122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26"/>
      <c r="BC1124" s="105"/>
      <c r="BG1124" s="117"/>
      <c r="BH1124" s="116"/>
      <c r="BI1124" s="116"/>
      <c r="BJ1124" s="116"/>
    </row>
    <row r="1125" spans="1:62" ht="19.5" x14ac:dyDescent="0.4">
      <c r="BB1125" s="26"/>
      <c r="BC1125" s="13"/>
      <c r="BG1125" s="117"/>
      <c r="BH1125" s="116"/>
      <c r="BI1125" s="116"/>
      <c r="BJ1125" s="116"/>
    </row>
    <row r="1126" spans="1:62" ht="19.5" x14ac:dyDescent="0.4">
      <c r="AI1126" s="115"/>
      <c r="AJ1126" s="115"/>
      <c r="AK1126" s="122"/>
      <c r="AL1126" s="122"/>
      <c r="AM1126" s="122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26"/>
      <c r="BC1126" s="13"/>
      <c r="BG1126" s="117"/>
      <c r="BH1126" s="116"/>
      <c r="BI1126" s="116"/>
      <c r="BJ1126" s="116"/>
    </row>
    <row r="1127" spans="1:62" ht="19.5" x14ac:dyDescent="0.4">
      <c r="AD1127" s="115"/>
      <c r="AE1127" s="115"/>
      <c r="AF1127" s="115"/>
      <c r="AG1127" s="115"/>
      <c r="AH1127" s="115"/>
      <c r="AI1127" s="115"/>
      <c r="AJ1127" s="115"/>
      <c r="AK1127" s="122"/>
      <c r="AL1127" s="122"/>
      <c r="AM1127" s="122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26"/>
      <c r="BC1127" s="13"/>
      <c r="BG1127" s="117"/>
      <c r="BH1127" s="116"/>
      <c r="BI1127" s="116"/>
      <c r="BJ1127" s="116"/>
    </row>
    <row r="1128" spans="1:62" ht="19.5" x14ac:dyDescent="0.4">
      <c r="BB1128" s="26"/>
      <c r="BC1128" s="13"/>
      <c r="BG1128" s="117"/>
      <c r="BH1128" s="116"/>
      <c r="BI1128" s="116"/>
      <c r="BJ1128" s="116"/>
    </row>
    <row r="1129" spans="1:62" ht="19.5" x14ac:dyDescent="0.4"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22"/>
      <c r="AL1129" s="122"/>
      <c r="AM1129" s="122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26"/>
      <c r="BC1129" s="13"/>
      <c r="BG1129" s="117"/>
      <c r="BH1129" s="116"/>
      <c r="BI1129" s="116"/>
      <c r="BJ1129" s="116"/>
    </row>
    <row r="1130" spans="1:62" ht="19.5" x14ac:dyDescent="0.4"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22"/>
      <c r="AL1130" s="122"/>
      <c r="AM1130" s="122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26"/>
      <c r="BC1130" s="13"/>
      <c r="BG1130" s="117"/>
      <c r="BH1130" s="116"/>
      <c r="BI1130" s="116"/>
      <c r="BJ1130" s="116"/>
    </row>
    <row r="1131" spans="1:62" ht="19.5" x14ac:dyDescent="0.4"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22"/>
      <c r="AL1131" s="122"/>
      <c r="AM1131" s="122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26"/>
      <c r="BC1131" s="13"/>
      <c r="BG1131" s="117"/>
      <c r="BH1131" s="116"/>
      <c r="BI1131" s="116"/>
      <c r="BJ1131" s="116"/>
    </row>
    <row r="1132" spans="1:62" ht="19.5" x14ac:dyDescent="0.4"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22"/>
      <c r="AL1132" s="122"/>
      <c r="AM1132" s="122"/>
      <c r="AN1132" s="115"/>
      <c r="AO1132" s="115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26"/>
      <c r="BC1132" s="13"/>
      <c r="BG1132" s="117"/>
      <c r="BH1132" s="116"/>
      <c r="BI1132" s="116"/>
      <c r="BJ1132" s="116"/>
    </row>
    <row r="1133" spans="1:62" ht="19.5" x14ac:dyDescent="0.4"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22"/>
      <c r="AL1133" s="122"/>
      <c r="AM1133" s="122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26"/>
      <c r="BC1133" s="13"/>
      <c r="BG1133" s="117"/>
      <c r="BH1133" s="116"/>
      <c r="BI1133" s="116"/>
      <c r="BJ1133" s="116"/>
    </row>
    <row r="1134" spans="1:62" ht="19.5" x14ac:dyDescent="0.4"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22"/>
      <c r="AL1134" s="122"/>
      <c r="AM1134" s="122"/>
      <c r="AN1134" s="115"/>
      <c r="AO1134" s="115"/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26"/>
      <c r="BC1134" s="13"/>
      <c r="BG1134" s="117"/>
      <c r="BH1134" s="116"/>
      <c r="BI1134" s="116"/>
      <c r="BJ1134" s="116"/>
    </row>
    <row r="1135" spans="1:62" ht="19.5" x14ac:dyDescent="0.4"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22"/>
      <c r="AL1135" s="122"/>
      <c r="AM1135" s="122"/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26"/>
      <c r="BC1135" s="13"/>
      <c r="BG1135" s="117"/>
      <c r="BH1135" s="116"/>
      <c r="BI1135" s="116"/>
      <c r="BJ1135" s="116"/>
    </row>
    <row r="1136" spans="1:62" ht="19.5" x14ac:dyDescent="0.4"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22"/>
      <c r="AL1136" s="122"/>
      <c r="AM1136" s="122"/>
      <c r="AN1136" s="115"/>
      <c r="AO1136" s="115"/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26"/>
      <c r="BC1136" s="13"/>
      <c r="BG1136" s="117"/>
      <c r="BH1136" s="116"/>
      <c r="BI1136" s="116"/>
      <c r="BJ1136" s="116"/>
    </row>
    <row r="1137" spans="1:62" ht="19.5" x14ac:dyDescent="0.4">
      <c r="BB1137" s="26"/>
      <c r="BC1137" s="15"/>
      <c r="BG1137" s="117"/>
      <c r="BH1137" s="116"/>
      <c r="BI1137" s="116"/>
      <c r="BJ1137" s="116"/>
    </row>
    <row r="1138" spans="1:62" ht="19.5" x14ac:dyDescent="0.4"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22"/>
      <c r="AL1138" s="122"/>
      <c r="AM1138" s="122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26"/>
      <c r="BC1138" s="15"/>
      <c r="BG1138" s="117"/>
      <c r="BH1138" s="116"/>
      <c r="BI1138" s="116"/>
      <c r="BJ1138" s="116"/>
    </row>
    <row r="1139" spans="1:62" ht="19.5" x14ac:dyDescent="0.4"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22"/>
      <c r="AL1139" s="122"/>
      <c r="AM1139" s="122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7"/>
      <c r="BC1139" s="15"/>
      <c r="BG1139" s="117"/>
      <c r="BH1139" s="116"/>
      <c r="BI1139" s="116"/>
      <c r="BJ1139" s="116"/>
    </row>
    <row r="1140" spans="1:62" ht="19.5" x14ac:dyDescent="0.4">
      <c r="BB1140" s="26"/>
      <c r="BC1140" s="15"/>
      <c r="BG1140" s="117"/>
      <c r="BH1140" s="116"/>
      <c r="BI1140" s="116"/>
      <c r="BJ1140" s="116"/>
    </row>
    <row r="1141" spans="1:62" ht="19.5" x14ac:dyDescent="0.4">
      <c r="BB1141" s="26"/>
      <c r="BC1141" s="13"/>
      <c r="BG1141" s="117"/>
      <c r="BH1141" s="116"/>
      <c r="BI1141" s="116"/>
      <c r="BJ1141" s="116"/>
    </row>
    <row r="1142" spans="1:62" ht="19.5" x14ac:dyDescent="0.4">
      <c r="AH1142" s="115"/>
      <c r="AI1142" s="115"/>
      <c r="AJ1142" s="115"/>
      <c r="AK1142" s="122"/>
      <c r="AL1142" s="122"/>
      <c r="AM1142" s="122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26"/>
      <c r="BC1142" s="13"/>
      <c r="BG1142" s="117"/>
      <c r="BH1142" s="116"/>
      <c r="BI1142" s="116"/>
      <c r="BJ1142" s="116"/>
    </row>
    <row r="1143" spans="1:62" ht="19.5" x14ac:dyDescent="0.4"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22"/>
      <c r="AL1143" s="122"/>
      <c r="AM1143" s="122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26"/>
      <c r="BC1143" s="13"/>
      <c r="BG1143" s="117"/>
      <c r="BH1143" s="116"/>
      <c r="BI1143" s="116"/>
      <c r="BJ1143" s="116"/>
    </row>
    <row r="1144" spans="1:62" ht="19.5" x14ac:dyDescent="0.4"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22"/>
      <c r="AL1144" s="122"/>
      <c r="AM1144" s="122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7"/>
      <c r="BC1144" s="13"/>
      <c r="BG1144" s="117"/>
      <c r="BH1144" s="116"/>
      <c r="BI1144" s="116"/>
      <c r="BJ1144" s="116"/>
    </row>
    <row r="1145" spans="1:62" ht="19.5" x14ac:dyDescent="0.4"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22"/>
      <c r="AL1145" s="122"/>
      <c r="AM1145" s="122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26"/>
      <c r="BC1145" s="25"/>
      <c r="BG1145" s="117"/>
      <c r="BH1145" s="116"/>
      <c r="BI1145" s="116"/>
      <c r="BJ1145" s="116"/>
    </row>
    <row r="1146" spans="1:62" ht="19.5" x14ac:dyDescent="0.4"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22"/>
      <c r="AL1146" s="122"/>
      <c r="AM1146" s="122"/>
      <c r="AN1146" s="115"/>
      <c r="AO1146" s="115"/>
      <c r="AP1146" s="115"/>
      <c r="AQ1146" s="115"/>
      <c r="AR1146" s="115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7"/>
      <c r="BC1146" s="13"/>
      <c r="BG1146" s="117"/>
      <c r="BH1146" s="116"/>
      <c r="BI1146" s="116"/>
      <c r="BJ1146" s="116"/>
    </row>
    <row r="1147" spans="1:62" ht="19.5" x14ac:dyDescent="0.4"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22"/>
      <c r="AL1147" s="122"/>
      <c r="AM1147" s="122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26"/>
      <c r="BC1147" s="13"/>
      <c r="BG1147" s="117"/>
      <c r="BH1147" s="116"/>
      <c r="BI1147" s="116"/>
      <c r="BJ1147" s="116"/>
    </row>
    <row r="1148" spans="1:62" ht="19.5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22"/>
      <c r="AL1148" s="122"/>
      <c r="AM1148" s="122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26"/>
      <c r="BC1148" s="13"/>
      <c r="BG1148" s="117"/>
      <c r="BH1148" s="116"/>
      <c r="BI1148" s="116"/>
      <c r="BJ1148" s="116"/>
    </row>
    <row r="1149" spans="1:62" ht="19.5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22"/>
      <c r="AL1149" s="122"/>
      <c r="AM1149" s="122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26"/>
      <c r="BC1149" s="13"/>
      <c r="BG1149" s="117"/>
      <c r="BH1149" s="116"/>
      <c r="BI1149" s="116"/>
      <c r="BJ1149" s="116"/>
    </row>
    <row r="1150" spans="1:62" ht="19.5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22"/>
      <c r="AL1150" s="122"/>
      <c r="AM1150" s="122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26"/>
      <c r="BC1150" s="13"/>
      <c r="BG1150" s="117"/>
      <c r="BH1150" s="116"/>
      <c r="BI1150" s="116"/>
      <c r="BJ1150" s="116"/>
    </row>
    <row r="1151" spans="1:62" ht="19.5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22"/>
      <c r="AL1151" s="122"/>
      <c r="AM1151" s="122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26"/>
      <c r="BC1151" s="13"/>
      <c r="BG1151" s="117"/>
      <c r="BH1151" s="116"/>
      <c r="BI1151" s="116"/>
      <c r="BJ1151" s="116"/>
    </row>
    <row r="1152" spans="1:62" ht="19.5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22"/>
      <c r="AL1152" s="122"/>
      <c r="AM1152" s="122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26"/>
      <c r="BC1152" s="13"/>
      <c r="BG1152" s="117"/>
      <c r="BH1152" s="116"/>
      <c r="BI1152" s="116"/>
      <c r="BJ1152" s="116"/>
    </row>
    <row r="1153" spans="1:62" ht="19.5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22"/>
      <c r="AL1153" s="122"/>
      <c r="AM1153" s="122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26"/>
      <c r="BC1153" s="13"/>
      <c r="BG1153" s="117"/>
      <c r="BH1153" s="116"/>
      <c r="BI1153" s="116"/>
      <c r="BJ1153" s="116"/>
    </row>
    <row r="1154" spans="1:62" ht="19.5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22"/>
      <c r="AL1154" s="122"/>
      <c r="AM1154" s="122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26"/>
      <c r="BC1154" s="13"/>
      <c r="BG1154" s="117"/>
      <c r="BH1154" s="116"/>
      <c r="BI1154" s="116"/>
      <c r="BJ1154" s="116"/>
    </row>
    <row r="1155" spans="1:62" ht="19.5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22"/>
      <c r="AL1155" s="122"/>
      <c r="AM1155" s="122"/>
      <c r="AN1155" s="115"/>
      <c r="AO1155" s="115"/>
      <c r="AP1155" s="115"/>
      <c r="AQ1155" s="115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26"/>
      <c r="BC1155" s="15"/>
      <c r="BG1155" s="117"/>
      <c r="BH1155" s="116"/>
      <c r="BI1155" s="116"/>
      <c r="BJ1155" s="116"/>
    </row>
    <row r="1156" spans="1:62" ht="19.5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22"/>
      <c r="AL1156" s="122"/>
      <c r="AM1156" s="122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26"/>
      <c r="BC1156" s="15"/>
      <c r="BG1156" s="117"/>
      <c r="BH1156" s="116"/>
      <c r="BI1156" s="116"/>
      <c r="BJ1156" s="116"/>
    </row>
    <row r="1157" spans="1:62" ht="19.5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22"/>
      <c r="AL1157" s="122"/>
      <c r="AM1157" s="122"/>
      <c r="AN1157" s="115"/>
      <c r="AO1157" s="115"/>
      <c r="AP1157" s="115"/>
      <c r="AQ1157" s="115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26"/>
      <c r="BC1157" s="15"/>
      <c r="BG1157" s="117"/>
      <c r="BH1157" s="116"/>
      <c r="BI1157" s="116"/>
      <c r="BJ1157" s="116"/>
    </row>
    <row r="1158" spans="1:62" ht="19.5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22"/>
      <c r="AL1158" s="122"/>
      <c r="AM1158" s="122"/>
      <c r="AN1158" s="115"/>
      <c r="AO1158" s="115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26"/>
      <c r="BC1158" s="15"/>
      <c r="BG1158" s="117"/>
      <c r="BH1158" s="116"/>
      <c r="BI1158" s="116"/>
      <c r="BJ1158" s="116"/>
    </row>
    <row r="1159" spans="1:62" ht="19.5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22"/>
      <c r="AL1159" s="122"/>
      <c r="AM1159" s="122"/>
      <c r="AN1159" s="115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26"/>
      <c r="BC1159" s="25"/>
      <c r="BG1159" s="117"/>
      <c r="BH1159" s="116"/>
      <c r="BI1159" s="116"/>
      <c r="BJ1159" s="116"/>
    </row>
    <row r="1160" spans="1:62" ht="19.5" x14ac:dyDescent="0.4">
      <c r="BB1160" s="26"/>
      <c r="BC1160" s="15"/>
      <c r="BG1160" s="117"/>
      <c r="BH1160" s="116"/>
      <c r="BI1160" s="116"/>
      <c r="BJ1160" s="116"/>
    </row>
    <row r="1161" spans="1:62" ht="19.5" x14ac:dyDescent="0.4">
      <c r="AJ1161" s="115"/>
      <c r="AK1161" s="122"/>
      <c r="AL1161" s="122"/>
      <c r="AM1161" s="122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26"/>
      <c r="BC1161" s="15"/>
      <c r="BG1161" s="117"/>
      <c r="BH1161" s="116"/>
      <c r="BI1161" s="116"/>
      <c r="BJ1161" s="116"/>
    </row>
    <row r="1162" spans="1:62" ht="19.5" x14ac:dyDescent="0.4">
      <c r="AH1162" s="115"/>
      <c r="AI1162" s="115"/>
      <c r="AJ1162" s="115"/>
      <c r="AK1162" s="122"/>
      <c r="AL1162" s="122"/>
      <c r="AM1162" s="122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26"/>
      <c r="BC1162" s="15"/>
      <c r="BG1162" s="117"/>
      <c r="BH1162" s="116"/>
      <c r="BI1162" s="116"/>
      <c r="BJ1162" s="116"/>
    </row>
    <row r="1163" spans="1:62" ht="19.5" x14ac:dyDescent="0.4">
      <c r="AH1163" s="115"/>
      <c r="AI1163" s="115"/>
      <c r="AJ1163" s="115"/>
      <c r="AK1163" s="122"/>
      <c r="AL1163" s="122"/>
      <c r="AM1163" s="122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7"/>
      <c r="BC1163" s="15"/>
      <c r="BG1163" s="117"/>
      <c r="BH1163" s="116"/>
      <c r="BI1163" s="116"/>
      <c r="BJ1163" s="116"/>
    </row>
    <row r="1164" spans="1:62" ht="19.5" x14ac:dyDescent="0.4">
      <c r="AE1164" s="115"/>
      <c r="AF1164" s="115"/>
      <c r="AG1164" s="115"/>
      <c r="AH1164" s="115"/>
      <c r="AI1164" s="115"/>
      <c r="AJ1164" s="115"/>
      <c r="AK1164" s="122"/>
      <c r="AL1164" s="122"/>
      <c r="AM1164" s="122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26"/>
      <c r="BC1164" s="15"/>
      <c r="BG1164" s="117"/>
      <c r="BH1164" s="116"/>
      <c r="BI1164" s="116"/>
      <c r="BJ1164" s="116"/>
    </row>
    <row r="1165" spans="1:62" ht="19.5" x14ac:dyDescent="0.4">
      <c r="AE1165" s="115"/>
      <c r="AF1165" s="115"/>
      <c r="AG1165" s="115"/>
      <c r="AH1165" s="115"/>
      <c r="AI1165" s="115"/>
      <c r="AJ1165" s="115"/>
      <c r="AK1165" s="122"/>
      <c r="AL1165" s="122"/>
      <c r="AM1165" s="122"/>
      <c r="AN1165" s="115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7"/>
      <c r="BC1165" s="15"/>
      <c r="BG1165" s="117"/>
      <c r="BH1165" s="116"/>
      <c r="BI1165" s="116"/>
      <c r="BJ1165" s="116"/>
    </row>
    <row r="1166" spans="1:62" ht="19.5" x14ac:dyDescent="0.4">
      <c r="AE1166" s="115"/>
      <c r="AF1166" s="115"/>
      <c r="AG1166" s="115"/>
      <c r="AH1166" s="115"/>
      <c r="AI1166" s="115"/>
      <c r="AJ1166" s="115"/>
      <c r="AK1166" s="122"/>
      <c r="AL1166" s="122"/>
      <c r="AM1166" s="122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26"/>
      <c r="BC1166" s="15"/>
      <c r="BG1166" s="117"/>
      <c r="BH1166" s="116"/>
      <c r="BI1166" s="116"/>
      <c r="BJ1166" s="116"/>
    </row>
    <row r="1167" spans="1:62" ht="19.5" x14ac:dyDescent="0.4">
      <c r="AE1167" s="115"/>
      <c r="AF1167" s="115"/>
      <c r="AG1167" s="115"/>
      <c r="AH1167" s="115"/>
      <c r="AI1167" s="115"/>
      <c r="AJ1167" s="115"/>
      <c r="AK1167" s="122"/>
      <c r="AL1167" s="122"/>
      <c r="AM1167" s="122"/>
      <c r="AN1167" s="115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7"/>
      <c r="BC1167" s="13"/>
      <c r="BG1167" s="117"/>
      <c r="BH1167" s="116"/>
      <c r="BI1167" s="116"/>
      <c r="BJ1167" s="116"/>
    </row>
    <row r="1168" spans="1:62" ht="19.5" x14ac:dyDescent="0.4">
      <c r="AE1168" s="115"/>
      <c r="AF1168" s="115"/>
      <c r="AG1168" s="115"/>
      <c r="AH1168" s="115"/>
      <c r="AI1168" s="115"/>
      <c r="AJ1168" s="115"/>
      <c r="AK1168" s="122"/>
      <c r="AL1168" s="122"/>
      <c r="AM1168" s="122"/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7"/>
      <c r="BC1168" s="13"/>
      <c r="BG1168" s="117"/>
      <c r="BH1168" s="116"/>
      <c r="BI1168" s="116"/>
      <c r="BJ1168" s="116"/>
    </row>
    <row r="1169" spans="1:62" ht="19.5" x14ac:dyDescent="0.4">
      <c r="BB1169" s="26"/>
      <c r="BC1169" s="13"/>
      <c r="BG1169" s="117"/>
      <c r="BH1169" s="116"/>
      <c r="BI1169" s="116"/>
      <c r="BJ1169" s="116"/>
    </row>
    <row r="1170" spans="1:62" ht="19.5" x14ac:dyDescent="0.4">
      <c r="AJ1170" s="115"/>
      <c r="AK1170" s="122"/>
      <c r="AL1170" s="122"/>
      <c r="AM1170" s="122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7"/>
      <c r="BC1170" s="13"/>
      <c r="BG1170" s="117"/>
      <c r="BH1170" s="116"/>
      <c r="BI1170" s="116"/>
      <c r="BJ1170" s="116"/>
    </row>
    <row r="1171" spans="1:62" ht="19.5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22"/>
      <c r="AL1171" s="122"/>
      <c r="AM1171" s="122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26"/>
      <c r="BC1171" s="13"/>
      <c r="BG1171" s="117"/>
      <c r="BH1171" s="116"/>
      <c r="BI1171" s="116"/>
      <c r="BJ1171" s="116"/>
    </row>
    <row r="1172" spans="1:62" ht="19.5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22"/>
      <c r="AL1172" s="122"/>
      <c r="AM1172" s="122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26"/>
      <c r="BC1172" s="13"/>
      <c r="BG1172" s="117"/>
      <c r="BH1172" s="116"/>
      <c r="BI1172" s="116"/>
      <c r="BJ1172" s="116"/>
    </row>
    <row r="1173" spans="1:62" ht="19.5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22"/>
      <c r="AL1173" s="122"/>
      <c r="AM1173" s="122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26"/>
      <c r="BC1173" s="13"/>
      <c r="BG1173" s="117"/>
      <c r="BH1173" s="116"/>
      <c r="BI1173" s="116"/>
      <c r="BJ1173" s="116"/>
    </row>
    <row r="1174" spans="1:62" ht="19.5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22"/>
      <c r="AL1174" s="122"/>
      <c r="AM1174" s="122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26"/>
      <c r="BC1174" s="13"/>
      <c r="BG1174" s="117"/>
      <c r="BH1174" s="116"/>
      <c r="BI1174" s="116"/>
      <c r="BJ1174" s="116"/>
    </row>
    <row r="1175" spans="1:62" ht="19.5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22"/>
      <c r="AL1175" s="122"/>
      <c r="AM1175" s="122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7"/>
      <c r="BC1175" s="13"/>
      <c r="BG1175" s="117"/>
      <c r="BH1175" s="116"/>
      <c r="BI1175" s="116"/>
      <c r="BJ1175" s="116"/>
    </row>
    <row r="1176" spans="1:62" ht="19.5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22"/>
      <c r="AL1176" s="122"/>
      <c r="AM1176" s="122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26"/>
      <c r="BC1176" s="13"/>
      <c r="BG1176" s="117"/>
      <c r="BH1176" s="116"/>
      <c r="BI1176" s="116"/>
      <c r="BJ1176" s="116"/>
    </row>
    <row r="1177" spans="1:62" ht="19.5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22"/>
      <c r="AL1177" s="122"/>
      <c r="AM1177" s="122"/>
      <c r="AN1177" s="115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26"/>
      <c r="BC1177" s="15"/>
      <c r="BG1177" s="117"/>
      <c r="BH1177" s="116"/>
      <c r="BI1177" s="116"/>
      <c r="BJ1177" s="116"/>
    </row>
    <row r="1178" spans="1:62" ht="19.5" x14ac:dyDescent="0.4">
      <c r="BB1178" s="26"/>
      <c r="BC1178" s="15"/>
      <c r="BG1178" s="117"/>
      <c r="BH1178" s="116"/>
      <c r="BI1178" s="116"/>
      <c r="BJ1178" s="116"/>
    </row>
    <row r="1179" spans="1:62" ht="19.5" x14ac:dyDescent="0.4">
      <c r="AI1179" s="115"/>
      <c r="AJ1179" s="115"/>
      <c r="AK1179" s="122"/>
      <c r="AL1179" s="122"/>
      <c r="AM1179" s="122"/>
      <c r="AN1179" s="115"/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26"/>
      <c r="BC1179" s="13"/>
      <c r="BG1179" s="117"/>
      <c r="BH1179" s="116"/>
      <c r="BI1179" s="116"/>
      <c r="BJ1179" s="116"/>
    </row>
    <row r="1180" spans="1:62" ht="19.5" x14ac:dyDescent="0.4">
      <c r="AG1180" s="115"/>
      <c r="AH1180" s="115"/>
      <c r="AI1180" s="115"/>
      <c r="AJ1180" s="115"/>
      <c r="AK1180" s="122"/>
      <c r="AL1180" s="122"/>
      <c r="AM1180" s="122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26"/>
      <c r="BC1180" s="15"/>
      <c r="BG1180" s="117"/>
      <c r="BH1180" s="116"/>
      <c r="BI1180" s="116"/>
      <c r="BJ1180" s="116"/>
    </row>
    <row r="1181" spans="1:62" ht="19.5" x14ac:dyDescent="0.4">
      <c r="AG1181" s="115"/>
      <c r="AH1181" s="115"/>
      <c r="AI1181" s="115"/>
      <c r="AJ1181" s="115"/>
      <c r="AK1181" s="122"/>
      <c r="AL1181" s="122"/>
      <c r="AM1181" s="122"/>
      <c r="AN1181" s="115"/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26"/>
      <c r="BC1181" s="15"/>
      <c r="BG1181" s="117"/>
      <c r="BH1181" s="116"/>
      <c r="BI1181" s="116"/>
      <c r="BJ1181" s="116"/>
    </row>
    <row r="1182" spans="1:62" ht="19.5" x14ac:dyDescent="0.4">
      <c r="AG1182" s="115"/>
      <c r="AH1182" s="115"/>
      <c r="AI1182" s="115"/>
      <c r="AJ1182" s="115"/>
      <c r="AK1182" s="122"/>
      <c r="AL1182" s="122"/>
      <c r="AM1182" s="122"/>
      <c r="AN1182" s="115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7"/>
      <c r="BC1182" s="15"/>
      <c r="BG1182" s="117"/>
      <c r="BH1182" s="116"/>
      <c r="BI1182" s="116"/>
      <c r="BJ1182" s="116"/>
    </row>
    <row r="1183" spans="1:62" ht="19.5" x14ac:dyDescent="0.4">
      <c r="AF1183" s="115"/>
      <c r="AG1183" s="115"/>
      <c r="AH1183" s="115"/>
      <c r="AI1183" s="115"/>
      <c r="AJ1183" s="115"/>
      <c r="AK1183" s="122"/>
      <c r="AL1183" s="122"/>
      <c r="AM1183" s="122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26"/>
      <c r="BC1183" s="15"/>
      <c r="BG1183" s="117"/>
      <c r="BH1183" s="116"/>
      <c r="BI1183" s="116"/>
      <c r="BJ1183" s="116"/>
    </row>
    <row r="1184" spans="1:62" ht="19.5" x14ac:dyDescent="0.4">
      <c r="AF1184" s="115"/>
      <c r="AG1184" s="115"/>
      <c r="AH1184" s="115"/>
      <c r="AI1184" s="115"/>
      <c r="AJ1184" s="115"/>
      <c r="AK1184" s="122"/>
      <c r="AL1184" s="122"/>
      <c r="AM1184" s="122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26"/>
      <c r="BC1184" s="15"/>
      <c r="BG1184" s="117"/>
      <c r="BH1184" s="116"/>
      <c r="BI1184" s="116"/>
      <c r="BJ1184" s="116"/>
    </row>
    <row r="1185" spans="1:62" ht="19.5" x14ac:dyDescent="0.4">
      <c r="AF1185" s="115"/>
      <c r="AG1185" s="115"/>
      <c r="AH1185" s="115"/>
      <c r="AI1185" s="115"/>
      <c r="AJ1185" s="115"/>
      <c r="AK1185" s="122"/>
      <c r="AL1185" s="122"/>
      <c r="AM1185" s="122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26"/>
      <c r="BC1185" s="105"/>
      <c r="BG1185" s="117"/>
      <c r="BH1185" s="116"/>
      <c r="BI1185" s="116"/>
      <c r="BJ1185" s="116"/>
    </row>
    <row r="1186" spans="1:62" ht="19.5" x14ac:dyDescent="0.4">
      <c r="AF1186" s="115"/>
      <c r="AG1186" s="115"/>
      <c r="AH1186" s="115"/>
      <c r="AI1186" s="115"/>
      <c r="AJ1186" s="115"/>
      <c r="AK1186" s="122"/>
      <c r="AL1186" s="122"/>
      <c r="AM1186" s="122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7"/>
      <c r="BC1186" s="15"/>
      <c r="BG1186" s="117"/>
      <c r="BH1186" s="116"/>
      <c r="BI1186" s="116"/>
      <c r="BJ1186" s="116"/>
    </row>
    <row r="1187" spans="1:62" ht="19.5" x14ac:dyDescent="0.4">
      <c r="AF1187" s="115"/>
      <c r="AG1187" s="115"/>
      <c r="AH1187" s="115"/>
      <c r="AI1187" s="115"/>
      <c r="AJ1187" s="115"/>
      <c r="AK1187" s="122"/>
      <c r="AL1187" s="122"/>
      <c r="AM1187" s="122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26"/>
      <c r="BC1187" s="15"/>
      <c r="BG1187" s="117"/>
      <c r="BH1187" s="116"/>
      <c r="BI1187" s="116"/>
      <c r="BJ1187" s="116"/>
    </row>
    <row r="1188" spans="1:62" ht="19.5" x14ac:dyDescent="0.4">
      <c r="AF1188" s="115"/>
      <c r="AG1188" s="115"/>
      <c r="AH1188" s="115"/>
      <c r="AI1188" s="115"/>
      <c r="AJ1188" s="115"/>
      <c r="AK1188" s="122"/>
      <c r="AL1188" s="122"/>
      <c r="AM1188" s="122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7"/>
      <c r="BC1188" s="15"/>
      <c r="BG1188" s="117"/>
      <c r="BH1188" s="116"/>
      <c r="BI1188" s="116"/>
      <c r="BJ1188" s="116"/>
    </row>
    <row r="1189" spans="1:62" ht="19.5" x14ac:dyDescent="0.4"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22"/>
      <c r="AL1189" s="122"/>
      <c r="AM1189" s="122"/>
      <c r="AN1189" s="115"/>
      <c r="AO1189" s="115"/>
      <c r="AP1189" s="115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26"/>
      <c r="BC1189" s="15"/>
      <c r="BG1189" s="117"/>
      <c r="BH1189" s="116"/>
      <c r="BI1189" s="116"/>
      <c r="BJ1189" s="116"/>
    </row>
    <row r="1190" spans="1:62" ht="19.5" x14ac:dyDescent="0.4"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22"/>
      <c r="AL1190" s="122"/>
      <c r="AM1190" s="122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7"/>
      <c r="BC1190" s="15"/>
      <c r="BG1190" s="117"/>
      <c r="BH1190" s="116"/>
      <c r="BI1190" s="116"/>
      <c r="BJ1190" s="116"/>
    </row>
    <row r="1191" spans="1:62" ht="19.5" x14ac:dyDescent="0.4"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22"/>
      <c r="AL1191" s="122"/>
      <c r="AM1191" s="122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26"/>
      <c r="BC1191" s="15"/>
      <c r="BG1191" s="117"/>
      <c r="BH1191" s="116"/>
      <c r="BI1191" s="116"/>
      <c r="BJ1191" s="116"/>
    </row>
    <row r="1192" spans="1:62" ht="19.5" x14ac:dyDescent="0.4"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22"/>
      <c r="AL1192" s="122"/>
      <c r="AM1192" s="122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7"/>
      <c r="BC1192" s="15"/>
      <c r="BG1192" s="117"/>
      <c r="BH1192" s="116"/>
      <c r="BI1192" s="116"/>
      <c r="BJ1192" s="116"/>
    </row>
    <row r="1193" spans="1:62" ht="19.5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22"/>
      <c r="AL1193" s="122"/>
      <c r="AM1193" s="122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26"/>
      <c r="BC1193" s="15"/>
      <c r="BG1193" s="117"/>
      <c r="BH1193" s="116"/>
      <c r="BI1193" s="116"/>
      <c r="BJ1193" s="116"/>
    </row>
    <row r="1194" spans="1:62" ht="19.5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22"/>
      <c r="AL1194" s="122"/>
      <c r="AM1194" s="122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26"/>
      <c r="BC1194" s="15"/>
      <c r="BG1194" s="117"/>
      <c r="BH1194" s="116"/>
      <c r="BI1194" s="116"/>
      <c r="BJ1194" s="116"/>
    </row>
    <row r="1195" spans="1:62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22"/>
      <c r="AL1195" s="122"/>
      <c r="AM1195" s="122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26"/>
      <c r="BC1195" s="15"/>
      <c r="BG1195" s="117"/>
      <c r="BH1195" s="116"/>
      <c r="BI1195" s="116"/>
      <c r="BJ1195" s="116"/>
    </row>
    <row r="1196" spans="1:62" ht="19.5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22"/>
      <c r="AL1196" s="122"/>
      <c r="AM1196" s="122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26"/>
      <c r="BC1196" s="15"/>
      <c r="BG1196" s="117"/>
      <c r="BH1196" s="116"/>
      <c r="BI1196" s="116"/>
      <c r="BJ1196" s="116"/>
    </row>
    <row r="1197" spans="1:62" ht="19.5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22"/>
      <c r="AL1197" s="122"/>
      <c r="AM1197" s="122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26"/>
      <c r="BC1197" s="15"/>
      <c r="BG1197" s="117"/>
      <c r="BH1197" s="116"/>
      <c r="BI1197" s="116"/>
      <c r="BJ1197" s="116"/>
    </row>
    <row r="1198" spans="1:62" ht="19.5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22"/>
      <c r="AL1198" s="122"/>
      <c r="AM1198" s="122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26"/>
      <c r="BC1198" s="15"/>
      <c r="BG1198" s="117"/>
      <c r="BH1198" s="116"/>
      <c r="BI1198" s="116"/>
      <c r="BJ1198" s="116"/>
    </row>
    <row r="1199" spans="1:62" ht="19.5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22"/>
      <c r="AL1199" s="122"/>
      <c r="AM1199" s="122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7"/>
      <c r="BC1199" s="15"/>
      <c r="BG1199" s="117"/>
      <c r="BH1199" s="116"/>
      <c r="BI1199" s="116"/>
      <c r="BJ1199" s="116"/>
    </row>
    <row r="1200" spans="1:62" ht="19.5" x14ac:dyDescent="0.4">
      <c r="A1200" s="115"/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22"/>
      <c r="AL1200" s="122"/>
      <c r="AM1200" s="122"/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26"/>
      <c r="BC1200" s="15"/>
      <c r="BG1200" s="117"/>
      <c r="BH1200" s="116"/>
      <c r="BI1200" s="116"/>
      <c r="BJ1200" s="116"/>
    </row>
    <row r="1201" spans="1:62" ht="19.5" x14ac:dyDescent="0.4">
      <c r="A1201" s="115"/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22"/>
      <c r="AL1201" s="122"/>
      <c r="AM1201" s="122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7"/>
      <c r="BC1201" s="15"/>
      <c r="BG1201" s="117"/>
      <c r="BH1201" s="116"/>
      <c r="BI1201" s="116"/>
      <c r="BJ1201" s="116"/>
    </row>
    <row r="1202" spans="1:62" ht="19.5" x14ac:dyDescent="0.4">
      <c r="A1202" s="115"/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22"/>
      <c r="AL1202" s="122"/>
      <c r="AM1202" s="122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26"/>
      <c r="BC1202" s="15"/>
      <c r="BG1202" s="117"/>
      <c r="BH1202" s="116"/>
      <c r="BI1202" s="116"/>
      <c r="BJ1202" s="116"/>
    </row>
    <row r="1203" spans="1:62" ht="19.5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22"/>
      <c r="AL1203" s="122"/>
      <c r="AM1203" s="122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20"/>
      <c r="BC1203" s="15"/>
      <c r="BG1203" s="117"/>
      <c r="BH1203" s="116"/>
      <c r="BI1203" s="116"/>
      <c r="BJ1203" s="116"/>
    </row>
    <row r="1204" spans="1:62" ht="19.5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22"/>
      <c r="AL1204" s="122"/>
      <c r="AM1204" s="122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20"/>
      <c r="BC1204" s="15"/>
      <c r="BG1204" s="117"/>
      <c r="BH1204" s="116"/>
      <c r="BI1204" s="116"/>
      <c r="BJ1204" s="116"/>
    </row>
    <row r="1205" spans="1:62" ht="19.5" x14ac:dyDescent="0.4">
      <c r="A1205" s="115"/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22"/>
      <c r="AL1205" s="122"/>
      <c r="AM1205" s="122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20"/>
      <c r="BC1205" s="15"/>
      <c r="BG1205" s="117"/>
      <c r="BH1205" s="116"/>
      <c r="BI1205" s="116"/>
      <c r="BJ1205" s="116"/>
    </row>
    <row r="1206" spans="1:62" ht="19.5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22"/>
      <c r="AL1206" s="122"/>
      <c r="AM1206" s="122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20"/>
      <c r="BC1206" s="15"/>
      <c r="BG1206" s="117"/>
      <c r="BH1206" s="116"/>
      <c r="BI1206" s="116"/>
      <c r="BJ1206" s="116"/>
    </row>
    <row r="1207" spans="1:62" ht="19.5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22"/>
      <c r="AL1207" s="122"/>
      <c r="AM1207" s="122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25"/>
      <c r="BC1207" s="15"/>
      <c r="BG1207" s="117"/>
      <c r="BH1207" s="116"/>
      <c r="BI1207" s="116"/>
      <c r="BJ1207" s="116"/>
    </row>
    <row r="1208" spans="1:62" ht="19.5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22"/>
      <c r="AL1208" s="122"/>
      <c r="AM1208" s="122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3"/>
      <c r="BC1208" s="15"/>
      <c r="BG1208" s="117"/>
      <c r="BH1208" s="116"/>
      <c r="BI1208" s="116"/>
      <c r="BJ1208" s="116"/>
    </row>
    <row r="1209" spans="1:62" ht="19.5" x14ac:dyDescent="0.4">
      <c r="BB1209" s="25"/>
      <c r="BC1209" s="15"/>
      <c r="BG1209" s="117"/>
      <c r="BH1209" s="116"/>
      <c r="BI1209" s="116"/>
      <c r="BJ1209" s="116"/>
    </row>
    <row r="1210" spans="1:62" ht="19.5" x14ac:dyDescent="0.4">
      <c r="AH1210" s="115"/>
      <c r="AI1210" s="115"/>
      <c r="AJ1210" s="115"/>
      <c r="AK1210" s="122"/>
      <c r="AL1210" s="122"/>
      <c r="AM1210" s="122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3"/>
      <c r="BC1210" s="15"/>
      <c r="BG1210" s="117"/>
      <c r="BH1210" s="116"/>
      <c r="BI1210" s="116"/>
      <c r="BJ1210" s="116"/>
    </row>
    <row r="1211" spans="1:62" ht="19.5" x14ac:dyDescent="0.4"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22"/>
      <c r="AL1211" s="122"/>
      <c r="AM1211" s="122"/>
      <c r="AN1211" s="115"/>
      <c r="AO1211" s="115"/>
      <c r="AP1211" s="115"/>
      <c r="AQ1211" s="115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25"/>
      <c r="BC1211" s="15"/>
      <c r="BG1211" s="117"/>
      <c r="BH1211" s="116"/>
      <c r="BI1211" s="116"/>
      <c r="BJ1211" s="116"/>
    </row>
    <row r="1212" spans="1:62" ht="19.5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22"/>
      <c r="AL1212" s="122"/>
      <c r="AM1212" s="122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25"/>
      <c r="BC1212" s="15"/>
      <c r="BG1212" s="117"/>
      <c r="BH1212" s="116"/>
      <c r="BI1212" s="116"/>
      <c r="BJ1212" s="116"/>
    </row>
    <row r="1213" spans="1:62" ht="19.5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22"/>
      <c r="AL1213" s="122"/>
      <c r="AM1213" s="122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3"/>
      <c r="BC1213" s="15"/>
      <c r="BG1213" s="117"/>
      <c r="BH1213" s="116"/>
      <c r="BI1213" s="116"/>
      <c r="BJ1213" s="116"/>
    </row>
    <row r="1214" spans="1:62" ht="19.5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22"/>
      <c r="AL1214" s="122"/>
      <c r="AM1214" s="122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25"/>
      <c r="BC1214" s="15"/>
      <c r="BG1214" s="117"/>
      <c r="BH1214" s="116"/>
      <c r="BI1214" s="116"/>
      <c r="BJ1214" s="116"/>
    </row>
    <row r="1215" spans="1:62" ht="19.5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22"/>
      <c r="AL1215" s="122"/>
      <c r="AM1215" s="122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3"/>
      <c r="BC1215" s="15"/>
      <c r="BG1215" s="117"/>
      <c r="BH1215" s="116"/>
      <c r="BI1215" s="116"/>
      <c r="BJ1215" s="116"/>
    </row>
    <row r="1216" spans="1:62" ht="19.5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22"/>
      <c r="AL1216" s="122"/>
      <c r="AM1216" s="122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25"/>
      <c r="BC1216" s="15"/>
      <c r="BG1216" s="117"/>
      <c r="BH1216" s="116"/>
      <c r="BI1216" s="116"/>
      <c r="BJ1216" s="116"/>
    </row>
    <row r="1217" spans="1:62" ht="19.5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22"/>
      <c r="AL1217" s="122"/>
      <c r="AM1217" s="122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26"/>
      <c r="BC1217" s="15"/>
      <c r="BG1217" s="117"/>
      <c r="BH1217" s="116"/>
      <c r="BI1217" s="116"/>
      <c r="BJ1217" s="116"/>
    </row>
    <row r="1218" spans="1:62" ht="19.5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22"/>
      <c r="AL1218" s="122"/>
      <c r="AM1218" s="122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7"/>
      <c r="BC1218" s="13"/>
      <c r="BG1218" s="117"/>
      <c r="BH1218" s="116"/>
      <c r="BI1218" s="116"/>
      <c r="BJ1218" s="116"/>
    </row>
    <row r="1219" spans="1:62" ht="19.5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22"/>
      <c r="AL1219" s="122"/>
      <c r="AM1219" s="122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26"/>
      <c r="BC1219" s="13"/>
      <c r="BG1219" s="117"/>
      <c r="BH1219" s="116"/>
      <c r="BI1219" s="116"/>
      <c r="BJ1219" s="116"/>
    </row>
    <row r="1220" spans="1:62" ht="19.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22"/>
      <c r="AL1220" s="122"/>
      <c r="AM1220" s="122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7"/>
      <c r="BC1220" s="13"/>
      <c r="BG1220" s="117"/>
      <c r="BH1220" s="116"/>
      <c r="BI1220" s="116"/>
      <c r="BJ1220" s="116"/>
    </row>
    <row r="1221" spans="1:62" ht="19.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22"/>
      <c r="AL1221" s="122"/>
      <c r="AM1221" s="122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26"/>
      <c r="BC1221" s="15"/>
      <c r="BG1221" s="117"/>
      <c r="BH1221" s="116"/>
      <c r="BI1221" s="116"/>
      <c r="BJ1221" s="116"/>
    </row>
    <row r="1222" spans="1:62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22"/>
      <c r="AL1222" s="122"/>
      <c r="AM1222" s="122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7"/>
      <c r="BC1222" s="15"/>
      <c r="BG1222" s="117"/>
      <c r="BH1222" s="116"/>
      <c r="BI1222" s="116"/>
      <c r="BJ1222" s="116"/>
    </row>
    <row r="1223" spans="1:62" ht="19.5" x14ac:dyDescent="0.4">
      <c r="BB1223" s="26"/>
      <c r="BC1223" s="105"/>
      <c r="BG1223" s="117"/>
      <c r="BH1223" s="116"/>
      <c r="BI1223" s="116"/>
      <c r="BJ1223" s="116"/>
    </row>
    <row r="1224" spans="1:62" ht="19.5" x14ac:dyDescent="0.4">
      <c r="AH1224" s="115"/>
      <c r="AI1224" s="115"/>
      <c r="AJ1224" s="115"/>
      <c r="AK1224" s="122"/>
      <c r="AL1224" s="122"/>
      <c r="AM1224" s="122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7"/>
      <c r="BC1224" s="15"/>
      <c r="BG1224" s="117"/>
      <c r="BH1224" s="116"/>
      <c r="BI1224" s="116"/>
      <c r="BJ1224" s="116"/>
    </row>
    <row r="1225" spans="1:62" ht="19.5" x14ac:dyDescent="0.4">
      <c r="AE1225" s="115"/>
      <c r="AF1225" s="115"/>
      <c r="AG1225" s="115"/>
      <c r="AH1225" s="115"/>
      <c r="AI1225" s="115"/>
      <c r="AJ1225" s="115"/>
      <c r="AK1225" s="122"/>
      <c r="AL1225" s="122"/>
      <c r="AM1225" s="122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26"/>
      <c r="BC1225" s="15"/>
      <c r="BG1225" s="117"/>
      <c r="BH1225" s="116"/>
      <c r="BI1225" s="116"/>
      <c r="BJ1225" s="116"/>
    </row>
    <row r="1226" spans="1:62" ht="19.5" x14ac:dyDescent="0.4">
      <c r="AE1226" s="115"/>
      <c r="AF1226" s="115"/>
      <c r="AG1226" s="115"/>
      <c r="AH1226" s="115"/>
      <c r="AI1226" s="115"/>
      <c r="AJ1226" s="115"/>
      <c r="AK1226" s="122"/>
      <c r="AL1226" s="122"/>
      <c r="AM1226" s="122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7"/>
      <c r="BC1226" s="15"/>
      <c r="BG1226" s="117"/>
      <c r="BH1226" s="116"/>
      <c r="BI1226" s="116"/>
      <c r="BJ1226" s="116"/>
    </row>
    <row r="1227" spans="1:62" ht="19.5" x14ac:dyDescent="0.4"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22"/>
      <c r="AL1227" s="122"/>
      <c r="AM1227" s="122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26"/>
      <c r="BC1227" s="15"/>
      <c r="BG1227" s="117"/>
      <c r="BH1227" s="116"/>
      <c r="BI1227" s="116"/>
      <c r="BJ1227" s="116"/>
    </row>
    <row r="1228" spans="1:62" ht="19.5" x14ac:dyDescent="0.4"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22"/>
      <c r="AL1228" s="122"/>
      <c r="AM1228" s="122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7"/>
      <c r="BC1228" s="15"/>
      <c r="BG1228" s="117"/>
      <c r="BH1228" s="116"/>
      <c r="BI1228" s="116"/>
      <c r="BJ1228" s="116"/>
    </row>
    <row r="1229" spans="1:62" ht="19.5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22"/>
      <c r="AL1229" s="122"/>
      <c r="AM1229" s="122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26"/>
      <c r="BC1229" s="15"/>
      <c r="BG1229" s="117"/>
      <c r="BH1229" s="116"/>
      <c r="BI1229" s="116"/>
      <c r="BJ1229" s="116"/>
    </row>
    <row r="1230" spans="1:62" ht="19.5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22"/>
      <c r="AL1230" s="122"/>
      <c r="AM1230" s="122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26"/>
      <c r="BC1230" s="15"/>
      <c r="BG1230" s="117"/>
      <c r="BH1230" s="116"/>
      <c r="BI1230" s="116"/>
      <c r="BJ1230" s="116"/>
    </row>
    <row r="1231" spans="1:62" ht="19.5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22"/>
      <c r="AL1231" s="122"/>
      <c r="AM1231" s="122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7"/>
      <c r="BC1231" s="15"/>
      <c r="BG1231" s="117"/>
      <c r="BH1231" s="116"/>
      <c r="BI1231" s="116"/>
      <c r="BJ1231" s="116"/>
    </row>
    <row r="1232" spans="1:62" ht="19.5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22"/>
      <c r="AL1232" s="122"/>
      <c r="AM1232" s="122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26"/>
      <c r="BC1232" s="15"/>
      <c r="BG1232" s="117"/>
      <c r="BH1232" s="116"/>
      <c r="BI1232" s="116"/>
      <c r="BJ1232" s="116"/>
    </row>
    <row r="1233" spans="1:62" ht="19.5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22"/>
      <c r="AL1233" s="122"/>
      <c r="AM1233" s="122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7"/>
      <c r="BC1233" s="15"/>
      <c r="BG1233" s="117"/>
      <c r="BH1233" s="116"/>
      <c r="BI1233" s="116"/>
      <c r="BJ1233" s="116"/>
    </row>
    <row r="1234" spans="1:62" ht="19.5" x14ac:dyDescent="0.4">
      <c r="BB1234" s="26"/>
      <c r="BC1234" s="15"/>
      <c r="BG1234" s="117"/>
      <c r="BH1234" s="116"/>
      <c r="BI1234" s="116"/>
      <c r="BJ1234" s="116"/>
    </row>
    <row r="1235" spans="1:62" ht="19.5" x14ac:dyDescent="0.4">
      <c r="AH1235" s="115"/>
      <c r="AI1235" s="115"/>
      <c r="AJ1235" s="115"/>
      <c r="AK1235" s="122"/>
      <c r="AL1235" s="122"/>
      <c r="AM1235" s="122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7"/>
      <c r="BC1235" s="15"/>
      <c r="BG1235" s="117"/>
      <c r="BH1235" s="116"/>
      <c r="BI1235" s="116"/>
      <c r="BJ1235" s="116"/>
    </row>
    <row r="1236" spans="1:62" ht="19.5" x14ac:dyDescent="0.4">
      <c r="BB1236" s="26"/>
      <c r="BC1236" s="15"/>
      <c r="BG1236" s="117"/>
      <c r="BH1236" s="116"/>
      <c r="BI1236" s="116"/>
      <c r="BJ1236" s="116"/>
    </row>
    <row r="1237" spans="1:62" ht="19.5" x14ac:dyDescent="0.4">
      <c r="AH1237" s="115"/>
      <c r="AI1237" s="115"/>
      <c r="AJ1237" s="115"/>
      <c r="AK1237" s="122"/>
      <c r="AL1237" s="122"/>
      <c r="AM1237" s="122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7"/>
      <c r="BC1237" s="15"/>
      <c r="BG1237" s="117"/>
      <c r="BH1237" s="116"/>
      <c r="BI1237" s="116"/>
      <c r="BJ1237" s="116"/>
    </row>
    <row r="1238" spans="1:62" ht="19.5" x14ac:dyDescent="0.4">
      <c r="BB1238" s="26"/>
      <c r="BC1238" s="15"/>
      <c r="BG1238" s="117"/>
      <c r="BH1238" s="116"/>
      <c r="BI1238" s="116"/>
      <c r="BJ1238" s="116"/>
    </row>
    <row r="1239" spans="1:62" ht="19.5" x14ac:dyDescent="0.4">
      <c r="AH1239" s="115"/>
      <c r="AI1239" s="115"/>
      <c r="AJ1239" s="115"/>
      <c r="AK1239" s="122"/>
      <c r="AL1239" s="122"/>
      <c r="AM1239" s="122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7"/>
      <c r="BC1239" s="15"/>
      <c r="BG1239" s="117"/>
      <c r="BH1239" s="116"/>
      <c r="BI1239" s="116"/>
      <c r="BJ1239" s="116"/>
    </row>
    <row r="1240" spans="1:62" ht="19.5" x14ac:dyDescent="0.4"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22"/>
      <c r="AL1240" s="122"/>
      <c r="AM1240" s="122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26"/>
      <c r="BC1240" s="15"/>
      <c r="BG1240" s="117"/>
      <c r="BH1240" s="116"/>
      <c r="BI1240" s="116"/>
      <c r="BJ1240" s="116"/>
    </row>
    <row r="1241" spans="1:62" ht="19.5" x14ac:dyDescent="0.4"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22"/>
      <c r="AL1241" s="122"/>
      <c r="AM1241" s="122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7"/>
      <c r="BC1241" s="15"/>
      <c r="BG1241" s="117"/>
      <c r="BH1241" s="116"/>
      <c r="BI1241" s="116"/>
      <c r="BJ1241" s="116"/>
    </row>
    <row r="1242" spans="1:62" ht="19.5" x14ac:dyDescent="0.4"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22"/>
      <c r="AL1242" s="122"/>
      <c r="AM1242" s="122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26"/>
      <c r="BC1242" s="15"/>
      <c r="BG1242" s="117"/>
      <c r="BH1242" s="116"/>
      <c r="BI1242" s="116"/>
      <c r="BJ1242" s="116"/>
    </row>
    <row r="1243" spans="1:62" ht="19.5" x14ac:dyDescent="0.4">
      <c r="BB1243" s="26"/>
      <c r="BC1243" s="15"/>
      <c r="BG1243" s="117"/>
      <c r="BH1243" s="116"/>
      <c r="BI1243" s="116"/>
      <c r="BJ1243" s="116"/>
    </row>
    <row r="1244" spans="1:62" ht="19.5" x14ac:dyDescent="0.4">
      <c r="AH1244" s="115"/>
      <c r="AI1244" s="115"/>
      <c r="AJ1244" s="115"/>
      <c r="AK1244" s="122"/>
      <c r="AL1244" s="122"/>
      <c r="AM1244" s="122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7"/>
      <c r="BC1244" s="15"/>
      <c r="BG1244" s="117"/>
      <c r="BH1244" s="116"/>
      <c r="BI1244" s="116"/>
      <c r="BJ1244" s="116"/>
    </row>
    <row r="1245" spans="1:62" ht="19.5" x14ac:dyDescent="0.4">
      <c r="AF1245" s="115"/>
      <c r="AG1245" s="115"/>
      <c r="AH1245" s="115"/>
      <c r="AI1245" s="115"/>
      <c r="AJ1245" s="115"/>
      <c r="AK1245" s="122"/>
      <c r="AL1245" s="122"/>
      <c r="AM1245" s="122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26"/>
      <c r="BC1245" s="15"/>
      <c r="BG1245" s="117"/>
      <c r="BH1245" s="116"/>
      <c r="BI1245" s="116"/>
      <c r="BJ1245" s="116"/>
    </row>
    <row r="1246" spans="1:62" ht="19.5" x14ac:dyDescent="0.4">
      <c r="AF1246" s="115"/>
      <c r="AG1246" s="115"/>
      <c r="AH1246" s="115"/>
      <c r="AI1246" s="115"/>
      <c r="AJ1246" s="115"/>
      <c r="AK1246" s="122"/>
      <c r="AL1246" s="122"/>
      <c r="AM1246" s="122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7"/>
      <c r="BC1246" s="13"/>
      <c r="BG1246" s="117"/>
      <c r="BH1246" s="116"/>
      <c r="BI1246" s="116"/>
      <c r="BJ1246" s="116"/>
    </row>
    <row r="1247" spans="1:62" ht="19.5" x14ac:dyDescent="0.4">
      <c r="AE1247" s="115"/>
      <c r="AF1247" s="115"/>
      <c r="AG1247" s="115"/>
      <c r="AH1247" s="115"/>
      <c r="AI1247" s="115"/>
      <c r="AJ1247" s="115"/>
      <c r="AK1247" s="122"/>
      <c r="AL1247" s="122"/>
      <c r="AM1247" s="122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26"/>
      <c r="BC1247" s="13"/>
      <c r="BG1247" s="117"/>
      <c r="BH1247" s="116"/>
      <c r="BI1247" s="116"/>
      <c r="BJ1247" s="116"/>
    </row>
    <row r="1248" spans="1:62" ht="19.5" x14ac:dyDescent="0.4">
      <c r="AE1248" s="115"/>
      <c r="AF1248" s="115"/>
      <c r="AG1248" s="115"/>
      <c r="AH1248" s="115"/>
      <c r="AI1248" s="115"/>
      <c r="AJ1248" s="115"/>
      <c r="AK1248" s="122"/>
      <c r="AL1248" s="122"/>
      <c r="AM1248" s="122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7"/>
      <c r="BC1248" s="13"/>
      <c r="BG1248" s="117"/>
      <c r="BH1248" s="116"/>
      <c r="BI1248" s="116"/>
      <c r="BJ1248" s="116"/>
    </row>
    <row r="1249" spans="1:62" ht="19.5" x14ac:dyDescent="0.4"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22"/>
      <c r="AL1249" s="122"/>
      <c r="AM1249" s="122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26"/>
      <c r="BC1249" s="15"/>
      <c r="BG1249" s="117"/>
      <c r="BH1249" s="116"/>
      <c r="BI1249" s="116"/>
      <c r="BJ1249" s="116"/>
    </row>
    <row r="1250" spans="1:62" ht="19.5" x14ac:dyDescent="0.4"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22"/>
      <c r="AL1250" s="122"/>
      <c r="AM1250" s="122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7"/>
      <c r="BC1250" s="15"/>
      <c r="BG1250" s="117"/>
      <c r="BH1250" s="116"/>
      <c r="BI1250" s="116"/>
      <c r="BJ1250" s="116"/>
    </row>
    <row r="1251" spans="1:62" ht="19.5" x14ac:dyDescent="0.4"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22"/>
      <c r="AL1251" s="122"/>
      <c r="AM1251" s="122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26"/>
      <c r="BC1251" s="105"/>
      <c r="BG1251" s="117"/>
      <c r="BH1251" s="116"/>
      <c r="BI1251" s="116"/>
      <c r="BJ1251" s="116"/>
    </row>
    <row r="1252" spans="1:62" ht="19.5" x14ac:dyDescent="0.4"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22"/>
      <c r="AL1252" s="122"/>
      <c r="AM1252" s="122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7"/>
      <c r="BC1252" s="15"/>
      <c r="BG1252" s="117"/>
      <c r="BH1252" s="116"/>
      <c r="BI1252" s="116"/>
      <c r="BJ1252" s="116"/>
    </row>
    <row r="1253" spans="1:62" ht="19.5" x14ac:dyDescent="0.4"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22"/>
      <c r="AL1253" s="122"/>
      <c r="AM1253" s="122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26"/>
      <c r="BC1253" s="15"/>
      <c r="BG1253" s="117"/>
      <c r="BH1253" s="116"/>
      <c r="BI1253" s="116"/>
      <c r="BJ1253" s="116"/>
    </row>
    <row r="1254" spans="1:62" ht="19.5" x14ac:dyDescent="0.4"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22"/>
      <c r="AL1254" s="122"/>
      <c r="AM1254" s="122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26"/>
      <c r="BC1254" s="15"/>
      <c r="BG1254" s="117"/>
      <c r="BH1254" s="116"/>
      <c r="BI1254" s="116"/>
      <c r="BJ1254" s="116"/>
    </row>
    <row r="1255" spans="1:62" ht="19.5" x14ac:dyDescent="0.4">
      <c r="BB1255" s="26"/>
      <c r="BC1255" s="15"/>
      <c r="BG1255" s="117"/>
      <c r="BH1255" s="116"/>
      <c r="BI1255" s="116"/>
      <c r="BJ1255" s="116"/>
    </row>
    <row r="1256" spans="1:62" ht="19.5" x14ac:dyDescent="0.4">
      <c r="AG1256" s="115"/>
      <c r="AH1256" s="115"/>
      <c r="AI1256" s="115"/>
      <c r="AJ1256" s="115"/>
      <c r="AK1256" s="122"/>
      <c r="AL1256" s="122"/>
      <c r="AM1256" s="122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26"/>
      <c r="BC1256" s="15"/>
      <c r="BG1256" s="117"/>
      <c r="BH1256" s="116"/>
      <c r="BI1256" s="116"/>
      <c r="BJ1256" s="116"/>
    </row>
    <row r="1257" spans="1:62" ht="19.5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22"/>
      <c r="AL1257" s="122"/>
      <c r="AM1257" s="122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26"/>
      <c r="BC1257" s="15"/>
      <c r="BG1257" s="117"/>
      <c r="BH1257" s="116"/>
      <c r="BI1257" s="116"/>
      <c r="BJ1257" s="116"/>
    </row>
    <row r="1258" spans="1:62" ht="19.5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22"/>
      <c r="AL1258" s="122"/>
      <c r="AM1258" s="122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26"/>
      <c r="BC1258" s="15"/>
      <c r="BG1258" s="117"/>
      <c r="BH1258" s="116"/>
      <c r="BI1258" s="116"/>
      <c r="BJ1258" s="116"/>
    </row>
    <row r="1259" spans="1:62" ht="19.5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22"/>
      <c r="AL1259" s="122"/>
      <c r="AM1259" s="122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7"/>
      <c r="BC1259" s="15"/>
      <c r="BG1259" s="117"/>
      <c r="BH1259" s="116"/>
      <c r="BI1259" s="116"/>
      <c r="BJ1259" s="116"/>
    </row>
    <row r="1260" spans="1:62" ht="19.5" x14ac:dyDescent="0.4">
      <c r="BB1260" s="26"/>
      <c r="BC1260" s="15"/>
      <c r="BG1260" s="117"/>
      <c r="BH1260" s="116"/>
      <c r="BI1260" s="116"/>
      <c r="BJ1260" s="116"/>
    </row>
    <row r="1261" spans="1:62" ht="19.5" x14ac:dyDescent="0.4">
      <c r="AH1261" s="115"/>
      <c r="AI1261" s="115"/>
      <c r="AJ1261" s="115"/>
      <c r="AK1261" s="122"/>
      <c r="AL1261" s="122"/>
      <c r="AM1261" s="122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7"/>
      <c r="BC1261" s="15"/>
      <c r="BG1261" s="117"/>
      <c r="BH1261" s="116"/>
      <c r="BI1261" s="116"/>
      <c r="BJ1261" s="116"/>
    </row>
    <row r="1262" spans="1:62" ht="19.5" x14ac:dyDescent="0.4">
      <c r="AG1262" s="115"/>
      <c r="AH1262" s="115"/>
      <c r="AI1262" s="115"/>
      <c r="AJ1262" s="115"/>
      <c r="AK1262" s="122"/>
      <c r="AL1262" s="122"/>
      <c r="AM1262" s="122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26"/>
      <c r="BC1262" s="15"/>
      <c r="BG1262" s="117"/>
      <c r="BH1262" s="116"/>
      <c r="BI1262" s="116"/>
      <c r="BJ1262" s="116"/>
    </row>
    <row r="1263" spans="1:62" ht="19.5" x14ac:dyDescent="0.4"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22"/>
      <c r="AL1263" s="122"/>
      <c r="AM1263" s="122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26"/>
      <c r="BC1263" s="15"/>
      <c r="BG1263" s="117"/>
      <c r="BH1263" s="116"/>
      <c r="BI1263" s="116"/>
      <c r="BJ1263" s="116"/>
    </row>
    <row r="1264" spans="1:62" ht="19.5" x14ac:dyDescent="0.4"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22"/>
      <c r="AL1264" s="122"/>
      <c r="AM1264" s="122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26"/>
      <c r="BC1264" s="15"/>
      <c r="BG1264" s="117"/>
      <c r="BH1264" s="116"/>
      <c r="BI1264" s="116"/>
      <c r="BJ1264" s="116"/>
    </row>
    <row r="1265" spans="1:62" ht="19.5" x14ac:dyDescent="0.4"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22"/>
      <c r="AL1265" s="122"/>
      <c r="AM1265" s="122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26"/>
      <c r="BC1265" s="15"/>
      <c r="BG1265" s="117"/>
      <c r="BH1265" s="116"/>
      <c r="BI1265" s="116"/>
      <c r="BJ1265" s="116"/>
    </row>
    <row r="1266" spans="1:62" ht="19.5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22"/>
      <c r="AL1266" s="122"/>
      <c r="AM1266" s="122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26"/>
      <c r="BC1266" s="15"/>
      <c r="BG1266" s="117"/>
      <c r="BH1266" s="116"/>
      <c r="BI1266" s="116"/>
      <c r="BJ1266" s="116"/>
    </row>
    <row r="1267" spans="1:62" ht="19.5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22"/>
      <c r="AL1267" s="122"/>
      <c r="AM1267" s="122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26"/>
      <c r="BC1267" s="15"/>
      <c r="BG1267" s="117"/>
      <c r="BH1267" s="116"/>
      <c r="BI1267" s="116"/>
      <c r="BJ1267" s="116"/>
    </row>
    <row r="1268" spans="1:62" ht="19.5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22"/>
      <c r="AL1268" s="122"/>
      <c r="AM1268" s="122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7"/>
      <c r="BC1268" s="15"/>
      <c r="BG1268" s="117"/>
      <c r="BH1268" s="116"/>
      <c r="BI1268" s="116"/>
      <c r="BJ1268" s="116"/>
    </row>
    <row r="1269" spans="1:62" ht="19.5" x14ac:dyDescent="0.4">
      <c r="BB1269" s="26"/>
      <c r="BC1269" s="15"/>
      <c r="BG1269" s="117"/>
      <c r="BH1269" s="116"/>
      <c r="BI1269" s="116"/>
      <c r="BJ1269" s="116"/>
    </row>
    <row r="1270" spans="1:62" ht="19.5" x14ac:dyDescent="0.4">
      <c r="AH1270" s="115"/>
      <c r="AI1270" s="115"/>
      <c r="AJ1270" s="115"/>
      <c r="AK1270" s="122"/>
      <c r="AL1270" s="122"/>
      <c r="AM1270" s="122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7"/>
      <c r="BC1270" s="13"/>
      <c r="BG1270" s="117"/>
      <c r="BH1270" s="116"/>
      <c r="BI1270" s="116"/>
      <c r="BJ1270" s="116"/>
    </row>
    <row r="1271" spans="1:62" ht="19.5" x14ac:dyDescent="0.4">
      <c r="AH1271" s="115"/>
      <c r="AI1271" s="115"/>
      <c r="AJ1271" s="115"/>
      <c r="AK1271" s="122"/>
      <c r="AL1271" s="122"/>
      <c r="AM1271" s="122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7"/>
      <c r="BC1271" s="13"/>
      <c r="BG1271" s="117"/>
      <c r="BH1271" s="116"/>
      <c r="BI1271" s="116"/>
      <c r="BJ1271" s="116"/>
    </row>
    <row r="1272" spans="1:62" ht="19.5" x14ac:dyDescent="0.4">
      <c r="BB1272" s="26"/>
      <c r="BC1272" s="13"/>
      <c r="BG1272" s="117"/>
      <c r="BH1272" s="116"/>
      <c r="BI1272" s="116"/>
      <c r="BJ1272" s="116"/>
    </row>
    <row r="1273" spans="1:62" ht="19.5" x14ac:dyDescent="0.4">
      <c r="BB1273" s="26"/>
      <c r="BC1273" s="13"/>
      <c r="BG1273" s="116"/>
      <c r="BH1273" s="116"/>
      <c r="BI1273" s="116"/>
      <c r="BJ1273" s="116"/>
    </row>
    <row r="1274" spans="1:62" ht="19.5" x14ac:dyDescent="0.4"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22"/>
      <c r="AL1274" s="122"/>
      <c r="AM1274" s="122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26"/>
      <c r="BC1274" s="13"/>
      <c r="BG1274" s="118"/>
      <c r="BH1274" s="118"/>
      <c r="BI1274" s="118"/>
      <c r="BJ1274" s="118"/>
    </row>
    <row r="1275" spans="1:62" ht="19.5" x14ac:dyDescent="0.4"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22"/>
      <c r="AL1275" s="122"/>
      <c r="AM1275" s="122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115"/>
      <c r="AZ1275" s="115"/>
      <c r="BA1275" s="115"/>
      <c r="BB1275" s="26"/>
      <c r="BC1275" s="13"/>
      <c r="BG1275" s="118"/>
      <c r="BH1275" s="118"/>
      <c r="BI1275" s="118"/>
      <c r="BJ1275" s="118"/>
    </row>
    <row r="1276" spans="1:62" ht="19.5" x14ac:dyDescent="0.4"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22"/>
      <c r="AL1276" s="122"/>
      <c r="AM1276" s="122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26"/>
      <c r="BC1276" s="13"/>
      <c r="BG1276" s="118"/>
      <c r="BH1276" s="118"/>
      <c r="BI1276" s="118"/>
      <c r="BJ1276" s="118"/>
    </row>
    <row r="1277" spans="1:62" ht="19.5" x14ac:dyDescent="0.4"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22"/>
      <c r="AL1277" s="122"/>
      <c r="AM1277" s="122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26"/>
      <c r="BC1277" s="15"/>
      <c r="BG1277" s="118"/>
      <c r="BH1277" s="118"/>
      <c r="BI1277" s="118"/>
      <c r="BJ1277" s="118"/>
    </row>
    <row r="1278" spans="1:62" ht="19.5" x14ac:dyDescent="0.4"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22"/>
      <c r="AL1278" s="122"/>
      <c r="AM1278" s="122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26"/>
      <c r="BC1278" s="15"/>
      <c r="BG1278" s="118"/>
      <c r="BH1278" s="118"/>
      <c r="BI1278" s="118"/>
      <c r="BJ1278" s="118"/>
    </row>
    <row r="1279" spans="1:62" ht="19.5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22"/>
      <c r="AL1279" s="122"/>
      <c r="AM1279" s="122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26"/>
      <c r="BC1279" s="15"/>
      <c r="BG1279" s="118"/>
      <c r="BH1279" s="118"/>
      <c r="BI1279" s="118"/>
      <c r="BJ1279" s="118"/>
    </row>
    <row r="1280" spans="1:62" ht="19.5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22"/>
      <c r="AL1280" s="122"/>
      <c r="AM1280" s="122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115"/>
      <c r="BB1280" s="26"/>
      <c r="BC1280" s="15"/>
      <c r="BG1280" s="118"/>
      <c r="BH1280" s="118"/>
      <c r="BI1280" s="118"/>
      <c r="BJ1280" s="118"/>
    </row>
    <row r="1281" spans="1:62" ht="20.25" customHeight="1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22"/>
      <c r="AL1281" s="122"/>
      <c r="AM1281" s="122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26"/>
      <c r="BC1281" s="15"/>
      <c r="BG1281" s="118"/>
      <c r="BH1281" s="118"/>
      <c r="BI1281" s="118"/>
      <c r="BJ1281" s="118"/>
    </row>
    <row r="1282" spans="1:62" x14ac:dyDescent="0.4">
      <c r="BB1282" s="26"/>
      <c r="BC1282" s="15"/>
    </row>
    <row r="1283" spans="1:62" x14ac:dyDescent="0.4">
      <c r="BB1283" s="26"/>
      <c r="BC1283" s="13"/>
    </row>
    <row r="1284" spans="1:62" x14ac:dyDescent="0.4">
      <c r="AF1284" s="115"/>
      <c r="AG1284" s="115"/>
      <c r="AH1284" s="115"/>
      <c r="AI1284" s="115"/>
      <c r="AJ1284" s="115"/>
      <c r="AK1284" s="122"/>
      <c r="AL1284" s="122"/>
      <c r="AM1284" s="122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26"/>
      <c r="BC1284" s="13"/>
    </row>
    <row r="1285" spans="1:62" x14ac:dyDescent="0.4">
      <c r="AF1285" s="115"/>
      <c r="AG1285" s="115"/>
      <c r="AH1285" s="115"/>
      <c r="AI1285" s="115"/>
      <c r="AJ1285" s="115"/>
      <c r="AK1285" s="122"/>
      <c r="AL1285" s="122"/>
      <c r="AM1285" s="122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7"/>
      <c r="BC1285" s="13"/>
    </row>
    <row r="1286" spans="1:62" x14ac:dyDescent="0.4"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22"/>
      <c r="AL1286" s="122"/>
      <c r="AM1286" s="122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26"/>
      <c r="BC1286" s="13"/>
    </row>
    <row r="1287" spans="1:62" x14ac:dyDescent="0.4"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22"/>
      <c r="AL1287" s="122"/>
      <c r="AM1287" s="122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26"/>
      <c r="BC1287" s="13"/>
    </row>
    <row r="1288" spans="1:62" x14ac:dyDescent="0.4">
      <c r="BB1288" s="26"/>
      <c r="BC1288" s="13"/>
    </row>
    <row r="1289" spans="1:62" x14ac:dyDescent="0.4"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22"/>
      <c r="AL1289" s="122"/>
      <c r="AM1289" s="122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26"/>
      <c r="BC1289" s="13"/>
    </row>
    <row r="1290" spans="1:62" x14ac:dyDescent="0.4"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22"/>
      <c r="AL1290" s="122"/>
      <c r="AM1290" s="122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26"/>
      <c r="BC1290" s="13"/>
    </row>
    <row r="1291" spans="1:62" x14ac:dyDescent="0.4">
      <c r="BB1291" s="26"/>
      <c r="BC1291" s="13"/>
    </row>
    <row r="1292" spans="1:62" x14ac:dyDescent="0.4"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22"/>
      <c r="AL1292" s="122"/>
      <c r="AM1292" s="122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26"/>
      <c r="BC1292" s="13"/>
    </row>
    <row r="1293" spans="1:62" x14ac:dyDescent="0.4">
      <c r="BB1293" s="26"/>
      <c r="BC1293" s="13"/>
    </row>
    <row r="1294" spans="1:62" x14ac:dyDescent="0.4">
      <c r="AE1294" s="115"/>
      <c r="AF1294" s="115"/>
      <c r="AG1294" s="115"/>
      <c r="AH1294" s="115"/>
      <c r="AI1294" s="115"/>
      <c r="AJ1294" s="115"/>
      <c r="AK1294" s="122"/>
      <c r="AL1294" s="122"/>
      <c r="AM1294" s="122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26"/>
      <c r="BC1294" s="13"/>
    </row>
    <row r="1295" spans="1:62" x14ac:dyDescent="0.4">
      <c r="BB1295" s="26"/>
      <c r="BC1295" s="13"/>
    </row>
    <row r="1296" spans="1:62" x14ac:dyDescent="0.4"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22"/>
      <c r="AL1296" s="122"/>
      <c r="AM1296" s="122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15"/>
      <c r="BB1296" s="26"/>
      <c r="BC1296" s="15"/>
    </row>
    <row r="1297" spans="1:55" x14ac:dyDescent="0.4"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22"/>
      <c r="AL1297" s="122"/>
      <c r="AM1297" s="122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26"/>
      <c r="BC1297" s="15"/>
    </row>
    <row r="1298" spans="1:55" x14ac:dyDescent="0.4"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22"/>
      <c r="AL1298" s="122"/>
      <c r="AM1298" s="122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26"/>
      <c r="BC1298" s="15"/>
    </row>
    <row r="1299" spans="1:55" x14ac:dyDescent="0.4">
      <c r="BB1299" s="26"/>
      <c r="BC1299" s="13"/>
    </row>
    <row r="1300" spans="1:5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22"/>
      <c r="AL1300" s="122"/>
      <c r="AM1300" s="122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26"/>
      <c r="BC1300" s="15"/>
    </row>
    <row r="1301" spans="1:55" x14ac:dyDescent="0.4">
      <c r="BB1301" s="26"/>
      <c r="BC1301" s="15"/>
    </row>
    <row r="1302" spans="1:55" x14ac:dyDescent="0.4">
      <c r="BB1302" s="26"/>
      <c r="BC1302" s="15"/>
    </row>
    <row r="1303" spans="1:55" x14ac:dyDescent="0.4"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22"/>
      <c r="AL1303" s="122"/>
      <c r="AM1303" s="122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26"/>
      <c r="BC1303" s="15"/>
    </row>
    <row r="1304" spans="1:55" x14ac:dyDescent="0.4"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22"/>
      <c r="AL1304" s="122"/>
      <c r="AM1304" s="122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26"/>
      <c r="BC1304" s="15"/>
    </row>
    <row r="1305" spans="1:55" x14ac:dyDescent="0.4">
      <c r="BB1305" s="26"/>
      <c r="BC1305" s="15"/>
    </row>
    <row r="1306" spans="1:55" x14ac:dyDescent="0.4">
      <c r="AD1306" s="115"/>
      <c r="AE1306" s="115"/>
      <c r="AF1306" s="115"/>
      <c r="AG1306" s="115"/>
      <c r="AH1306" s="115"/>
      <c r="AI1306" s="115"/>
      <c r="AJ1306" s="115"/>
      <c r="AK1306" s="122"/>
      <c r="AL1306" s="122"/>
      <c r="AM1306" s="122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26"/>
      <c r="BC1306" s="15"/>
    </row>
    <row r="1307" spans="1:55" x14ac:dyDescent="0.4"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22"/>
      <c r="AL1307" s="122"/>
      <c r="AM1307" s="122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26"/>
      <c r="BC1307" s="15"/>
    </row>
    <row r="1308" spans="1:55" x14ac:dyDescent="0.4"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22"/>
      <c r="AL1308" s="122"/>
      <c r="AM1308" s="122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26"/>
      <c r="BC1308" s="15"/>
    </row>
    <row r="1309" spans="1:55" x14ac:dyDescent="0.4"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22"/>
      <c r="AL1309" s="122"/>
      <c r="AM1309" s="122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26"/>
      <c r="BC1309" s="15"/>
    </row>
    <row r="1310" spans="1:55" x14ac:dyDescent="0.4"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22"/>
      <c r="AL1310" s="122"/>
      <c r="AM1310" s="122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26"/>
      <c r="BC1310" s="15"/>
    </row>
    <row r="1311" spans="1:55" x14ac:dyDescent="0.4">
      <c r="BB1311" s="26"/>
      <c r="BC1311" s="15"/>
    </row>
    <row r="1312" spans="1:55" x14ac:dyDescent="0.4">
      <c r="AG1312" s="115"/>
      <c r="AH1312" s="115"/>
      <c r="AI1312" s="115"/>
      <c r="AJ1312" s="115"/>
      <c r="AK1312" s="122"/>
      <c r="AL1312" s="122"/>
      <c r="AM1312" s="122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7"/>
      <c r="BC1312" s="15"/>
    </row>
    <row r="1313" spans="1:55" x14ac:dyDescent="0.4">
      <c r="BB1313" s="26"/>
      <c r="BC1313" s="15"/>
    </row>
    <row r="1314" spans="1:55" x14ac:dyDescent="0.4">
      <c r="AE1314" s="115"/>
      <c r="AF1314" s="115"/>
      <c r="AG1314" s="115"/>
      <c r="AH1314" s="115"/>
      <c r="AI1314" s="115"/>
      <c r="AJ1314" s="115"/>
      <c r="AK1314" s="122"/>
      <c r="AL1314" s="122"/>
      <c r="AM1314" s="122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26"/>
      <c r="BC1314" s="15"/>
    </row>
    <row r="1315" spans="1:55" x14ac:dyDescent="0.4">
      <c r="BB1315" s="26"/>
      <c r="BC1315" s="15"/>
    </row>
    <row r="1316" spans="1:55" x14ac:dyDescent="0.4">
      <c r="BB1316" s="26"/>
      <c r="BC1316" s="15"/>
    </row>
    <row r="1317" spans="1:55" x14ac:dyDescent="0.4"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22"/>
      <c r="AL1317" s="122"/>
      <c r="AM1317" s="122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26"/>
      <c r="BC1317" s="15"/>
    </row>
    <row r="1318" spans="1:55" x14ac:dyDescent="0.4"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22"/>
      <c r="AL1318" s="122"/>
      <c r="AM1318" s="122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26"/>
      <c r="BC1318" s="15"/>
    </row>
    <row r="1319" spans="1:55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22"/>
      <c r="AL1319" s="122"/>
      <c r="AM1319" s="122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26"/>
      <c r="BC1319" s="15"/>
    </row>
    <row r="1320" spans="1:55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22"/>
      <c r="AL1320" s="122"/>
      <c r="AM1320" s="122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26"/>
      <c r="BC1320" s="15"/>
    </row>
    <row r="1321" spans="1:55" x14ac:dyDescent="0.4">
      <c r="BB1321" s="26"/>
      <c r="BC1321" s="15"/>
    </row>
    <row r="1322" spans="1:55" x14ac:dyDescent="0.4">
      <c r="AG1322" s="115"/>
      <c r="AH1322" s="115"/>
      <c r="AI1322" s="115"/>
      <c r="AJ1322" s="115"/>
      <c r="AK1322" s="122"/>
      <c r="AL1322" s="122"/>
      <c r="AM1322" s="122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7"/>
      <c r="BC1322" s="15"/>
    </row>
    <row r="1323" spans="1:55" x14ac:dyDescent="0.4">
      <c r="BB1323" s="26"/>
      <c r="BC1323" s="15"/>
    </row>
    <row r="1324" spans="1:55" x14ac:dyDescent="0.4"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22"/>
      <c r="AL1324" s="122"/>
      <c r="AM1324" s="122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26"/>
      <c r="BC1324" s="15"/>
    </row>
    <row r="1325" spans="1:55" x14ac:dyDescent="0.4"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22"/>
      <c r="AL1325" s="122"/>
      <c r="AM1325" s="122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26"/>
      <c r="BC1325" s="15"/>
    </row>
    <row r="1326" spans="1:55" x14ac:dyDescent="0.4"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22"/>
      <c r="AL1326" s="122"/>
      <c r="AM1326" s="122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7"/>
      <c r="BC1326" s="15"/>
    </row>
    <row r="1327" spans="1:55" x14ac:dyDescent="0.4">
      <c r="BB1327" s="26"/>
      <c r="BC1327" s="15"/>
    </row>
    <row r="1328" spans="1:55" x14ac:dyDescent="0.4"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22"/>
      <c r="AL1328" s="122"/>
      <c r="AM1328" s="122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26"/>
      <c r="BC1328" s="15"/>
    </row>
    <row r="1329" spans="3:55" x14ac:dyDescent="0.4"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22"/>
      <c r="AL1329" s="122"/>
      <c r="AM1329" s="122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7"/>
      <c r="BC1329" s="15"/>
    </row>
    <row r="1330" spans="3:55" x14ac:dyDescent="0.4">
      <c r="BB1330" s="26"/>
      <c r="BC1330" s="15"/>
    </row>
    <row r="1331" spans="3:55" x14ac:dyDescent="0.4">
      <c r="AG1331" s="115"/>
      <c r="AH1331" s="115"/>
      <c r="AI1331" s="115"/>
      <c r="AJ1331" s="115"/>
      <c r="AK1331" s="122"/>
      <c r="AL1331" s="122"/>
      <c r="AM1331" s="122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7"/>
      <c r="BC1331" s="15"/>
    </row>
    <row r="1332" spans="3:55" x14ac:dyDescent="0.4"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22"/>
      <c r="AL1332" s="122"/>
      <c r="AM1332" s="122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26"/>
      <c r="BC1332" s="15"/>
    </row>
    <row r="1333" spans="3:55" x14ac:dyDescent="0.4"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22"/>
      <c r="AL1333" s="122"/>
      <c r="AM1333" s="122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7"/>
      <c r="BC1333" s="15"/>
    </row>
    <row r="1334" spans="3:55" x14ac:dyDescent="0.4">
      <c r="BB1334" s="26"/>
      <c r="BC1334" s="15"/>
    </row>
    <row r="1335" spans="3:55" x14ac:dyDescent="0.4">
      <c r="BB1335" s="26"/>
      <c r="BC1335" s="15"/>
    </row>
    <row r="1336" spans="3:55" x14ac:dyDescent="0.4">
      <c r="AF1336" s="115"/>
      <c r="AG1336" s="115"/>
      <c r="AH1336" s="115"/>
      <c r="AI1336" s="115"/>
      <c r="AJ1336" s="115"/>
      <c r="AK1336" s="122"/>
      <c r="AL1336" s="122"/>
      <c r="AM1336" s="122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15"/>
      <c r="AY1336" s="115"/>
      <c r="AZ1336" s="115"/>
      <c r="BA1336" s="115"/>
      <c r="BB1336" s="26"/>
      <c r="BC1336" s="15"/>
    </row>
    <row r="1337" spans="3:55" x14ac:dyDescent="0.4">
      <c r="AD1337" s="115"/>
      <c r="AE1337" s="115"/>
      <c r="AF1337" s="115"/>
      <c r="AG1337" s="115"/>
      <c r="AH1337" s="115"/>
      <c r="AI1337" s="115"/>
      <c r="AJ1337" s="115"/>
      <c r="AK1337" s="122"/>
      <c r="AL1337" s="122"/>
      <c r="AM1337" s="122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26"/>
      <c r="BC1337" s="15"/>
    </row>
    <row r="1338" spans="3:55" x14ac:dyDescent="0.4">
      <c r="AD1338" s="115"/>
      <c r="AE1338" s="115"/>
      <c r="AF1338" s="115"/>
      <c r="AG1338" s="115"/>
      <c r="AH1338" s="115"/>
      <c r="AI1338" s="115"/>
      <c r="AJ1338" s="115"/>
      <c r="AK1338" s="122"/>
      <c r="AL1338" s="122"/>
      <c r="AM1338" s="122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26"/>
      <c r="BC1338" s="15"/>
    </row>
    <row r="1339" spans="3:55" x14ac:dyDescent="0.4"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22"/>
      <c r="AL1339" s="122"/>
      <c r="AM1339" s="122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26"/>
      <c r="BC1339" s="15"/>
    </row>
    <row r="1340" spans="3:55" x14ac:dyDescent="0.4"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22"/>
      <c r="AL1340" s="122"/>
      <c r="AM1340" s="122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26"/>
      <c r="BC1340" s="15"/>
    </row>
    <row r="1341" spans="3:55" x14ac:dyDescent="0.4">
      <c r="BB1341" s="26"/>
      <c r="BC1341" s="15"/>
    </row>
    <row r="1342" spans="3:55" x14ac:dyDescent="0.4">
      <c r="AF1342" s="115"/>
      <c r="AG1342" s="115"/>
      <c r="AH1342" s="115"/>
      <c r="AI1342" s="115"/>
      <c r="AJ1342" s="115"/>
      <c r="AK1342" s="122"/>
      <c r="AL1342" s="122"/>
      <c r="AM1342" s="122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26"/>
      <c r="BC1342" s="15"/>
    </row>
    <row r="1343" spans="3:55" x14ac:dyDescent="0.4">
      <c r="BB1343" s="26"/>
      <c r="BC1343" s="15"/>
    </row>
    <row r="1344" spans="3:55" x14ac:dyDescent="0.4">
      <c r="AG1344" s="115"/>
      <c r="AH1344" s="115"/>
      <c r="AI1344" s="115"/>
      <c r="AJ1344" s="115"/>
      <c r="AK1344" s="122"/>
      <c r="AL1344" s="122"/>
      <c r="AM1344" s="122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7"/>
      <c r="BC1344" s="15"/>
    </row>
    <row r="1345" spans="3:55" x14ac:dyDescent="0.4">
      <c r="AF1345" s="115"/>
      <c r="AG1345" s="115"/>
      <c r="AH1345" s="115"/>
      <c r="AI1345" s="115"/>
      <c r="AJ1345" s="115"/>
      <c r="AK1345" s="122"/>
      <c r="AL1345" s="122"/>
      <c r="AM1345" s="122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26"/>
      <c r="BC1345" s="15"/>
    </row>
    <row r="1346" spans="3:55" x14ac:dyDescent="0.4"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22"/>
      <c r="AL1346" s="122"/>
      <c r="AM1346" s="122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26"/>
      <c r="BC1346" s="15"/>
    </row>
    <row r="1347" spans="3:55" x14ac:dyDescent="0.4"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22"/>
      <c r="AL1347" s="122"/>
      <c r="AM1347" s="122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7"/>
      <c r="BC1347" s="15"/>
    </row>
    <row r="1348" spans="3:55" x14ac:dyDescent="0.4">
      <c r="BB1348" s="26"/>
      <c r="BC1348" s="15"/>
    </row>
    <row r="1349" spans="3:55" x14ac:dyDescent="0.4">
      <c r="AG1349" s="115"/>
      <c r="AH1349" s="115"/>
      <c r="AI1349" s="115"/>
      <c r="AJ1349" s="115"/>
      <c r="AK1349" s="122"/>
      <c r="AL1349" s="122"/>
      <c r="AM1349" s="122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7"/>
      <c r="BC1349" s="15"/>
    </row>
    <row r="1350" spans="3:55" x14ac:dyDescent="0.4">
      <c r="AF1350" s="115"/>
      <c r="AG1350" s="115"/>
      <c r="AH1350" s="115"/>
      <c r="AI1350" s="115"/>
      <c r="AJ1350" s="115"/>
      <c r="AK1350" s="122"/>
      <c r="AL1350" s="122"/>
      <c r="AM1350" s="122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26"/>
      <c r="BC1350" s="15"/>
    </row>
    <row r="1351" spans="3:55" x14ac:dyDescent="0.4">
      <c r="AF1351" s="115"/>
      <c r="AG1351" s="115"/>
      <c r="AH1351" s="115"/>
      <c r="AI1351" s="115"/>
      <c r="AJ1351" s="115"/>
      <c r="AK1351" s="122"/>
      <c r="AL1351" s="122"/>
      <c r="AM1351" s="122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7"/>
      <c r="BC1351" s="15"/>
    </row>
    <row r="1352" spans="3:55" x14ac:dyDescent="0.4">
      <c r="AF1352" s="115"/>
      <c r="AG1352" s="115"/>
      <c r="AH1352" s="115"/>
      <c r="AI1352" s="115"/>
      <c r="AJ1352" s="115"/>
      <c r="AK1352" s="122"/>
      <c r="AL1352" s="122"/>
      <c r="AM1352" s="122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7"/>
      <c r="BC1352" s="15"/>
    </row>
    <row r="1353" spans="3:55" x14ac:dyDescent="0.4"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22"/>
      <c r="AL1353" s="122"/>
      <c r="AM1353" s="122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26"/>
      <c r="BC1353" s="15"/>
    </row>
    <row r="1354" spans="3:55" x14ac:dyDescent="0.4"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22"/>
      <c r="AL1354" s="122"/>
      <c r="AM1354" s="122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26"/>
      <c r="BC1354" s="15"/>
    </row>
    <row r="1355" spans="3:55" x14ac:dyDescent="0.4"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22"/>
      <c r="AL1355" s="122"/>
      <c r="AM1355" s="122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26"/>
      <c r="BC1355" s="15"/>
    </row>
    <row r="1356" spans="3:55" x14ac:dyDescent="0.4"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22"/>
      <c r="AL1356" s="122"/>
      <c r="AM1356" s="122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26"/>
      <c r="BC1356" s="15"/>
    </row>
    <row r="1357" spans="3:55" x14ac:dyDescent="0.4"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22"/>
      <c r="AL1357" s="122"/>
      <c r="AM1357" s="122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26"/>
      <c r="BC1357" s="15"/>
    </row>
    <row r="1358" spans="3:55" x14ac:dyDescent="0.4"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22"/>
      <c r="AL1358" s="122"/>
      <c r="AM1358" s="122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7"/>
      <c r="BC1358" s="15"/>
    </row>
    <row r="1359" spans="3:55" x14ac:dyDescent="0.4">
      <c r="BB1359" s="26"/>
      <c r="BC1359" s="15"/>
    </row>
    <row r="1360" spans="3:55" x14ac:dyDescent="0.4">
      <c r="AF1360" s="115"/>
      <c r="AG1360" s="115"/>
      <c r="AH1360" s="115"/>
      <c r="AI1360" s="115"/>
      <c r="AJ1360" s="115"/>
      <c r="AK1360" s="122"/>
      <c r="AL1360" s="122"/>
      <c r="AM1360" s="122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7"/>
      <c r="BC1360" s="13"/>
    </row>
    <row r="1361" spans="3:55" x14ac:dyDescent="0.4">
      <c r="AF1361" s="115"/>
      <c r="AG1361" s="115"/>
      <c r="AH1361" s="115"/>
      <c r="AI1361" s="115"/>
      <c r="AJ1361" s="115"/>
      <c r="AK1361" s="122"/>
      <c r="AL1361" s="122"/>
      <c r="AM1361" s="122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7"/>
      <c r="BC1361" s="13"/>
    </row>
    <row r="1362" spans="3:55" x14ac:dyDescent="0.4">
      <c r="AD1362" s="115"/>
      <c r="AE1362" s="115"/>
      <c r="AF1362" s="115"/>
      <c r="AG1362" s="115"/>
      <c r="AH1362" s="115"/>
      <c r="AI1362" s="115"/>
      <c r="AJ1362" s="115"/>
      <c r="AK1362" s="122"/>
      <c r="AL1362" s="122"/>
      <c r="AM1362" s="122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26"/>
      <c r="BC1362" s="13"/>
    </row>
    <row r="1363" spans="3:55" x14ac:dyDescent="0.4">
      <c r="AD1363" s="115"/>
      <c r="AE1363" s="115"/>
      <c r="AF1363" s="115"/>
      <c r="AG1363" s="115"/>
      <c r="AH1363" s="115"/>
      <c r="AI1363" s="115"/>
      <c r="AJ1363" s="115"/>
      <c r="AK1363" s="122"/>
      <c r="AL1363" s="122"/>
      <c r="AM1363" s="122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7"/>
      <c r="BC1363" s="13"/>
    </row>
    <row r="1364" spans="3:55" x14ac:dyDescent="0.4">
      <c r="BB1364" s="26"/>
      <c r="BC1364" s="13"/>
    </row>
    <row r="1365" spans="3:55" x14ac:dyDescent="0.4">
      <c r="AE1365" s="115"/>
      <c r="AF1365" s="115"/>
      <c r="AG1365" s="115"/>
      <c r="AH1365" s="115"/>
      <c r="AI1365" s="115"/>
      <c r="AJ1365" s="115"/>
      <c r="AK1365" s="122"/>
      <c r="AL1365" s="122"/>
      <c r="AM1365" s="122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7"/>
      <c r="BC1365" s="13"/>
    </row>
    <row r="1366" spans="3:55" x14ac:dyDescent="0.4">
      <c r="BB1366" s="26"/>
      <c r="BC1366" s="13"/>
    </row>
    <row r="1367" spans="3:55" x14ac:dyDescent="0.4">
      <c r="BB1367" s="26"/>
      <c r="BC1367" s="13"/>
    </row>
    <row r="1368" spans="3:55" x14ac:dyDescent="0.4"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22"/>
      <c r="AL1368" s="122"/>
      <c r="AM1368" s="122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26"/>
      <c r="BC1368" s="13"/>
    </row>
    <row r="1369" spans="3:55" x14ac:dyDescent="0.4"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22"/>
      <c r="AL1369" s="122"/>
      <c r="AM1369" s="122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26"/>
      <c r="BC1369" s="13"/>
    </row>
    <row r="1370" spans="3:55" x14ac:dyDescent="0.4">
      <c r="BB1370" s="26"/>
      <c r="BC1370" s="13"/>
    </row>
    <row r="1371" spans="3:55" x14ac:dyDescent="0.4">
      <c r="BB1371" s="26"/>
      <c r="BC1371" s="13"/>
    </row>
    <row r="1372" spans="3:55" x14ac:dyDescent="0.4"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22"/>
      <c r="AL1372" s="122"/>
      <c r="AM1372" s="122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26"/>
      <c r="BC1372" s="13"/>
    </row>
    <row r="1373" spans="3:55" x14ac:dyDescent="0.4">
      <c r="BB1373" s="26"/>
      <c r="BC1373" s="105"/>
    </row>
    <row r="1374" spans="3:55" x14ac:dyDescent="0.4"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22"/>
      <c r="AL1374" s="122"/>
      <c r="AM1374" s="122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26"/>
      <c r="BC1374" s="15"/>
    </row>
    <row r="1375" spans="3:55" x14ac:dyDescent="0.4"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22"/>
      <c r="AL1375" s="122"/>
      <c r="AM1375" s="122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7"/>
      <c r="BC1375" s="15"/>
    </row>
    <row r="1376" spans="3:55" x14ac:dyDescent="0.4">
      <c r="BB1376" s="26"/>
      <c r="BC1376" s="15"/>
    </row>
    <row r="1377" spans="2:55" x14ac:dyDescent="0.4"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22"/>
      <c r="AL1377" s="122"/>
      <c r="AM1377" s="122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26"/>
      <c r="BC1377" s="15"/>
    </row>
    <row r="1378" spans="2:55" x14ac:dyDescent="0.4"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22"/>
      <c r="AL1378" s="122"/>
      <c r="AM1378" s="122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26"/>
      <c r="BC1378" s="15"/>
    </row>
    <row r="1379" spans="2:55" x14ac:dyDescent="0.4"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22"/>
      <c r="AL1379" s="122"/>
      <c r="AM1379" s="122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26"/>
      <c r="BC1379" s="13"/>
    </row>
    <row r="1380" spans="2:55" x14ac:dyDescent="0.4">
      <c r="BB1380" s="26"/>
      <c r="BC1380" s="15"/>
    </row>
    <row r="1381" spans="2:55" x14ac:dyDescent="0.4"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22"/>
      <c r="AL1381" s="122"/>
      <c r="AM1381" s="122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26"/>
      <c r="BC1381" s="15"/>
    </row>
    <row r="1382" spans="2:55" x14ac:dyDescent="0.4"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22"/>
      <c r="AL1382" s="122"/>
      <c r="AM1382" s="122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26"/>
      <c r="BC1382" s="15"/>
    </row>
    <row r="1383" spans="2:55" x14ac:dyDescent="0.4"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22"/>
      <c r="AL1383" s="122"/>
      <c r="AM1383" s="122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26"/>
      <c r="BC1383" s="15"/>
    </row>
    <row r="1384" spans="2:55" x14ac:dyDescent="0.4"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22"/>
      <c r="AL1384" s="122"/>
      <c r="AM1384" s="122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26"/>
      <c r="BC1384" s="15"/>
    </row>
    <row r="1385" spans="2:55" x14ac:dyDescent="0.4"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22"/>
      <c r="AL1385" s="122"/>
      <c r="AM1385" s="122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26"/>
      <c r="BC1385" s="15"/>
    </row>
    <row r="1386" spans="2:55" x14ac:dyDescent="0.4"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22"/>
      <c r="AL1386" s="122"/>
      <c r="AM1386" s="122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26"/>
      <c r="BC1386" s="15"/>
    </row>
    <row r="1387" spans="2:55" ht="19.5" customHeight="1" x14ac:dyDescent="0.4"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22"/>
      <c r="AL1387" s="122"/>
      <c r="AM1387" s="122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26"/>
      <c r="BC1387" s="15"/>
    </row>
    <row r="1388" spans="2:55" ht="19.5" customHeight="1" x14ac:dyDescent="0.4"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22"/>
      <c r="AL1388" s="122"/>
      <c r="AM1388" s="122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26"/>
      <c r="BC1388" s="15"/>
    </row>
    <row r="1389" spans="2:55" x14ac:dyDescent="0.4">
      <c r="BB1389" s="26"/>
      <c r="BC1389" s="15"/>
    </row>
    <row r="1390" spans="2:55" x14ac:dyDescent="0.4"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22"/>
      <c r="AL1390" s="122"/>
      <c r="AM1390" s="122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26"/>
      <c r="BC1390" s="15"/>
    </row>
    <row r="1391" spans="2:55" x14ac:dyDescent="0.4"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22"/>
      <c r="AL1391" s="122"/>
      <c r="AM1391" s="122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26"/>
      <c r="BC1391" s="15"/>
    </row>
    <row r="1392" spans="2:55" x14ac:dyDescent="0.4"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22"/>
      <c r="AL1392" s="122"/>
      <c r="AM1392" s="122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7"/>
      <c r="BC1392" s="15"/>
    </row>
    <row r="1393" spans="1:55" x14ac:dyDescent="0.4">
      <c r="BB1393" s="26"/>
      <c r="BC1393" s="15"/>
    </row>
    <row r="1394" spans="1:55" x14ac:dyDescent="0.4">
      <c r="AE1394" s="115"/>
      <c r="AF1394" s="115"/>
      <c r="AG1394" s="115"/>
      <c r="AH1394" s="115"/>
      <c r="AI1394" s="115"/>
      <c r="AJ1394" s="115"/>
      <c r="AK1394" s="122"/>
      <c r="AL1394" s="122"/>
      <c r="AM1394" s="122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7"/>
      <c r="BC1394" s="15"/>
    </row>
    <row r="1395" spans="1:55" x14ac:dyDescent="0.4"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22"/>
      <c r="AL1395" s="122"/>
      <c r="AM1395" s="122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26"/>
      <c r="BC1395" s="15"/>
    </row>
    <row r="1396" spans="1:55" x14ac:dyDescent="0.4">
      <c r="BB1396" s="26"/>
      <c r="BC1396" s="15"/>
    </row>
    <row r="1397" spans="1:55" x14ac:dyDescent="0.4">
      <c r="BB1397" s="26"/>
      <c r="BC1397" s="15"/>
    </row>
    <row r="1398" spans="1:55" x14ac:dyDescent="0.4">
      <c r="AD1398" s="115"/>
      <c r="AE1398" s="115"/>
      <c r="AF1398" s="115"/>
      <c r="AG1398" s="115"/>
      <c r="AH1398" s="115"/>
      <c r="AI1398" s="115"/>
      <c r="AJ1398" s="115"/>
      <c r="AK1398" s="122"/>
      <c r="AL1398" s="122"/>
      <c r="AM1398" s="122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26"/>
      <c r="BC1398" s="15"/>
    </row>
    <row r="1399" spans="1:55" x14ac:dyDescent="0.4">
      <c r="BB1399" s="26"/>
      <c r="BC1399" s="15"/>
    </row>
    <row r="1400" spans="1:55" x14ac:dyDescent="0.4">
      <c r="AE1400" s="115"/>
      <c r="AF1400" s="115"/>
      <c r="AG1400" s="115"/>
      <c r="AH1400" s="115"/>
      <c r="AI1400" s="115"/>
      <c r="AJ1400" s="115"/>
      <c r="AK1400" s="122"/>
      <c r="AL1400" s="122"/>
      <c r="AM1400" s="122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7"/>
      <c r="BC1400" s="15"/>
    </row>
    <row r="1401" spans="1:55" x14ac:dyDescent="0.4">
      <c r="A1401" s="115"/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22"/>
      <c r="AL1401" s="122"/>
      <c r="AM1401" s="122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26"/>
      <c r="BC1401" s="15"/>
    </row>
    <row r="1402" spans="1:55" x14ac:dyDescent="0.4">
      <c r="A1402" s="115"/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22"/>
      <c r="AL1402" s="122"/>
      <c r="AM1402" s="122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7"/>
      <c r="BC1402" s="13"/>
    </row>
    <row r="1403" spans="1:55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22"/>
      <c r="AL1403" s="122"/>
      <c r="AM1403" s="122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7"/>
      <c r="BC1403" s="13"/>
    </row>
    <row r="1404" spans="1:55" x14ac:dyDescent="0.4">
      <c r="BB1404" s="26"/>
      <c r="BC1404" s="13"/>
    </row>
    <row r="1405" spans="1:55" x14ac:dyDescent="0.4"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22"/>
      <c r="AL1405" s="122"/>
      <c r="AM1405" s="122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26"/>
      <c r="BC1405" s="15"/>
    </row>
    <row r="1406" spans="1:55" x14ac:dyDescent="0.4"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22"/>
      <c r="AL1406" s="122"/>
      <c r="AM1406" s="122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26"/>
      <c r="BC1406" s="15"/>
    </row>
    <row r="1407" spans="1:55" x14ac:dyDescent="0.4">
      <c r="BB1407" s="26"/>
      <c r="BC1407" s="15"/>
    </row>
    <row r="1408" spans="1:55" x14ac:dyDescent="0.4"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22"/>
      <c r="AL1408" s="122"/>
      <c r="AM1408" s="122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26"/>
      <c r="BC1408" s="15"/>
    </row>
    <row r="1409" spans="1:55" x14ac:dyDescent="0.4"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22"/>
      <c r="AL1409" s="122"/>
      <c r="AM1409" s="122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26"/>
      <c r="BC1409" s="15"/>
    </row>
    <row r="1410" spans="1:55" x14ac:dyDescent="0.4"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22"/>
      <c r="AL1410" s="122"/>
      <c r="AM1410" s="122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26"/>
      <c r="BC1410" s="15"/>
    </row>
    <row r="1411" spans="1:55" x14ac:dyDescent="0.4"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22"/>
      <c r="AL1411" s="122"/>
      <c r="AM1411" s="122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26"/>
      <c r="BC1411" s="15"/>
    </row>
    <row r="1412" spans="1:55" x14ac:dyDescent="0.4">
      <c r="BB1412" s="26"/>
      <c r="BC1412" s="15"/>
    </row>
    <row r="1413" spans="1:55" x14ac:dyDescent="0.4"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22"/>
      <c r="AL1413" s="122"/>
      <c r="AM1413" s="122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26"/>
      <c r="BC1413" s="15"/>
    </row>
    <row r="1414" spans="1:55" x14ac:dyDescent="0.4">
      <c r="BB1414" s="26"/>
      <c r="BC1414" s="15"/>
    </row>
    <row r="1415" spans="1:55" x14ac:dyDescent="0.4"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22"/>
      <c r="AL1415" s="122"/>
      <c r="AM1415" s="122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26"/>
      <c r="BC1415" s="15"/>
    </row>
    <row r="1416" spans="1:55" x14ac:dyDescent="0.4"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22"/>
      <c r="AL1416" s="122"/>
      <c r="AM1416" s="122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26"/>
      <c r="BC1416" s="15"/>
    </row>
    <row r="1417" spans="1:55" x14ac:dyDescent="0.4"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22"/>
      <c r="AL1417" s="122"/>
      <c r="AM1417" s="122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7"/>
      <c r="BC1417" s="15"/>
    </row>
    <row r="1418" spans="1:55" x14ac:dyDescent="0.4">
      <c r="BB1418" s="26"/>
      <c r="BC1418" s="15"/>
    </row>
    <row r="1419" spans="1:55" x14ac:dyDescent="0.4">
      <c r="BB1419" s="26"/>
      <c r="BC1419" s="15"/>
    </row>
    <row r="1420" spans="1:55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22"/>
      <c r="AL1420" s="122"/>
      <c r="AM1420" s="122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26"/>
      <c r="BC1420" s="15"/>
    </row>
    <row r="1421" spans="1:55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22"/>
      <c r="AL1421" s="122"/>
      <c r="AM1421" s="122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7"/>
      <c r="BC1421" s="15"/>
    </row>
    <row r="1422" spans="1:55" x14ac:dyDescent="0.4">
      <c r="BB1422" s="26"/>
      <c r="BC1422" s="15"/>
    </row>
    <row r="1423" spans="1:55" ht="17.25" customHeight="1" x14ac:dyDescent="0.4"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22"/>
      <c r="AL1423" s="122"/>
      <c r="AM1423" s="122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26"/>
      <c r="BC1423" s="15"/>
    </row>
    <row r="1424" spans="1:55" x14ac:dyDescent="0.4">
      <c r="BB1424" s="26"/>
      <c r="BC1424" s="15"/>
    </row>
    <row r="1425" spans="1:55" x14ac:dyDescent="0.4">
      <c r="AD1425" s="115"/>
      <c r="AE1425" s="115"/>
      <c r="AF1425" s="115"/>
      <c r="AG1425" s="115"/>
      <c r="AH1425" s="115"/>
      <c r="AI1425" s="115"/>
      <c r="AJ1425" s="115"/>
      <c r="AK1425" s="122"/>
      <c r="AL1425" s="122"/>
      <c r="AM1425" s="122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7"/>
      <c r="BC1425" s="15"/>
    </row>
    <row r="1426" spans="1:55" ht="16.5" customHeight="1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22"/>
      <c r="AL1426" s="122"/>
      <c r="AM1426" s="122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26"/>
      <c r="BC1426" s="15"/>
    </row>
    <row r="1427" spans="1:55" ht="22.5" customHeight="1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22"/>
      <c r="AL1427" s="122"/>
      <c r="AM1427" s="122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26"/>
      <c r="BC1427" s="15"/>
    </row>
    <row r="1428" spans="1:55" x14ac:dyDescent="0.4">
      <c r="BB1428" s="26"/>
      <c r="BC1428" s="15"/>
    </row>
    <row r="1429" spans="1:55" x14ac:dyDescent="0.4">
      <c r="BB1429" s="26"/>
      <c r="BC1429" s="105"/>
    </row>
    <row r="1430" spans="1:55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22"/>
      <c r="AL1430" s="122"/>
      <c r="AM1430" s="122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26"/>
      <c r="BC1430" s="15"/>
    </row>
    <row r="1431" spans="1:55" x14ac:dyDescent="0.4">
      <c r="BB1431" s="26"/>
      <c r="BC1431" s="15"/>
    </row>
    <row r="1432" spans="1:55" x14ac:dyDescent="0.4">
      <c r="BB1432" s="26"/>
      <c r="BC1432" s="15"/>
    </row>
    <row r="1433" spans="1:55" x14ac:dyDescent="0.4">
      <c r="BB1433" s="26"/>
      <c r="BC1433" s="15"/>
    </row>
    <row r="1434" spans="1:55" x14ac:dyDescent="0.4">
      <c r="BB1434" s="26"/>
      <c r="BC1434" s="15"/>
    </row>
    <row r="1435" spans="1:55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22"/>
      <c r="AL1435" s="122"/>
      <c r="AM1435" s="122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26"/>
      <c r="BC1435" s="15"/>
    </row>
    <row r="1436" spans="1:55" x14ac:dyDescent="0.4">
      <c r="BB1436" s="26"/>
      <c r="BC1436" s="15"/>
    </row>
    <row r="1437" spans="1:55" x14ac:dyDescent="0.4">
      <c r="BB1437" s="26"/>
      <c r="BC1437" s="15"/>
    </row>
    <row r="1438" spans="1:55" x14ac:dyDescent="0.4">
      <c r="BB1438" s="26"/>
      <c r="BC1438" s="15"/>
    </row>
    <row r="1439" spans="1:55" x14ac:dyDescent="0.4">
      <c r="BB1439" s="26"/>
      <c r="BC1439" s="15"/>
    </row>
    <row r="1440" spans="1:55" ht="18.75" customHeight="1" x14ac:dyDescent="0.4"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22"/>
      <c r="AL1440" s="122"/>
      <c r="AM1440" s="122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26"/>
      <c r="BC1440" s="15"/>
    </row>
    <row r="1441" spans="1:55" x14ac:dyDescent="0.4">
      <c r="BB1441" s="26"/>
      <c r="BC1441" s="15"/>
    </row>
    <row r="1442" spans="1:55" x14ac:dyDescent="0.4">
      <c r="BB1442" s="26"/>
      <c r="BC1442" s="15"/>
    </row>
    <row r="1443" spans="1:55" x14ac:dyDescent="0.4"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22"/>
      <c r="AL1443" s="122"/>
      <c r="AM1443" s="122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26"/>
      <c r="BC1443" s="15"/>
    </row>
    <row r="1444" spans="1:5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22"/>
      <c r="AL1444" s="122"/>
      <c r="AM1444" s="122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26"/>
      <c r="BC1444" s="15"/>
    </row>
    <row r="1445" spans="1:55" x14ac:dyDescent="0.4">
      <c r="BB1445" s="26"/>
      <c r="BC1445" s="15"/>
    </row>
    <row r="1446" spans="1:55" x14ac:dyDescent="0.4">
      <c r="AD1446" s="115"/>
      <c r="AE1446" s="115"/>
      <c r="AF1446" s="115"/>
      <c r="AG1446" s="115"/>
      <c r="AH1446" s="115"/>
      <c r="AI1446" s="115"/>
      <c r="AJ1446" s="115"/>
      <c r="AK1446" s="122"/>
      <c r="AL1446" s="122"/>
      <c r="AM1446" s="122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7"/>
      <c r="BC1446" s="15"/>
    </row>
    <row r="1447" spans="1:5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22"/>
      <c r="AL1447" s="122"/>
      <c r="AM1447" s="122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26"/>
      <c r="BC1447" s="15"/>
    </row>
    <row r="1448" spans="1:55" x14ac:dyDescent="0.4">
      <c r="BB1448" s="26"/>
      <c r="BC1448" s="15"/>
    </row>
    <row r="1449" spans="1:55" x14ac:dyDescent="0.4">
      <c r="AD1449" s="115"/>
      <c r="AE1449" s="115"/>
      <c r="AF1449" s="115"/>
      <c r="AG1449" s="115"/>
      <c r="AH1449" s="115"/>
      <c r="AI1449" s="115"/>
      <c r="AJ1449" s="115"/>
      <c r="AK1449" s="122"/>
      <c r="AL1449" s="122"/>
      <c r="AM1449" s="122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7"/>
      <c r="BC1449" s="15"/>
    </row>
    <row r="1450" spans="1:55" x14ac:dyDescent="0.4">
      <c r="BB1450" s="26"/>
      <c r="BC1450" s="15"/>
    </row>
    <row r="1451" spans="1:55" x14ac:dyDescent="0.4"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22"/>
      <c r="AL1451" s="122"/>
      <c r="AM1451" s="122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26"/>
      <c r="BC1451" s="15"/>
    </row>
    <row r="1452" spans="1:55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22"/>
      <c r="AL1452" s="122"/>
      <c r="AM1452" s="122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26"/>
      <c r="BC1452" s="15"/>
    </row>
    <row r="1453" spans="1:55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22"/>
      <c r="AL1453" s="122"/>
      <c r="AM1453" s="122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26"/>
      <c r="BC1453" s="15"/>
    </row>
    <row r="1454" spans="1:55" x14ac:dyDescent="0.4">
      <c r="BB1454" s="26"/>
      <c r="BC1454" s="15"/>
    </row>
    <row r="1455" spans="1:55" x14ac:dyDescent="0.4"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22"/>
      <c r="AL1455" s="122"/>
      <c r="AM1455" s="122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26"/>
      <c r="BC1455" s="15"/>
    </row>
    <row r="1456" spans="1:55" x14ac:dyDescent="0.4">
      <c r="BB1456" s="26"/>
      <c r="BC1456" s="15"/>
    </row>
    <row r="1457" spans="1:55" x14ac:dyDescent="0.4"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22"/>
      <c r="AL1457" s="122"/>
      <c r="AM1457" s="122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26"/>
      <c r="BC1457" s="15"/>
    </row>
    <row r="1458" spans="1:55" x14ac:dyDescent="0.4">
      <c r="BB1458" s="26"/>
      <c r="BC1458" s="15"/>
    </row>
    <row r="1459" spans="1:55" x14ac:dyDescent="0.4">
      <c r="BB1459" s="26"/>
      <c r="BC1459" s="15"/>
    </row>
    <row r="1460" spans="1:55" x14ac:dyDescent="0.4">
      <c r="BB1460" s="26"/>
      <c r="BC1460" s="15"/>
    </row>
    <row r="1461" spans="1:55" x14ac:dyDescent="0.4">
      <c r="BB1461" s="26"/>
      <c r="BC1461" s="15"/>
    </row>
    <row r="1462" spans="1:55" x14ac:dyDescent="0.4">
      <c r="BB1462" s="26"/>
      <c r="BC1462" s="15"/>
    </row>
    <row r="1463" spans="1:55" x14ac:dyDescent="0.4">
      <c r="BB1463" s="26"/>
      <c r="BC1463" s="15"/>
    </row>
    <row r="1464" spans="1:55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22"/>
      <c r="AL1464" s="122"/>
      <c r="AM1464" s="122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26"/>
      <c r="BC1464" s="15"/>
    </row>
    <row r="1465" spans="1:55" x14ac:dyDescent="0.4">
      <c r="BB1465" s="26"/>
      <c r="BC1465" s="15"/>
    </row>
    <row r="1466" spans="1:55" x14ac:dyDescent="0.4">
      <c r="BB1466" s="26"/>
      <c r="BC1466" s="15"/>
    </row>
    <row r="1467" spans="1:55" x14ac:dyDescent="0.4">
      <c r="BB1467" s="26"/>
      <c r="BC1467" s="15"/>
    </row>
    <row r="1468" spans="1:55" x14ac:dyDescent="0.4">
      <c r="BB1468" s="26"/>
      <c r="BC1468" s="15"/>
    </row>
    <row r="1469" spans="1:55" x14ac:dyDescent="0.4">
      <c r="BB1469" s="26"/>
      <c r="BC1469" s="15"/>
    </row>
    <row r="1470" spans="1:55" x14ac:dyDescent="0.4">
      <c r="AD1470" s="115"/>
      <c r="AE1470" s="115"/>
      <c r="AF1470" s="115"/>
      <c r="AG1470" s="115"/>
      <c r="AH1470" s="115"/>
      <c r="AI1470" s="115"/>
      <c r="AJ1470" s="115"/>
      <c r="AK1470" s="122"/>
      <c r="AL1470" s="122"/>
      <c r="AM1470" s="122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7"/>
      <c r="BC1470" s="15"/>
    </row>
    <row r="1471" spans="1:55" x14ac:dyDescent="0.4">
      <c r="AD1471" s="115"/>
      <c r="AE1471" s="115"/>
      <c r="AF1471" s="115"/>
      <c r="AG1471" s="115"/>
      <c r="AH1471" s="115"/>
      <c r="AI1471" s="115"/>
      <c r="AJ1471" s="115"/>
      <c r="AK1471" s="122"/>
      <c r="AL1471" s="122"/>
      <c r="AM1471" s="122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7"/>
      <c r="BC1471" s="15"/>
    </row>
    <row r="1472" spans="1:55" x14ac:dyDescent="0.4">
      <c r="BB1472" s="26"/>
      <c r="BC1472" s="15"/>
    </row>
    <row r="1473" spans="1:55" x14ac:dyDescent="0.4">
      <c r="BB1473" s="26"/>
      <c r="BC1473" s="15"/>
    </row>
    <row r="1474" spans="1:55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22"/>
      <c r="AL1474" s="122"/>
      <c r="AM1474" s="122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26"/>
      <c r="BC1474" s="15"/>
    </row>
    <row r="1475" spans="1:55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22"/>
      <c r="AL1475" s="122"/>
      <c r="AM1475" s="122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26"/>
      <c r="BC1475" s="13"/>
    </row>
    <row r="1476" spans="1:55" x14ac:dyDescent="0.4">
      <c r="BB1476" s="26"/>
      <c r="BC1476" s="15"/>
    </row>
    <row r="1477" spans="1:55" x14ac:dyDescent="0.4"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22"/>
      <c r="AL1477" s="122"/>
      <c r="AM1477" s="122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26"/>
      <c r="BC1477" s="15"/>
    </row>
    <row r="1478" spans="1:55" x14ac:dyDescent="0.4">
      <c r="BB1478" s="26"/>
      <c r="BC1478" s="15"/>
    </row>
    <row r="1479" spans="1:55" x14ac:dyDescent="0.4">
      <c r="BB1479" s="26"/>
      <c r="BC1479" s="15"/>
    </row>
    <row r="1480" spans="1:55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22"/>
      <c r="AL1480" s="122"/>
      <c r="AM1480" s="122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26"/>
      <c r="BC1480" s="15"/>
    </row>
    <row r="1481" spans="1:55" x14ac:dyDescent="0.4">
      <c r="BB1481" s="26"/>
      <c r="BC1481" s="13"/>
    </row>
    <row r="1482" spans="1:55" x14ac:dyDescent="0.4">
      <c r="BB1482" s="26"/>
      <c r="BC1482" s="13"/>
    </row>
    <row r="1483" spans="1:55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22"/>
      <c r="AL1483" s="122"/>
      <c r="AM1483" s="122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26"/>
      <c r="BC1483" s="13"/>
    </row>
    <row r="1484" spans="1:55" x14ac:dyDescent="0.4">
      <c r="BB1484" s="26"/>
      <c r="BC1484" s="13"/>
    </row>
    <row r="1485" spans="1:55" x14ac:dyDescent="0.4">
      <c r="BB1485" s="26"/>
      <c r="BC1485" s="13"/>
    </row>
    <row r="1486" spans="1:55" x14ac:dyDescent="0.4">
      <c r="BB1486" s="26"/>
      <c r="BC1486" s="13"/>
    </row>
    <row r="1487" spans="1:55" x14ac:dyDescent="0.4">
      <c r="BB1487" s="26"/>
      <c r="BC1487" s="13"/>
    </row>
    <row r="1488" spans="1:55" x14ac:dyDescent="0.4">
      <c r="BB1488" s="26"/>
      <c r="BC1488" s="13"/>
    </row>
    <row r="1489" spans="1:55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22"/>
      <c r="AL1489" s="122"/>
      <c r="AM1489" s="122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26"/>
      <c r="BC1489" s="25"/>
    </row>
    <row r="1490" spans="1:55" x14ac:dyDescent="0.4">
      <c r="BB1490" s="26"/>
      <c r="BC1490" s="13"/>
    </row>
    <row r="1491" spans="1:55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22"/>
      <c r="AL1491" s="122"/>
      <c r="AM1491" s="122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26"/>
      <c r="BC1491" s="13"/>
    </row>
    <row r="1492" spans="1:55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22"/>
      <c r="AL1492" s="122"/>
      <c r="AM1492" s="122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26"/>
      <c r="BC1492" s="13"/>
    </row>
    <row r="1493" spans="1:55" x14ac:dyDescent="0.4">
      <c r="BB1493" s="26"/>
      <c r="BC1493" s="15"/>
    </row>
    <row r="1494" spans="1:55" x14ac:dyDescent="0.4">
      <c r="BB1494" s="26"/>
      <c r="BC1494" s="15"/>
    </row>
    <row r="1495" spans="1:55" x14ac:dyDescent="0.4">
      <c r="BB1495" s="26"/>
      <c r="BC1495" s="15"/>
    </row>
    <row r="1496" spans="1:55" x14ac:dyDescent="0.4">
      <c r="BB1496" s="26"/>
      <c r="BC1496" s="13"/>
    </row>
    <row r="1497" spans="1:55" x14ac:dyDescent="0.4">
      <c r="BB1497" s="26"/>
      <c r="BC1497" s="15"/>
    </row>
    <row r="1498" spans="1:55" x14ac:dyDescent="0.4"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22"/>
      <c r="AL1498" s="122"/>
      <c r="AM1498" s="122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7"/>
      <c r="BC1498" s="15"/>
    </row>
    <row r="1499" spans="1:55" x14ac:dyDescent="0.4">
      <c r="BB1499" s="26"/>
      <c r="BC1499" s="15"/>
    </row>
    <row r="1500" spans="1:55" x14ac:dyDescent="0.4"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22"/>
      <c r="AL1500" s="122"/>
      <c r="AM1500" s="122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7"/>
      <c r="BC1500" s="15"/>
    </row>
    <row r="1501" spans="1:55" x14ac:dyDescent="0.4">
      <c r="BB1501" s="26"/>
      <c r="BC1501" s="15"/>
    </row>
    <row r="1502" spans="1:55" x14ac:dyDescent="0.4">
      <c r="BB1502" s="26"/>
      <c r="BC1502" s="15"/>
    </row>
    <row r="1503" spans="1:55" x14ac:dyDescent="0.4"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22"/>
      <c r="AL1503" s="122"/>
      <c r="AM1503" s="122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7"/>
      <c r="BC1503" s="15"/>
    </row>
    <row r="1504" spans="1:55" x14ac:dyDescent="0.4">
      <c r="BB1504" s="26"/>
      <c r="BC1504" s="15"/>
    </row>
    <row r="1505" spans="2:55" x14ac:dyDescent="0.4">
      <c r="BB1505" s="26"/>
      <c r="BC1505" s="15"/>
    </row>
    <row r="1506" spans="2:55" x14ac:dyDescent="0.4">
      <c r="BB1506" s="26"/>
      <c r="BC1506" s="105"/>
    </row>
    <row r="1507" spans="2:55" x14ac:dyDescent="0.4">
      <c r="BB1507" s="26"/>
      <c r="BC1507" s="15"/>
    </row>
    <row r="1508" spans="2:55" x14ac:dyDescent="0.4">
      <c r="BB1508" s="26"/>
      <c r="BC1508" s="15"/>
    </row>
    <row r="1509" spans="2:55" x14ac:dyDescent="0.4">
      <c r="BB1509" s="26"/>
      <c r="BC1509" s="15"/>
    </row>
    <row r="1510" spans="2:55" x14ac:dyDescent="0.4">
      <c r="BB1510" s="26"/>
      <c r="BC1510" s="15"/>
    </row>
    <row r="1511" spans="2:55" x14ac:dyDescent="0.4">
      <c r="BB1511" s="26"/>
      <c r="BC1511" s="15"/>
    </row>
    <row r="1512" spans="2:55" x14ac:dyDescent="0.4"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22"/>
      <c r="AL1512" s="122"/>
      <c r="AM1512" s="122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9"/>
      <c r="BC1512" s="119"/>
    </row>
    <row r="1513" spans="2:55" x14ac:dyDescent="0.4"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22"/>
      <c r="AL1513" s="122"/>
      <c r="AM1513" s="122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9"/>
      <c r="BC1513" s="119"/>
    </row>
  </sheetData>
  <sortState xmlns:xlrd2="http://schemas.microsoft.com/office/spreadsheetml/2017/richdata2" ref="S2:T148">
    <sortCondition ref="S2:S14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2025-06-12T06:24:31Z</cp:lastPrinted>
  <dcterms:created xsi:type="dcterms:W3CDTF">2020-05-08T06:29:04Z</dcterms:created>
  <dcterms:modified xsi:type="dcterms:W3CDTF">2025-06-13T01:37:00Z</dcterms:modified>
</cp:coreProperties>
</file>