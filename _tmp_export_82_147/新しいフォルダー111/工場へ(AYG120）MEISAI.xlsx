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0964B2BF-0FE4-4068-AC77-A1C23F952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D19" i="3"/>
  <c r="C19" i="3"/>
  <c r="B19" i="3"/>
  <c r="L149" i="3"/>
  <c r="L148" i="3"/>
  <c r="K148" i="3"/>
  <c r="L145" i="3"/>
  <c r="K145" i="3"/>
  <c r="L141" i="3"/>
  <c r="K141" i="3"/>
  <c r="L137" i="3"/>
  <c r="K137" i="3"/>
  <c r="L123" i="3"/>
  <c r="K123" i="3"/>
  <c r="L119" i="3"/>
  <c r="K119" i="3"/>
  <c r="L117" i="3"/>
  <c r="K117" i="3"/>
  <c r="L113" i="3"/>
  <c r="K113" i="3"/>
  <c r="L111" i="3"/>
  <c r="K111" i="3"/>
  <c r="L102" i="3"/>
  <c r="K102" i="3"/>
  <c r="L47" i="3"/>
  <c r="K47" i="3"/>
  <c r="L25" i="3"/>
  <c r="K25" i="3"/>
  <c r="L20" i="3"/>
  <c r="K20" i="3"/>
  <c r="L16" i="3"/>
  <c r="K16" i="3"/>
  <c r="L7" i="3"/>
  <c r="K7" i="3"/>
  <c r="L3" i="3"/>
  <c r="K3" i="3"/>
  <c r="K149" i="3" s="1"/>
  <c r="A241" i="1" l="1"/>
  <c r="AM740" i="3"/>
  <c r="AK740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K1022" i="3"/>
  <c r="BJ1022" i="3"/>
  <c r="BK1017" i="3"/>
  <c r="BJ1017" i="3"/>
  <c r="BK1015" i="3"/>
  <c r="BJ1015" i="3"/>
  <c r="BK1001" i="3"/>
  <c r="BJ1001" i="3"/>
  <c r="BK983" i="3"/>
  <c r="BJ983" i="3"/>
  <c r="BK972" i="3"/>
  <c r="BJ972" i="3"/>
  <c r="BK938" i="3"/>
  <c r="BJ938" i="3"/>
  <c r="BK925" i="3"/>
  <c r="BJ925" i="3"/>
  <c r="BK887" i="3"/>
  <c r="BJ887" i="3"/>
  <c r="BK878" i="3"/>
  <c r="BJ878" i="3"/>
  <c r="BK864" i="3"/>
  <c r="BJ864" i="3"/>
  <c r="BK831" i="3"/>
  <c r="BJ831" i="3"/>
  <c r="BK778" i="3"/>
  <c r="BJ778" i="3"/>
  <c r="BK766" i="3"/>
  <c r="BJ766" i="3"/>
  <c r="BK743" i="3"/>
  <c r="BJ743" i="3"/>
  <c r="BK728" i="3"/>
  <c r="BJ728" i="3"/>
  <c r="BK704" i="3"/>
  <c r="BJ704" i="3"/>
  <c r="BK686" i="3"/>
  <c r="BJ686" i="3"/>
  <c r="BK666" i="3"/>
  <c r="BJ666" i="3"/>
  <c r="BK652" i="3"/>
  <c r="BJ652" i="3"/>
  <c r="BK643" i="3"/>
  <c r="BJ643" i="3"/>
  <c r="BK569" i="3"/>
  <c r="BJ569" i="3"/>
  <c r="B61" i="1"/>
  <c r="A151" i="1"/>
  <c r="AB43" i="1"/>
  <c r="BJ1023" i="3" l="1"/>
  <c r="BK1023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<sst xmlns="http://schemas.openxmlformats.org/spreadsheetml/2006/main" count="2546" uniqueCount="357">
  <si>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</si>
  <si>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</si>
  <si>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</si>
  <si>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</si>
  <si>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</si>
  <si>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</si>
  <si>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</si>
  <si>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</si>
  <si>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</si>
  <si>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</si>
  <si>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</si>
  <si>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</si>
  <si>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</si>
  <si>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</si>
  <si>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</si>
  <si>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</si>
  <si>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</si>
  <si>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</si>
  <si>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</si>
  <si>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</si>
  <si>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</si>
  <si>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</si>
  <si>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</si>
  <si>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</si>
  <si>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</si>
  <si>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</si>
  <si>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</si>
  <si>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</si>
  <si>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</si>
  <si>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</si>
  <si>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</si>
  <si>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</si>
  <si>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</si>
  <si>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</si>
  <si>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</si>
  <si>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</si>
  <si>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</si>
  <si>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</si>
  <si>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</si>
  <si>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</si>
  <si>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</si>
  <si>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</si>
  <si>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</si>
  <si>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</si>
  <si>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</si>
  <si>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</si>
  <si>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</si>
  <si>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</si>
  <si>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</si>
  <si>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</si>
  <si>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</si>
  <si>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</si>
  <si>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</si>
  <si>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</si>
  <si>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</si>
  <si>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</si>
  <si>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</si>
  <si>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</si>
  <si>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</si>
  <si>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</si>
  <si>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</si>
  <si>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</si>
  <si>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</si>
  <si>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</si>
  <si>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</si>
  <si>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</si>
  <si>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</si>
  <si>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</si>
  <si>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</si>
  <si>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</si>
  <si>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</si>
  <si>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</si>
  <si>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</si>
  <si>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</si>
  <si>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</si>
  <si>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</si>
  <si>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</si>
  <si>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</si>
  <si>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</si>
  <si>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</si>
  <si>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</si>
  <si>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</si>
  <si>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</si>
  <si>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</si>
  <si>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</si>
  <si>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</si>
  <si>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</si>
  <si>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</si>
  <si>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</si>
  <si>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</si>
  <si>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</si>
  <si>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</si>
  <si>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</si>
  <si>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</si>
  <si>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</si>
  <si>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</si>
  <si>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</si>
  <si>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</si>
  <si>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</si>
  <si>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</si>
  <si>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</si>
  <si>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</si>
  <si>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</si>
  <si>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</si>
  <si>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</si>
  <si>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</si>
  <si>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</si>
  <si>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</si>
  <si>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</si>
  <si>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</si>
  <si>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</si>
  <si>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</si>
  <si>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</si>
  <si>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</si>
  <si>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</si>
  <si>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</si>
  <si>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</si>
  <si>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</si>
  <si>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</si>
  <si>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</si>
  <si>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</si>
  <si>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</si>
  <si>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</si>
  <si>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</si>
  <si>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</si>
  <si>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</si>
  <si>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</si>
  <si>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</si>
  <si>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</si>
  <si>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</si>
  <si>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</si>
  <si>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</si>
  <si>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</si>
  <si>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</si>
  <si>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</si>
  <si>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</si>
  <si>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</si>
  <si>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</si>
  <si>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</si>
  <si>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</si>
  <si>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</si>
  <si>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</si>
  <si>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</si>
  <si>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</si>
  <si>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</si>
  <si>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</si>
  <si>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</si>
  <si>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</si>
  <si>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</si>
  <si>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</si>
  <si>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</si>
  <si>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</si>
  <si>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</si>
  <si>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</si>
  <si>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</si>
  <si>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</si>
  <si>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</si>
  <si>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</si>
  <si>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</si>
  <si>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</si>
  <si>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</si>
  <si>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</si>
  <si>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</si>
  <si>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</si>
  <si>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</si>
  <si>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</si>
  <si>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</si>
  <si>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</si>
  <si>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</si>
  <si>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</si>
  <si>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</si>
  <si>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</si>
  <si>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</si>
  <si>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</si>
  <si>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</si>
  <si>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</si>
  <si>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</si>
  <si>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</si>
  <si>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</si>
  <si>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M032</t>
    <phoneticPr fontId="1"/>
  </si>
  <si>
    <t>S</t>
    <phoneticPr fontId="1"/>
  </si>
  <si>
    <t>A700</t>
    <phoneticPr fontId="1"/>
  </si>
  <si>
    <t>M078</t>
    <phoneticPr fontId="1"/>
  </si>
  <si>
    <t>A335</t>
    <phoneticPr fontId="1"/>
  </si>
  <si>
    <t>A545</t>
    <phoneticPr fontId="1"/>
  </si>
  <si>
    <t>M037</t>
    <phoneticPr fontId="1"/>
  </si>
  <si>
    <t>M079</t>
    <phoneticPr fontId="1"/>
  </si>
  <si>
    <t>A328</t>
    <phoneticPr fontId="1"/>
  </si>
  <si>
    <t>A550</t>
    <phoneticPr fontId="1"/>
  </si>
  <si>
    <t>M074</t>
    <phoneticPr fontId="1"/>
  </si>
  <si>
    <t>A611</t>
    <phoneticPr fontId="1"/>
  </si>
  <si>
    <t>2025/10/16 個数</t>
  </si>
  <si>
    <t>A156</t>
    <phoneticPr fontId="1"/>
  </si>
  <si>
    <t>P</t>
    <phoneticPr fontId="1"/>
  </si>
  <si>
    <t>2025/10/8 個数</t>
  </si>
  <si>
    <t>2025/10/10 個数</t>
  </si>
  <si>
    <t>2025/10/13 個数</t>
  </si>
  <si>
    <t>M302</t>
    <phoneticPr fontId="1"/>
  </si>
  <si>
    <t>A623</t>
    <phoneticPr fontId="1"/>
  </si>
  <si>
    <t>M070</t>
    <phoneticPr fontId="1"/>
  </si>
  <si>
    <t>A732</t>
    <phoneticPr fontId="1"/>
  </si>
  <si>
    <t>A120</t>
    <phoneticPr fontId="1"/>
  </si>
  <si>
    <t>A913</t>
    <phoneticPr fontId="1"/>
  </si>
  <si>
    <t>AYG119</t>
    <phoneticPr fontId="1"/>
  </si>
  <si>
    <t>A529</t>
    <phoneticPr fontId="1"/>
  </si>
  <si>
    <t>A318</t>
    <phoneticPr fontId="1"/>
  </si>
  <si>
    <t>2025/10/14 個数</t>
  </si>
  <si>
    <t>2025/10/15 個数</t>
  </si>
  <si>
    <t>2025/10/18 個数</t>
  </si>
  <si>
    <t>2025/10/19 個数</t>
  </si>
  <si>
    <t>2025/10/29 個数</t>
  </si>
  <si>
    <t>AYG120</t>
    <phoneticPr fontId="1"/>
  </si>
  <si>
    <t>07090101</t>
    <phoneticPr fontId="1"/>
  </si>
  <si>
    <t>A623</t>
  </si>
  <si>
    <t>07090102</t>
    <phoneticPr fontId="1"/>
  </si>
  <si>
    <t>07090103</t>
    <phoneticPr fontId="1"/>
  </si>
  <si>
    <t>07090104</t>
    <phoneticPr fontId="1"/>
  </si>
  <si>
    <t>07090106</t>
    <phoneticPr fontId="1"/>
  </si>
  <si>
    <t>07090115</t>
    <phoneticPr fontId="1"/>
  </si>
  <si>
    <t>07090119</t>
    <phoneticPr fontId="1"/>
  </si>
  <si>
    <t>07090168</t>
    <phoneticPr fontId="1"/>
  </si>
  <si>
    <t>07090169</t>
    <phoneticPr fontId="1"/>
  </si>
  <si>
    <t>07090173</t>
    <phoneticPr fontId="1"/>
  </si>
  <si>
    <t>07090174</t>
    <phoneticPr fontId="1"/>
  </si>
  <si>
    <t>07090181</t>
    <phoneticPr fontId="1"/>
  </si>
  <si>
    <t>07090217</t>
    <phoneticPr fontId="1"/>
  </si>
  <si>
    <t>07090218</t>
    <phoneticPr fontId="1"/>
  </si>
  <si>
    <t>07090223</t>
    <phoneticPr fontId="1"/>
  </si>
  <si>
    <t>07080238</t>
    <phoneticPr fontId="1"/>
  </si>
  <si>
    <t>07070218</t>
    <phoneticPr fontId="1"/>
  </si>
  <si>
    <t>07090290</t>
    <phoneticPr fontId="1"/>
  </si>
  <si>
    <t>A680</t>
    <phoneticPr fontId="1"/>
  </si>
  <si>
    <t>07090291</t>
    <phoneticPr fontId="1"/>
  </si>
  <si>
    <t>07090292</t>
    <phoneticPr fontId="1"/>
  </si>
  <si>
    <t>07090301</t>
    <phoneticPr fontId="1"/>
  </si>
  <si>
    <t>A199</t>
    <phoneticPr fontId="1"/>
  </si>
  <si>
    <t>07090317</t>
    <phoneticPr fontId="1"/>
  </si>
  <si>
    <t>07090318</t>
    <phoneticPr fontId="1"/>
  </si>
  <si>
    <t>07090325</t>
    <phoneticPr fontId="1"/>
  </si>
  <si>
    <t>07090329</t>
    <phoneticPr fontId="1"/>
  </si>
  <si>
    <t>07090330</t>
    <phoneticPr fontId="1"/>
  </si>
  <si>
    <t>07090331</t>
    <phoneticPr fontId="1"/>
  </si>
  <si>
    <t>07090326</t>
    <phoneticPr fontId="1"/>
  </si>
  <si>
    <t>07090327</t>
    <phoneticPr fontId="1"/>
  </si>
  <si>
    <t>07090328</t>
    <phoneticPr fontId="1"/>
  </si>
  <si>
    <t>07080207</t>
    <phoneticPr fontId="1"/>
  </si>
  <si>
    <t>07090111</t>
    <phoneticPr fontId="1"/>
  </si>
  <si>
    <t>07090114</t>
    <phoneticPr fontId="1"/>
  </si>
  <si>
    <t>07090123</t>
    <phoneticPr fontId="1"/>
  </si>
  <si>
    <t>A700</t>
  </si>
  <si>
    <t>07090124</t>
    <phoneticPr fontId="1"/>
  </si>
  <si>
    <t>07090125</t>
    <phoneticPr fontId="1"/>
  </si>
  <si>
    <t>07090126</t>
    <phoneticPr fontId="1"/>
  </si>
  <si>
    <t>07090127</t>
    <phoneticPr fontId="1"/>
  </si>
  <si>
    <t>07090128</t>
    <phoneticPr fontId="1"/>
  </si>
  <si>
    <t>07090129</t>
    <phoneticPr fontId="1"/>
  </si>
  <si>
    <t>07090130</t>
    <phoneticPr fontId="1"/>
  </si>
  <si>
    <t>07090131</t>
    <phoneticPr fontId="1"/>
  </si>
  <si>
    <t>07090132</t>
    <phoneticPr fontId="1"/>
  </si>
  <si>
    <t>07090133</t>
    <phoneticPr fontId="1"/>
  </si>
  <si>
    <t>07090134</t>
    <phoneticPr fontId="1"/>
  </si>
  <si>
    <t>07090135</t>
    <phoneticPr fontId="1"/>
  </si>
  <si>
    <t>07090136</t>
    <phoneticPr fontId="1"/>
  </si>
  <si>
    <t>07090229</t>
    <phoneticPr fontId="1"/>
  </si>
  <si>
    <t>07090302</t>
    <phoneticPr fontId="1"/>
  </si>
  <si>
    <t>A336</t>
    <phoneticPr fontId="1"/>
  </si>
  <si>
    <t>07090303</t>
    <phoneticPr fontId="1"/>
  </si>
  <si>
    <t>07090304</t>
    <phoneticPr fontId="1"/>
  </si>
  <si>
    <t>07090305</t>
    <phoneticPr fontId="1"/>
  </si>
  <si>
    <t>07090306</t>
    <phoneticPr fontId="1"/>
  </si>
  <si>
    <t>07090307</t>
    <phoneticPr fontId="1"/>
  </si>
  <si>
    <t>07090308</t>
    <phoneticPr fontId="1"/>
  </si>
  <si>
    <t>07090309</t>
    <phoneticPr fontId="1"/>
  </si>
  <si>
    <t>07090310</t>
    <phoneticPr fontId="1"/>
  </si>
  <si>
    <t>07090311</t>
    <phoneticPr fontId="1"/>
  </si>
  <si>
    <t>07090312</t>
    <phoneticPr fontId="1"/>
  </si>
  <si>
    <t>07090313</t>
    <phoneticPr fontId="1"/>
  </si>
  <si>
    <t>07090315</t>
    <phoneticPr fontId="1"/>
  </si>
  <si>
    <t>07090314</t>
    <phoneticPr fontId="1"/>
  </si>
  <si>
    <t>07090316</t>
    <phoneticPr fontId="1"/>
  </si>
  <si>
    <t>07090137</t>
    <phoneticPr fontId="1"/>
  </si>
  <si>
    <t>07090138</t>
  </si>
  <si>
    <t>07090139</t>
  </si>
  <si>
    <t>07090140</t>
  </si>
  <si>
    <t>07090141</t>
  </si>
  <si>
    <t>07090142</t>
  </si>
  <si>
    <t>07090143</t>
  </si>
  <si>
    <t>07090144</t>
  </si>
  <si>
    <t>07090145</t>
  </si>
  <si>
    <t>07090146</t>
  </si>
  <si>
    <t>07090147</t>
  </si>
  <si>
    <t>07090148</t>
  </si>
  <si>
    <t>07090243</t>
    <phoneticPr fontId="1"/>
  </si>
  <si>
    <t>07090342</t>
    <phoneticPr fontId="1"/>
  </si>
  <si>
    <t>07090343</t>
    <phoneticPr fontId="1"/>
  </si>
  <si>
    <t>07090149</t>
    <phoneticPr fontId="1"/>
  </si>
  <si>
    <t>07090150</t>
  </si>
  <si>
    <t>07090151</t>
  </si>
  <si>
    <t>07090152</t>
  </si>
  <si>
    <t>07090227</t>
    <phoneticPr fontId="1"/>
  </si>
  <si>
    <t>07090228</t>
    <phoneticPr fontId="1"/>
  </si>
  <si>
    <t>07090248</t>
    <phoneticPr fontId="1"/>
  </si>
  <si>
    <t>07090271</t>
    <phoneticPr fontId="1"/>
  </si>
  <si>
    <t>07090272</t>
    <phoneticPr fontId="1"/>
  </si>
  <si>
    <t>07090230</t>
    <phoneticPr fontId="1"/>
  </si>
  <si>
    <t>07090231</t>
  </si>
  <si>
    <t>07090232</t>
  </si>
  <si>
    <t>07090233</t>
  </si>
  <si>
    <t>07090234</t>
  </si>
  <si>
    <t>07090235</t>
  </si>
  <si>
    <t>07090236</t>
  </si>
  <si>
    <t>07090237</t>
  </si>
  <si>
    <t>07090238</t>
  </si>
  <si>
    <t>07090239</t>
  </si>
  <si>
    <t>07090240</t>
  </si>
  <si>
    <t>07090241</t>
  </si>
  <si>
    <t>07090242</t>
    <phoneticPr fontId="1"/>
  </si>
  <si>
    <t>07090246</t>
    <phoneticPr fontId="1"/>
  </si>
  <si>
    <t>07090249</t>
    <phoneticPr fontId="1"/>
  </si>
  <si>
    <t>07090250</t>
    <phoneticPr fontId="1"/>
  </si>
  <si>
    <t>07090264</t>
    <phoneticPr fontId="1"/>
  </si>
  <si>
    <t>07090358</t>
    <phoneticPr fontId="1"/>
  </si>
  <si>
    <t>07090359</t>
    <phoneticPr fontId="1"/>
  </si>
  <si>
    <t>07090360</t>
  </si>
  <si>
    <t>07090361</t>
  </si>
  <si>
    <t>07090274</t>
    <phoneticPr fontId="1"/>
  </si>
  <si>
    <t>07090275</t>
    <phoneticPr fontId="1"/>
  </si>
  <si>
    <t>07090276</t>
    <phoneticPr fontId="1"/>
  </si>
  <si>
    <t>07090277</t>
  </si>
  <si>
    <t>07090278</t>
  </si>
  <si>
    <t>07090279</t>
  </si>
  <si>
    <t>07090280</t>
  </si>
  <si>
    <t>07090281</t>
  </si>
  <si>
    <t>07080156</t>
    <phoneticPr fontId="1"/>
  </si>
  <si>
    <t>M0279</t>
    <phoneticPr fontId="1"/>
  </si>
  <si>
    <t>07090078</t>
    <phoneticPr fontId="1"/>
  </si>
  <si>
    <t>07090346</t>
    <phoneticPr fontId="1"/>
  </si>
  <si>
    <t>07090347</t>
    <phoneticPr fontId="1"/>
  </si>
  <si>
    <t>07090353</t>
    <phoneticPr fontId="1"/>
  </si>
  <si>
    <t>07090354</t>
    <phoneticPr fontId="1"/>
  </si>
  <si>
    <t>07090355</t>
    <phoneticPr fontId="1"/>
  </si>
  <si>
    <t>07090370</t>
    <phoneticPr fontId="1"/>
  </si>
  <si>
    <t>A523</t>
    <phoneticPr fontId="1"/>
  </si>
  <si>
    <t>07090371</t>
    <phoneticPr fontId="1"/>
  </si>
  <si>
    <t>07090372</t>
    <phoneticPr fontId="1"/>
  </si>
  <si>
    <t>07090373</t>
    <phoneticPr fontId="1"/>
  </si>
  <si>
    <t>07090374</t>
    <phoneticPr fontId="1"/>
  </si>
  <si>
    <t>07090376</t>
    <phoneticPr fontId="1"/>
  </si>
  <si>
    <t>07090377</t>
    <phoneticPr fontId="1"/>
  </si>
  <si>
    <t>07090378</t>
    <phoneticPr fontId="1"/>
  </si>
  <si>
    <t>2025/10/20 個数</t>
  </si>
  <si>
    <t>2025/10/23 個数</t>
  </si>
  <si>
    <t>2025/10/24 個数</t>
  </si>
  <si>
    <t>2025/10/25 個数</t>
  </si>
  <si>
    <t>2025/10/27 個数</t>
  </si>
  <si>
    <t>2025/10/28 個数</t>
  </si>
  <si>
    <t>2025/12/6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</si>
</sst>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D233" sqref="D23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211</v>
      </c>
      <c r="B1" s="24">
        <v>45922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0" t="s">
        <v>105</v>
      </c>
      <c r="Y2" s="14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2">
        <v>1</v>
      </c>
      <c r="B3" s="145">
        <v>22.4</v>
      </c>
      <c r="C3" s="85" t="s">
        <v>212</v>
      </c>
      <c r="D3" s="109" t="s">
        <v>198</v>
      </c>
      <c r="E3" s="15" t="s">
        <v>43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45943</v>
      </c>
      <c r="U3" s="13" t="s">
        <v>142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3"/>
      <c r="B4" s="146"/>
      <c r="C4" s="85" t="s">
        <v>214</v>
      </c>
      <c r="D4" s="109" t="s">
        <v>198</v>
      </c>
      <c r="E4" s="15" t="s">
        <v>45</v>
      </c>
      <c r="F4" s="16"/>
      <c r="G4" s="12" t="s">
        <v>180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/>
      <c r="R4" s="17"/>
      <c r="S4" s="15"/>
      <c r="T4" s="25">
        <v>45943</v>
      </c>
      <c r="U4" s="13" t="s">
        <v>147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3"/>
      <c r="B5" s="146"/>
      <c r="C5" s="85" t="s">
        <v>215</v>
      </c>
      <c r="D5" s="109" t="s">
        <v>198</v>
      </c>
      <c r="E5" s="15" t="s">
        <v>40</v>
      </c>
      <c r="F5" s="16"/>
      <c r="G5" s="12" t="s">
        <v>180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>
        <v>1</v>
      </c>
      <c r="R5" s="17">
        <v>1</v>
      </c>
      <c r="S5" s="15"/>
      <c r="T5" s="25">
        <v>45943</v>
      </c>
      <c r="U5" s="13" t="s">
        <v>148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3"/>
      <c r="B6" s="146"/>
      <c r="C6" s="85" t="s">
        <v>216</v>
      </c>
      <c r="D6" s="109" t="s">
        <v>198</v>
      </c>
      <c r="E6" s="15" t="s">
        <v>40</v>
      </c>
      <c r="F6" s="16"/>
      <c r="G6" s="12" t="s">
        <v>193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/>
      <c r="R6" s="17"/>
      <c r="S6" s="15"/>
      <c r="T6" s="25">
        <v>45943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3"/>
      <c r="B7" s="146"/>
      <c r="C7" s="85" t="s">
        <v>217</v>
      </c>
      <c r="D7" s="109" t="s">
        <v>190</v>
      </c>
      <c r="E7" s="15" t="s">
        <v>39</v>
      </c>
      <c r="F7" s="16"/>
      <c r="G7" s="12" t="s">
        <v>180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45943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3"/>
      <c r="B8" s="146"/>
      <c r="C8" s="85" t="s">
        <v>218</v>
      </c>
      <c r="D8" s="109" t="s">
        <v>185</v>
      </c>
      <c r="E8" s="15" t="s">
        <v>36</v>
      </c>
      <c r="F8" s="16"/>
      <c r="G8" s="12" t="s">
        <v>180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45948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3"/>
      <c r="B9" s="146"/>
      <c r="C9" s="85" t="s">
        <v>219</v>
      </c>
      <c r="D9" s="109" t="s">
        <v>184</v>
      </c>
      <c r="E9" s="15" t="s">
        <v>38</v>
      </c>
      <c r="F9" s="16"/>
      <c r="G9" s="12" t="s">
        <v>180</v>
      </c>
      <c r="H9" s="15"/>
      <c r="I9" s="13"/>
      <c r="J9" s="15"/>
      <c r="K9" s="15"/>
      <c r="L9" s="17"/>
      <c r="M9" s="17">
        <v>1</v>
      </c>
      <c r="N9" s="13"/>
      <c r="O9" s="17"/>
      <c r="P9" s="17"/>
      <c r="Q9" s="17">
        <v>1</v>
      </c>
      <c r="R9" s="17"/>
      <c r="S9" s="15"/>
      <c r="T9" s="25">
        <v>45944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3"/>
      <c r="B10" s="146"/>
      <c r="C10" s="85" t="s">
        <v>220</v>
      </c>
      <c r="D10" s="109" t="s">
        <v>199</v>
      </c>
      <c r="E10" s="15" t="s">
        <v>75</v>
      </c>
      <c r="F10" s="16"/>
      <c r="G10" s="12" t="s">
        <v>180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/>
      <c r="T10" s="25">
        <v>45945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3"/>
      <c r="B11" s="146"/>
      <c r="C11" s="85" t="s">
        <v>221</v>
      </c>
      <c r="D11" s="109" t="s">
        <v>199</v>
      </c>
      <c r="E11" s="15" t="s">
        <v>37</v>
      </c>
      <c r="F11" s="16"/>
      <c r="G11" s="12" t="s">
        <v>180</v>
      </c>
      <c r="H11" s="15"/>
      <c r="I11" s="13"/>
      <c r="J11" s="15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45945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3"/>
      <c r="B12" s="146"/>
      <c r="C12" s="85" t="s">
        <v>222</v>
      </c>
      <c r="D12" s="109" t="s">
        <v>205</v>
      </c>
      <c r="E12" s="15" t="s">
        <v>39</v>
      </c>
      <c r="F12" s="16"/>
      <c r="G12" s="12" t="s">
        <v>180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45948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3"/>
      <c r="B13" s="146"/>
      <c r="C13" s="85" t="s">
        <v>223</v>
      </c>
      <c r="D13" s="109" t="s">
        <v>205</v>
      </c>
      <c r="E13" s="15" t="s">
        <v>133</v>
      </c>
      <c r="F13" s="16"/>
      <c r="G13" s="12" t="s">
        <v>180</v>
      </c>
      <c r="H13" s="15"/>
      <c r="I13" s="15"/>
      <c r="J13" s="15"/>
      <c r="K13" s="15"/>
      <c r="L13" s="17"/>
      <c r="M13" s="17"/>
      <c r="N13" s="17"/>
      <c r="O13" s="17">
        <v>1</v>
      </c>
      <c r="P13" s="17">
        <v>1</v>
      </c>
      <c r="Q13" s="17">
        <v>1</v>
      </c>
      <c r="R13" s="17">
        <v>1</v>
      </c>
      <c r="S13" s="15"/>
      <c r="T13" s="25">
        <v>45948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3"/>
      <c r="B14" s="146"/>
      <c r="C14" s="85" t="s">
        <v>224</v>
      </c>
      <c r="D14" s="109" t="s">
        <v>205</v>
      </c>
      <c r="E14" s="15" t="s">
        <v>39</v>
      </c>
      <c r="F14" s="16"/>
      <c r="G14" s="12" t="s">
        <v>180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45949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3"/>
      <c r="B15" s="146"/>
      <c r="C15" s="85" t="s">
        <v>225</v>
      </c>
      <c r="D15" s="109" t="s">
        <v>179</v>
      </c>
      <c r="E15" s="15" t="s">
        <v>36</v>
      </c>
      <c r="F15" s="16"/>
      <c r="G15" s="12" t="s">
        <v>180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45943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3"/>
      <c r="B16" s="146"/>
      <c r="C16" s="85" t="s">
        <v>226</v>
      </c>
      <c r="D16" s="109" t="s">
        <v>197</v>
      </c>
      <c r="E16" s="15" t="s">
        <v>36</v>
      </c>
      <c r="F16" s="16"/>
      <c r="G16" s="12" t="s">
        <v>180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45944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3"/>
      <c r="B17" s="146"/>
      <c r="C17" s="85" t="s">
        <v>227</v>
      </c>
      <c r="D17" s="106" t="s">
        <v>190</v>
      </c>
      <c r="E17" s="15" t="s">
        <v>39</v>
      </c>
      <c r="F17" s="16"/>
      <c r="G17" s="15" t="s">
        <v>180</v>
      </c>
      <c r="H17" s="15"/>
      <c r="I17" s="15"/>
      <c r="J17" s="15">
        <v>1</v>
      </c>
      <c r="K17" s="15">
        <v>1</v>
      </c>
      <c r="L17" s="17"/>
      <c r="M17" s="17"/>
      <c r="N17" s="17"/>
      <c r="O17" s="17"/>
      <c r="P17" s="17"/>
      <c r="Q17" s="17"/>
      <c r="R17" s="17"/>
      <c r="S17" s="15"/>
      <c r="T17" s="25">
        <v>45948</v>
      </c>
      <c r="U17" s="132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3"/>
      <c r="B18" s="146"/>
      <c r="C18" s="85" t="s">
        <v>228</v>
      </c>
      <c r="D18" s="110" t="s">
        <v>187</v>
      </c>
      <c r="E18" s="18" t="s">
        <v>38</v>
      </c>
      <c r="F18" s="16"/>
      <c r="G18" s="18" t="s">
        <v>180</v>
      </c>
      <c r="H18" s="15"/>
      <c r="I18" s="15"/>
      <c r="J18" s="18"/>
      <c r="K18" s="15"/>
      <c r="L18" s="19"/>
      <c r="M18" s="19">
        <v>1</v>
      </c>
      <c r="N18" s="19">
        <v>1</v>
      </c>
      <c r="O18" s="19"/>
      <c r="P18" s="19"/>
      <c r="Q18" s="19"/>
      <c r="R18" s="19"/>
      <c r="S18" s="15"/>
      <c r="T18" s="25">
        <v>45959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3"/>
      <c r="B19" s="14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3"/>
      <c r="B20" s="14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3"/>
      <c r="B21" s="14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3"/>
      <c r="B22" s="14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3"/>
      <c r="B23" s="14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3"/>
      <c r="B24" s="14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3"/>
      <c r="B25" s="14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307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3"/>
      <c r="B26" s="14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4"/>
      <c r="B27" s="14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>
        <f t="shared" si="0"/>
        <v>5</v>
      </c>
      <c r="L28" s="29">
        <f t="shared" si="0"/>
        <v>0</v>
      </c>
      <c r="M28" s="29">
        <f t="shared" si="0"/>
        <v>7</v>
      </c>
      <c r="N28" s="29">
        <f t="shared" si="0"/>
        <v>6</v>
      </c>
      <c r="O28" s="29">
        <f t="shared" si="0"/>
        <v>3</v>
      </c>
      <c r="P28" s="29">
        <f t="shared" si="0"/>
        <v>3</v>
      </c>
      <c r="Q28" s="29">
        <f t="shared" si="0"/>
        <v>7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56" t="s">
        <v>104</v>
      </c>
      <c r="AB28" s="157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38</v>
      </c>
      <c r="T29" s="29"/>
      <c r="U29" s="29"/>
      <c r="X29" t="s">
        <v>136</v>
      </c>
      <c r="AA29" s="158"/>
      <c r="AB29" s="159"/>
      <c r="AC29" s="151">
        <f>SUM(AC28:AE28)</f>
        <v>0</v>
      </c>
      <c r="AD29" s="152"/>
      <c r="AE29" s="15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AYG120</v>
      </c>
      <c r="B31" s="24">
        <f>B1</f>
        <v>45922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0" t="s">
        <v>119</v>
      </c>
      <c r="Y32" s="141"/>
      <c r="AA32" s="160" t="s">
        <v>47</v>
      </c>
      <c r="AB32" s="161"/>
    </row>
    <row r="33" spans="1:29" ht="19.5" thickTop="1" x14ac:dyDescent="0.4">
      <c r="A33" s="142">
        <v>2</v>
      </c>
      <c r="B33" s="145">
        <v>19.600000000000001</v>
      </c>
      <c r="C33" s="85" t="s">
        <v>229</v>
      </c>
      <c r="D33" s="109" t="s">
        <v>198</v>
      </c>
      <c r="E33" s="15" t="s">
        <v>74</v>
      </c>
      <c r="F33" s="14"/>
      <c r="G33" s="12" t="s">
        <v>180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45948</v>
      </c>
      <c r="U33" s="13" t="s">
        <v>146</v>
      </c>
      <c r="V33">
        <v>1</v>
      </c>
      <c r="X33" s="51" t="s">
        <v>106</v>
      </c>
      <c r="Y33" s="52">
        <f>COUNTIF(U33:U57,"K")</f>
        <v>8</v>
      </c>
      <c r="AA33" s="31" t="s">
        <v>46</v>
      </c>
      <c r="AB33" s="32">
        <f>J28+J178+J148+J118+J208+J238+J268+J298+J328+J358</f>
        <v>66</v>
      </c>
    </row>
    <row r="34" spans="1:29" x14ac:dyDescent="0.4">
      <c r="A34" s="143"/>
      <c r="B34" s="146"/>
      <c r="C34" s="85" t="s">
        <v>230</v>
      </c>
      <c r="D34" s="109" t="s">
        <v>231</v>
      </c>
      <c r="E34" s="15" t="s">
        <v>39</v>
      </c>
      <c r="F34" s="16"/>
      <c r="G34" s="12" t="s">
        <v>180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45940</v>
      </c>
      <c r="U34" s="13" t="s">
        <v>146</v>
      </c>
      <c r="V34">
        <v>2</v>
      </c>
      <c r="X34" s="51" t="s">
        <v>107</v>
      </c>
      <c r="Y34" s="52">
        <f>COUNTIF(U33:U57,"R")</f>
        <v>4</v>
      </c>
      <c r="AA34" s="31" t="s">
        <v>48</v>
      </c>
      <c r="AB34" s="32">
        <f>K28+K178+K148+K118+K208+K238+K268+K298+K328+K358</f>
        <v>63</v>
      </c>
    </row>
    <row r="35" spans="1:29" ht="19.5" thickBot="1" x14ac:dyDescent="0.45">
      <c r="A35" s="143"/>
      <c r="B35" s="146"/>
      <c r="C35" s="85" t="s">
        <v>232</v>
      </c>
      <c r="D35" s="109" t="s">
        <v>231</v>
      </c>
      <c r="E35" s="15" t="s">
        <v>133</v>
      </c>
      <c r="F35" s="16"/>
      <c r="G35" s="12" t="s">
        <v>180</v>
      </c>
      <c r="H35" s="13"/>
      <c r="I35" s="13"/>
      <c r="J35" s="15"/>
      <c r="K35" s="15"/>
      <c r="L35" s="17"/>
      <c r="M35" s="17"/>
      <c r="N35" s="13"/>
      <c r="O35" s="17">
        <v>1</v>
      </c>
      <c r="P35" s="17">
        <v>1</v>
      </c>
      <c r="Q35" s="17">
        <v>1</v>
      </c>
      <c r="R35" s="17">
        <v>1</v>
      </c>
      <c r="S35" s="15"/>
      <c r="T35" s="25">
        <v>45940</v>
      </c>
      <c r="U35" s="13" t="s">
        <v>148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29</v>
      </c>
    </row>
    <row r="36" spans="1:29" x14ac:dyDescent="0.4">
      <c r="A36" s="143"/>
      <c r="B36" s="146"/>
      <c r="C36" s="85" t="s">
        <v>233</v>
      </c>
      <c r="D36" s="109" t="s">
        <v>231</v>
      </c>
      <c r="E36" s="15" t="s">
        <v>39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45940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13</v>
      </c>
    </row>
    <row r="37" spans="1:29" x14ac:dyDescent="0.4">
      <c r="A37" s="143"/>
      <c r="B37" s="146"/>
      <c r="C37" s="85" t="s">
        <v>234</v>
      </c>
      <c r="D37" s="109" t="s">
        <v>235</v>
      </c>
      <c r="E37" s="15" t="s">
        <v>75</v>
      </c>
      <c r="F37" s="16"/>
      <c r="G37" s="12" t="s">
        <v>180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/>
      <c r="T37" s="25">
        <v>45948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13</v>
      </c>
    </row>
    <row r="38" spans="1:29" x14ac:dyDescent="0.4">
      <c r="A38" s="143"/>
      <c r="B38" s="146"/>
      <c r="C38" s="85" t="s">
        <v>236</v>
      </c>
      <c r="D38" s="109" t="s">
        <v>183</v>
      </c>
      <c r="E38" s="15" t="s">
        <v>41</v>
      </c>
      <c r="F38" s="16"/>
      <c r="G38" s="12" t="s">
        <v>180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45946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43"/>
      <c r="B39" s="146"/>
      <c r="C39" s="85" t="s">
        <v>237</v>
      </c>
      <c r="D39" s="109" t="s">
        <v>183</v>
      </c>
      <c r="E39" s="15" t="s">
        <v>41</v>
      </c>
      <c r="F39" s="16"/>
      <c r="G39" s="12" t="s">
        <v>180</v>
      </c>
      <c r="H39" s="15"/>
      <c r="I39" s="13"/>
      <c r="J39" s="15">
        <v>1</v>
      </c>
      <c r="K39" s="15"/>
      <c r="L39" s="17"/>
      <c r="M39" s="17"/>
      <c r="N39" s="13"/>
      <c r="O39" s="17"/>
      <c r="P39" s="17"/>
      <c r="Q39" s="17"/>
      <c r="R39" s="17"/>
      <c r="S39" s="15"/>
      <c r="T39" s="25">
        <v>45946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16</v>
      </c>
    </row>
    <row r="40" spans="1:29" x14ac:dyDescent="0.4">
      <c r="A40" s="143"/>
      <c r="B40" s="146"/>
      <c r="C40" s="85" t="s">
        <v>238</v>
      </c>
      <c r="D40" s="109" t="s">
        <v>201</v>
      </c>
      <c r="E40" s="15" t="s">
        <v>37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45949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17</v>
      </c>
    </row>
    <row r="41" spans="1:29" x14ac:dyDescent="0.4">
      <c r="A41" s="143"/>
      <c r="B41" s="146"/>
      <c r="C41" s="85" t="s">
        <v>242</v>
      </c>
      <c r="D41" s="109" t="s">
        <v>201</v>
      </c>
      <c r="E41" s="15" t="s">
        <v>38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45949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43"/>
      <c r="B42" s="146"/>
      <c r="C42" s="85" t="s">
        <v>243</v>
      </c>
      <c r="D42" s="109" t="s">
        <v>201</v>
      </c>
      <c r="E42" s="15" t="s">
        <v>40</v>
      </c>
      <c r="F42" s="16"/>
      <c r="G42" s="12" t="s">
        <v>180</v>
      </c>
      <c r="H42" s="15"/>
      <c r="I42" s="15"/>
      <c r="J42" s="15"/>
      <c r="K42" s="15"/>
      <c r="L42" s="17"/>
      <c r="M42" s="17"/>
      <c r="N42" s="17"/>
      <c r="O42" s="17">
        <v>1</v>
      </c>
      <c r="P42" s="17"/>
      <c r="Q42" s="17">
        <v>1</v>
      </c>
      <c r="R42" s="17">
        <v>1</v>
      </c>
      <c r="S42" s="15"/>
      <c r="T42" s="25">
        <v>45949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242</v>
      </c>
    </row>
    <row r="43" spans="1:29" ht="19.5" thickBot="1" x14ac:dyDescent="0.45">
      <c r="A43" s="143"/>
      <c r="B43" s="146"/>
      <c r="C43" s="85" t="s">
        <v>244</v>
      </c>
      <c r="D43" s="109" t="s">
        <v>192</v>
      </c>
      <c r="E43" s="15" t="s">
        <v>37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45949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3"/>
      <c r="B44" s="146"/>
      <c r="C44" s="85" t="s">
        <v>239</v>
      </c>
      <c r="D44" s="109" t="s">
        <v>204</v>
      </c>
      <c r="E44" s="15" t="s">
        <v>44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45948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3"/>
      <c r="B45" s="146"/>
      <c r="C45" s="85" t="s">
        <v>240</v>
      </c>
      <c r="D45" s="109" t="s">
        <v>204</v>
      </c>
      <c r="E45" s="15" t="s">
        <v>58</v>
      </c>
      <c r="F45" s="16"/>
      <c r="G45" s="12" t="s">
        <v>180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>
        <v>1</v>
      </c>
      <c r="T45" s="25">
        <v>45948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3"/>
      <c r="B46" s="146"/>
      <c r="C46" s="85" t="s">
        <v>241</v>
      </c>
      <c r="D46" s="109" t="s">
        <v>184</v>
      </c>
      <c r="E46" s="15" t="s">
        <v>36</v>
      </c>
      <c r="F46" s="16"/>
      <c r="G46" s="12" t="s">
        <v>180</v>
      </c>
      <c r="H46" s="15"/>
      <c r="I46" s="15"/>
      <c r="J46" s="15"/>
      <c r="K46" s="15"/>
      <c r="L46" s="17"/>
      <c r="M46" s="17">
        <v>1</v>
      </c>
      <c r="N46" s="17">
        <v>1</v>
      </c>
      <c r="O46" s="17"/>
      <c r="P46" s="17"/>
      <c r="Q46" s="17">
        <v>1</v>
      </c>
      <c r="R46" s="17"/>
      <c r="S46" s="15"/>
      <c r="T46" s="25">
        <v>45943</v>
      </c>
      <c r="U46" s="13" t="s">
        <v>147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3"/>
      <c r="B47" s="146"/>
      <c r="C47" s="85"/>
      <c r="D47" s="106"/>
      <c r="E47" s="15"/>
      <c r="F47" s="16"/>
      <c r="G47" s="15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3"/>
      <c r="B48" s="14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3"/>
      <c r="B49" s="14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129</v>
      </c>
    </row>
    <row r="50" spans="1:28" ht="19.5" thickBot="1" x14ac:dyDescent="0.45">
      <c r="A50" s="143"/>
      <c r="B50" s="14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3"/>
      <c r="B51" s="14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3"/>
      <c r="B52" s="14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2">
        <v>76</v>
      </c>
    </row>
    <row r="53" spans="1:28" ht="19.5" thickBot="1" x14ac:dyDescent="0.45">
      <c r="A53" s="143"/>
      <c r="B53" s="14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3"/>
    </row>
    <row r="54" spans="1:28" ht="19.5" thickBot="1" x14ac:dyDescent="0.45">
      <c r="A54" s="143"/>
      <c r="B54" s="14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3"/>
      <c r="B55" s="14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0" t="s">
        <v>73</v>
      </c>
      <c r="AB55" s="45"/>
    </row>
    <row r="56" spans="1:28" ht="19.5" thickBot="1" x14ac:dyDescent="0.45">
      <c r="A56" s="143"/>
      <c r="B56" s="14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5"/>
      <c r="AB56" s="46"/>
    </row>
    <row r="57" spans="1:28" ht="19.5" thickBot="1" x14ac:dyDescent="0.45">
      <c r="A57" s="144"/>
      <c r="B57" s="14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0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6</v>
      </c>
      <c r="L58" s="29">
        <f t="shared" si="1"/>
        <v>0</v>
      </c>
      <c r="M58" s="29">
        <f t="shared" si="1"/>
        <v>2</v>
      </c>
      <c r="N58" s="29">
        <f t="shared" si="1"/>
        <v>2</v>
      </c>
      <c r="O58" s="29">
        <f t="shared" si="1"/>
        <v>2</v>
      </c>
      <c r="P58" s="29">
        <f t="shared" si="1"/>
        <v>1</v>
      </c>
      <c r="Q58" s="29">
        <f t="shared" si="1"/>
        <v>4</v>
      </c>
      <c r="R58" s="29">
        <f t="shared" si="1"/>
        <v>2</v>
      </c>
      <c r="S58" s="29">
        <f t="shared" si="1"/>
        <v>1</v>
      </c>
      <c r="T58" s="29" t="s">
        <v>64</v>
      </c>
      <c r="U58" s="29">
        <f>COUNTIF(H33:H57,"M")</f>
        <v>0</v>
      </c>
      <c r="AA58" s="155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AYG120</v>
      </c>
      <c r="B61" s="24">
        <f>B1</f>
        <v>45922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0" t="s">
        <v>118</v>
      </c>
      <c r="Y62" s="141"/>
    </row>
    <row r="63" spans="1:28" ht="20.25" thickTop="1" thickBot="1" x14ac:dyDescent="0.45">
      <c r="A63" s="142">
        <v>3</v>
      </c>
      <c r="B63" s="148">
        <v>24.6</v>
      </c>
      <c r="C63" s="85" t="s">
        <v>245</v>
      </c>
      <c r="D63" s="109" t="s">
        <v>179</v>
      </c>
      <c r="E63" s="15" t="s">
        <v>36</v>
      </c>
      <c r="F63" s="14"/>
      <c r="G63" s="12" t="s">
        <v>180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/>
      <c r="R63" s="13"/>
      <c r="S63" s="13"/>
      <c r="T63" s="25">
        <v>45948</v>
      </c>
      <c r="U63" s="133" t="s">
        <v>147</v>
      </c>
      <c r="V63">
        <v>1</v>
      </c>
      <c r="X63" s="51" t="s">
        <v>106</v>
      </c>
      <c r="Y63" s="52">
        <f>COUNTIF(U63:U87,"K")</f>
        <v>15</v>
      </c>
      <c r="AA63" s="59" t="s">
        <v>120</v>
      </c>
      <c r="AB63" s="60" t="s">
        <v>121</v>
      </c>
    </row>
    <row r="64" spans="1:28" x14ac:dyDescent="0.4">
      <c r="A64" s="143"/>
      <c r="B64" s="149"/>
      <c r="C64" s="85" t="s">
        <v>246</v>
      </c>
      <c r="D64" s="109" t="s">
        <v>179</v>
      </c>
      <c r="E64" s="15" t="s">
        <v>36</v>
      </c>
      <c r="F64" s="16"/>
      <c r="G64" s="12" t="s">
        <v>180</v>
      </c>
      <c r="H64" s="15"/>
      <c r="I64" s="15"/>
      <c r="J64" s="13"/>
      <c r="K64" s="15"/>
      <c r="L64" s="13"/>
      <c r="M64" s="17">
        <v>1</v>
      </c>
      <c r="N64" s="17">
        <v>1</v>
      </c>
      <c r="O64" s="17"/>
      <c r="P64" s="17"/>
      <c r="Q64" s="17">
        <v>1</v>
      </c>
      <c r="R64" s="17"/>
      <c r="S64" s="15"/>
      <c r="T64" s="25">
        <v>45945</v>
      </c>
      <c r="U64" s="13" t="s">
        <v>147</v>
      </c>
      <c r="V64">
        <v>2</v>
      </c>
      <c r="X64" s="51" t="s">
        <v>107</v>
      </c>
      <c r="Y64" s="52">
        <f>COUNTIF(U63:U87,"R")</f>
        <v>2</v>
      </c>
      <c r="AA64" s="47" t="s">
        <v>81</v>
      </c>
      <c r="AB64" s="48" t="s">
        <v>60</v>
      </c>
    </row>
    <row r="65" spans="1:28" ht="19.5" thickBot="1" x14ac:dyDescent="0.45">
      <c r="A65" s="143"/>
      <c r="B65" s="149"/>
      <c r="C65" s="85" t="s">
        <v>247</v>
      </c>
      <c r="D65" s="109" t="s">
        <v>179</v>
      </c>
      <c r="E65" s="15" t="s">
        <v>37</v>
      </c>
      <c r="F65" s="16"/>
      <c r="G65" s="12" t="s">
        <v>180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45943</v>
      </c>
      <c r="U65" s="13" t="s">
        <v>142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3"/>
      <c r="B66" s="149"/>
      <c r="C66" s="85" t="s">
        <v>248</v>
      </c>
      <c r="D66" s="109" t="s">
        <v>181</v>
      </c>
      <c r="E66" s="15" t="s">
        <v>60</v>
      </c>
      <c r="F66" s="16"/>
      <c r="G66" s="12" t="s">
        <v>180</v>
      </c>
      <c r="H66" s="13"/>
      <c r="I66" s="15"/>
      <c r="J66" s="13">
        <v>1</v>
      </c>
      <c r="K66" s="15">
        <v>1</v>
      </c>
      <c r="L66" s="13">
        <v>1</v>
      </c>
      <c r="M66" s="17"/>
      <c r="N66" s="17"/>
      <c r="O66" s="17"/>
      <c r="P66" s="17"/>
      <c r="Q66" s="17"/>
      <c r="R66" s="17"/>
      <c r="S66" s="15"/>
      <c r="T66" s="25">
        <v>45948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3"/>
      <c r="B67" s="149"/>
      <c r="C67" s="85" t="s">
        <v>250</v>
      </c>
      <c r="D67" s="109" t="s">
        <v>181</v>
      </c>
      <c r="E67" s="15" t="s">
        <v>60</v>
      </c>
      <c r="F67" s="16"/>
      <c r="G67" s="12" t="s">
        <v>180</v>
      </c>
      <c r="H67" s="15"/>
      <c r="I67" s="15"/>
      <c r="J67" s="13">
        <v>1</v>
      </c>
      <c r="K67" s="15">
        <v>1</v>
      </c>
      <c r="L67" s="13">
        <v>1</v>
      </c>
      <c r="M67" s="17"/>
      <c r="N67" s="17"/>
      <c r="O67" s="17"/>
      <c r="P67" s="17"/>
      <c r="Q67" s="17"/>
      <c r="R67" s="17"/>
      <c r="S67" s="15"/>
      <c r="T67" s="25">
        <v>45948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3"/>
      <c r="B68" s="149"/>
      <c r="C68" s="85" t="s">
        <v>251</v>
      </c>
      <c r="D68" s="109" t="s">
        <v>181</v>
      </c>
      <c r="E68" s="15" t="s">
        <v>60</v>
      </c>
      <c r="F68" s="16"/>
      <c r="G68" s="12" t="s">
        <v>180</v>
      </c>
      <c r="H68" s="15"/>
      <c r="I68" s="15"/>
      <c r="J68" s="13">
        <v>1</v>
      </c>
      <c r="K68" s="15">
        <v>1</v>
      </c>
      <c r="L68" s="13">
        <v>1</v>
      </c>
      <c r="M68" s="17"/>
      <c r="N68" s="17"/>
      <c r="O68" s="17"/>
      <c r="P68" s="17"/>
      <c r="Q68" s="17"/>
      <c r="R68" s="17"/>
      <c r="S68" s="15"/>
      <c r="T68" s="25">
        <v>45948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3"/>
      <c r="B69" s="149"/>
      <c r="C69" s="85" t="s">
        <v>252</v>
      </c>
      <c r="D69" s="109" t="s">
        <v>181</v>
      </c>
      <c r="E69" s="15" t="s">
        <v>60</v>
      </c>
      <c r="F69" s="16"/>
      <c r="G69" s="12" t="s">
        <v>180</v>
      </c>
      <c r="H69" s="15"/>
      <c r="I69" s="15"/>
      <c r="J69" s="13">
        <v>1</v>
      </c>
      <c r="K69" s="15">
        <v>1</v>
      </c>
      <c r="L69" s="13">
        <v>1</v>
      </c>
      <c r="M69" s="17"/>
      <c r="N69" s="17"/>
      <c r="O69" s="17"/>
      <c r="P69" s="17"/>
      <c r="Q69" s="17"/>
      <c r="R69" s="17"/>
      <c r="S69" s="15"/>
      <c r="T69" s="25">
        <v>45948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3"/>
      <c r="B70" s="149"/>
      <c r="C70" s="85" t="s">
        <v>253</v>
      </c>
      <c r="D70" s="109" t="s">
        <v>181</v>
      </c>
      <c r="E70" s="15" t="s">
        <v>60</v>
      </c>
      <c r="F70" s="16"/>
      <c r="G70" s="12" t="s">
        <v>180</v>
      </c>
      <c r="H70" s="15"/>
      <c r="I70" s="15"/>
      <c r="J70" s="13">
        <v>1</v>
      </c>
      <c r="K70" s="15">
        <v>1</v>
      </c>
      <c r="L70" s="13">
        <v>1</v>
      </c>
      <c r="M70" s="17"/>
      <c r="N70" s="17"/>
      <c r="O70" s="17"/>
      <c r="P70" s="17"/>
      <c r="Q70" s="17"/>
      <c r="R70" s="17"/>
      <c r="S70" s="15"/>
      <c r="T70" s="25">
        <v>45948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3"/>
      <c r="B71" s="149"/>
      <c r="C71" s="85" t="s">
        <v>254</v>
      </c>
      <c r="D71" s="109" t="s">
        <v>181</v>
      </c>
      <c r="E71" s="15" t="s">
        <v>60</v>
      </c>
      <c r="F71" s="16"/>
      <c r="G71" s="12" t="s">
        <v>180</v>
      </c>
      <c r="H71" s="15"/>
      <c r="I71" s="15"/>
      <c r="J71" s="13">
        <v>1</v>
      </c>
      <c r="K71" s="15">
        <v>1</v>
      </c>
      <c r="L71" s="13">
        <v>1</v>
      </c>
      <c r="M71" s="17"/>
      <c r="N71" s="17"/>
      <c r="O71" s="17"/>
      <c r="P71" s="17"/>
      <c r="Q71" s="17"/>
      <c r="R71" s="17"/>
      <c r="S71" s="15"/>
      <c r="T71" s="25">
        <v>45948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3"/>
      <c r="B72" s="149"/>
      <c r="C72" s="85" t="s">
        <v>255</v>
      </c>
      <c r="D72" s="109" t="s">
        <v>181</v>
      </c>
      <c r="E72" s="15" t="s">
        <v>60</v>
      </c>
      <c r="F72" s="16"/>
      <c r="G72" s="12" t="s">
        <v>180</v>
      </c>
      <c r="H72" s="15"/>
      <c r="I72" s="15"/>
      <c r="J72" s="13">
        <v>1</v>
      </c>
      <c r="K72" s="15">
        <v>1</v>
      </c>
      <c r="L72" s="13">
        <v>1</v>
      </c>
      <c r="M72" s="17"/>
      <c r="N72" s="17"/>
      <c r="O72" s="17"/>
      <c r="P72" s="17"/>
      <c r="Q72" s="17"/>
      <c r="R72" s="17"/>
      <c r="S72" s="15"/>
      <c r="T72" s="25">
        <v>45948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3"/>
      <c r="B73" s="149"/>
      <c r="C73" s="85" t="s">
        <v>256</v>
      </c>
      <c r="D73" s="109" t="s">
        <v>181</v>
      </c>
      <c r="E73" s="15" t="s">
        <v>60</v>
      </c>
      <c r="F73" s="16"/>
      <c r="G73" s="15" t="s">
        <v>180</v>
      </c>
      <c r="H73" s="15"/>
      <c r="I73" s="15"/>
      <c r="J73" s="15">
        <v>1</v>
      </c>
      <c r="K73" s="15">
        <v>1</v>
      </c>
      <c r="L73" s="17">
        <v>1</v>
      </c>
      <c r="M73" s="17"/>
      <c r="N73" s="17"/>
      <c r="O73" s="17"/>
      <c r="P73" s="17"/>
      <c r="Q73" s="17"/>
      <c r="R73" s="17"/>
      <c r="S73" s="15"/>
      <c r="T73" s="25">
        <v>45948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3"/>
      <c r="B74" s="149"/>
      <c r="C74" s="85" t="s">
        <v>257</v>
      </c>
      <c r="D74" s="109" t="s">
        <v>181</v>
      </c>
      <c r="E74" s="15" t="s">
        <v>60</v>
      </c>
      <c r="F74" s="16"/>
      <c r="G74" s="15" t="s">
        <v>180</v>
      </c>
      <c r="H74" s="15"/>
      <c r="I74" s="15"/>
      <c r="J74" s="15">
        <v>1</v>
      </c>
      <c r="K74" s="15">
        <v>1</v>
      </c>
      <c r="L74" s="17">
        <v>1</v>
      </c>
      <c r="M74" s="17"/>
      <c r="N74" s="17"/>
      <c r="O74" s="17"/>
      <c r="P74" s="17"/>
      <c r="Q74" s="17"/>
      <c r="R74" s="17"/>
      <c r="S74" s="15"/>
      <c r="T74" s="25">
        <v>45948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3"/>
      <c r="B75" s="149"/>
      <c r="C75" s="85" t="s">
        <v>258</v>
      </c>
      <c r="D75" s="109" t="s">
        <v>181</v>
      </c>
      <c r="E75" s="15" t="s">
        <v>60</v>
      </c>
      <c r="F75" s="16"/>
      <c r="G75" s="15" t="s">
        <v>180</v>
      </c>
      <c r="H75" s="15"/>
      <c r="I75" s="15"/>
      <c r="J75" s="15">
        <v>1</v>
      </c>
      <c r="K75" s="15">
        <v>1</v>
      </c>
      <c r="L75" s="17">
        <v>1</v>
      </c>
      <c r="M75" s="17"/>
      <c r="N75" s="17"/>
      <c r="O75" s="17"/>
      <c r="P75" s="17"/>
      <c r="Q75" s="17"/>
      <c r="R75" s="17"/>
      <c r="S75" s="15"/>
      <c r="T75" s="25">
        <v>45948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3"/>
      <c r="B76" s="149"/>
      <c r="C76" s="85" t="s">
        <v>259</v>
      </c>
      <c r="D76" s="109" t="s">
        <v>181</v>
      </c>
      <c r="E76" s="15" t="s">
        <v>60</v>
      </c>
      <c r="F76" s="16"/>
      <c r="G76" s="15" t="s">
        <v>180</v>
      </c>
      <c r="H76" s="15"/>
      <c r="I76" s="15"/>
      <c r="J76" s="15">
        <v>1</v>
      </c>
      <c r="K76" s="15">
        <v>1</v>
      </c>
      <c r="L76" s="17">
        <v>1</v>
      </c>
      <c r="M76" s="17"/>
      <c r="N76" s="17"/>
      <c r="O76" s="17"/>
      <c r="P76" s="17"/>
      <c r="Q76" s="17"/>
      <c r="R76" s="17"/>
      <c r="S76" s="15"/>
      <c r="T76" s="25">
        <v>45948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3"/>
      <c r="B77" s="149"/>
      <c r="C77" s="85" t="s">
        <v>260</v>
      </c>
      <c r="D77" s="109" t="s">
        <v>181</v>
      </c>
      <c r="E77" s="15" t="s">
        <v>60</v>
      </c>
      <c r="F77" s="16"/>
      <c r="G77" s="15" t="s">
        <v>180</v>
      </c>
      <c r="H77" s="15"/>
      <c r="I77" s="15"/>
      <c r="J77" s="15">
        <v>1</v>
      </c>
      <c r="K77" s="15">
        <v>1</v>
      </c>
      <c r="L77" s="17">
        <v>1</v>
      </c>
      <c r="M77" s="17"/>
      <c r="N77" s="17"/>
      <c r="O77" s="17"/>
      <c r="P77" s="17"/>
      <c r="Q77" s="17"/>
      <c r="R77" s="17"/>
      <c r="S77" s="15"/>
      <c r="T77" s="25">
        <v>45948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3"/>
      <c r="B78" s="149"/>
      <c r="C78" s="85" t="s">
        <v>261</v>
      </c>
      <c r="D78" s="109" t="s">
        <v>181</v>
      </c>
      <c r="E78" s="15" t="s">
        <v>60</v>
      </c>
      <c r="F78" s="16"/>
      <c r="G78" s="15" t="s">
        <v>180</v>
      </c>
      <c r="H78" s="15"/>
      <c r="I78" s="15"/>
      <c r="J78" s="15">
        <v>1</v>
      </c>
      <c r="K78" s="15">
        <v>1</v>
      </c>
      <c r="L78" s="19">
        <v>1</v>
      </c>
      <c r="M78" s="19"/>
      <c r="N78" s="19"/>
      <c r="O78" s="19"/>
      <c r="P78" s="19"/>
      <c r="Q78" s="19"/>
      <c r="R78" s="19"/>
      <c r="S78" s="15"/>
      <c r="T78" s="25">
        <v>45948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43"/>
      <c r="B79" s="149"/>
      <c r="C79" s="85" t="s">
        <v>262</v>
      </c>
      <c r="D79" s="109" t="s">
        <v>181</v>
      </c>
      <c r="E79" s="18" t="s">
        <v>60</v>
      </c>
      <c r="F79" s="16"/>
      <c r="G79" s="18" t="s">
        <v>180</v>
      </c>
      <c r="H79" s="15"/>
      <c r="I79" s="15"/>
      <c r="J79" s="18">
        <v>1</v>
      </c>
      <c r="K79" s="15">
        <v>1</v>
      </c>
      <c r="L79" s="19">
        <v>1</v>
      </c>
      <c r="M79" s="19"/>
      <c r="N79" s="19"/>
      <c r="O79" s="19"/>
      <c r="P79" s="19"/>
      <c r="Q79" s="19"/>
      <c r="R79" s="19"/>
      <c r="S79" s="15"/>
      <c r="T79" s="25">
        <v>45948</v>
      </c>
      <c r="U79" s="15" t="s">
        <v>146</v>
      </c>
      <c r="V79">
        <v>17</v>
      </c>
      <c r="AA79" s="49" t="s">
        <v>96</v>
      </c>
      <c r="AB79" s="50" t="s">
        <v>61</v>
      </c>
    </row>
    <row r="80" spans="1:28" x14ac:dyDescent="0.4">
      <c r="A80" s="143"/>
      <c r="B80" s="149"/>
      <c r="C80" s="85" t="s">
        <v>263</v>
      </c>
      <c r="D80" s="110" t="s">
        <v>179</v>
      </c>
      <c r="E80" s="18" t="s">
        <v>40</v>
      </c>
      <c r="F80" s="16"/>
      <c r="G80" s="18" t="s">
        <v>180</v>
      </c>
      <c r="H80" s="15"/>
      <c r="I80" s="15"/>
      <c r="J80" s="18"/>
      <c r="K80" s="15"/>
      <c r="L80" s="19"/>
      <c r="M80" s="19"/>
      <c r="N80" s="19"/>
      <c r="O80" s="19">
        <v>1</v>
      </c>
      <c r="P80" s="19">
        <v>1</v>
      </c>
      <c r="Q80" s="19"/>
      <c r="R80" s="19">
        <v>1</v>
      </c>
      <c r="S80" s="15"/>
      <c r="T80" s="25">
        <v>45948</v>
      </c>
      <c r="U80" s="15" t="s">
        <v>148</v>
      </c>
      <c r="V80" s="73">
        <v>18</v>
      </c>
      <c r="AA80" s="49" t="s">
        <v>97</v>
      </c>
      <c r="AB80" s="50" t="s">
        <v>76</v>
      </c>
    </row>
    <row r="81" spans="1:28" x14ac:dyDescent="0.4">
      <c r="A81" s="143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3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3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3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3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3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4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18</v>
      </c>
      <c r="D88" s="112"/>
      <c r="E88" s="29"/>
      <c r="F88" s="29" t="s">
        <v>34</v>
      </c>
      <c r="G88" s="29">
        <f>COUNTIF(G63:G87,"S")</f>
        <v>18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15</v>
      </c>
      <c r="L88" s="29">
        <f t="shared" si="2"/>
        <v>14</v>
      </c>
      <c r="M88" s="29">
        <f t="shared" si="2"/>
        <v>2</v>
      </c>
      <c r="N88" s="29">
        <f t="shared" si="2"/>
        <v>2</v>
      </c>
      <c r="O88" s="29">
        <f t="shared" si="2"/>
        <v>1</v>
      </c>
      <c r="P88" s="29">
        <f t="shared" si="2"/>
        <v>1</v>
      </c>
      <c r="Q88" s="29">
        <f t="shared" si="2"/>
        <v>1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37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AYG120</v>
      </c>
      <c r="B91" s="24">
        <f>B1</f>
        <v>45922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0" t="s">
        <v>117</v>
      </c>
      <c r="Y92" s="141"/>
    </row>
    <row r="93" spans="1:28" ht="20.25" thickTop="1" thickBot="1" x14ac:dyDescent="0.45">
      <c r="A93" s="142">
        <v>4</v>
      </c>
      <c r="B93" s="145">
        <v>24</v>
      </c>
      <c r="C93" s="85" t="s">
        <v>264</v>
      </c>
      <c r="D93" s="109" t="s">
        <v>265</v>
      </c>
      <c r="E93" s="15" t="s">
        <v>38</v>
      </c>
      <c r="F93" s="14"/>
      <c r="G93" s="12" t="s">
        <v>180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45946</v>
      </c>
      <c r="U93" s="13" t="s">
        <v>142</v>
      </c>
      <c r="V93">
        <v>1</v>
      </c>
      <c r="X93" s="51" t="s">
        <v>106</v>
      </c>
      <c r="Y93" s="52">
        <f>COUNTIF(U93:U117,"K")</f>
        <v>11</v>
      </c>
      <c r="AA93" s="59" t="s">
        <v>120</v>
      </c>
      <c r="AB93" s="60" t="s">
        <v>121</v>
      </c>
    </row>
    <row r="94" spans="1:28" x14ac:dyDescent="0.4">
      <c r="A94" s="143"/>
      <c r="B94" s="146"/>
      <c r="C94" s="85" t="s">
        <v>266</v>
      </c>
      <c r="D94" s="109" t="s">
        <v>265</v>
      </c>
      <c r="E94" s="15" t="s">
        <v>38</v>
      </c>
      <c r="F94" s="16"/>
      <c r="G94" s="12" t="s">
        <v>180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45946</v>
      </c>
      <c r="U94" s="13" t="s">
        <v>146</v>
      </c>
      <c r="V94">
        <v>2</v>
      </c>
      <c r="X94" s="51" t="s">
        <v>107</v>
      </c>
      <c r="Y94" s="52">
        <f>COUNTIF(U93:U117,"R")</f>
        <v>2</v>
      </c>
      <c r="AA94" s="47" t="s">
        <v>81</v>
      </c>
      <c r="AB94" s="48" t="s">
        <v>60</v>
      </c>
    </row>
    <row r="95" spans="1:28" ht="19.5" thickBot="1" x14ac:dyDescent="0.45">
      <c r="A95" s="143"/>
      <c r="B95" s="146"/>
      <c r="C95" s="85" t="s">
        <v>267</v>
      </c>
      <c r="D95" s="109" t="s">
        <v>265</v>
      </c>
      <c r="E95" s="15" t="s">
        <v>40</v>
      </c>
      <c r="F95" s="16"/>
      <c r="G95" s="12" t="s">
        <v>180</v>
      </c>
      <c r="H95" s="15"/>
      <c r="I95" s="15"/>
      <c r="J95" s="15"/>
      <c r="K95" s="15"/>
      <c r="L95" s="17"/>
      <c r="M95" s="17"/>
      <c r="N95" s="17"/>
      <c r="O95" s="17">
        <v>1</v>
      </c>
      <c r="P95" s="17">
        <v>2</v>
      </c>
      <c r="Q95" s="17"/>
      <c r="R95" s="17"/>
      <c r="S95" s="15"/>
      <c r="T95" s="25">
        <v>45946</v>
      </c>
      <c r="U95" s="13" t="s">
        <v>148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3"/>
      <c r="B96" s="146"/>
      <c r="C96" s="85" t="s">
        <v>268</v>
      </c>
      <c r="D96" s="109" t="s">
        <v>265</v>
      </c>
      <c r="E96" s="15" t="s">
        <v>37</v>
      </c>
      <c r="F96" s="16"/>
      <c r="G96" s="12" t="s">
        <v>180</v>
      </c>
      <c r="H96" s="15"/>
      <c r="I96" s="15"/>
      <c r="J96" s="15"/>
      <c r="K96" s="15"/>
      <c r="L96" s="17"/>
      <c r="M96" s="17"/>
      <c r="N96" s="17">
        <v>1</v>
      </c>
      <c r="O96" s="17"/>
      <c r="P96" s="17"/>
      <c r="Q96" s="17"/>
      <c r="R96" s="17"/>
      <c r="S96" s="15"/>
      <c r="T96" s="25">
        <v>45946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3"/>
      <c r="B97" s="146"/>
      <c r="C97" s="85" t="s">
        <v>269</v>
      </c>
      <c r="D97" s="109" t="s">
        <v>265</v>
      </c>
      <c r="E97" s="15" t="s">
        <v>38</v>
      </c>
      <c r="F97" s="16"/>
      <c r="G97" s="12" t="s">
        <v>180</v>
      </c>
      <c r="H97" s="15"/>
      <c r="I97" s="15"/>
      <c r="J97" s="15">
        <v>1</v>
      </c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45946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3"/>
      <c r="B98" s="146"/>
      <c r="C98" s="85" t="s">
        <v>270</v>
      </c>
      <c r="D98" s="109" t="s">
        <v>265</v>
      </c>
      <c r="E98" s="15" t="s">
        <v>39</v>
      </c>
      <c r="F98" s="16"/>
      <c r="G98" s="12" t="s">
        <v>180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45946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3"/>
      <c r="B99" s="146"/>
      <c r="C99" s="85" t="s">
        <v>271</v>
      </c>
      <c r="D99" s="109" t="s">
        <v>265</v>
      </c>
      <c r="E99" s="15" t="s">
        <v>37</v>
      </c>
      <c r="F99" s="16"/>
      <c r="G99" s="12" t="s">
        <v>180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45946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3"/>
      <c r="B100" s="146"/>
      <c r="C100" s="85" t="s">
        <v>272</v>
      </c>
      <c r="D100" s="109" t="s">
        <v>265</v>
      </c>
      <c r="E100" s="15" t="s">
        <v>40</v>
      </c>
      <c r="F100" s="16"/>
      <c r="G100" s="12" t="s">
        <v>180</v>
      </c>
      <c r="H100" s="15"/>
      <c r="I100" s="15"/>
      <c r="J100" s="15"/>
      <c r="K100" s="15"/>
      <c r="L100" s="17"/>
      <c r="M100" s="17"/>
      <c r="N100" s="17"/>
      <c r="O100" s="17">
        <v>1</v>
      </c>
      <c r="P100" s="17"/>
      <c r="Q100" s="17"/>
      <c r="R100" s="17"/>
      <c r="S100" s="15"/>
      <c r="T100" s="25">
        <v>45946</v>
      </c>
      <c r="U100" s="15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43"/>
      <c r="B101" s="146"/>
      <c r="C101" s="85" t="s">
        <v>273</v>
      </c>
      <c r="D101" s="109" t="s">
        <v>183</v>
      </c>
      <c r="E101" s="15" t="s">
        <v>36</v>
      </c>
      <c r="F101" s="16"/>
      <c r="G101" s="12" t="s">
        <v>180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45946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3"/>
      <c r="B102" s="146"/>
      <c r="C102" s="85" t="s">
        <v>274</v>
      </c>
      <c r="D102" s="109" t="s">
        <v>183</v>
      </c>
      <c r="E102" s="15" t="s">
        <v>36</v>
      </c>
      <c r="F102" s="16"/>
      <c r="G102" s="12" t="s">
        <v>180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45946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3"/>
      <c r="B103" s="146"/>
      <c r="C103" s="85" t="s">
        <v>275</v>
      </c>
      <c r="D103" s="109" t="s">
        <v>183</v>
      </c>
      <c r="E103" s="15" t="s">
        <v>38</v>
      </c>
      <c r="F103" s="16"/>
      <c r="G103" s="12" t="s">
        <v>180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45946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3"/>
      <c r="B104" s="146"/>
      <c r="C104" s="85" t="s">
        <v>276</v>
      </c>
      <c r="D104" s="109" t="s">
        <v>183</v>
      </c>
      <c r="E104" s="15" t="s">
        <v>39</v>
      </c>
      <c r="F104" s="16"/>
      <c r="G104" s="12" t="s">
        <v>180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45946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3"/>
      <c r="B105" s="146"/>
      <c r="C105" s="85" t="s">
        <v>278</v>
      </c>
      <c r="D105" s="109" t="s">
        <v>183</v>
      </c>
      <c r="E105" s="15" t="s">
        <v>39</v>
      </c>
      <c r="F105" s="16"/>
      <c r="G105" s="12" t="s">
        <v>180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45946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3"/>
      <c r="B106" s="146"/>
      <c r="C106" s="85" t="s">
        <v>277</v>
      </c>
      <c r="D106" s="109" t="s">
        <v>183</v>
      </c>
      <c r="E106" s="15" t="s">
        <v>39</v>
      </c>
      <c r="F106" s="16"/>
      <c r="G106" s="12" t="s">
        <v>180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45946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3"/>
      <c r="B107" s="146"/>
      <c r="C107" s="85" t="s">
        <v>279</v>
      </c>
      <c r="D107" s="109" t="s">
        <v>183</v>
      </c>
      <c r="E107" s="15" t="s">
        <v>39</v>
      </c>
      <c r="F107" s="16"/>
      <c r="G107" s="15" t="s">
        <v>180</v>
      </c>
      <c r="H107" s="15"/>
      <c r="I107" s="15"/>
      <c r="J107" s="15">
        <v>1</v>
      </c>
      <c r="K107" s="15">
        <v>1</v>
      </c>
      <c r="L107" s="17"/>
      <c r="M107" s="17"/>
      <c r="N107" s="17"/>
      <c r="O107" s="17"/>
      <c r="P107" s="17"/>
      <c r="Q107" s="17"/>
      <c r="R107" s="17"/>
      <c r="S107" s="15"/>
      <c r="T107" s="25">
        <v>45946</v>
      </c>
      <c r="U107" s="15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3"/>
      <c r="B108" s="146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3"/>
      <c r="B109" s="14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3"/>
      <c r="B110" s="14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3"/>
      <c r="B111" s="14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3"/>
      <c r="B112" s="14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3"/>
      <c r="B113" s="14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3"/>
      <c r="B114" s="14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3"/>
      <c r="B115" s="14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3"/>
      <c r="B116" s="14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4"/>
      <c r="B117" s="14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11</v>
      </c>
      <c r="K118" s="29">
        <f t="shared" ref="K118" si="4">SUM(K93:K117)</f>
        <v>11</v>
      </c>
      <c r="L118" s="29">
        <f t="shared" ref="L118" si="5">SUM(L93:L117)</f>
        <v>0</v>
      </c>
      <c r="M118" s="29">
        <f t="shared" ref="M118" si="6">SUM(M93:M117)</f>
        <v>1</v>
      </c>
      <c r="N118" s="29">
        <f t="shared" ref="N118" si="7">SUM(N93:N117)</f>
        <v>2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1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AYG120</v>
      </c>
      <c r="B121" s="24">
        <f>B1</f>
        <v>45922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0" t="s">
        <v>116</v>
      </c>
      <c r="Y122" s="141"/>
    </row>
    <row r="123" spans="1:28" ht="20.25" thickTop="1" thickBot="1" x14ac:dyDescent="0.45">
      <c r="A123" s="142">
        <v>5</v>
      </c>
      <c r="B123" s="145">
        <v>24</v>
      </c>
      <c r="C123" s="85" t="s">
        <v>280</v>
      </c>
      <c r="D123" s="109" t="s">
        <v>181</v>
      </c>
      <c r="E123" s="15" t="s">
        <v>60</v>
      </c>
      <c r="F123" s="14"/>
      <c r="G123" s="12" t="s">
        <v>180</v>
      </c>
      <c r="H123" s="13"/>
      <c r="I123" s="13"/>
      <c r="J123" s="13">
        <v>1</v>
      </c>
      <c r="K123" s="13">
        <v>1</v>
      </c>
      <c r="L123" s="13">
        <v>1</v>
      </c>
      <c r="M123" s="13"/>
      <c r="N123" s="13"/>
      <c r="O123" s="13"/>
      <c r="P123" s="13"/>
      <c r="Q123" s="13"/>
      <c r="R123" s="13"/>
      <c r="S123" s="13"/>
      <c r="T123" s="25">
        <v>45948</v>
      </c>
      <c r="U123" s="13" t="s">
        <v>142</v>
      </c>
      <c r="V123">
        <v>1</v>
      </c>
      <c r="X123" s="51" t="s">
        <v>106</v>
      </c>
      <c r="Y123" s="52">
        <f>COUNTIF(U123:U147,"K")</f>
        <v>15</v>
      </c>
      <c r="AA123" s="59" t="s">
        <v>120</v>
      </c>
      <c r="AB123" s="60" t="s">
        <v>121</v>
      </c>
    </row>
    <row r="124" spans="1:28" x14ac:dyDescent="0.4">
      <c r="A124" s="143"/>
      <c r="B124" s="146"/>
      <c r="C124" s="85" t="s">
        <v>281</v>
      </c>
      <c r="D124" s="109" t="s">
        <v>181</v>
      </c>
      <c r="E124" s="15" t="s">
        <v>60</v>
      </c>
      <c r="F124" s="16"/>
      <c r="G124" s="12" t="s">
        <v>180</v>
      </c>
      <c r="H124" s="15"/>
      <c r="I124" s="15"/>
      <c r="J124" s="15">
        <v>1</v>
      </c>
      <c r="K124" s="15">
        <v>1</v>
      </c>
      <c r="L124" s="17">
        <v>1</v>
      </c>
      <c r="M124" s="17"/>
      <c r="N124" s="17"/>
      <c r="O124" s="17"/>
      <c r="P124" s="17"/>
      <c r="Q124" s="17"/>
      <c r="R124" s="17"/>
      <c r="S124" s="15"/>
      <c r="T124" s="25">
        <v>45948</v>
      </c>
      <c r="U124" s="13" t="s">
        <v>142</v>
      </c>
      <c r="V124">
        <v>2</v>
      </c>
      <c r="X124" s="51" t="s">
        <v>107</v>
      </c>
      <c r="Y124" s="52">
        <f>COUNTIF(U123:U147,"R")</f>
        <v>0</v>
      </c>
      <c r="AA124" s="47" t="s">
        <v>81</v>
      </c>
      <c r="AB124" s="48" t="s">
        <v>60</v>
      </c>
    </row>
    <row r="125" spans="1:28" ht="19.5" thickBot="1" x14ac:dyDescent="0.45">
      <c r="A125" s="143"/>
      <c r="B125" s="146"/>
      <c r="C125" s="85" t="s">
        <v>282</v>
      </c>
      <c r="D125" s="109" t="s">
        <v>249</v>
      </c>
      <c r="E125" s="15" t="s">
        <v>60</v>
      </c>
      <c r="F125" s="16"/>
      <c r="G125" s="12" t="s">
        <v>180</v>
      </c>
      <c r="H125" s="15"/>
      <c r="I125" s="15"/>
      <c r="J125" s="13">
        <v>1</v>
      </c>
      <c r="K125" s="13">
        <v>1</v>
      </c>
      <c r="L125" s="13">
        <v>1</v>
      </c>
      <c r="M125" s="17"/>
      <c r="N125" s="17"/>
      <c r="O125" s="17"/>
      <c r="P125" s="17"/>
      <c r="Q125" s="17"/>
      <c r="R125" s="17"/>
      <c r="S125" s="15"/>
      <c r="T125" s="25">
        <v>45948</v>
      </c>
      <c r="U125" s="13" t="s">
        <v>142</v>
      </c>
      <c r="V125">
        <v>3</v>
      </c>
      <c r="X125" s="53" t="s">
        <v>108</v>
      </c>
      <c r="Y125" s="54">
        <f>COUNTIF(U123:U147,"J")</f>
        <v>0</v>
      </c>
      <c r="AA125" s="49" t="s">
        <v>82</v>
      </c>
      <c r="AB125" s="50" t="s">
        <v>39</v>
      </c>
    </row>
    <row r="126" spans="1:28" x14ac:dyDescent="0.4">
      <c r="A126" s="143"/>
      <c r="B126" s="146"/>
      <c r="C126" s="85" t="s">
        <v>283</v>
      </c>
      <c r="D126" s="109" t="s">
        <v>249</v>
      </c>
      <c r="E126" s="15" t="s">
        <v>60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>
        <v>1</v>
      </c>
      <c r="M126" s="17"/>
      <c r="N126" s="17"/>
      <c r="O126" s="17"/>
      <c r="P126" s="17"/>
      <c r="Q126" s="17"/>
      <c r="R126" s="17"/>
      <c r="S126" s="15"/>
      <c r="T126" s="25">
        <v>45948</v>
      </c>
      <c r="U126" s="13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43"/>
      <c r="B127" s="146"/>
      <c r="C127" s="85" t="s">
        <v>284</v>
      </c>
      <c r="D127" s="109" t="s">
        <v>249</v>
      </c>
      <c r="E127" s="15" t="s">
        <v>60</v>
      </c>
      <c r="F127" s="16"/>
      <c r="G127" s="12" t="s">
        <v>180</v>
      </c>
      <c r="H127" s="15"/>
      <c r="I127" s="15"/>
      <c r="J127" s="13">
        <v>1</v>
      </c>
      <c r="K127" s="13">
        <v>1</v>
      </c>
      <c r="L127" s="13">
        <v>1</v>
      </c>
      <c r="M127" s="17"/>
      <c r="N127" s="17"/>
      <c r="O127" s="17"/>
      <c r="P127" s="17"/>
      <c r="Q127" s="17"/>
      <c r="R127" s="17"/>
      <c r="S127" s="15"/>
      <c r="T127" s="25">
        <v>45948</v>
      </c>
      <c r="U127" s="13" t="s">
        <v>142</v>
      </c>
      <c r="V127">
        <v>5</v>
      </c>
      <c r="AA127" s="49" t="s">
        <v>84</v>
      </c>
      <c r="AB127" s="50" t="s">
        <v>44</v>
      </c>
    </row>
    <row r="128" spans="1:28" x14ac:dyDescent="0.4">
      <c r="A128" s="143"/>
      <c r="B128" s="146"/>
      <c r="C128" s="85" t="s">
        <v>285</v>
      </c>
      <c r="D128" s="109" t="s">
        <v>249</v>
      </c>
      <c r="E128" s="15" t="s">
        <v>60</v>
      </c>
      <c r="F128" s="16"/>
      <c r="G128" s="12" t="s">
        <v>180</v>
      </c>
      <c r="H128" s="13"/>
      <c r="I128" s="15"/>
      <c r="J128" s="15">
        <v>1</v>
      </c>
      <c r="K128" s="15">
        <v>1</v>
      </c>
      <c r="L128" s="17">
        <v>1</v>
      </c>
      <c r="M128" s="17"/>
      <c r="N128" s="17"/>
      <c r="O128" s="17"/>
      <c r="P128" s="17"/>
      <c r="Q128" s="17"/>
      <c r="R128" s="17"/>
      <c r="S128" s="15"/>
      <c r="T128" s="25">
        <v>45948</v>
      </c>
      <c r="U128" s="13" t="s">
        <v>142</v>
      </c>
      <c r="V128">
        <v>6</v>
      </c>
      <c r="AA128" s="49" t="s">
        <v>85</v>
      </c>
      <c r="AB128" s="50" t="s">
        <v>43</v>
      </c>
    </row>
    <row r="129" spans="1:28" x14ac:dyDescent="0.4">
      <c r="A129" s="143"/>
      <c r="B129" s="146"/>
      <c r="C129" s="85" t="s">
        <v>286</v>
      </c>
      <c r="D129" s="109" t="s">
        <v>249</v>
      </c>
      <c r="E129" s="15" t="s">
        <v>60</v>
      </c>
      <c r="F129" s="16"/>
      <c r="G129" s="12" t="s">
        <v>180</v>
      </c>
      <c r="H129" s="15"/>
      <c r="I129" s="15"/>
      <c r="J129" s="13">
        <v>1</v>
      </c>
      <c r="K129" s="13">
        <v>1</v>
      </c>
      <c r="L129" s="13">
        <v>1</v>
      </c>
      <c r="M129" s="17"/>
      <c r="N129" s="17"/>
      <c r="O129" s="17"/>
      <c r="P129" s="17"/>
      <c r="Q129" s="17"/>
      <c r="R129" s="17"/>
      <c r="S129" s="15"/>
      <c r="T129" s="25">
        <v>45948</v>
      </c>
      <c r="U129" s="13" t="s">
        <v>142</v>
      </c>
      <c r="V129">
        <v>7</v>
      </c>
      <c r="AA129" s="49" t="s">
        <v>86</v>
      </c>
      <c r="AB129" s="50" t="s">
        <v>45</v>
      </c>
    </row>
    <row r="130" spans="1:28" x14ac:dyDescent="0.4">
      <c r="A130" s="143"/>
      <c r="B130" s="146"/>
      <c r="C130" s="85" t="s">
        <v>287</v>
      </c>
      <c r="D130" s="109" t="s">
        <v>249</v>
      </c>
      <c r="E130" s="15" t="s">
        <v>60</v>
      </c>
      <c r="F130" s="16"/>
      <c r="G130" s="12" t="s">
        <v>180</v>
      </c>
      <c r="H130" s="15"/>
      <c r="I130" s="15"/>
      <c r="J130" s="15">
        <v>1</v>
      </c>
      <c r="K130" s="15">
        <v>1</v>
      </c>
      <c r="L130" s="17">
        <v>1</v>
      </c>
      <c r="M130" s="17"/>
      <c r="N130" s="17"/>
      <c r="O130" s="17"/>
      <c r="P130" s="17"/>
      <c r="Q130" s="17"/>
      <c r="R130" s="17"/>
      <c r="S130" s="15"/>
      <c r="T130" s="25">
        <v>45948</v>
      </c>
      <c r="U130" s="13" t="s">
        <v>142</v>
      </c>
      <c r="V130">
        <v>8</v>
      </c>
      <c r="AA130" s="49" t="s">
        <v>87</v>
      </c>
      <c r="AB130" s="50" t="s">
        <v>37</v>
      </c>
    </row>
    <row r="131" spans="1:28" x14ac:dyDescent="0.4">
      <c r="A131" s="143"/>
      <c r="B131" s="146"/>
      <c r="C131" s="85" t="s">
        <v>288</v>
      </c>
      <c r="D131" s="109" t="s">
        <v>249</v>
      </c>
      <c r="E131" s="15" t="s">
        <v>60</v>
      </c>
      <c r="F131" s="16"/>
      <c r="G131" s="12" t="s">
        <v>180</v>
      </c>
      <c r="H131" s="15"/>
      <c r="I131" s="15"/>
      <c r="J131" s="13">
        <v>1</v>
      </c>
      <c r="K131" s="13">
        <v>1</v>
      </c>
      <c r="L131" s="13">
        <v>1</v>
      </c>
      <c r="M131" s="17"/>
      <c r="N131" s="17"/>
      <c r="O131" s="17"/>
      <c r="P131" s="17"/>
      <c r="Q131" s="17"/>
      <c r="R131" s="17"/>
      <c r="S131" s="15"/>
      <c r="T131" s="25">
        <v>45948</v>
      </c>
      <c r="U131" s="13" t="s">
        <v>142</v>
      </c>
      <c r="V131">
        <v>9</v>
      </c>
      <c r="AA131" s="49" t="s">
        <v>88</v>
      </c>
      <c r="AB131" s="50" t="s">
        <v>74</v>
      </c>
    </row>
    <row r="132" spans="1:28" x14ac:dyDescent="0.4">
      <c r="A132" s="143"/>
      <c r="B132" s="146"/>
      <c r="C132" s="85" t="s">
        <v>289</v>
      </c>
      <c r="D132" s="109" t="s">
        <v>249</v>
      </c>
      <c r="E132" s="15" t="s">
        <v>60</v>
      </c>
      <c r="F132" s="16"/>
      <c r="G132" s="12" t="s">
        <v>180</v>
      </c>
      <c r="H132" s="15"/>
      <c r="I132" s="15"/>
      <c r="J132" s="15">
        <v>1</v>
      </c>
      <c r="K132" s="15">
        <v>1</v>
      </c>
      <c r="L132" s="17">
        <v>1</v>
      </c>
      <c r="M132" s="17"/>
      <c r="N132" s="17"/>
      <c r="O132" s="17"/>
      <c r="P132" s="17"/>
      <c r="Q132" s="17"/>
      <c r="R132" s="17"/>
      <c r="S132" s="15"/>
      <c r="T132" s="25">
        <v>45948</v>
      </c>
      <c r="U132" s="13" t="s">
        <v>142</v>
      </c>
      <c r="V132">
        <v>10</v>
      </c>
      <c r="AA132" s="49" t="s">
        <v>89</v>
      </c>
      <c r="AB132" s="50" t="s">
        <v>36</v>
      </c>
    </row>
    <row r="133" spans="1:28" x14ac:dyDescent="0.4">
      <c r="A133" s="143"/>
      <c r="B133" s="146"/>
      <c r="C133" s="85" t="s">
        <v>290</v>
      </c>
      <c r="D133" s="109" t="s">
        <v>249</v>
      </c>
      <c r="E133" s="15" t="s">
        <v>60</v>
      </c>
      <c r="F133" s="16"/>
      <c r="G133" s="12" t="s">
        <v>180</v>
      </c>
      <c r="H133" s="15"/>
      <c r="I133" s="15"/>
      <c r="J133" s="13">
        <v>1</v>
      </c>
      <c r="K133" s="13">
        <v>1</v>
      </c>
      <c r="L133" s="13">
        <v>1</v>
      </c>
      <c r="M133" s="17"/>
      <c r="N133" s="17"/>
      <c r="O133" s="17"/>
      <c r="P133" s="17"/>
      <c r="Q133" s="17"/>
      <c r="R133" s="17"/>
      <c r="S133" s="15"/>
      <c r="T133" s="25">
        <v>45948</v>
      </c>
      <c r="U133" s="13" t="s">
        <v>142</v>
      </c>
      <c r="V133">
        <v>11</v>
      </c>
      <c r="AA133" s="49" t="s">
        <v>90</v>
      </c>
      <c r="AB133" s="50" t="s">
        <v>58</v>
      </c>
    </row>
    <row r="134" spans="1:28" x14ac:dyDescent="0.4">
      <c r="A134" s="143"/>
      <c r="B134" s="146"/>
      <c r="C134" s="85" t="s">
        <v>291</v>
      </c>
      <c r="D134" s="109" t="s">
        <v>249</v>
      </c>
      <c r="E134" s="15" t="s">
        <v>60</v>
      </c>
      <c r="F134" s="16"/>
      <c r="G134" s="12" t="s">
        <v>180</v>
      </c>
      <c r="H134" s="15"/>
      <c r="I134" s="15"/>
      <c r="J134" s="15">
        <v>1</v>
      </c>
      <c r="K134" s="15">
        <v>1</v>
      </c>
      <c r="L134" s="17">
        <v>1</v>
      </c>
      <c r="M134" s="17"/>
      <c r="N134" s="17"/>
      <c r="O134" s="17"/>
      <c r="P134" s="17"/>
      <c r="Q134" s="17"/>
      <c r="R134" s="17"/>
      <c r="S134" s="15"/>
      <c r="T134" s="25">
        <v>45948</v>
      </c>
      <c r="U134" s="13" t="s">
        <v>142</v>
      </c>
      <c r="V134">
        <v>12</v>
      </c>
      <c r="AA134" s="49" t="s">
        <v>91</v>
      </c>
      <c r="AB134" s="50" t="s">
        <v>75</v>
      </c>
    </row>
    <row r="135" spans="1:28" x14ac:dyDescent="0.4">
      <c r="A135" s="143"/>
      <c r="B135" s="146"/>
      <c r="C135" s="85" t="s">
        <v>292</v>
      </c>
      <c r="D135" s="109" t="s">
        <v>200</v>
      </c>
      <c r="E135" s="15" t="s">
        <v>37</v>
      </c>
      <c r="F135" s="16"/>
      <c r="G135" s="12" t="s">
        <v>180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45948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3"/>
      <c r="B136" s="146"/>
      <c r="C136" s="85" t="s">
        <v>293</v>
      </c>
      <c r="D136" s="109" t="s">
        <v>202</v>
      </c>
      <c r="E136" s="15" t="s">
        <v>36</v>
      </c>
      <c r="F136" s="16"/>
      <c r="G136" s="12" t="s">
        <v>180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45949</v>
      </c>
      <c r="U136" s="15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43"/>
      <c r="B137" s="146"/>
      <c r="C137" s="85" t="s">
        <v>294</v>
      </c>
      <c r="D137" s="109" t="s">
        <v>202</v>
      </c>
      <c r="E137" s="15" t="s">
        <v>58</v>
      </c>
      <c r="F137" s="16"/>
      <c r="G137" s="15" t="s">
        <v>180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>
        <v>1</v>
      </c>
      <c r="T137" s="25">
        <v>45949</v>
      </c>
      <c r="U137" s="1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3"/>
      <c r="B138" s="146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3"/>
      <c r="B139" s="146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3"/>
      <c r="B140" s="146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3"/>
      <c r="B141" s="146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3"/>
      <c r="B142" s="14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3"/>
      <c r="B143" s="14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3"/>
      <c r="B144" s="14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3"/>
      <c r="B145" s="14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3"/>
      <c r="B146" s="14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4"/>
      <c r="B147" s="14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14</v>
      </c>
      <c r="K148" s="29">
        <f t="shared" ref="K148" si="14">SUM(K123:K147)</f>
        <v>14</v>
      </c>
      <c r="L148" s="29">
        <f t="shared" ref="L148" si="15">SUM(L123:L147)</f>
        <v>12</v>
      </c>
      <c r="M148" s="29">
        <f t="shared" ref="M148" si="16">SUM(M123:M147)</f>
        <v>0</v>
      </c>
      <c r="N148" s="29">
        <f t="shared" ref="N148" si="17">SUM(N123:N147)</f>
        <v>0</v>
      </c>
      <c r="O148" s="29">
        <f t="shared" ref="O148" si="18">SUM(O123:O147)</f>
        <v>0</v>
      </c>
      <c r="P148" s="29">
        <f t="shared" ref="P148" si="19">SUM(P123:P147)</f>
        <v>0</v>
      </c>
      <c r="Q148" s="29">
        <f t="shared" ref="Q148" si="20">SUM(Q123:Q147)</f>
        <v>0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41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AYG120</v>
      </c>
      <c r="B151" s="24">
        <f>B1</f>
        <v>45922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0" t="s">
        <v>115</v>
      </c>
      <c r="Y152" s="141"/>
    </row>
    <row r="153" spans="1:28" ht="20.25" thickTop="1" thickBot="1" x14ac:dyDescent="0.45">
      <c r="A153" s="142">
        <v>6</v>
      </c>
      <c r="B153" s="148">
        <v>20.8</v>
      </c>
      <c r="C153" s="85" t="s">
        <v>295</v>
      </c>
      <c r="D153" s="109" t="s">
        <v>181</v>
      </c>
      <c r="E153" s="13" t="s">
        <v>60</v>
      </c>
      <c r="F153" s="14"/>
      <c r="G153" s="12" t="s">
        <v>180</v>
      </c>
      <c r="H153" s="13"/>
      <c r="I153" s="13"/>
      <c r="J153" s="13">
        <v>1</v>
      </c>
      <c r="K153" s="13">
        <v>1</v>
      </c>
      <c r="L153" s="13">
        <v>1</v>
      </c>
      <c r="M153" s="13"/>
      <c r="N153" s="13"/>
      <c r="O153" s="13"/>
      <c r="P153" s="13"/>
      <c r="Q153" s="13"/>
      <c r="R153" s="13"/>
      <c r="S153" s="13"/>
      <c r="T153" s="26">
        <v>45948</v>
      </c>
      <c r="U153" s="13" t="s">
        <v>142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43"/>
      <c r="B154" s="149"/>
      <c r="C154" s="85" t="s">
        <v>296</v>
      </c>
      <c r="D154" s="109" t="s">
        <v>181</v>
      </c>
      <c r="E154" s="13" t="s">
        <v>60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>
        <v>1</v>
      </c>
      <c r="M154" s="17"/>
      <c r="N154" s="17"/>
      <c r="O154" s="17"/>
      <c r="P154" s="17"/>
      <c r="Q154" s="17"/>
      <c r="R154" s="17"/>
      <c r="S154" s="15"/>
      <c r="T154" s="26">
        <v>45948</v>
      </c>
      <c r="U154" s="13" t="s">
        <v>146</v>
      </c>
      <c r="V154">
        <v>2</v>
      </c>
      <c r="X154" s="51" t="s">
        <v>107</v>
      </c>
      <c r="Y154" s="52">
        <f>COUNTIF(U153:U177,"R")</f>
        <v>3</v>
      </c>
      <c r="AA154" s="47" t="s">
        <v>81</v>
      </c>
      <c r="AB154" s="48" t="s">
        <v>60</v>
      </c>
    </row>
    <row r="155" spans="1:28" ht="19.5" thickBot="1" x14ac:dyDescent="0.45">
      <c r="A155" s="143"/>
      <c r="B155" s="149"/>
      <c r="C155" s="85" t="s">
        <v>297</v>
      </c>
      <c r="D155" s="109" t="s">
        <v>249</v>
      </c>
      <c r="E155" s="13" t="s">
        <v>60</v>
      </c>
      <c r="F155" s="16"/>
      <c r="G155" s="12" t="s">
        <v>180</v>
      </c>
      <c r="H155" s="13"/>
      <c r="I155" s="15"/>
      <c r="J155" s="13">
        <v>1</v>
      </c>
      <c r="K155" s="13">
        <v>1</v>
      </c>
      <c r="L155" s="13">
        <v>1</v>
      </c>
      <c r="M155" s="17"/>
      <c r="N155" s="17"/>
      <c r="O155" s="17"/>
      <c r="P155" s="17"/>
      <c r="Q155" s="17"/>
      <c r="R155" s="17"/>
      <c r="S155" s="15"/>
      <c r="T155" s="26">
        <v>45948</v>
      </c>
      <c r="U155" s="13" t="s">
        <v>142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3"/>
      <c r="B156" s="149"/>
      <c r="C156" s="85" t="s">
        <v>298</v>
      </c>
      <c r="D156" s="109" t="s">
        <v>249</v>
      </c>
      <c r="E156" s="13" t="s">
        <v>60</v>
      </c>
      <c r="F156" s="16"/>
      <c r="G156" s="12" t="s">
        <v>180</v>
      </c>
      <c r="H156" s="15"/>
      <c r="I156" s="15"/>
      <c r="J156" s="15">
        <v>1</v>
      </c>
      <c r="K156" s="15">
        <v>1</v>
      </c>
      <c r="L156" s="17">
        <v>1</v>
      </c>
      <c r="M156" s="17"/>
      <c r="N156" s="17"/>
      <c r="O156" s="17"/>
      <c r="P156" s="17"/>
      <c r="Q156" s="17"/>
      <c r="R156" s="17"/>
      <c r="S156" s="15"/>
      <c r="T156" s="26">
        <v>45948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3"/>
      <c r="B157" s="149"/>
      <c r="C157" s="85" t="s">
        <v>299</v>
      </c>
      <c r="D157" s="109" t="s">
        <v>179</v>
      </c>
      <c r="E157" s="13" t="s">
        <v>38</v>
      </c>
      <c r="F157" s="16"/>
      <c r="G157" s="12" t="s">
        <v>180</v>
      </c>
      <c r="H157" s="15"/>
      <c r="I157" s="15"/>
      <c r="J157" s="13"/>
      <c r="K157" s="15"/>
      <c r="L157" s="13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6">
        <v>45948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3"/>
      <c r="B158" s="149"/>
      <c r="C158" s="85" t="s">
        <v>300</v>
      </c>
      <c r="D158" s="109" t="s">
        <v>179</v>
      </c>
      <c r="E158" s="13" t="s">
        <v>36</v>
      </c>
      <c r="F158" s="16"/>
      <c r="G158" s="12" t="s">
        <v>180</v>
      </c>
      <c r="H158" s="13"/>
      <c r="I158" s="15"/>
      <c r="J158" s="13"/>
      <c r="K158" s="15"/>
      <c r="L158" s="13"/>
      <c r="M158" s="17">
        <v>1</v>
      </c>
      <c r="N158" s="17">
        <v>1</v>
      </c>
      <c r="O158" s="17"/>
      <c r="P158" s="17"/>
      <c r="Q158" s="17"/>
      <c r="R158" s="17"/>
      <c r="S158" s="15"/>
      <c r="T158" s="26">
        <v>45944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3"/>
      <c r="B159" s="149"/>
      <c r="C159" s="85" t="s">
        <v>301</v>
      </c>
      <c r="D159" s="109" t="s">
        <v>179</v>
      </c>
      <c r="E159" s="13" t="s">
        <v>37</v>
      </c>
      <c r="F159" s="16"/>
      <c r="G159" s="12" t="s">
        <v>180</v>
      </c>
      <c r="H159" s="15"/>
      <c r="I159" s="15"/>
      <c r="J159" s="13"/>
      <c r="K159" s="15"/>
      <c r="L159" s="13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6">
        <v>45949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3"/>
      <c r="B160" s="149"/>
      <c r="C160" s="85" t="s">
        <v>302</v>
      </c>
      <c r="D160" s="109" t="s">
        <v>181</v>
      </c>
      <c r="E160" s="13" t="s">
        <v>59</v>
      </c>
      <c r="F160" s="16"/>
      <c r="G160" s="12" t="s">
        <v>180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45948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3"/>
      <c r="B161" s="149"/>
      <c r="C161" s="85" t="s">
        <v>303</v>
      </c>
      <c r="D161" s="109" t="s">
        <v>181</v>
      </c>
      <c r="E161" s="13" t="s">
        <v>59</v>
      </c>
      <c r="F161" s="16"/>
      <c r="G161" s="12" t="s">
        <v>180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6">
        <v>45948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3"/>
      <c r="B162" s="149"/>
      <c r="C162" s="85"/>
      <c r="D162" s="109"/>
      <c r="E162" s="13"/>
      <c r="F162" s="138"/>
      <c r="G162" s="137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43"/>
      <c r="B163" s="149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43"/>
      <c r="B164" s="149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43"/>
      <c r="B165" s="149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43"/>
      <c r="B166" s="149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43"/>
      <c r="B167" s="149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3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3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3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3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3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3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3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3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3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4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9</v>
      </c>
      <c r="D178" s="112"/>
      <c r="E178" s="29"/>
      <c r="F178" s="29" t="s">
        <v>34</v>
      </c>
      <c r="G178" s="29">
        <f>COUNTIF(G153:G177,"S")</f>
        <v>9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4</v>
      </c>
      <c r="L178" s="29">
        <f t="shared" ref="L178" si="25">SUM(L153:L177)</f>
        <v>4</v>
      </c>
      <c r="M178" s="29">
        <f t="shared" ref="M178" si="26">SUM(M153:M177)</f>
        <v>3</v>
      </c>
      <c r="N178" s="29">
        <f t="shared" ref="N178" si="27">SUM(N153:N177)</f>
        <v>3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2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22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203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0" t="s">
        <v>114</v>
      </c>
      <c r="Y182" s="141"/>
    </row>
    <row r="183" spans="1:28" ht="20.25" thickTop="1" thickBot="1" x14ac:dyDescent="0.45">
      <c r="A183" s="142">
        <v>7</v>
      </c>
      <c r="B183" s="148">
        <v>25.8</v>
      </c>
      <c r="C183" s="85" t="s">
        <v>304</v>
      </c>
      <c r="D183" s="110" t="s">
        <v>181</v>
      </c>
      <c r="E183" s="18" t="s">
        <v>60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>
        <v>1</v>
      </c>
      <c r="M183" s="19"/>
      <c r="N183" s="19"/>
      <c r="O183" s="19"/>
      <c r="P183" s="19"/>
      <c r="Q183" s="19"/>
      <c r="R183" s="19"/>
      <c r="S183" s="15"/>
      <c r="T183" s="25">
        <v>45957</v>
      </c>
      <c r="U183" s="15" t="s">
        <v>142</v>
      </c>
      <c r="V183">
        <v>1</v>
      </c>
      <c r="X183" s="51" t="s">
        <v>106</v>
      </c>
      <c r="Y183" s="52">
        <f>COUNTIF(U183:U207,"K")</f>
        <v>14</v>
      </c>
      <c r="AA183" s="59" t="s">
        <v>120</v>
      </c>
      <c r="AB183" s="60" t="s">
        <v>121</v>
      </c>
    </row>
    <row r="184" spans="1:28" x14ac:dyDescent="0.4">
      <c r="A184" s="143"/>
      <c r="B184" s="149"/>
      <c r="C184" s="85" t="s">
        <v>305</v>
      </c>
      <c r="D184" s="110" t="s">
        <v>181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>
        <v>1</v>
      </c>
      <c r="L184" s="19">
        <v>1</v>
      </c>
      <c r="M184" s="19"/>
      <c r="N184" s="19"/>
      <c r="O184" s="19"/>
      <c r="P184" s="19"/>
      <c r="Q184" s="19"/>
      <c r="R184" s="19"/>
      <c r="S184" s="132"/>
      <c r="T184" s="25">
        <v>45957</v>
      </c>
      <c r="U184" s="15" t="s">
        <v>142</v>
      </c>
      <c r="V184">
        <v>2</v>
      </c>
      <c r="X184" s="51" t="s">
        <v>107</v>
      </c>
      <c r="Y184" s="52">
        <f>COUNTIF(U183:U207,"R")</f>
        <v>3</v>
      </c>
      <c r="AA184" s="47" t="s">
        <v>81</v>
      </c>
      <c r="AB184" s="48" t="s">
        <v>60</v>
      </c>
    </row>
    <row r="185" spans="1:28" ht="19.5" thickBot="1" x14ac:dyDescent="0.45">
      <c r="A185" s="143"/>
      <c r="B185" s="149"/>
      <c r="C185" s="85" t="s">
        <v>306</v>
      </c>
      <c r="D185" s="110" t="s">
        <v>249</v>
      </c>
      <c r="E185" s="18" t="s">
        <v>60</v>
      </c>
      <c r="F185" s="16"/>
      <c r="G185" s="18" t="s">
        <v>180</v>
      </c>
      <c r="H185" s="15"/>
      <c r="I185" s="15"/>
      <c r="J185" s="18">
        <v>1</v>
      </c>
      <c r="K185" s="15">
        <v>1</v>
      </c>
      <c r="L185" s="19">
        <v>1</v>
      </c>
      <c r="M185" s="17"/>
      <c r="N185" s="17"/>
      <c r="O185" s="17"/>
      <c r="P185" s="17"/>
      <c r="Q185" s="17"/>
      <c r="R185" s="17"/>
      <c r="S185" s="15"/>
      <c r="T185" s="25">
        <v>45957</v>
      </c>
      <c r="U185" s="15" t="s">
        <v>142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3"/>
      <c r="B186" s="149"/>
      <c r="C186" s="85" t="s">
        <v>307</v>
      </c>
      <c r="D186" s="110" t="s">
        <v>249</v>
      </c>
      <c r="E186" s="18" t="s">
        <v>60</v>
      </c>
      <c r="F186" s="16"/>
      <c r="G186" s="18" t="s">
        <v>180</v>
      </c>
      <c r="H186" s="15"/>
      <c r="I186" s="15"/>
      <c r="J186" s="18">
        <v>1</v>
      </c>
      <c r="K186" s="15">
        <v>1</v>
      </c>
      <c r="L186" s="19">
        <v>1</v>
      </c>
      <c r="M186" s="17"/>
      <c r="N186" s="17"/>
      <c r="O186" s="17"/>
      <c r="P186" s="17"/>
      <c r="Q186" s="17"/>
      <c r="R186" s="17"/>
      <c r="S186" s="15"/>
      <c r="T186" s="25">
        <v>45957</v>
      </c>
      <c r="U186" s="15" t="s">
        <v>142</v>
      </c>
      <c r="V186">
        <v>4</v>
      </c>
      <c r="AA186" s="49" t="s">
        <v>83</v>
      </c>
      <c r="AB186" s="50" t="s">
        <v>38</v>
      </c>
    </row>
    <row r="187" spans="1:28" x14ac:dyDescent="0.4">
      <c r="A187" s="143"/>
      <c r="B187" s="149"/>
      <c r="C187" s="85" t="s">
        <v>308</v>
      </c>
      <c r="D187" s="110" t="s">
        <v>249</v>
      </c>
      <c r="E187" s="18" t="s">
        <v>60</v>
      </c>
      <c r="F187" s="16"/>
      <c r="G187" s="18" t="s">
        <v>180</v>
      </c>
      <c r="H187" s="15"/>
      <c r="I187" s="15"/>
      <c r="J187" s="18">
        <v>1</v>
      </c>
      <c r="K187" s="15">
        <v>1</v>
      </c>
      <c r="L187" s="19">
        <v>1</v>
      </c>
      <c r="M187" s="17"/>
      <c r="N187" s="17"/>
      <c r="O187" s="17"/>
      <c r="P187" s="17"/>
      <c r="Q187" s="17"/>
      <c r="R187" s="17"/>
      <c r="S187" s="15"/>
      <c r="T187" s="25">
        <v>45957</v>
      </c>
      <c r="U187" s="15" t="s">
        <v>142</v>
      </c>
      <c r="V187">
        <v>5</v>
      </c>
      <c r="AA187" s="49" t="s">
        <v>84</v>
      </c>
      <c r="AB187" s="50" t="s">
        <v>44</v>
      </c>
    </row>
    <row r="188" spans="1:28" x14ac:dyDescent="0.4">
      <c r="A188" s="143"/>
      <c r="B188" s="149"/>
      <c r="C188" s="85" t="s">
        <v>309</v>
      </c>
      <c r="D188" s="110" t="s">
        <v>249</v>
      </c>
      <c r="E188" s="18" t="s">
        <v>60</v>
      </c>
      <c r="F188" s="16"/>
      <c r="G188" s="18" t="s">
        <v>180</v>
      </c>
      <c r="H188" s="13"/>
      <c r="I188" s="15"/>
      <c r="J188" s="18">
        <v>1</v>
      </c>
      <c r="K188" s="15">
        <v>1</v>
      </c>
      <c r="L188" s="19">
        <v>1</v>
      </c>
      <c r="M188" s="17"/>
      <c r="N188" s="17"/>
      <c r="O188" s="17"/>
      <c r="P188" s="17"/>
      <c r="Q188" s="17"/>
      <c r="R188" s="17"/>
      <c r="S188" s="15"/>
      <c r="T188" s="25">
        <v>45957</v>
      </c>
      <c r="U188" s="15" t="s">
        <v>142</v>
      </c>
      <c r="V188">
        <v>6</v>
      </c>
      <c r="AA188" s="49" t="s">
        <v>85</v>
      </c>
      <c r="AB188" s="50" t="s">
        <v>43</v>
      </c>
    </row>
    <row r="189" spans="1:28" x14ac:dyDescent="0.4">
      <c r="A189" s="143"/>
      <c r="B189" s="149"/>
      <c r="C189" s="85" t="s">
        <v>310</v>
      </c>
      <c r="D189" s="110" t="s">
        <v>249</v>
      </c>
      <c r="E189" s="18" t="s">
        <v>60</v>
      </c>
      <c r="F189" s="16"/>
      <c r="G189" s="18" t="s">
        <v>180</v>
      </c>
      <c r="H189" s="15"/>
      <c r="I189" s="15"/>
      <c r="J189" s="18">
        <v>1</v>
      </c>
      <c r="K189" s="15">
        <v>1</v>
      </c>
      <c r="L189" s="19">
        <v>1</v>
      </c>
      <c r="M189" s="17"/>
      <c r="N189" s="17"/>
      <c r="O189" s="17"/>
      <c r="P189" s="17"/>
      <c r="Q189" s="17"/>
      <c r="R189" s="17"/>
      <c r="S189" s="15"/>
      <c r="T189" s="25">
        <v>45957</v>
      </c>
      <c r="U189" s="15" t="s">
        <v>142</v>
      </c>
      <c r="V189">
        <v>7</v>
      </c>
      <c r="AA189" s="49" t="s">
        <v>86</v>
      </c>
      <c r="AB189" s="50" t="s">
        <v>45</v>
      </c>
    </row>
    <row r="190" spans="1:28" x14ac:dyDescent="0.4">
      <c r="A190" s="143"/>
      <c r="B190" s="149"/>
      <c r="C190" s="85" t="s">
        <v>311</v>
      </c>
      <c r="D190" s="110" t="s">
        <v>249</v>
      </c>
      <c r="E190" s="18" t="s">
        <v>60</v>
      </c>
      <c r="F190" s="16"/>
      <c r="G190" s="18" t="s">
        <v>180</v>
      </c>
      <c r="H190" s="15"/>
      <c r="I190" s="15"/>
      <c r="J190" s="18">
        <v>1</v>
      </c>
      <c r="K190" s="15">
        <v>1</v>
      </c>
      <c r="L190" s="19">
        <v>1</v>
      </c>
      <c r="M190" s="17"/>
      <c r="N190" s="17"/>
      <c r="O190" s="17"/>
      <c r="P190" s="17"/>
      <c r="Q190" s="17"/>
      <c r="R190" s="17"/>
      <c r="S190" s="15"/>
      <c r="T190" s="25">
        <v>45957</v>
      </c>
      <c r="U190" s="15" t="s">
        <v>142</v>
      </c>
      <c r="V190">
        <v>8</v>
      </c>
      <c r="AA190" s="49" t="s">
        <v>87</v>
      </c>
      <c r="AB190" s="50" t="s">
        <v>37</v>
      </c>
    </row>
    <row r="191" spans="1:28" x14ac:dyDescent="0.4">
      <c r="A191" s="143"/>
      <c r="B191" s="149"/>
      <c r="C191" s="85" t="s">
        <v>312</v>
      </c>
      <c r="D191" s="110" t="s">
        <v>249</v>
      </c>
      <c r="E191" s="18" t="s">
        <v>60</v>
      </c>
      <c r="F191" s="16"/>
      <c r="G191" s="18" t="s">
        <v>180</v>
      </c>
      <c r="H191" s="15"/>
      <c r="I191" s="15"/>
      <c r="J191" s="18">
        <v>1</v>
      </c>
      <c r="K191" s="15">
        <v>1</v>
      </c>
      <c r="L191" s="19">
        <v>1</v>
      </c>
      <c r="M191" s="17"/>
      <c r="N191" s="17"/>
      <c r="O191" s="17"/>
      <c r="P191" s="17"/>
      <c r="Q191" s="17"/>
      <c r="R191" s="17"/>
      <c r="S191" s="15"/>
      <c r="T191" s="25">
        <v>45957</v>
      </c>
      <c r="U191" s="15" t="s">
        <v>142</v>
      </c>
      <c r="V191">
        <v>9</v>
      </c>
      <c r="AA191" s="49" t="s">
        <v>88</v>
      </c>
      <c r="AB191" s="50" t="s">
        <v>74</v>
      </c>
    </row>
    <row r="192" spans="1:28" x14ac:dyDescent="0.4">
      <c r="A192" s="143"/>
      <c r="B192" s="149"/>
      <c r="C192" s="85" t="s">
        <v>313</v>
      </c>
      <c r="D192" s="110" t="s">
        <v>249</v>
      </c>
      <c r="E192" s="18" t="s">
        <v>60</v>
      </c>
      <c r="F192" s="16"/>
      <c r="G192" s="18" t="s">
        <v>180</v>
      </c>
      <c r="H192" s="15"/>
      <c r="I192" s="15"/>
      <c r="J192" s="18">
        <v>1</v>
      </c>
      <c r="K192" s="15">
        <v>1</v>
      </c>
      <c r="L192" s="19">
        <v>1</v>
      </c>
      <c r="M192" s="17"/>
      <c r="N192" s="17"/>
      <c r="O192" s="17"/>
      <c r="P192" s="17"/>
      <c r="Q192" s="17"/>
      <c r="R192" s="17"/>
      <c r="S192" s="15"/>
      <c r="T192" s="25">
        <v>45957</v>
      </c>
      <c r="U192" s="15" t="s">
        <v>142</v>
      </c>
      <c r="V192">
        <v>10</v>
      </c>
      <c r="AA192" s="49" t="s">
        <v>89</v>
      </c>
      <c r="AB192" s="50" t="s">
        <v>36</v>
      </c>
    </row>
    <row r="193" spans="1:28" x14ac:dyDescent="0.4">
      <c r="A193" s="143"/>
      <c r="B193" s="149"/>
      <c r="C193" s="85" t="s">
        <v>314</v>
      </c>
      <c r="D193" s="110" t="s">
        <v>249</v>
      </c>
      <c r="E193" s="18" t="s">
        <v>60</v>
      </c>
      <c r="F193" s="16"/>
      <c r="G193" s="18" t="s">
        <v>180</v>
      </c>
      <c r="H193" s="15"/>
      <c r="I193" s="15"/>
      <c r="J193" s="18">
        <v>1</v>
      </c>
      <c r="K193" s="15">
        <v>1</v>
      </c>
      <c r="L193" s="19">
        <v>1</v>
      </c>
      <c r="M193" s="17"/>
      <c r="N193" s="17"/>
      <c r="O193" s="17"/>
      <c r="P193" s="17"/>
      <c r="Q193" s="17"/>
      <c r="R193" s="17"/>
      <c r="S193" s="15"/>
      <c r="T193" s="25">
        <v>45957</v>
      </c>
      <c r="U193" s="15" t="s">
        <v>142</v>
      </c>
      <c r="V193">
        <v>11</v>
      </c>
      <c r="AA193" s="49" t="s">
        <v>90</v>
      </c>
      <c r="AB193" s="50" t="s">
        <v>58</v>
      </c>
    </row>
    <row r="194" spans="1:28" x14ac:dyDescent="0.4">
      <c r="A194" s="143"/>
      <c r="B194" s="149"/>
      <c r="C194" s="85" t="s">
        <v>315</v>
      </c>
      <c r="D194" s="110" t="s">
        <v>249</v>
      </c>
      <c r="E194" s="18" t="s">
        <v>60</v>
      </c>
      <c r="F194" s="16"/>
      <c r="G194" s="18" t="s">
        <v>180</v>
      </c>
      <c r="H194" s="15"/>
      <c r="I194" s="15"/>
      <c r="J194" s="18">
        <v>1</v>
      </c>
      <c r="K194" s="15">
        <v>1</v>
      </c>
      <c r="L194" s="19">
        <v>1</v>
      </c>
      <c r="M194" s="17"/>
      <c r="N194" s="17"/>
      <c r="O194" s="17"/>
      <c r="P194" s="17"/>
      <c r="Q194" s="17"/>
      <c r="R194" s="17"/>
      <c r="S194" s="15"/>
      <c r="T194" s="25">
        <v>45957</v>
      </c>
      <c r="U194" s="15" t="s">
        <v>142</v>
      </c>
      <c r="V194">
        <v>12</v>
      </c>
      <c r="AA194" s="49" t="s">
        <v>91</v>
      </c>
      <c r="AB194" s="50" t="s">
        <v>75</v>
      </c>
    </row>
    <row r="195" spans="1:28" x14ac:dyDescent="0.4">
      <c r="A195" s="143"/>
      <c r="B195" s="149"/>
      <c r="C195" s="85" t="s">
        <v>316</v>
      </c>
      <c r="D195" s="106" t="s">
        <v>181</v>
      </c>
      <c r="E195" s="15" t="s">
        <v>60</v>
      </c>
      <c r="F195" s="16"/>
      <c r="G195" s="18" t="s">
        <v>180</v>
      </c>
      <c r="H195" s="15"/>
      <c r="I195" s="15"/>
      <c r="J195" s="15">
        <v>1</v>
      </c>
      <c r="K195" s="15">
        <v>1</v>
      </c>
      <c r="L195" s="17">
        <v>1</v>
      </c>
      <c r="M195" s="17"/>
      <c r="N195" s="17"/>
      <c r="O195" s="17"/>
      <c r="P195" s="17"/>
      <c r="Q195" s="17"/>
      <c r="R195" s="17"/>
      <c r="S195" s="15"/>
      <c r="T195" s="25">
        <v>45957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3"/>
      <c r="B196" s="149"/>
      <c r="C196" s="85" t="s">
        <v>317</v>
      </c>
      <c r="D196" s="106" t="s">
        <v>189</v>
      </c>
      <c r="E196" s="15" t="s">
        <v>37</v>
      </c>
      <c r="F196" s="16"/>
      <c r="G196" s="18" t="s">
        <v>180</v>
      </c>
      <c r="H196" s="15"/>
      <c r="I196" s="15"/>
      <c r="J196" s="15"/>
      <c r="K196" s="15"/>
      <c r="L196" s="17"/>
      <c r="M196" s="17">
        <v>1</v>
      </c>
      <c r="N196" s="17">
        <v>1</v>
      </c>
      <c r="O196" s="17"/>
      <c r="P196" s="17"/>
      <c r="Q196" s="17"/>
      <c r="R196" s="17"/>
      <c r="S196" s="15"/>
      <c r="T196" s="25">
        <v>45959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43"/>
      <c r="B197" s="149"/>
      <c r="C197" s="85" t="s">
        <v>318</v>
      </c>
      <c r="D197" s="106" t="s">
        <v>189</v>
      </c>
      <c r="E197" s="15" t="s">
        <v>41</v>
      </c>
      <c r="F197" s="16"/>
      <c r="G197" s="15" t="s">
        <v>180</v>
      </c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>
        <v>45959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3"/>
      <c r="B198" s="149"/>
      <c r="C198" s="85" t="s">
        <v>319</v>
      </c>
      <c r="D198" s="106" t="s">
        <v>187</v>
      </c>
      <c r="E198" s="15" t="s">
        <v>36</v>
      </c>
      <c r="F198" s="16"/>
      <c r="G198" s="15" t="s">
        <v>180</v>
      </c>
      <c r="H198" s="15"/>
      <c r="I198" s="15"/>
      <c r="J198" s="15">
        <v>1</v>
      </c>
      <c r="K198" s="15">
        <v>1</v>
      </c>
      <c r="L198" s="19"/>
      <c r="M198" s="19"/>
      <c r="N198" s="19"/>
      <c r="O198" s="19"/>
      <c r="P198" s="19"/>
      <c r="Q198" s="19"/>
      <c r="R198" s="19"/>
      <c r="S198" s="15"/>
      <c r="T198" s="25">
        <v>45945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43"/>
      <c r="B199" s="149"/>
      <c r="C199" s="85" t="s">
        <v>320</v>
      </c>
      <c r="D199" s="106" t="s">
        <v>182</v>
      </c>
      <c r="E199" s="18" t="s">
        <v>37</v>
      </c>
      <c r="F199" s="16"/>
      <c r="G199" s="18" t="s">
        <v>180</v>
      </c>
      <c r="H199" s="15"/>
      <c r="I199" s="15"/>
      <c r="J199" s="18"/>
      <c r="K199" s="15"/>
      <c r="L199" s="19"/>
      <c r="M199" s="19">
        <v>1</v>
      </c>
      <c r="N199" s="19">
        <v>1</v>
      </c>
      <c r="O199" s="19"/>
      <c r="P199" s="19"/>
      <c r="Q199" s="19">
        <v>1</v>
      </c>
      <c r="R199" s="19"/>
      <c r="S199" s="15"/>
      <c r="T199" s="25">
        <v>45946</v>
      </c>
      <c r="U199" s="15" t="s">
        <v>147</v>
      </c>
      <c r="V199">
        <v>17</v>
      </c>
      <c r="AA199" s="49" t="s">
        <v>96</v>
      </c>
      <c r="AB199" s="50" t="s">
        <v>61</v>
      </c>
    </row>
    <row r="200" spans="1:28" x14ac:dyDescent="0.4">
      <c r="A200" s="143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3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3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3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3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3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3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4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17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14</v>
      </c>
      <c r="K208" s="29">
        <f t="shared" ref="K208" si="34">SUM(K183:K207)</f>
        <v>14</v>
      </c>
      <c r="L208" s="29">
        <f t="shared" ref="L208" si="35">SUM(L183:L207)</f>
        <v>13</v>
      </c>
      <c r="M208" s="29">
        <f t="shared" ref="M208" si="36">SUM(M183:M207)</f>
        <v>2</v>
      </c>
      <c r="N208" s="29">
        <f t="shared" ref="N208" si="37">SUM(N183:N207)</f>
        <v>2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1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46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AYG120</v>
      </c>
      <c r="B211" s="24">
        <f>B1</f>
        <v>45922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0" t="s">
        <v>113</v>
      </c>
      <c r="Y212" s="141"/>
    </row>
    <row r="213" spans="1:28" ht="20.25" thickTop="1" thickBot="1" x14ac:dyDescent="0.45">
      <c r="A213" s="142">
        <v>8</v>
      </c>
      <c r="B213" s="148">
        <v>22.4</v>
      </c>
      <c r="C213" s="85" t="s">
        <v>321</v>
      </c>
      <c r="D213" s="106" t="s">
        <v>179</v>
      </c>
      <c r="E213" s="15" t="s">
        <v>40</v>
      </c>
      <c r="F213" s="16"/>
      <c r="G213" s="15" t="s">
        <v>180</v>
      </c>
      <c r="H213" s="15"/>
      <c r="I213" s="15"/>
      <c r="J213" s="15"/>
      <c r="K213" s="15"/>
      <c r="L213" s="17"/>
      <c r="M213" s="17"/>
      <c r="N213" s="17"/>
      <c r="O213" s="17">
        <v>1</v>
      </c>
      <c r="P213" s="17">
        <v>1</v>
      </c>
      <c r="Q213" s="17"/>
      <c r="R213" s="17"/>
      <c r="S213" s="15"/>
      <c r="T213" s="25">
        <v>45948</v>
      </c>
      <c r="U213" s="15" t="s">
        <v>148</v>
      </c>
      <c r="V213">
        <v>1</v>
      </c>
      <c r="X213" s="51" t="s">
        <v>106</v>
      </c>
      <c r="Y213" s="52">
        <f>COUNTIF(U213:U237,"K")</f>
        <v>6</v>
      </c>
      <c r="AA213" s="59" t="s">
        <v>120</v>
      </c>
      <c r="AB213" s="60" t="s">
        <v>121</v>
      </c>
    </row>
    <row r="214" spans="1:28" x14ac:dyDescent="0.4">
      <c r="A214" s="143"/>
      <c r="B214" s="149"/>
      <c r="C214" s="85" t="s">
        <v>322</v>
      </c>
      <c r="D214" s="106" t="s">
        <v>183</v>
      </c>
      <c r="E214" s="15" t="s">
        <v>44</v>
      </c>
      <c r="F214" s="16"/>
      <c r="G214" s="15" t="s">
        <v>180</v>
      </c>
      <c r="H214" s="15"/>
      <c r="I214" s="15"/>
      <c r="J214" s="15">
        <v>1</v>
      </c>
      <c r="K214" s="15">
        <v>1</v>
      </c>
      <c r="L214" s="19"/>
      <c r="M214" s="19"/>
      <c r="N214" s="19"/>
      <c r="O214" s="19"/>
      <c r="P214" s="19"/>
      <c r="Q214" s="19"/>
      <c r="R214" s="19"/>
      <c r="S214" s="15"/>
      <c r="T214" s="25">
        <v>45946</v>
      </c>
      <c r="U214" s="15" t="s">
        <v>142</v>
      </c>
      <c r="V214">
        <v>2</v>
      </c>
      <c r="X214" s="51" t="s">
        <v>107</v>
      </c>
      <c r="Y214" s="52">
        <f>COUNTIF(U213:U237,"R")</f>
        <v>1</v>
      </c>
      <c r="AA214" s="47" t="s">
        <v>81</v>
      </c>
      <c r="AB214" s="48" t="s">
        <v>60</v>
      </c>
    </row>
    <row r="215" spans="1:28" ht="19.5" thickBot="1" x14ac:dyDescent="0.45">
      <c r="A215" s="143"/>
      <c r="B215" s="149"/>
      <c r="C215" s="85" t="s">
        <v>323</v>
      </c>
      <c r="D215" s="106" t="s">
        <v>183</v>
      </c>
      <c r="E215" s="15" t="s">
        <v>36</v>
      </c>
      <c r="F215" s="16"/>
      <c r="G215" s="15" t="s">
        <v>180</v>
      </c>
      <c r="H215" s="15"/>
      <c r="I215" s="15"/>
      <c r="J215" s="18">
        <v>1</v>
      </c>
      <c r="K215" s="15">
        <v>1</v>
      </c>
      <c r="L215" s="19"/>
      <c r="M215" s="19"/>
      <c r="N215" s="19"/>
      <c r="O215" s="19"/>
      <c r="P215" s="19"/>
      <c r="Q215" s="19"/>
      <c r="R215" s="19"/>
      <c r="S215" s="15"/>
      <c r="T215" s="25">
        <v>45946</v>
      </c>
      <c r="U215" s="15" t="s">
        <v>146</v>
      </c>
      <c r="V215">
        <v>3</v>
      </c>
      <c r="X215" s="53" t="s">
        <v>108</v>
      </c>
      <c r="Y215" s="54">
        <f>COUNTIF(U213:U237,"J")</f>
        <v>5</v>
      </c>
      <c r="AA215" s="49" t="s">
        <v>82</v>
      </c>
      <c r="AB215" s="50" t="s">
        <v>39</v>
      </c>
    </row>
    <row r="216" spans="1:28" x14ac:dyDescent="0.4">
      <c r="A216" s="143"/>
      <c r="B216" s="149"/>
      <c r="C216" s="85" t="s">
        <v>324</v>
      </c>
      <c r="D216" s="106" t="s">
        <v>183</v>
      </c>
      <c r="E216" s="15" t="s">
        <v>58</v>
      </c>
      <c r="F216" s="16"/>
      <c r="G216" s="15" t="s">
        <v>180</v>
      </c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45946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3"/>
      <c r="B217" s="149"/>
      <c r="C217" s="85" t="s">
        <v>325</v>
      </c>
      <c r="D217" s="106" t="s">
        <v>198</v>
      </c>
      <c r="E217" s="15" t="s">
        <v>39</v>
      </c>
      <c r="F217" s="16"/>
      <c r="G217" s="15" t="s">
        <v>180</v>
      </c>
      <c r="H217" s="15"/>
      <c r="I217" s="15"/>
      <c r="J217" s="18">
        <v>1</v>
      </c>
      <c r="K217" s="15">
        <v>1</v>
      </c>
      <c r="L217" s="19"/>
      <c r="M217" s="19"/>
      <c r="N217" s="19"/>
      <c r="O217" s="19"/>
      <c r="P217" s="19"/>
      <c r="Q217" s="19"/>
      <c r="R217" s="19"/>
      <c r="S217" s="15"/>
      <c r="T217" s="25">
        <v>45948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3"/>
      <c r="B218" s="149"/>
      <c r="C218" s="85" t="s">
        <v>326</v>
      </c>
      <c r="D218" s="106" t="s">
        <v>198</v>
      </c>
      <c r="E218" s="15" t="s">
        <v>133</v>
      </c>
      <c r="F218" s="16"/>
      <c r="G218" s="15" t="s">
        <v>180</v>
      </c>
      <c r="H218" s="15"/>
      <c r="I218" s="15"/>
      <c r="J218" s="18"/>
      <c r="K218" s="15"/>
      <c r="L218" s="19"/>
      <c r="M218" s="19"/>
      <c r="N218" s="19"/>
      <c r="O218" s="19">
        <v>1</v>
      </c>
      <c r="P218" s="19">
        <v>1</v>
      </c>
      <c r="Q218" s="19">
        <v>1</v>
      </c>
      <c r="R218" s="19">
        <v>1</v>
      </c>
      <c r="S218" s="15"/>
      <c r="T218" s="25">
        <v>45948</v>
      </c>
      <c r="U218" s="15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43"/>
      <c r="B219" s="149"/>
      <c r="C219" s="85" t="s">
        <v>327</v>
      </c>
      <c r="D219" s="106" t="s">
        <v>198</v>
      </c>
      <c r="E219" s="15" t="s">
        <v>39</v>
      </c>
      <c r="F219" s="16"/>
      <c r="G219" s="15" t="s">
        <v>180</v>
      </c>
      <c r="H219" s="15"/>
      <c r="I219" s="15"/>
      <c r="J219" s="15">
        <v>1</v>
      </c>
      <c r="K219" s="15">
        <v>1</v>
      </c>
      <c r="L219" s="15"/>
      <c r="M219" s="19"/>
      <c r="N219" s="19"/>
      <c r="O219" s="19"/>
      <c r="P219" s="19"/>
      <c r="Q219" s="19"/>
      <c r="R219" s="19"/>
      <c r="S219" s="15"/>
      <c r="T219" s="25">
        <v>45948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3"/>
      <c r="B220" s="149"/>
      <c r="C220" s="85" t="s">
        <v>328</v>
      </c>
      <c r="D220" s="106" t="s">
        <v>198</v>
      </c>
      <c r="E220" s="15" t="s">
        <v>133</v>
      </c>
      <c r="F220" s="16"/>
      <c r="G220" s="15" t="s">
        <v>180</v>
      </c>
      <c r="H220" s="15"/>
      <c r="I220" s="15"/>
      <c r="J220" s="13"/>
      <c r="K220" s="15"/>
      <c r="L220" s="13"/>
      <c r="M220" s="17"/>
      <c r="N220" s="17"/>
      <c r="O220" s="17">
        <v>1</v>
      </c>
      <c r="P220" s="17">
        <v>1</v>
      </c>
      <c r="Q220" s="17">
        <v>1</v>
      </c>
      <c r="R220" s="17">
        <v>1</v>
      </c>
      <c r="S220" s="15"/>
      <c r="T220" s="25">
        <v>45948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3"/>
      <c r="B221" s="149"/>
      <c r="C221" s="85" t="s">
        <v>329</v>
      </c>
      <c r="D221" s="106" t="s">
        <v>213</v>
      </c>
      <c r="E221" s="15" t="s">
        <v>39</v>
      </c>
      <c r="F221" s="16"/>
      <c r="G221" s="15" t="s">
        <v>180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45948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3"/>
      <c r="B222" s="149"/>
      <c r="C222" s="85" t="s">
        <v>330</v>
      </c>
      <c r="D222" s="106" t="s">
        <v>213</v>
      </c>
      <c r="E222" s="15" t="s">
        <v>133</v>
      </c>
      <c r="F222" s="138"/>
      <c r="G222" s="15" t="s">
        <v>180</v>
      </c>
      <c r="H222" s="15"/>
      <c r="I222" s="15"/>
      <c r="J222" s="13"/>
      <c r="K222" s="15"/>
      <c r="L222" s="13"/>
      <c r="M222" s="17"/>
      <c r="N222" s="17"/>
      <c r="O222" s="17">
        <v>1</v>
      </c>
      <c r="P222" s="17">
        <v>1</v>
      </c>
      <c r="Q222" s="17">
        <v>1</v>
      </c>
      <c r="R222" s="17">
        <v>1</v>
      </c>
      <c r="S222" s="15"/>
      <c r="T222" s="25">
        <v>45948</v>
      </c>
      <c r="U222" s="15" t="s">
        <v>148</v>
      </c>
      <c r="V222">
        <v>10</v>
      </c>
      <c r="AA222" s="49" t="s">
        <v>89</v>
      </c>
      <c r="AB222" s="50" t="s">
        <v>36</v>
      </c>
    </row>
    <row r="223" spans="1:28" x14ac:dyDescent="0.4">
      <c r="A223" s="143"/>
      <c r="B223" s="149"/>
      <c r="C223" s="85" t="s">
        <v>331</v>
      </c>
      <c r="D223" s="106" t="s">
        <v>213</v>
      </c>
      <c r="E223" s="15" t="s">
        <v>39</v>
      </c>
      <c r="F223" s="16"/>
      <c r="G223" s="15" t="s">
        <v>180</v>
      </c>
      <c r="H223" s="15"/>
      <c r="I223" s="15"/>
      <c r="J223" s="15">
        <v>1</v>
      </c>
      <c r="K223" s="15">
        <v>1</v>
      </c>
      <c r="L223" s="17"/>
      <c r="M223" s="17"/>
      <c r="N223" s="17"/>
      <c r="O223" s="17"/>
      <c r="P223" s="17"/>
      <c r="Q223" s="17"/>
      <c r="R223" s="17"/>
      <c r="S223" s="15"/>
      <c r="T223" s="25">
        <v>45948</v>
      </c>
      <c r="U223" s="13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3"/>
      <c r="B224" s="149"/>
      <c r="C224" s="85" t="s">
        <v>332</v>
      </c>
      <c r="D224" s="106" t="s">
        <v>213</v>
      </c>
      <c r="E224" s="15" t="s">
        <v>133</v>
      </c>
      <c r="F224" s="16"/>
      <c r="G224" s="15" t="s">
        <v>180</v>
      </c>
      <c r="H224" s="15"/>
      <c r="I224" s="15"/>
      <c r="J224" s="15"/>
      <c r="K224" s="15"/>
      <c r="L224" s="17"/>
      <c r="M224" s="17"/>
      <c r="N224" s="17"/>
      <c r="O224" s="17">
        <v>1</v>
      </c>
      <c r="P224" s="17">
        <v>1</v>
      </c>
      <c r="Q224" s="17">
        <v>1</v>
      </c>
      <c r="R224" s="17">
        <v>1</v>
      </c>
      <c r="S224" s="15"/>
      <c r="T224" s="25">
        <v>45948</v>
      </c>
      <c r="U224" s="13" t="s">
        <v>148</v>
      </c>
      <c r="V224">
        <v>12</v>
      </c>
      <c r="AA224" s="49" t="s">
        <v>91</v>
      </c>
      <c r="AB224" s="50" t="s">
        <v>75</v>
      </c>
    </row>
    <row r="225" spans="1:28" x14ac:dyDescent="0.4">
      <c r="A225" s="143"/>
      <c r="B225" s="149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43"/>
      <c r="B226" s="149"/>
      <c r="C226" s="85"/>
      <c r="D226" s="106"/>
      <c r="E226" s="106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43"/>
      <c r="B227" s="149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3"/>
      <c r="B228" s="149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3"/>
      <c r="B229" s="149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3"/>
      <c r="B230" s="149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3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3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3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3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3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3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4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12</v>
      </c>
      <c r="D238" s="112"/>
      <c r="E238" s="29"/>
      <c r="F238" s="29" t="s">
        <v>34</v>
      </c>
      <c r="G238" s="29">
        <f>COUNTIF(G213:G237,"S")</f>
        <v>12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6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5</v>
      </c>
      <c r="P238" s="29">
        <f t="shared" ref="P238" si="49">SUM(P213:P237)</f>
        <v>5</v>
      </c>
      <c r="Q238" s="29">
        <f t="shared" ref="Q238" si="50">SUM(Q213:Q237)</f>
        <v>4</v>
      </c>
      <c r="R238" s="29">
        <f t="shared" ref="R238" si="51">SUM(R213:R237)</f>
        <v>4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AYG120</v>
      </c>
      <c r="B241" s="24">
        <f>B1</f>
        <v>45922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4" t="s">
        <v>112</v>
      </c>
      <c r="Y242" s="154"/>
    </row>
    <row r="243" spans="1:28" ht="20.25" thickTop="1" thickBot="1" x14ac:dyDescent="0.45">
      <c r="A243" s="142">
        <v>9</v>
      </c>
      <c r="B243" s="148">
        <v>25.8</v>
      </c>
      <c r="C243" s="85" t="s">
        <v>333</v>
      </c>
      <c r="D243" s="106" t="s">
        <v>334</v>
      </c>
      <c r="E243" s="106" t="s">
        <v>41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45954</v>
      </c>
      <c r="U243" s="13" t="s">
        <v>142</v>
      </c>
      <c r="V243">
        <v>1</v>
      </c>
      <c r="X243" t="s">
        <v>106</v>
      </c>
      <c r="Y243">
        <f>COUNTIF(U243:U267,"K")</f>
        <v>9</v>
      </c>
      <c r="AA243" s="59" t="s">
        <v>120</v>
      </c>
      <c r="AB243" s="60" t="s">
        <v>121</v>
      </c>
    </row>
    <row r="244" spans="1:28" x14ac:dyDescent="0.4">
      <c r="A244" s="143"/>
      <c r="B244" s="149"/>
      <c r="C244" s="85" t="s">
        <v>335</v>
      </c>
      <c r="D244" s="106" t="s">
        <v>179</v>
      </c>
      <c r="E244" s="106" t="s">
        <v>38</v>
      </c>
      <c r="F244" s="16"/>
      <c r="G244" s="12" t="s">
        <v>180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45948</v>
      </c>
      <c r="U244" s="13" t="s">
        <v>142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3"/>
      <c r="B245" s="149"/>
      <c r="C245" s="85" t="s">
        <v>336</v>
      </c>
      <c r="D245" s="106" t="s">
        <v>186</v>
      </c>
      <c r="E245" s="106" t="s">
        <v>39</v>
      </c>
      <c r="F245" s="16"/>
      <c r="G245" s="12" t="s">
        <v>180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45997</v>
      </c>
      <c r="U245" s="13" t="s">
        <v>146</v>
      </c>
      <c r="V245">
        <v>3</v>
      </c>
      <c r="X245" t="s">
        <v>108</v>
      </c>
      <c r="Y245">
        <f>COUNTIF(U243:U267,"J")</f>
        <v>6</v>
      </c>
      <c r="AA245" s="49" t="s">
        <v>82</v>
      </c>
      <c r="AB245" s="50" t="s">
        <v>39</v>
      </c>
    </row>
    <row r="246" spans="1:28" x14ac:dyDescent="0.4">
      <c r="A246" s="143"/>
      <c r="B246" s="149"/>
      <c r="C246" s="85" t="s">
        <v>337</v>
      </c>
      <c r="D246" s="106" t="s">
        <v>186</v>
      </c>
      <c r="E246" s="106" t="s">
        <v>133</v>
      </c>
      <c r="F246" s="16"/>
      <c r="G246" s="12" t="s">
        <v>180</v>
      </c>
      <c r="H246" s="15"/>
      <c r="I246" s="15"/>
      <c r="J246" s="13">
        <v>1</v>
      </c>
      <c r="K246" s="15"/>
      <c r="L246" s="13"/>
      <c r="M246" s="17"/>
      <c r="N246" s="17"/>
      <c r="O246" s="17">
        <v>1</v>
      </c>
      <c r="P246" s="17">
        <v>1</v>
      </c>
      <c r="Q246" s="17"/>
      <c r="R246" s="17"/>
      <c r="S246" s="15"/>
      <c r="T246" s="25">
        <v>45997</v>
      </c>
      <c r="U246" s="13" t="s">
        <v>148</v>
      </c>
      <c r="V246">
        <v>4</v>
      </c>
      <c r="AA246" s="49" t="s">
        <v>83</v>
      </c>
      <c r="AB246" s="50" t="s">
        <v>38</v>
      </c>
    </row>
    <row r="247" spans="1:28" x14ac:dyDescent="0.4">
      <c r="A247" s="143"/>
      <c r="B247" s="149"/>
      <c r="C247" s="85" t="s">
        <v>338</v>
      </c>
      <c r="D247" s="106" t="s">
        <v>202</v>
      </c>
      <c r="E247" s="106" t="s">
        <v>40</v>
      </c>
      <c r="F247" s="16"/>
      <c r="G247" s="12" t="s">
        <v>193</v>
      </c>
      <c r="H247" s="15"/>
      <c r="I247" s="15"/>
      <c r="J247" s="13"/>
      <c r="K247" s="15"/>
      <c r="L247" s="13"/>
      <c r="M247" s="17"/>
      <c r="N247" s="17"/>
      <c r="O247" s="17">
        <v>1</v>
      </c>
      <c r="P247" s="17">
        <v>1</v>
      </c>
      <c r="Q247" s="17"/>
      <c r="R247" s="17">
        <v>1</v>
      </c>
      <c r="S247" s="15"/>
      <c r="T247" s="25">
        <v>45955</v>
      </c>
      <c r="U247" s="13" t="s">
        <v>148</v>
      </c>
      <c r="V247">
        <v>5</v>
      </c>
      <c r="AA247" s="49" t="s">
        <v>84</v>
      </c>
      <c r="AB247" s="50" t="s">
        <v>44</v>
      </c>
    </row>
    <row r="248" spans="1:28" x14ac:dyDescent="0.4">
      <c r="A248" s="143"/>
      <c r="B248" s="149"/>
      <c r="C248" s="85" t="s">
        <v>339</v>
      </c>
      <c r="D248" s="106" t="s">
        <v>202</v>
      </c>
      <c r="E248" s="106" t="s">
        <v>40</v>
      </c>
      <c r="F248" s="16"/>
      <c r="G248" s="12" t="s">
        <v>180</v>
      </c>
      <c r="H248" s="13"/>
      <c r="I248" s="15"/>
      <c r="J248" s="13"/>
      <c r="K248" s="15"/>
      <c r="L248" s="13"/>
      <c r="M248" s="17"/>
      <c r="N248" s="17"/>
      <c r="O248" s="17">
        <v>1</v>
      </c>
      <c r="P248" s="17">
        <v>1</v>
      </c>
      <c r="Q248" s="17">
        <v>1</v>
      </c>
      <c r="R248" s="17">
        <v>1</v>
      </c>
      <c r="S248" s="15"/>
      <c r="T248" s="25">
        <v>45955</v>
      </c>
      <c r="U248" s="133" t="s">
        <v>148</v>
      </c>
      <c r="V248">
        <v>6</v>
      </c>
      <c r="AA248" s="49" t="s">
        <v>85</v>
      </c>
      <c r="AB248" s="50" t="s">
        <v>43</v>
      </c>
    </row>
    <row r="249" spans="1:28" x14ac:dyDescent="0.4">
      <c r="A249" s="143"/>
      <c r="B249" s="149"/>
      <c r="C249" s="85" t="s">
        <v>340</v>
      </c>
      <c r="D249" s="106" t="s">
        <v>202</v>
      </c>
      <c r="E249" s="106" t="s">
        <v>40</v>
      </c>
      <c r="F249" s="16"/>
      <c r="G249" s="12" t="s">
        <v>180</v>
      </c>
      <c r="H249" s="15"/>
      <c r="I249" s="15"/>
      <c r="J249" s="13"/>
      <c r="K249" s="15"/>
      <c r="L249" s="13"/>
      <c r="M249" s="17"/>
      <c r="N249" s="17"/>
      <c r="O249" s="17">
        <v>1</v>
      </c>
      <c r="P249" s="17">
        <v>1</v>
      </c>
      <c r="Q249" s="17">
        <v>1</v>
      </c>
      <c r="R249" s="17">
        <v>1</v>
      </c>
      <c r="S249" s="15"/>
      <c r="T249" s="25">
        <v>45955</v>
      </c>
      <c r="U249" s="13" t="s">
        <v>148</v>
      </c>
      <c r="V249">
        <v>7</v>
      </c>
      <c r="AA249" s="49" t="s">
        <v>86</v>
      </c>
      <c r="AB249" s="50" t="s">
        <v>45</v>
      </c>
    </row>
    <row r="250" spans="1:28" x14ac:dyDescent="0.4">
      <c r="A250" s="143"/>
      <c r="B250" s="149"/>
      <c r="C250" s="85" t="s">
        <v>341</v>
      </c>
      <c r="D250" s="106" t="s">
        <v>342</v>
      </c>
      <c r="E250" s="106" t="s">
        <v>37</v>
      </c>
      <c r="F250" s="16"/>
      <c r="G250" s="12" t="s">
        <v>180</v>
      </c>
      <c r="H250" s="15"/>
      <c r="I250" s="15"/>
      <c r="J250" s="13">
        <v>1</v>
      </c>
      <c r="K250" s="15">
        <v>1</v>
      </c>
      <c r="L250" s="13"/>
      <c r="M250" s="17"/>
      <c r="N250" s="17"/>
      <c r="O250" s="17"/>
      <c r="P250" s="17"/>
      <c r="Q250" s="17"/>
      <c r="R250" s="17"/>
      <c r="S250" s="15"/>
      <c r="T250" s="25">
        <v>45938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3"/>
      <c r="B251" s="149"/>
      <c r="C251" s="85" t="s">
        <v>343</v>
      </c>
      <c r="D251" s="106" t="s">
        <v>184</v>
      </c>
      <c r="E251" s="106" t="s">
        <v>74</v>
      </c>
      <c r="F251" s="16"/>
      <c r="G251" s="12" t="s">
        <v>180</v>
      </c>
      <c r="H251" s="15"/>
      <c r="I251" s="15"/>
      <c r="J251" s="13">
        <v>1</v>
      </c>
      <c r="K251" s="15">
        <v>1</v>
      </c>
      <c r="L251" s="13"/>
      <c r="M251" s="17"/>
      <c r="N251" s="17"/>
      <c r="O251" s="17"/>
      <c r="P251" s="17"/>
      <c r="Q251" s="17"/>
      <c r="R251" s="17"/>
      <c r="S251" s="15"/>
      <c r="T251" s="25">
        <v>45950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3"/>
      <c r="B252" s="149"/>
      <c r="C252" s="85" t="s">
        <v>344</v>
      </c>
      <c r="D252" s="106" t="s">
        <v>188</v>
      </c>
      <c r="E252" s="106" t="s">
        <v>40</v>
      </c>
      <c r="F252" s="138"/>
      <c r="G252" s="137" t="s">
        <v>180</v>
      </c>
      <c r="H252" s="15"/>
      <c r="I252" s="15"/>
      <c r="J252" s="13"/>
      <c r="K252" s="15"/>
      <c r="L252" s="13"/>
      <c r="M252" s="17"/>
      <c r="N252" s="17"/>
      <c r="O252" s="17"/>
      <c r="P252" s="17">
        <v>1</v>
      </c>
      <c r="Q252" s="17"/>
      <c r="R252" s="17"/>
      <c r="S252" s="15"/>
      <c r="T252" s="25">
        <v>45958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43"/>
      <c r="B253" s="149"/>
      <c r="C253" s="85" t="s">
        <v>345</v>
      </c>
      <c r="D253" s="106" t="s">
        <v>188</v>
      </c>
      <c r="E253" s="106" t="s">
        <v>39</v>
      </c>
      <c r="F253" s="16"/>
      <c r="G253" s="12" t="s">
        <v>180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45958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3"/>
      <c r="B254" s="149"/>
      <c r="C254" s="85" t="s">
        <v>346</v>
      </c>
      <c r="D254" s="106" t="s">
        <v>188</v>
      </c>
      <c r="E254" s="106" t="s">
        <v>133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/>
      <c r="S254" s="15"/>
      <c r="T254" s="25">
        <v>45958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43"/>
      <c r="B255" s="149"/>
      <c r="C255" s="85" t="s">
        <v>347</v>
      </c>
      <c r="D255" s="106" t="s">
        <v>204</v>
      </c>
      <c r="E255" s="106" t="s">
        <v>39</v>
      </c>
      <c r="F255" s="16"/>
      <c r="G255" s="12" t="s">
        <v>180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5">
        <v>45953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3"/>
      <c r="B256" s="149"/>
      <c r="C256" s="85" t="s">
        <v>348</v>
      </c>
      <c r="D256" s="106" t="s">
        <v>204</v>
      </c>
      <c r="E256" s="106" t="s">
        <v>39</v>
      </c>
      <c r="F256" s="16"/>
      <c r="G256" s="12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45953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3"/>
      <c r="B257" s="149"/>
      <c r="C257" s="85" t="s">
        <v>349</v>
      </c>
      <c r="D257" s="106" t="s">
        <v>204</v>
      </c>
      <c r="E257" s="106" t="s">
        <v>39</v>
      </c>
      <c r="F257" s="16"/>
      <c r="G257" s="12" t="s">
        <v>180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5">
        <v>45953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43"/>
      <c r="B258" s="149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3"/>
      <c r="B259" s="149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3"/>
      <c r="B260" s="149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3"/>
      <c r="B261" s="149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3"/>
      <c r="B262" s="149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3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3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3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3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4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14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9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5</v>
      </c>
      <c r="P268" s="29">
        <f t="shared" ref="P268" si="59">SUM(P243:P267)</f>
        <v>6</v>
      </c>
      <c r="Q268" s="29">
        <f t="shared" ref="Q268" si="60">SUM(Q243:Q267)</f>
        <v>2</v>
      </c>
      <c r="R268" s="29">
        <f t="shared" ref="R268" si="61">SUM(R243:R267)</f>
        <v>3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35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AYG120</v>
      </c>
      <c r="B271" s="24">
        <f>B1</f>
        <v>45922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0" t="s">
        <v>111</v>
      </c>
      <c r="Y272" s="141"/>
    </row>
    <row r="273" spans="1:28" ht="20.25" thickTop="1" thickBot="1" x14ac:dyDescent="0.45">
      <c r="A273" s="142">
        <v>10</v>
      </c>
      <c r="B273" s="148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3"/>
      <c r="B274" s="149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3"/>
      <c r="B275" s="149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3"/>
      <c r="B276" s="149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3"/>
      <c r="B277" s="149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3"/>
      <c r="B278" s="149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3"/>
      <c r="B279" s="149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3"/>
      <c r="B280" s="149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3"/>
      <c r="B281" s="149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3"/>
      <c r="B282" s="149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3"/>
      <c r="B283" s="149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3"/>
      <c r="B284" s="149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3"/>
      <c r="B285" s="149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3"/>
      <c r="B286" s="149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3"/>
      <c r="B287" s="149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3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3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3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3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3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3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3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3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3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4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AYG120</v>
      </c>
      <c r="B301" s="24">
        <f>B1</f>
        <v>45922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0" t="s">
        <v>110</v>
      </c>
      <c r="Y302" s="141"/>
    </row>
    <row r="303" spans="1:28" ht="20.25" thickTop="1" thickBot="1" x14ac:dyDescent="0.45">
      <c r="A303" s="142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3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3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3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3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3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3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3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3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3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3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3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3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3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3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3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3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3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3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3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3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3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3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3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4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AYG120</v>
      </c>
      <c r="B331" s="24">
        <f>B151</f>
        <v>45922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0" t="s">
        <v>109</v>
      </c>
      <c r="Y332" s="141"/>
    </row>
    <row r="333" spans="1:28" ht="20.25" thickTop="1" thickBot="1" x14ac:dyDescent="0.45">
      <c r="A333" s="142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3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3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3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3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3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3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3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3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3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3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3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3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3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3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3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3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3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3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3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3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3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3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3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4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0" t="s">
        <v>138</v>
      </c>
      <c r="Y362" s="141"/>
    </row>
    <row r="363" spans="1:28" ht="19.5" thickTop="1" x14ac:dyDescent="0.4">
      <c r="A363" s="142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3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3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3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3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3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3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3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3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3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3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3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3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3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3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3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3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3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3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3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3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3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3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3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4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0" t="s">
        <v>139</v>
      </c>
      <c r="Y392" s="141"/>
    </row>
    <row r="393" spans="1:25" ht="19.5" thickTop="1" x14ac:dyDescent="0.4">
      <c r="A393" s="142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3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3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3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3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3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3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3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3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3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3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3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3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3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3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3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3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3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3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3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3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3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3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3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4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0" t="s">
        <v>140</v>
      </c>
      <c r="Y422" s="141"/>
    </row>
    <row r="423" spans="1:25" ht="19.5" thickTop="1" x14ac:dyDescent="0.4">
      <c r="A423" s="142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3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3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3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3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3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3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3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3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3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3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3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3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3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3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3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3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3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3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3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3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3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3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3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4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0" t="s">
        <v>105</v>
      </c>
      <c r="Y451" s="141"/>
    </row>
    <row r="452" spans="1:25" ht="19.5" thickTop="1" x14ac:dyDescent="0.4">
      <c r="A452" s="142">
        <v>16</v>
      </c>
      <c r="B452" s="14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3"/>
      <c r="B453" s="14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3"/>
      <c r="B454" s="14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3"/>
      <c r="B455" s="14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3"/>
      <c r="B456" s="14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3"/>
      <c r="B457" s="14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3"/>
      <c r="B458" s="14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3"/>
      <c r="B459" s="14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3"/>
      <c r="B460" s="14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3"/>
      <c r="B461" s="14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3"/>
      <c r="B462" s="14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3"/>
      <c r="B463" s="14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3"/>
      <c r="B464" s="14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3"/>
      <c r="B465" s="14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3"/>
      <c r="B466" s="14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3"/>
      <c r="B467" s="14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3"/>
      <c r="B468" s="14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3"/>
      <c r="B469" s="14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3"/>
      <c r="B470" s="14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3"/>
      <c r="B471" s="14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3"/>
      <c r="B472" s="14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3"/>
      <c r="B473" s="14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3"/>
      <c r="B474" s="14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3"/>
      <c r="B475" s="14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4"/>
      <c r="B476" s="14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4" t="s">
        <v>47</v>
      </c>
      <c r="C26" s="16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5"/>
      <c r="C27" s="165"/>
      <c r="D27" s="166">
        <f>SUM(D26:F26)</f>
        <v>116</v>
      </c>
      <c r="E27" s="166"/>
      <c r="F27" s="16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R1705"/>
  <sheetViews>
    <sheetView zoomScaleNormal="100" workbookViewId="0">
      <selection sqref="A1:D20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43" width="16.625" customWidth="1"/>
    <col min="44" max="44" width="11" customWidth="1"/>
    <col min="45" max="45" width="10.5" style="121" customWidth="1"/>
    <col min="46" max="46" width="10.25" style="121" customWidth="1"/>
    <col min="47" max="47" width="10.875" style="121" customWidth="1"/>
    <col min="48" max="61" width="16.625" customWidth="1"/>
    <col min="62" max="62" width="20.5" customWidth="1"/>
    <col min="67" max="67" width="12.375" customWidth="1"/>
    <col min="68" max="68" width="11.25" customWidth="1"/>
    <col min="69" max="69" width="10.5" customWidth="1"/>
    <col min="70" max="70" width="10.25" customWidth="1"/>
  </cols>
  <sheetData>
    <row r="1" spans="1:66" x14ac:dyDescent="0.4">
      <c r="A1" s="120" t="s">
        <v>211</v>
      </c>
      <c r="B1" s="121"/>
      <c r="C1" s="121"/>
      <c r="D1" s="121"/>
      <c r="K1" t="s">
        <v>143</v>
      </c>
      <c r="L1" t="s">
        <v>144</v>
      </c>
      <c r="AL1" t="s">
        <v>143</v>
      </c>
      <c r="AM1" t="s">
        <v>144</v>
      </c>
      <c r="AR1" s="120"/>
      <c r="BJ1" t="s">
        <v>143</v>
      </c>
      <c r="BK1" t="s">
        <v>144</v>
      </c>
    </row>
    <row r="2" spans="1:66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45938</v>
      </c>
      <c r="L2" s="13" t="s">
        <v>146</v>
      </c>
      <c r="AA2" s="127"/>
      <c r="AB2" s="29"/>
      <c r="AL2" s="25">
        <v>45669</v>
      </c>
      <c r="AM2" s="13" t="s">
        <v>147</v>
      </c>
      <c r="AR2" s="116"/>
      <c r="AS2" s="123"/>
      <c r="AT2" s="123"/>
      <c r="AU2" s="123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25">
        <v>45258</v>
      </c>
      <c r="BK2" s="13" t="s">
        <v>162</v>
      </c>
      <c r="BN2" s="114"/>
    </row>
    <row r="3" spans="1:66" ht="20.100000000000001" customHeight="1" x14ac:dyDescent="0.4">
      <c r="A3" s="117">
        <v>45938</v>
      </c>
      <c r="B3" s="123">
        <v>1</v>
      </c>
      <c r="C3" s="123"/>
      <c r="D3" s="123"/>
      <c r="J3" s="115" t="s">
        <v>194</v>
      </c>
      <c r="K3" s="13">
        <f>SUBTOTAL(3,K2:K2)</f>
        <v>1</v>
      </c>
      <c r="L3" s="13">
        <f>SUBTOTAL(3,L2:L2)</f>
        <v>1</v>
      </c>
      <c r="AA3" s="127"/>
      <c r="AB3" s="29"/>
      <c r="AL3" s="25"/>
      <c r="AM3" s="13"/>
      <c r="AR3" s="116"/>
      <c r="AS3" s="123"/>
      <c r="AT3" s="123"/>
      <c r="AU3" s="123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25"/>
      <c r="BK3" s="13"/>
      <c r="BN3" s="114"/>
    </row>
    <row r="4" spans="1:66" ht="20.100000000000001" customHeight="1" x14ac:dyDescent="0.4">
      <c r="A4" s="117">
        <v>45940</v>
      </c>
      <c r="B4" s="123">
        <v>2</v>
      </c>
      <c r="C4" s="123"/>
      <c r="D4" s="123">
        <v>1</v>
      </c>
      <c r="I4" s="115"/>
      <c r="J4" s="115"/>
      <c r="K4" s="25">
        <v>45940</v>
      </c>
      <c r="L4" s="13" t="s">
        <v>146</v>
      </c>
      <c r="AA4" s="127"/>
      <c r="AB4" s="29"/>
      <c r="AL4" s="25"/>
      <c r="AM4" s="13"/>
      <c r="AR4" s="116"/>
      <c r="AS4" s="123"/>
      <c r="AT4" s="123"/>
      <c r="AU4" s="123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25"/>
      <c r="BK4" s="13"/>
      <c r="BN4" s="114"/>
    </row>
    <row r="5" spans="1:66" ht="20.100000000000001" customHeight="1" x14ac:dyDescent="0.4">
      <c r="A5" s="117">
        <v>45943</v>
      </c>
      <c r="B5" s="123">
        <v>3</v>
      </c>
      <c r="C5" s="123">
        <v>3</v>
      </c>
      <c r="D5" s="123">
        <v>2</v>
      </c>
      <c r="H5" s="115"/>
      <c r="I5" s="115"/>
      <c r="J5" s="115"/>
      <c r="K5" s="25">
        <v>45940</v>
      </c>
      <c r="L5" s="13" t="s">
        <v>148</v>
      </c>
      <c r="AA5" s="127"/>
      <c r="AB5" s="29"/>
      <c r="AL5" s="25"/>
      <c r="AM5" s="13"/>
      <c r="AR5" s="116"/>
      <c r="AS5" s="123"/>
      <c r="AT5" s="123"/>
      <c r="AU5" s="123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25"/>
      <c r="BK5" s="13"/>
      <c r="BN5" s="114"/>
    </row>
    <row r="6" spans="1:66" ht="20.100000000000001" customHeight="1" x14ac:dyDescent="0.4">
      <c r="A6" s="117">
        <v>45944</v>
      </c>
      <c r="B6" s="123"/>
      <c r="C6" s="123">
        <v>3</v>
      </c>
      <c r="D6" s="123"/>
      <c r="H6" s="115"/>
      <c r="I6" s="115"/>
      <c r="J6" s="115"/>
      <c r="K6" s="25">
        <v>45940</v>
      </c>
      <c r="L6" s="13" t="s">
        <v>146</v>
      </c>
      <c r="AA6" s="127"/>
      <c r="AB6" s="29"/>
      <c r="AL6" s="25"/>
      <c r="AM6" s="13"/>
      <c r="AR6" s="116"/>
      <c r="AS6" s="123"/>
      <c r="AT6" s="123"/>
      <c r="AU6" s="123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25"/>
      <c r="BK6" s="13"/>
      <c r="BN6" s="114"/>
    </row>
    <row r="7" spans="1:66" ht="20.100000000000001" customHeight="1" x14ac:dyDescent="0.4">
      <c r="A7" s="117">
        <v>45945</v>
      </c>
      <c r="B7" s="123">
        <v>1</v>
      </c>
      <c r="C7" s="123">
        <v>3</v>
      </c>
      <c r="D7" s="123"/>
      <c r="H7" s="115"/>
      <c r="I7" s="115"/>
      <c r="J7" s="115" t="s">
        <v>195</v>
      </c>
      <c r="K7" s="13">
        <f>SUBTOTAL(3,K4:K6)</f>
        <v>3</v>
      </c>
      <c r="L7" s="13">
        <f>SUBTOTAL(3,L4:L6)</f>
        <v>3</v>
      </c>
      <c r="AA7" s="127"/>
      <c r="AB7" s="29"/>
      <c r="AL7" s="25"/>
      <c r="AM7" s="13"/>
      <c r="AR7" s="116"/>
      <c r="AS7" s="123"/>
      <c r="AT7" s="123"/>
      <c r="AU7" s="123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25"/>
      <c r="BK7" s="13"/>
      <c r="BN7" s="114"/>
    </row>
    <row r="8" spans="1:66" ht="20.100000000000001" customHeight="1" x14ac:dyDescent="0.4">
      <c r="A8" s="117">
        <v>45946</v>
      </c>
      <c r="B8" s="123">
        <v>15</v>
      </c>
      <c r="C8" s="123">
        <v>4</v>
      </c>
      <c r="D8" s="123">
        <v>2</v>
      </c>
      <c r="G8" s="115"/>
      <c r="H8" s="115"/>
      <c r="I8" s="115"/>
      <c r="J8" s="115"/>
      <c r="K8" s="25">
        <v>45943</v>
      </c>
      <c r="L8" s="13" t="s">
        <v>142</v>
      </c>
      <c r="AA8" s="127"/>
      <c r="AB8" s="29"/>
      <c r="AL8" s="25"/>
      <c r="AM8" s="13"/>
      <c r="AR8" s="116"/>
      <c r="AS8" s="123"/>
      <c r="AT8" s="123"/>
      <c r="AU8" s="123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25"/>
      <c r="BK8" s="13"/>
      <c r="BN8" s="114"/>
    </row>
    <row r="9" spans="1:66" ht="20.100000000000001" customHeight="1" x14ac:dyDescent="0.4">
      <c r="A9" s="117">
        <v>45948</v>
      </c>
      <c r="B9" s="123">
        <v>44</v>
      </c>
      <c r="C9" s="123">
        <v>3</v>
      </c>
      <c r="D9" s="123">
        <v>7</v>
      </c>
      <c r="G9" s="115"/>
      <c r="H9" s="115"/>
      <c r="I9" s="115"/>
      <c r="J9" s="115"/>
      <c r="K9" s="25">
        <v>45943</v>
      </c>
      <c r="L9" s="13" t="s">
        <v>147</v>
      </c>
      <c r="AA9" s="127"/>
      <c r="AB9" s="29"/>
      <c r="AL9" s="25"/>
      <c r="AM9" s="13"/>
      <c r="AR9" s="116"/>
      <c r="AS9" s="123"/>
      <c r="AT9" s="123"/>
      <c r="AU9" s="123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25"/>
      <c r="BK9" s="13"/>
      <c r="BN9" s="114"/>
    </row>
    <row r="10" spans="1:66" ht="20.100000000000001" customHeight="1" x14ac:dyDescent="0.4">
      <c r="A10" s="117">
        <v>45949</v>
      </c>
      <c r="B10" s="123">
        <v>4</v>
      </c>
      <c r="C10" s="123">
        <v>3</v>
      </c>
      <c r="D10" s="123">
        <v>1</v>
      </c>
      <c r="K10" s="25">
        <v>45943</v>
      </c>
      <c r="L10" s="13" t="s">
        <v>148</v>
      </c>
      <c r="Z10" s="115"/>
      <c r="AA10" s="29"/>
      <c r="AB10" s="29"/>
      <c r="AL10" s="25"/>
      <c r="AM10" s="13"/>
      <c r="AR10" s="116"/>
      <c r="AS10" s="123"/>
      <c r="AT10" s="123"/>
      <c r="AU10" s="123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25"/>
      <c r="BK10" s="13"/>
      <c r="BN10" s="114"/>
    </row>
    <row r="11" spans="1:66" ht="20.100000000000001" customHeight="1" x14ac:dyDescent="0.4">
      <c r="A11" s="117">
        <v>45950</v>
      </c>
      <c r="B11" s="123">
        <v>1</v>
      </c>
      <c r="C11" s="123"/>
      <c r="D11" s="123"/>
      <c r="I11" s="115"/>
      <c r="J11" s="115"/>
      <c r="K11" s="25">
        <v>45943</v>
      </c>
      <c r="L11" s="13" t="s">
        <v>148</v>
      </c>
      <c r="Z11" s="115"/>
      <c r="AA11" s="29"/>
      <c r="AB11" s="29"/>
      <c r="AL11" s="25"/>
      <c r="AM11" s="13"/>
      <c r="AR11" s="116"/>
      <c r="AS11" s="123"/>
      <c r="AT11" s="123"/>
      <c r="AU11" s="123"/>
      <c r="AZ11" s="115"/>
      <c r="BA11" s="115"/>
      <c r="BB11" s="115"/>
      <c r="BC11" s="115"/>
      <c r="BD11" s="115"/>
      <c r="BE11" s="115"/>
      <c r="BF11" s="115"/>
      <c r="BG11" s="115"/>
      <c r="BH11" s="115"/>
      <c r="BI11" s="115"/>
      <c r="BJ11" s="25"/>
      <c r="BK11" s="13"/>
      <c r="BN11" s="114"/>
    </row>
    <row r="12" spans="1:66" ht="20.100000000000001" customHeight="1" x14ac:dyDescent="0.4">
      <c r="A12" s="117">
        <v>45953</v>
      </c>
      <c r="B12" s="123">
        <v>3</v>
      </c>
      <c r="C12" s="123"/>
      <c r="D12" s="123"/>
      <c r="G12" s="115"/>
      <c r="H12" s="115"/>
      <c r="I12" s="115"/>
      <c r="J12" s="115"/>
      <c r="K12" s="25">
        <v>45943</v>
      </c>
      <c r="L12" s="13" t="s">
        <v>146</v>
      </c>
      <c r="Z12" s="115"/>
      <c r="AA12" s="29"/>
      <c r="AB12" s="29"/>
      <c r="AL12" s="25"/>
      <c r="AM12" s="13"/>
      <c r="AR12" s="116"/>
      <c r="AS12" s="123"/>
      <c r="AT12" s="123"/>
      <c r="AU12" s="123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25"/>
      <c r="BK12" s="13"/>
      <c r="BN12" s="114"/>
    </row>
    <row r="13" spans="1:66" ht="20.100000000000001" customHeight="1" x14ac:dyDescent="0.4">
      <c r="A13" s="117">
        <v>45954</v>
      </c>
      <c r="B13" s="123">
        <v>1</v>
      </c>
      <c r="C13" s="123"/>
      <c r="D13" s="123"/>
      <c r="G13" s="115"/>
      <c r="H13" s="115"/>
      <c r="I13" s="115"/>
      <c r="J13" s="115"/>
      <c r="K13" s="25">
        <v>45943</v>
      </c>
      <c r="L13" s="13" t="s">
        <v>147</v>
      </c>
      <c r="Z13" s="115"/>
      <c r="AA13" s="29"/>
      <c r="AB13" s="29"/>
      <c r="AL13" s="25"/>
      <c r="AM13" s="13"/>
      <c r="AR13" s="116"/>
      <c r="AS13" s="123"/>
      <c r="AT13" s="123"/>
      <c r="AU13" s="123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25"/>
      <c r="BK13" s="13"/>
      <c r="BN13" s="114"/>
    </row>
    <row r="14" spans="1:66" ht="20.100000000000001" customHeight="1" x14ac:dyDescent="0.4">
      <c r="A14" s="117">
        <v>45955</v>
      </c>
      <c r="B14" s="123"/>
      <c r="C14" s="123"/>
      <c r="D14" s="123">
        <v>3</v>
      </c>
      <c r="G14" s="115"/>
      <c r="H14" s="115"/>
      <c r="I14" s="115"/>
      <c r="J14" s="115"/>
      <c r="K14" s="25">
        <v>45943</v>
      </c>
      <c r="L14" s="13" t="s">
        <v>147</v>
      </c>
      <c r="Z14" s="115"/>
      <c r="AA14" s="29"/>
      <c r="AB14" s="29"/>
      <c r="AL14" s="25"/>
      <c r="AM14" s="13"/>
      <c r="AR14" s="116"/>
      <c r="AS14" s="123"/>
      <c r="AT14" s="123"/>
      <c r="AU14" s="123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25"/>
      <c r="BK14" s="13"/>
      <c r="BN14" s="114"/>
    </row>
    <row r="15" spans="1:66" ht="20.100000000000001" customHeight="1" x14ac:dyDescent="0.4">
      <c r="A15" s="117">
        <v>45957</v>
      </c>
      <c r="B15" s="123">
        <v>13</v>
      </c>
      <c r="C15" s="123"/>
      <c r="D15" s="123"/>
      <c r="G15" s="115"/>
      <c r="H15" s="115"/>
      <c r="I15" s="115"/>
      <c r="J15" s="115"/>
      <c r="K15" s="25">
        <v>45943</v>
      </c>
      <c r="L15" s="13" t="s">
        <v>142</v>
      </c>
      <c r="Z15" s="115"/>
      <c r="AA15" s="29"/>
      <c r="AB15" s="29"/>
      <c r="AL15" s="25"/>
      <c r="AM15" s="13"/>
      <c r="AR15" s="116"/>
      <c r="AS15" s="123"/>
      <c r="AT15" s="123"/>
      <c r="AU15" s="123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25"/>
      <c r="BK15" s="13"/>
      <c r="BN15" s="114"/>
    </row>
    <row r="16" spans="1:66" ht="20.100000000000001" customHeight="1" x14ac:dyDescent="0.4">
      <c r="A16" s="117">
        <v>45958</v>
      </c>
      <c r="B16" s="123">
        <v>1</v>
      </c>
      <c r="C16" s="123"/>
      <c r="D16" s="123">
        <v>2</v>
      </c>
      <c r="G16" s="115"/>
      <c r="H16" s="115"/>
      <c r="I16" s="115"/>
      <c r="J16" s="115" t="s">
        <v>196</v>
      </c>
      <c r="K16" s="13">
        <f>SUBTOTAL(3,K8:K15)</f>
        <v>8</v>
      </c>
      <c r="L16" s="13">
        <f>SUBTOTAL(3,L8:L15)</f>
        <v>8</v>
      </c>
      <c r="Z16" s="115"/>
      <c r="AA16" s="29"/>
      <c r="AB16" s="29"/>
      <c r="AL16" s="25"/>
      <c r="AM16" s="13"/>
      <c r="AR16" s="116"/>
      <c r="AS16" s="123"/>
      <c r="AT16" s="123"/>
      <c r="AU16" s="123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25"/>
      <c r="BK16" s="13"/>
      <c r="BN16" s="114"/>
    </row>
    <row r="17" spans="1:66" ht="20.100000000000001" customHeight="1" x14ac:dyDescent="0.4">
      <c r="A17" s="117">
        <v>45959</v>
      </c>
      <c r="B17" s="123"/>
      <c r="C17" s="123">
        <v>3</v>
      </c>
      <c r="D17" s="123"/>
      <c r="K17" s="25">
        <v>45944</v>
      </c>
      <c r="L17" s="13" t="s">
        <v>147</v>
      </c>
      <c r="X17" s="115"/>
      <c r="Y17" s="115"/>
      <c r="Z17" s="115"/>
      <c r="AA17" s="127"/>
      <c r="AB17" s="29"/>
      <c r="AL17" s="25"/>
      <c r="AM17" s="13"/>
      <c r="AR17" s="116"/>
      <c r="AS17" s="123"/>
      <c r="AT17" s="123"/>
      <c r="AU17" s="123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25"/>
      <c r="BK17" s="13"/>
      <c r="BN17" s="114"/>
    </row>
    <row r="18" spans="1:66" ht="20.100000000000001" customHeight="1" x14ac:dyDescent="0.4">
      <c r="A18" s="117">
        <v>45997</v>
      </c>
      <c r="B18" s="123">
        <v>1</v>
      </c>
      <c r="C18" s="123"/>
      <c r="D18" s="123">
        <v>1</v>
      </c>
      <c r="H18" s="115"/>
      <c r="I18" s="115"/>
      <c r="J18" s="115"/>
      <c r="K18" s="25">
        <v>45944</v>
      </c>
      <c r="L18" s="13" t="s">
        <v>147</v>
      </c>
      <c r="X18" s="115"/>
      <c r="Y18" s="115"/>
      <c r="Z18" s="115"/>
      <c r="AA18" s="127"/>
      <c r="AB18" s="29"/>
      <c r="AL18" s="25"/>
      <c r="AM18" s="13"/>
      <c r="AR18" s="116"/>
      <c r="AS18" s="123"/>
      <c r="AT18" s="123"/>
      <c r="AU18" s="123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25"/>
      <c r="BK18" s="13"/>
      <c r="BN18" s="114"/>
    </row>
    <row r="19" spans="1:66" ht="20.100000000000001" customHeight="1" x14ac:dyDescent="0.4">
      <c r="A19" s="117"/>
      <c r="B19" s="123">
        <f>SUM(B3:B18)</f>
        <v>90</v>
      </c>
      <c r="C19" s="123">
        <f>SUM(C3:C18)</f>
        <v>22</v>
      </c>
      <c r="D19" s="123">
        <f>SUM(D3:D18)</f>
        <v>19</v>
      </c>
      <c r="H19" s="115"/>
      <c r="I19" s="115"/>
      <c r="J19" s="115"/>
      <c r="K19" s="25">
        <v>45944</v>
      </c>
      <c r="L19" s="15" t="s">
        <v>147</v>
      </c>
      <c r="X19" s="115"/>
      <c r="Y19" s="115"/>
      <c r="Z19" s="115"/>
      <c r="AA19" s="127"/>
      <c r="AB19" s="29"/>
      <c r="AL19" s="25"/>
      <c r="AM19" s="13"/>
      <c r="AR19" s="116"/>
      <c r="AS19" s="123"/>
      <c r="AT19" s="123"/>
      <c r="AU19" s="123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25"/>
      <c r="BK19" s="13"/>
      <c r="BN19" s="114"/>
    </row>
    <row r="20" spans="1:66" ht="20.100000000000001" customHeight="1" x14ac:dyDescent="0.4">
      <c r="A20" s="117"/>
      <c r="B20" s="123"/>
      <c r="C20" s="123"/>
      <c r="D20" s="123">
        <f>SUM(B19:D19)</f>
        <v>131</v>
      </c>
      <c r="H20" s="115"/>
      <c r="I20" s="115"/>
      <c r="J20" s="115" t="s">
        <v>206</v>
      </c>
      <c r="K20" s="13">
        <f>SUBTOTAL(3,K17:K19)</f>
        <v>3</v>
      </c>
      <c r="L20" s="15">
        <f>SUBTOTAL(3,L17:L19)</f>
        <v>3</v>
      </c>
      <c r="X20" s="115"/>
      <c r="Y20" s="115"/>
      <c r="Z20" s="115"/>
      <c r="AA20" s="127"/>
      <c r="AB20" s="29"/>
      <c r="AL20" s="25"/>
      <c r="AM20" s="13"/>
      <c r="AR20" s="116"/>
      <c r="AS20" s="123"/>
      <c r="AT20" s="123"/>
      <c r="AU20" s="123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25"/>
      <c r="BK20" s="13"/>
      <c r="BN20" s="114"/>
    </row>
    <row r="21" spans="1:66" ht="20.100000000000001" customHeight="1" x14ac:dyDescent="0.4">
      <c r="A21" s="117"/>
      <c r="B21" s="123"/>
      <c r="C21" s="123"/>
      <c r="D21" s="123"/>
      <c r="K21" s="25">
        <v>45945</v>
      </c>
      <c r="L21" s="15" t="s">
        <v>147</v>
      </c>
      <c r="X21" s="115"/>
      <c r="Y21" s="115"/>
      <c r="Z21" s="115"/>
      <c r="AA21" s="29"/>
      <c r="AB21" s="29"/>
      <c r="AL21" s="25"/>
      <c r="AM21" s="13"/>
      <c r="AR21" s="116"/>
      <c r="AS21" s="123"/>
      <c r="AT21" s="123"/>
      <c r="AU21" s="123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25"/>
      <c r="BK21" s="13"/>
      <c r="BN21" s="114"/>
    </row>
    <row r="22" spans="1:66" ht="20.100000000000001" customHeight="1" x14ac:dyDescent="0.4">
      <c r="A22" s="117"/>
      <c r="B22" s="123"/>
      <c r="C22" s="123"/>
      <c r="D22" s="123"/>
      <c r="K22" s="25">
        <v>45945</v>
      </c>
      <c r="L22" s="13" t="s">
        <v>147</v>
      </c>
      <c r="W22" s="115"/>
      <c r="X22" s="115"/>
      <c r="Y22" s="115"/>
      <c r="Z22" s="115"/>
      <c r="AA22" s="127"/>
      <c r="AB22" s="29"/>
      <c r="AL22" s="25"/>
      <c r="AM22" s="13"/>
      <c r="AR22" s="116"/>
      <c r="AS22" s="123"/>
      <c r="AT22" s="123"/>
      <c r="AU22" s="123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25"/>
      <c r="BK22" s="13"/>
      <c r="BN22" s="114"/>
    </row>
    <row r="23" spans="1:66" ht="20.100000000000001" customHeight="1" x14ac:dyDescent="0.4">
      <c r="A23" s="117"/>
      <c r="B23" s="123"/>
      <c r="C23" s="123"/>
      <c r="D23" s="123"/>
      <c r="G23" s="115"/>
      <c r="H23" s="115"/>
      <c r="I23" s="115"/>
      <c r="J23" s="115"/>
      <c r="K23" s="25">
        <v>45945</v>
      </c>
      <c r="L23" s="13" t="s">
        <v>147</v>
      </c>
      <c r="W23" s="115"/>
      <c r="X23" s="115"/>
      <c r="Y23" s="115"/>
      <c r="Z23" s="115"/>
      <c r="AA23" s="127"/>
      <c r="AB23" s="29"/>
      <c r="AL23" s="25"/>
      <c r="AM23" s="13"/>
      <c r="AR23" s="116"/>
      <c r="AS23" s="123"/>
      <c r="AT23" s="123"/>
      <c r="AU23" s="123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25"/>
      <c r="BK23" s="13"/>
      <c r="BN23" s="114"/>
    </row>
    <row r="24" spans="1:66" ht="20.100000000000001" customHeight="1" x14ac:dyDescent="0.4">
      <c r="A24" s="117"/>
      <c r="B24" s="123"/>
      <c r="C24" s="123"/>
      <c r="D24" s="123"/>
      <c r="G24" s="115"/>
      <c r="H24" s="115"/>
      <c r="I24" s="115"/>
      <c r="J24" s="115"/>
      <c r="K24" s="25">
        <v>45945</v>
      </c>
      <c r="L24" s="13" t="s">
        <v>146</v>
      </c>
      <c r="W24" s="115"/>
      <c r="X24" s="115"/>
      <c r="Y24" s="115"/>
      <c r="Z24" s="115"/>
      <c r="AA24" s="127"/>
      <c r="AB24" s="29"/>
      <c r="AL24" s="25"/>
      <c r="AM24" s="13"/>
      <c r="AR24" s="116"/>
      <c r="AS24" s="123"/>
      <c r="AT24" s="123"/>
      <c r="AU24" s="123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25"/>
      <c r="BK24" s="13"/>
      <c r="BN24" s="114"/>
    </row>
    <row r="25" spans="1:66" ht="20.100000000000001" customHeight="1" x14ac:dyDescent="0.4">
      <c r="A25" s="117"/>
      <c r="B25" s="123"/>
      <c r="C25" s="123"/>
      <c r="D25" s="123"/>
      <c r="G25" s="115"/>
      <c r="H25" s="115"/>
      <c r="I25" s="115"/>
      <c r="J25" s="115" t="s">
        <v>207</v>
      </c>
      <c r="K25" s="13">
        <f>SUBTOTAL(3,K21:K24)</f>
        <v>4</v>
      </c>
      <c r="L25" s="13">
        <f>SUBTOTAL(3,L21:L24)</f>
        <v>4</v>
      </c>
      <c r="W25" s="115"/>
      <c r="X25" s="115"/>
      <c r="Y25" s="115"/>
      <c r="Z25" s="115"/>
      <c r="AA25" s="127"/>
      <c r="AB25" s="29"/>
      <c r="AL25" s="25"/>
      <c r="AM25" s="13"/>
      <c r="AR25" s="116"/>
      <c r="AS25" s="123"/>
      <c r="AT25" s="123"/>
      <c r="AU25" s="123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25"/>
      <c r="BK25" s="13"/>
      <c r="BN25" s="114"/>
    </row>
    <row r="26" spans="1:66" ht="20.100000000000001" customHeight="1" x14ac:dyDescent="0.4">
      <c r="A26" s="117"/>
      <c r="B26" s="123"/>
      <c r="C26" s="123"/>
      <c r="D26" s="123"/>
      <c r="K26" s="25">
        <v>45946</v>
      </c>
      <c r="L26" s="13" t="s">
        <v>146</v>
      </c>
      <c r="W26" s="115"/>
      <c r="X26" s="115"/>
      <c r="Y26" s="115"/>
      <c r="Z26" s="115"/>
      <c r="AA26" s="29"/>
      <c r="AB26" s="29"/>
      <c r="AL26" s="25"/>
      <c r="AM26" s="13"/>
      <c r="AR26" s="116"/>
      <c r="AS26" s="123"/>
      <c r="AT26" s="123"/>
      <c r="AU26" s="123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25"/>
      <c r="BK26" s="13"/>
      <c r="BN26" s="114"/>
    </row>
    <row r="27" spans="1:66" ht="20.100000000000001" customHeight="1" x14ac:dyDescent="0.4">
      <c r="A27" s="117"/>
      <c r="B27" s="123"/>
      <c r="C27" s="123"/>
      <c r="D27" s="123"/>
      <c r="G27" s="115"/>
      <c r="H27" s="115"/>
      <c r="I27" s="115"/>
      <c r="J27" s="115"/>
      <c r="K27" s="25">
        <v>45946</v>
      </c>
      <c r="L27" s="13" t="s">
        <v>146</v>
      </c>
      <c r="W27" s="115"/>
      <c r="X27" s="115"/>
      <c r="Y27" s="115"/>
      <c r="Z27" s="115"/>
      <c r="AA27" s="29"/>
      <c r="AB27" s="29"/>
      <c r="AL27" s="25"/>
      <c r="AM27" s="13"/>
      <c r="AR27" s="116"/>
      <c r="AS27" s="123"/>
      <c r="AT27" s="123"/>
      <c r="AU27" s="123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25"/>
      <c r="BK27" s="13"/>
      <c r="BN27" s="114"/>
    </row>
    <row r="28" spans="1:66" ht="20.100000000000001" customHeight="1" x14ac:dyDescent="0.4">
      <c r="A28" s="117"/>
      <c r="B28" s="139"/>
      <c r="C28" s="123"/>
      <c r="D28" s="123"/>
      <c r="G28" s="115"/>
      <c r="H28" s="115"/>
      <c r="I28" s="115"/>
      <c r="J28" s="115"/>
      <c r="K28" s="25">
        <v>45946</v>
      </c>
      <c r="L28" s="13" t="s">
        <v>142</v>
      </c>
      <c r="W28" s="115"/>
      <c r="X28" s="115"/>
      <c r="Y28" s="115"/>
      <c r="Z28" s="115"/>
      <c r="AA28" s="29"/>
      <c r="AB28" s="29"/>
      <c r="AL28" s="25"/>
      <c r="AM28" s="13"/>
      <c r="AR28" s="116"/>
      <c r="AS28" s="123"/>
      <c r="AT28" s="123"/>
      <c r="AU28" s="123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25"/>
      <c r="BK28" s="13"/>
      <c r="BN28" s="114"/>
    </row>
    <row r="29" spans="1:66" ht="20.100000000000001" customHeight="1" x14ac:dyDescent="0.4">
      <c r="A29" s="117"/>
      <c r="B29" s="123"/>
      <c r="C29" s="123"/>
      <c r="D29" s="123"/>
      <c r="K29" s="25">
        <v>45946</v>
      </c>
      <c r="L29" s="13" t="s">
        <v>146</v>
      </c>
      <c r="W29" s="115"/>
      <c r="X29" s="115"/>
      <c r="Y29" s="115"/>
      <c r="Z29" s="115"/>
      <c r="AA29" s="127"/>
      <c r="AB29" s="29"/>
      <c r="AL29" s="25"/>
      <c r="AM29" s="13"/>
      <c r="AR29" s="116"/>
      <c r="AS29" s="123"/>
      <c r="AT29" s="123"/>
      <c r="AU29" s="123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25"/>
      <c r="BK29" s="13"/>
      <c r="BN29" s="114"/>
    </row>
    <row r="30" spans="1:66" ht="20.100000000000001" customHeight="1" x14ac:dyDescent="0.4">
      <c r="A30" s="117"/>
      <c r="B30" s="123"/>
      <c r="C30" s="123"/>
      <c r="D30" s="123"/>
      <c r="G30" s="115"/>
      <c r="H30" s="115"/>
      <c r="I30" s="115"/>
      <c r="J30" s="115"/>
      <c r="K30" s="25">
        <v>45946</v>
      </c>
      <c r="L30" s="13" t="s">
        <v>148</v>
      </c>
      <c r="W30" s="115"/>
      <c r="X30" s="115"/>
      <c r="Y30" s="115"/>
      <c r="Z30" s="115"/>
      <c r="AA30" s="127"/>
      <c r="AB30" s="29"/>
      <c r="AL30" s="25"/>
      <c r="AM30" s="13"/>
      <c r="AR30" s="116"/>
      <c r="AS30" s="123"/>
      <c r="AT30" s="123"/>
      <c r="AU30" s="123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25"/>
      <c r="BK30" s="13"/>
      <c r="BN30" s="114"/>
    </row>
    <row r="31" spans="1:66" ht="20.100000000000001" customHeight="1" x14ac:dyDescent="0.4">
      <c r="A31" s="117"/>
      <c r="B31" s="123"/>
      <c r="C31" s="123"/>
      <c r="D31" s="123"/>
      <c r="K31" s="25">
        <v>45946</v>
      </c>
      <c r="L31" s="13" t="s">
        <v>147</v>
      </c>
      <c r="W31" s="115"/>
      <c r="X31" s="115"/>
      <c r="Y31" s="115"/>
      <c r="Z31" s="115"/>
      <c r="AA31" s="29"/>
      <c r="AB31" s="29"/>
      <c r="AL31" s="25"/>
      <c r="AM31" s="13"/>
      <c r="AR31" s="116"/>
      <c r="AS31" s="123"/>
      <c r="AT31" s="123"/>
      <c r="AU31" s="123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25"/>
      <c r="BK31" s="13"/>
      <c r="BN31" s="114"/>
    </row>
    <row r="32" spans="1:66" ht="20.100000000000001" customHeight="1" x14ac:dyDescent="0.4">
      <c r="A32" s="117"/>
      <c r="B32" s="123"/>
      <c r="C32" s="123"/>
      <c r="D32" s="123"/>
      <c r="K32" s="25">
        <v>45946</v>
      </c>
      <c r="L32" s="13" t="s">
        <v>146</v>
      </c>
      <c r="V32" s="115"/>
      <c r="W32" s="115"/>
      <c r="X32" s="115"/>
      <c r="Y32" s="115"/>
      <c r="Z32" s="115"/>
      <c r="AA32" s="127"/>
      <c r="AB32" s="29"/>
      <c r="AL32" s="25"/>
      <c r="AM32" s="13"/>
      <c r="AR32" s="116"/>
      <c r="AS32" s="123"/>
      <c r="AT32" s="123"/>
      <c r="AU32" s="123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25"/>
      <c r="BK32" s="13"/>
      <c r="BN32" s="114"/>
    </row>
    <row r="33" spans="1:66" ht="20.100000000000001" customHeight="1" x14ac:dyDescent="0.4">
      <c r="A33" s="117"/>
      <c r="B33" s="123"/>
      <c r="C33" s="123"/>
      <c r="D33" s="123"/>
      <c r="H33" s="115"/>
      <c r="I33" s="115"/>
      <c r="J33" s="115"/>
      <c r="K33" s="25">
        <v>45946</v>
      </c>
      <c r="L33" s="13" t="s">
        <v>146</v>
      </c>
      <c r="V33" s="115"/>
      <c r="W33" s="115"/>
      <c r="X33" s="115"/>
      <c r="Y33" s="115"/>
      <c r="Z33" s="115"/>
      <c r="AA33" s="127"/>
      <c r="AB33" s="29"/>
      <c r="AL33" s="25"/>
      <c r="AM33" s="13"/>
      <c r="AR33" s="116"/>
      <c r="AS33" s="123"/>
      <c r="AT33" s="123"/>
      <c r="AU33" s="123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25"/>
      <c r="BK33" s="13"/>
      <c r="BN33" s="114"/>
    </row>
    <row r="34" spans="1:66" ht="20.100000000000001" customHeight="1" x14ac:dyDescent="0.4">
      <c r="A34" s="117"/>
      <c r="B34" s="123"/>
      <c r="C34" s="123"/>
      <c r="D34" s="123"/>
      <c r="G34" s="115"/>
      <c r="H34" s="115"/>
      <c r="I34" s="115"/>
      <c r="J34" s="115"/>
      <c r="K34" s="25">
        <v>45946</v>
      </c>
      <c r="L34" s="13" t="s">
        <v>146</v>
      </c>
      <c r="V34" s="115"/>
      <c r="W34" s="115"/>
      <c r="X34" s="115"/>
      <c r="Y34" s="115"/>
      <c r="Z34" s="115"/>
      <c r="AA34" s="127"/>
      <c r="AB34" s="29"/>
      <c r="AL34" s="25"/>
      <c r="AM34" s="13"/>
      <c r="AR34" s="116"/>
      <c r="AS34" s="123"/>
      <c r="AT34" s="123"/>
      <c r="AU34" s="123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25"/>
      <c r="BK34" s="13"/>
      <c r="BN34" s="114"/>
    </row>
    <row r="35" spans="1:66" ht="20.100000000000001" customHeight="1" x14ac:dyDescent="0.4">
      <c r="A35" s="117"/>
      <c r="B35" s="123"/>
      <c r="C35" s="123"/>
      <c r="D35" s="123"/>
      <c r="K35" s="25">
        <v>45946</v>
      </c>
      <c r="L35" s="13" t="s">
        <v>148</v>
      </c>
      <c r="V35" s="115"/>
      <c r="W35" s="115"/>
      <c r="X35" s="115"/>
      <c r="Y35" s="115"/>
      <c r="Z35" s="115"/>
      <c r="AA35" s="29"/>
      <c r="AB35" s="29"/>
      <c r="AL35" s="25"/>
      <c r="AM35" s="13"/>
      <c r="AR35" s="116"/>
      <c r="AS35" s="123"/>
      <c r="AT35" s="123"/>
      <c r="AU35" s="123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25"/>
      <c r="BK35" s="13"/>
      <c r="BN35" s="114"/>
    </row>
    <row r="36" spans="1:66" ht="20.100000000000001" customHeight="1" x14ac:dyDescent="0.4">
      <c r="A36" s="117"/>
      <c r="B36" s="123"/>
      <c r="C36" s="123"/>
      <c r="D36" s="123"/>
      <c r="G36" s="115"/>
      <c r="H36" s="115"/>
      <c r="I36" s="115"/>
      <c r="J36" s="115"/>
      <c r="K36" s="25">
        <v>45946</v>
      </c>
      <c r="L36" s="13" t="s">
        <v>147</v>
      </c>
      <c r="V36" s="115"/>
      <c r="W36" s="115"/>
      <c r="X36" s="115"/>
      <c r="Y36" s="115"/>
      <c r="Z36" s="115"/>
      <c r="AA36" s="29"/>
      <c r="AB36" s="29"/>
      <c r="AL36" s="25"/>
      <c r="AM36" s="13"/>
      <c r="AR36" s="116"/>
      <c r="AS36" s="123"/>
      <c r="AT36" s="123"/>
      <c r="AU36" s="123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25"/>
      <c r="BK36" s="13"/>
      <c r="BN36" s="114"/>
    </row>
    <row r="37" spans="1:66" ht="20.100000000000001" customHeight="1" x14ac:dyDescent="0.4">
      <c r="A37" s="117"/>
      <c r="B37" s="123"/>
      <c r="C37" s="123"/>
      <c r="D37" s="123"/>
      <c r="K37" s="25">
        <v>45946</v>
      </c>
      <c r="L37" s="13" t="s">
        <v>146</v>
      </c>
      <c r="V37" s="115"/>
      <c r="W37" s="115"/>
      <c r="X37" s="115"/>
      <c r="Y37" s="115"/>
      <c r="Z37" s="115"/>
      <c r="AA37" s="127"/>
      <c r="AB37" s="29"/>
      <c r="AL37" s="25"/>
      <c r="AM37" s="13"/>
      <c r="AR37" s="116"/>
      <c r="AS37" s="123"/>
      <c r="AT37" s="123"/>
      <c r="AU37" s="123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25"/>
      <c r="BK37" s="13"/>
      <c r="BN37" s="114"/>
    </row>
    <row r="38" spans="1:66" ht="20.100000000000001" customHeight="1" x14ac:dyDescent="0.4">
      <c r="A38" s="117"/>
      <c r="B38" s="123"/>
      <c r="C38" s="123"/>
      <c r="D38" s="123"/>
      <c r="K38" s="25">
        <v>45946</v>
      </c>
      <c r="L38" s="13" t="s">
        <v>146</v>
      </c>
      <c r="U38" s="115"/>
      <c r="V38" s="115"/>
      <c r="W38" s="115"/>
      <c r="X38" s="115"/>
      <c r="Y38" s="115"/>
      <c r="Z38" s="115"/>
      <c r="AA38" s="127"/>
      <c r="AB38" s="29"/>
      <c r="AL38" s="25"/>
      <c r="AM38" s="13"/>
      <c r="AR38" s="116"/>
      <c r="AS38" s="123"/>
      <c r="AT38" s="123"/>
      <c r="AU38" s="123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25"/>
      <c r="BK38" s="13"/>
      <c r="BN38" s="114"/>
    </row>
    <row r="39" spans="1:66" ht="20.100000000000001" customHeight="1" x14ac:dyDescent="0.4">
      <c r="A39" s="117"/>
      <c r="B39" s="123"/>
      <c r="C39" s="123"/>
      <c r="D39" s="123"/>
      <c r="K39" s="25">
        <v>45946</v>
      </c>
      <c r="L39" s="13" t="s">
        <v>146</v>
      </c>
      <c r="U39" s="115"/>
      <c r="V39" s="115"/>
      <c r="W39" s="115"/>
      <c r="X39" s="115"/>
      <c r="Y39" s="115"/>
      <c r="Z39" s="115"/>
      <c r="AA39" s="29"/>
      <c r="AB39" s="29"/>
      <c r="AL39" s="25"/>
      <c r="AM39" s="13"/>
      <c r="AR39" s="116"/>
      <c r="AS39" s="123"/>
      <c r="AT39" s="123"/>
      <c r="AU39" s="123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25"/>
      <c r="BK39" s="13"/>
      <c r="BN39" s="114"/>
    </row>
    <row r="40" spans="1:66" ht="20.100000000000001" customHeight="1" x14ac:dyDescent="0.4">
      <c r="A40" s="117"/>
      <c r="B40" s="123"/>
      <c r="C40" s="123"/>
      <c r="D40" s="123"/>
      <c r="K40" s="25">
        <v>45946</v>
      </c>
      <c r="L40" s="133" t="s">
        <v>146</v>
      </c>
      <c r="U40" s="115"/>
      <c r="V40" s="115"/>
      <c r="W40" s="115"/>
      <c r="X40" s="115"/>
      <c r="Y40" s="115"/>
      <c r="Z40" s="115"/>
      <c r="AA40" s="127"/>
      <c r="AB40" s="29"/>
      <c r="AL40" s="25"/>
      <c r="AM40" s="13"/>
      <c r="AR40" s="116"/>
      <c r="AS40" s="123"/>
      <c r="AT40" s="123"/>
      <c r="AU40" s="123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25"/>
      <c r="BK40" s="13"/>
      <c r="BN40" s="114"/>
    </row>
    <row r="41" spans="1:66" ht="20.100000000000001" customHeight="1" x14ac:dyDescent="0.4">
      <c r="A41" s="117"/>
      <c r="B41" s="123"/>
      <c r="C41" s="123"/>
      <c r="D41" s="123"/>
      <c r="K41" s="25">
        <v>45946</v>
      </c>
      <c r="L41" s="13" t="s">
        <v>146</v>
      </c>
      <c r="U41" s="115"/>
      <c r="V41" s="115"/>
      <c r="W41" s="115"/>
      <c r="X41" s="115"/>
      <c r="Y41" s="115"/>
      <c r="Z41" s="115"/>
      <c r="AA41" s="127"/>
      <c r="AB41" s="29"/>
      <c r="AL41" s="25"/>
      <c r="AM41" s="13"/>
      <c r="AR41" s="116"/>
      <c r="AS41" s="123"/>
      <c r="AT41" s="123"/>
      <c r="AU41" s="123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25"/>
      <c r="BK41" s="13"/>
      <c r="BN41" s="114"/>
    </row>
    <row r="42" spans="1:66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25">
        <v>45946</v>
      </c>
      <c r="L42" s="13" t="s">
        <v>146</v>
      </c>
      <c r="U42" s="115"/>
      <c r="V42" s="115"/>
      <c r="W42" s="115"/>
      <c r="X42" s="115"/>
      <c r="Y42" s="115"/>
      <c r="Z42" s="115"/>
      <c r="AA42" s="127"/>
      <c r="AB42" s="29"/>
      <c r="AL42" s="25"/>
      <c r="AM42" s="13"/>
      <c r="AR42" s="116"/>
      <c r="AS42" s="123"/>
      <c r="AT42" s="123"/>
      <c r="AU42" s="123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25"/>
      <c r="BK42" s="13"/>
      <c r="BN42" s="114"/>
    </row>
    <row r="43" spans="1:66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25">
        <v>45946</v>
      </c>
      <c r="L43" s="13" t="s">
        <v>147</v>
      </c>
      <c r="U43" s="115"/>
      <c r="V43" s="115"/>
      <c r="W43" s="115"/>
      <c r="X43" s="115"/>
      <c r="Y43" s="115"/>
      <c r="Z43" s="115"/>
      <c r="AA43" s="127"/>
      <c r="AB43" s="29"/>
      <c r="AL43" s="25"/>
      <c r="AM43" s="13"/>
      <c r="AR43" s="116"/>
      <c r="AS43" s="123"/>
      <c r="AT43" s="123"/>
      <c r="AU43" s="123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25"/>
      <c r="BK43" s="13"/>
      <c r="BN43" s="114"/>
    </row>
    <row r="44" spans="1:66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25">
        <v>45946</v>
      </c>
      <c r="L44" s="13" t="s">
        <v>142</v>
      </c>
      <c r="U44" s="115"/>
      <c r="V44" s="115"/>
      <c r="W44" s="115"/>
      <c r="X44" s="115"/>
      <c r="Y44" s="115"/>
      <c r="Z44" s="115"/>
      <c r="AA44" s="127"/>
      <c r="AB44" s="29"/>
      <c r="AL44" s="25"/>
      <c r="AM44" s="13"/>
      <c r="AR44" s="116"/>
      <c r="AS44" s="123"/>
      <c r="AT44" s="123"/>
      <c r="AU44" s="123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25"/>
      <c r="BK44" s="13"/>
      <c r="BN44" s="114"/>
    </row>
    <row r="45" spans="1:66" ht="20.100000000000001" customHeight="1" x14ac:dyDescent="0.4">
      <c r="A45" s="117"/>
      <c r="B45" s="123"/>
      <c r="C45" s="123"/>
      <c r="D45" s="123"/>
      <c r="K45" s="25">
        <v>45946</v>
      </c>
      <c r="L45" s="13" t="s">
        <v>146</v>
      </c>
      <c r="U45" s="115"/>
      <c r="V45" s="115"/>
      <c r="W45" s="115"/>
      <c r="X45" s="115"/>
      <c r="Y45" s="115"/>
      <c r="Z45" s="115"/>
      <c r="AA45" s="127"/>
      <c r="AB45" s="29"/>
      <c r="AL45" s="25"/>
      <c r="AM45" s="13"/>
      <c r="AR45" s="116"/>
      <c r="AS45" s="123"/>
      <c r="AT45" s="123"/>
      <c r="AU45" s="123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25"/>
      <c r="BK45" s="13"/>
      <c r="BN45" s="114"/>
    </row>
    <row r="46" spans="1:66" ht="20.100000000000001" customHeight="1" x14ac:dyDescent="0.4">
      <c r="A46" s="117"/>
      <c r="B46" s="123"/>
      <c r="C46" s="123"/>
      <c r="D46" s="123"/>
      <c r="K46" s="25">
        <v>45946</v>
      </c>
      <c r="L46" s="13" t="s">
        <v>147</v>
      </c>
      <c r="U46" s="115"/>
      <c r="V46" s="115"/>
      <c r="W46" s="115"/>
      <c r="X46" s="115"/>
      <c r="Y46" s="115"/>
      <c r="Z46" s="115"/>
      <c r="AA46" s="29"/>
      <c r="AB46" s="29"/>
      <c r="AL46" s="25"/>
      <c r="AM46" s="13"/>
      <c r="AR46" s="116"/>
      <c r="AS46" s="123"/>
      <c r="AT46" s="123"/>
      <c r="AU46" s="123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25"/>
      <c r="BK46" s="13"/>
      <c r="BN46" s="114"/>
    </row>
    <row r="47" spans="1:66" ht="20.100000000000001" customHeight="1" x14ac:dyDescent="0.4">
      <c r="A47" s="117"/>
      <c r="B47" s="123"/>
      <c r="C47" s="123"/>
      <c r="D47" s="123"/>
      <c r="J47" s="115" t="s">
        <v>191</v>
      </c>
      <c r="K47" s="13">
        <f>SUBTOTAL(3,K26:K46)</f>
        <v>21</v>
      </c>
      <c r="L47" s="13">
        <f>SUBTOTAL(3,L26:L46)</f>
        <v>21</v>
      </c>
      <c r="U47" s="115"/>
      <c r="V47" s="115"/>
      <c r="W47" s="115"/>
      <c r="X47" s="115"/>
      <c r="Y47" s="115"/>
      <c r="Z47" s="115"/>
      <c r="AA47" s="29"/>
      <c r="AB47" s="29"/>
      <c r="AL47" s="25"/>
      <c r="AM47" s="13"/>
      <c r="AR47" s="116"/>
      <c r="AS47" s="123"/>
      <c r="AT47" s="123"/>
      <c r="AU47" s="123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25"/>
      <c r="BK47" s="13"/>
      <c r="BN47" s="114"/>
    </row>
    <row r="48" spans="1:66" ht="20.100000000000001" customHeight="1" x14ac:dyDescent="0.4">
      <c r="A48" s="117"/>
      <c r="B48" s="123"/>
      <c r="C48" s="123"/>
      <c r="D48" s="123"/>
      <c r="K48" s="25">
        <v>45948</v>
      </c>
      <c r="L48" s="15" t="s">
        <v>147</v>
      </c>
      <c r="U48" s="115"/>
      <c r="V48" s="115"/>
      <c r="W48" s="115"/>
      <c r="X48" s="115"/>
      <c r="Y48" s="115"/>
      <c r="Z48" s="115"/>
      <c r="AA48" s="127"/>
      <c r="AB48" s="29"/>
      <c r="AL48" s="25"/>
      <c r="AM48" s="13"/>
      <c r="AR48" s="116"/>
      <c r="AS48" s="123"/>
      <c r="AT48" s="123"/>
      <c r="AU48" s="123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25"/>
      <c r="BK48" s="13"/>
      <c r="BN48" s="114"/>
    </row>
    <row r="49" spans="1:66" ht="20.100000000000001" customHeight="1" x14ac:dyDescent="0.4">
      <c r="A49" s="117"/>
      <c r="B49" s="123"/>
      <c r="C49" s="123"/>
      <c r="D49" s="123"/>
      <c r="K49" s="25">
        <v>45948</v>
      </c>
      <c r="L49" s="15" t="s">
        <v>146</v>
      </c>
      <c r="U49" s="115"/>
      <c r="V49" s="115"/>
      <c r="W49" s="115"/>
      <c r="X49" s="115"/>
      <c r="Y49" s="115"/>
      <c r="Z49" s="115"/>
      <c r="AA49" s="29"/>
      <c r="AB49" s="29"/>
      <c r="AL49" s="25"/>
      <c r="AM49" s="13"/>
      <c r="AR49" s="116"/>
      <c r="AS49" s="123"/>
      <c r="AT49" s="123"/>
      <c r="AU49" s="123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25"/>
      <c r="BK49" s="13"/>
      <c r="BN49" s="114"/>
    </row>
    <row r="50" spans="1:66" ht="20.100000000000001" customHeight="1" x14ac:dyDescent="0.4">
      <c r="A50" s="117"/>
      <c r="B50" s="123"/>
      <c r="C50" s="123"/>
      <c r="D50" s="123"/>
      <c r="H50" s="115"/>
      <c r="I50" s="115"/>
      <c r="J50" s="115"/>
      <c r="K50" s="25">
        <v>45948</v>
      </c>
      <c r="L50" s="15" t="s">
        <v>148</v>
      </c>
      <c r="U50" s="115"/>
      <c r="V50" s="115"/>
      <c r="W50" s="115"/>
      <c r="X50" s="115"/>
      <c r="Y50" s="115"/>
      <c r="Z50" s="115"/>
      <c r="AA50" s="29"/>
      <c r="AB50" s="29"/>
      <c r="AL50" s="25"/>
      <c r="AM50" s="13"/>
      <c r="AR50" s="116"/>
      <c r="AS50" s="123"/>
      <c r="AT50" s="123"/>
      <c r="AU50" s="123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25"/>
      <c r="BK50" s="13"/>
      <c r="BN50" s="114"/>
    </row>
    <row r="51" spans="1:66" ht="20.100000000000001" customHeight="1" x14ac:dyDescent="0.4">
      <c r="A51" s="117"/>
      <c r="B51" s="123"/>
      <c r="C51" s="123"/>
      <c r="D51" s="123"/>
      <c r="K51" s="25">
        <v>45948</v>
      </c>
      <c r="L51" s="132" t="s">
        <v>146</v>
      </c>
      <c r="U51" s="115"/>
      <c r="V51" s="115"/>
      <c r="W51" s="115"/>
      <c r="X51" s="115"/>
      <c r="Y51" s="115"/>
      <c r="Z51" s="115"/>
      <c r="AA51" s="127"/>
      <c r="AB51" s="29"/>
      <c r="AL51" s="25"/>
      <c r="AM51" s="13"/>
      <c r="AR51" s="116"/>
      <c r="AS51" s="123"/>
      <c r="AT51" s="123"/>
      <c r="AU51" s="123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25"/>
      <c r="BK51" s="13"/>
      <c r="BN51" s="114"/>
    </row>
    <row r="52" spans="1:66" ht="20.100000000000001" customHeight="1" x14ac:dyDescent="0.4">
      <c r="A52" s="117"/>
      <c r="B52" s="123"/>
      <c r="C52" s="123"/>
      <c r="D52" s="123"/>
      <c r="G52" s="115"/>
      <c r="H52" s="115"/>
      <c r="I52" s="115"/>
      <c r="J52" s="115"/>
      <c r="K52" s="25">
        <v>45948</v>
      </c>
      <c r="L52" s="15" t="s">
        <v>146</v>
      </c>
      <c r="U52" s="115"/>
      <c r="V52" s="115"/>
      <c r="W52" s="115"/>
      <c r="X52" s="115"/>
      <c r="Y52" s="115"/>
      <c r="Z52" s="115"/>
      <c r="AA52" s="127"/>
      <c r="AB52" s="29"/>
      <c r="AL52" s="25"/>
      <c r="AM52" s="13"/>
      <c r="AR52" s="116"/>
      <c r="AS52" s="123"/>
      <c r="AT52" s="123"/>
      <c r="AU52" s="123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25"/>
      <c r="BK52" s="13"/>
      <c r="BN52" s="114"/>
    </row>
    <row r="53" spans="1:66" ht="20.100000000000001" customHeight="1" x14ac:dyDescent="0.4">
      <c r="A53" s="117"/>
      <c r="B53" s="123"/>
      <c r="C53" s="123"/>
      <c r="D53" s="123"/>
      <c r="K53" s="25">
        <v>45948</v>
      </c>
      <c r="L53" s="15" t="s">
        <v>147</v>
      </c>
      <c r="U53" s="115"/>
      <c r="V53" s="115"/>
      <c r="W53" s="115"/>
      <c r="X53" s="115"/>
      <c r="Y53" s="115"/>
      <c r="Z53" s="115"/>
      <c r="AA53" s="127"/>
      <c r="AB53" s="29"/>
      <c r="AL53" s="25"/>
      <c r="AM53" s="13"/>
      <c r="AR53" s="116"/>
      <c r="AS53" s="123"/>
      <c r="AT53" s="123"/>
      <c r="AU53" s="123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25"/>
      <c r="BK53" s="13"/>
      <c r="BN53" s="114"/>
    </row>
    <row r="54" spans="1:66" ht="20.100000000000001" customHeight="1" x14ac:dyDescent="0.4">
      <c r="A54" s="117"/>
      <c r="B54" s="123"/>
      <c r="C54" s="123"/>
      <c r="D54" s="123"/>
      <c r="I54" s="115"/>
      <c r="J54" s="115"/>
      <c r="K54" s="25">
        <v>45948</v>
      </c>
      <c r="L54" s="15" t="s">
        <v>146</v>
      </c>
      <c r="U54" s="115"/>
      <c r="V54" s="115"/>
      <c r="W54" s="115"/>
      <c r="X54" s="115"/>
      <c r="Y54" s="115"/>
      <c r="Z54" s="115"/>
      <c r="AA54" s="127"/>
      <c r="AB54" s="29"/>
      <c r="AL54" s="25"/>
      <c r="AM54" s="13"/>
      <c r="AR54" s="116"/>
      <c r="AS54" s="123"/>
      <c r="AT54" s="123"/>
      <c r="AU54" s="123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25"/>
      <c r="BK54" s="13"/>
      <c r="BN54" s="114"/>
    </row>
    <row r="55" spans="1:66" ht="20.100000000000001" customHeight="1" x14ac:dyDescent="0.4">
      <c r="A55" s="117"/>
      <c r="B55" s="123"/>
      <c r="C55" s="123"/>
      <c r="D55" s="123"/>
      <c r="K55" s="25">
        <v>45948</v>
      </c>
      <c r="L55" s="15" t="s">
        <v>146</v>
      </c>
      <c r="U55" s="115"/>
      <c r="V55" s="115"/>
      <c r="W55" s="115"/>
      <c r="X55" s="115"/>
      <c r="Y55" s="115"/>
      <c r="Z55" s="115"/>
      <c r="AA55" s="29"/>
      <c r="AB55" s="29"/>
      <c r="AL55" s="25"/>
      <c r="AM55" s="13"/>
      <c r="AR55" s="116"/>
      <c r="AS55" s="123"/>
      <c r="AT55" s="123"/>
      <c r="AU55" s="123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25"/>
      <c r="BK55" s="13"/>
      <c r="BN55" s="114"/>
    </row>
    <row r="56" spans="1:66" ht="20.100000000000001" customHeight="1" x14ac:dyDescent="0.4">
      <c r="A56" s="117"/>
      <c r="B56" s="123"/>
      <c r="C56" s="123"/>
      <c r="D56" s="123"/>
      <c r="K56" s="25">
        <v>45948</v>
      </c>
      <c r="L56" s="133" t="s">
        <v>147</v>
      </c>
      <c r="T56" s="115"/>
      <c r="U56" s="115"/>
      <c r="V56" s="115"/>
      <c r="W56" s="115"/>
      <c r="X56" s="115"/>
      <c r="Y56" s="115"/>
      <c r="Z56" s="115"/>
      <c r="AA56" s="127"/>
      <c r="AB56" s="29"/>
      <c r="AL56" s="25"/>
      <c r="AM56" s="13"/>
      <c r="AR56" s="116"/>
      <c r="AS56" s="123"/>
      <c r="AT56" s="123"/>
      <c r="AU56" s="123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25"/>
      <c r="BK56" s="13"/>
      <c r="BN56" s="114"/>
    </row>
    <row r="57" spans="1:66" ht="20.100000000000001" customHeight="1" x14ac:dyDescent="0.4">
      <c r="A57" s="117"/>
      <c r="B57" s="123"/>
      <c r="C57" s="123"/>
      <c r="D57" s="123"/>
      <c r="K57" s="25">
        <v>45948</v>
      </c>
      <c r="L57" s="13" t="s">
        <v>146</v>
      </c>
      <c r="T57" s="115"/>
      <c r="U57" s="115"/>
      <c r="V57" s="115"/>
      <c r="W57" s="115"/>
      <c r="X57" s="115"/>
      <c r="Y57" s="115"/>
      <c r="Z57" s="115"/>
      <c r="AA57" s="127"/>
      <c r="AB57" s="134"/>
      <c r="AL57" s="25"/>
      <c r="AM57" s="13"/>
      <c r="AR57" s="116"/>
      <c r="AS57" s="123"/>
      <c r="AT57" s="123"/>
      <c r="AU57" s="123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25"/>
      <c r="BK57" s="13"/>
      <c r="BN57" s="114"/>
    </row>
    <row r="58" spans="1:66" ht="20.100000000000001" customHeight="1" x14ac:dyDescent="0.4">
      <c r="A58" s="117"/>
      <c r="B58" s="123"/>
      <c r="C58" s="123"/>
      <c r="D58" s="123"/>
      <c r="K58" s="25">
        <v>45948</v>
      </c>
      <c r="L58" s="13" t="s">
        <v>146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27"/>
      <c r="AB58" s="29"/>
      <c r="AL58" s="25"/>
      <c r="AM58" s="13"/>
      <c r="AR58" s="116"/>
      <c r="AS58" s="123"/>
      <c r="AT58" s="123"/>
      <c r="AU58" s="123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25"/>
      <c r="BK58" s="13"/>
      <c r="BN58" s="114"/>
    </row>
    <row r="59" spans="1:66" ht="20.100000000000001" customHeight="1" x14ac:dyDescent="0.4">
      <c r="A59" s="117"/>
      <c r="B59" s="123"/>
      <c r="C59" s="123"/>
      <c r="D59" s="123"/>
      <c r="K59" s="25">
        <v>45948</v>
      </c>
      <c r="L59" s="15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27"/>
      <c r="AB59" s="29"/>
      <c r="AL59" s="25"/>
      <c r="AM59" s="13"/>
      <c r="AR59" s="116"/>
      <c r="AS59" s="123"/>
      <c r="AT59" s="123"/>
      <c r="AU59" s="123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25"/>
      <c r="BK59" s="13"/>
      <c r="BN59" s="114"/>
    </row>
    <row r="60" spans="1:66" ht="20.100000000000001" customHeight="1" x14ac:dyDescent="0.4">
      <c r="A60" s="117"/>
      <c r="B60" s="123"/>
      <c r="C60" s="123"/>
      <c r="D60" s="123"/>
      <c r="K60" s="25">
        <v>45948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27"/>
      <c r="AB60" s="29"/>
      <c r="AL60" s="25"/>
      <c r="AM60" s="13"/>
      <c r="AR60" s="116"/>
      <c r="AS60" s="123"/>
      <c r="AT60" s="123"/>
      <c r="AU60" s="123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25"/>
      <c r="BK60" s="13"/>
      <c r="BN60" s="114"/>
    </row>
    <row r="61" spans="1:66" ht="20.100000000000001" customHeight="1" x14ac:dyDescent="0.4">
      <c r="A61" s="117"/>
      <c r="B61" s="123"/>
      <c r="C61" s="123"/>
      <c r="D61" s="123"/>
      <c r="K61" s="25">
        <v>45948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29"/>
      <c r="AB61" s="29"/>
      <c r="AL61" s="25"/>
      <c r="AM61" s="13"/>
      <c r="AR61" s="116"/>
      <c r="AS61" s="123"/>
      <c r="AT61" s="123"/>
      <c r="AU61" s="123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25"/>
      <c r="BK61" s="13"/>
      <c r="BN61" s="114"/>
    </row>
    <row r="62" spans="1:66" ht="20.100000000000001" customHeight="1" x14ac:dyDescent="0.4">
      <c r="A62" s="117"/>
      <c r="B62" s="123"/>
      <c r="C62" s="123"/>
      <c r="D62" s="123"/>
      <c r="K62" s="25">
        <v>45948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27"/>
      <c r="AB62" s="29"/>
      <c r="AL62" s="25"/>
      <c r="AM62" s="13"/>
      <c r="AR62" s="116"/>
      <c r="AS62" s="123"/>
      <c r="AT62" s="123"/>
      <c r="AU62" s="123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25"/>
      <c r="BK62" s="13"/>
      <c r="BN62" s="114"/>
    </row>
    <row r="63" spans="1:66" ht="20.100000000000001" customHeight="1" x14ac:dyDescent="0.4">
      <c r="A63" s="117"/>
      <c r="B63" s="123"/>
      <c r="C63" s="123"/>
      <c r="D63" s="123"/>
      <c r="K63" s="25">
        <v>45948</v>
      </c>
      <c r="L63" s="15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27"/>
      <c r="AB63" s="29"/>
      <c r="AL63" s="25"/>
      <c r="AM63" s="13"/>
      <c r="AR63" s="116"/>
      <c r="AS63" s="123"/>
      <c r="AT63" s="123"/>
      <c r="AU63" s="123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25"/>
      <c r="BK63" s="13"/>
      <c r="BN63" s="114"/>
    </row>
    <row r="64" spans="1:66" ht="20.100000000000001" customHeight="1" x14ac:dyDescent="0.4">
      <c r="A64" s="117"/>
      <c r="B64" s="123"/>
      <c r="C64" s="123"/>
      <c r="D64" s="123"/>
      <c r="K64" s="25">
        <v>45948</v>
      </c>
      <c r="L64" s="15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27"/>
      <c r="AB64" s="29"/>
      <c r="AL64" s="25"/>
      <c r="AM64" s="13"/>
      <c r="AR64" s="116"/>
      <c r="AS64" s="123"/>
      <c r="AT64" s="123"/>
      <c r="AU64" s="123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25"/>
      <c r="BK64" s="13"/>
      <c r="BN64" s="114"/>
    </row>
    <row r="65" spans="1:66" ht="20.100000000000001" customHeight="1" x14ac:dyDescent="0.4">
      <c r="A65" s="117"/>
      <c r="B65" s="123"/>
      <c r="C65" s="123"/>
      <c r="D65" s="123"/>
      <c r="K65" s="25">
        <v>45948</v>
      </c>
      <c r="L65" s="15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27"/>
      <c r="AB65" s="29"/>
      <c r="AL65" s="25"/>
      <c r="AM65" s="13"/>
      <c r="AR65" s="116"/>
      <c r="AS65" s="123"/>
      <c r="AT65" s="123"/>
      <c r="AU65" s="123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25"/>
      <c r="BK65" s="13"/>
      <c r="BN65" s="114"/>
    </row>
    <row r="66" spans="1:66" ht="20.100000000000001" customHeight="1" x14ac:dyDescent="0.4">
      <c r="A66" s="117"/>
      <c r="B66" s="123"/>
      <c r="C66" s="123"/>
      <c r="D66" s="123"/>
      <c r="I66" s="115"/>
      <c r="J66" s="115"/>
      <c r="K66" s="25">
        <v>45948</v>
      </c>
      <c r="L66" s="15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27"/>
      <c r="AB66" s="29"/>
      <c r="AL66" s="25"/>
      <c r="AM66" s="13"/>
      <c r="AR66" s="116"/>
      <c r="AS66" s="123"/>
      <c r="AT66" s="123"/>
      <c r="AU66" s="123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25"/>
      <c r="BK66" s="13"/>
      <c r="BN66" s="114"/>
    </row>
    <row r="67" spans="1:66" ht="20.100000000000001" customHeight="1" x14ac:dyDescent="0.4">
      <c r="A67" s="117"/>
      <c r="B67" s="123"/>
      <c r="C67" s="123"/>
      <c r="D67" s="123"/>
      <c r="K67" s="25">
        <v>45948</v>
      </c>
      <c r="L67" s="15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27"/>
      <c r="AB67" s="29"/>
      <c r="AL67" s="25"/>
      <c r="AM67" s="13"/>
      <c r="AR67" s="116"/>
      <c r="AS67" s="123"/>
      <c r="AT67" s="123"/>
      <c r="AU67" s="123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25"/>
      <c r="BK67" s="13"/>
      <c r="BN67" s="114"/>
    </row>
    <row r="68" spans="1:66" ht="20.100000000000001" customHeight="1" x14ac:dyDescent="0.4">
      <c r="A68" s="117"/>
      <c r="B68" s="123"/>
      <c r="C68" s="123"/>
      <c r="D68" s="123"/>
      <c r="K68" s="25">
        <v>45948</v>
      </c>
      <c r="L68" s="15" t="s">
        <v>146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27"/>
      <c r="AB68" s="29"/>
      <c r="AL68" s="25"/>
      <c r="AM68" s="13"/>
      <c r="AR68" s="116"/>
      <c r="AS68" s="123"/>
      <c r="AT68" s="123"/>
      <c r="AU68" s="123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25"/>
      <c r="BK68" s="13"/>
      <c r="BN68" s="114"/>
    </row>
    <row r="69" spans="1:66" ht="20.100000000000001" customHeight="1" x14ac:dyDescent="0.4">
      <c r="A69" s="117"/>
      <c r="B69" s="123"/>
      <c r="C69" s="123"/>
      <c r="D69" s="123"/>
      <c r="K69" s="25">
        <v>45948</v>
      </c>
      <c r="L69" s="15" t="s">
        <v>146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27"/>
      <c r="AB69" s="29"/>
      <c r="AL69" s="25"/>
      <c r="AM69" s="13"/>
      <c r="AR69" s="116"/>
      <c r="AS69" s="123"/>
      <c r="AT69" s="123"/>
      <c r="AU69" s="123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25"/>
      <c r="BK69" s="13"/>
      <c r="BN69" s="114"/>
    </row>
    <row r="70" spans="1:66" ht="20.100000000000001" customHeight="1" x14ac:dyDescent="0.4">
      <c r="A70" s="117"/>
      <c r="B70" s="123"/>
      <c r="C70" s="123"/>
      <c r="D70" s="123"/>
      <c r="K70" s="25">
        <v>45948</v>
      </c>
      <c r="L70" s="15" t="s">
        <v>146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27"/>
      <c r="AB70" s="29"/>
      <c r="AL70" s="25"/>
      <c r="AM70" s="13"/>
      <c r="AR70" s="116"/>
      <c r="AS70" s="123"/>
      <c r="AT70" s="123"/>
      <c r="AU70" s="123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25"/>
      <c r="BK70" s="13"/>
      <c r="BN70" s="114"/>
    </row>
    <row r="71" spans="1:66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45948</v>
      </c>
      <c r="L71" s="13" t="s">
        <v>148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27"/>
      <c r="AB71" s="29"/>
      <c r="AL71" s="25"/>
      <c r="AM71" s="13"/>
      <c r="AR71" s="116"/>
      <c r="AS71" s="123"/>
      <c r="AT71" s="123"/>
      <c r="AU71" s="123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25"/>
      <c r="BK71" s="13"/>
      <c r="BN71" s="114"/>
    </row>
    <row r="72" spans="1:66" ht="20.100000000000001" customHeight="1" x14ac:dyDescent="0.4">
      <c r="A72" s="117"/>
      <c r="B72" s="123"/>
      <c r="C72" s="123"/>
      <c r="D72" s="123"/>
      <c r="K72" s="25">
        <v>45948</v>
      </c>
      <c r="L72" s="13" t="s">
        <v>142</v>
      </c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27"/>
      <c r="AB72" s="29"/>
      <c r="AL72" s="25"/>
      <c r="AM72" s="13"/>
      <c r="AR72" s="116"/>
      <c r="AS72" s="123"/>
      <c r="AT72" s="123"/>
      <c r="AU72" s="123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25"/>
      <c r="BK72" s="13"/>
      <c r="BN72" s="114"/>
    </row>
    <row r="73" spans="1:66" ht="20.100000000000001" customHeight="1" x14ac:dyDescent="0.4">
      <c r="A73" s="117"/>
      <c r="B73" s="123"/>
      <c r="C73" s="123"/>
      <c r="D73" s="123"/>
      <c r="K73" s="25">
        <v>45948</v>
      </c>
      <c r="L73" s="13" t="s">
        <v>142</v>
      </c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27"/>
      <c r="AB73" s="29"/>
      <c r="AL73" s="25"/>
      <c r="AM73" s="13"/>
      <c r="AR73" s="116"/>
      <c r="AS73" s="123"/>
      <c r="AT73" s="123"/>
      <c r="AU73" s="123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25"/>
      <c r="BK73" s="13"/>
      <c r="BN73" s="114"/>
    </row>
    <row r="74" spans="1:66" ht="20.100000000000001" customHeight="1" x14ac:dyDescent="0.4">
      <c r="A74" s="117"/>
      <c r="B74" s="123"/>
      <c r="C74" s="123"/>
      <c r="D74" s="123"/>
      <c r="K74" s="25">
        <v>45948</v>
      </c>
      <c r="L74" s="13" t="s">
        <v>142</v>
      </c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29"/>
      <c r="AB74" s="29"/>
      <c r="AL74" s="25"/>
      <c r="AM74" s="13"/>
      <c r="AR74" s="116"/>
      <c r="AS74" s="123"/>
      <c r="AT74" s="123"/>
      <c r="AU74" s="123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25"/>
      <c r="BK74" s="13"/>
      <c r="BN74" s="114"/>
    </row>
    <row r="75" spans="1:66" ht="20.100000000000001" customHeight="1" x14ac:dyDescent="0.4">
      <c r="A75" s="117"/>
      <c r="B75" s="123"/>
      <c r="C75" s="123"/>
      <c r="D75" s="123"/>
      <c r="K75" s="25">
        <v>45948</v>
      </c>
      <c r="L75" s="13" t="s">
        <v>142</v>
      </c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27"/>
      <c r="AB75" s="29"/>
      <c r="AL75" s="25"/>
      <c r="AM75" s="13"/>
      <c r="AR75" s="116"/>
      <c r="AS75" s="123"/>
      <c r="AT75" s="123"/>
      <c r="AU75" s="123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25"/>
      <c r="BK75" s="13"/>
      <c r="BN75" s="114"/>
    </row>
    <row r="76" spans="1:66" ht="20.100000000000001" customHeight="1" x14ac:dyDescent="0.4">
      <c r="A76" s="117"/>
      <c r="B76" s="123"/>
      <c r="C76" s="123"/>
      <c r="D76" s="123"/>
      <c r="K76" s="25">
        <v>45948</v>
      </c>
      <c r="L76" s="13" t="s">
        <v>142</v>
      </c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27"/>
      <c r="AB76" s="29"/>
      <c r="AL76" s="25"/>
      <c r="AM76" s="13"/>
      <c r="AR76" s="116"/>
      <c r="AS76" s="123"/>
      <c r="AT76" s="123"/>
      <c r="AU76" s="123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25"/>
      <c r="BK76" s="13"/>
      <c r="BN76" s="114"/>
    </row>
    <row r="77" spans="1:66" ht="20.100000000000001" customHeight="1" x14ac:dyDescent="0.4">
      <c r="A77" s="117"/>
      <c r="B77" s="123"/>
      <c r="C77" s="123"/>
      <c r="D77" s="123"/>
      <c r="K77" s="25">
        <v>45948</v>
      </c>
      <c r="L77" s="13" t="s">
        <v>142</v>
      </c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29"/>
      <c r="AB77" s="29"/>
      <c r="AL77" s="25"/>
      <c r="AM77" s="13"/>
      <c r="AR77" s="116"/>
      <c r="AS77" s="123"/>
      <c r="AT77" s="123"/>
      <c r="AU77" s="123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25"/>
      <c r="BK77" s="13"/>
      <c r="BN77" s="114"/>
    </row>
    <row r="78" spans="1:66" ht="20.100000000000001" customHeight="1" x14ac:dyDescent="0.4">
      <c r="A78" s="117"/>
      <c r="B78" s="123"/>
      <c r="C78" s="123"/>
      <c r="D78" s="123"/>
      <c r="K78" s="25">
        <v>45948</v>
      </c>
      <c r="L78" s="13" t="s">
        <v>142</v>
      </c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27"/>
      <c r="AB78" s="29"/>
      <c r="AL78" s="25"/>
      <c r="AM78" s="13"/>
      <c r="AR78" s="116"/>
      <c r="AS78" s="123"/>
      <c r="AT78" s="123"/>
      <c r="AU78" s="123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25"/>
      <c r="BK78" s="13"/>
      <c r="BN78" s="114"/>
    </row>
    <row r="79" spans="1:66" ht="20.100000000000001" customHeight="1" x14ac:dyDescent="0.4">
      <c r="A79" s="117"/>
      <c r="B79" s="123"/>
      <c r="C79" s="123"/>
      <c r="D79" s="123"/>
      <c r="K79" s="25">
        <v>45948</v>
      </c>
      <c r="L79" s="13" t="s">
        <v>142</v>
      </c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27"/>
      <c r="AB79" s="29"/>
      <c r="AL79" s="25"/>
      <c r="AM79" s="13"/>
      <c r="AR79" s="116"/>
      <c r="AS79" s="123"/>
      <c r="AT79" s="123"/>
      <c r="AU79" s="123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25"/>
      <c r="BK79" s="13"/>
      <c r="BN79" s="114"/>
    </row>
    <row r="80" spans="1:66" ht="20.100000000000001" customHeight="1" x14ac:dyDescent="0.4">
      <c r="A80" s="117"/>
      <c r="B80" s="123"/>
      <c r="C80" s="123"/>
      <c r="D80" s="123"/>
      <c r="F80" s="117"/>
      <c r="G80" s="135"/>
      <c r="H80" s="135"/>
      <c r="I80" s="135"/>
      <c r="J80" s="135"/>
      <c r="K80" s="25">
        <v>45948</v>
      </c>
      <c r="L80" s="13" t="s">
        <v>142</v>
      </c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27"/>
      <c r="AB80" s="29"/>
      <c r="AL80" s="25"/>
      <c r="AM80" s="13"/>
      <c r="AR80" s="116"/>
      <c r="AS80" s="123"/>
      <c r="AT80" s="123"/>
      <c r="AU80" s="123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25"/>
      <c r="BK80" s="13"/>
      <c r="BN80" s="114"/>
    </row>
    <row r="81" spans="1:66" ht="20.100000000000001" customHeight="1" x14ac:dyDescent="0.4">
      <c r="A81" s="117"/>
      <c r="B81" s="123"/>
      <c r="C81" s="123"/>
      <c r="D81" s="123"/>
      <c r="F81" s="117"/>
      <c r="G81" s="135"/>
      <c r="H81" s="135"/>
      <c r="I81" s="135"/>
      <c r="J81" s="135"/>
      <c r="K81" s="25">
        <v>45948</v>
      </c>
      <c r="L81" s="13" t="s">
        <v>142</v>
      </c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29"/>
      <c r="AB81" s="29"/>
      <c r="AL81" s="25"/>
      <c r="AM81" s="13"/>
      <c r="AR81" s="116"/>
      <c r="AS81" s="123"/>
      <c r="AT81" s="123"/>
      <c r="AU81" s="123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25"/>
      <c r="BK81" s="13"/>
      <c r="BN81" s="114"/>
    </row>
    <row r="82" spans="1:66" ht="20.100000000000001" customHeight="1" x14ac:dyDescent="0.4">
      <c r="A82" s="117"/>
      <c r="B82" s="123"/>
      <c r="C82" s="123"/>
      <c r="D82" s="123"/>
      <c r="F82" s="117"/>
      <c r="G82" s="135"/>
      <c r="H82" s="135"/>
      <c r="I82" s="135"/>
      <c r="J82" s="135"/>
      <c r="K82" s="25">
        <v>45948</v>
      </c>
      <c r="L82" s="13" t="s">
        <v>142</v>
      </c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27"/>
      <c r="AB82" s="29"/>
      <c r="AL82" s="25"/>
      <c r="AM82" s="13"/>
      <c r="AR82" s="116"/>
      <c r="AS82" s="123"/>
      <c r="AT82" s="123"/>
      <c r="AU82" s="123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25"/>
      <c r="BK82" s="13"/>
      <c r="BN82" s="114"/>
    </row>
    <row r="83" spans="1:66" ht="20.100000000000001" customHeight="1" x14ac:dyDescent="0.4">
      <c r="A83" s="117"/>
      <c r="B83" s="123"/>
      <c r="C83" s="123"/>
      <c r="D83" s="123"/>
      <c r="F83" s="117"/>
      <c r="G83" s="135"/>
      <c r="H83" s="135"/>
      <c r="I83" s="135"/>
      <c r="J83" s="135"/>
      <c r="K83" s="25">
        <v>45948</v>
      </c>
      <c r="L83" s="15" t="s">
        <v>142</v>
      </c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29"/>
      <c r="AB83" s="29"/>
      <c r="AL83" s="25"/>
      <c r="AM83" s="13"/>
      <c r="AR83" s="116"/>
      <c r="AS83" s="123"/>
      <c r="AT83" s="123"/>
      <c r="AU83" s="123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25"/>
      <c r="BK83" s="13"/>
      <c r="BN83" s="114"/>
    </row>
    <row r="84" spans="1:66" ht="20.100000000000001" customHeight="1" x14ac:dyDescent="0.4">
      <c r="A84" s="117"/>
      <c r="B84" s="123"/>
      <c r="C84" s="123"/>
      <c r="D84" s="123"/>
      <c r="F84" s="117"/>
      <c r="G84" s="135"/>
      <c r="H84" s="135"/>
      <c r="I84" s="135"/>
      <c r="J84" s="135"/>
      <c r="K84" s="25">
        <v>45948</v>
      </c>
      <c r="L84" s="132" t="s">
        <v>146</v>
      </c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27"/>
      <c r="AB84" s="29"/>
      <c r="AL84" s="25"/>
      <c r="AM84" s="13"/>
      <c r="AR84" s="116"/>
      <c r="AS84" s="123"/>
      <c r="AT84" s="123"/>
      <c r="AU84" s="123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25"/>
      <c r="BK84" s="13"/>
      <c r="BN84" s="114"/>
    </row>
    <row r="85" spans="1:66" ht="20.100000000000001" customHeight="1" x14ac:dyDescent="0.4">
      <c r="A85" s="117"/>
      <c r="B85" s="123"/>
      <c r="C85" s="123"/>
      <c r="D85" s="123"/>
      <c r="F85" s="117"/>
      <c r="G85" s="135"/>
      <c r="H85" s="136"/>
      <c r="I85" s="136"/>
      <c r="J85" s="136"/>
      <c r="K85" s="25">
        <v>45948</v>
      </c>
      <c r="L85" s="15" t="s">
        <v>142</v>
      </c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27"/>
      <c r="AB85" s="29"/>
      <c r="AL85" s="25"/>
      <c r="AM85" s="13"/>
      <c r="AR85" s="116"/>
      <c r="AS85" s="123"/>
      <c r="AT85" s="123"/>
      <c r="AU85" s="123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25"/>
      <c r="BK85" s="13"/>
      <c r="BN85" s="114"/>
    </row>
    <row r="86" spans="1:66" ht="20.100000000000001" customHeight="1" x14ac:dyDescent="0.4">
      <c r="A86" s="117"/>
      <c r="B86" s="123"/>
      <c r="C86" s="123"/>
      <c r="D86" s="123"/>
      <c r="F86" s="117"/>
      <c r="G86" s="135"/>
      <c r="H86" s="136"/>
      <c r="I86" s="136"/>
      <c r="J86" s="136"/>
      <c r="K86" s="26">
        <v>45948</v>
      </c>
      <c r="L86" s="13" t="s">
        <v>146</v>
      </c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27"/>
      <c r="AB86" s="29"/>
      <c r="AL86" s="25"/>
      <c r="AM86" s="13"/>
      <c r="AR86" s="116"/>
      <c r="AS86" s="123"/>
      <c r="AT86" s="123"/>
      <c r="AU86" s="123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25"/>
      <c r="BK86" s="13"/>
      <c r="BN86" s="114"/>
    </row>
    <row r="87" spans="1:66" ht="20.100000000000001" customHeight="1" x14ac:dyDescent="0.4">
      <c r="A87" s="117"/>
      <c r="B87" s="123"/>
      <c r="C87" s="123"/>
      <c r="D87" s="123"/>
      <c r="F87" s="117"/>
      <c r="G87" s="135"/>
      <c r="H87" s="136"/>
      <c r="I87" s="136"/>
      <c r="J87" s="136"/>
      <c r="K87" s="26">
        <v>45948</v>
      </c>
      <c r="L87" s="13" t="s">
        <v>142</v>
      </c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27"/>
      <c r="AB87" s="29"/>
      <c r="AL87" s="25"/>
      <c r="AM87" s="13"/>
      <c r="AR87" s="116"/>
      <c r="AS87" s="123"/>
      <c r="AT87" s="123"/>
      <c r="AU87" s="123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25"/>
      <c r="BK87" s="13"/>
      <c r="BN87" s="114"/>
    </row>
    <row r="88" spans="1:66" ht="20.100000000000001" customHeight="1" x14ac:dyDescent="0.4">
      <c r="A88" s="117"/>
      <c r="B88" s="123"/>
      <c r="C88" s="123"/>
      <c r="D88" s="123"/>
      <c r="F88" s="117"/>
      <c r="G88" s="135"/>
      <c r="H88" s="136"/>
      <c r="I88" s="136"/>
      <c r="J88" s="136"/>
      <c r="K88" s="26">
        <v>45948</v>
      </c>
      <c r="L88" s="13" t="s">
        <v>146</v>
      </c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27"/>
      <c r="AB88" s="29"/>
      <c r="AL88" s="25"/>
      <c r="AM88" s="13"/>
      <c r="AR88" s="116"/>
      <c r="AS88" s="123"/>
      <c r="AT88" s="123"/>
      <c r="AU88" s="123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25"/>
      <c r="BK88" s="13"/>
      <c r="BN88" s="114"/>
    </row>
    <row r="89" spans="1:66" ht="20.100000000000001" customHeight="1" x14ac:dyDescent="0.4">
      <c r="A89" s="117"/>
      <c r="B89" s="123"/>
      <c r="C89" s="123"/>
      <c r="D89" s="123"/>
      <c r="F89" s="117"/>
      <c r="G89" s="135"/>
      <c r="H89" s="136"/>
      <c r="I89" s="136"/>
      <c r="J89" s="136"/>
      <c r="K89" s="26">
        <v>45948</v>
      </c>
      <c r="L89" s="13" t="s">
        <v>147</v>
      </c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27"/>
      <c r="AB89" s="29"/>
      <c r="AL89" s="25"/>
      <c r="AM89" s="13"/>
      <c r="AR89" s="116"/>
      <c r="AS89" s="123"/>
      <c r="AT89" s="123"/>
      <c r="AU89" s="123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25"/>
      <c r="BK89" s="13"/>
      <c r="BN89" s="114"/>
    </row>
    <row r="90" spans="1:66" ht="20.100000000000001" customHeight="1" x14ac:dyDescent="0.4">
      <c r="A90" s="117"/>
      <c r="B90" s="123"/>
      <c r="C90" s="123"/>
      <c r="D90" s="123"/>
      <c r="F90" s="117"/>
      <c r="G90" s="135"/>
      <c r="H90" s="136"/>
      <c r="I90" s="136"/>
      <c r="J90" s="136"/>
      <c r="K90" s="26">
        <v>45948</v>
      </c>
      <c r="L90" s="13" t="s">
        <v>146</v>
      </c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27"/>
      <c r="AB90" s="29"/>
      <c r="AL90" s="25"/>
      <c r="AM90" s="13"/>
      <c r="AR90" s="116"/>
      <c r="AS90" s="123"/>
      <c r="AT90" s="123"/>
      <c r="AU90" s="123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25"/>
      <c r="BK90" s="13"/>
      <c r="BN90" s="114"/>
    </row>
    <row r="91" spans="1:66" ht="20.100000000000001" customHeight="1" x14ac:dyDescent="0.4">
      <c r="A91" s="117"/>
      <c r="B91" s="123"/>
      <c r="C91" s="123"/>
      <c r="D91" s="123"/>
      <c r="F91" s="117"/>
      <c r="G91" s="135"/>
      <c r="H91" s="136"/>
      <c r="I91" s="136"/>
      <c r="J91" s="136"/>
      <c r="K91" s="26">
        <v>45948</v>
      </c>
      <c r="L91" s="13" t="s">
        <v>146</v>
      </c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27"/>
      <c r="AB91" s="29"/>
      <c r="AL91" s="25"/>
      <c r="AM91" s="13"/>
      <c r="AR91" s="116"/>
      <c r="AS91" s="123"/>
      <c r="AT91" s="123"/>
      <c r="AU91" s="123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25"/>
      <c r="BK91" s="13"/>
      <c r="BN91" s="114"/>
    </row>
    <row r="92" spans="1:66" ht="20.100000000000001" customHeight="1" x14ac:dyDescent="0.4">
      <c r="A92" s="117"/>
      <c r="B92" s="123"/>
      <c r="C92" s="123"/>
      <c r="D92" s="123"/>
      <c r="F92" s="117"/>
      <c r="G92" s="135"/>
      <c r="H92" s="136"/>
      <c r="I92" s="136"/>
      <c r="J92" s="136"/>
      <c r="K92" s="26">
        <v>45948</v>
      </c>
      <c r="L92" s="13" t="s">
        <v>148</v>
      </c>
      <c r="AA92" s="127"/>
      <c r="AB92" s="29"/>
      <c r="AL92" s="25"/>
      <c r="AM92" s="13"/>
      <c r="AR92" s="116"/>
      <c r="AS92" s="123"/>
      <c r="AT92" s="123"/>
      <c r="AU92" s="123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25"/>
      <c r="BK92" s="13"/>
      <c r="BN92" s="114"/>
    </row>
    <row r="93" spans="1:66" ht="20.100000000000001" customHeight="1" x14ac:dyDescent="0.4">
      <c r="A93" s="117"/>
      <c r="B93" s="123"/>
      <c r="C93" s="123"/>
      <c r="D93" s="123"/>
      <c r="F93" s="117"/>
      <c r="G93" s="135"/>
      <c r="H93" s="136"/>
      <c r="I93" s="136"/>
      <c r="J93" s="136"/>
      <c r="K93" s="26">
        <v>45948</v>
      </c>
      <c r="L93" s="13" t="s">
        <v>146</v>
      </c>
      <c r="W93" s="115"/>
      <c r="X93" s="115"/>
      <c r="Y93" s="115"/>
      <c r="Z93" s="115"/>
      <c r="AA93" s="127"/>
      <c r="AB93" s="29"/>
      <c r="AL93" s="25"/>
      <c r="AM93" s="13"/>
      <c r="AR93" s="116"/>
      <c r="AS93" s="123"/>
      <c r="AT93" s="123"/>
      <c r="AU93" s="123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25"/>
      <c r="BK93" s="13"/>
      <c r="BN93" s="114"/>
    </row>
    <row r="94" spans="1:66" ht="20.100000000000001" customHeight="1" x14ac:dyDescent="0.4">
      <c r="A94" s="117"/>
      <c r="B94" s="123"/>
      <c r="C94" s="123"/>
      <c r="D94" s="123"/>
      <c r="F94" s="117"/>
      <c r="G94" s="135"/>
      <c r="H94" s="136"/>
      <c r="I94" s="136"/>
      <c r="J94" s="136"/>
      <c r="K94" s="26">
        <v>45948</v>
      </c>
      <c r="L94" s="13" t="s">
        <v>148</v>
      </c>
      <c r="W94" s="115"/>
      <c r="X94" s="115"/>
      <c r="Y94" s="115"/>
      <c r="Z94" s="115"/>
      <c r="AA94" s="127"/>
      <c r="AB94" s="29"/>
      <c r="AL94" s="25"/>
      <c r="AM94" s="13"/>
      <c r="AR94" s="116"/>
      <c r="AS94" s="123"/>
      <c r="AT94" s="123"/>
      <c r="AU94" s="123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25"/>
      <c r="BK94" s="13"/>
      <c r="BN94" s="114"/>
    </row>
    <row r="95" spans="1:66" ht="20.100000000000001" customHeight="1" x14ac:dyDescent="0.4">
      <c r="A95" s="117"/>
      <c r="B95" s="123"/>
      <c r="C95" s="123"/>
      <c r="D95" s="123"/>
      <c r="F95" s="117"/>
      <c r="G95" s="135"/>
      <c r="H95" s="136"/>
      <c r="I95" s="136"/>
      <c r="J95" s="136"/>
      <c r="K95" s="25">
        <v>45948</v>
      </c>
      <c r="L95" s="15" t="s">
        <v>146</v>
      </c>
      <c r="S95" s="115"/>
      <c r="T95" s="115"/>
      <c r="U95" s="115"/>
      <c r="V95" s="115"/>
      <c r="W95" s="115"/>
      <c r="X95" s="115"/>
      <c r="Y95" s="115"/>
      <c r="Z95" s="115"/>
      <c r="AA95" s="127"/>
      <c r="AB95" s="29"/>
      <c r="AL95" s="25"/>
      <c r="AM95" s="13"/>
      <c r="AR95" s="116"/>
      <c r="AS95" s="123"/>
      <c r="AT95" s="123"/>
      <c r="AU95" s="123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25"/>
      <c r="BK95" s="13"/>
      <c r="BN95" s="114"/>
    </row>
    <row r="96" spans="1:66" ht="20.100000000000001" customHeight="1" x14ac:dyDescent="0.4">
      <c r="A96" s="117"/>
      <c r="B96" s="123"/>
      <c r="C96" s="123"/>
      <c r="D96" s="123"/>
      <c r="F96" s="117"/>
      <c r="G96" s="135"/>
      <c r="H96" s="136"/>
      <c r="I96" s="136"/>
      <c r="J96" s="136"/>
      <c r="K96" s="25">
        <v>45948</v>
      </c>
      <c r="L96" s="15" t="s">
        <v>148</v>
      </c>
      <c r="S96" s="115"/>
      <c r="T96" s="115"/>
      <c r="U96" s="115"/>
      <c r="V96" s="115"/>
      <c r="W96" s="115"/>
      <c r="X96" s="115"/>
      <c r="Y96" s="115"/>
      <c r="Z96" s="115"/>
      <c r="AA96" s="29"/>
      <c r="AB96" s="29"/>
      <c r="AL96" s="25"/>
      <c r="AM96" s="13"/>
      <c r="AR96" s="116"/>
      <c r="AS96" s="123"/>
      <c r="AT96" s="123"/>
      <c r="AU96" s="123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25"/>
      <c r="BK96" s="13"/>
      <c r="BN96" s="114"/>
    </row>
    <row r="97" spans="1:66" ht="20.100000000000001" customHeight="1" x14ac:dyDescent="0.4">
      <c r="A97" s="117"/>
      <c r="B97" s="123"/>
      <c r="C97" s="123"/>
      <c r="D97" s="123"/>
      <c r="F97" s="117"/>
      <c r="G97" s="135"/>
      <c r="H97" s="136"/>
      <c r="I97" s="136"/>
      <c r="J97" s="136"/>
      <c r="K97" s="25">
        <v>45948</v>
      </c>
      <c r="L97" s="15" t="s">
        <v>146</v>
      </c>
      <c r="S97" s="115"/>
      <c r="T97" s="115"/>
      <c r="U97" s="115"/>
      <c r="V97" s="115"/>
      <c r="W97" s="115"/>
      <c r="X97" s="115"/>
      <c r="Y97" s="115"/>
      <c r="Z97" s="115"/>
      <c r="AA97" s="127"/>
      <c r="AB97" s="29"/>
      <c r="AL97" s="25"/>
      <c r="AM97" s="13"/>
      <c r="AR97" s="116"/>
      <c r="AS97" s="123"/>
      <c r="AT97" s="123"/>
      <c r="AU97" s="123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25"/>
      <c r="BK97" s="13"/>
      <c r="BN97" s="114"/>
    </row>
    <row r="98" spans="1:66" ht="20.100000000000001" customHeight="1" x14ac:dyDescent="0.4">
      <c r="A98" s="117"/>
      <c r="B98" s="123"/>
      <c r="C98" s="123"/>
      <c r="D98" s="123"/>
      <c r="F98" s="125"/>
      <c r="G98" s="125"/>
      <c r="H98" s="125"/>
      <c r="I98" s="125"/>
      <c r="J98" s="125"/>
      <c r="K98" s="25">
        <v>45948</v>
      </c>
      <c r="L98" s="15" t="s">
        <v>148</v>
      </c>
      <c r="S98" s="115"/>
      <c r="T98" s="115"/>
      <c r="U98" s="115"/>
      <c r="V98" s="115"/>
      <c r="W98" s="115"/>
      <c r="X98" s="115"/>
      <c r="Y98" s="115"/>
      <c r="Z98" s="115"/>
      <c r="AA98" s="127"/>
      <c r="AB98" s="29"/>
      <c r="AL98" s="25"/>
      <c r="AM98" s="13"/>
      <c r="AR98" s="116"/>
      <c r="AS98" s="123"/>
      <c r="AT98" s="123"/>
      <c r="AU98" s="123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25"/>
      <c r="BK98" s="13"/>
      <c r="BN98" s="114"/>
    </row>
    <row r="99" spans="1:66" ht="20.100000000000001" customHeight="1" x14ac:dyDescent="0.4">
      <c r="A99" s="117"/>
      <c r="B99" s="123"/>
      <c r="C99" s="123"/>
      <c r="D99" s="123"/>
      <c r="K99" s="25">
        <v>45948</v>
      </c>
      <c r="L99" s="15" t="s">
        <v>146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27"/>
      <c r="AB99" s="29"/>
      <c r="AL99" s="25"/>
      <c r="AM99" s="13"/>
      <c r="AR99" s="116"/>
      <c r="AS99" s="123"/>
      <c r="AT99" s="123"/>
      <c r="AU99" s="123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25"/>
      <c r="BK99" s="13"/>
      <c r="BN99" s="114"/>
    </row>
    <row r="100" spans="1:66" ht="20.100000000000001" customHeight="1" x14ac:dyDescent="0.4">
      <c r="A100" s="117"/>
      <c r="B100" s="123"/>
      <c r="C100" s="123"/>
      <c r="D100" s="123"/>
      <c r="K100" s="25">
        <v>45948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27"/>
      <c r="AB100" s="29"/>
      <c r="AL100" s="25"/>
      <c r="AM100" s="13"/>
      <c r="AR100" s="116"/>
      <c r="AS100" s="123"/>
      <c r="AT100" s="123"/>
      <c r="AU100" s="123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25"/>
      <c r="BK100" s="13"/>
      <c r="BN100" s="114"/>
    </row>
    <row r="101" spans="1:66" ht="20.100000000000001" customHeight="1" x14ac:dyDescent="0.4">
      <c r="A101" s="117"/>
      <c r="B101" s="123"/>
      <c r="C101" s="123"/>
      <c r="D101" s="123"/>
      <c r="K101" s="25">
        <v>45948</v>
      </c>
      <c r="L101" s="15" t="s">
        <v>142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27"/>
      <c r="AB101" s="134"/>
      <c r="AL101" s="25"/>
      <c r="AM101" s="13"/>
      <c r="AR101" s="116"/>
      <c r="AS101" s="123"/>
      <c r="AT101" s="123"/>
      <c r="AU101" s="123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25"/>
      <c r="BK101" s="13"/>
      <c r="BN101" s="114"/>
    </row>
    <row r="102" spans="1:66" ht="20.100000000000001" customHeight="1" x14ac:dyDescent="0.4">
      <c r="A102" s="117"/>
      <c r="B102" s="123"/>
      <c r="C102" s="123"/>
      <c r="D102" s="123"/>
      <c r="J102" s="115" t="s">
        <v>208</v>
      </c>
      <c r="K102" s="13">
        <f>SUBTOTAL(3,K48:K101)</f>
        <v>54</v>
      </c>
      <c r="L102" s="15">
        <f>SUBTOTAL(3,L48:L101)</f>
        <v>54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27"/>
      <c r="AB102" s="134"/>
      <c r="AL102" s="25"/>
      <c r="AM102" s="13"/>
      <c r="AR102" s="116"/>
      <c r="AS102" s="123"/>
      <c r="AT102" s="123"/>
      <c r="AU102" s="123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25"/>
      <c r="BK102" s="13"/>
      <c r="BN102" s="114"/>
    </row>
    <row r="103" spans="1:66" ht="20.100000000000001" customHeight="1" x14ac:dyDescent="0.4">
      <c r="A103" s="117"/>
      <c r="B103" s="123"/>
      <c r="C103" s="123"/>
      <c r="D103" s="123"/>
      <c r="H103" s="115"/>
      <c r="I103" s="115"/>
      <c r="J103" s="115"/>
      <c r="K103" s="25">
        <v>45949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27"/>
      <c r="AB103" s="134"/>
      <c r="AL103" s="25"/>
      <c r="AM103" s="13"/>
      <c r="AR103" s="116"/>
      <c r="AS103" s="123"/>
      <c r="AT103" s="123"/>
      <c r="AU103" s="123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25"/>
      <c r="BK103" s="13"/>
      <c r="BN103" s="114"/>
    </row>
    <row r="104" spans="1:66" ht="20.100000000000001" customHeight="1" x14ac:dyDescent="0.4">
      <c r="A104" s="117"/>
      <c r="B104" s="123"/>
      <c r="C104" s="123"/>
      <c r="D104" s="123"/>
      <c r="K104" s="25">
        <v>45949</v>
      </c>
      <c r="L104" s="15" t="s">
        <v>147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27"/>
      <c r="AB104" s="29"/>
      <c r="AL104" s="25"/>
      <c r="AM104" s="13"/>
      <c r="AR104" s="116"/>
      <c r="AS104" s="123"/>
      <c r="AT104" s="123"/>
      <c r="AU104" s="123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25"/>
      <c r="BK104" s="13"/>
      <c r="BN104" s="114"/>
    </row>
    <row r="105" spans="1:66" ht="20.100000000000001" customHeight="1" x14ac:dyDescent="0.4">
      <c r="A105" s="117"/>
      <c r="B105" s="123"/>
      <c r="C105" s="123"/>
      <c r="D105" s="123"/>
      <c r="K105" s="25">
        <v>45949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29"/>
      <c r="AB105" s="29"/>
      <c r="AL105" s="25"/>
      <c r="AM105" s="13"/>
      <c r="AR105" s="116"/>
      <c r="AS105" s="123"/>
      <c r="AT105" s="123"/>
      <c r="AU105" s="123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25"/>
      <c r="BK105" s="13"/>
      <c r="BN105" s="114"/>
    </row>
    <row r="106" spans="1:66" ht="20.100000000000001" customHeight="1" x14ac:dyDescent="0.4">
      <c r="A106" s="117"/>
      <c r="B106" s="123"/>
      <c r="C106" s="123"/>
      <c r="D106" s="123"/>
      <c r="K106" s="25">
        <v>45949</v>
      </c>
      <c r="L106" s="15" t="s">
        <v>148</v>
      </c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27"/>
      <c r="AB106" s="29"/>
      <c r="AL106" s="25"/>
      <c r="AM106" s="13"/>
      <c r="AR106" s="116"/>
      <c r="AS106" s="123"/>
      <c r="AT106" s="123"/>
      <c r="AU106" s="123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25"/>
      <c r="BK106" s="13"/>
      <c r="BN106" s="114"/>
    </row>
    <row r="107" spans="1:66" ht="20.100000000000001" customHeight="1" x14ac:dyDescent="0.4">
      <c r="A107" s="117"/>
      <c r="B107" s="123"/>
      <c r="C107" s="123"/>
      <c r="D107" s="123"/>
      <c r="K107" s="25">
        <v>45949</v>
      </c>
      <c r="L107" s="15" t="s">
        <v>147</v>
      </c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27"/>
      <c r="AB107" s="29"/>
      <c r="AL107" s="25"/>
      <c r="AM107" s="13"/>
      <c r="AR107" s="116"/>
      <c r="AS107" s="123"/>
      <c r="AT107" s="123"/>
      <c r="AU107" s="123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25"/>
      <c r="BK107" s="13"/>
      <c r="BN107" s="114"/>
    </row>
    <row r="108" spans="1:66" ht="20.100000000000001" customHeight="1" x14ac:dyDescent="0.4">
      <c r="A108" s="117"/>
      <c r="B108" s="123"/>
      <c r="C108" s="123"/>
      <c r="D108" s="123"/>
      <c r="I108" s="115"/>
      <c r="J108" s="115"/>
      <c r="K108" s="25">
        <v>45949</v>
      </c>
      <c r="L108" s="15" t="s">
        <v>146</v>
      </c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27"/>
      <c r="AB108" s="29"/>
      <c r="AL108" s="25"/>
      <c r="AM108" s="13"/>
      <c r="AR108" s="116"/>
      <c r="AS108" s="123"/>
      <c r="AT108" s="123"/>
      <c r="AU108" s="123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25"/>
      <c r="BK108" s="13"/>
      <c r="BN108" s="114"/>
    </row>
    <row r="109" spans="1:66" ht="20.100000000000001" customHeight="1" x14ac:dyDescent="0.4">
      <c r="A109" s="117"/>
      <c r="B109" s="123"/>
      <c r="C109" s="123"/>
      <c r="D109" s="123"/>
      <c r="K109" s="25">
        <v>45949</v>
      </c>
      <c r="L109" s="15" t="s">
        <v>146</v>
      </c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27"/>
      <c r="AB109" s="29"/>
      <c r="AL109" s="25"/>
      <c r="AM109" s="13"/>
      <c r="AR109" s="116"/>
      <c r="AS109" s="123"/>
      <c r="AT109" s="123"/>
      <c r="AU109" s="123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25"/>
      <c r="BK109" s="13"/>
      <c r="BN109" s="114"/>
    </row>
    <row r="110" spans="1:66" ht="20.100000000000001" customHeight="1" x14ac:dyDescent="0.4">
      <c r="A110" s="117"/>
      <c r="B110" s="123"/>
      <c r="C110" s="123"/>
      <c r="D110" s="123"/>
      <c r="K110" s="25">
        <v>45949</v>
      </c>
      <c r="L110" s="15" t="s">
        <v>147</v>
      </c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27"/>
      <c r="AB110" s="29"/>
      <c r="AL110" s="25"/>
      <c r="AM110" s="13"/>
      <c r="AR110" s="116"/>
      <c r="AS110" s="123"/>
      <c r="AT110" s="123"/>
      <c r="AU110" s="123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25"/>
      <c r="BK110" s="13"/>
      <c r="BN110" s="114"/>
    </row>
    <row r="111" spans="1:66" ht="20.100000000000001" customHeight="1" x14ac:dyDescent="0.4">
      <c r="A111" s="117"/>
      <c r="B111" s="123"/>
      <c r="C111" s="123"/>
      <c r="D111" s="123"/>
      <c r="J111" s="115" t="s">
        <v>209</v>
      </c>
      <c r="K111" s="13">
        <f>SUBTOTAL(3,K103:K110)</f>
        <v>8</v>
      </c>
      <c r="L111" s="15">
        <f>SUBTOTAL(3,L103:L110)</f>
        <v>8</v>
      </c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27"/>
      <c r="AB111" s="29"/>
      <c r="AL111" s="25"/>
      <c r="AM111" s="13"/>
      <c r="AR111" s="116"/>
      <c r="AS111" s="123"/>
      <c r="AT111" s="123"/>
      <c r="AU111" s="123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25"/>
      <c r="BK111" s="13"/>
      <c r="BN111" s="114"/>
    </row>
    <row r="112" spans="1:66" ht="20.100000000000001" customHeight="1" x14ac:dyDescent="0.4">
      <c r="A112" s="117"/>
      <c r="B112" s="123"/>
      <c r="C112" s="123"/>
      <c r="D112" s="123"/>
      <c r="K112" s="25">
        <v>45950</v>
      </c>
      <c r="L112" s="15" t="s">
        <v>146</v>
      </c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27"/>
      <c r="AB112" s="29"/>
      <c r="AL112" s="25"/>
      <c r="AM112" s="13"/>
      <c r="AR112" s="116"/>
      <c r="AS112" s="123"/>
      <c r="AT112" s="123"/>
      <c r="AU112" s="123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25"/>
      <c r="BK112" s="13"/>
      <c r="BN112" s="114"/>
    </row>
    <row r="113" spans="1:66" ht="20.100000000000001" customHeight="1" x14ac:dyDescent="0.4">
      <c r="A113" s="117"/>
      <c r="B113" s="123"/>
      <c r="C113" s="123"/>
      <c r="D113" s="123"/>
      <c r="J113" s="115" t="s">
        <v>350</v>
      </c>
      <c r="K113" s="13">
        <f>SUBTOTAL(3,K112:K112)</f>
        <v>1</v>
      </c>
      <c r="L113" s="15">
        <f>SUBTOTAL(3,L112:L112)</f>
        <v>1</v>
      </c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27"/>
      <c r="AB113" s="29"/>
      <c r="AL113" s="25"/>
      <c r="AM113" s="13"/>
      <c r="AR113" s="116"/>
      <c r="AS113" s="123"/>
      <c r="AT113" s="123"/>
      <c r="AU113" s="123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25"/>
      <c r="BK113" s="13"/>
      <c r="BN113" s="114"/>
    </row>
    <row r="114" spans="1:66" ht="20.100000000000001" customHeight="1" x14ac:dyDescent="0.4">
      <c r="A114" s="117"/>
      <c r="B114" s="123"/>
      <c r="C114" s="123"/>
      <c r="D114" s="123"/>
      <c r="H114" s="115"/>
      <c r="I114" s="115"/>
      <c r="J114" s="115"/>
      <c r="K114" s="25">
        <v>45953</v>
      </c>
      <c r="L114" s="15" t="s">
        <v>146</v>
      </c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27"/>
      <c r="AB114" s="29"/>
      <c r="AL114" s="25"/>
      <c r="AM114" s="13"/>
      <c r="AR114" s="116"/>
      <c r="AS114" s="123"/>
      <c r="AT114" s="123"/>
      <c r="AU114" s="123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25"/>
      <c r="BK114" s="13"/>
      <c r="BN114" s="114"/>
    </row>
    <row r="115" spans="1:66" ht="20.100000000000001" customHeight="1" x14ac:dyDescent="0.4">
      <c r="A115" s="117"/>
      <c r="B115" s="123"/>
      <c r="C115" s="123"/>
      <c r="D115" s="123"/>
      <c r="K115" s="25">
        <v>45953</v>
      </c>
      <c r="L115" s="15" t="s">
        <v>146</v>
      </c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29"/>
      <c r="AB115" s="29"/>
      <c r="AL115" s="25"/>
      <c r="AM115" s="13"/>
      <c r="AR115" s="116"/>
      <c r="AS115" s="123"/>
      <c r="AT115" s="123"/>
      <c r="AU115" s="123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25"/>
      <c r="BK115" s="13"/>
      <c r="BN115" s="114"/>
    </row>
    <row r="116" spans="1:66" ht="20.100000000000001" customHeight="1" x14ac:dyDescent="0.4">
      <c r="A116" s="117"/>
      <c r="B116" s="123"/>
      <c r="C116" s="123"/>
      <c r="D116" s="123"/>
      <c r="K116" s="25">
        <v>45953</v>
      </c>
      <c r="L116" s="15" t="s">
        <v>146</v>
      </c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27"/>
      <c r="AB116" s="29"/>
      <c r="AL116" s="25"/>
      <c r="AM116" s="13"/>
      <c r="AR116" s="116"/>
      <c r="AS116" s="123"/>
      <c r="AT116" s="123"/>
      <c r="AU116" s="123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25"/>
      <c r="BK116" s="13"/>
      <c r="BN116" s="114"/>
    </row>
    <row r="117" spans="1:66" ht="20.100000000000001" customHeight="1" x14ac:dyDescent="0.4">
      <c r="A117" s="117"/>
      <c r="B117" s="123"/>
      <c r="C117" s="123"/>
      <c r="D117" s="123"/>
      <c r="J117" s="115" t="s">
        <v>351</v>
      </c>
      <c r="K117" s="13">
        <f>SUBTOTAL(3,K114:K116)</f>
        <v>3</v>
      </c>
      <c r="L117" s="15">
        <f>SUBTOTAL(3,L114:L116)</f>
        <v>3</v>
      </c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27"/>
      <c r="AB117" s="29"/>
      <c r="AL117" s="25"/>
      <c r="AM117" s="13"/>
      <c r="AR117" s="116"/>
      <c r="AS117" s="123"/>
      <c r="AT117" s="123"/>
      <c r="AU117" s="123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25"/>
      <c r="BK117" s="13"/>
      <c r="BN117" s="114"/>
    </row>
    <row r="118" spans="1:66" ht="20.100000000000001" customHeight="1" x14ac:dyDescent="0.4">
      <c r="A118" s="117"/>
      <c r="B118" s="123"/>
      <c r="C118" s="123"/>
      <c r="D118" s="123"/>
      <c r="K118" s="25">
        <v>45954</v>
      </c>
      <c r="L118" s="15" t="s">
        <v>142</v>
      </c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27"/>
      <c r="AB118" s="29"/>
      <c r="AL118" s="25"/>
      <c r="AM118" s="13"/>
      <c r="AR118" s="116"/>
      <c r="AS118" s="123"/>
      <c r="AT118" s="123"/>
      <c r="AU118" s="123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25"/>
      <c r="BK118" s="13"/>
      <c r="BN118" s="114"/>
    </row>
    <row r="119" spans="1:66" ht="20.100000000000001" customHeight="1" x14ac:dyDescent="0.4">
      <c r="A119" s="117"/>
      <c r="B119" s="123"/>
      <c r="C119" s="123"/>
      <c r="D119" s="123"/>
      <c r="J119" s="115" t="s">
        <v>352</v>
      </c>
      <c r="K119" s="13">
        <f>SUBTOTAL(3,K118:K118)</f>
        <v>1</v>
      </c>
      <c r="L119" s="15">
        <f>SUBTOTAL(3,L118:L118)</f>
        <v>1</v>
      </c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27"/>
      <c r="AB119" s="29"/>
      <c r="AL119" s="25"/>
      <c r="AM119" s="13"/>
      <c r="AR119" s="116"/>
      <c r="AS119" s="123"/>
      <c r="AT119" s="123"/>
      <c r="AU119" s="123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5"/>
      <c r="BJ119" s="25"/>
      <c r="BK119" s="13"/>
      <c r="BN119" s="114"/>
    </row>
    <row r="120" spans="1:66" ht="20.100000000000001" customHeight="1" x14ac:dyDescent="0.4">
      <c r="A120" s="117"/>
      <c r="B120" s="123"/>
      <c r="C120" s="123"/>
      <c r="D120" s="123"/>
      <c r="H120" s="115"/>
      <c r="I120" s="115"/>
      <c r="J120" s="115"/>
      <c r="K120" s="25">
        <v>45955</v>
      </c>
      <c r="L120" s="15" t="s">
        <v>148</v>
      </c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27"/>
      <c r="AB120" s="29"/>
      <c r="AL120" s="25"/>
      <c r="AM120" s="13"/>
      <c r="AR120" s="116"/>
      <c r="AS120" s="123"/>
      <c r="AT120" s="123"/>
      <c r="AU120" s="123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5"/>
      <c r="BJ120" s="25"/>
      <c r="BK120" s="13"/>
      <c r="BN120" s="114"/>
    </row>
    <row r="121" spans="1:66" ht="20.100000000000001" customHeight="1" x14ac:dyDescent="0.4">
      <c r="A121" s="117"/>
      <c r="B121" s="123"/>
      <c r="C121" s="123"/>
      <c r="D121" s="123"/>
      <c r="K121" s="25">
        <v>45955</v>
      </c>
      <c r="L121" s="132" t="s">
        <v>148</v>
      </c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27"/>
      <c r="AB121" s="29"/>
      <c r="AL121" s="25"/>
      <c r="AM121" s="13"/>
      <c r="AR121" s="116"/>
      <c r="AS121" s="123"/>
      <c r="AT121" s="123"/>
      <c r="AU121" s="123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5"/>
      <c r="BJ121" s="25"/>
      <c r="BK121" s="13"/>
      <c r="BN121" s="114"/>
    </row>
    <row r="122" spans="1:66" ht="20.100000000000001" customHeight="1" x14ac:dyDescent="0.4">
      <c r="A122" s="117"/>
      <c r="B122" s="123"/>
      <c r="C122" s="123"/>
      <c r="D122" s="123"/>
      <c r="K122" s="25">
        <v>45955</v>
      </c>
      <c r="L122" s="15" t="s">
        <v>148</v>
      </c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27"/>
      <c r="AB122" s="29"/>
      <c r="AL122" s="25"/>
      <c r="AM122" s="13"/>
      <c r="AR122" s="116"/>
      <c r="AS122" s="123"/>
      <c r="AT122" s="123"/>
      <c r="AU122" s="123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5"/>
      <c r="BJ122" s="25"/>
      <c r="BK122" s="13"/>
      <c r="BN122" s="114"/>
    </row>
    <row r="123" spans="1:66" ht="20.100000000000001" customHeight="1" x14ac:dyDescent="0.4">
      <c r="A123" s="117"/>
      <c r="B123" s="123"/>
      <c r="C123" s="123"/>
      <c r="D123" s="123"/>
      <c r="J123" s="115" t="s">
        <v>353</v>
      </c>
      <c r="K123" s="13">
        <f>SUBTOTAL(3,K120:K122)</f>
        <v>3</v>
      </c>
      <c r="L123" s="15">
        <f>SUBTOTAL(3,L120:L122)</f>
        <v>3</v>
      </c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27"/>
      <c r="AB123" s="29"/>
      <c r="AL123" s="25"/>
      <c r="AM123" s="13"/>
      <c r="AR123" s="116"/>
      <c r="AS123" s="123"/>
      <c r="AT123" s="123"/>
      <c r="AU123" s="123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25"/>
      <c r="BK123" s="13"/>
      <c r="BN123" s="114"/>
    </row>
    <row r="124" spans="1:66" ht="20.100000000000001" customHeight="1" x14ac:dyDescent="0.4">
      <c r="A124" s="117"/>
      <c r="B124" s="123"/>
      <c r="C124" s="123"/>
      <c r="D124" s="123"/>
      <c r="H124" s="115"/>
      <c r="I124" s="115"/>
      <c r="J124" s="115"/>
      <c r="K124" s="25">
        <v>45957</v>
      </c>
      <c r="L124" s="15" t="s">
        <v>142</v>
      </c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27"/>
      <c r="AB124" s="29"/>
      <c r="AL124" s="25"/>
      <c r="AM124" s="13"/>
      <c r="AR124" s="116"/>
      <c r="AS124" s="123"/>
      <c r="AT124" s="123"/>
      <c r="AU124" s="123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5"/>
      <c r="BJ124" s="25"/>
      <c r="BK124" s="13"/>
      <c r="BN124" s="114"/>
    </row>
    <row r="125" spans="1:66" ht="20.100000000000001" customHeight="1" x14ac:dyDescent="0.4">
      <c r="A125" s="117"/>
      <c r="B125" s="123"/>
      <c r="C125" s="123"/>
      <c r="D125" s="123"/>
      <c r="K125" s="25">
        <v>45957</v>
      </c>
      <c r="L125" s="15" t="s">
        <v>142</v>
      </c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27"/>
      <c r="AB125" s="29"/>
      <c r="AL125" s="25"/>
      <c r="AM125" s="13"/>
      <c r="AR125" s="116"/>
      <c r="AS125" s="123"/>
      <c r="AT125" s="123"/>
      <c r="AU125" s="123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25"/>
      <c r="BK125" s="13"/>
      <c r="BN125" s="114"/>
    </row>
    <row r="126" spans="1:66" ht="20.100000000000001" customHeight="1" x14ac:dyDescent="0.4">
      <c r="A126" s="117"/>
      <c r="B126" s="123"/>
      <c r="C126" s="123"/>
      <c r="D126" s="123"/>
      <c r="H126" s="115"/>
      <c r="I126" s="115"/>
      <c r="J126" s="115"/>
      <c r="K126" s="25">
        <v>45957</v>
      </c>
      <c r="L126" s="15" t="s">
        <v>142</v>
      </c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27"/>
      <c r="AB126" s="29"/>
      <c r="AL126" s="25"/>
      <c r="AM126" s="13"/>
      <c r="AR126" s="116"/>
      <c r="AS126" s="123"/>
      <c r="AT126" s="123"/>
      <c r="AU126" s="123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25"/>
      <c r="BK126" s="13"/>
      <c r="BN126" s="114"/>
    </row>
    <row r="127" spans="1:66" ht="20.100000000000001" customHeight="1" x14ac:dyDescent="0.4">
      <c r="A127" s="117"/>
      <c r="B127" s="123"/>
      <c r="C127" s="123"/>
      <c r="D127" s="123"/>
      <c r="K127" s="25">
        <v>45957</v>
      </c>
      <c r="L127" s="15" t="s">
        <v>142</v>
      </c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27"/>
      <c r="AB127" s="29"/>
      <c r="AL127" s="25"/>
      <c r="AM127" s="13"/>
      <c r="AR127" s="116"/>
      <c r="AS127" s="123"/>
      <c r="AT127" s="123"/>
      <c r="AU127" s="123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5"/>
      <c r="BJ127" s="25"/>
      <c r="BK127" s="13"/>
      <c r="BN127" s="114"/>
    </row>
    <row r="128" spans="1:66" ht="20.100000000000001" customHeight="1" x14ac:dyDescent="0.4">
      <c r="A128" s="117"/>
      <c r="B128" s="123"/>
      <c r="C128" s="123"/>
      <c r="D128" s="123"/>
      <c r="I128" s="115"/>
      <c r="J128" s="115"/>
      <c r="K128" s="25">
        <v>45957</v>
      </c>
      <c r="L128" s="13" t="s">
        <v>142</v>
      </c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27"/>
      <c r="AB128" s="29"/>
      <c r="AL128" s="25"/>
      <c r="AM128" s="13"/>
      <c r="AR128" s="116"/>
      <c r="AS128" s="123"/>
      <c r="AT128" s="123"/>
      <c r="AU128" s="123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25"/>
      <c r="BK128" s="13"/>
      <c r="BN128" s="114"/>
    </row>
    <row r="129" spans="1:66" ht="20.100000000000001" customHeight="1" x14ac:dyDescent="0.4">
      <c r="A129" s="117"/>
      <c r="B129" s="123"/>
      <c r="C129" s="123"/>
      <c r="D129" s="123"/>
      <c r="H129" s="115"/>
      <c r="I129" s="115"/>
      <c r="J129" s="115"/>
      <c r="K129" s="25">
        <v>45957</v>
      </c>
      <c r="L129" s="13" t="s">
        <v>142</v>
      </c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27"/>
      <c r="AB129" s="29"/>
      <c r="AL129" s="25"/>
      <c r="AM129" s="13"/>
      <c r="AR129" s="116"/>
      <c r="AS129" s="123"/>
      <c r="AT129" s="123"/>
      <c r="AU129" s="123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5"/>
      <c r="BJ129" s="25"/>
      <c r="BK129" s="13"/>
      <c r="BN129" s="114"/>
    </row>
    <row r="130" spans="1:66" ht="20.100000000000001" customHeight="1" x14ac:dyDescent="0.4">
      <c r="A130" s="117"/>
      <c r="B130" s="123"/>
      <c r="C130" s="123"/>
      <c r="D130" s="123"/>
      <c r="G130" s="115"/>
      <c r="H130" s="115"/>
      <c r="I130" s="115"/>
      <c r="J130" s="115"/>
      <c r="K130" s="25">
        <v>45957</v>
      </c>
      <c r="L130" s="13" t="s">
        <v>142</v>
      </c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27"/>
      <c r="AB130" s="29"/>
      <c r="AL130" s="25"/>
      <c r="AM130" s="13"/>
      <c r="AR130" s="116"/>
      <c r="AS130" s="123"/>
      <c r="AT130" s="123"/>
      <c r="AU130" s="123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25"/>
      <c r="BK130" s="13"/>
      <c r="BN130" s="114"/>
    </row>
    <row r="131" spans="1:66" ht="20.100000000000001" customHeight="1" x14ac:dyDescent="0.4">
      <c r="A131" s="117"/>
      <c r="B131" s="123"/>
      <c r="C131" s="123"/>
      <c r="D131" s="123"/>
      <c r="K131" s="25">
        <v>45957</v>
      </c>
      <c r="L131" s="13" t="s">
        <v>142</v>
      </c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27"/>
      <c r="AB131" s="29"/>
      <c r="AL131" s="25"/>
      <c r="AM131" s="13"/>
      <c r="AR131" s="116"/>
      <c r="AS131" s="123"/>
      <c r="AT131" s="123"/>
      <c r="AU131" s="123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5"/>
      <c r="BJ131" s="25"/>
      <c r="BK131" s="13"/>
      <c r="BN131" s="114"/>
    </row>
    <row r="132" spans="1:66" ht="20.100000000000001" customHeight="1" x14ac:dyDescent="0.4">
      <c r="A132" s="117"/>
      <c r="B132" s="123"/>
      <c r="C132" s="123"/>
      <c r="D132" s="123"/>
      <c r="K132" s="25">
        <v>45957</v>
      </c>
      <c r="L132" s="13" t="s">
        <v>142</v>
      </c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29"/>
      <c r="AB132" s="29"/>
      <c r="AL132" s="25"/>
      <c r="AM132" s="13"/>
      <c r="AR132" s="116"/>
      <c r="AS132" s="123"/>
      <c r="AT132" s="123"/>
      <c r="AU132" s="123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5"/>
      <c r="BJ132" s="25"/>
      <c r="BK132" s="13"/>
      <c r="BN132" s="114"/>
    </row>
    <row r="133" spans="1:66" ht="20.100000000000001" customHeight="1" x14ac:dyDescent="0.4">
      <c r="A133" s="117"/>
      <c r="B133" s="123"/>
      <c r="C133" s="123"/>
      <c r="D133" s="123"/>
      <c r="K133" s="25">
        <v>45957</v>
      </c>
      <c r="L133" s="13" t="s">
        <v>142</v>
      </c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27"/>
      <c r="AB133" s="29"/>
      <c r="AL133" s="25"/>
      <c r="AM133" s="13"/>
      <c r="AR133" s="116"/>
      <c r="AS133" s="123"/>
      <c r="AT133" s="123"/>
      <c r="AU133" s="123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25"/>
      <c r="BK133" s="13"/>
      <c r="BN133" s="114"/>
    </row>
    <row r="134" spans="1:66" ht="20.100000000000001" customHeight="1" x14ac:dyDescent="0.4">
      <c r="A134" s="117"/>
      <c r="B134" s="123"/>
      <c r="C134" s="123"/>
      <c r="D134" s="123"/>
      <c r="K134" s="25">
        <v>45957</v>
      </c>
      <c r="L134" s="13" t="s">
        <v>142</v>
      </c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27"/>
      <c r="AB134" s="29"/>
      <c r="AL134" s="25"/>
      <c r="AM134" s="13"/>
      <c r="AR134" s="116"/>
      <c r="AS134" s="123"/>
      <c r="AT134" s="123"/>
      <c r="AU134" s="123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25"/>
      <c r="BK134" s="13"/>
      <c r="BN134" s="114"/>
    </row>
    <row r="135" spans="1:66" ht="20.100000000000001" customHeight="1" x14ac:dyDescent="0.4">
      <c r="A135" s="117"/>
      <c r="B135" s="123"/>
      <c r="C135" s="123"/>
      <c r="D135" s="123"/>
      <c r="I135" s="115"/>
      <c r="J135" s="115"/>
      <c r="K135" s="25">
        <v>45957</v>
      </c>
      <c r="L135" s="13" t="s">
        <v>142</v>
      </c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27"/>
      <c r="AB135" s="29"/>
      <c r="AL135" s="25"/>
      <c r="AM135" s="13"/>
      <c r="AR135" s="116"/>
      <c r="AS135" s="123"/>
      <c r="AT135" s="123"/>
      <c r="AU135" s="123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5"/>
      <c r="BJ135" s="25"/>
      <c r="BK135" s="13"/>
      <c r="BN135" s="114"/>
    </row>
    <row r="136" spans="1:66" ht="20.100000000000001" customHeight="1" x14ac:dyDescent="0.4">
      <c r="A136" s="117"/>
      <c r="B136" s="123"/>
      <c r="C136" s="123"/>
      <c r="D136" s="123"/>
      <c r="K136" s="25">
        <v>45957</v>
      </c>
      <c r="L136" s="13" t="s">
        <v>146</v>
      </c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27"/>
      <c r="AB136" s="29"/>
      <c r="AL136" s="25"/>
      <c r="AM136" s="13"/>
      <c r="AR136" s="116"/>
      <c r="AS136" s="123"/>
      <c r="AT136" s="123"/>
      <c r="AU136" s="123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5"/>
      <c r="BJ136" s="25"/>
      <c r="BK136" s="13"/>
      <c r="BN136" s="114"/>
    </row>
    <row r="137" spans="1:66" ht="20.100000000000001" customHeight="1" x14ac:dyDescent="0.4">
      <c r="A137" s="117"/>
      <c r="B137" s="123"/>
      <c r="C137" s="123"/>
      <c r="D137" s="123"/>
      <c r="J137" s="115" t="s">
        <v>354</v>
      </c>
      <c r="K137" s="13">
        <f>SUBTOTAL(3,K124:K136)</f>
        <v>13</v>
      </c>
      <c r="L137" s="13">
        <f>SUBTOTAL(3,L124:L136)</f>
        <v>13</v>
      </c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27"/>
      <c r="AB137" s="29"/>
      <c r="AL137" s="25"/>
      <c r="AM137" s="13"/>
      <c r="AR137" s="116"/>
      <c r="AS137" s="123"/>
      <c r="AT137" s="123"/>
      <c r="AU137" s="123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5"/>
      <c r="BJ137" s="25"/>
      <c r="BK137" s="13"/>
      <c r="BN137" s="114"/>
    </row>
    <row r="138" spans="1:66" ht="20.100000000000001" customHeight="1" x14ac:dyDescent="0.4">
      <c r="A138" s="117"/>
      <c r="B138" s="123"/>
      <c r="C138" s="123"/>
      <c r="D138" s="123"/>
      <c r="K138" s="25">
        <v>45958</v>
      </c>
      <c r="L138" s="13" t="s">
        <v>148</v>
      </c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27"/>
      <c r="AB138" s="29"/>
      <c r="AL138" s="25"/>
      <c r="AM138" s="13"/>
      <c r="AR138" s="116"/>
      <c r="AS138" s="123"/>
      <c r="AT138" s="123"/>
      <c r="AU138" s="123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25"/>
      <c r="BK138" s="13"/>
      <c r="BN138" s="114"/>
    </row>
    <row r="139" spans="1:66" ht="20.100000000000001" customHeight="1" x14ac:dyDescent="0.4">
      <c r="A139" s="117"/>
      <c r="B139" s="123"/>
      <c r="C139" s="123"/>
      <c r="D139" s="123"/>
      <c r="H139" s="115"/>
      <c r="I139" s="115"/>
      <c r="J139" s="115"/>
      <c r="K139" s="25">
        <v>45958</v>
      </c>
      <c r="L139" s="13" t="s">
        <v>146</v>
      </c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27"/>
      <c r="AB139" s="29"/>
      <c r="AL139" s="25"/>
      <c r="AM139" s="13"/>
      <c r="AR139" s="116"/>
      <c r="AS139" s="123"/>
      <c r="AT139" s="123"/>
      <c r="AU139" s="123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25"/>
      <c r="BK139" s="13"/>
      <c r="BN139" s="114"/>
    </row>
    <row r="140" spans="1:66" ht="20.100000000000001" customHeight="1" x14ac:dyDescent="0.4">
      <c r="A140" s="117"/>
      <c r="B140" s="123"/>
      <c r="C140" s="123"/>
      <c r="D140" s="123"/>
      <c r="H140" s="115"/>
      <c r="I140" s="115"/>
      <c r="J140" s="115"/>
      <c r="K140" s="25">
        <v>45958</v>
      </c>
      <c r="L140" s="13" t="s">
        <v>148</v>
      </c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27"/>
      <c r="AB140" s="29"/>
      <c r="AL140" s="25"/>
      <c r="AM140" s="13"/>
      <c r="AR140" s="116"/>
      <c r="AS140" s="123"/>
      <c r="AT140" s="123"/>
      <c r="AU140" s="123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25"/>
      <c r="BK140" s="13"/>
      <c r="BN140" s="114"/>
    </row>
    <row r="141" spans="1:66" ht="20.100000000000001" customHeight="1" x14ac:dyDescent="0.4">
      <c r="A141" s="117"/>
      <c r="B141" s="123"/>
      <c r="C141" s="123"/>
      <c r="D141" s="123"/>
      <c r="H141" s="115"/>
      <c r="I141" s="115"/>
      <c r="J141" s="115" t="s">
        <v>355</v>
      </c>
      <c r="K141" s="13">
        <f>SUBTOTAL(3,K138:K140)</f>
        <v>3</v>
      </c>
      <c r="L141" s="13">
        <f>SUBTOTAL(3,L138:L140)</f>
        <v>3</v>
      </c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27"/>
      <c r="AB141" s="29"/>
      <c r="AL141" s="25"/>
      <c r="AM141" s="13"/>
      <c r="AR141" s="116"/>
      <c r="AS141" s="123"/>
      <c r="AT141" s="123"/>
      <c r="AU141" s="123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25"/>
      <c r="BK141" s="13"/>
      <c r="BN141" s="114"/>
    </row>
    <row r="142" spans="1:66" ht="20.100000000000001" customHeight="1" x14ac:dyDescent="0.4">
      <c r="A142" s="117"/>
      <c r="B142" s="123"/>
      <c r="C142" s="123"/>
      <c r="D142" s="123"/>
      <c r="K142" s="25">
        <v>45959</v>
      </c>
      <c r="L142" s="13" t="s">
        <v>147</v>
      </c>
      <c r="AA142" s="127"/>
      <c r="AB142" s="29"/>
      <c r="AL142" s="25"/>
      <c r="AM142" s="13"/>
      <c r="AR142" s="116"/>
      <c r="AS142" s="123"/>
      <c r="AT142" s="123"/>
      <c r="AU142" s="123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5"/>
      <c r="BJ142" s="25"/>
      <c r="BK142" s="13"/>
      <c r="BN142" s="114"/>
    </row>
    <row r="143" spans="1:66" ht="20.100000000000001" customHeight="1" x14ac:dyDescent="0.4">
      <c r="A143" s="117"/>
      <c r="B143" s="123"/>
      <c r="C143" s="123"/>
      <c r="D143" s="123"/>
      <c r="K143" s="25">
        <v>45959</v>
      </c>
      <c r="L143" s="13" t="s">
        <v>147</v>
      </c>
      <c r="Y143" s="115"/>
      <c r="Z143" s="115"/>
      <c r="AA143" s="127"/>
      <c r="AB143" s="29"/>
      <c r="AL143" s="25"/>
      <c r="AM143" s="13"/>
      <c r="AR143" s="116"/>
      <c r="AS143" s="123"/>
      <c r="AT143" s="123"/>
      <c r="AU143" s="123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25"/>
      <c r="BK143" s="13"/>
      <c r="BN143" s="114"/>
    </row>
    <row r="144" spans="1:66" ht="20.100000000000001" customHeight="1" x14ac:dyDescent="0.4">
      <c r="A144" s="117"/>
      <c r="B144" s="123"/>
      <c r="C144" s="123"/>
      <c r="D144" s="123"/>
      <c r="K144" s="25">
        <v>45959</v>
      </c>
      <c r="L144" s="13" t="s">
        <v>147</v>
      </c>
      <c r="T144" s="115"/>
      <c r="U144" s="115"/>
      <c r="V144" s="115"/>
      <c r="W144" s="115"/>
      <c r="X144" s="115"/>
      <c r="Y144" s="115"/>
      <c r="Z144" s="115"/>
      <c r="AA144" s="127"/>
      <c r="AB144" s="29"/>
      <c r="AL144" s="25"/>
      <c r="AM144" s="13"/>
      <c r="AR144" s="116"/>
      <c r="AS144" s="123"/>
      <c r="AT144" s="123"/>
      <c r="AU144" s="123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25"/>
      <c r="BK144" s="13"/>
      <c r="BN144" s="114"/>
    </row>
    <row r="145" spans="1:66" ht="20.100000000000001" customHeight="1" x14ac:dyDescent="0.4">
      <c r="A145" s="117"/>
      <c r="B145" s="123"/>
      <c r="C145" s="123"/>
      <c r="D145" s="123"/>
      <c r="J145" s="115" t="s">
        <v>210</v>
      </c>
      <c r="K145" s="13">
        <f>SUBTOTAL(3,K142:K144)</f>
        <v>3</v>
      </c>
      <c r="L145" s="13">
        <f>SUBTOTAL(3,L142:L144)</f>
        <v>3</v>
      </c>
      <c r="T145" s="115"/>
      <c r="U145" s="115"/>
      <c r="V145" s="115"/>
      <c r="W145" s="115"/>
      <c r="X145" s="115"/>
      <c r="Y145" s="115"/>
      <c r="Z145" s="115"/>
      <c r="AA145" s="127"/>
      <c r="AB145" s="29"/>
      <c r="AL145" s="25"/>
      <c r="AM145" s="13"/>
      <c r="AR145" s="116"/>
      <c r="AS145" s="123"/>
      <c r="AT145" s="123"/>
      <c r="AU145" s="123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25"/>
      <c r="BK145" s="13"/>
      <c r="BN145" s="114"/>
    </row>
    <row r="146" spans="1:66" ht="20.100000000000001" customHeight="1" x14ac:dyDescent="0.4">
      <c r="A146" s="117"/>
      <c r="B146" s="123"/>
      <c r="C146" s="123"/>
      <c r="D146" s="123"/>
      <c r="K146" s="25">
        <v>45997</v>
      </c>
      <c r="L146" s="13" t="s">
        <v>146</v>
      </c>
      <c r="R146" s="115"/>
      <c r="S146" s="115"/>
      <c r="T146" s="115"/>
      <c r="U146" s="115"/>
      <c r="V146" s="115"/>
      <c r="W146" s="115"/>
      <c r="X146" s="115"/>
      <c r="Y146" s="115"/>
      <c r="Z146" s="115"/>
      <c r="AA146" s="127"/>
      <c r="AB146" s="29"/>
      <c r="AL146" s="25"/>
      <c r="AM146" s="13"/>
      <c r="AR146" s="116"/>
      <c r="AS146" s="123"/>
      <c r="AT146" s="123"/>
      <c r="AU146" s="123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25"/>
      <c r="BK146" s="13"/>
      <c r="BN146" s="114"/>
    </row>
    <row r="147" spans="1:66" ht="20.100000000000001" customHeight="1" x14ac:dyDescent="0.4">
      <c r="A147" s="117"/>
      <c r="B147" s="123"/>
      <c r="C147" s="123"/>
      <c r="D147" s="123"/>
      <c r="K147" s="25">
        <v>45997</v>
      </c>
      <c r="L147" s="13" t="s">
        <v>148</v>
      </c>
      <c r="R147" s="115"/>
      <c r="S147" s="115"/>
      <c r="T147" s="115"/>
      <c r="U147" s="115"/>
      <c r="V147" s="115"/>
      <c r="W147" s="115"/>
      <c r="X147" s="115"/>
      <c r="Y147" s="115"/>
      <c r="Z147" s="115"/>
      <c r="AA147" s="127"/>
      <c r="AB147" s="29"/>
      <c r="AL147" s="25"/>
      <c r="AM147" s="13"/>
      <c r="AR147" s="116"/>
      <c r="AS147" s="123"/>
      <c r="AT147" s="123"/>
      <c r="AU147" s="123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25"/>
      <c r="BK147" s="13"/>
      <c r="BN147" s="114"/>
    </row>
    <row r="148" spans="1:66" ht="20.100000000000001" customHeight="1" x14ac:dyDescent="0.4">
      <c r="A148" s="117"/>
      <c r="B148" s="123"/>
      <c r="C148" s="123"/>
      <c r="D148" s="123"/>
      <c r="J148" s="115" t="s">
        <v>356</v>
      </c>
      <c r="K148" s="13">
        <f>SUBTOTAL(3,K146:K147)</f>
        <v>2</v>
      </c>
      <c r="L148" s="13">
        <f>SUBTOTAL(3,L146:L147)</f>
        <v>2</v>
      </c>
      <c r="R148" s="115"/>
      <c r="S148" s="115"/>
      <c r="T148" s="115"/>
      <c r="U148" s="115"/>
      <c r="V148" s="115"/>
      <c r="W148" s="115"/>
      <c r="X148" s="115"/>
      <c r="Y148" s="115"/>
      <c r="Z148" s="115"/>
      <c r="AA148" s="127"/>
      <c r="AB148" s="29"/>
      <c r="AL148" s="25"/>
      <c r="AM148" s="13"/>
      <c r="AR148" s="116"/>
      <c r="AS148" s="123"/>
      <c r="AT148" s="123"/>
      <c r="AU148" s="123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25"/>
      <c r="BK148" s="13"/>
      <c r="BN148" s="114"/>
    </row>
    <row r="149" spans="1:66" ht="20.100000000000001" customHeight="1" x14ac:dyDescent="0.4">
      <c r="A149" s="117"/>
      <c r="B149" s="123"/>
      <c r="C149" s="123"/>
      <c r="D149" s="123"/>
      <c r="J149" s="115" t="s">
        <v>145</v>
      </c>
      <c r="K149" s="13">
        <f>SUBTOTAL(3,K2:K147)</f>
        <v>131</v>
      </c>
      <c r="L149" s="13">
        <f>SUBTOTAL(3,L2:L147)</f>
        <v>131</v>
      </c>
      <c r="R149" s="115"/>
      <c r="S149" s="115"/>
      <c r="T149" s="115"/>
      <c r="U149" s="115"/>
      <c r="V149" s="115"/>
      <c r="W149" s="115"/>
      <c r="X149" s="115"/>
      <c r="Y149" s="115"/>
      <c r="Z149" s="115"/>
      <c r="AA149" s="127"/>
      <c r="AB149" s="29"/>
      <c r="AL149" s="25"/>
      <c r="AM149" s="13"/>
      <c r="AR149" s="116"/>
      <c r="AS149" s="123"/>
      <c r="AT149" s="123"/>
      <c r="AU149" s="123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25"/>
      <c r="BK149" s="13"/>
      <c r="BN149" s="114"/>
    </row>
    <row r="150" spans="1:66" ht="20.100000000000001" customHeight="1" x14ac:dyDescent="0.4">
      <c r="A150" s="117"/>
      <c r="B150" s="123"/>
      <c r="C150" s="123"/>
      <c r="D150" s="123"/>
      <c r="K150" s="25"/>
      <c r="L150" s="13"/>
      <c r="R150" s="115"/>
      <c r="S150" s="115"/>
      <c r="T150" s="115"/>
      <c r="U150" s="115"/>
      <c r="V150" s="115"/>
      <c r="W150" s="115"/>
      <c r="X150" s="115"/>
      <c r="Y150" s="115"/>
      <c r="Z150" s="115"/>
      <c r="AA150" s="127"/>
      <c r="AB150" s="29"/>
      <c r="AL150" s="25"/>
      <c r="AM150" s="13"/>
      <c r="AR150" s="116"/>
      <c r="AS150" s="123"/>
      <c r="AT150" s="123"/>
      <c r="AU150" s="123"/>
      <c r="AZ150" s="115"/>
      <c r="BA150" s="115"/>
      <c r="BB150" s="115"/>
      <c r="BC150" s="115"/>
      <c r="BD150" s="115"/>
      <c r="BE150" s="115"/>
      <c r="BF150" s="115"/>
      <c r="BG150" s="115"/>
      <c r="BH150" s="115"/>
      <c r="BI150" s="115"/>
      <c r="BJ150" s="25"/>
      <c r="BK150" s="13"/>
      <c r="BN150" s="114"/>
    </row>
    <row r="151" spans="1:66" ht="20.100000000000001" customHeight="1" x14ac:dyDescent="0.4">
      <c r="A151" s="117"/>
      <c r="B151" s="123"/>
      <c r="C151" s="123"/>
      <c r="D151" s="123"/>
      <c r="I151" s="115"/>
      <c r="J151" s="115"/>
      <c r="K151" s="13"/>
      <c r="L151" s="13"/>
      <c r="R151" s="115"/>
      <c r="S151" s="115"/>
      <c r="T151" s="115"/>
      <c r="U151" s="115"/>
      <c r="V151" s="115"/>
      <c r="W151" s="115"/>
      <c r="X151" s="115"/>
      <c r="Y151" s="115"/>
      <c r="Z151" s="115"/>
      <c r="AA151" s="127"/>
      <c r="AB151" s="29"/>
      <c r="AL151" s="25"/>
      <c r="AM151" s="13"/>
      <c r="AR151" s="116"/>
      <c r="AS151" s="123"/>
      <c r="AT151" s="123"/>
      <c r="AU151" s="123"/>
      <c r="AZ151" s="115"/>
      <c r="BA151" s="115"/>
      <c r="BB151" s="115"/>
      <c r="BC151" s="115"/>
      <c r="BD151" s="115"/>
      <c r="BE151" s="115"/>
      <c r="BF151" s="115"/>
      <c r="BG151" s="115"/>
      <c r="BH151" s="115"/>
      <c r="BI151" s="115"/>
      <c r="BJ151" s="25"/>
      <c r="BK151" s="13"/>
      <c r="BN151" s="114"/>
    </row>
    <row r="152" spans="1:66" ht="20.100000000000001" customHeight="1" x14ac:dyDescent="0.4">
      <c r="A152" s="117"/>
      <c r="B152" s="123"/>
      <c r="C152" s="123"/>
      <c r="D152" s="123"/>
      <c r="K152" s="25"/>
      <c r="L152" s="13"/>
      <c r="R152" s="115"/>
      <c r="S152" s="115"/>
      <c r="T152" s="115"/>
      <c r="U152" s="115"/>
      <c r="V152" s="115"/>
      <c r="W152" s="115"/>
      <c r="X152" s="115"/>
      <c r="Y152" s="115"/>
      <c r="Z152" s="115"/>
      <c r="AA152" s="127"/>
      <c r="AB152" s="29"/>
      <c r="AL152" s="25"/>
      <c r="AM152" s="13"/>
      <c r="AR152" s="116"/>
      <c r="AS152" s="123"/>
      <c r="AT152" s="123"/>
      <c r="AU152" s="123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25"/>
      <c r="BK152" s="13"/>
      <c r="BN152" s="114"/>
    </row>
    <row r="153" spans="1:66" ht="20.100000000000001" customHeight="1" x14ac:dyDescent="0.4">
      <c r="A153" s="117"/>
      <c r="B153" s="123"/>
      <c r="C153" s="123"/>
      <c r="D153" s="123"/>
      <c r="K153" s="25"/>
      <c r="L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27"/>
      <c r="AB153" s="29"/>
      <c r="AL153" s="25"/>
      <c r="AM153" s="13"/>
      <c r="AR153" s="116"/>
      <c r="AS153" s="123"/>
      <c r="AT153" s="123"/>
      <c r="AU153" s="123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25"/>
      <c r="BK153" s="13"/>
      <c r="BN153" s="114"/>
    </row>
    <row r="154" spans="1:66" ht="20.100000000000001" customHeight="1" x14ac:dyDescent="0.4">
      <c r="A154" s="117"/>
      <c r="B154" s="123"/>
      <c r="C154" s="123"/>
      <c r="D154" s="123"/>
      <c r="K154" s="25"/>
      <c r="L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29"/>
      <c r="AB154" s="29"/>
      <c r="AL154" s="25"/>
      <c r="AM154" s="13"/>
      <c r="AR154" s="116"/>
      <c r="AS154" s="123"/>
      <c r="AT154" s="123"/>
      <c r="AU154" s="123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25"/>
      <c r="BK154" s="13"/>
      <c r="BN154" s="114"/>
    </row>
    <row r="155" spans="1:66" ht="20.100000000000001" customHeight="1" x14ac:dyDescent="0.4">
      <c r="A155" s="117"/>
      <c r="B155" s="123"/>
      <c r="C155" s="123"/>
      <c r="D155" s="123"/>
      <c r="K155" s="25"/>
      <c r="L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27"/>
      <c r="AB155" s="29"/>
      <c r="AL155" s="25"/>
      <c r="AM155" s="13"/>
      <c r="AR155" s="116"/>
      <c r="AS155" s="123"/>
      <c r="AT155" s="123"/>
      <c r="AU155" s="123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25"/>
      <c r="BK155" s="13"/>
      <c r="BN155" s="114"/>
    </row>
    <row r="156" spans="1:66" ht="20.100000000000001" customHeight="1" x14ac:dyDescent="0.4">
      <c r="A156" s="117"/>
      <c r="B156" s="123"/>
      <c r="C156" s="123"/>
      <c r="D156" s="123"/>
      <c r="K156" s="25"/>
      <c r="L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29"/>
      <c r="AB156" s="29"/>
      <c r="AL156" s="25"/>
      <c r="AM156" s="13"/>
      <c r="AR156" s="116"/>
      <c r="AS156" s="123"/>
      <c r="AT156" s="123"/>
      <c r="AU156" s="123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25"/>
      <c r="BK156" s="13"/>
      <c r="BN156" s="114"/>
    </row>
    <row r="157" spans="1:66" ht="20.100000000000001" customHeight="1" x14ac:dyDescent="0.4">
      <c r="A157" s="117"/>
      <c r="B157" s="123"/>
      <c r="C157" s="123"/>
      <c r="D157" s="123"/>
      <c r="I157" s="115"/>
      <c r="J157" s="115"/>
      <c r="K157" s="13"/>
      <c r="L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29"/>
      <c r="AB157" s="29"/>
      <c r="AL157" s="25"/>
      <c r="AM157" s="13"/>
      <c r="AR157" s="116"/>
      <c r="AS157" s="123"/>
      <c r="AT157" s="123"/>
      <c r="AU157" s="123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25"/>
      <c r="BK157" s="13"/>
      <c r="BN157" s="114"/>
    </row>
    <row r="158" spans="1:66" ht="20.100000000000001" customHeight="1" x14ac:dyDescent="0.4">
      <c r="A158" s="117"/>
      <c r="B158" s="123"/>
      <c r="C158" s="123"/>
      <c r="D158" s="123"/>
      <c r="K158" s="25"/>
      <c r="L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27"/>
      <c r="AB158" s="29"/>
      <c r="AL158" s="25"/>
      <c r="AM158" s="13"/>
      <c r="AR158" s="116"/>
      <c r="AS158" s="123"/>
      <c r="AT158" s="123"/>
      <c r="AU158" s="123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25"/>
      <c r="BK158" s="13"/>
      <c r="BN158" s="114"/>
    </row>
    <row r="159" spans="1:66" ht="20.100000000000001" customHeight="1" x14ac:dyDescent="0.4">
      <c r="A159" s="117"/>
      <c r="B159" s="123"/>
      <c r="C159" s="123"/>
      <c r="D159" s="123"/>
      <c r="I159" s="115"/>
      <c r="J159" s="115"/>
      <c r="K159" s="13"/>
      <c r="L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27"/>
      <c r="AB159" s="29"/>
      <c r="AL159" s="25"/>
      <c r="AM159" s="13"/>
      <c r="AR159" s="116"/>
      <c r="AS159" s="123"/>
      <c r="AT159" s="123"/>
      <c r="AU159" s="123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25"/>
      <c r="BK159" s="13"/>
      <c r="BN159" s="114"/>
    </row>
    <row r="160" spans="1:66" ht="20.100000000000001" customHeight="1" x14ac:dyDescent="0.4">
      <c r="A160" s="117"/>
      <c r="B160" s="123"/>
      <c r="C160" s="123"/>
      <c r="D160" s="123"/>
      <c r="K160" s="25"/>
      <c r="L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29"/>
      <c r="AB160" s="29"/>
      <c r="AL160" s="25"/>
      <c r="AM160" s="13"/>
      <c r="AR160" s="116"/>
      <c r="AS160" s="123"/>
      <c r="AT160" s="123"/>
      <c r="AU160" s="123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25"/>
      <c r="BK160" s="13"/>
      <c r="BN160" s="114"/>
    </row>
    <row r="161" spans="1:66" ht="20.100000000000001" customHeight="1" x14ac:dyDescent="0.4">
      <c r="A161" s="117"/>
      <c r="B161" s="123"/>
      <c r="C161" s="123"/>
      <c r="D161" s="123"/>
      <c r="K161" s="25"/>
      <c r="L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27"/>
      <c r="AB161" s="29"/>
      <c r="AL161" s="25"/>
      <c r="AM161" s="13"/>
      <c r="AR161" s="116"/>
      <c r="AS161" s="123"/>
      <c r="AT161" s="123"/>
      <c r="AU161" s="123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25"/>
      <c r="BK161" s="13"/>
      <c r="BN161" s="114"/>
    </row>
    <row r="162" spans="1:66" ht="20.100000000000001" customHeight="1" x14ac:dyDescent="0.4">
      <c r="A162" s="117"/>
      <c r="B162" s="123"/>
      <c r="C162" s="123"/>
      <c r="D162" s="123"/>
      <c r="K162" s="25"/>
      <c r="L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29"/>
      <c r="AB162" s="29"/>
      <c r="AL162" s="25"/>
      <c r="AM162" s="13"/>
      <c r="AR162" s="116"/>
      <c r="AS162" s="123"/>
      <c r="AT162" s="123"/>
      <c r="AU162" s="123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25"/>
      <c r="BK162" s="13"/>
      <c r="BN162" s="114"/>
    </row>
    <row r="163" spans="1:66" ht="20.100000000000001" customHeight="1" x14ac:dyDescent="0.4">
      <c r="A163" s="117"/>
      <c r="B163" s="123"/>
      <c r="C163" s="123"/>
      <c r="D163" s="123"/>
      <c r="I163" s="115"/>
      <c r="J163" s="115"/>
      <c r="K163" s="13"/>
      <c r="L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29"/>
      <c r="AB163" s="29"/>
      <c r="AL163" s="25"/>
      <c r="AM163" s="13"/>
      <c r="AR163" s="116"/>
      <c r="AS163" s="123"/>
      <c r="AT163" s="123"/>
      <c r="AU163" s="123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25"/>
      <c r="BK163" s="13"/>
      <c r="BN163" s="114"/>
    </row>
    <row r="164" spans="1:66" ht="20.100000000000001" customHeight="1" x14ac:dyDescent="0.4">
      <c r="A164" s="117"/>
      <c r="B164" s="123"/>
      <c r="C164" s="123"/>
      <c r="D164" s="123"/>
      <c r="H164" s="115"/>
      <c r="I164" s="115"/>
      <c r="J164" s="115"/>
      <c r="K164" s="25"/>
      <c r="L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29"/>
      <c r="AB164" s="29"/>
      <c r="AL164" s="25"/>
      <c r="AM164" s="13"/>
      <c r="AR164" s="116"/>
      <c r="AS164" s="123"/>
      <c r="AT164" s="123"/>
      <c r="AU164" s="123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25"/>
      <c r="BK164" s="13"/>
      <c r="BN164" s="114"/>
    </row>
    <row r="165" spans="1:66" ht="20.100000000000001" customHeight="1" x14ac:dyDescent="0.4">
      <c r="A165" s="117"/>
      <c r="B165" s="123"/>
      <c r="C165" s="123"/>
      <c r="D165" s="123"/>
      <c r="K165" s="25"/>
      <c r="L165" s="13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27"/>
      <c r="AB165" s="29"/>
      <c r="AL165" s="25"/>
      <c r="AM165" s="13"/>
      <c r="AR165" s="116"/>
      <c r="AS165" s="123"/>
      <c r="AT165" s="123"/>
      <c r="AU165" s="123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25"/>
      <c r="BK165" s="13"/>
      <c r="BN165" s="114"/>
    </row>
    <row r="166" spans="1:66" ht="20.100000000000001" customHeight="1" x14ac:dyDescent="0.4">
      <c r="A166" s="117"/>
      <c r="B166" s="123"/>
      <c r="C166" s="123"/>
      <c r="D166" s="123"/>
      <c r="H166" s="115"/>
      <c r="I166" s="115"/>
      <c r="J166" s="115"/>
      <c r="K166" s="25"/>
      <c r="L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27"/>
      <c r="AB166" s="29"/>
      <c r="AL166" s="25"/>
      <c r="AM166" s="13"/>
      <c r="AR166" s="116"/>
      <c r="AS166" s="123"/>
      <c r="AT166" s="123"/>
      <c r="AU166" s="123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25"/>
      <c r="BK166" s="13"/>
      <c r="BN166" s="114"/>
    </row>
    <row r="167" spans="1:66" ht="20.100000000000001" customHeight="1" x14ac:dyDescent="0.4">
      <c r="A167" s="117"/>
      <c r="B167" s="123"/>
      <c r="C167" s="123"/>
      <c r="D167" s="123"/>
      <c r="K167" s="25"/>
      <c r="L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27"/>
      <c r="AB167" s="29"/>
      <c r="AL167" s="25"/>
      <c r="AM167" s="13"/>
      <c r="AR167" s="116"/>
      <c r="AS167" s="123"/>
      <c r="AT167" s="123"/>
      <c r="AU167" s="123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25"/>
      <c r="BK167" s="13"/>
      <c r="BN167" s="114"/>
    </row>
    <row r="168" spans="1:66" ht="20.100000000000001" customHeight="1" x14ac:dyDescent="0.4">
      <c r="A168" s="117"/>
      <c r="B168" s="123"/>
      <c r="C168" s="123"/>
      <c r="D168" s="123"/>
      <c r="K168" s="25"/>
      <c r="L168" s="13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29"/>
      <c r="AB168" s="29"/>
      <c r="AL168" s="25"/>
      <c r="AM168" s="13"/>
      <c r="AR168" s="116"/>
      <c r="AS168" s="123"/>
      <c r="AT168" s="123"/>
      <c r="AU168" s="123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25"/>
      <c r="BK168" s="13"/>
      <c r="BN168" s="114"/>
    </row>
    <row r="169" spans="1:66" ht="20.100000000000001" customHeight="1" x14ac:dyDescent="0.4">
      <c r="A169" s="117"/>
      <c r="B169" s="123"/>
      <c r="C169" s="123"/>
      <c r="D169" s="123"/>
      <c r="I169" s="115"/>
      <c r="J169" s="115"/>
      <c r="K169" s="13"/>
      <c r="L169" s="13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29"/>
      <c r="AB169" s="29"/>
      <c r="AL169" s="25"/>
      <c r="AM169" s="13"/>
      <c r="AR169" s="116"/>
      <c r="AS169" s="123"/>
      <c r="AT169" s="123"/>
      <c r="AU169" s="123"/>
      <c r="AZ169" s="115"/>
      <c r="BA169" s="115"/>
      <c r="BB169" s="115"/>
      <c r="BC169" s="115"/>
      <c r="BD169" s="115"/>
      <c r="BE169" s="115"/>
      <c r="BF169" s="115"/>
      <c r="BG169" s="115"/>
      <c r="BH169" s="115"/>
      <c r="BI169" s="115"/>
      <c r="BJ169" s="25"/>
      <c r="BK169" s="13"/>
      <c r="BN169" s="114"/>
    </row>
    <row r="170" spans="1:66" ht="20.100000000000001" customHeight="1" x14ac:dyDescent="0.4">
      <c r="A170" s="117"/>
      <c r="B170" s="123"/>
      <c r="C170" s="123"/>
      <c r="D170" s="123"/>
      <c r="I170" s="115"/>
      <c r="J170" s="115"/>
      <c r="K170" s="13"/>
      <c r="L170" s="13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29"/>
      <c r="AB170" s="29"/>
      <c r="AL170" s="25"/>
      <c r="AM170" s="13"/>
      <c r="AR170" s="116"/>
      <c r="AS170" s="123"/>
      <c r="AT170" s="123"/>
      <c r="AU170" s="123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115"/>
      <c r="BJ170" s="25"/>
      <c r="BK170" s="13"/>
      <c r="BN170" s="114"/>
    </row>
    <row r="171" spans="1:66" ht="20.100000000000001" customHeight="1" x14ac:dyDescent="0.4">
      <c r="A171" s="117"/>
      <c r="B171" s="123"/>
      <c r="C171" s="123"/>
      <c r="D171" s="123"/>
      <c r="K171" s="25"/>
      <c r="L171" s="13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27"/>
      <c r="AB171" s="29"/>
      <c r="AL171" s="25"/>
      <c r="AM171" s="13"/>
      <c r="AR171" s="116"/>
      <c r="AS171" s="123"/>
      <c r="AT171" s="123"/>
      <c r="AU171" s="123"/>
      <c r="AZ171" s="115"/>
      <c r="BA171" s="115"/>
      <c r="BB171" s="115"/>
      <c r="BC171" s="115"/>
      <c r="BD171" s="115"/>
      <c r="BE171" s="115"/>
      <c r="BF171" s="115"/>
      <c r="BG171" s="115"/>
      <c r="BH171" s="115"/>
      <c r="BI171" s="115"/>
      <c r="BJ171" s="25"/>
      <c r="BK171" s="13"/>
      <c r="BN171" s="114"/>
    </row>
    <row r="172" spans="1:66" ht="20.100000000000001" customHeight="1" x14ac:dyDescent="0.4">
      <c r="A172" s="117"/>
      <c r="B172" s="123"/>
      <c r="C172" s="123"/>
      <c r="D172" s="123"/>
      <c r="K172" s="25"/>
      <c r="L172" s="13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27"/>
      <c r="AB172" s="29"/>
      <c r="AL172" s="25"/>
      <c r="AM172" s="13"/>
      <c r="AR172" s="116"/>
      <c r="AS172" s="123"/>
      <c r="AT172" s="123"/>
      <c r="AU172" s="123"/>
      <c r="AZ172" s="115"/>
      <c r="BA172" s="115"/>
      <c r="BB172" s="115"/>
      <c r="BC172" s="115"/>
      <c r="BD172" s="115"/>
      <c r="BE172" s="115"/>
      <c r="BF172" s="115"/>
      <c r="BG172" s="115"/>
      <c r="BH172" s="115"/>
      <c r="BI172" s="115"/>
      <c r="BJ172" s="25"/>
      <c r="BK172" s="13"/>
      <c r="BN172" s="114"/>
    </row>
    <row r="173" spans="1:66" ht="20.100000000000001" customHeight="1" x14ac:dyDescent="0.4">
      <c r="A173" s="117"/>
      <c r="B173" s="123"/>
      <c r="C173" s="123"/>
      <c r="D173" s="123"/>
      <c r="K173" s="25"/>
      <c r="L173" s="13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29"/>
      <c r="AB173" s="29"/>
      <c r="AL173" s="25"/>
      <c r="AM173" s="13"/>
      <c r="AR173" s="116"/>
      <c r="AS173" s="123"/>
      <c r="AT173" s="123"/>
      <c r="AU173" s="123"/>
      <c r="AZ173" s="115"/>
      <c r="BA173" s="115"/>
      <c r="BB173" s="115"/>
      <c r="BC173" s="115"/>
      <c r="BD173" s="115"/>
      <c r="BE173" s="115"/>
      <c r="BF173" s="115"/>
      <c r="BG173" s="115"/>
      <c r="BH173" s="115"/>
      <c r="BI173" s="115"/>
      <c r="BJ173" s="25"/>
      <c r="BK173" s="13"/>
      <c r="BN173" s="114"/>
    </row>
    <row r="174" spans="1:66" ht="20.100000000000001" customHeight="1" x14ac:dyDescent="0.4">
      <c r="A174" s="117"/>
      <c r="B174" s="123"/>
      <c r="C174" s="123"/>
      <c r="D174" s="123"/>
      <c r="K174" s="25"/>
      <c r="L174" s="13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27"/>
      <c r="AB174" s="29"/>
      <c r="AL174" s="25"/>
      <c r="AM174" s="13"/>
      <c r="AR174" s="116"/>
      <c r="AS174" s="123"/>
      <c r="AT174" s="123"/>
      <c r="AU174" s="123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115"/>
      <c r="BJ174" s="25"/>
      <c r="BK174" s="13"/>
      <c r="BN174" s="114"/>
    </row>
    <row r="175" spans="1:66" ht="20.100000000000001" customHeight="1" x14ac:dyDescent="0.4">
      <c r="A175" s="117"/>
      <c r="B175" s="123"/>
      <c r="C175" s="123"/>
      <c r="D175" s="123"/>
      <c r="K175" s="25"/>
      <c r="L175" s="13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27"/>
      <c r="AB175" s="29"/>
      <c r="AL175" s="25"/>
      <c r="AM175" s="13"/>
      <c r="AR175" s="116"/>
      <c r="AS175" s="123"/>
      <c r="AT175" s="123"/>
      <c r="AU175" s="123"/>
      <c r="AZ175" s="115"/>
      <c r="BA175" s="115"/>
      <c r="BB175" s="115"/>
      <c r="BC175" s="115"/>
      <c r="BD175" s="115"/>
      <c r="BE175" s="115"/>
      <c r="BF175" s="115"/>
      <c r="BG175" s="115"/>
      <c r="BH175" s="115"/>
      <c r="BI175" s="115"/>
      <c r="BJ175" s="25"/>
      <c r="BK175" s="13"/>
      <c r="BN175" s="114"/>
    </row>
    <row r="176" spans="1:66" ht="20.100000000000001" customHeight="1" x14ac:dyDescent="0.4">
      <c r="A176" s="117"/>
      <c r="B176" s="123"/>
      <c r="C176" s="123"/>
      <c r="D176" s="123"/>
      <c r="K176" s="25"/>
      <c r="L176" s="13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27"/>
      <c r="AB176" s="29"/>
      <c r="AL176" s="25"/>
      <c r="AM176" s="13"/>
      <c r="AR176" s="116"/>
      <c r="AS176" s="123"/>
      <c r="AT176" s="123"/>
      <c r="AU176" s="123"/>
      <c r="AZ176" s="115"/>
      <c r="BA176" s="115"/>
      <c r="BB176" s="115"/>
      <c r="BC176" s="115"/>
      <c r="BD176" s="115"/>
      <c r="BE176" s="115"/>
      <c r="BF176" s="115"/>
      <c r="BG176" s="115"/>
      <c r="BH176" s="115"/>
      <c r="BI176" s="115"/>
      <c r="BJ176" s="25"/>
      <c r="BK176" s="13"/>
      <c r="BN176" s="114"/>
    </row>
    <row r="177" spans="1:66" ht="20.100000000000001" customHeight="1" x14ac:dyDescent="0.4">
      <c r="A177" s="117"/>
      <c r="B177" s="123"/>
      <c r="C177" s="123"/>
      <c r="D177" s="123"/>
      <c r="K177" s="25"/>
      <c r="L177" s="133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29"/>
      <c r="AB177" s="29"/>
      <c r="AL177" s="25"/>
      <c r="AM177" s="13"/>
      <c r="AR177" s="116"/>
      <c r="AS177" s="123"/>
      <c r="AT177" s="123"/>
      <c r="AU177" s="123"/>
      <c r="AZ177" s="115"/>
      <c r="BA177" s="115"/>
      <c r="BB177" s="115"/>
      <c r="BC177" s="115"/>
      <c r="BD177" s="115"/>
      <c r="BE177" s="115"/>
      <c r="BF177" s="115"/>
      <c r="BG177" s="115"/>
      <c r="BH177" s="115"/>
      <c r="BI177" s="115"/>
      <c r="BJ177" s="25"/>
      <c r="BK177" s="13"/>
      <c r="BN177" s="114"/>
    </row>
    <row r="178" spans="1:66" ht="20.100000000000001" customHeight="1" x14ac:dyDescent="0.4">
      <c r="A178" s="117"/>
      <c r="B178" s="123"/>
      <c r="C178" s="123"/>
      <c r="D178" s="123"/>
      <c r="G178" s="115"/>
      <c r="H178" s="115"/>
      <c r="I178" s="115"/>
      <c r="J178" s="115"/>
      <c r="K178" s="26"/>
      <c r="L178" s="13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29"/>
      <c r="AB178" s="29"/>
      <c r="AL178" s="25"/>
      <c r="AM178" s="13"/>
      <c r="AR178" s="116"/>
      <c r="AS178" s="123"/>
      <c r="AT178" s="123"/>
      <c r="AU178" s="123"/>
      <c r="AZ178" s="115"/>
      <c r="BA178" s="115"/>
      <c r="BB178" s="115"/>
      <c r="BC178" s="115"/>
      <c r="BD178" s="115"/>
      <c r="BE178" s="115"/>
      <c r="BF178" s="115"/>
      <c r="BG178" s="115"/>
      <c r="BH178" s="115"/>
      <c r="BI178" s="115"/>
      <c r="BJ178" s="25"/>
      <c r="BK178" s="13"/>
      <c r="BN178" s="114"/>
    </row>
    <row r="179" spans="1:66" ht="20.100000000000001" customHeight="1" x14ac:dyDescent="0.4">
      <c r="A179" s="117"/>
      <c r="B179" s="123"/>
      <c r="C179" s="123"/>
      <c r="D179" s="123"/>
      <c r="K179" s="26"/>
      <c r="L179" s="13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27"/>
      <c r="AB179" s="29"/>
      <c r="AL179" s="25"/>
      <c r="AM179" s="13"/>
      <c r="AR179" s="116"/>
      <c r="AS179" s="123"/>
      <c r="AT179" s="123"/>
      <c r="AU179" s="123"/>
      <c r="AZ179" s="115"/>
      <c r="BA179" s="115"/>
      <c r="BB179" s="115"/>
      <c r="BC179" s="115"/>
      <c r="BD179" s="115"/>
      <c r="BE179" s="115"/>
      <c r="BF179" s="115"/>
      <c r="BG179" s="115"/>
      <c r="BH179" s="115"/>
      <c r="BI179" s="115"/>
      <c r="BJ179" s="25"/>
      <c r="BK179" s="13"/>
      <c r="BN179" s="114"/>
    </row>
    <row r="180" spans="1:66" ht="20.100000000000001" customHeight="1" x14ac:dyDescent="0.4">
      <c r="A180" s="117"/>
      <c r="B180" s="123"/>
      <c r="C180" s="123"/>
      <c r="D180" s="123"/>
      <c r="K180" s="26"/>
      <c r="L180" s="13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29"/>
      <c r="AB180" s="29"/>
      <c r="AL180" s="25"/>
      <c r="AM180" s="13"/>
      <c r="AR180" s="116"/>
      <c r="AS180" s="123"/>
      <c r="AT180" s="123"/>
      <c r="AU180" s="123"/>
      <c r="AZ180" s="115"/>
      <c r="BA180" s="115"/>
      <c r="BB180" s="115"/>
      <c r="BC180" s="115"/>
      <c r="BD180" s="115"/>
      <c r="BE180" s="115"/>
      <c r="BF180" s="115"/>
      <c r="BG180" s="115"/>
      <c r="BH180" s="115"/>
      <c r="BI180" s="115"/>
      <c r="BJ180" s="25"/>
      <c r="BK180" s="13"/>
      <c r="BN180" s="114"/>
    </row>
    <row r="181" spans="1:66" ht="20.100000000000001" customHeight="1" x14ac:dyDescent="0.4">
      <c r="A181" s="117"/>
      <c r="B181" s="123"/>
      <c r="C181" s="123"/>
      <c r="D181" s="123"/>
      <c r="G181" s="115"/>
      <c r="H181" s="115"/>
      <c r="I181" s="115"/>
      <c r="J181" s="115"/>
      <c r="K181" s="26"/>
      <c r="L181" s="13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29"/>
      <c r="AB181" s="29"/>
      <c r="AL181" s="25"/>
      <c r="AM181" s="13"/>
      <c r="AR181" s="116"/>
      <c r="AS181" s="123"/>
      <c r="AT181" s="123"/>
      <c r="AU181" s="123"/>
      <c r="AZ181" s="115"/>
      <c r="BA181" s="115"/>
      <c r="BB181" s="115"/>
      <c r="BC181" s="115"/>
      <c r="BD181" s="115"/>
      <c r="BE181" s="115"/>
      <c r="BF181" s="115"/>
      <c r="BG181" s="115"/>
      <c r="BH181" s="115"/>
      <c r="BI181" s="115"/>
      <c r="BJ181" s="25"/>
      <c r="BK181" s="13"/>
      <c r="BN181" s="114"/>
    </row>
    <row r="182" spans="1:66" ht="20.100000000000001" customHeight="1" x14ac:dyDescent="0.4">
      <c r="A182" s="117"/>
      <c r="B182" s="123"/>
      <c r="C182" s="123"/>
      <c r="D182" s="123"/>
      <c r="K182" s="26"/>
      <c r="L182" s="13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27"/>
      <c r="AB182" s="29"/>
      <c r="AL182" s="25"/>
      <c r="AM182" s="13"/>
      <c r="AR182" s="116"/>
      <c r="AS182" s="123"/>
      <c r="AT182" s="123"/>
      <c r="AU182" s="123"/>
      <c r="AZ182" s="115"/>
      <c r="BA182" s="115"/>
      <c r="BB182" s="115"/>
      <c r="BC182" s="115"/>
      <c r="BD182" s="115"/>
      <c r="BE182" s="115"/>
      <c r="BF182" s="115"/>
      <c r="BG182" s="115"/>
      <c r="BH182" s="115"/>
      <c r="BI182" s="115"/>
      <c r="BJ182" s="25"/>
      <c r="BK182" s="13"/>
      <c r="BN182" s="114"/>
    </row>
    <row r="183" spans="1:66" ht="20.100000000000001" customHeight="1" x14ac:dyDescent="0.4">
      <c r="A183" s="117"/>
      <c r="B183" s="123"/>
      <c r="C183" s="123"/>
      <c r="D183" s="123"/>
      <c r="H183" s="115"/>
      <c r="I183" s="115"/>
      <c r="J183" s="115"/>
      <c r="K183" s="17"/>
      <c r="L183" s="13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27"/>
      <c r="AB183" s="29"/>
      <c r="AL183" s="25"/>
      <c r="AM183" s="13"/>
      <c r="AR183" s="116"/>
      <c r="AS183" s="123"/>
      <c r="AT183" s="123"/>
      <c r="AU183" s="123"/>
      <c r="AZ183" s="115"/>
      <c r="BA183" s="115"/>
      <c r="BB183" s="115"/>
      <c r="BC183" s="115"/>
      <c r="BD183" s="115"/>
      <c r="BE183" s="115"/>
      <c r="BF183" s="115"/>
      <c r="BG183" s="115"/>
      <c r="BH183" s="115"/>
      <c r="BI183" s="115"/>
      <c r="BJ183" s="25"/>
      <c r="BK183" s="13"/>
      <c r="BN183" s="114"/>
    </row>
    <row r="184" spans="1:66" ht="20.100000000000001" customHeight="1" x14ac:dyDescent="0.4">
      <c r="A184" s="117"/>
      <c r="B184" s="123"/>
      <c r="C184" s="123"/>
      <c r="D184" s="123"/>
      <c r="K184" s="26"/>
      <c r="L184" s="13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29"/>
      <c r="AB184" s="29"/>
      <c r="AL184" s="25"/>
      <c r="AM184" s="13"/>
      <c r="AR184" s="116"/>
      <c r="AS184" s="123"/>
      <c r="AT184" s="123"/>
      <c r="AU184" s="123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115"/>
      <c r="BJ184" s="25"/>
      <c r="BK184" s="13"/>
      <c r="BN184" s="114"/>
    </row>
    <row r="185" spans="1:66" ht="20.100000000000001" customHeight="1" x14ac:dyDescent="0.4">
      <c r="A185" s="117"/>
      <c r="B185" s="123"/>
      <c r="C185" s="123"/>
      <c r="D185" s="123"/>
      <c r="K185" s="26"/>
      <c r="L185" s="13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27"/>
      <c r="AB185" s="29"/>
      <c r="AL185" s="25"/>
      <c r="AM185" s="13"/>
      <c r="AR185" s="116"/>
      <c r="AS185" s="123"/>
      <c r="AT185" s="123"/>
      <c r="AU185" s="123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115"/>
      <c r="BJ185" s="25"/>
      <c r="BK185" s="13"/>
      <c r="BN185" s="114"/>
    </row>
    <row r="186" spans="1:66" ht="20.100000000000001" customHeight="1" x14ac:dyDescent="0.4">
      <c r="A186" s="117"/>
      <c r="B186" s="123"/>
      <c r="C186" s="123"/>
      <c r="D186" s="123"/>
      <c r="H186" s="115"/>
      <c r="I186" s="115"/>
      <c r="J186" s="115"/>
      <c r="K186" s="17"/>
      <c r="L186" s="13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27"/>
      <c r="AB186" s="29"/>
      <c r="AL186" s="25"/>
      <c r="AM186" s="13"/>
      <c r="AR186" s="116"/>
      <c r="AS186" s="123"/>
      <c r="AT186" s="123"/>
      <c r="AU186" s="123"/>
      <c r="AZ186" s="115"/>
      <c r="BA186" s="115"/>
      <c r="BB186" s="115"/>
      <c r="BC186" s="115"/>
      <c r="BD186" s="115"/>
      <c r="BE186" s="115"/>
      <c r="BF186" s="115"/>
      <c r="BG186" s="115"/>
      <c r="BH186" s="115"/>
      <c r="BI186" s="115"/>
      <c r="BJ186" s="25"/>
      <c r="BK186" s="13"/>
      <c r="BN186" s="114"/>
    </row>
    <row r="187" spans="1:66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26"/>
      <c r="L187" s="13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27"/>
      <c r="AB187" s="29"/>
      <c r="AL187" s="25"/>
      <c r="AM187" s="13"/>
      <c r="AR187" s="116"/>
      <c r="AS187" s="123"/>
      <c r="AT187" s="123"/>
      <c r="AU187" s="123"/>
      <c r="AZ187" s="115"/>
      <c r="BA187" s="115"/>
      <c r="BB187" s="115"/>
      <c r="BC187" s="115"/>
      <c r="BD187" s="115"/>
      <c r="BE187" s="115"/>
      <c r="BF187" s="115"/>
      <c r="BG187" s="115"/>
      <c r="BH187" s="115"/>
      <c r="BI187" s="115"/>
      <c r="BJ187" s="25"/>
      <c r="BK187" s="13"/>
      <c r="BN187" s="114"/>
    </row>
    <row r="188" spans="1:66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7"/>
      <c r="L188" s="13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27"/>
      <c r="AB188" s="29"/>
      <c r="AL188" s="25"/>
      <c r="AM188" s="13"/>
      <c r="AR188" s="116"/>
      <c r="AS188" s="123"/>
      <c r="AT188" s="123"/>
      <c r="AU188" s="123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115"/>
      <c r="BJ188" s="25"/>
      <c r="BK188" s="13"/>
      <c r="BN188" s="114"/>
    </row>
    <row r="189" spans="1:66" ht="20.100000000000001" customHeight="1" x14ac:dyDescent="0.4">
      <c r="A189" s="117"/>
      <c r="B189" s="123"/>
      <c r="C189" s="123"/>
      <c r="D189" s="123"/>
      <c r="K189" s="26"/>
      <c r="L189" s="13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29"/>
      <c r="AB189" s="29"/>
      <c r="AL189" s="25"/>
      <c r="AM189" s="13"/>
      <c r="AR189" s="116"/>
      <c r="AS189" s="123"/>
      <c r="AT189" s="123"/>
      <c r="AU189" s="123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25"/>
      <c r="BK189" s="13"/>
      <c r="BN189" s="114"/>
    </row>
    <row r="190" spans="1:66" ht="20.100000000000001" customHeight="1" x14ac:dyDescent="0.4">
      <c r="A190" s="117"/>
      <c r="B190" s="123"/>
      <c r="C190" s="123"/>
      <c r="D190" s="123"/>
      <c r="H190" s="115"/>
      <c r="I190" s="115"/>
      <c r="J190" s="115"/>
      <c r="K190" s="17"/>
      <c r="L190" s="13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29"/>
      <c r="AB190" s="29"/>
      <c r="AL190" s="25"/>
      <c r="AM190" s="13"/>
      <c r="AR190" s="116"/>
      <c r="AS190" s="123"/>
      <c r="AT190" s="123"/>
      <c r="AU190" s="123"/>
      <c r="AZ190" s="115"/>
      <c r="BA190" s="115"/>
      <c r="BB190" s="115"/>
      <c r="BC190" s="115"/>
      <c r="BD190" s="115"/>
      <c r="BE190" s="115"/>
      <c r="BF190" s="115"/>
      <c r="BG190" s="115"/>
      <c r="BH190" s="115"/>
      <c r="BI190" s="115"/>
      <c r="BJ190" s="25"/>
      <c r="BK190" s="13"/>
      <c r="BN190" s="114"/>
    </row>
    <row r="191" spans="1:66" ht="20.100000000000001" customHeight="1" x14ac:dyDescent="0.4">
      <c r="A191" s="117"/>
      <c r="B191" s="123"/>
      <c r="C191" s="123"/>
      <c r="D191" s="123"/>
      <c r="K191" s="26"/>
      <c r="L191" s="13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29"/>
      <c r="AB191" s="29"/>
      <c r="AL191" s="25"/>
      <c r="AM191" s="13"/>
      <c r="AR191" s="116"/>
      <c r="AS191" s="123"/>
      <c r="AT191" s="123"/>
      <c r="AU191" s="123"/>
      <c r="AZ191" s="115"/>
      <c r="BA191" s="115"/>
      <c r="BB191" s="115"/>
      <c r="BC191" s="115"/>
      <c r="BD191" s="115"/>
      <c r="BE191" s="115"/>
      <c r="BF191" s="115"/>
      <c r="BG191" s="115"/>
      <c r="BH191" s="115"/>
      <c r="BI191" s="115"/>
      <c r="BJ191" s="25"/>
      <c r="BK191" s="13"/>
      <c r="BN191" s="114"/>
    </row>
    <row r="192" spans="1:66" ht="20.100000000000001" customHeight="1" x14ac:dyDescent="0.4">
      <c r="A192" s="117"/>
      <c r="B192" s="123"/>
      <c r="C192" s="123"/>
      <c r="D192" s="123"/>
      <c r="K192" s="26"/>
      <c r="L192" s="13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27"/>
      <c r="AB192" s="29"/>
      <c r="AL192" s="25"/>
      <c r="AM192" s="13"/>
      <c r="AR192" s="116"/>
      <c r="AS192" s="123"/>
      <c r="AT192" s="123"/>
      <c r="AU192" s="123"/>
      <c r="AZ192" s="115"/>
      <c r="BA192" s="115"/>
      <c r="BB192" s="115"/>
      <c r="BC192" s="115"/>
      <c r="BD192" s="115"/>
      <c r="BE192" s="115"/>
      <c r="BF192" s="115"/>
      <c r="BG192" s="115"/>
      <c r="BH192" s="115"/>
      <c r="BI192" s="115"/>
      <c r="BJ192" s="25"/>
      <c r="BK192" s="13"/>
      <c r="BN192" s="114"/>
    </row>
    <row r="193" spans="1:66" ht="20.100000000000001" customHeight="1" x14ac:dyDescent="0.4">
      <c r="A193" s="117"/>
      <c r="B193" s="123"/>
      <c r="C193" s="123"/>
      <c r="D193" s="123"/>
      <c r="H193" s="115"/>
      <c r="I193" s="115"/>
      <c r="J193" s="115"/>
      <c r="K193" s="20"/>
      <c r="L193" s="13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27"/>
      <c r="AB193" s="29"/>
      <c r="AL193" s="25"/>
      <c r="AM193" s="13"/>
      <c r="AR193" s="116"/>
      <c r="AS193" s="123"/>
      <c r="AT193" s="123"/>
      <c r="AU193" s="123"/>
      <c r="AZ193" s="115"/>
      <c r="BA193" s="115"/>
      <c r="BB193" s="115"/>
      <c r="BC193" s="115"/>
      <c r="BD193" s="115"/>
      <c r="BE193" s="115"/>
      <c r="BF193" s="115"/>
      <c r="BG193" s="115"/>
      <c r="BH193" s="115"/>
      <c r="BI193" s="115"/>
      <c r="BJ193" s="25"/>
      <c r="BK193" s="13"/>
      <c r="BN193" s="114"/>
    </row>
    <row r="194" spans="1:66" ht="20.100000000000001" customHeight="1" x14ac:dyDescent="0.4">
      <c r="A194" s="117"/>
      <c r="B194" s="123"/>
      <c r="C194" s="123"/>
      <c r="D194" s="123"/>
      <c r="H194" s="115"/>
      <c r="I194" s="115"/>
      <c r="J194" s="115"/>
      <c r="K194" s="20"/>
      <c r="L194" s="13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27"/>
      <c r="AB194" s="29"/>
      <c r="AL194" s="25"/>
      <c r="AM194" s="13"/>
      <c r="AR194" s="116"/>
      <c r="AS194" s="123"/>
      <c r="AT194" s="123"/>
      <c r="AU194" s="123"/>
      <c r="AZ194" s="115"/>
      <c r="BA194" s="115"/>
      <c r="BB194" s="115"/>
      <c r="BC194" s="115"/>
      <c r="BD194" s="115"/>
      <c r="BE194" s="115"/>
      <c r="BF194" s="115"/>
      <c r="BG194" s="115"/>
      <c r="BH194" s="115"/>
      <c r="BI194" s="115"/>
      <c r="BJ194" s="25"/>
      <c r="BK194" s="13"/>
      <c r="BN194" s="114"/>
    </row>
    <row r="195" spans="1:66" ht="20.100000000000001" customHeight="1" x14ac:dyDescent="0.4">
      <c r="A195" s="117"/>
      <c r="B195" s="123"/>
      <c r="C195" s="123"/>
      <c r="D195" s="123"/>
      <c r="K195" s="25"/>
      <c r="L195" s="13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27"/>
      <c r="AB195" s="29"/>
      <c r="AL195" s="25"/>
      <c r="AM195" s="13"/>
      <c r="AR195" s="116"/>
      <c r="AS195" s="123"/>
      <c r="AT195" s="123"/>
      <c r="AU195" s="123"/>
      <c r="AZ195" s="115"/>
      <c r="BA195" s="115"/>
      <c r="BB195" s="115"/>
      <c r="BC195" s="115"/>
      <c r="BD195" s="115"/>
      <c r="BE195" s="115"/>
      <c r="BF195" s="115"/>
      <c r="BG195" s="115"/>
      <c r="BH195" s="115"/>
      <c r="BI195" s="115"/>
      <c r="BJ195" s="25"/>
      <c r="BK195" s="13"/>
      <c r="BN195" s="114"/>
    </row>
    <row r="196" spans="1:66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3"/>
      <c r="L196" s="13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27"/>
      <c r="AB196" s="29"/>
      <c r="AL196" s="25"/>
      <c r="AM196" s="13"/>
      <c r="AR196" s="116"/>
      <c r="AS196" s="123"/>
      <c r="AT196" s="123"/>
      <c r="AU196" s="123"/>
      <c r="AZ196" s="115"/>
      <c r="BA196" s="115"/>
      <c r="BB196" s="115"/>
      <c r="BC196" s="115"/>
      <c r="BD196" s="115"/>
      <c r="BE196" s="115"/>
      <c r="BF196" s="115"/>
      <c r="BG196" s="115"/>
      <c r="BH196" s="115"/>
      <c r="BI196" s="115"/>
      <c r="BJ196" s="25"/>
      <c r="BK196" s="13"/>
      <c r="BN196" s="114"/>
    </row>
    <row r="197" spans="1:66" ht="20.100000000000001" customHeight="1" x14ac:dyDescent="0.4">
      <c r="A197" s="117"/>
      <c r="B197" s="123"/>
      <c r="C197" s="123"/>
      <c r="D197" s="123"/>
      <c r="K197" s="25"/>
      <c r="L197" s="13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27"/>
      <c r="AB197" s="29"/>
      <c r="AL197" s="25"/>
      <c r="AM197" s="13"/>
      <c r="AR197" s="116"/>
      <c r="AS197" s="123"/>
      <c r="AT197" s="123"/>
      <c r="AU197" s="123"/>
      <c r="AZ197" s="115"/>
      <c r="BA197" s="115"/>
      <c r="BB197" s="115"/>
      <c r="BC197" s="115"/>
      <c r="BD197" s="115"/>
      <c r="BE197" s="115"/>
      <c r="BF197" s="115"/>
      <c r="BG197" s="115"/>
      <c r="BH197" s="115"/>
      <c r="BI197" s="115"/>
      <c r="BJ197" s="25"/>
      <c r="BK197" s="13"/>
      <c r="BN197" s="114"/>
    </row>
    <row r="198" spans="1:66" ht="20.100000000000001" customHeight="1" x14ac:dyDescent="0.4">
      <c r="A198" s="117"/>
      <c r="B198" s="123"/>
      <c r="C198" s="123"/>
      <c r="D198" s="123"/>
      <c r="K198" s="26"/>
      <c r="L198" s="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27"/>
      <c r="AB198" s="29"/>
      <c r="AL198" s="25"/>
      <c r="AM198" s="13"/>
      <c r="AR198" s="116"/>
      <c r="AS198" s="123"/>
      <c r="AT198" s="123"/>
      <c r="AU198" s="123"/>
      <c r="AZ198" s="115"/>
      <c r="BA198" s="115"/>
      <c r="BB198" s="115"/>
      <c r="BC198" s="115"/>
      <c r="BD198" s="115"/>
      <c r="BE198" s="115"/>
      <c r="BF198" s="115"/>
      <c r="BG198" s="115"/>
      <c r="BH198" s="115"/>
      <c r="BI198" s="115"/>
      <c r="BJ198" s="25"/>
      <c r="BK198" s="13"/>
      <c r="BN198" s="114"/>
    </row>
    <row r="199" spans="1:66" ht="20.100000000000001" customHeight="1" x14ac:dyDescent="0.4">
      <c r="A199" s="117"/>
      <c r="B199" s="123"/>
      <c r="C199" s="123"/>
      <c r="D199" s="123"/>
      <c r="F199" s="125"/>
      <c r="G199" s="125"/>
      <c r="H199" s="125"/>
      <c r="I199" s="125"/>
      <c r="J199" s="125"/>
      <c r="K199" s="25"/>
      <c r="L199" s="13"/>
      <c r="AA199" s="127"/>
      <c r="AB199" s="29"/>
      <c r="AL199" s="25"/>
      <c r="AM199" s="13"/>
      <c r="AR199" s="116"/>
      <c r="AS199" s="123"/>
      <c r="AT199" s="123"/>
      <c r="AU199" s="123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115"/>
      <c r="BJ199" s="25"/>
      <c r="BK199" s="13"/>
      <c r="BN199" s="114"/>
    </row>
    <row r="200" spans="1:66" ht="20.100000000000001" customHeight="1" x14ac:dyDescent="0.4">
      <c r="A200" s="117"/>
      <c r="B200" s="123"/>
      <c r="C200" s="123"/>
      <c r="D200" s="123"/>
      <c r="F200" s="125"/>
      <c r="G200" s="125"/>
      <c r="H200" s="125"/>
      <c r="I200" s="125"/>
      <c r="J200" s="125"/>
      <c r="K200" s="25"/>
      <c r="L200" s="13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27"/>
      <c r="AB200" s="29"/>
      <c r="AL200" s="25"/>
      <c r="AM200" s="13"/>
      <c r="AR200" s="116"/>
      <c r="AS200" s="123"/>
      <c r="AT200" s="123"/>
      <c r="AU200" s="123"/>
      <c r="AZ200" s="115"/>
      <c r="BA200" s="115"/>
      <c r="BB200" s="115"/>
      <c r="BC200" s="115"/>
      <c r="BD200" s="115"/>
      <c r="BE200" s="115"/>
      <c r="BF200" s="115"/>
      <c r="BG200" s="115"/>
      <c r="BH200" s="115"/>
      <c r="BI200" s="115"/>
      <c r="BJ200" s="25"/>
      <c r="BK200" s="13"/>
      <c r="BN200" s="114"/>
    </row>
    <row r="201" spans="1:66" ht="20.100000000000001" customHeight="1" x14ac:dyDescent="0.4">
      <c r="A201" s="117"/>
      <c r="B201" s="123"/>
      <c r="C201" s="123"/>
      <c r="D201" s="123"/>
      <c r="F201" s="125"/>
      <c r="G201" s="125"/>
      <c r="H201" s="125"/>
      <c r="I201" s="125"/>
      <c r="J201" s="125"/>
      <c r="K201" s="25"/>
      <c r="L201" s="13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29"/>
      <c r="AB201" s="29"/>
      <c r="AL201" s="25"/>
      <c r="AM201" s="13"/>
      <c r="AR201" s="116"/>
      <c r="AS201" s="123"/>
      <c r="AT201" s="123"/>
      <c r="AU201" s="123"/>
      <c r="AZ201" s="115"/>
      <c r="BA201" s="115"/>
      <c r="BB201" s="115"/>
      <c r="BC201" s="115"/>
      <c r="BD201" s="115"/>
      <c r="BE201" s="115"/>
      <c r="BF201" s="115"/>
      <c r="BG201" s="115"/>
      <c r="BH201" s="115"/>
      <c r="BI201" s="115"/>
      <c r="BJ201" s="25"/>
      <c r="BK201" s="13"/>
      <c r="BN201" s="114"/>
    </row>
    <row r="202" spans="1:66" ht="20.100000000000001" customHeight="1" x14ac:dyDescent="0.4">
      <c r="A202" s="117"/>
      <c r="B202" s="123"/>
      <c r="C202" s="123"/>
      <c r="D202" s="123"/>
      <c r="F202" s="125"/>
      <c r="G202" s="125"/>
      <c r="H202" s="125"/>
      <c r="I202" s="125"/>
      <c r="J202" s="125"/>
      <c r="K202" s="25"/>
      <c r="L202" s="13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27"/>
      <c r="AB202" s="29"/>
      <c r="AL202" s="25"/>
      <c r="AM202" s="13"/>
      <c r="AR202" s="116"/>
      <c r="AS202" s="123"/>
      <c r="AT202" s="123"/>
      <c r="AU202" s="123"/>
      <c r="AZ202" s="115"/>
      <c r="BA202" s="115"/>
      <c r="BB202" s="115"/>
      <c r="BC202" s="115"/>
      <c r="BD202" s="115"/>
      <c r="BE202" s="115"/>
      <c r="BF202" s="115"/>
      <c r="BG202" s="115"/>
      <c r="BH202" s="115"/>
      <c r="BI202" s="115"/>
      <c r="BJ202" s="25"/>
      <c r="BK202" s="13"/>
      <c r="BN202" s="114"/>
    </row>
    <row r="203" spans="1:66" ht="20.100000000000001" customHeight="1" x14ac:dyDescent="0.4">
      <c r="A203" s="117"/>
      <c r="B203" s="123"/>
      <c r="C203" s="123"/>
      <c r="D203" s="123"/>
      <c r="F203" s="125"/>
      <c r="G203" s="125"/>
      <c r="H203" s="125"/>
      <c r="I203" s="125"/>
      <c r="J203" s="125"/>
      <c r="K203" s="26"/>
      <c r="L203" s="13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27"/>
      <c r="AB203" s="29"/>
      <c r="AL203" s="25"/>
      <c r="AM203" s="13"/>
      <c r="AR203" s="116"/>
      <c r="AS203" s="123"/>
      <c r="AT203" s="123"/>
      <c r="AU203" s="123"/>
      <c r="AZ203" s="115"/>
      <c r="BA203" s="115"/>
      <c r="BB203" s="115"/>
      <c r="BC203" s="115"/>
      <c r="BD203" s="115"/>
      <c r="BE203" s="115"/>
      <c r="BF203" s="115"/>
      <c r="BG203" s="115"/>
      <c r="BH203" s="115"/>
      <c r="BI203" s="115"/>
      <c r="BJ203" s="25"/>
      <c r="BK203" s="13"/>
      <c r="BN203" s="114"/>
    </row>
    <row r="204" spans="1:66" ht="20.100000000000001" customHeight="1" x14ac:dyDescent="0.4">
      <c r="A204" s="117"/>
      <c r="B204" s="123"/>
      <c r="C204" s="123"/>
      <c r="D204" s="123"/>
      <c r="F204" s="125"/>
      <c r="G204" s="125"/>
      <c r="H204" s="125"/>
      <c r="I204" s="125"/>
      <c r="J204" s="125"/>
      <c r="K204" s="26"/>
      <c r="L204" s="13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27"/>
      <c r="AB204" s="29"/>
      <c r="AL204" s="25"/>
      <c r="AM204" s="13"/>
      <c r="AR204" s="116"/>
      <c r="AS204" s="123"/>
      <c r="AT204" s="123"/>
      <c r="AU204" s="123"/>
      <c r="AZ204" s="115"/>
      <c r="BA204" s="115"/>
      <c r="BB204" s="115"/>
      <c r="BC204" s="115"/>
      <c r="BD204" s="115"/>
      <c r="BE204" s="115"/>
      <c r="BF204" s="115"/>
      <c r="BG204" s="115"/>
      <c r="BH204" s="115"/>
      <c r="BI204" s="115"/>
      <c r="BJ204" s="25"/>
      <c r="BK204" s="13"/>
      <c r="BN204" s="114"/>
    </row>
    <row r="205" spans="1:66" ht="20.100000000000001" customHeight="1" x14ac:dyDescent="0.4">
      <c r="A205" s="117"/>
      <c r="B205" s="123"/>
      <c r="C205" s="123"/>
      <c r="D205" s="123"/>
      <c r="F205" s="125"/>
      <c r="G205" s="125"/>
      <c r="H205" s="125"/>
      <c r="I205" s="125"/>
      <c r="J205" s="125"/>
      <c r="K205" s="17"/>
      <c r="L205" s="13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27"/>
      <c r="AB205" s="29"/>
      <c r="AL205" s="25"/>
      <c r="AM205" s="13"/>
      <c r="AR205" s="116"/>
      <c r="AS205" s="123"/>
      <c r="AT205" s="123"/>
      <c r="AU205" s="123"/>
      <c r="AZ205" s="115"/>
      <c r="BA205" s="115"/>
      <c r="BB205" s="115"/>
      <c r="BC205" s="115"/>
      <c r="BD205" s="115"/>
      <c r="BE205" s="115"/>
      <c r="BF205" s="115"/>
      <c r="BG205" s="115"/>
      <c r="BH205" s="115"/>
      <c r="BI205" s="115"/>
      <c r="BJ205" s="25"/>
      <c r="BK205" s="13"/>
      <c r="BN205" s="114"/>
    </row>
    <row r="206" spans="1:66" ht="20.100000000000001" customHeight="1" x14ac:dyDescent="0.4">
      <c r="A206" s="117"/>
      <c r="B206" s="123"/>
      <c r="C206" s="123"/>
      <c r="D206" s="123"/>
      <c r="F206" s="125"/>
      <c r="G206" s="125"/>
      <c r="H206" s="125"/>
      <c r="I206" s="125"/>
      <c r="J206" s="125"/>
      <c r="K206" s="26"/>
      <c r="L206" s="13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27"/>
      <c r="AB206" s="29"/>
      <c r="AL206" s="25"/>
      <c r="AM206" s="13"/>
      <c r="AR206" s="116"/>
      <c r="AS206" s="123"/>
      <c r="AT206" s="123"/>
      <c r="AU206" s="123"/>
      <c r="AZ206" s="115"/>
      <c r="BA206" s="115"/>
      <c r="BB206" s="115"/>
      <c r="BC206" s="115"/>
      <c r="BD206" s="115"/>
      <c r="BE206" s="115"/>
      <c r="BF206" s="115"/>
      <c r="BG206" s="115"/>
      <c r="BH206" s="115"/>
      <c r="BI206" s="115"/>
      <c r="BJ206" s="25"/>
      <c r="BK206" s="13"/>
      <c r="BN206" s="114"/>
    </row>
    <row r="207" spans="1:66" ht="20.100000000000001" customHeight="1" x14ac:dyDescent="0.4">
      <c r="A207" s="117"/>
      <c r="B207" s="123"/>
      <c r="C207" s="123"/>
      <c r="D207" s="123"/>
      <c r="F207" s="125"/>
      <c r="G207" s="125"/>
      <c r="H207" s="125"/>
      <c r="I207" s="125"/>
      <c r="J207" s="125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27"/>
      <c r="AB207" s="29"/>
      <c r="AL207" s="25"/>
      <c r="AM207" s="13"/>
      <c r="AR207" s="116"/>
      <c r="AS207" s="123"/>
      <c r="AT207" s="123"/>
      <c r="AU207" s="123"/>
      <c r="AZ207" s="115"/>
      <c r="BA207" s="115"/>
      <c r="BB207" s="115"/>
      <c r="BC207" s="115"/>
      <c r="BD207" s="115"/>
      <c r="BE207" s="115"/>
      <c r="BF207" s="115"/>
      <c r="BG207" s="115"/>
      <c r="BH207" s="115"/>
      <c r="BI207" s="115"/>
      <c r="BJ207" s="25"/>
      <c r="BK207" s="13"/>
      <c r="BN207" s="114"/>
    </row>
    <row r="208" spans="1:66" ht="20.100000000000001" customHeight="1" x14ac:dyDescent="0.4">
      <c r="A208" s="117"/>
      <c r="B208" s="123"/>
      <c r="C208" s="123"/>
      <c r="D208" s="123"/>
      <c r="F208" s="125"/>
      <c r="G208" s="125"/>
      <c r="H208" s="125"/>
      <c r="I208" s="125"/>
      <c r="J208" s="125"/>
      <c r="K208" s="17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27"/>
      <c r="AB208" s="29"/>
      <c r="AL208" s="25"/>
      <c r="AM208" s="13"/>
      <c r="AR208" s="116"/>
      <c r="AS208" s="123"/>
      <c r="AT208" s="123"/>
      <c r="AU208" s="123"/>
      <c r="AZ208" s="115"/>
      <c r="BA208" s="115"/>
      <c r="BB208" s="115"/>
      <c r="BC208" s="115"/>
      <c r="BD208" s="115"/>
      <c r="BE208" s="115"/>
      <c r="BF208" s="115"/>
      <c r="BG208" s="115"/>
      <c r="BH208" s="115"/>
      <c r="BI208" s="115"/>
      <c r="BJ208" s="25"/>
      <c r="BK208" s="13"/>
      <c r="BN208" s="114"/>
    </row>
    <row r="209" spans="1:66" ht="20.100000000000001" customHeight="1" x14ac:dyDescent="0.4">
      <c r="A209" s="117"/>
      <c r="B209" s="123"/>
      <c r="C209" s="123"/>
      <c r="D209" s="123"/>
      <c r="F209" s="125"/>
      <c r="G209" s="125"/>
      <c r="H209" s="125"/>
      <c r="I209" s="125"/>
      <c r="J209" s="125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27"/>
      <c r="AB209" s="134"/>
      <c r="AL209" s="25"/>
      <c r="AM209" s="13"/>
      <c r="AR209" s="116"/>
      <c r="AS209" s="123"/>
      <c r="AT209" s="123"/>
      <c r="AU209" s="123"/>
      <c r="AZ209" s="115"/>
      <c r="BA209" s="115"/>
      <c r="BB209" s="115"/>
      <c r="BC209" s="115"/>
      <c r="BD209" s="115"/>
      <c r="BE209" s="115"/>
      <c r="BF209" s="115"/>
      <c r="BG209" s="115"/>
      <c r="BH209" s="115"/>
      <c r="BI209" s="115"/>
      <c r="BJ209" s="25"/>
      <c r="BK209" s="13"/>
      <c r="BN209" s="114"/>
    </row>
    <row r="210" spans="1:66" ht="20.100000000000001" customHeight="1" x14ac:dyDescent="0.4">
      <c r="A210" s="117"/>
      <c r="B210" s="123"/>
      <c r="C210" s="123"/>
      <c r="D210" s="123"/>
      <c r="F210" s="125"/>
      <c r="G210" s="125"/>
      <c r="H210" s="125"/>
      <c r="I210" s="125"/>
      <c r="J210" s="125"/>
      <c r="K210" s="26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27"/>
      <c r="AB210" s="29"/>
      <c r="AL210" s="25"/>
      <c r="AM210" s="13"/>
      <c r="AR210" s="116"/>
      <c r="AS210" s="123"/>
      <c r="AT210" s="123"/>
      <c r="AU210" s="123"/>
      <c r="AZ210" s="115"/>
      <c r="BA210" s="115"/>
      <c r="BB210" s="115"/>
      <c r="BC210" s="115"/>
      <c r="BD210" s="115"/>
      <c r="BE210" s="115"/>
      <c r="BF210" s="115"/>
      <c r="BG210" s="115"/>
      <c r="BH210" s="115"/>
      <c r="BI210" s="115"/>
      <c r="BJ210" s="25"/>
      <c r="BK210" s="13"/>
      <c r="BN210" s="114"/>
    </row>
    <row r="211" spans="1:66" ht="20.100000000000001" customHeight="1" x14ac:dyDescent="0.4">
      <c r="A211" s="117"/>
      <c r="B211" s="123"/>
      <c r="C211" s="123"/>
      <c r="D211" s="123"/>
      <c r="F211" s="125"/>
      <c r="G211" s="125"/>
      <c r="H211" s="125"/>
      <c r="I211" s="125"/>
      <c r="J211" s="125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27"/>
      <c r="AB211" s="29"/>
      <c r="AL211" s="25"/>
      <c r="AM211" s="13"/>
      <c r="AR211" s="116"/>
      <c r="AS211" s="123"/>
      <c r="AT211" s="123"/>
      <c r="AU211" s="123"/>
      <c r="AZ211" s="115"/>
      <c r="BA211" s="115"/>
      <c r="BB211" s="115"/>
      <c r="BC211" s="115"/>
      <c r="BD211" s="115"/>
      <c r="BE211" s="115"/>
      <c r="BF211" s="115"/>
      <c r="BG211" s="115"/>
      <c r="BH211" s="115"/>
      <c r="BI211" s="115"/>
      <c r="BJ211" s="25"/>
      <c r="BK211" s="13"/>
      <c r="BN211" s="114"/>
    </row>
    <row r="212" spans="1:66" ht="20.100000000000001" customHeight="1" x14ac:dyDescent="0.4">
      <c r="A212" s="117"/>
      <c r="B212" s="123"/>
      <c r="C212" s="123"/>
      <c r="D212" s="123"/>
      <c r="F212" s="125"/>
      <c r="G212" s="125"/>
      <c r="H212" s="125"/>
      <c r="I212" s="125"/>
      <c r="J212" s="12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27"/>
      <c r="AB212" s="29"/>
      <c r="AL212" s="25"/>
      <c r="AM212" s="13"/>
      <c r="AR212" s="116"/>
      <c r="AS212" s="123"/>
      <c r="AT212" s="123"/>
      <c r="AU212" s="123"/>
      <c r="AZ212" s="115"/>
      <c r="BA212" s="115"/>
      <c r="BB212" s="115"/>
      <c r="BC212" s="115"/>
      <c r="BD212" s="115"/>
      <c r="BE212" s="115"/>
      <c r="BF212" s="115"/>
      <c r="BG212" s="115"/>
      <c r="BH212" s="115"/>
      <c r="BI212" s="115"/>
      <c r="BJ212" s="25"/>
      <c r="BK212" s="13"/>
      <c r="BN212" s="114"/>
    </row>
    <row r="213" spans="1:66" ht="20.100000000000001" customHeight="1" x14ac:dyDescent="0.4">
      <c r="A213" s="117"/>
      <c r="B213" s="123"/>
      <c r="C213" s="123"/>
      <c r="D213" s="123"/>
      <c r="F213" s="125"/>
      <c r="G213" s="125"/>
      <c r="H213" s="125"/>
      <c r="I213" s="125"/>
      <c r="J213" s="12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27"/>
      <c r="AB213" s="29"/>
      <c r="AL213" s="25"/>
      <c r="AM213" s="13"/>
      <c r="AR213" s="116"/>
      <c r="AS213" s="123"/>
      <c r="AT213" s="123"/>
      <c r="AU213" s="123"/>
      <c r="AZ213" s="115"/>
      <c r="BA213" s="115"/>
      <c r="BB213" s="115"/>
      <c r="BC213" s="115"/>
      <c r="BD213" s="115"/>
      <c r="BE213" s="115"/>
      <c r="BF213" s="115"/>
      <c r="BG213" s="115"/>
      <c r="BH213" s="115"/>
      <c r="BI213" s="115"/>
      <c r="BJ213" s="25"/>
      <c r="BK213" s="13"/>
      <c r="BN213" s="114"/>
    </row>
    <row r="214" spans="1:66" ht="20.100000000000001" customHeight="1" x14ac:dyDescent="0.4">
      <c r="A214" s="117"/>
      <c r="B214" s="123"/>
      <c r="C214" s="123"/>
      <c r="D214" s="123"/>
      <c r="F214" s="125"/>
      <c r="G214" s="125"/>
      <c r="H214" s="125"/>
      <c r="I214" s="125"/>
      <c r="J214" s="125"/>
      <c r="K214" s="26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27"/>
      <c r="AB214" s="29"/>
      <c r="AL214" s="25"/>
      <c r="AM214" s="13"/>
      <c r="AR214" s="116"/>
      <c r="AS214" s="123"/>
      <c r="AT214" s="123"/>
      <c r="AU214" s="123"/>
      <c r="AZ214" s="115"/>
      <c r="BA214" s="115"/>
      <c r="BB214" s="115"/>
      <c r="BC214" s="115"/>
      <c r="BD214" s="115"/>
      <c r="BE214" s="115"/>
      <c r="BF214" s="115"/>
      <c r="BG214" s="115"/>
      <c r="BH214" s="115"/>
      <c r="BI214" s="115"/>
      <c r="BJ214" s="25"/>
      <c r="BK214" s="13"/>
      <c r="BN214" s="114"/>
    </row>
    <row r="215" spans="1:66" ht="20.100000000000001" customHeight="1" x14ac:dyDescent="0.4">
      <c r="A215" s="117"/>
      <c r="B215" s="123"/>
      <c r="C215" s="123"/>
      <c r="D215" s="123"/>
      <c r="F215" s="125"/>
      <c r="G215" s="125"/>
      <c r="H215" s="125"/>
      <c r="I215" s="125"/>
      <c r="J215" s="12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27"/>
      <c r="AB215" s="29"/>
      <c r="AL215" s="25"/>
      <c r="AM215" s="13"/>
      <c r="AR215" s="116"/>
      <c r="AS215" s="123"/>
      <c r="AT215" s="123"/>
      <c r="AU215" s="123"/>
      <c r="AZ215" s="115"/>
      <c r="BA215" s="115"/>
      <c r="BB215" s="115"/>
      <c r="BC215" s="115"/>
      <c r="BD215" s="115"/>
      <c r="BE215" s="115"/>
      <c r="BF215" s="115"/>
      <c r="BG215" s="115"/>
      <c r="BH215" s="115"/>
      <c r="BI215" s="115"/>
      <c r="BJ215" s="25"/>
      <c r="BK215" s="13"/>
      <c r="BN215" s="114"/>
    </row>
    <row r="216" spans="1:66" ht="20.100000000000001" customHeight="1" x14ac:dyDescent="0.4">
      <c r="A216" s="117"/>
      <c r="B216" s="123"/>
      <c r="C216" s="123"/>
      <c r="D216" s="123"/>
      <c r="F216" s="125"/>
      <c r="G216" s="125"/>
      <c r="H216" s="125"/>
      <c r="I216" s="125"/>
      <c r="J216" s="125"/>
      <c r="K216" s="17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27"/>
      <c r="AB216" s="29"/>
      <c r="AL216" s="25"/>
      <c r="AM216" s="13"/>
      <c r="AR216" s="116"/>
      <c r="AS216" s="123"/>
      <c r="AT216" s="123"/>
      <c r="AU216" s="123"/>
      <c r="AZ216" s="115"/>
      <c r="BA216" s="115"/>
      <c r="BB216" s="115"/>
      <c r="BC216" s="115"/>
      <c r="BD216" s="115"/>
      <c r="BE216" s="115"/>
      <c r="BF216" s="115"/>
      <c r="BG216" s="115"/>
      <c r="BH216" s="115"/>
      <c r="BI216" s="115"/>
      <c r="BJ216" s="25"/>
      <c r="BK216" s="13"/>
      <c r="BN216" s="114"/>
    </row>
    <row r="217" spans="1:66" ht="20.100000000000001" customHeight="1" x14ac:dyDescent="0.4">
      <c r="A217" s="117"/>
      <c r="B217" s="123"/>
      <c r="C217" s="123"/>
      <c r="D217" s="123"/>
      <c r="F217" s="125"/>
      <c r="G217" s="125"/>
      <c r="H217" s="125"/>
      <c r="I217" s="125"/>
      <c r="J217" s="125"/>
      <c r="K217" s="26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27"/>
      <c r="AB217" s="29"/>
      <c r="AL217" s="25"/>
      <c r="AM217" s="13"/>
      <c r="AR217" s="116"/>
      <c r="AS217" s="123"/>
      <c r="AT217" s="123"/>
      <c r="AU217" s="123"/>
      <c r="AZ217" s="115"/>
      <c r="BA217" s="115"/>
      <c r="BB217" s="115"/>
      <c r="BC217" s="115"/>
      <c r="BD217" s="115"/>
      <c r="BE217" s="115"/>
      <c r="BF217" s="115"/>
      <c r="BG217" s="115"/>
      <c r="BH217" s="115"/>
      <c r="BI217" s="115"/>
      <c r="BJ217" s="25"/>
      <c r="BK217" s="13"/>
      <c r="BN217" s="114"/>
    </row>
    <row r="218" spans="1:66" ht="20.100000000000001" customHeight="1" x14ac:dyDescent="0.4">
      <c r="A218" s="117"/>
      <c r="B218" s="123"/>
      <c r="C218" s="123"/>
      <c r="D218" s="123"/>
      <c r="F218" s="125"/>
      <c r="G218" s="125"/>
      <c r="H218" s="125"/>
      <c r="I218" s="125"/>
      <c r="J218" s="12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27"/>
      <c r="AB218" s="29"/>
      <c r="AL218" s="25"/>
      <c r="AM218" s="13"/>
      <c r="AR218" s="116"/>
      <c r="AS218" s="123"/>
      <c r="AT218" s="123"/>
      <c r="AU218" s="123"/>
      <c r="AZ218" s="115"/>
      <c r="BA218" s="115"/>
      <c r="BB218" s="115"/>
      <c r="BC218" s="115"/>
      <c r="BD218" s="115"/>
      <c r="BE218" s="115"/>
      <c r="BF218" s="115"/>
      <c r="BG218" s="115"/>
      <c r="BH218" s="115"/>
      <c r="BI218" s="115"/>
      <c r="BJ218" s="25"/>
      <c r="BK218" s="13"/>
      <c r="BN218" s="114"/>
    </row>
    <row r="219" spans="1:66" ht="20.100000000000001" customHeight="1" x14ac:dyDescent="0.4">
      <c r="A219" s="117"/>
      <c r="B219" s="123"/>
      <c r="C219" s="123"/>
      <c r="D219" s="123"/>
      <c r="F219" s="125"/>
      <c r="G219" s="125"/>
      <c r="H219" s="125"/>
      <c r="I219" s="125"/>
      <c r="J219" s="125"/>
      <c r="K219" s="17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27"/>
      <c r="AB219" s="29"/>
      <c r="AL219" s="25"/>
      <c r="AM219" s="13"/>
      <c r="AR219" s="116"/>
      <c r="AS219" s="123"/>
      <c r="AT219" s="123"/>
      <c r="AU219" s="123"/>
      <c r="AZ219" s="115"/>
      <c r="BA219" s="115"/>
      <c r="BB219" s="115"/>
      <c r="BC219" s="115"/>
      <c r="BD219" s="115"/>
      <c r="BE219" s="115"/>
      <c r="BF219" s="115"/>
      <c r="BG219" s="115"/>
      <c r="BH219" s="115"/>
      <c r="BI219" s="115"/>
      <c r="BJ219" s="25"/>
      <c r="BK219" s="13"/>
      <c r="BN219" s="114"/>
    </row>
    <row r="220" spans="1:66" ht="20.100000000000001" customHeight="1" x14ac:dyDescent="0.4">
      <c r="A220" s="117"/>
      <c r="B220" s="123"/>
      <c r="C220" s="123"/>
      <c r="D220" s="123"/>
      <c r="F220" s="125"/>
      <c r="G220" s="125"/>
      <c r="H220" s="125"/>
      <c r="I220" s="125"/>
      <c r="J220" s="125"/>
      <c r="K220" s="26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27"/>
      <c r="AB220" s="134"/>
      <c r="AL220" s="25"/>
      <c r="AM220" s="13"/>
      <c r="AR220" s="116"/>
      <c r="AS220" s="123"/>
      <c r="AT220" s="123"/>
      <c r="AU220" s="123"/>
      <c r="AZ220" s="115"/>
      <c r="BA220" s="115"/>
      <c r="BB220" s="115"/>
      <c r="BC220" s="115"/>
      <c r="BD220" s="115"/>
      <c r="BE220" s="115"/>
      <c r="BF220" s="115"/>
      <c r="BG220" s="115"/>
      <c r="BH220" s="115"/>
      <c r="BI220" s="115"/>
      <c r="BJ220" s="25"/>
      <c r="BK220" s="13"/>
      <c r="BN220" s="114"/>
    </row>
    <row r="221" spans="1:66" ht="20.100000000000001" customHeight="1" x14ac:dyDescent="0.4">
      <c r="A221" s="117"/>
      <c r="B221" s="123"/>
      <c r="C221" s="123"/>
      <c r="D221" s="123"/>
      <c r="F221" s="125"/>
      <c r="G221" s="125"/>
      <c r="H221" s="125"/>
      <c r="I221" s="125"/>
      <c r="J221" s="12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27"/>
      <c r="AB221" s="29"/>
      <c r="AL221" s="25"/>
      <c r="AM221" s="13"/>
      <c r="AR221" s="116"/>
      <c r="AS221" s="123"/>
      <c r="AT221" s="123"/>
      <c r="AU221" s="123"/>
      <c r="AZ221" s="115"/>
      <c r="BA221" s="115"/>
      <c r="BB221" s="115"/>
      <c r="BC221" s="115"/>
      <c r="BD221" s="115"/>
      <c r="BE221" s="115"/>
      <c r="BF221" s="115"/>
      <c r="BG221" s="115"/>
      <c r="BH221" s="115"/>
      <c r="BI221" s="115"/>
      <c r="BJ221" s="25"/>
      <c r="BK221" s="13"/>
      <c r="BN221" s="114"/>
    </row>
    <row r="222" spans="1:66" ht="20.100000000000001" customHeight="1" x14ac:dyDescent="0.4">
      <c r="A222" s="117"/>
      <c r="B222" s="123"/>
      <c r="C222" s="123"/>
      <c r="D222" s="123"/>
      <c r="F222" s="125"/>
      <c r="G222" s="125"/>
      <c r="H222" s="125"/>
      <c r="I222" s="125"/>
      <c r="J222" s="12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27"/>
      <c r="AB222" s="29"/>
      <c r="AL222" s="25"/>
      <c r="AM222" s="13"/>
      <c r="AR222" s="116"/>
      <c r="AS222" s="123"/>
      <c r="AT222" s="123"/>
      <c r="AU222" s="123"/>
      <c r="AZ222" s="115"/>
      <c r="BA222" s="115"/>
      <c r="BB222" s="115"/>
      <c r="BC222" s="115"/>
      <c r="BD222" s="115"/>
      <c r="BE222" s="115"/>
      <c r="BF222" s="115"/>
      <c r="BG222" s="115"/>
      <c r="BH222" s="115"/>
      <c r="BI222" s="115"/>
      <c r="BJ222" s="25"/>
      <c r="BK222" s="13"/>
      <c r="BN222" s="114"/>
    </row>
    <row r="223" spans="1:66" ht="20.100000000000001" customHeight="1" x14ac:dyDescent="0.4">
      <c r="A223" s="117"/>
      <c r="B223" s="123"/>
      <c r="C223" s="123"/>
      <c r="D223" s="123"/>
      <c r="F223" s="125"/>
      <c r="G223" s="125"/>
      <c r="H223" s="125"/>
      <c r="I223" s="125"/>
      <c r="J223" s="125"/>
      <c r="K223" s="26"/>
      <c r="L223" s="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27"/>
      <c r="AB223" s="29"/>
      <c r="AL223" s="25"/>
      <c r="AM223" s="13"/>
      <c r="AR223" s="116"/>
      <c r="AS223" s="123"/>
      <c r="AT223" s="123"/>
      <c r="AU223" s="123"/>
      <c r="AZ223" s="115"/>
      <c r="BA223" s="115"/>
      <c r="BB223" s="115"/>
      <c r="BC223" s="115"/>
      <c r="BD223" s="115"/>
      <c r="BE223" s="115"/>
      <c r="BF223" s="115"/>
      <c r="BG223" s="115"/>
      <c r="BH223" s="115"/>
      <c r="BI223" s="115"/>
      <c r="BJ223" s="25"/>
      <c r="BK223" s="13"/>
      <c r="BN223" s="114"/>
    </row>
    <row r="224" spans="1:66" ht="20.100000000000001" customHeight="1" x14ac:dyDescent="0.4">
      <c r="A224" s="117"/>
      <c r="B224" s="123"/>
      <c r="C224" s="123"/>
      <c r="D224" s="123"/>
      <c r="F224" s="125"/>
      <c r="G224" s="125"/>
      <c r="H224" s="125"/>
      <c r="I224" s="125"/>
      <c r="J224" s="125"/>
      <c r="K224" s="26"/>
      <c r="L224" s="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29"/>
      <c r="AB224" s="29"/>
      <c r="AL224" s="25"/>
      <c r="AM224" s="13"/>
      <c r="AR224" s="116"/>
      <c r="AS224" s="123"/>
      <c r="AT224" s="123"/>
      <c r="AU224" s="123"/>
      <c r="AZ224" s="115"/>
      <c r="BA224" s="115"/>
      <c r="BB224" s="115"/>
      <c r="BC224" s="115"/>
      <c r="BD224" s="115"/>
      <c r="BE224" s="115"/>
      <c r="BF224" s="115"/>
      <c r="BG224" s="115"/>
      <c r="BH224" s="115"/>
      <c r="BI224" s="115"/>
      <c r="BJ224" s="25"/>
      <c r="BK224" s="13"/>
      <c r="BN224" s="114"/>
    </row>
    <row r="225" spans="1:66" ht="20.100000000000001" customHeight="1" x14ac:dyDescent="0.4">
      <c r="A225" s="117"/>
      <c r="B225" s="123"/>
      <c r="C225" s="123"/>
      <c r="D225" s="123"/>
      <c r="F225" s="125"/>
      <c r="G225" s="125"/>
      <c r="H225" s="125"/>
      <c r="I225" s="125"/>
      <c r="J225" s="125"/>
      <c r="K225" s="26"/>
      <c r="L225" s="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27"/>
      <c r="AB225" s="29"/>
      <c r="AL225" s="25"/>
      <c r="AM225" s="13"/>
      <c r="AR225" s="116"/>
      <c r="AS225" s="123"/>
      <c r="AT225" s="123"/>
      <c r="AU225" s="123"/>
      <c r="AZ225" s="115"/>
      <c r="BA225" s="115"/>
      <c r="BB225" s="115"/>
      <c r="BC225" s="115"/>
      <c r="BD225" s="115"/>
      <c r="BE225" s="115"/>
      <c r="BF225" s="115"/>
      <c r="BG225" s="115"/>
      <c r="BH225" s="115"/>
      <c r="BI225" s="115"/>
      <c r="BJ225" s="25"/>
      <c r="BK225" s="13"/>
      <c r="BN225" s="114"/>
    </row>
    <row r="226" spans="1:66" ht="20.100000000000001" customHeight="1" x14ac:dyDescent="0.4">
      <c r="A226" s="117"/>
      <c r="B226" s="123"/>
      <c r="C226" s="123"/>
      <c r="D226" s="123"/>
      <c r="F226" s="125"/>
      <c r="G226" s="125"/>
      <c r="H226" s="125"/>
      <c r="I226" s="125"/>
      <c r="J226" s="125"/>
      <c r="K226" s="26"/>
      <c r="L226" s="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27"/>
      <c r="AB226" s="29"/>
      <c r="AL226" s="25"/>
      <c r="AM226" s="13"/>
      <c r="AR226" s="116"/>
      <c r="AS226" s="123"/>
      <c r="AT226" s="123"/>
      <c r="AU226" s="123"/>
      <c r="AZ226" s="115"/>
      <c r="BA226" s="115"/>
      <c r="BB226" s="115"/>
      <c r="BC226" s="115"/>
      <c r="BD226" s="115"/>
      <c r="BE226" s="115"/>
      <c r="BF226" s="115"/>
      <c r="BG226" s="115"/>
      <c r="BH226" s="115"/>
      <c r="BI226" s="115"/>
      <c r="BJ226" s="25"/>
      <c r="BK226" s="13"/>
      <c r="BN226" s="114"/>
    </row>
    <row r="227" spans="1:66" ht="20.100000000000001" customHeight="1" x14ac:dyDescent="0.4">
      <c r="A227" s="117"/>
      <c r="B227" s="123"/>
      <c r="C227" s="123"/>
      <c r="D227" s="123"/>
      <c r="F227" s="125"/>
      <c r="G227" s="125"/>
      <c r="H227" s="125"/>
      <c r="I227" s="125"/>
      <c r="J227" s="125"/>
      <c r="K227" s="26"/>
      <c r="L227" s="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27"/>
      <c r="AB227" s="29"/>
      <c r="AL227" s="25"/>
      <c r="AM227" s="13"/>
      <c r="AR227" s="116"/>
      <c r="AS227" s="123"/>
      <c r="AT227" s="123"/>
      <c r="AU227" s="123"/>
      <c r="AZ227" s="115"/>
      <c r="BA227" s="115"/>
      <c r="BB227" s="115"/>
      <c r="BC227" s="115"/>
      <c r="BD227" s="115"/>
      <c r="BE227" s="115"/>
      <c r="BF227" s="115"/>
      <c r="BG227" s="115"/>
      <c r="BH227" s="115"/>
      <c r="BI227" s="115"/>
      <c r="BJ227" s="25"/>
      <c r="BK227" s="13"/>
      <c r="BN227" s="114"/>
    </row>
    <row r="228" spans="1:66" ht="20.100000000000001" customHeight="1" x14ac:dyDescent="0.4">
      <c r="A228" s="117"/>
      <c r="B228" s="123"/>
      <c r="C228" s="123"/>
      <c r="D228" s="123"/>
      <c r="F228" s="125"/>
      <c r="G228" s="125"/>
      <c r="H228" s="125"/>
      <c r="I228" s="125"/>
      <c r="J228" s="125"/>
      <c r="K228" s="26"/>
      <c r="L228" s="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27"/>
      <c r="AB228" s="29"/>
      <c r="AL228" s="25"/>
      <c r="AM228" s="13"/>
      <c r="AR228" s="116"/>
      <c r="AS228" s="123"/>
      <c r="AT228" s="123"/>
      <c r="AU228" s="123"/>
      <c r="AZ228" s="115"/>
      <c r="BA228" s="115"/>
      <c r="BB228" s="115"/>
      <c r="BC228" s="115"/>
      <c r="BD228" s="115"/>
      <c r="BE228" s="115"/>
      <c r="BF228" s="115"/>
      <c r="BG228" s="115"/>
      <c r="BH228" s="115"/>
      <c r="BI228" s="115"/>
      <c r="BJ228" s="25"/>
      <c r="BK228" s="13"/>
      <c r="BN228" s="114"/>
    </row>
    <row r="229" spans="1:66" ht="20.100000000000001" customHeight="1" x14ac:dyDescent="0.4">
      <c r="A229" s="117"/>
      <c r="B229" s="123"/>
      <c r="C229" s="123"/>
      <c r="D229" s="123"/>
      <c r="F229" s="125"/>
      <c r="G229" s="125"/>
      <c r="H229" s="125"/>
      <c r="I229" s="125"/>
      <c r="J229" s="125"/>
      <c r="K229" s="26"/>
      <c r="L229" s="13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29"/>
      <c r="AB229" s="29"/>
      <c r="AL229" s="25"/>
      <c r="AM229" s="13"/>
      <c r="AR229" s="116"/>
      <c r="AS229" s="123"/>
      <c r="AT229" s="123"/>
      <c r="AU229" s="123"/>
      <c r="AZ229" s="115"/>
      <c r="BA229" s="115"/>
      <c r="BB229" s="115"/>
      <c r="BC229" s="115"/>
      <c r="BD229" s="115"/>
      <c r="BE229" s="115"/>
      <c r="BF229" s="115"/>
      <c r="BG229" s="115"/>
      <c r="BH229" s="115"/>
      <c r="BI229" s="115"/>
      <c r="BJ229" s="25"/>
      <c r="BK229" s="13"/>
      <c r="BN229" s="114"/>
    </row>
    <row r="230" spans="1:66" ht="20.100000000000001" customHeight="1" x14ac:dyDescent="0.4">
      <c r="A230" s="117"/>
      <c r="B230" s="123"/>
      <c r="C230" s="123"/>
      <c r="D230" s="123"/>
      <c r="F230" s="125"/>
      <c r="G230" s="125"/>
      <c r="H230" s="125"/>
      <c r="I230" s="125"/>
      <c r="J230" s="125"/>
      <c r="K230" s="26"/>
      <c r="L230" s="13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27"/>
      <c r="AB230" s="29"/>
      <c r="AL230" s="25"/>
      <c r="AM230" s="13"/>
      <c r="AR230" s="116"/>
      <c r="AS230" s="123"/>
      <c r="AT230" s="123"/>
      <c r="AU230" s="123"/>
      <c r="AZ230" s="115"/>
      <c r="BA230" s="115"/>
      <c r="BB230" s="115"/>
      <c r="BC230" s="115"/>
      <c r="BD230" s="115"/>
      <c r="BE230" s="115"/>
      <c r="BF230" s="115"/>
      <c r="BG230" s="115"/>
      <c r="BH230" s="115"/>
      <c r="BI230" s="115"/>
      <c r="BJ230" s="25"/>
      <c r="BK230" s="13"/>
      <c r="BN230" s="114"/>
    </row>
    <row r="231" spans="1:66" ht="20.100000000000001" customHeight="1" x14ac:dyDescent="0.4">
      <c r="A231" s="117"/>
      <c r="B231" s="123"/>
      <c r="C231" s="123"/>
      <c r="D231" s="123"/>
      <c r="F231" s="125"/>
      <c r="G231" s="125"/>
      <c r="H231" s="125"/>
      <c r="I231" s="125"/>
      <c r="J231" s="125"/>
      <c r="K231" s="26"/>
      <c r="L231" s="13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27"/>
      <c r="AB231" s="29"/>
      <c r="AL231" s="25"/>
      <c r="AM231" s="13"/>
      <c r="AR231" s="116"/>
      <c r="AS231" s="123"/>
      <c r="AT231" s="123"/>
      <c r="AU231" s="123"/>
      <c r="AZ231" s="115"/>
      <c r="BA231" s="115"/>
      <c r="BB231" s="115"/>
      <c r="BC231" s="115"/>
      <c r="BD231" s="115"/>
      <c r="BE231" s="115"/>
      <c r="BF231" s="115"/>
      <c r="BG231" s="115"/>
      <c r="BH231" s="115"/>
      <c r="BI231" s="115"/>
      <c r="BJ231" s="25"/>
      <c r="BK231" s="13"/>
      <c r="BN231" s="114"/>
    </row>
    <row r="232" spans="1:66" ht="20.100000000000001" customHeight="1" x14ac:dyDescent="0.4">
      <c r="A232" s="117"/>
      <c r="B232" s="123"/>
      <c r="C232" s="123"/>
      <c r="D232" s="123"/>
      <c r="F232" s="125"/>
      <c r="G232" s="125"/>
      <c r="H232" s="125"/>
      <c r="I232" s="125"/>
      <c r="J232" s="125"/>
      <c r="K232" s="26"/>
      <c r="L232" s="13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27"/>
      <c r="AB232" s="29"/>
      <c r="AL232" s="25"/>
      <c r="AM232" s="13"/>
      <c r="AR232" s="116"/>
      <c r="AS232" s="123"/>
      <c r="AT232" s="123"/>
      <c r="AU232" s="123"/>
      <c r="AZ232" s="115"/>
      <c r="BA232" s="115"/>
      <c r="BB232" s="115"/>
      <c r="BC232" s="115"/>
      <c r="BD232" s="115"/>
      <c r="BE232" s="115"/>
      <c r="BF232" s="115"/>
      <c r="BG232" s="115"/>
      <c r="BH232" s="115"/>
      <c r="BI232" s="115"/>
      <c r="BJ232" s="25"/>
      <c r="BK232" s="13"/>
      <c r="BN232" s="114"/>
    </row>
    <row r="233" spans="1:66" ht="20.100000000000001" customHeight="1" x14ac:dyDescent="0.4">
      <c r="A233" s="117"/>
      <c r="B233" s="123"/>
      <c r="C233" s="123"/>
      <c r="D233" s="123"/>
      <c r="F233" s="125"/>
      <c r="G233" s="125"/>
      <c r="H233" s="125"/>
      <c r="I233" s="125"/>
      <c r="J233" s="125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27"/>
      <c r="AB233" s="29"/>
      <c r="AL233" s="25"/>
      <c r="AM233" s="13"/>
      <c r="AR233" s="116"/>
      <c r="AS233" s="123"/>
      <c r="AT233" s="123"/>
      <c r="AU233" s="123"/>
      <c r="AZ233" s="115"/>
      <c r="BA233" s="115"/>
      <c r="BB233" s="115"/>
      <c r="BC233" s="115"/>
      <c r="BD233" s="115"/>
      <c r="BE233" s="115"/>
      <c r="BF233" s="115"/>
      <c r="BG233" s="115"/>
      <c r="BH233" s="115"/>
      <c r="BI233" s="115"/>
      <c r="BJ233" s="25"/>
      <c r="BK233" s="13"/>
      <c r="BN233" s="114"/>
    </row>
    <row r="234" spans="1:66" ht="20.100000000000001" customHeight="1" x14ac:dyDescent="0.4">
      <c r="A234" s="117"/>
      <c r="B234" s="123"/>
      <c r="C234" s="123"/>
      <c r="D234" s="123"/>
      <c r="F234" s="125"/>
      <c r="G234" s="125"/>
      <c r="H234" s="125"/>
      <c r="I234" s="125"/>
      <c r="J234" s="125"/>
      <c r="K234" s="17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27"/>
      <c r="AB234" s="29"/>
      <c r="AL234" s="25"/>
      <c r="AM234" s="13"/>
      <c r="AR234" s="116"/>
      <c r="AS234" s="123"/>
      <c r="AT234" s="123"/>
      <c r="AU234" s="123"/>
      <c r="AZ234" s="115"/>
      <c r="BA234" s="115"/>
      <c r="BB234" s="115"/>
      <c r="BC234" s="115"/>
      <c r="BD234" s="115"/>
      <c r="BE234" s="115"/>
      <c r="BF234" s="115"/>
      <c r="BG234" s="115"/>
      <c r="BH234" s="115"/>
      <c r="BI234" s="115"/>
      <c r="BJ234" s="25"/>
      <c r="BK234" s="13"/>
      <c r="BN234" s="114"/>
    </row>
    <row r="235" spans="1:66" ht="20.100000000000001" customHeight="1" x14ac:dyDescent="0.4">
      <c r="A235" s="117"/>
      <c r="B235" s="123"/>
      <c r="C235" s="123"/>
      <c r="D235" s="123"/>
      <c r="F235" s="125"/>
      <c r="G235" s="125"/>
      <c r="H235" s="125"/>
      <c r="I235" s="125"/>
      <c r="J235" s="125"/>
      <c r="K235" s="26"/>
      <c r="L235" s="13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27"/>
      <c r="AB235" s="29"/>
      <c r="AL235" s="25"/>
      <c r="AM235" s="13"/>
      <c r="AR235" s="116"/>
      <c r="AS235" s="123"/>
      <c r="AT235" s="123"/>
      <c r="AU235" s="123"/>
      <c r="AZ235" s="115"/>
      <c r="BA235" s="115"/>
      <c r="BB235" s="115"/>
      <c r="BC235" s="115"/>
      <c r="BD235" s="115"/>
      <c r="BE235" s="115"/>
      <c r="BF235" s="115"/>
      <c r="BG235" s="115"/>
      <c r="BH235" s="115"/>
      <c r="BI235" s="115"/>
      <c r="BJ235" s="25"/>
      <c r="BK235" s="13"/>
      <c r="BN235" s="114"/>
    </row>
    <row r="236" spans="1:66" ht="20.100000000000001" customHeight="1" x14ac:dyDescent="0.4">
      <c r="A236" s="117"/>
      <c r="B236" s="123"/>
      <c r="C236" s="123"/>
      <c r="D236" s="123"/>
      <c r="F236" s="125"/>
      <c r="G236" s="125"/>
      <c r="H236" s="125"/>
      <c r="I236" s="125"/>
      <c r="J236" s="125"/>
      <c r="K236" s="26"/>
      <c r="L236" s="13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27"/>
      <c r="AB236" s="29"/>
      <c r="AL236" s="25"/>
      <c r="AM236" s="13"/>
      <c r="AR236" s="116"/>
      <c r="AS236" s="123"/>
      <c r="AT236" s="123"/>
      <c r="AU236" s="123"/>
      <c r="AZ236" s="115"/>
      <c r="BA236" s="115"/>
      <c r="BB236" s="115"/>
      <c r="BC236" s="115"/>
      <c r="BD236" s="115"/>
      <c r="BE236" s="115"/>
      <c r="BF236" s="115"/>
      <c r="BG236" s="115"/>
      <c r="BH236" s="115"/>
      <c r="BI236" s="115"/>
      <c r="BJ236" s="25"/>
      <c r="BK236" s="13"/>
      <c r="BN236" s="114"/>
    </row>
    <row r="237" spans="1:66" ht="20.100000000000001" customHeight="1" x14ac:dyDescent="0.4">
      <c r="A237" s="117"/>
      <c r="B237" s="123"/>
      <c r="C237" s="123"/>
      <c r="D237" s="123"/>
      <c r="F237" s="125"/>
      <c r="G237" s="125"/>
      <c r="H237" s="125"/>
      <c r="I237" s="125"/>
      <c r="J237" s="125"/>
      <c r="K237" s="26"/>
      <c r="L237" s="13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29"/>
      <c r="AB237" s="29"/>
      <c r="AL237" s="25"/>
      <c r="AM237" s="13"/>
      <c r="AR237" s="116"/>
      <c r="AS237" s="123"/>
      <c r="AT237" s="123"/>
      <c r="AU237" s="123"/>
      <c r="AZ237" s="115"/>
      <c r="BA237" s="115"/>
      <c r="BB237" s="115"/>
      <c r="BC237" s="115"/>
      <c r="BD237" s="115"/>
      <c r="BE237" s="115"/>
      <c r="BF237" s="115"/>
      <c r="BG237" s="115"/>
      <c r="BH237" s="115"/>
      <c r="BI237" s="115"/>
      <c r="BJ237" s="25"/>
      <c r="BK237" s="13"/>
      <c r="BN237" s="114"/>
    </row>
    <row r="238" spans="1:66" ht="20.100000000000001" customHeight="1" x14ac:dyDescent="0.4">
      <c r="A238" s="117"/>
      <c r="B238" s="123"/>
      <c r="C238" s="123"/>
      <c r="D238" s="123"/>
      <c r="F238" s="125"/>
      <c r="G238" s="125"/>
      <c r="H238" s="125"/>
      <c r="I238" s="125"/>
      <c r="J238" s="125"/>
      <c r="K238" s="26"/>
      <c r="L238" s="13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27"/>
      <c r="AB238" s="29"/>
      <c r="AL238" s="25"/>
      <c r="AM238" s="13"/>
      <c r="AR238" s="116"/>
      <c r="AS238" s="123"/>
      <c r="AT238" s="123"/>
      <c r="AU238" s="123"/>
      <c r="AZ238" s="115"/>
      <c r="BA238" s="115"/>
      <c r="BB238" s="115"/>
      <c r="BC238" s="115"/>
      <c r="BD238" s="115"/>
      <c r="BE238" s="115"/>
      <c r="BF238" s="115"/>
      <c r="BG238" s="115"/>
      <c r="BH238" s="115"/>
      <c r="BI238" s="115"/>
      <c r="BJ238" s="25"/>
      <c r="BK238" s="13"/>
      <c r="BN238" s="114"/>
    </row>
    <row r="239" spans="1:66" ht="20.100000000000001" customHeight="1" x14ac:dyDescent="0.4">
      <c r="A239" s="117"/>
      <c r="B239" s="123"/>
      <c r="C239" s="123"/>
      <c r="D239" s="123"/>
      <c r="F239" s="125"/>
      <c r="G239" s="125"/>
      <c r="H239" s="125"/>
      <c r="I239" s="125"/>
      <c r="J239" s="125"/>
      <c r="K239" s="26"/>
      <c r="L239" s="13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27"/>
      <c r="AB239" s="29"/>
      <c r="AL239" s="25"/>
      <c r="AM239" s="13"/>
      <c r="AR239" s="116"/>
      <c r="AS239" s="123"/>
      <c r="AT239" s="123"/>
      <c r="AU239" s="123"/>
      <c r="AZ239" s="115"/>
      <c r="BA239" s="115"/>
      <c r="BB239" s="115"/>
      <c r="BC239" s="115"/>
      <c r="BD239" s="115"/>
      <c r="BE239" s="115"/>
      <c r="BF239" s="115"/>
      <c r="BG239" s="115"/>
      <c r="BH239" s="115"/>
      <c r="BI239" s="115"/>
      <c r="BJ239" s="25"/>
      <c r="BK239" s="13"/>
      <c r="BN239" s="114"/>
    </row>
    <row r="240" spans="1:66" ht="20.100000000000001" customHeight="1" x14ac:dyDescent="0.4">
      <c r="A240" s="117"/>
      <c r="B240" s="123"/>
      <c r="C240" s="123"/>
      <c r="D240" s="123"/>
      <c r="F240" s="125"/>
      <c r="G240" s="125"/>
      <c r="H240" s="125"/>
      <c r="I240" s="125"/>
      <c r="J240" s="125"/>
      <c r="K240" s="26"/>
      <c r="L240" s="13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27"/>
      <c r="AB240" s="29"/>
      <c r="AL240" s="25"/>
      <c r="AM240" s="13"/>
      <c r="AR240" s="116"/>
      <c r="AS240" s="123"/>
      <c r="AT240" s="123"/>
      <c r="AU240" s="123"/>
      <c r="AZ240" s="115"/>
      <c r="BA240" s="115"/>
      <c r="BB240" s="115"/>
      <c r="BC240" s="115"/>
      <c r="BD240" s="115"/>
      <c r="BE240" s="115"/>
      <c r="BF240" s="115"/>
      <c r="BG240" s="115"/>
      <c r="BH240" s="115"/>
      <c r="BI240" s="115"/>
      <c r="BJ240" s="25"/>
      <c r="BK240" s="13"/>
      <c r="BN240" s="114"/>
    </row>
    <row r="241" spans="1:66" ht="20.100000000000001" customHeight="1" x14ac:dyDescent="0.4">
      <c r="A241" s="117"/>
      <c r="B241" s="123"/>
      <c r="C241" s="123"/>
      <c r="D241" s="123"/>
      <c r="F241" s="125"/>
      <c r="G241" s="125"/>
      <c r="H241" s="125"/>
      <c r="I241" s="125"/>
      <c r="J241" s="125"/>
      <c r="K241" s="17"/>
      <c r="L241" s="13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27"/>
      <c r="AB241" s="29"/>
      <c r="AL241" s="25"/>
      <c r="AM241" s="13"/>
      <c r="AR241" s="116"/>
      <c r="AS241" s="123"/>
      <c r="AT241" s="123"/>
      <c r="AU241" s="123"/>
      <c r="AZ241" s="115"/>
      <c r="BA241" s="115"/>
      <c r="BB241" s="115"/>
      <c r="BC241" s="115"/>
      <c r="BD241" s="115"/>
      <c r="BE241" s="115"/>
      <c r="BF241" s="115"/>
      <c r="BG241" s="115"/>
      <c r="BH241" s="115"/>
      <c r="BI241" s="115"/>
      <c r="BJ241" s="25"/>
      <c r="BK241" s="13"/>
      <c r="BN241" s="114"/>
    </row>
    <row r="242" spans="1:66" ht="20.100000000000001" customHeight="1" x14ac:dyDescent="0.4">
      <c r="A242" s="117"/>
      <c r="B242" s="123"/>
      <c r="C242" s="123"/>
      <c r="D242" s="123"/>
      <c r="F242" s="125"/>
      <c r="G242" s="125"/>
      <c r="H242" s="125"/>
      <c r="I242" s="125"/>
      <c r="J242" s="125"/>
      <c r="K242" s="26"/>
      <c r="L242" s="13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29"/>
      <c r="AB242" s="29"/>
      <c r="AL242" s="25"/>
      <c r="AM242" s="13"/>
      <c r="AR242" s="116"/>
      <c r="AS242" s="123"/>
      <c r="AT242" s="123"/>
      <c r="AU242" s="123"/>
      <c r="AZ242" s="115"/>
      <c r="BA242" s="115"/>
      <c r="BB242" s="115"/>
      <c r="BC242" s="115"/>
      <c r="BD242" s="115"/>
      <c r="BE242" s="115"/>
      <c r="BF242" s="115"/>
      <c r="BG242" s="115"/>
      <c r="BH242" s="115"/>
      <c r="BI242" s="115"/>
      <c r="BJ242" s="25"/>
      <c r="BK242" s="13"/>
      <c r="BN242" s="114"/>
    </row>
    <row r="243" spans="1:66" ht="20.100000000000001" customHeight="1" x14ac:dyDescent="0.4">
      <c r="A243" s="117"/>
      <c r="B243" s="123"/>
      <c r="C243" s="123"/>
      <c r="D243" s="123"/>
      <c r="F243" s="125"/>
      <c r="G243" s="125"/>
      <c r="H243" s="125"/>
      <c r="I243" s="125"/>
      <c r="J243" s="125"/>
      <c r="K243" s="17"/>
      <c r="L243" s="13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29"/>
      <c r="AB243" s="29"/>
      <c r="AL243" s="25"/>
      <c r="AM243" s="13"/>
      <c r="AR243" s="116"/>
      <c r="AS243" s="123"/>
      <c r="AT243" s="123"/>
      <c r="AU243" s="123"/>
      <c r="AZ243" s="115"/>
      <c r="BA243" s="115"/>
      <c r="BB243" s="115"/>
      <c r="BC243" s="115"/>
      <c r="BD243" s="115"/>
      <c r="BE243" s="115"/>
      <c r="BF243" s="115"/>
      <c r="BG243" s="115"/>
      <c r="BH243" s="115"/>
      <c r="BI243" s="115"/>
      <c r="BJ243" s="25"/>
      <c r="BK243" s="13"/>
      <c r="BN243" s="114"/>
    </row>
    <row r="244" spans="1:66" ht="20.100000000000001" customHeight="1" x14ac:dyDescent="0.4">
      <c r="A244" s="117"/>
      <c r="B244" s="123"/>
      <c r="C244" s="123"/>
      <c r="D244" s="123"/>
      <c r="F244" s="125"/>
      <c r="G244" s="125"/>
      <c r="H244" s="125"/>
      <c r="I244" s="125"/>
      <c r="J244" s="125"/>
      <c r="K244" s="26"/>
      <c r="L244" s="13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27"/>
      <c r="AB244" s="29"/>
      <c r="AL244" s="25"/>
      <c r="AM244" s="13"/>
      <c r="AR244" s="116"/>
      <c r="AS244" s="123"/>
      <c r="AT244" s="123"/>
      <c r="AU244" s="123"/>
      <c r="AZ244" s="115"/>
      <c r="BA244" s="115"/>
      <c r="BB244" s="115"/>
      <c r="BC244" s="115"/>
      <c r="BD244" s="115"/>
      <c r="BE244" s="115"/>
      <c r="BF244" s="115"/>
      <c r="BG244" s="115"/>
      <c r="BH244" s="115"/>
      <c r="BI244" s="115"/>
      <c r="BJ244" s="25"/>
      <c r="BK244" s="13"/>
      <c r="BN244" s="114"/>
    </row>
    <row r="245" spans="1:66" ht="20.100000000000001" customHeight="1" x14ac:dyDescent="0.4">
      <c r="A245" s="117"/>
      <c r="B245" s="123"/>
      <c r="C245" s="123"/>
      <c r="D245" s="123"/>
      <c r="F245" s="125"/>
      <c r="G245" s="125"/>
      <c r="H245" s="125"/>
      <c r="I245" s="125"/>
      <c r="J245" s="125"/>
      <c r="K245" s="17"/>
      <c r="L245" s="13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27"/>
      <c r="AB245" s="29"/>
      <c r="AL245" s="25"/>
      <c r="AM245" s="13"/>
      <c r="AR245" s="116"/>
      <c r="AS245" s="123"/>
      <c r="AT245" s="123"/>
      <c r="AU245" s="123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25"/>
      <c r="BK245" s="13"/>
      <c r="BN245" s="114"/>
    </row>
    <row r="246" spans="1:66" ht="20.100000000000001" customHeight="1" x14ac:dyDescent="0.4">
      <c r="A246" s="117"/>
      <c r="B246" s="123"/>
      <c r="C246" s="123"/>
      <c r="D246" s="123"/>
      <c r="F246" s="125"/>
      <c r="G246" s="125"/>
      <c r="H246" s="125"/>
      <c r="I246" s="125"/>
      <c r="J246" s="125"/>
      <c r="K246" s="26"/>
      <c r="L246" s="13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27"/>
      <c r="AB246" s="29"/>
      <c r="AL246" s="25"/>
      <c r="AM246" s="13"/>
      <c r="AR246" s="116"/>
      <c r="AS246" s="123"/>
      <c r="AT246" s="123"/>
      <c r="AU246" s="123"/>
      <c r="AZ246" s="115"/>
      <c r="BA246" s="115"/>
      <c r="BB246" s="115"/>
      <c r="BC246" s="115"/>
      <c r="BD246" s="115"/>
      <c r="BE246" s="115"/>
      <c r="BF246" s="115"/>
      <c r="BG246" s="115"/>
      <c r="BH246" s="115"/>
      <c r="BI246" s="115"/>
      <c r="BJ246" s="25"/>
      <c r="BK246" s="13"/>
      <c r="BN246" s="114"/>
    </row>
    <row r="247" spans="1:66" ht="20.100000000000001" customHeight="1" x14ac:dyDescent="0.4">
      <c r="A247" s="117"/>
      <c r="B247" s="123"/>
      <c r="C247" s="123"/>
      <c r="D247" s="123"/>
      <c r="F247" s="125"/>
      <c r="G247" s="125"/>
      <c r="H247" s="125"/>
      <c r="I247" s="125"/>
      <c r="J247" s="125"/>
      <c r="K247" s="17"/>
      <c r="L247" s="13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27"/>
      <c r="AB247" s="29"/>
      <c r="AL247" s="25"/>
      <c r="AM247" s="13"/>
      <c r="AR247" s="116"/>
      <c r="AS247" s="123"/>
      <c r="AT247" s="123"/>
      <c r="AU247" s="123"/>
      <c r="AZ247" s="115"/>
      <c r="BA247" s="115"/>
      <c r="BB247" s="115"/>
      <c r="BC247" s="115"/>
      <c r="BD247" s="115"/>
      <c r="BE247" s="115"/>
      <c r="BF247" s="115"/>
      <c r="BG247" s="115"/>
      <c r="BH247" s="115"/>
      <c r="BI247" s="115"/>
      <c r="BJ247" s="25"/>
      <c r="BK247" s="13"/>
      <c r="BN247" s="114"/>
    </row>
    <row r="248" spans="1:66" ht="20.100000000000001" customHeight="1" x14ac:dyDescent="0.4">
      <c r="A248" s="117"/>
      <c r="B248" s="123"/>
      <c r="C248" s="123"/>
      <c r="D248" s="123"/>
      <c r="F248" s="125"/>
      <c r="G248" s="125"/>
      <c r="H248" s="125"/>
      <c r="I248" s="125"/>
      <c r="J248" s="125"/>
      <c r="K248" s="26"/>
      <c r="L248" s="13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27"/>
      <c r="AB248" s="29"/>
      <c r="AL248" s="25"/>
      <c r="AM248" s="13"/>
      <c r="AR248" s="116"/>
      <c r="AS248" s="123"/>
      <c r="AT248" s="123"/>
      <c r="AU248" s="123"/>
      <c r="AZ248" s="115"/>
      <c r="BA248" s="115"/>
      <c r="BB248" s="115"/>
      <c r="BC248" s="115"/>
      <c r="BD248" s="115"/>
      <c r="BE248" s="115"/>
      <c r="BF248" s="115"/>
      <c r="BG248" s="115"/>
      <c r="BH248" s="115"/>
      <c r="BI248" s="115"/>
      <c r="BJ248" s="25"/>
      <c r="BK248" s="13"/>
      <c r="BN248" s="114"/>
    </row>
    <row r="249" spans="1:66" ht="20.100000000000001" customHeight="1" x14ac:dyDescent="0.4">
      <c r="A249" s="117"/>
      <c r="B249" s="123"/>
      <c r="C249" s="123"/>
      <c r="D249" s="123"/>
      <c r="F249" s="125"/>
      <c r="G249" s="125"/>
      <c r="H249" s="125"/>
      <c r="I249" s="125"/>
      <c r="J249" s="125"/>
      <c r="K249" s="26"/>
      <c r="L249" s="133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29"/>
      <c r="AB249" s="29"/>
      <c r="AL249" s="25"/>
      <c r="AM249" s="13"/>
      <c r="AR249" s="116"/>
      <c r="AS249" s="123"/>
      <c r="AT249" s="123"/>
      <c r="AU249" s="123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115"/>
      <c r="BJ249" s="25"/>
      <c r="BK249" s="13"/>
      <c r="BN249" s="114"/>
    </row>
    <row r="250" spans="1:66" ht="20.100000000000001" customHeight="1" x14ac:dyDescent="0.4">
      <c r="A250" s="117"/>
      <c r="B250" s="123"/>
      <c r="C250" s="123"/>
      <c r="D250" s="123"/>
      <c r="F250" s="125"/>
      <c r="G250" s="125"/>
      <c r="H250" s="125"/>
      <c r="I250" s="125"/>
      <c r="J250" s="125"/>
      <c r="K250" s="17"/>
      <c r="L250" s="13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29"/>
      <c r="AB250" s="29"/>
      <c r="AL250" s="25"/>
      <c r="AM250" s="13"/>
      <c r="AR250" s="116"/>
      <c r="AS250" s="123"/>
      <c r="AT250" s="123"/>
      <c r="AU250" s="123"/>
      <c r="AZ250" s="115"/>
      <c r="BA250" s="115"/>
      <c r="BB250" s="115"/>
      <c r="BC250" s="115"/>
      <c r="BD250" s="115"/>
      <c r="BE250" s="115"/>
      <c r="BF250" s="115"/>
      <c r="BG250" s="115"/>
      <c r="BH250" s="115"/>
      <c r="BI250" s="115"/>
      <c r="BJ250" s="25"/>
      <c r="BK250" s="13"/>
      <c r="BN250" s="114"/>
    </row>
    <row r="251" spans="1:66" ht="20.100000000000001" customHeight="1" x14ac:dyDescent="0.4">
      <c r="A251" s="117"/>
      <c r="B251" s="123"/>
      <c r="C251" s="123"/>
      <c r="D251" s="123"/>
      <c r="F251" s="125"/>
      <c r="G251" s="125"/>
      <c r="H251" s="125"/>
      <c r="I251" s="125"/>
      <c r="J251" s="125"/>
      <c r="K251" s="26"/>
      <c r="L251" s="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27"/>
      <c r="AB251" s="29"/>
      <c r="AL251" s="25"/>
      <c r="AM251" s="13"/>
      <c r="AR251" s="116"/>
      <c r="AS251" s="123"/>
      <c r="AT251" s="123"/>
      <c r="AU251" s="123"/>
      <c r="AZ251" s="115"/>
      <c r="BA251" s="115"/>
      <c r="BB251" s="115"/>
      <c r="BC251" s="115"/>
      <c r="BD251" s="115"/>
      <c r="BE251" s="115"/>
      <c r="BF251" s="115"/>
      <c r="BG251" s="115"/>
      <c r="BH251" s="115"/>
      <c r="BI251" s="115"/>
      <c r="BJ251" s="25"/>
      <c r="BK251" s="13"/>
      <c r="BN251" s="114"/>
    </row>
    <row r="252" spans="1:66" ht="20.100000000000001" customHeight="1" x14ac:dyDescent="0.4">
      <c r="A252" s="117"/>
      <c r="B252" s="123"/>
      <c r="C252" s="123"/>
      <c r="D252" s="123"/>
      <c r="F252" s="125"/>
      <c r="G252" s="125"/>
      <c r="H252" s="125"/>
      <c r="I252" s="125"/>
      <c r="J252" s="125"/>
      <c r="K252" s="119"/>
      <c r="L252" s="119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27"/>
      <c r="AB252" s="29"/>
      <c r="AL252" s="25"/>
      <c r="AM252" s="13"/>
      <c r="AR252" s="116"/>
      <c r="AS252" s="123"/>
      <c r="AT252" s="123"/>
      <c r="AU252" s="123"/>
      <c r="AZ252" s="115"/>
      <c r="BA252" s="115"/>
      <c r="BB252" s="115"/>
      <c r="BC252" s="115"/>
      <c r="BD252" s="115"/>
      <c r="BE252" s="115"/>
      <c r="BF252" s="115"/>
      <c r="BG252" s="115"/>
      <c r="BH252" s="115"/>
      <c r="BI252" s="115"/>
      <c r="BJ252" s="25"/>
      <c r="BK252" s="13"/>
      <c r="BN252" s="114"/>
    </row>
    <row r="253" spans="1:66" ht="20.100000000000001" customHeight="1" x14ac:dyDescent="0.4">
      <c r="A253" s="117"/>
      <c r="B253" s="123"/>
      <c r="C253" s="123"/>
      <c r="D253" s="123"/>
      <c r="F253" s="125"/>
      <c r="G253" s="125"/>
      <c r="H253" s="125"/>
      <c r="I253" s="125"/>
      <c r="J253" s="125"/>
      <c r="K253" s="119"/>
      <c r="L253" s="119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27"/>
      <c r="AB253" s="29"/>
      <c r="AL253" s="25"/>
      <c r="AM253" s="13"/>
      <c r="AR253" s="116"/>
      <c r="AS253" s="123"/>
      <c r="AT253" s="123"/>
      <c r="AU253" s="123"/>
      <c r="AZ253" s="115"/>
      <c r="BA253" s="115"/>
      <c r="BB253" s="115"/>
      <c r="BC253" s="115"/>
      <c r="BD253" s="115"/>
      <c r="BE253" s="115"/>
      <c r="BF253" s="115"/>
      <c r="BG253" s="115"/>
      <c r="BH253" s="115"/>
      <c r="BI253" s="115"/>
      <c r="BJ253" s="25"/>
      <c r="BK253" s="13"/>
      <c r="BN253" s="114"/>
    </row>
    <row r="254" spans="1:66" ht="20.100000000000001" customHeight="1" x14ac:dyDescent="0.4">
      <c r="A254" s="117"/>
      <c r="B254" s="123"/>
      <c r="C254" s="123"/>
      <c r="D254" s="123"/>
      <c r="F254" s="125"/>
      <c r="G254" s="125"/>
      <c r="H254" s="125"/>
      <c r="I254" s="125"/>
      <c r="J254" s="12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27"/>
      <c r="AB254" s="29"/>
      <c r="AL254" s="25"/>
      <c r="AM254" s="13"/>
      <c r="AR254" s="116"/>
      <c r="AS254" s="123"/>
      <c r="AT254" s="123"/>
      <c r="AU254" s="123"/>
      <c r="AZ254" s="115"/>
      <c r="BA254" s="115"/>
      <c r="BB254" s="115"/>
      <c r="BC254" s="115"/>
      <c r="BD254" s="115"/>
      <c r="BE254" s="115"/>
      <c r="BF254" s="115"/>
      <c r="BG254" s="115"/>
      <c r="BH254" s="115"/>
      <c r="BI254" s="115"/>
      <c r="BJ254" s="25"/>
      <c r="BK254" s="13"/>
      <c r="BN254" s="114"/>
    </row>
    <row r="255" spans="1:66" ht="20.100000000000001" customHeight="1" x14ac:dyDescent="0.4">
      <c r="A255" s="117"/>
      <c r="B255" s="123"/>
      <c r="C255" s="123"/>
      <c r="D255" s="123"/>
      <c r="F255" s="125"/>
      <c r="G255" s="125"/>
      <c r="H255" s="125"/>
      <c r="I255" s="125"/>
      <c r="J255" s="12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27"/>
      <c r="AB255" s="29"/>
      <c r="AL255" s="25"/>
      <c r="AM255" s="13"/>
      <c r="AR255" s="116"/>
      <c r="AS255" s="123"/>
      <c r="AT255" s="123"/>
      <c r="AU255" s="123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115"/>
      <c r="BJ255" s="25"/>
      <c r="BK255" s="13"/>
      <c r="BN255" s="114"/>
    </row>
    <row r="256" spans="1:66" ht="20.100000000000001" customHeight="1" x14ac:dyDescent="0.4">
      <c r="A256" s="117"/>
      <c r="B256" s="123"/>
      <c r="C256" s="123"/>
      <c r="D256" s="123"/>
      <c r="F256" s="125"/>
      <c r="G256" s="125"/>
      <c r="H256" s="125"/>
      <c r="I256" s="125"/>
      <c r="J256" s="12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27"/>
      <c r="AB256" s="29"/>
      <c r="AL256" s="25"/>
      <c r="AM256" s="13"/>
      <c r="AR256" s="116"/>
      <c r="AS256" s="123"/>
      <c r="AT256" s="123"/>
      <c r="AU256" s="123"/>
      <c r="AZ256" s="115"/>
      <c r="BA256" s="115"/>
      <c r="BB256" s="115"/>
      <c r="BC256" s="115"/>
      <c r="BD256" s="115"/>
      <c r="BE256" s="115"/>
      <c r="BF256" s="115"/>
      <c r="BG256" s="115"/>
      <c r="BH256" s="115"/>
      <c r="BI256" s="115"/>
      <c r="BJ256" s="25"/>
      <c r="BK256" s="13"/>
      <c r="BN256" s="114"/>
    </row>
    <row r="257" spans="1:66" ht="20.100000000000001" customHeight="1" x14ac:dyDescent="0.4">
      <c r="A257" s="117"/>
      <c r="B257" s="123"/>
      <c r="C257" s="123"/>
      <c r="D257" s="123"/>
      <c r="F257" s="125"/>
      <c r="G257" s="125"/>
      <c r="H257" s="125"/>
      <c r="I257" s="125"/>
      <c r="J257" s="12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29"/>
      <c r="AB257" s="29"/>
      <c r="AL257" s="25"/>
      <c r="AM257" s="13"/>
      <c r="AR257" s="116"/>
      <c r="AS257" s="123"/>
      <c r="AT257" s="123"/>
      <c r="AU257" s="123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115"/>
      <c r="BJ257" s="25"/>
      <c r="BK257" s="13"/>
      <c r="BN257" s="114"/>
    </row>
    <row r="258" spans="1:66" ht="20.100000000000001" customHeight="1" x14ac:dyDescent="0.4">
      <c r="A258" s="117"/>
      <c r="B258" s="123"/>
      <c r="C258" s="123"/>
      <c r="D258" s="123"/>
      <c r="F258" s="125"/>
      <c r="G258" s="125"/>
      <c r="H258" s="125"/>
      <c r="I258" s="125"/>
      <c r="J258" s="125"/>
      <c r="AA258" s="127"/>
      <c r="AB258" s="29"/>
      <c r="AH258" s="115"/>
      <c r="AI258" s="115"/>
      <c r="AJ258" s="115"/>
      <c r="AK258" s="115"/>
      <c r="AL258" s="25">
        <v>45669</v>
      </c>
      <c r="AM258" s="13" t="s">
        <v>147</v>
      </c>
      <c r="AR258" s="116"/>
      <c r="AS258" s="123"/>
      <c r="AT258" s="123"/>
      <c r="AU258" s="123"/>
      <c r="AZ258" s="115"/>
      <c r="BA258" s="115"/>
      <c r="BB258" s="115"/>
      <c r="BC258" s="115"/>
      <c r="BD258" s="115"/>
      <c r="BE258" s="115"/>
      <c r="BF258" s="115"/>
      <c r="BG258" s="115"/>
      <c r="BH258" s="115"/>
      <c r="BI258" s="115"/>
      <c r="BJ258" s="25"/>
      <c r="BK258" s="13"/>
      <c r="BN258" s="114"/>
    </row>
    <row r="259" spans="1:66" ht="20.100000000000001" customHeight="1" x14ac:dyDescent="0.4">
      <c r="A259" s="117"/>
      <c r="B259" s="123"/>
      <c r="C259" s="123"/>
      <c r="D259" s="123"/>
      <c r="F259" s="125"/>
      <c r="G259" s="125"/>
      <c r="H259" s="125"/>
      <c r="I259" s="125"/>
      <c r="J259" s="125"/>
      <c r="Y259" s="115"/>
      <c r="Z259" s="115"/>
      <c r="AA259" s="29"/>
      <c r="AB259" s="29"/>
      <c r="AH259" s="115"/>
      <c r="AI259" s="115"/>
      <c r="AJ259" s="115"/>
      <c r="AK259" s="115"/>
      <c r="AL259" s="25"/>
      <c r="AM259" s="13"/>
      <c r="AR259" s="116"/>
      <c r="AS259" s="123"/>
      <c r="AT259" s="123"/>
      <c r="AU259" s="123"/>
      <c r="AZ259" s="115"/>
      <c r="BA259" s="115"/>
      <c r="BB259" s="115"/>
      <c r="BC259" s="115"/>
      <c r="BD259" s="115"/>
      <c r="BE259" s="115"/>
      <c r="BF259" s="115"/>
      <c r="BG259" s="115"/>
      <c r="BH259" s="115"/>
      <c r="BI259" s="115"/>
      <c r="BJ259" s="25"/>
      <c r="BK259" s="13"/>
      <c r="BN259" s="114"/>
    </row>
    <row r="260" spans="1:66" ht="20.100000000000001" customHeight="1" x14ac:dyDescent="0.4">
      <c r="A260" s="117"/>
      <c r="B260" s="123"/>
      <c r="C260" s="123"/>
      <c r="D260" s="123"/>
      <c r="F260" s="125"/>
      <c r="G260" s="125"/>
      <c r="H260" s="125"/>
      <c r="I260" s="125"/>
      <c r="J260" s="12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27"/>
      <c r="AB260" s="29"/>
      <c r="AH260" s="115"/>
      <c r="AI260" s="115"/>
      <c r="AJ260" s="115"/>
      <c r="AK260" s="115"/>
      <c r="AL260" s="25"/>
      <c r="AM260" s="13"/>
      <c r="AR260" s="116"/>
      <c r="AS260" s="123"/>
      <c r="AT260" s="123"/>
      <c r="AU260" s="123"/>
      <c r="AZ260" s="115"/>
      <c r="BA260" s="115"/>
      <c r="BB260" s="115"/>
      <c r="BC260" s="115"/>
      <c r="BD260" s="115"/>
      <c r="BE260" s="115"/>
      <c r="BF260" s="115"/>
      <c r="BG260" s="115"/>
      <c r="BH260" s="115"/>
      <c r="BI260" s="115"/>
      <c r="BJ260" s="25"/>
      <c r="BK260" s="13"/>
      <c r="BN260" s="114"/>
    </row>
    <row r="261" spans="1:66" ht="20.100000000000001" customHeight="1" x14ac:dyDescent="0.4">
      <c r="A261" s="117"/>
      <c r="B261" s="123"/>
      <c r="C261" s="123"/>
      <c r="D261" s="123"/>
      <c r="F261" s="125"/>
      <c r="G261" s="125"/>
      <c r="H261" s="125"/>
      <c r="I261" s="125"/>
      <c r="J261" s="125"/>
      <c r="AA261" s="127"/>
      <c r="AB261" s="29"/>
      <c r="AH261" s="115"/>
      <c r="AI261" s="115"/>
      <c r="AJ261" s="115"/>
      <c r="AK261" s="115"/>
      <c r="AL261" s="25"/>
      <c r="AM261" s="13"/>
      <c r="AR261" s="116"/>
      <c r="AS261" s="123"/>
      <c r="AT261" s="123"/>
      <c r="AU261" s="123"/>
      <c r="AZ261" s="115"/>
      <c r="BA261" s="115"/>
      <c r="BB261" s="115"/>
      <c r="BC261" s="115"/>
      <c r="BD261" s="115"/>
      <c r="BE261" s="115"/>
      <c r="BF261" s="115"/>
      <c r="BG261" s="115"/>
      <c r="BH261" s="115"/>
      <c r="BI261" s="115"/>
      <c r="BJ261" s="25"/>
      <c r="BK261" s="13"/>
      <c r="BN261" s="114"/>
    </row>
    <row r="262" spans="1:66" ht="20.100000000000001" customHeight="1" x14ac:dyDescent="0.4">
      <c r="A262" s="117"/>
      <c r="B262" s="123"/>
      <c r="C262" s="123"/>
      <c r="D262" s="123"/>
      <c r="F262" s="125"/>
      <c r="G262" s="125"/>
      <c r="H262" s="125"/>
      <c r="I262" s="125"/>
      <c r="J262" s="125"/>
      <c r="Y262" s="115"/>
      <c r="Z262" s="115"/>
      <c r="AA262" s="29"/>
      <c r="AB262" s="29"/>
      <c r="AH262" s="115"/>
      <c r="AI262" s="115"/>
      <c r="AJ262" s="115"/>
      <c r="AK262" s="115"/>
      <c r="AL262" s="25"/>
      <c r="AM262" s="13"/>
      <c r="AR262" s="116"/>
      <c r="AS262" s="123"/>
      <c r="AT262" s="123"/>
      <c r="AU262" s="123"/>
      <c r="AZ262" s="115"/>
      <c r="BA262" s="115"/>
      <c r="BB262" s="115"/>
      <c r="BC262" s="115"/>
      <c r="BD262" s="115"/>
      <c r="BE262" s="115"/>
      <c r="BF262" s="115"/>
      <c r="BG262" s="115"/>
      <c r="BH262" s="115"/>
      <c r="BI262" s="115"/>
      <c r="BJ262" s="25"/>
      <c r="BK262" s="13"/>
      <c r="BN262" s="114"/>
    </row>
    <row r="263" spans="1:66" ht="20.100000000000001" customHeight="1" x14ac:dyDescent="0.4">
      <c r="A263" s="117"/>
      <c r="B263" s="123"/>
      <c r="C263" s="123"/>
      <c r="D263" s="123"/>
      <c r="F263" s="125"/>
      <c r="G263" s="125"/>
      <c r="H263" s="125"/>
      <c r="I263" s="125"/>
      <c r="J263" s="12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27"/>
      <c r="AB263" s="29"/>
      <c r="AH263" s="115"/>
      <c r="AI263" s="115"/>
      <c r="AJ263" s="115"/>
      <c r="AK263" s="115"/>
      <c r="AL263" s="25"/>
      <c r="AM263" s="13"/>
      <c r="AR263" s="116"/>
      <c r="AS263" s="123"/>
      <c r="AT263" s="123"/>
      <c r="AU263" s="123"/>
      <c r="AZ263" s="115"/>
      <c r="BA263" s="115"/>
      <c r="BB263" s="115"/>
      <c r="BC263" s="115"/>
      <c r="BD263" s="115"/>
      <c r="BE263" s="115"/>
      <c r="BF263" s="115"/>
      <c r="BG263" s="115"/>
      <c r="BH263" s="115"/>
      <c r="BI263" s="115"/>
      <c r="BJ263" s="25"/>
      <c r="BK263" s="13"/>
      <c r="BN263" s="114"/>
    </row>
    <row r="264" spans="1:66" ht="20.100000000000001" customHeight="1" x14ac:dyDescent="0.4">
      <c r="A264" s="117"/>
      <c r="B264" s="123"/>
      <c r="C264" s="123"/>
      <c r="D264" s="123"/>
      <c r="F264" s="125"/>
      <c r="G264" s="125"/>
      <c r="H264" s="125"/>
      <c r="I264" s="125"/>
      <c r="J264" s="12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27"/>
      <c r="AB264" s="29"/>
      <c r="AH264" s="115"/>
      <c r="AI264" s="115"/>
      <c r="AJ264" s="115"/>
      <c r="AK264" s="115"/>
      <c r="AL264" s="25"/>
      <c r="AM264" s="13"/>
      <c r="AR264" s="116"/>
      <c r="AS264" s="123"/>
      <c r="AT264" s="123"/>
      <c r="AU264" s="123"/>
      <c r="AZ264" s="115"/>
      <c r="BA264" s="115"/>
      <c r="BB264" s="115"/>
      <c r="BC264" s="115"/>
      <c r="BD264" s="115"/>
      <c r="BE264" s="115"/>
      <c r="BF264" s="115"/>
      <c r="BG264" s="115"/>
      <c r="BH264" s="115"/>
      <c r="BI264" s="115"/>
      <c r="BJ264" s="25"/>
      <c r="BK264" s="13"/>
      <c r="BN264" s="114"/>
    </row>
    <row r="265" spans="1:66" ht="20.100000000000001" customHeight="1" x14ac:dyDescent="0.4">
      <c r="A265" s="117"/>
      <c r="B265" s="123"/>
      <c r="C265" s="123"/>
      <c r="D265" s="123"/>
      <c r="F265" s="125"/>
      <c r="G265" s="125"/>
      <c r="H265" s="125"/>
      <c r="I265" s="125"/>
      <c r="J265" s="12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27"/>
      <c r="AB265" s="29"/>
      <c r="AH265" s="115"/>
      <c r="AI265" s="115"/>
      <c r="AJ265" s="115"/>
      <c r="AK265" s="115"/>
      <c r="AL265" s="25"/>
      <c r="AM265" s="13"/>
      <c r="AR265" s="116"/>
      <c r="AS265" s="123"/>
      <c r="AT265" s="123"/>
      <c r="AU265" s="123"/>
      <c r="AZ265" s="115"/>
      <c r="BA265" s="115"/>
      <c r="BB265" s="115"/>
      <c r="BC265" s="115"/>
      <c r="BD265" s="115"/>
      <c r="BE265" s="115"/>
      <c r="BF265" s="115"/>
      <c r="BG265" s="115"/>
      <c r="BH265" s="115"/>
      <c r="BI265" s="115"/>
      <c r="BJ265" s="25"/>
      <c r="BK265" s="13"/>
      <c r="BN265" s="114"/>
    </row>
    <row r="266" spans="1:66" ht="20.100000000000001" customHeight="1" x14ac:dyDescent="0.4">
      <c r="A266" s="117"/>
      <c r="B266" s="123"/>
      <c r="C266" s="123"/>
      <c r="D266" s="123"/>
      <c r="F266" s="125"/>
      <c r="G266" s="125"/>
      <c r="H266" s="125"/>
      <c r="I266" s="125"/>
      <c r="J266" s="12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27"/>
      <c r="AB266" s="29"/>
      <c r="AH266" s="115"/>
      <c r="AI266" s="115"/>
      <c r="AJ266" s="115"/>
      <c r="AK266" s="115"/>
      <c r="AL266" s="25"/>
      <c r="AM266" s="13"/>
      <c r="AR266" s="116"/>
      <c r="AS266" s="123"/>
      <c r="AT266" s="123"/>
      <c r="AU266" s="123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115"/>
      <c r="BJ266" s="25"/>
      <c r="BK266" s="13"/>
      <c r="BN266" s="114"/>
    </row>
    <row r="267" spans="1:66" ht="20.100000000000001" customHeight="1" x14ac:dyDescent="0.4">
      <c r="A267" s="117"/>
      <c r="B267" s="123"/>
      <c r="C267" s="123"/>
      <c r="D267" s="123"/>
      <c r="F267" s="125"/>
      <c r="G267" s="125"/>
      <c r="H267" s="125"/>
      <c r="I267" s="125"/>
      <c r="J267" s="12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27"/>
      <c r="AB267" s="29"/>
      <c r="AH267" s="115"/>
      <c r="AI267" s="115"/>
      <c r="AJ267" s="115"/>
      <c r="AK267" s="115"/>
      <c r="AL267" s="25"/>
      <c r="AM267" s="13"/>
      <c r="AR267" s="116"/>
      <c r="AS267" s="123"/>
      <c r="AT267" s="123"/>
      <c r="AU267" s="123"/>
      <c r="AZ267" s="115"/>
      <c r="BA267" s="115"/>
      <c r="BB267" s="115"/>
      <c r="BC267" s="115"/>
      <c r="BD267" s="115"/>
      <c r="BE267" s="115"/>
      <c r="BF267" s="115"/>
      <c r="BG267" s="115"/>
      <c r="BH267" s="115"/>
      <c r="BI267" s="115"/>
      <c r="BJ267" s="25"/>
      <c r="BK267" s="13"/>
      <c r="BN267" s="114"/>
    </row>
    <row r="268" spans="1:66" ht="20.100000000000001" customHeight="1" x14ac:dyDescent="0.4">
      <c r="A268" s="117"/>
      <c r="B268" s="123"/>
      <c r="C268" s="123"/>
      <c r="D268" s="123"/>
      <c r="F268" s="125"/>
      <c r="G268" s="125"/>
      <c r="H268" s="125"/>
      <c r="I268" s="125"/>
      <c r="J268" s="12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29"/>
      <c r="AB268" s="29"/>
      <c r="AH268" s="115"/>
      <c r="AI268" s="115"/>
      <c r="AJ268" s="115"/>
      <c r="AK268" s="115"/>
      <c r="AL268" s="25"/>
      <c r="AM268" s="13"/>
      <c r="AR268" s="116"/>
      <c r="AS268" s="123"/>
      <c r="AT268" s="123"/>
      <c r="AU268" s="123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115"/>
      <c r="BJ268" s="25"/>
      <c r="BK268" s="13"/>
      <c r="BN268" s="114"/>
    </row>
    <row r="269" spans="1:66" ht="20.100000000000001" customHeight="1" x14ac:dyDescent="0.4">
      <c r="A269" s="117"/>
      <c r="B269" s="123"/>
      <c r="C269" s="123"/>
      <c r="D269" s="123"/>
      <c r="F269" s="125"/>
      <c r="G269" s="125"/>
      <c r="H269" s="125"/>
      <c r="I269" s="125"/>
      <c r="J269" s="12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27"/>
      <c r="AB269" s="29"/>
      <c r="AH269" s="115"/>
      <c r="AI269" s="115"/>
      <c r="AJ269" s="115"/>
      <c r="AK269" s="115"/>
      <c r="AL269" s="25"/>
      <c r="AM269" s="13"/>
      <c r="AR269" s="116"/>
      <c r="AS269" s="123"/>
      <c r="AT269" s="123"/>
      <c r="AU269" s="123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25"/>
      <c r="BK269" s="13"/>
      <c r="BN269" s="114"/>
    </row>
    <row r="270" spans="1:66" ht="20.100000000000001" customHeight="1" x14ac:dyDescent="0.4">
      <c r="A270" s="117"/>
      <c r="B270" s="123"/>
      <c r="C270" s="123"/>
      <c r="D270" s="123"/>
      <c r="F270" s="125"/>
      <c r="G270" s="125"/>
      <c r="H270" s="125"/>
      <c r="I270" s="125"/>
      <c r="J270" s="12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27"/>
      <c r="AB270" s="29"/>
      <c r="AH270" s="115"/>
      <c r="AI270" s="115"/>
      <c r="AJ270" s="115"/>
      <c r="AK270" s="115"/>
      <c r="AL270" s="25"/>
      <c r="AM270" s="13"/>
      <c r="AR270" s="116"/>
      <c r="AS270" s="123"/>
      <c r="AT270" s="123"/>
      <c r="AU270" s="123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25"/>
      <c r="BK270" s="13"/>
      <c r="BN270" s="114"/>
    </row>
    <row r="271" spans="1:66" ht="20.100000000000001" customHeight="1" x14ac:dyDescent="0.4">
      <c r="A271" s="117"/>
      <c r="B271" s="123"/>
      <c r="C271" s="123"/>
      <c r="D271" s="123"/>
      <c r="F271" s="125"/>
      <c r="G271" s="125"/>
      <c r="H271" s="125"/>
      <c r="I271" s="125"/>
      <c r="J271" s="12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27"/>
      <c r="AB271" s="29"/>
      <c r="AH271" s="115"/>
      <c r="AI271" s="115"/>
      <c r="AJ271" s="115"/>
      <c r="AK271" s="115"/>
      <c r="AL271" s="25"/>
      <c r="AM271" s="13"/>
      <c r="AR271" s="116"/>
      <c r="AS271" s="123"/>
      <c r="AT271" s="123"/>
      <c r="AU271" s="123"/>
      <c r="AZ271" s="115"/>
      <c r="BA271" s="115"/>
      <c r="BB271" s="115"/>
      <c r="BC271" s="115"/>
      <c r="BD271" s="115"/>
      <c r="BE271" s="115"/>
      <c r="BF271" s="115"/>
      <c r="BG271" s="115"/>
      <c r="BH271" s="115"/>
      <c r="BI271" s="115"/>
      <c r="BJ271" s="25"/>
      <c r="BK271" s="13"/>
      <c r="BN271" s="114"/>
    </row>
    <row r="272" spans="1:66" ht="20.100000000000001" customHeight="1" x14ac:dyDescent="0.4">
      <c r="A272" s="117"/>
      <c r="B272" s="123"/>
      <c r="C272" s="123"/>
      <c r="D272" s="123"/>
      <c r="F272" s="125"/>
      <c r="G272" s="125"/>
      <c r="H272" s="125"/>
      <c r="I272" s="125"/>
      <c r="J272" s="12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27"/>
      <c r="AB272" s="29"/>
      <c r="AH272" s="115"/>
      <c r="AI272" s="115"/>
      <c r="AJ272" s="115"/>
      <c r="AK272" s="115"/>
      <c r="AL272" s="25"/>
      <c r="AM272" s="13"/>
      <c r="AR272" s="116"/>
      <c r="AS272" s="123"/>
      <c r="AT272" s="123"/>
      <c r="AU272" s="123"/>
      <c r="AZ272" s="115"/>
      <c r="BA272" s="115"/>
      <c r="BB272" s="115"/>
      <c r="BC272" s="115"/>
      <c r="BD272" s="115"/>
      <c r="BE272" s="115"/>
      <c r="BF272" s="115"/>
      <c r="BG272" s="115"/>
      <c r="BH272" s="115"/>
      <c r="BI272" s="115"/>
      <c r="BJ272" s="25"/>
      <c r="BK272" s="13"/>
      <c r="BN272" s="114"/>
    </row>
    <row r="273" spans="1:66" ht="20.100000000000001" customHeight="1" x14ac:dyDescent="0.4">
      <c r="A273" s="117"/>
      <c r="B273" s="123"/>
      <c r="C273" s="123"/>
      <c r="D273" s="123"/>
      <c r="F273" s="125"/>
      <c r="G273" s="125"/>
      <c r="H273" s="125"/>
      <c r="I273" s="125"/>
      <c r="J273" s="12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27"/>
      <c r="AB273" s="29"/>
      <c r="AH273" s="115"/>
      <c r="AI273" s="115"/>
      <c r="AJ273" s="115"/>
      <c r="AK273" s="115"/>
      <c r="AL273" s="25"/>
      <c r="AM273" s="13"/>
      <c r="AR273" s="116"/>
      <c r="AS273" s="123"/>
      <c r="AT273" s="123"/>
      <c r="AU273" s="123"/>
      <c r="AZ273" s="115"/>
      <c r="BA273" s="115"/>
      <c r="BB273" s="115"/>
      <c r="BC273" s="115"/>
      <c r="BD273" s="115"/>
      <c r="BE273" s="115"/>
      <c r="BF273" s="115"/>
      <c r="BG273" s="115"/>
      <c r="BH273" s="115"/>
      <c r="BI273" s="115"/>
      <c r="BJ273" s="25"/>
      <c r="BK273" s="13"/>
      <c r="BN273" s="114"/>
    </row>
    <row r="274" spans="1:66" ht="20.100000000000001" customHeight="1" x14ac:dyDescent="0.4">
      <c r="A274" s="117"/>
      <c r="B274" s="123"/>
      <c r="C274" s="123"/>
      <c r="D274" s="123"/>
      <c r="F274" s="125"/>
      <c r="G274" s="125"/>
      <c r="H274" s="125"/>
      <c r="I274" s="125"/>
      <c r="J274" s="12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27"/>
      <c r="AB274" s="29"/>
      <c r="AH274" s="115"/>
      <c r="AI274" s="115"/>
      <c r="AJ274" s="115"/>
      <c r="AK274" s="115"/>
      <c r="AL274" s="25"/>
      <c r="AM274" s="13"/>
      <c r="AR274" s="116"/>
      <c r="AS274" s="123"/>
      <c r="AT274" s="123"/>
      <c r="AU274" s="123"/>
      <c r="AZ274" s="115"/>
      <c r="BA274" s="115"/>
      <c r="BB274" s="115"/>
      <c r="BC274" s="115"/>
      <c r="BD274" s="115"/>
      <c r="BE274" s="115"/>
      <c r="BF274" s="115"/>
      <c r="BG274" s="115"/>
      <c r="BH274" s="115"/>
      <c r="BI274" s="115"/>
      <c r="BJ274" s="25"/>
      <c r="BK274" s="13"/>
      <c r="BN274" s="114"/>
    </row>
    <row r="275" spans="1:66" ht="20.100000000000001" customHeight="1" x14ac:dyDescent="0.4">
      <c r="A275" s="117"/>
      <c r="B275" s="123"/>
      <c r="C275" s="123"/>
      <c r="D275" s="123"/>
      <c r="F275" s="125"/>
      <c r="G275" s="125"/>
      <c r="H275" s="125"/>
      <c r="I275" s="125"/>
      <c r="J275" s="12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27"/>
      <c r="AB275" s="29"/>
      <c r="AH275" s="115"/>
      <c r="AI275" s="115"/>
      <c r="AJ275" s="115"/>
      <c r="AK275" s="115"/>
      <c r="AL275" s="25"/>
      <c r="AM275" s="13"/>
      <c r="AR275" s="116"/>
      <c r="AS275" s="123"/>
      <c r="AT275" s="123"/>
      <c r="AU275" s="123"/>
      <c r="AZ275" s="115"/>
      <c r="BA275" s="115"/>
      <c r="BB275" s="115"/>
      <c r="BC275" s="115"/>
      <c r="BD275" s="115"/>
      <c r="BE275" s="115"/>
      <c r="BF275" s="115"/>
      <c r="BG275" s="115"/>
      <c r="BH275" s="115"/>
      <c r="BI275" s="115"/>
      <c r="BJ275" s="25"/>
      <c r="BK275" s="13"/>
      <c r="BN275" s="114"/>
    </row>
    <row r="276" spans="1:66" ht="20.100000000000001" customHeight="1" x14ac:dyDescent="0.4">
      <c r="A276" s="117"/>
      <c r="B276" s="123"/>
      <c r="C276" s="123"/>
      <c r="D276" s="123"/>
      <c r="F276" s="125"/>
      <c r="G276" s="125"/>
      <c r="H276" s="125"/>
      <c r="I276" s="125"/>
      <c r="J276" s="12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27"/>
      <c r="AB276" s="29"/>
      <c r="AH276" s="115"/>
      <c r="AI276" s="115"/>
      <c r="AJ276" s="115"/>
      <c r="AK276" s="115"/>
      <c r="AL276" s="25"/>
      <c r="AM276" s="13"/>
      <c r="AR276" s="116"/>
      <c r="AS276" s="123"/>
      <c r="AT276" s="123"/>
      <c r="AU276" s="123"/>
      <c r="AZ276" s="115"/>
      <c r="BA276" s="115"/>
      <c r="BB276" s="115"/>
      <c r="BC276" s="115"/>
      <c r="BD276" s="115"/>
      <c r="BE276" s="115"/>
      <c r="BF276" s="115"/>
      <c r="BG276" s="115"/>
      <c r="BH276" s="115"/>
      <c r="BI276" s="115"/>
      <c r="BJ276" s="25"/>
      <c r="BK276" s="13"/>
      <c r="BN276" s="114"/>
    </row>
    <row r="277" spans="1:66" ht="20.100000000000001" customHeight="1" x14ac:dyDescent="0.4">
      <c r="A277" s="117"/>
      <c r="B277" s="123"/>
      <c r="C277" s="123"/>
      <c r="D277" s="123"/>
      <c r="F277" s="125"/>
      <c r="G277" s="125"/>
      <c r="H277" s="125"/>
      <c r="I277" s="125"/>
      <c r="J277" s="12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27"/>
      <c r="AB277" s="29"/>
      <c r="AH277" s="115"/>
      <c r="AI277" s="115"/>
      <c r="AJ277" s="115"/>
      <c r="AK277" s="115"/>
      <c r="AL277" s="25"/>
      <c r="AM277" s="13"/>
      <c r="AR277" s="116"/>
      <c r="AS277" s="123"/>
      <c r="AT277" s="123"/>
      <c r="AU277" s="123"/>
      <c r="AZ277" s="115"/>
      <c r="BA277" s="115"/>
      <c r="BB277" s="115"/>
      <c r="BC277" s="115"/>
      <c r="BD277" s="115"/>
      <c r="BE277" s="115"/>
      <c r="BF277" s="115"/>
      <c r="BG277" s="115"/>
      <c r="BH277" s="115"/>
      <c r="BI277" s="115"/>
      <c r="BJ277" s="25"/>
      <c r="BK277" s="13"/>
      <c r="BN277" s="114"/>
    </row>
    <row r="278" spans="1:66" ht="20.100000000000001" customHeight="1" x14ac:dyDescent="0.4">
      <c r="A278" s="117"/>
      <c r="B278" s="123"/>
      <c r="C278" s="123"/>
      <c r="D278" s="123"/>
      <c r="F278" s="125"/>
      <c r="G278" s="125"/>
      <c r="H278" s="125"/>
      <c r="I278" s="125"/>
      <c r="J278" s="12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27"/>
      <c r="AB278" s="29"/>
      <c r="AH278" s="115"/>
      <c r="AI278" s="115"/>
      <c r="AJ278" s="115"/>
      <c r="AK278" s="115"/>
      <c r="AL278" s="25"/>
      <c r="AM278" s="13"/>
      <c r="AR278" s="116"/>
      <c r="AS278" s="123"/>
      <c r="AT278" s="123"/>
      <c r="AU278" s="123"/>
      <c r="AZ278" s="115"/>
      <c r="BA278" s="115"/>
      <c r="BB278" s="115"/>
      <c r="BC278" s="115"/>
      <c r="BD278" s="115"/>
      <c r="BE278" s="115"/>
      <c r="BF278" s="115"/>
      <c r="BG278" s="115"/>
      <c r="BH278" s="115"/>
      <c r="BI278" s="115"/>
      <c r="BJ278" s="25"/>
      <c r="BK278" s="13"/>
      <c r="BN278" s="114"/>
    </row>
    <row r="279" spans="1:66" ht="20.100000000000001" customHeight="1" x14ac:dyDescent="0.4">
      <c r="A279" s="117"/>
      <c r="B279" s="123"/>
      <c r="C279" s="123"/>
      <c r="D279" s="123"/>
      <c r="F279" s="125"/>
      <c r="G279" s="125"/>
      <c r="H279" s="125"/>
      <c r="I279" s="125"/>
      <c r="J279" s="12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27"/>
      <c r="AB279" s="29"/>
      <c r="AH279" s="115"/>
      <c r="AI279" s="115"/>
      <c r="AJ279" s="115"/>
      <c r="AK279" s="115"/>
      <c r="AL279" s="25"/>
      <c r="AM279" s="13"/>
      <c r="AR279" s="116"/>
      <c r="AS279" s="123"/>
      <c r="AT279" s="123"/>
      <c r="AU279" s="123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115"/>
      <c r="BJ279" s="25"/>
      <c r="BK279" s="13"/>
      <c r="BN279" s="114"/>
    </row>
    <row r="280" spans="1:66" ht="20.100000000000001" customHeight="1" x14ac:dyDescent="0.4">
      <c r="A280" s="117"/>
      <c r="B280" s="123"/>
      <c r="C280" s="123"/>
      <c r="D280" s="123"/>
      <c r="F280" s="125"/>
      <c r="G280" s="125"/>
      <c r="H280" s="125"/>
      <c r="I280" s="125"/>
      <c r="J280" s="12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29"/>
      <c r="AB280" s="29"/>
      <c r="AH280" s="115"/>
      <c r="AI280" s="115"/>
      <c r="AJ280" s="115"/>
      <c r="AK280" s="115"/>
      <c r="AL280" s="25"/>
      <c r="AM280" s="13"/>
      <c r="AR280" s="116"/>
      <c r="AS280" s="123"/>
      <c r="AT280" s="123"/>
      <c r="AU280" s="123"/>
      <c r="AZ280" s="115"/>
      <c r="BA280" s="115"/>
      <c r="BB280" s="115"/>
      <c r="BC280" s="115"/>
      <c r="BD280" s="115"/>
      <c r="BE280" s="115"/>
      <c r="BF280" s="115"/>
      <c r="BG280" s="115"/>
      <c r="BH280" s="115"/>
      <c r="BI280" s="115"/>
      <c r="BJ280" s="25"/>
      <c r="BK280" s="13"/>
      <c r="BN280" s="114"/>
    </row>
    <row r="281" spans="1:66" ht="20.100000000000001" customHeight="1" x14ac:dyDescent="0.4">
      <c r="A281" s="117"/>
      <c r="B281" s="123"/>
      <c r="C281" s="123"/>
      <c r="D281" s="123"/>
      <c r="F281" s="125"/>
      <c r="G281" s="125"/>
      <c r="H281" s="125"/>
      <c r="I281" s="125"/>
      <c r="J281" s="12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27"/>
      <c r="AB281" s="29"/>
      <c r="AH281" s="115"/>
      <c r="AI281" s="115"/>
      <c r="AJ281" s="115"/>
      <c r="AK281" s="115"/>
      <c r="AL281" s="25"/>
      <c r="AM281" s="13"/>
      <c r="AR281" s="116"/>
      <c r="AS281" s="123"/>
      <c r="AT281" s="123"/>
      <c r="AU281" s="123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25"/>
      <c r="BK281" s="13"/>
      <c r="BN281" s="114"/>
    </row>
    <row r="282" spans="1:66" ht="20.100000000000001" customHeight="1" x14ac:dyDescent="0.4">
      <c r="A282" s="117"/>
      <c r="B282" s="123"/>
      <c r="C282" s="123"/>
      <c r="D282" s="123"/>
      <c r="F282" s="125"/>
      <c r="G282" s="125"/>
      <c r="H282" s="125"/>
      <c r="I282" s="125"/>
      <c r="J282" s="12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27"/>
      <c r="AB282" s="29"/>
      <c r="AH282" s="115"/>
      <c r="AI282" s="115"/>
      <c r="AJ282" s="115"/>
      <c r="AK282" s="115"/>
      <c r="AL282" s="25"/>
      <c r="AM282" s="13"/>
      <c r="AR282" s="116"/>
      <c r="AS282" s="123"/>
      <c r="AT282" s="123"/>
      <c r="AU282" s="123"/>
      <c r="AZ282" s="115"/>
      <c r="BA282" s="115"/>
      <c r="BB282" s="115"/>
      <c r="BC282" s="115"/>
      <c r="BD282" s="115"/>
      <c r="BE282" s="115"/>
      <c r="BF282" s="115"/>
      <c r="BG282" s="115"/>
      <c r="BH282" s="115"/>
      <c r="BI282" s="115"/>
      <c r="BJ282" s="25"/>
      <c r="BK282" s="13"/>
      <c r="BN282" s="114"/>
    </row>
    <row r="283" spans="1:66" ht="20.100000000000001" customHeight="1" x14ac:dyDescent="0.4">
      <c r="A283" s="117"/>
      <c r="B283" s="123"/>
      <c r="C283" s="123"/>
      <c r="D283" s="123"/>
      <c r="F283" s="125"/>
      <c r="G283" s="125"/>
      <c r="H283" s="125"/>
      <c r="I283" s="125"/>
      <c r="J283" s="12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29"/>
      <c r="AB283" s="29"/>
      <c r="AH283" s="115"/>
      <c r="AI283" s="115"/>
      <c r="AJ283" s="115"/>
      <c r="AK283" s="115"/>
      <c r="AL283" s="25"/>
      <c r="AM283" s="13"/>
      <c r="AR283" s="116"/>
      <c r="AS283" s="123"/>
      <c r="AT283" s="123"/>
      <c r="AU283" s="123"/>
      <c r="AZ283" s="115"/>
      <c r="BA283" s="115"/>
      <c r="BB283" s="115"/>
      <c r="BC283" s="115"/>
      <c r="BD283" s="115"/>
      <c r="BE283" s="115"/>
      <c r="BF283" s="115"/>
      <c r="BG283" s="115"/>
      <c r="BH283" s="115"/>
      <c r="BI283" s="115"/>
      <c r="BJ283" s="25"/>
      <c r="BK283" s="13"/>
      <c r="BN283" s="114"/>
    </row>
    <row r="284" spans="1:66" ht="20.100000000000001" customHeight="1" x14ac:dyDescent="0.4">
      <c r="A284" s="117"/>
      <c r="B284" s="123"/>
      <c r="C284" s="123"/>
      <c r="D284" s="123"/>
      <c r="F284" s="125"/>
      <c r="G284" s="125"/>
      <c r="H284" s="125"/>
      <c r="I284" s="125"/>
      <c r="J284" s="12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27"/>
      <c r="AB284" s="29"/>
      <c r="AH284" s="115"/>
      <c r="AI284" s="115"/>
      <c r="AJ284" s="115"/>
      <c r="AK284" s="115"/>
      <c r="AL284" s="25"/>
      <c r="AM284" s="13"/>
      <c r="AR284" s="116"/>
      <c r="AS284" s="123"/>
      <c r="AT284" s="123"/>
      <c r="AU284" s="123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25"/>
      <c r="BK284" s="13"/>
      <c r="BN284" s="114"/>
    </row>
    <row r="285" spans="1:66" ht="20.100000000000001" customHeight="1" x14ac:dyDescent="0.4">
      <c r="A285" s="117"/>
      <c r="B285" s="123"/>
      <c r="C285" s="123"/>
      <c r="D285" s="123"/>
      <c r="F285" s="125"/>
      <c r="G285" s="125"/>
      <c r="H285" s="125"/>
      <c r="I285" s="125"/>
      <c r="J285" s="12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27"/>
      <c r="AB285" s="29"/>
      <c r="AH285" s="115"/>
      <c r="AI285" s="115"/>
      <c r="AJ285" s="115"/>
      <c r="AK285" s="115"/>
      <c r="AL285" s="25"/>
      <c r="AM285" s="13"/>
      <c r="AR285" s="116"/>
      <c r="AS285" s="123"/>
      <c r="AT285" s="123"/>
      <c r="AU285" s="123"/>
      <c r="AZ285" s="115"/>
      <c r="BA285" s="115"/>
      <c r="BB285" s="115"/>
      <c r="BC285" s="115"/>
      <c r="BD285" s="115"/>
      <c r="BE285" s="115"/>
      <c r="BF285" s="115"/>
      <c r="BG285" s="115"/>
      <c r="BH285" s="115"/>
      <c r="BI285" s="115"/>
      <c r="BJ285" s="25"/>
      <c r="BK285" s="13"/>
      <c r="BN285" s="114"/>
    </row>
    <row r="286" spans="1:66" ht="20.100000000000001" customHeight="1" x14ac:dyDescent="0.4">
      <c r="A286" s="117"/>
      <c r="B286" s="123"/>
      <c r="C286" s="123"/>
      <c r="D286" s="123"/>
      <c r="F286" s="125"/>
      <c r="G286" s="125"/>
      <c r="H286" s="125"/>
      <c r="I286" s="125"/>
      <c r="J286" s="125"/>
      <c r="AA286" s="127"/>
      <c r="AB286" s="29"/>
      <c r="AH286" s="115"/>
      <c r="AI286" s="115"/>
      <c r="AJ286" s="115"/>
      <c r="AK286" s="115"/>
      <c r="AL286" s="25">
        <v>45671</v>
      </c>
      <c r="AM286" s="13" t="s">
        <v>146</v>
      </c>
      <c r="AR286" s="116"/>
      <c r="AS286" s="123"/>
      <c r="AT286" s="123"/>
      <c r="AU286" s="123"/>
      <c r="AZ286" s="115"/>
      <c r="BA286" s="115"/>
      <c r="BB286" s="115"/>
      <c r="BC286" s="115"/>
      <c r="BD286" s="115"/>
      <c r="BE286" s="115"/>
      <c r="BF286" s="115"/>
      <c r="BG286" s="115"/>
      <c r="BH286" s="115"/>
      <c r="BI286" s="115"/>
      <c r="BJ286" s="25"/>
      <c r="BK286" s="13"/>
      <c r="BN286" s="114"/>
    </row>
    <row r="287" spans="1:66" ht="20.100000000000001" customHeight="1" x14ac:dyDescent="0.4">
      <c r="A287" s="117"/>
      <c r="B287" s="123"/>
      <c r="C287" s="123"/>
      <c r="D287" s="123"/>
      <c r="F287" s="125"/>
      <c r="G287" s="125"/>
      <c r="H287" s="125"/>
      <c r="I287" s="125"/>
      <c r="J287" s="12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27"/>
      <c r="AB287" s="29"/>
      <c r="AH287" s="115"/>
      <c r="AI287" s="115"/>
      <c r="AJ287" s="115"/>
      <c r="AK287" s="115"/>
      <c r="AL287" s="25"/>
      <c r="AM287" s="13"/>
      <c r="AR287" s="116"/>
      <c r="AS287" s="123"/>
      <c r="AT287" s="123"/>
      <c r="AU287" s="123"/>
      <c r="AZ287" s="115"/>
      <c r="BA287" s="115"/>
      <c r="BB287" s="115"/>
      <c r="BC287" s="115"/>
      <c r="BD287" s="115"/>
      <c r="BE287" s="115"/>
      <c r="BF287" s="115"/>
      <c r="BG287" s="115"/>
      <c r="BH287" s="115"/>
      <c r="BI287" s="115"/>
      <c r="BJ287" s="25"/>
      <c r="BK287" s="13"/>
      <c r="BN287" s="114"/>
    </row>
    <row r="288" spans="1:66" ht="20.100000000000001" customHeight="1" x14ac:dyDescent="0.4">
      <c r="A288" s="117"/>
      <c r="B288" s="123"/>
      <c r="C288" s="123"/>
      <c r="D288" s="123"/>
      <c r="F288" s="125"/>
      <c r="G288" s="125"/>
      <c r="H288" s="125"/>
      <c r="I288" s="125"/>
      <c r="J288" s="12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29"/>
      <c r="AB288" s="29"/>
      <c r="AH288" s="115"/>
      <c r="AI288" s="115"/>
      <c r="AJ288" s="115"/>
      <c r="AK288" s="115"/>
      <c r="AL288" s="25"/>
      <c r="AM288" s="13"/>
      <c r="AR288" s="116"/>
      <c r="AS288" s="123"/>
      <c r="AT288" s="123"/>
      <c r="AU288" s="123"/>
      <c r="AZ288" s="115"/>
      <c r="BA288" s="115"/>
      <c r="BB288" s="115"/>
      <c r="BC288" s="115"/>
      <c r="BD288" s="115"/>
      <c r="BE288" s="115"/>
      <c r="BF288" s="115"/>
      <c r="BG288" s="115"/>
      <c r="BH288" s="115"/>
      <c r="BI288" s="115"/>
      <c r="BJ288" s="25"/>
      <c r="BK288" s="13"/>
      <c r="BN288" s="114"/>
    </row>
    <row r="289" spans="1:66" ht="20.100000000000001" customHeight="1" x14ac:dyDescent="0.4">
      <c r="A289" s="117"/>
      <c r="B289" s="123"/>
      <c r="C289" s="123"/>
      <c r="D289" s="123"/>
      <c r="F289" s="125"/>
      <c r="G289" s="125"/>
      <c r="H289" s="125"/>
      <c r="I289" s="125"/>
      <c r="J289" s="12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27"/>
      <c r="AB289" s="29"/>
      <c r="AH289" s="115"/>
      <c r="AI289" s="115"/>
      <c r="AJ289" s="115"/>
      <c r="AK289" s="115"/>
      <c r="AL289" s="25"/>
      <c r="AM289" s="13"/>
      <c r="AR289" s="116"/>
      <c r="AS289" s="123"/>
      <c r="AT289" s="123"/>
      <c r="AU289" s="123"/>
      <c r="AZ289" s="115"/>
      <c r="BA289" s="115"/>
      <c r="BB289" s="115"/>
      <c r="BC289" s="115"/>
      <c r="BD289" s="115"/>
      <c r="BE289" s="115"/>
      <c r="BF289" s="115"/>
      <c r="BG289" s="115"/>
      <c r="BH289" s="115"/>
      <c r="BI289" s="115"/>
      <c r="BJ289" s="25"/>
      <c r="BK289" s="13"/>
      <c r="BN289" s="114"/>
    </row>
    <row r="290" spans="1:66" ht="20.100000000000001" customHeight="1" x14ac:dyDescent="0.4">
      <c r="A290" s="117"/>
      <c r="B290" s="123"/>
      <c r="C290" s="123"/>
      <c r="D290" s="123"/>
      <c r="F290" s="125"/>
      <c r="G290" s="125"/>
      <c r="H290" s="125"/>
      <c r="I290" s="125"/>
      <c r="J290" s="12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29"/>
      <c r="AB290" s="29"/>
      <c r="AH290" s="115"/>
      <c r="AI290" s="115"/>
      <c r="AJ290" s="115"/>
      <c r="AK290" s="115"/>
      <c r="AL290" s="25"/>
      <c r="AM290" s="13"/>
      <c r="AR290" s="116"/>
      <c r="AS290" s="123"/>
      <c r="AT290" s="123"/>
      <c r="AU290" s="123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115"/>
      <c r="BJ290" s="25"/>
      <c r="BK290" s="13"/>
      <c r="BN290" s="114"/>
    </row>
    <row r="291" spans="1:66" ht="20.100000000000001" customHeight="1" x14ac:dyDescent="0.4">
      <c r="A291" s="117"/>
      <c r="B291" s="123"/>
      <c r="C291" s="123"/>
      <c r="D291" s="123"/>
      <c r="F291" s="125"/>
      <c r="G291" s="125"/>
      <c r="H291" s="125"/>
      <c r="I291" s="125"/>
      <c r="J291" s="125"/>
      <c r="AA291" s="127"/>
      <c r="AB291" s="29"/>
      <c r="AF291" s="115"/>
      <c r="AG291" s="115"/>
      <c r="AH291" s="115"/>
      <c r="AI291" s="115"/>
      <c r="AJ291" s="115"/>
      <c r="AK291" s="115"/>
      <c r="AL291" s="25">
        <v>45671</v>
      </c>
      <c r="AM291" s="13" t="s">
        <v>148</v>
      </c>
      <c r="AR291" s="116"/>
      <c r="AS291" s="123"/>
      <c r="AT291" s="123"/>
      <c r="AU291" s="123"/>
      <c r="AZ291" s="115"/>
      <c r="BA291" s="115"/>
      <c r="BB291" s="115"/>
      <c r="BC291" s="115"/>
      <c r="BD291" s="115"/>
      <c r="BE291" s="115"/>
      <c r="BF291" s="115"/>
      <c r="BG291" s="115"/>
      <c r="BH291" s="115"/>
      <c r="BI291" s="115"/>
      <c r="BJ291" s="25"/>
      <c r="BK291" s="13"/>
      <c r="BN291" s="114"/>
    </row>
    <row r="292" spans="1:66" ht="20.100000000000001" customHeight="1" x14ac:dyDescent="0.4">
      <c r="A292" s="117"/>
      <c r="B292" s="123"/>
      <c r="C292" s="123"/>
      <c r="D292" s="123"/>
      <c r="F292" s="125"/>
      <c r="G292" s="125"/>
      <c r="H292" s="125"/>
      <c r="I292" s="125"/>
      <c r="J292" s="125"/>
      <c r="Y292" s="115"/>
      <c r="Z292" s="115"/>
      <c r="AA292" s="29"/>
      <c r="AB292" s="29"/>
      <c r="AF292" s="115"/>
      <c r="AG292" s="115"/>
      <c r="AH292" s="115"/>
      <c r="AI292" s="115"/>
      <c r="AJ292" s="115"/>
      <c r="AK292" s="115"/>
      <c r="AL292" s="25"/>
      <c r="AM292" s="13"/>
      <c r="AR292" s="116"/>
      <c r="AS292" s="123"/>
      <c r="AT292" s="123"/>
      <c r="AU292" s="123"/>
      <c r="AZ292" s="115"/>
      <c r="BA292" s="115"/>
      <c r="BB292" s="115"/>
      <c r="BC292" s="115"/>
      <c r="BD292" s="115"/>
      <c r="BE292" s="115"/>
      <c r="BF292" s="115"/>
      <c r="BG292" s="115"/>
      <c r="BH292" s="115"/>
      <c r="BI292" s="115"/>
      <c r="BJ292" s="25"/>
      <c r="BK292" s="13"/>
      <c r="BN292" s="114"/>
    </row>
    <row r="293" spans="1:66" ht="20.100000000000001" customHeight="1" x14ac:dyDescent="0.4">
      <c r="A293" s="117"/>
      <c r="B293" s="123"/>
      <c r="C293" s="123"/>
      <c r="D293" s="123"/>
      <c r="F293" s="125"/>
      <c r="G293" s="125"/>
      <c r="H293" s="125"/>
      <c r="I293" s="125"/>
      <c r="J293" s="125"/>
      <c r="U293" s="115"/>
      <c r="V293" s="115"/>
      <c r="W293" s="115"/>
      <c r="X293" s="115"/>
      <c r="Y293" s="115"/>
      <c r="Z293" s="115"/>
      <c r="AA293" s="127"/>
      <c r="AB293" s="29"/>
      <c r="AF293" s="115"/>
      <c r="AG293" s="115"/>
      <c r="AH293" s="115"/>
      <c r="AI293" s="115"/>
      <c r="AJ293" s="115"/>
      <c r="AK293" s="115"/>
      <c r="AL293" s="25"/>
      <c r="AM293" s="13"/>
      <c r="AR293" s="116"/>
      <c r="AS293" s="123"/>
      <c r="AT293" s="123"/>
      <c r="AU293" s="123"/>
      <c r="AZ293" s="115"/>
      <c r="BA293" s="115"/>
      <c r="BB293" s="115"/>
      <c r="BC293" s="115"/>
      <c r="BD293" s="115"/>
      <c r="BE293" s="115"/>
      <c r="BF293" s="115"/>
      <c r="BG293" s="115"/>
      <c r="BH293" s="115"/>
      <c r="BI293" s="115"/>
      <c r="BJ293" s="25"/>
      <c r="BK293" s="13"/>
      <c r="BN293" s="114"/>
    </row>
    <row r="294" spans="1:66" ht="20.100000000000001" customHeight="1" x14ac:dyDescent="0.4">
      <c r="A294" s="117"/>
      <c r="B294" s="123"/>
      <c r="C294" s="123"/>
      <c r="D294" s="123"/>
      <c r="F294" s="125"/>
      <c r="G294" s="125"/>
      <c r="H294" s="125"/>
      <c r="I294" s="125"/>
      <c r="J294" s="125"/>
      <c r="U294" s="115"/>
      <c r="V294" s="115"/>
      <c r="W294" s="115"/>
      <c r="X294" s="115"/>
      <c r="Y294" s="115"/>
      <c r="Z294" s="115"/>
      <c r="AA294" s="29"/>
      <c r="AB294" s="29"/>
      <c r="AF294" s="115"/>
      <c r="AG294" s="115"/>
      <c r="AH294" s="115"/>
      <c r="AI294" s="115"/>
      <c r="AJ294" s="115"/>
      <c r="AK294" s="115"/>
      <c r="AL294" s="25"/>
      <c r="AM294" s="13"/>
      <c r="AR294" s="116"/>
      <c r="AS294" s="123"/>
      <c r="AT294" s="123"/>
      <c r="AU294" s="123"/>
      <c r="AZ294" s="115"/>
      <c r="BA294" s="115"/>
      <c r="BB294" s="115"/>
      <c r="BC294" s="115"/>
      <c r="BD294" s="115"/>
      <c r="BE294" s="115"/>
      <c r="BF294" s="115"/>
      <c r="BG294" s="115"/>
      <c r="BH294" s="115"/>
      <c r="BI294" s="115"/>
      <c r="BJ294" s="25"/>
      <c r="BK294" s="13"/>
      <c r="BN294" s="114"/>
    </row>
    <row r="295" spans="1:66" ht="20.100000000000001" customHeight="1" x14ac:dyDescent="0.4">
      <c r="A295" s="117"/>
      <c r="B295" s="123"/>
      <c r="C295" s="123"/>
      <c r="D295" s="123"/>
      <c r="F295" s="125"/>
      <c r="G295" s="125"/>
      <c r="H295" s="125"/>
      <c r="I295" s="125"/>
      <c r="J295" s="125"/>
      <c r="U295" s="115"/>
      <c r="V295" s="115"/>
      <c r="W295" s="115"/>
      <c r="X295" s="115"/>
      <c r="Y295" s="115"/>
      <c r="Z295" s="115"/>
      <c r="AA295" s="29"/>
      <c r="AB295" s="29"/>
      <c r="AF295" s="115"/>
      <c r="AG295" s="115"/>
      <c r="AH295" s="115"/>
      <c r="AI295" s="115"/>
      <c r="AJ295" s="115"/>
      <c r="AK295" s="115"/>
      <c r="AL295" s="25"/>
      <c r="AM295" s="13"/>
      <c r="AR295" s="116"/>
      <c r="AS295" s="123"/>
      <c r="AT295" s="123"/>
      <c r="AU295" s="123"/>
      <c r="AZ295" s="115"/>
      <c r="BA295" s="115"/>
      <c r="BB295" s="115"/>
      <c r="BC295" s="115"/>
      <c r="BD295" s="115"/>
      <c r="BE295" s="115"/>
      <c r="BF295" s="115"/>
      <c r="BG295" s="115"/>
      <c r="BH295" s="115"/>
      <c r="BI295" s="115"/>
      <c r="BJ295" s="25"/>
      <c r="BK295" s="13"/>
      <c r="BN295" s="114"/>
    </row>
    <row r="296" spans="1:66" ht="20.100000000000001" customHeight="1" x14ac:dyDescent="0.4">
      <c r="A296" s="117"/>
      <c r="B296" s="123"/>
      <c r="C296" s="123"/>
      <c r="D296" s="123"/>
      <c r="F296" s="125"/>
      <c r="G296" s="125"/>
      <c r="H296" s="125"/>
      <c r="I296" s="125"/>
      <c r="J296" s="125"/>
      <c r="T296" s="115"/>
      <c r="U296" s="115"/>
      <c r="V296" s="115"/>
      <c r="W296" s="115"/>
      <c r="X296" s="115"/>
      <c r="Y296" s="115"/>
      <c r="Z296" s="115"/>
      <c r="AA296" s="127"/>
      <c r="AB296" s="29"/>
      <c r="AF296" s="115"/>
      <c r="AG296" s="115"/>
      <c r="AH296" s="115"/>
      <c r="AI296" s="115"/>
      <c r="AJ296" s="115"/>
      <c r="AK296" s="115"/>
      <c r="AL296" s="25"/>
      <c r="AM296" s="13"/>
      <c r="AR296" s="116"/>
      <c r="AS296" s="123"/>
      <c r="AT296" s="123"/>
      <c r="AU296" s="123"/>
      <c r="AZ296" s="115"/>
      <c r="BA296" s="115"/>
      <c r="BB296" s="115"/>
      <c r="BC296" s="115"/>
      <c r="BD296" s="115"/>
      <c r="BE296" s="115"/>
      <c r="BF296" s="115"/>
      <c r="BG296" s="115"/>
      <c r="BH296" s="115"/>
      <c r="BI296" s="115"/>
      <c r="BJ296" s="25"/>
      <c r="BK296" s="13"/>
      <c r="BN296" s="114"/>
    </row>
    <row r="297" spans="1:66" ht="20.100000000000001" customHeight="1" x14ac:dyDescent="0.4">
      <c r="A297" s="117"/>
      <c r="B297" s="123"/>
      <c r="C297" s="123"/>
      <c r="D297" s="123"/>
      <c r="F297" s="125"/>
      <c r="G297" s="125"/>
      <c r="H297" s="125"/>
      <c r="I297" s="125"/>
      <c r="J297" s="125"/>
      <c r="T297" s="115"/>
      <c r="U297" s="115"/>
      <c r="V297" s="115"/>
      <c r="W297" s="115"/>
      <c r="X297" s="115"/>
      <c r="Y297" s="115"/>
      <c r="Z297" s="115"/>
      <c r="AA297" s="127"/>
      <c r="AB297" s="29"/>
      <c r="AF297" s="115"/>
      <c r="AG297" s="115"/>
      <c r="AH297" s="115"/>
      <c r="AI297" s="115"/>
      <c r="AJ297" s="115"/>
      <c r="AK297" s="115"/>
      <c r="AL297" s="25"/>
      <c r="AM297" s="13"/>
      <c r="AR297" s="116"/>
      <c r="AS297" s="123"/>
      <c r="AT297" s="123"/>
      <c r="AU297" s="123"/>
      <c r="AZ297" s="115"/>
      <c r="BA297" s="115"/>
      <c r="BB297" s="115"/>
      <c r="BC297" s="115"/>
      <c r="BD297" s="115"/>
      <c r="BE297" s="115"/>
      <c r="BF297" s="115"/>
      <c r="BG297" s="115"/>
      <c r="BH297" s="115"/>
      <c r="BI297" s="115"/>
      <c r="BJ297" s="25"/>
      <c r="BK297" s="13"/>
      <c r="BN297" s="114"/>
    </row>
    <row r="298" spans="1:66" ht="20.100000000000001" customHeight="1" x14ac:dyDescent="0.4">
      <c r="A298" s="117"/>
      <c r="B298" s="123"/>
      <c r="C298" s="123"/>
      <c r="D298" s="123"/>
      <c r="F298" s="125"/>
      <c r="G298" s="125"/>
      <c r="H298" s="125"/>
      <c r="I298" s="125"/>
      <c r="J298" s="125"/>
      <c r="T298" s="115"/>
      <c r="U298" s="115"/>
      <c r="V298" s="115"/>
      <c r="W298" s="115"/>
      <c r="X298" s="115"/>
      <c r="Y298" s="115"/>
      <c r="Z298" s="115"/>
      <c r="AA298" s="127"/>
      <c r="AB298" s="29"/>
      <c r="AF298" s="115"/>
      <c r="AG298" s="115"/>
      <c r="AH298" s="115"/>
      <c r="AI298" s="115"/>
      <c r="AJ298" s="115"/>
      <c r="AK298" s="115"/>
      <c r="AL298" s="25"/>
      <c r="AM298" s="13"/>
      <c r="AR298" s="116"/>
      <c r="AS298" s="123"/>
      <c r="AT298" s="123"/>
      <c r="AU298" s="123"/>
      <c r="AZ298" s="115"/>
      <c r="BA298" s="115"/>
      <c r="BB298" s="115"/>
      <c r="BC298" s="115"/>
      <c r="BD298" s="115"/>
      <c r="BE298" s="115"/>
      <c r="BF298" s="115"/>
      <c r="BG298" s="115"/>
      <c r="BH298" s="115"/>
      <c r="BI298" s="115"/>
      <c r="BJ298" s="25"/>
      <c r="BK298" s="13"/>
      <c r="BN298" s="114"/>
    </row>
    <row r="299" spans="1:66" ht="20.100000000000001" customHeight="1" x14ac:dyDescent="0.4">
      <c r="A299" s="117"/>
      <c r="B299" s="123"/>
      <c r="C299" s="123"/>
      <c r="D299" s="123"/>
      <c r="AA299" s="127"/>
      <c r="AB299" s="29"/>
      <c r="AF299" s="115"/>
      <c r="AG299" s="115"/>
      <c r="AH299" s="115"/>
      <c r="AI299" s="115"/>
      <c r="AJ299" s="115"/>
      <c r="AK299" s="115"/>
      <c r="AL299" s="25"/>
      <c r="AM299" s="13"/>
      <c r="AR299" s="116"/>
      <c r="AS299" s="123"/>
      <c r="AT299" s="123"/>
      <c r="AU299" s="123"/>
      <c r="AZ299" s="115"/>
      <c r="BA299" s="115"/>
      <c r="BB299" s="115"/>
      <c r="BC299" s="115"/>
      <c r="BD299" s="115"/>
      <c r="BE299" s="115"/>
      <c r="BF299" s="115"/>
      <c r="BG299" s="115"/>
      <c r="BH299" s="115"/>
      <c r="BI299" s="115"/>
      <c r="BJ299" s="25"/>
      <c r="BK299" s="13"/>
      <c r="BN299" s="114"/>
    </row>
    <row r="300" spans="1:66" ht="20.100000000000001" customHeight="1" x14ac:dyDescent="0.4">
      <c r="A300" s="117"/>
      <c r="B300" s="123"/>
      <c r="C300" s="123"/>
      <c r="D300" s="123"/>
      <c r="R300" s="115"/>
      <c r="S300" s="115"/>
      <c r="T300" s="115"/>
      <c r="U300" s="115"/>
      <c r="V300" s="115"/>
      <c r="W300" s="115"/>
      <c r="X300" s="115"/>
      <c r="Y300" s="115"/>
      <c r="Z300" s="115"/>
      <c r="AA300" s="127"/>
      <c r="AB300" s="29"/>
      <c r="AF300" s="115"/>
      <c r="AG300" s="115"/>
      <c r="AH300" s="115"/>
      <c r="AI300" s="115"/>
      <c r="AJ300" s="115"/>
      <c r="AK300" s="115"/>
      <c r="AL300" s="25"/>
      <c r="AM300" s="13"/>
      <c r="AR300" s="116"/>
      <c r="AS300" s="123"/>
      <c r="AT300" s="123"/>
      <c r="AU300" s="123"/>
      <c r="AZ300" s="115"/>
      <c r="BA300" s="115"/>
      <c r="BB300" s="115"/>
      <c r="BC300" s="115"/>
      <c r="BD300" s="115"/>
      <c r="BE300" s="115"/>
      <c r="BF300" s="115"/>
      <c r="BG300" s="115"/>
      <c r="BH300" s="115"/>
      <c r="BI300" s="115"/>
      <c r="BJ300" s="25"/>
      <c r="BK300" s="13"/>
      <c r="BN300" s="114"/>
    </row>
    <row r="301" spans="1:66" ht="20.100000000000001" customHeight="1" x14ac:dyDescent="0.4">
      <c r="A301" s="117"/>
      <c r="B301" s="123"/>
      <c r="C301" s="123"/>
      <c r="D301" s="123"/>
      <c r="R301" s="115"/>
      <c r="S301" s="115"/>
      <c r="T301" s="115"/>
      <c r="U301" s="115"/>
      <c r="V301" s="115"/>
      <c r="W301" s="115"/>
      <c r="X301" s="115"/>
      <c r="Y301" s="115"/>
      <c r="Z301" s="115"/>
      <c r="AA301" s="127"/>
      <c r="AB301" s="29"/>
      <c r="AF301" s="115"/>
      <c r="AG301" s="115"/>
      <c r="AH301" s="115"/>
      <c r="AI301" s="115"/>
      <c r="AJ301" s="115"/>
      <c r="AK301" s="115"/>
      <c r="AL301" s="25"/>
      <c r="AM301" s="13"/>
      <c r="AR301" s="116"/>
      <c r="AS301" s="123"/>
      <c r="AT301" s="123"/>
      <c r="AU301" s="123"/>
      <c r="AZ301" s="115"/>
      <c r="BA301" s="115"/>
      <c r="BB301" s="115"/>
      <c r="BC301" s="115"/>
      <c r="BD301" s="115"/>
      <c r="BE301" s="115"/>
      <c r="BF301" s="115"/>
      <c r="BG301" s="115"/>
      <c r="BH301" s="115"/>
      <c r="BI301" s="115"/>
      <c r="BJ301" s="25"/>
      <c r="BK301" s="13"/>
      <c r="BN301" s="114"/>
    </row>
    <row r="302" spans="1:66" ht="20.100000000000001" customHeight="1" x14ac:dyDescent="0.4">
      <c r="A302" s="117"/>
      <c r="B302" s="123"/>
      <c r="C302" s="123"/>
      <c r="D302" s="123"/>
      <c r="R302" s="115"/>
      <c r="S302" s="115"/>
      <c r="T302" s="115"/>
      <c r="U302" s="115"/>
      <c r="V302" s="115"/>
      <c r="W302" s="115"/>
      <c r="X302" s="115"/>
      <c r="Y302" s="115"/>
      <c r="Z302" s="115"/>
      <c r="AA302" s="127"/>
      <c r="AB302" s="29"/>
      <c r="AF302" s="115"/>
      <c r="AG302" s="115"/>
      <c r="AH302" s="115"/>
      <c r="AI302" s="115"/>
      <c r="AJ302" s="115"/>
      <c r="AK302" s="115"/>
      <c r="AL302" s="25"/>
      <c r="AM302" s="13"/>
      <c r="AR302" s="116"/>
      <c r="AS302" s="123"/>
      <c r="AT302" s="123"/>
      <c r="AU302" s="123"/>
      <c r="AZ302" s="115"/>
      <c r="BA302" s="115"/>
      <c r="BB302" s="115"/>
      <c r="BC302" s="115"/>
      <c r="BD302" s="115"/>
      <c r="BE302" s="115"/>
      <c r="BF302" s="115"/>
      <c r="BG302" s="115"/>
      <c r="BH302" s="115"/>
      <c r="BI302" s="115"/>
      <c r="BJ302" s="25"/>
      <c r="BK302" s="13"/>
      <c r="BN302" s="114"/>
    </row>
    <row r="303" spans="1:66" ht="20.100000000000001" customHeight="1" x14ac:dyDescent="0.4">
      <c r="A303" s="117"/>
      <c r="B303" s="123"/>
      <c r="C303" s="123"/>
      <c r="D303" s="123"/>
      <c r="R303" s="115"/>
      <c r="S303" s="115"/>
      <c r="T303" s="115"/>
      <c r="U303" s="115"/>
      <c r="V303" s="115"/>
      <c r="W303" s="115"/>
      <c r="X303" s="115"/>
      <c r="Y303" s="115"/>
      <c r="Z303" s="115"/>
      <c r="AA303" s="29"/>
      <c r="AB303" s="29"/>
      <c r="AF303" s="115"/>
      <c r="AG303" s="115"/>
      <c r="AH303" s="115"/>
      <c r="AI303" s="115"/>
      <c r="AJ303" s="115"/>
      <c r="AK303" s="115"/>
      <c r="AL303" s="25"/>
      <c r="AM303" s="13"/>
      <c r="AR303" s="116"/>
      <c r="AS303" s="123"/>
      <c r="AT303" s="123"/>
      <c r="AU303" s="123"/>
      <c r="AZ303" s="115"/>
      <c r="BA303" s="115"/>
      <c r="BB303" s="115"/>
      <c r="BC303" s="115"/>
      <c r="BD303" s="115"/>
      <c r="BE303" s="115"/>
      <c r="BF303" s="115"/>
      <c r="BG303" s="115"/>
      <c r="BH303" s="115"/>
      <c r="BI303" s="115"/>
      <c r="BJ303" s="25"/>
      <c r="BK303" s="13"/>
      <c r="BN303" s="114"/>
    </row>
    <row r="304" spans="1:66" ht="20.100000000000001" customHeight="1" x14ac:dyDescent="0.4">
      <c r="A304" s="117"/>
      <c r="B304" s="123"/>
      <c r="C304" s="123"/>
      <c r="D304" s="123"/>
      <c r="R304" s="115"/>
      <c r="S304" s="115"/>
      <c r="T304" s="115"/>
      <c r="U304" s="115"/>
      <c r="V304" s="115"/>
      <c r="W304" s="115"/>
      <c r="X304" s="115"/>
      <c r="Y304" s="115"/>
      <c r="Z304" s="115"/>
      <c r="AA304" s="127"/>
      <c r="AB304" s="29"/>
      <c r="AF304" s="115"/>
      <c r="AG304" s="115"/>
      <c r="AH304" s="115"/>
      <c r="AI304" s="115"/>
      <c r="AJ304" s="115"/>
      <c r="AK304" s="115"/>
      <c r="AL304" s="25"/>
      <c r="AM304" s="13"/>
      <c r="AR304" s="116"/>
      <c r="AS304" s="123"/>
      <c r="AT304" s="123"/>
      <c r="AU304" s="123"/>
      <c r="AZ304" s="115"/>
      <c r="BA304" s="115"/>
      <c r="BB304" s="115"/>
      <c r="BC304" s="115"/>
      <c r="BD304" s="115"/>
      <c r="BE304" s="115"/>
      <c r="BF304" s="115"/>
      <c r="BG304" s="115"/>
      <c r="BH304" s="115"/>
      <c r="BI304" s="115"/>
      <c r="BJ304" s="25"/>
      <c r="BK304" s="13"/>
      <c r="BN304" s="114"/>
    </row>
    <row r="305" spans="1:66" ht="20.100000000000001" customHeight="1" x14ac:dyDescent="0.4">
      <c r="A305" s="117"/>
      <c r="B305" s="123"/>
      <c r="C305" s="123"/>
      <c r="D305" s="123"/>
      <c r="R305" s="115"/>
      <c r="S305" s="115"/>
      <c r="T305" s="115"/>
      <c r="U305" s="115"/>
      <c r="V305" s="115"/>
      <c r="W305" s="115"/>
      <c r="X305" s="115"/>
      <c r="Y305" s="115"/>
      <c r="Z305" s="115"/>
      <c r="AA305" s="127"/>
      <c r="AB305" s="29"/>
      <c r="AF305" s="115"/>
      <c r="AG305" s="115"/>
      <c r="AH305" s="115"/>
      <c r="AI305" s="115"/>
      <c r="AJ305" s="115"/>
      <c r="AK305" s="115"/>
      <c r="AL305" s="25"/>
      <c r="AM305" s="13"/>
      <c r="AR305" s="116"/>
      <c r="AS305" s="123"/>
      <c r="AT305" s="123"/>
      <c r="AU305" s="123"/>
      <c r="AZ305" s="115"/>
      <c r="BA305" s="115"/>
      <c r="BB305" s="115"/>
      <c r="BC305" s="115"/>
      <c r="BD305" s="115"/>
      <c r="BE305" s="115"/>
      <c r="BF305" s="115"/>
      <c r="BG305" s="115"/>
      <c r="BH305" s="115"/>
      <c r="BI305" s="115"/>
      <c r="BJ305" s="25"/>
      <c r="BK305" s="13"/>
      <c r="BN305" s="114"/>
    </row>
    <row r="306" spans="1:66" ht="20.100000000000001" customHeight="1" x14ac:dyDescent="0.4">
      <c r="A306" s="117"/>
      <c r="B306" s="123"/>
      <c r="C306" s="123"/>
      <c r="D306" s="123"/>
      <c r="AA306" s="127"/>
      <c r="AB306" s="29"/>
      <c r="AF306" s="115"/>
      <c r="AG306" s="115"/>
      <c r="AH306" s="115"/>
      <c r="AI306" s="115"/>
      <c r="AJ306" s="115"/>
      <c r="AK306" s="115"/>
      <c r="AL306" s="25"/>
      <c r="AM306" s="13"/>
      <c r="AR306" s="116"/>
      <c r="AS306" s="123"/>
      <c r="AT306" s="123"/>
      <c r="AU306" s="123"/>
      <c r="AZ306" s="115"/>
      <c r="BA306" s="115"/>
      <c r="BB306" s="115"/>
      <c r="BC306" s="115"/>
      <c r="BD306" s="115"/>
      <c r="BE306" s="115"/>
      <c r="BF306" s="115"/>
      <c r="BG306" s="115"/>
      <c r="BH306" s="115"/>
      <c r="BI306" s="115"/>
      <c r="BJ306" s="25"/>
      <c r="BK306" s="13"/>
      <c r="BN306" s="114"/>
    </row>
    <row r="307" spans="1:66" ht="20.100000000000001" customHeight="1" x14ac:dyDescent="0.4">
      <c r="A307" s="117"/>
      <c r="B307" s="123"/>
      <c r="C307" s="123"/>
      <c r="D307" s="123"/>
      <c r="W307" s="115"/>
      <c r="X307" s="115"/>
      <c r="Y307" s="115"/>
      <c r="Z307" s="115"/>
      <c r="AA307" s="127"/>
      <c r="AB307" s="29"/>
      <c r="AF307" s="115"/>
      <c r="AG307" s="115"/>
      <c r="AH307" s="115"/>
      <c r="AI307" s="115"/>
      <c r="AJ307" s="115"/>
      <c r="AK307" s="115"/>
      <c r="AL307" s="25"/>
      <c r="AM307" s="13"/>
      <c r="AR307" s="116"/>
      <c r="AS307" s="123"/>
      <c r="AT307" s="123"/>
      <c r="AU307" s="123"/>
      <c r="AZ307" s="115"/>
      <c r="BA307" s="115"/>
      <c r="BB307" s="115"/>
      <c r="BC307" s="115"/>
      <c r="BD307" s="115"/>
      <c r="BE307" s="115"/>
      <c r="BF307" s="115"/>
      <c r="BG307" s="115"/>
      <c r="BH307" s="115"/>
      <c r="BI307" s="115"/>
      <c r="BJ307" s="25"/>
      <c r="BK307" s="13"/>
      <c r="BN307" s="114"/>
    </row>
    <row r="308" spans="1:66" ht="20.100000000000001" customHeight="1" x14ac:dyDescent="0.4">
      <c r="A308" s="117"/>
      <c r="B308" s="123"/>
      <c r="C308" s="123"/>
      <c r="D308" s="123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27"/>
      <c r="AB308" s="29"/>
      <c r="AF308" s="115"/>
      <c r="AG308" s="115"/>
      <c r="AH308" s="115"/>
      <c r="AI308" s="115"/>
      <c r="AJ308" s="115"/>
      <c r="AK308" s="115"/>
      <c r="AL308" s="25"/>
      <c r="AM308" s="13"/>
      <c r="AR308" s="116"/>
      <c r="AS308" s="123"/>
      <c r="AT308" s="123"/>
      <c r="AU308" s="123"/>
      <c r="AZ308" s="115"/>
      <c r="BA308" s="115"/>
      <c r="BB308" s="115"/>
      <c r="BC308" s="115"/>
      <c r="BD308" s="115"/>
      <c r="BE308" s="115"/>
      <c r="BF308" s="115"/>
      <c r="BG308" s="115"/>
      <c r="BH308" s="115"/>
      <c r="BI308" s="115"/>
      <c r="BJ308" s="25"/>
      <c r="BK308" s="13"/>
      <c r="BN308" s="114"/>
    </row>
    <row r="309" spans="1:66" ht="20.100000000000001" customHeight="1" x14ac:dyDescent="0.4">
      <c r="A309" s="117"/>
      <c r="B309" s="123"/>
      <c r="C309" s="123"/>
      <c r="D309" s="123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27"/>
      <c r="AB309" s="29"/>
      <c r="AF309" s="115"/>
      <c r="AG309" s="115"/>
      <c r="AH309" s="115"/>
      <c r="AI309" s="115"/>
      <c r="AJ309" s="115"/>
      <c r="AK309" s="115"/>
      <c r="AL309" s="25"/>
      <c r="AM309" s="13"/>
      <c r="AR309" s="116"/>
      <c r="AS309" s="123"/>
      <c r="AT309" s="123"/>
      <c r="AU309" s="123"/>
      <c r="AZ309" s="115"/>
      <c r="BA309" s="115"/>
      <c r="BB309" s="115"/>
      <c r="BC309" s="115"/>
      <c r="BD309" s="115"/>
      <c r="BE309" s="115"/>
      <c r="BF309" s="115"/>
      <c r="BG309" s="115"/>
      <c r="BH309" s="115"/>
      <c r="BI309" s="115"/>
      <c r="BJ309" s="25"/>
      <c r="BK309" s="13"/>
      <c r="BN309" s="114"/>
    </row>
    <row r="310" spans="1:66" ht="20.100000000000001" customHeight="1" x14ac:dyDescent="0.4">
      <c r="A310" s="117"/>
      <c r="B310" s="123"/>
      <c r="C310" s="123"/>
      <c r="D310" s="123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27"/>
      <c r="AB310" s="29"/>
      <c r="AF310" s="115"/>
      <c r="AG310" s="115"/>
      <c r="AH310" s="115"/>
      <c r="AI310" s="115"/>
      <c r="AJ310" s="115"/>
      <c r="AK310" s="115"/>
      <c r="AL310" s="25"/>
      <c r="AM310" s="13"/>
      <c r="AR310" s="116"/>
      <c r="AS310" s="123"/>
      <c r="AT310" s="123"/>
      <c r="AU310" s="123"/>
      <c r="AZ310" s="115"/>
      <c r="BA310" s="115"/>
      <c r="BB310" s="115"/>
      <c r="BC310" s="115"/>
      <c r="BD310" s="115"/>
      <c r="BE310" s="115"/>
      <c r="BF310" s="115"/>
      <c r="BG310" s="115"/>
      <c r="BH310" s="115"/>
      <c r="BI310" s="115"/>
      <c r="BJ310" s="25"/>
      <c r="BK310" s="13"/>
      <c r="BN310" s="114"/>
    </row>
    <row r="311" spans="1:66" ht="20.100000000000001" customHeight="1" x14ac:dyDescent="0.4">
      <c r="A311" s="117"/>
      <c r="B311" s="123"/>
      <c r="C311" s="123"/>
      <c r="D311" s="123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27"/>
      <c r="AB311" s="29"/>
      <c r="AF311" s="115"/>
      <c r="AG311" s="115"/>
      <c r="AH311" s="115"/>
      <c r="AI311" s="115"/>
      <c r="AJ311" s="115"/>
      <c r="AK311" s="115"/>
      <c r="AL311" s="25"/>
      <c r="AM311" s="13"/>
      <c r="AR311" s="116"/>
      <c r="AS311" s="123"/>
      <c r="AT311" s="123"/>
      <c r="AU311" s="123"/>
      <c r="AZ311" s="115"/>
      <c r="BA311" s="115"/>
      <c r="BB311" s="115"/>
      <c r="BC311" s="115"/>
      <c r="BD311" s="115"/>
      <c r="BE311" s="115"/>
      <c r="BF311" s="115"/>
      <c r="BG311" s="115"/>
      <c r="BH311" s="115"/>
      <c r="BI311" s="115"/>
      <c r="BJ311" s="25"/>
      <c r="BK311" s="13"/>
      <c r="BN311" s="114"/>
    </row>
    <row r="312" spans="1:66" ht="20.100000000000001" customHeight="1" x14ac:dyDescent="0.4">
      <c r="A312" s="117"/>
      <c r="B312" s="123"/>
      <c r="C312" s="123"/>
      <c r="D312" s="123"/>
      <c r="AA312" s="127"/>
      <c r="AB312" s="29"/>
      <c r="AF312" s="115"/>
      <c r="AG312" s="115"/>
      <c r="AH312" s="115"/>
      <c r="AI312" s="115"/>
      <c r="AJ312" s="115"/>
      <c r="AK312" s="115"/>
      <c r="AL312" s="25"/>
      <c r="AM312" s="13"/>
      <c r="AR312" s="116"/>
      <c r="AS312" s="123"/>
      <c r="AT312" s="123"/>
      <c r="AU312" s="123"/>
      <c r="AZ312" s="115"/>
      <c r="BA312" s="115"/>
      <c r="BB312" s="115"/>
      <c r="BC312" s="115"/>
      <c r="BD312" s="115"/>
      <c r="BE312" s="115"/>
      <c r="BF312" s="115"/>
      <c r="BG312" s="115"/>
      <c r="BH312" s="115"/>
      <c r="BI312" s="115"/>
      <c r="BJ312" s="25"/>
      <c r="BK312" s="13"/>
      <c r="BN312" s="114"/>
    </row>
    <row r="313" spans="1:66" ht="20.100000000000001" customHeight="1" x14ac:dyDescent="0.4">
      <c r="A313" s="117"/>
      <c r="B313" s="123"/>
      <c r="C313" s="123"/>
      <c r="D313" s="123"/>
      <c r="W313" s="115"/>
      <c r="X313" s="115"/>
      <c r="Y313" s="115"/>
      <c r="Z313" s="115"/>
      <c r="AA313" s="127"/>
      <c r="AB313" s="29"/>
      <c r="AF313" s="115"/>
      <c r="AG313" s="115"/>
      <c r="AH313" s="115"/>
      <c r="AI313" s="115"/>
      <c r="AJ313" s="115"/>
      <c r="AK313" s="115"/>
      <c r="AL313" s="25"/>
      <c r="AM313" s="13"/>
      <c r="AR313" s="116"/>
      <c r="AS313" s="123"/>
      <c r="AT313" s="123"/>
      <c r="AU313" s="123"/>
      <c r="AZ313" s="115"/>
      <c r="BA313" s="115"/>
      <c r="BB313" s="115"/>
      <c r="BC313" s="115"/>
      <c r="BD313" s="115"/>
      <c r="BE313" s="115"/>
      <c r="BF313" s="115"/>
      <c r="BG313" s="115"/>
      <c r="BH313" s="115"/>
      <c r="BI313" s="115"/>
      <c r="BJ313" s="25"/>
      <c r="BK313" s="13"/>
      <c r="BN313" s="114"/>
    </row>
    <row r="314" spans="1:66" ht="20.100000000000001" customHeight="1" x14ac:dyDescent="0.4">
      <c r="A314" s="117"/>
      <c r="B314" s="123"/>
      <c r="C314" s="123"/>
      <c r="D314" s="123"/>
      <c r="W314" s="115"/>
      <c r="X314" s="115"/>
      <c r="Y314" s="115"/>
      <c r="Z314" s="115"/>
      <c r="AA314" s="29"/>
      <c r="AB314" s="29"/>
      <c r="AF314" s="115"/>
      <c r="AG314" s="115"/>
      <c r="AH314" s="115"/>
      <c r="AI314" s="115"/>
      <c r="AJ314" s="115"/>
      <c r="AK314" s="115"/>
      <c r="AL314" s="25"/>
      <c r="AM314" s="13"/>
      <c r="AR314" s="116"/>
      <c r="AS314" s="123"/>
      <c r="AT314" s="123"/>
      <c r="AU314" s="123"/>
      <c r="AZ314" s="115"/>
      <c r="BA314" s="115"/>
      <c r="BB314" s="115"/>
      <c r="BC314" s="115"/>
      <c r="BD314" s="115"/>
      <c r="BE314" s="115"/>
      <c r="BF314" s="115"/>
      <c r="BG314" s="115"/>
      <c r="BH314" s="115"/>
      <c r="BI314" s="115"/>
      <c r="BJ314" s="25"/>
      <c r="BK314" s="13"/>
      <c r="BN314" s="114"/>
    </row>
    <row r="315" spans="1:66" ht="20.100000000000001" customHeight="1" x14ac:dyDescent="0.4">
      <c r="A315" s="117"/>
      <c r="B315" s="123"/>
      <c r="C315" s="123"/>
      <c r="D315" s="123"/>
      <c r="W315" s="115"/>
      <c r="X315" s="115"/>
      <c r="Y315" s="115"/>
      <c r="Z315" s="115"/>
      <c r="AA315" s="127"/>
      <c r="AB315" s="29"/>
      <c r="AF315" s="115"/>
      <c r="AG315" s="115"/>
      <c r="AH315" s="115"/>
      <c r="AI315" s="115"/>
      <c r="AJ315" s="115"/>
      <c r="AK315" s="115"/>
      <c r="AL315" s="25"/>
      <c r="AM315" s="13"/>
      <c r="AR315" s="116"/>
      <c r="AS315" s="123"/>
      <c r="AT315" s="123"/>
      <c r="AU315" s="123"/>
      <c r="AZ315" s="115"/>
      <c r="BA315" s="115"/>
      <c r="BB315" s="115"/>
      <c r="BC315" s="115"/>
      <c r="BD315" s="115"/>
      <c r="BE315" s="115"/>
      <c r="BF315" s="115"/>
      <c r="BG315" s="115"/>
      <c r="BH315" s="115"/>
      <c r="BI315" s="115"/>
      <c r="BJ315" s="25"/>
      <c r="BK315" s="13"/>
      <c r="BN315" s="114"/>
    </row>
    <row r="316" spans="1:66" ht="20.100000000000001" customHeight="1" x14ac:dyDescent="0.4">
      <c r="A316" s="117"/>
      <c r="B316" s="123"/>
      <c r="C316" s="123"/>
      <c r="D316" s="123"/>
      <c r="W316" s="115"/>
      <c r="X316" s="115"/>
      <c r="Y316" s="115"/>
      <c r="Z316" s="115"/>
      <c r="AA316" s="29"/>
      <c r="AB316" s="29"/>
      <c r="AF316" s="115"/>
      <c r="AG316" s="115"/>
      <c r="AH316" s="115"/>
      <c r="AI316" s="115"/>
      <c r="AJ316" s="115"/>
      <c r="AK316" s="115"/>
      <c r="AL316" s="25"/>
      <c r="AM316" s="13"/>
      <c r="AR316" s="116"/>
      <c r="AS316" s="123"/>
      <c r="AT316" s="123"/>
      <c r="AU316" s="123"/>
      <c r="AZ316" s="115"/>
      <c r="BA316" s="115"/>
      <c r="BB316" s="115"/>
      <c r="BC316" s="115"/>
      <c r="BD316" s="115"/>
      <c r="BE316" s="115"/>
      <c r="BF316" s="115"/>
      <c r="BG316" s="115"/>
      <c r="BH316" s="115"/>
      <c r="BI316" s="115"/>
      <c r="BJ316" s="25"/>
      <c r="BK316" s="13"/>
      <c r="BN316" s="114"/>
    </row>
    <row r="317" spans="1:66" ht="20.100000000000001" customHeight="1" x14ac:dyDescent="0.4">
      <c r="A317" s="117"/>
      <c r="B317" s="123"/>
      <c r="C317" s="123"/>
      <c r="D317" s="123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27"/>
      <c r="AB317" s="29"/>
      <c r="AF317" s="115"/>
      <c r="AG317" s="115"/>
      <c r="AH317" s="115"/>
      <c r="AI317" s="115"/>
      <c r="AJ317" s="115"/>
      <c r="AK317" s="115"/>
      <c r="AL317" s="25"/>
      <c r="AM317" s="13"/>
      <c r="AR317" s="116"/>
      <c r="AS317" s="123"/>
      <c r="AT317" s="123"/>
      <c r="AU317" s="123"/>
      <c r="AZ317" s="115"/>
      <c r="BA317" s="115"/>
      <c r="BB317" s="115"/>
      <c r="BC317" s="115"/>
      <c r="BD317" s="115"/>
      <c r="BE317" s="115"/>
      <c r="BF317" s="115"/>
      <c r="BG317" s="115"/>
      <c r="BH317" s="115"/>
      <c r="BI317" s="115"/>
      <c r="BJ317" s="25"/>
      <c r="BK317" s="13"/>
      <c r="BN317" s="114"/>
    </row>
    <row r="318" spans="1:66" ht="20.100000000000001" customHeight="1" x14ac:dyDescent="0.4">
      <c r="A318" s="117"/>
      <c r="B318" s="123"/>
      <c r="C318" s="123"/>
      <c r="D318" s="123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27"/>
      <c r="AB318" s="29"/>
      <c r="AF318" s="115"/>
      <c r="AG318" s="115"/>
      <c r="AH318" s="115"/>
      <c r="AI318" s="115"/>
      <c r="AJ318" s="115"/>
      <c r="AK318" s="115"/>
      <c r="AL318" s="25"/>
      <c r="AM318" s="13"/>
      <c r="AR318" s="116"/>
      <c r="AS318" s="123"/>
      <c r="AT318" s="123"/>
      <c r="AU318" s="123"/>
      <c r="AZ318" s="115"/>
      <c r="BA318" s="115"/>
      <c r="BB318" s="115"/>
      <c r="BC318" s="115"/>
      <c r="BD318" s="115"/>
      <c r="BE318" s="115"/>
      <c r="BF318" s="115"/>
      <c r="BG318" s="115"/>
      <c r="BH318" s="115"/>
      <c r="BI318" s="115"/>
      <c r="BJ318" s="25"/>
      <c r="BK318" s="13"/>
      <c r="BN318" s="114"/>
    </row>
    <row r="319" spans="1:66" ht="20.100000000000001" customHeight="1" x14ac:dyDescent="0.4">
      <c r="A319" s="117"/>
      <c r="B319" s="123"/>
      <c r="C319" s="123"/>
      <c r="D319" s="123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27"/>
      <c r="AB319" s="29"/>
      <c r="AF319" s="115"/>
      <c r="AG319" s="115"/>
      <c r="AH319" s="115"/>
      <c r="AI319" s="115"/>
      <c r="AJ319" s="115"/>
      <c r="AK319" s="115"/>
      <c r="AL319" s="25"/>
      <c r="AM319" s="13"/>
      <c r="AR319" s="116"/>
      <c r="AS319" s="123"/>
      <c r="AT319" s="123"/>
      <c r="AU319" s="123"/>
      <c r="AZ319" s="115"/>
      <c r="BA319" s="115"/>
      <c r="BB319" s="115"/>
      <c r="BC319" s="115"/>
      <c r="BD319" s="115"/>
      <c r="BE319" s="115"/>
      <c r="BF319" s="115"/>
      <c r="BG319" s="115"/>
      <c r="BH319" s="115"/>
      <c r="BI319" s="115"/>
      <c r="BJ319" s="25"/>
      <c r="BK319" s="13"/>
      <c r="BN319" s="114"/>
    </row>
    <row r="320" spans="1:66" ht="20.100000000000001" customHeight="1" x14ac:dyDescent="0.4">
      <c r="A320" s="117"/>
      <c r="B320" s="123"/>
      <c r="C320" s="123"/>
      <c r="D320" s="123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27"/>
      <c r="AB320" s="29"/>
      <c r="AF320" s="115"/>
      <c r="AG320" s="115"/>
      <c r="AH320" s="115"/>
      <c r="AI320" s="115"/>
      <c r="AJ320" s="115"/>
      <c r="AK320" s="115"/>
      <c r="AL320" s="25"/>
      <c r="AM320" s="13"/>
      <c r="AR320" s="116"/>
      <c r="AS320" s="123"/>
      <c r="AT320" s="123"/>
      <c r="AU320" s="123"/>
      <c r="AZ320" s="115"/>
      <c r="BA320" s="115"/>
      <c r="BB320" s="115"/>
      <c r="BC320" s="115"/>
      <c r="BD320" s="115"/>
      <c r="BE320" s="115"/>
      <c r="BF320" s="115"/>
      <c r="BG320" s="115"/>
      <c r="BH320" s="115"/>
      <c r="BI320" s="115"/>
      <c r="BJ320" s="25"/>
      <c r="BK320" s="13"/>
      <c r="BN320" s="114"/>
    </row>
    <row r="321" spans="1:66" ht="20.100000000000001" customHeight="1" x14ac:dyDescent="0.4">
      <c r="A321" s="117"/>
      <c r="B321" s="123"/>
      <c r="C321" s="123"/>
      <c r="D321" s="123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29"/>
      <c r="AB321" s="29"/>
      <c r="AF321" s="115"/>
      <c r="AG321" s="115"/>
      <c r="AH321" s="115"/>
      <c r="AI321" s="115"/>
      <c r="AJ321" s="115"/>
      <c r="AK321" s="115"/>
      <c r="AL321" s="25"/>
      <c r="AM321" s="13"/>
      <c r="AR321" s="116"/>
      <c r="AS321" s="123"/>
      <c r="AT321" s="123"/>
      <c r="AU321" s="123"/>
      <c r="AZ321" s="115"/>
      <c r="BA321" s="115"/>
      <c r="BB321" s="115"/>
      <c r="BC321" s="115"/>
      <c r="BD321" s="115"/>
      <c r="BE321" s="115"/>
      <c r="BF321" s="115"/>
      <c r="BG321" s="115"/>
      <c r="BH321" s="115"/>
      <c r="BI321" s="115"/>
      <c r="BJ321" s="25"/>
      <c r="BK321" s="13"/>
      <c r="BN321" s="114"/>
    </row>
    <row r="322" spans="1:66" ht="20.100000000000001" customHeight="1" x14ac:dyDescent="0.4">
      <c r="A322" s="117"/>
      <c r="B322" s="123"/>
      <c r="C322" s="123"/>
      <c r="D322" s="123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27"/>
      <c r="AB322" s="29"/>
      <c r="AF322" s="115"/>
      <c r="AG322" s="115"/>
      <c r="AH322" s="115"/>
      <c r="AI322" s="115"/>
      <c r="AJ322" s="115"/>
      <c r="AK322" s="115"/>
      <c r="AL322" s="25"/>
      <c r="AM322" s="13"/>
      <c r="AR322" s="116"/>
      <c r="AS322" s="123"/>
      <c r="AT322" s="123"/>
      <c r="AU322" s="123"/>
      <c r="AZ322" s="115"/>
      <c r="BA322" s="115"/>
      <c r="BB322" s="115"/>
      <c r="BC322" s="115"/>
      <c r="BD322" s="115"/>
      <c r="BE322" s="115"/>
      <c r="BF322" s="115"/>
      <c r="BG322" s="115"/>
      <c r="BH322" s="115"/>
      <c r="BI322" s="115"/>
      <c r="BJ322" s="25"/>
      <c r="BK322" s="13"/>
      <c r="BN322" s="114"/>
    </row>
    <row r="323" spans="1:66" ht="20.100000000000001" customHeight="1" x14ac:dyDescent="0.4">
      <c r="A323" s="117"/>
      <c r="B323" s="123"/>
      <c r="C323" s="123"/>
      <c r="D323" s="123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27"/>
      <c r="AB323" s="29"/>
      <c r="AF323" s="115"/>
      <c r="AG323" s="115"/>
      <c r="AH323" s="115"/>
      <c r="AI323" s="115"/>
      <c r="AJ323" s="115"/>
      <c r="AK323" s="115"/>
      <c r="AL323" s="25"/>
      <c r="AM323" s="13"/>
      <c r="AR323" s="116"/>
      <c r="AS323" s="123"/>
      <c r="AT323" s="123"/>
      <c r="AU323" s="123"/>
      <c r="AZ323" s="115"/>
      <c r="BA323" s="115"/>
      <c r="BB323" s="115"/>
      <c r="BC323" s="115"/>
      <c r="BD323" s="115"/>
      <c r="BE323" s="115"/>
      <c r="BF323" s="115"/>
      <c r="BG323" s="115"/>
      <c r="BH323" s="115"/>
      <c r="BI323" s="115"/>
      <c r="BJ323" s="25"/>
      <c r="BK323" s="13"/>
      <c r="BN323" s="114"/>
    </row>
    <row r="324" spans="1:66" ht="20.100000000000001" customHeight="1" x14ac:dyDescent="0.4">
      <c r="A324" s="117"/>
      <c r="B324" s="123"/>
      <c r="C324" s="123"/>
      <c r="D324" s="123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29"/>
      <c r="AB324" s="29"/>
      <c r="AF324" s="115"/>
      <c r="AG324" s="115"/>
      <c r="AH324" s="115"/>
      <c r="AI324" s="115"/>
      <c r="AJ324" s="115"/>
      <c r="AK324" s="115"/>
      <c r="AL324" s="25"/>
      <c r="AM324" s="13"/>
      <c r="AR324" s="116"/>
      <c r="AS324" s="123"/>
      <c r="AT324" s="123"/>
      <c r="AU324" s="123"/>
      <c r="AZ324" s="115"/>
      <c r="BA324" s="115"/>
      <c r="BB324" s="115"/>
      <c r="BC324" s="115"/>
      <c r="BD324" s="115"/>
      <c r="BE324" s="115"/>
      <c r="BF324" s="115"/>
      <c r="BG324" s="115"/>
      <c r="BH324" s="115"/>
      <c r="BI324" s="115"/>
      <c r="BJ324" s="25"/>
      <c r="BK324" s="13"/>
      <c r="BN324" s="114"/>
    </row>
    <row r="325" spans="1:66" ht="20.100000000000001" customHeight="1" x14ac:dyDescent="0.4">
      <c r="A325" s="117"/>
      <c r="B325" s="123"/>
      <c r="C325" s="123"/>
      <c r="D325" s="123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27"/>
      <c r="AB325" s="29"/>
      <c r="AF325" s="115"/>
      <c r="AG325" s="115"/>
      <c r="AH325" s="115"/>
      <c r="AI325" s="115"/>
      <c r="AJ325" s="115"/>
      <c r="AK325" s="115"/>
      <c r="AL325" s="25"/>
      <c r="AM325" s="13"/>
      <c r="AR325" s="116"/>
      <c r="AS325" s="123"/>
      <c r="AT325" s="123"/>
      <c r="AU325" s="123"/>
      <c r="AZ325" s="115"/>
      <c r="BA325" s="115"/>
      <c r="BB325" s="115"/>
      <c r="BC325" s="115"/>
      <c r="BD325" s="115"/>
      <c r="BE325" s="115"/>
      <c r="BF325" s="115"/>
      <c r="BG325" s="115"/>
      <c r="BH325" s="115"/>
      <c r="BI325" s="115"/>
      <c r="BJ325" s="25"/>
      <c r="BK325" s="13"/>
      <c r="BN325" s="114"/>
    </row>
    <row r="326" spans="1:66" ht="20.100000000000001" customHeight="1" x14ac:dyDescent="0.4">
      <c r="A326" s="117"/>
      <c r="B326" s="123"/>
      <c r="C326" s="123"/>
      <c r="D326" s="123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29"/>
      <c r="AB326" s="29"/>
      <c r="AF326" s="115"/>
      <c r="AG326" s="115"/>
      <c r="AH326" s="115"/>
      <c r="AI326" s="115"/>
      <c r="AJ326" s="115"/>
      <c r="AK326" s="115"/>
      <c r="AL326" s="25"/>
      <c r="AM326" s="13"/>
      <c r="AR326" s="116"/>
      <c r="AS326" s="123"/>
      <c r="AT326" s="123"/>
      <c r="AU326" s="123"/>
      <c r="AZ326" s="115"/>
      <c r="BA326" s="115"/>
      <c r="BB326" s="115"/>
      <c r="BC326" s="115"/>
      <c r="BD326" s="115"/>
      <c r="BE326" s="115"/>
      <c r="BF326" s="115"/>
      <c r="BG326" s="115"/>
      <c r="BH326" s="115"/>
      <c r="BI326" s="115"/>
      <c r="BJ326" s="25"/>
      <c r="BK326" s="13"/>
      <c r="BN326" s="114"/>
    </row>
    <row r="327" spans="1:66" ht="20.100000000000001" customHeight="1" x14ac:dyDescent="0.4">
      <c r="A327" s="117"/>
      <c r="B327" s="123"/>
      <c r="C327" s="123"/>
      <c r="D327" s="123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29"/>
      <c r="AB327" s="29"/>
      <c r="AF327" s="115"/>
      <c r="AG327" s="115"/>
      <c r="AH327" s="115"/>
      <c r="AI327" s="115"/>
      <c r="AJ327" s="115"/>
      <c r="AK327" s="115"/>
      <c r="AL327" s="25"/>
      <c r="AM327" s="13"/>
      <c r="AR327" s="116"/>
      <c r="AS327" s="123"/>
      <c r="AT327" s="123"/>
      <c r="AU327" s="123"/>
      <c r="AZ327" s="115"/>
      <c r="BA327" s="115"/>
      <c r="BB327" s="115"/>
      <c r="BC327" s="115"/>
      <c r="BD327" s="115"/>
      <c r="BE327" s="115"/>
      <c r="BF327" s="115"/>
      <c r="BG327" s="115"/>
      <c r="BH327" s="115"/>
      <c r="BI327" s="115"/>
      <c r="BJ327" s="25"/>
      <c r="BK327" s="13"/>
      <c r="BN327" s="114"/>
    </row>
    <row r="328" spans="1:66" ht="20.100000000000001" customHeight="1" x14ac:dyDescent="0.4">
      <c r="A328" s="117"/>
      <c r="B328" s="123"/>
      <c r="C328" s="123"/>
      <c r="D328" s="123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27"/>
      <c r="AB328" s="29"/>
      <c r="AF328" s="115"/>
      <c r="AG328" s="115"/>
      <c r="AH328" s="115"/>
      <c r="AI328" s="115"/>
      <c r="AJ328" s="115"/>
      <c r="AK328" s="115"/>
      <c r="AL328" s="25"/>
      <c r="AM328" s="13"/>
      <c r="AR328" s="116"/>
      <c r="AS328" s="123"/>
      <c r="AT328" s="123"/>
      <c r="AU328" s="123"/>
      <c r="AZ328" s="115"/>
      <c r="BA328" s="115"/>
      <c r="BB328" s="115"/>
      <c r="BC328" s="115"/>
      <c r="BD328" s="115"/>
      <c r="BE328" s="115"/>
      <c r="BF328" s="115"/>
      <c r="BG328" s="115"/>
      <c r="BH328" s="115"/>
      <c r="BI328" s="115"/>
      <c r="BJ328" s="25"/>
      <c r="BK328" s="13"/>
      <c r="BN328" s="114"/>
    </row>
    <row r="329" spans="1:66" ht="20.100000000000001" customHeight="1" x14ac:dyDescent="0.4">
      <c r="A329" s="117"/>
      <c r="B329" s="123"/>
      <c r="C329" s="123"/>
      <c r="D329" s="123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29"/>
      <c r="AB329" s="29"/>
      <c r="AF329" s="115"/>
      <c r="AG329" s="115"/>
      <c r="AH329" s="115"/>
      <c r="AI329" s="115"/>
      <c r="AJ329" s="115"/>
      <c r="AK329" s="115"/>
      <c r="AL329" s="25"/>
      <c r="AM329" s="13"/>
      <c r="AR329" s="116"/>
      <c r="AS329" s="123"/>
      <c r="AT329" s="123"/>
      <c r="AU329" s="123"/>
      <c r="AZ329" s="115"/>
      <c r="BA329" s="115"/>
      <c r="BB329" s="115"/>
      <c r="BC329" s="115"/>
      <c r="BD329" s="115"/>
      <c r="BE329" s="115"/>
      <c r="BF329" s="115"/>
      <c r="BG329" s="115"/>
      <c r="BH329" s="115"/>
      <c r="BI329" s="115"/>
      <c r="BJ329" s="25"/>
      <c r="BK329" s="13"/>
      <c r="BN329" s="114"/>
    </row>
    <row r="330" spans="1:66" ht="20.100000000000001" customHeight="1" x14ac:dyDescent="0.4">
      <c r="A330" s="117"/>
      <c r="B330" s="123"/>
      <c r="C330" s="123"/>
      <c r="D330" s="123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27"/>
      <c r="AB330" s="29"/>
      <c r="AF330" s="115"/>
      <c r="AG330" s="115"/>
      <c r="AH330" s="115"/>
      <c r="AI330" s="115"/>
      <c r="AJ330" s="115"/>
      <c r="AK330" s="115"/>
      <c r="AL330" s="25"/>
      <c r="AM330" s="13"/>
      <c r="AR330" s="116"/>
      <c r="AS330" s="123"/>
      <c r="AT330" s="123"/>
      <c r="AU330" s="123"/>
      <c r="AZ330" s="115"/>
      <c r="BA330" s="115"/>
      <c r="BB330" s="115"/>
      <c r="BC330" s="115"/>
      <c r="BD330" s="115"/>
      <c r="BE330" s="115"/>
      <c r="BF330" s="115"/>
      <c r="BG330" s="115"/>
      <c r="BH330" s="115"/>
      <c r="BI330" s="115"/>
      <c r="BJ330" s="25"/>
      <c r="BK330" s="13"/>
      <c r="BN330" s="114"/>
    </row>
    <row r="331" spans="1:66" ht="20.100000000000001" customHeight="1" x14ac:dyDescent="0.4">
      <c r="A331" s="117"/>
      <c r="B331" s="123"/>
      <c r="C331" s="123"/>
      <c r="D331" s="123"/>
      <c r="AA331" s="127"/>
      <c r="AB331" s="127"/>
      <c r="AF331" s="115"/>
      <c r="AG331" s="115"/>
      <c r="AH331" s="115"/>
      <c r="AI331" s="115"/>
      <c r="AJ331" s="115"/>
      <c r="AK331" s="115"/>
      <c r="AL331" s="25">
        <v>45672</v>
      </c>
      <c r="AM331" s="13" t="s">
        <v>146</v>
      </c>
      <c r="AR331" s="116"/>
      <c r="AS331" s="123"/>
      <c r="AT331" s="123"/>
      <c r="AU331" s="123"/>
      <c r="AZ331" s="115"/>
      <c r="BA331" s="115"/>
      <c r="BB331" s="115"/>
      <c r="BC331" s="115"/>
      <c r="BD331" s="115"/>
      <c r="BE331" s="115"/>
      <c r="BF331" s="115"/>
      <c r="BG331" s="115"/>
      <c r="BH331" s="115"/>
      <c r="BI331" s="115"/>
      <c r="BJ331" s="25"/>
      <c r="BK331" s="13"/>
      <c r="BN331" s="114"/>
    </row>
    <row r="332" spans="1:66" ht="20.100000000000001" customHeight="1" x14ac:dyDescent="0.4">
      <c r="A332" s="117"/>
      <c r="B332" s="123"/>
      <c r="C332" s="123"/>
      <c r="D332" s="123"/>
      <c r="V332" s="115"/>
      <c r="W332" s="115"/>
      <c r="X332" s="115"/>
      <c r="Y332" s="115"/>
      <c r="Z332" s="115"/>
      <c r="AA332" s="29"/>
      <c r="AB332" s="29"/>
      <c r="AF332" s="115"/>
      <c r="AG332" s="115"/>
      <c r="AH332" s="115"/>
      <c r="AI332" s="115"/>
      <c r="AJ332" s="115"/>
      <c r="AK332" s="115"/>
      <c r="AL332" s="25"/>
      <c r="AM332" s="13"/>
      <c r="AR332" s="116"/>
      <c r="AS332" s="123"/>
      <c r="AT332" s="123"/>
      <c r="AU332" s="123"/>
      <c r="AZ332" s="115"/>
      <c r="BA332" s="115"/>
      <c r="BB332" s="115"/>
      <c r="BC332" s="115"/>
      <c r="BD332" s="115"/>
      <c r="BE332" s="115"/>
      <c r="BF332" s="115"/>
      <c r="BG332" s="115"/>
      <c r="BH332" s="115"/>
      <c r="BI332" s="115"/>
      <c r="BJ332" s="25"/>
      <c r="BK332" s="13"/>
      <c r="BN332" s="114"/>
    </row>
    <row r="333" spans="1:66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27"/>
      <c r="AB333" s="29"/>
      <c r="AF333" s="115"/>
      <c r="AG333" s="115"/>
      <c r="AH333" s="115"/>
      <c r="AI333" s="115"/>
      <c r="AJ333" s="115"/>
      <c r="AK333" s="115"/>
      <c r="AL333" s="25"/>
      <c r="AM333" s="13"/>
      <c r="AR333" s="116"/>
      <c r="AS333" s="123"/>
      <c r="AT333" s="123"/>
      <c r="AU333" s="123"/>
      <c r="AZ333" s="115"/>
      <c r="BA333" s="115"/>
      <c r="BB333" s="115"/>
      <c r="BC333" s="115"/>
      <c r="BD333" s="115"/>
      <c r="BE333" s="115"/>
      <c r="BF333" s="115"/>
      <c r="BG333" s="115"/>
      <c r="BH333" s="115"/>
      <c r="BI333" s="115"/>
      <c r="BJ333" s="25"/>
      <c r="BK333" s="13"/>
      <c r="BN333" s="114"/>
    </row>
    <row r="334" spans="1:66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29"/>
      <c r="AB334" s="29"/>
      <c r="AF334" s="115"/>
      <c r="AG334" s="115"/>
      <c r="AH334" s="115"/>
      <c r="AI334" s="115"/>
      <c r="AJ334" s="115"/>
      <c r="AK334" s="115"/>
      <c r="AL334" s="25"/>
      <c r="AM334" s="13"/>
      <c r="AR334" s="116"/>
      <c r="AS334" s="123"/>
      <c r="AT334" s="123"/>
      <c r="AU334" s="123"/>
      <c r="AZ334" s="115"/>
      <c r="BA334" s="115"/>
      <c r="BB334" s="115"/>
      <c r="BC334" s="115"/>
      <c r="BD334" s="115"/>
      <c r="BE334" s="115"/>
      <c r="BF334" s="115"/>
      <c r="BG334" s="115"/>
      <c r="BH334" s="115"/>
      <c r="BI334" s="115"/>
      <c r="BJ334" s="25"/>
      <c r="BK334" s="13"/>
      <c r="BN334" s="114"/>
    </row>
    <row r="335" spans="1:66" ht="20.100000000000001" customHeight="1" x14ac:dyDescent="0.4">
      <c r="A335" s="117"/>
      <c r="B335" s="123"/>
      <c r="C335" s="123"/>
      <c r="D335" s="123"/>
      <c r="R335" s="115"/>
      <c r="S335" s="115"/>
      <c r="T335" s="115"/>
      <c r="U335" s="115"/>
      <c r="V335" s="115"/>
      <c r="W335" s="115"/>
      <c r="X335" s="115"/>
      <c r="Y335" s="115"/>
      <c r="Z335" s="115"/>
      <c r="AA335" s="127"/>
      <c r="AB335" s="29"/>
      <c r="AF335" s="115"/>
      <c r="AG335" s="115"/>
      <c r="AH335" s="115"/>
      <c r="AI335" s="115"/>
      <c r="AJ335" s="115"/>
      <c r="AK335" s="115"/>
      <c r="AL335" s="25"/>
      <c r="AM335" s="13"/>
      <c r="AR335" s="116"/>
      <c r="AS335" s="123"/>
      <c r="AT335" s="123"/>
      <c r="AU335" s="123"/>
      <c r="AZ335" s="115"/>
      <c r="BA335" s="115"/>
      <c r="BB335" s="115"/>
      <c r="BC335" s="115"/>
      <c r="BD335" s="115"/>
      <c r="BE335" s="115"/>
      <c r="BF335" s="115"/>
      <c r="BG335" s="115"/>
      <c r="BH335" s="115"/>
      <c r="BI335" s="115"/>
      <c r="BJ335" s="25"/>
      <c r="BK335" s="13"/>
      <c r="BN335" s="114"/>
    </row>
    <row r="336" spans="1:66" ht="20.100000000000001" customHeight="1" x14ac:dyDescent="0.4">
      <c r="A336" s="117"/>
      <c r="B336" s="123"/>
      <c r="C336" s="123"/>
      <c r="D336" s="123"/>
      <c r="AA336" s="127"/>
      <c r="AB336" s="29"/>
      <c r="AF336" s="115"/>
      <c r="AG336" s="115"/>
      <c r="AH336" s="115"/>
      <c r="AI336" s="115"/>
      <c r="AJ336" s="115"/>
      <c r="AK336" s="115"/>
      <c r="AL336" s="25">
        <v>45672</v>
      </c>
      <c r="AM336" s="13" t="s">
        <v>146</v>
      </c>
      <c r="AR336" s="116"/>
      <c r="AS336" s="123"/>
      <c r="AT336" s="123"/>
      <c r="AU336" s="123"/>
      <c r="AZ336" s="115"/>
      <c r="BA336" s="115"/>
      <c r="BB336" s="115"/>
      <c r="BC336" s="115"/>
      <c r="BD336" s="115"/>
      <c r="BE336" s="115"/>
      <c r="BF336" s="115"/>
      <c r="BG336" s="115"/>
      <c r="BH336" s="115"/>
      <c r="BI336" s="115"/>
      <c r="BJ336" s="25"/>
      <c r="BK336" s="13"/>
      <c r="BN336" s="114"/>
    </row>
    <row r="337" spans="1:66" ht="20.100000000000001" customHeight="1" x14ac:dyDescent="0.4">
      <c r="A337" s="117"/>
      <c r="B337" s="123"/>
      <c r="C337" s="123"/>
      <c r="D337" s="123"/>
      <c r="AA337" s="127"/>
      <c r="AB337" s="29"/>
      <c r="AF337" s="115"/>
      <c r="AG337" s="115"/>
      <c r="AH337" s="115"/>
      <c r="AI337" s="115"/>
      <c r="AJ337" s="115"/>
      <c r="AK337" s="115"/>
      <c r="AL337" s="25"/>
      <c r="AM337" s="13"/>
      <c r="AR337" s="116"/>
      <c r="AS337" s="123"/>
      <c r="AT337" s="123"/>
      <c r="AU337" s="123"/>
      <c r="AZ337" s="115"/>
      <c r="BA337" s="115"/>
      <c r="BB337" s="115"/>
      <c r="BC337" s="115"/>
      <c r="BD337" s="115"/>
      <c r="BE337" s="115"/>
      <c r="BF337" s="115"/>
      <c r="BG337" s="115"/>
      <c r="BH337" s="115"/>
      <c r="BI337" s="115"/>
      <c r="BJ337" s="25"/>
      <c r="BK337" s="13"/>
      <c r="BN337" s="114"/>
    </row>
    <row r="338" spans="1:66" ht="20.100000000000001" customHeight="1" x14ac:dyDescent="0.4">
      <c r="A338" s="117"/>
      <c r="B338" s="123"/>
      <c r="C338" s="123"/>
      <c r="D338" s="123"/>
      <c r="V338" s="115"/>
      <c r="W338" s="115"/>
      <c r="X338" s="115"/>
      <c r="Y338" s="115"/>
      <c r="Z338" s="115"/>
      <c r="AA338" s="29"/>
      <c r="AB338" s="29"/>
      <c r="AF338" s="115"/>
      <c r="AG338" s="115"/>
      <c r="AH338" s="115"/>
      <c r="AI338" s="115"/>
      <c r="AJ338" s="115"/>
      <c r="AK338" s="115"/>
      <c r="AL338" s="25"/>
      <c r="AM338" s="13"/>
      <c r="AR338" s="116"/>
      <c r="AS338" s="123"/>
      <c r="AT338" s="123"/>
      <c r="AU338" s="123"/>
      <c r="AZ338" s="115"/>
      <c r="BA338" s="115"/>
      <c r="BB338" s="115"/>
      <c r="BC338" s="115"/>
      <c r="BD338" s="115"/>
      <c r="BE338" s="115"/>
      <c r="BF338" s="115"/>
      <c r="BG338" s="115"/>
      <c r="BH338" s="115"/>
      <c r="BI338" s="115"/>
      <c r="BJ338" s="25"/>
      <c r="BK338" s="13"/>
      <c r="BN338" s="114"/>
    </row>
    <row r="339" spans="1:66" ht="20.100000000000001" customHeight="1" x14ac:dyDescent="0.4">
      <c r="A339" s="117"/>
      <c r="B339" s="123"/>
      <c r="C339" s="123"/>
      <c r="D339" s="123"/>
      <c r="AA339" s="127"/>
      <c r="AB339" s="29"/>
      <c r="AF339" s="115"/>
      <c r="AG339" s="115"/>
      <c r="AH339" s="115"/>
      <c r="AI339" s="115"/>
      <c r="AJ339" s="115"/>
      <c r="AK339" s="115"/>
      <c r="AL339" s="25">
        <v>45672</v>
      </c>
      <c r="AM339" s="25" t="s">
        <v>147</v>
      </c>
      <c r="AR339" s="116"/>
      <c r="AS339" s="123"/>
      <c r="AT339" s="123"/>
      <c r="AU339" s="123"/>
      <c r="AZ339" s="115"/>
      <c r="BA339" s="115"/>
      <c r="BB339" s="115"/>
      <c r="BC339" s="115"/>
      <c r="BD339" s="115"/>
      <c r="BE339" s="115"/>
      <c r="BF339" s="115"/>
      <c r="BG339" s="115"/>
      <c r="BH339" s="115"/>
      <c r="BI339" s="115"/>
      <c r="BJ339" s="25"/>
      <c r="BK339" s="13"/>
      <c r="BN339" s="114"/>
    </row>
    <row r="340" spans="1:66" ht="20.100000000000001" customHeight="1" x14ac:dyDescent="0.4">
      <c r="A340" s="117"/>
      <c r="B340" s="123"/>
      <c r="C340" s="123"/>
      <c r="D340" s="123"/>
      <c r="AA340" s="127"/>
      <c r="AB340" s="29"/>
      <c r="AF340" s="115"/>
      <c r="AG340" s="115"/>
      <c r="AH340" s="115"/>
      <c r="AI340" s="115"/>
      <c r="AJ340" s="115"/>
      <c r="AK340" s="115"/>
      <c r="AL340" s="25"/>
      <c r="AM340" s="25"/>
      <c r="AR340" s="116"/>
      <c r="AS340" s="123"/>
      <c r="AT340" s="123"/>
      <c r="AU340" s="123"/>
      <c r="AZ340" s="115"/>
      <c r="BA340" s="115"/>
      <c r="BB340" s="115"/>
      <c r="BC340" s="115"/>
      <c r="BD340" s="115"/>
      <c r="BE340" s="115"/>
      <c r="BF340" s="115"/>
      <c r="BG340" s="115"/>
      <c r="BH340" s="115"/>
      <c r="BI340" s="115"/>
      <c r="BJ340" s="25"/>
      <c r="BK340" s="13"/>
      <c r="BN340" s="114"/>
    </row>
    <row r="341" spans="1:66" ht="20.100000000000001" customHeight="1" x14ac:dyDescent="0.4">
      <c r="A341" s="117"/>
      <c r="B341" s="123"/>
      <c r="C341" s="123"/>
      <c r="D341" s="123"/>
      <c r="V341" s="115"/>
      <c r="W341" s="115"/>
      <c r="X341" s="115"/>
      <c r="Y341" s="115"/>
      <c r="Z341" s="115"/>
      <c r="AA341" s="29"/>
      <c r="AB341" s="29"/>
      <c r="AF341" s="115"/>
      <c r="AG341" s="115"/>
      <c r="AH341" s="115"/>
      <c r="AI341" s="115"/>
      <c r="AJ341" s="115"/>
      <c r="AK341" s="115"/>
      <c r="AL341" s="25"/>
      <c r="AM341" s="25"/>
      <c r="AR341" s="116"/>
      <c r="AS341" s="123"/>
      <c r="AT341" s="123"/>
      <c r="AU341" s="123"/>
      <c r="AZ341" s="115"/>
      <c r="BA341" s="115"/>
      <c r="BB341" s="115"/>
      <c r="BC341" s="115"/>
      <c r="BD341" s="115"/>
      <c r="BE341" s="115"/>
      <c r="BF341" s="115"/>
      <c r="BG341" s="115"/>
      <c r="BH341" s="115"/>
      <c r="BI341" s="115"/>
      <c r="BJ341" s="25"/>
      <c r="BK341" s="13"/>
      <c r="BN341" s="114"/>
    </row>
    <row r="342" spans="1:66" ht="20.100000000000001" customHeight="1" x14ac:dyDescent="0.4">
      <c r="A342" s="117"/>
      <c r="B342" s="123"/>
      <c r="C342" s="123"/>
      <c r="D342" s="123"/>
      <c r="V342" s="115"/>
      <c r="W342" s="115"/>
      <c r="X342" s="115"/>
      <c r="Y342" s="115"/>
      <c r="Z342" s="115"/>
      <c r="AA342" s="29"/>
      <c r="AB342" s="29"/>
      <c r="AF342" s="115"/>
      <c r="AG342" s="115"/>
      <c r="AH342" s="115"/>
      <c r="AI342" s="115"/>
      <c r="AJ342" s="115"/>
      <c r="AK342" s="115"/>
      <c r="AL342" s="25"/>
      <c r="AM342" s="25"/>
      <c r="AR342" s="116"/>
      <c r="AS342" s="123"/>
      <c r="AT342" s="123"/>
      <c r="AU342" s="123"/>
      <c r="AZ342" s="115"/>
      <c r="BA342" s="115"/>
      <c r="BB342" s="115"/>
      <c r="BC342" s="115"/>
      <c r="BD342" s="115"/>
      <c r="BE342" s="115"/>
      <c r="BF342" s="115"/>
      <c r="BG342" s="115"/>
      <c r="BH342" s="115"/>
      <c r="BI342" s="115"/>
      <c r="BJ342" s="25"/>
      <c r="BK342" s="13"/>
      <c r="BN342" s="114"/>
    </row>
    <row r="343" spans="1:66" ht="20.100000000000001" customHeight="1" x14ac:dyDescent="0.4">
      <c r="A343" s="117"/>
      <c r="B343" s="123"/>
      <c r="C343" s="123"/>
      <c r="D343" s="123"/>
      <c r="S343" s="115"/>
      <c r="T343" s="115"/>
      <c r="U343" s="115"/>
      <c r="V343" s="115"/>
      <c r="W343" s="115"/>
      <c r="X343" s="115"/>
      <c r="Y343" s="115"/>
      <c r="Z343" s="115"/>
      <c r="AA343" s="127"/>
      <c r="AB343" s="29"/>
      <c r="AF343" s="115"/>
      <c r="AG343" s="115"/>
      <c r="AH343" s="115"/>
      <c r="AI343" s="115"/>
      <c r="AJ343" s="115"/>
      <c r="AK343" s="115"/>
      <c r="AL343" s="25"/>
      <c r="AM343" s="25"/>
      <c r="AR343" s="116"/>
      <c r="AS343" s="123"/>
      <c r="AT343" s="123"/>
      <c r="AU343" s="123"/>
      <c r="AZ343" s="115"/>
      <c r="BA343" s="115"/>
      <c r="BB343" s="115"/>
      <c r="BC343" s="115"/>
      <c r="BD343" s="115"/>
      <c r="BE343" s="115"/>
      <c r="BF343" s="115"/>
      <c r="BG343" s="115"/>
      <c r="BH343" s="115"/>
      <c r="BI343" s="115"/>
      <c r="BJ343" s="25"/>
      <c r="BK343" s="13"/>
      <c r="BN343" s="114"/>
    </row>
    <row r="344" spans="1:66" ht="20.100000000000001" customHeight="1" x14ac:dyDescent="0.4">
      <c r="A344" s="117"/>
      <c r="B344" s="123"/>
      <c r="C344" s="123"/>
      <c r="D344" s="123"/>
      <c r="S344" s="115"/>
      <c r="T344" s="115"/>
      <c r="U344" s="115"/>
      <c r="V344" s="115"/>
      <c r="W344" s="115"/>
      <c r="X344" s="115"/>
      <c r="Y344" s="115"/>
      <c r="Z344" s="115"/>
      <c r="AA344" s="29"/>
      <c r="AB344" s="29"/>
      <c r="AF344" s="115"/>
      <c r="AG344" s="115"/>
      <c r="AH344" s="115"/>
      <c r="AI344" s="115"/>
      <c r="AJ344" s="115"/>
      <c r="AK344" s="115"/>
      <c r="AL344" s="25"/>
      <c r="AM344" s="25"/>
      <c r="AR344" s="116"/>
      <c r="AS344" s="123"/>
      <c r="AT344" s="123"/>
      <c r="AU344" s="123"/>
      <c r="AZ344" s="115"/>
      <c r="BA344" s="115"/>
      <c r="BB344" s="115"/>
      <c r="BC344" s="115"/>
      <c r="BD344" s="115"/>
      <c r="BE344" s="115"/>
      <c r="BF344" s="115"/>
      <c r="BG344" s="115"/>
      <c r="BH344" s="115"/>
      <c r="BI344" s="115"/>
      <c r="BJ344" s="25"/>
      <c r="BK344" s="13"/>
      <c r="BN344" s="114"/>
    </row>
    <row r="345" spans="1:66" ht="20.100000000000001" customHeight="1" x14ac:dyDescent="0.4">
      <c r="A345" s="117"/>
      <c r="B345" s="123"/>
      <c r="C345" s="123"/>
      <c r="D345" s="123"/>
      <c r="R345" s="115"/>
      <c r="S345" s="115"/>
      <c r="T345" s="115"/>
      <c r="U345" s="115"/>
      <c r="V345" s="115"/>
      <c r="W345" s="115"/>
      <c r="X345" s="115"/>
      <c r="Y345" s="115"/>
      <c r="Z345" s="115"/>
      <c r="AA345" s="127"/>
      <c r="AB345" s="29"/>
      <c r="AF345" s="115"/>
      <c r="AG345" s="115"/>
      <c r="AH345" s="115"/>
      <c r="AI345" s="115"/>
      <c r="AJ345" s="115"/>
      <c r="AK345" s="115"/>
      <c r="AL345" s="25"/>
      <c r="AM345" s="25"/>
      <c r="AR345" s="116"/>
      <c r="AS345" s="123"/>
      <c r="AT345" s="123"/>
      <c r="AU345" s="123"/>
      <c r="AZ345" s="115"/>
      <c r="BA345" s="115"/>
      <c r="BB345" s="115"/>
      <c r="BC345" s="115"/>
      <c r="BD345" s="115"/>
      <c r="BE345" s="115"/>
      <c r="BF345" s="115"/>
      <c r="BG345" s="115"/>
      <c r="BH345" s="115"/>
      <c r="BI345" s="115"/>
      <c r="BJ345" s="25"/>
      <c r="BK345" s="13"/>
      <c r="BN345" s="114"/>
    </row>
    <row r="346" spans="1:66" ht="20.100000000000001" customHeight="1" x14ac:dyDescent="0.4">
      <c r="A346" s="117"/>
      <c r="B346" s="123"/>
      <c r="C346" s="123"/>
      <c r="D346" s="123"/>
      <c r="AA346" s="127"/>
      <c r="AB346" s="29"/>
      <c r="AF346" s="115"/>
      <c r="AG346" s="115"/>
      <c r="AH346" s="115"/>
      <c r="AI346" s="115"/>
      <c r="AJ346" s="115"/>
      <c r="AK346" s="115"/>
      <c r="AL346" s="25">
        <v>45673</v>
      </c>
      <c r="AM346" s="13" t="s">
        <v>147</v>
      </c>
      <c r="AR346" s="116"/>
      <c r="AS346" s="123"/>
      <c r="AT346" s="123"/>
      <c r="AU346" s="123"/>
      <c r="AZ346" s="115"/>
      <c r="BA346" s="115"/>
      <c r="BB346" s="115"/>
      <c r="BC346" s="115"/>
      <c r="BD346" s="115"/>
      <c r="BE346" s="115"/>
      <c r="BF346" s="115"/>
      <c r="BG346" s="115"/>
      <c r="BH346" s="115"/>
      <c r="BI346" s="115"/>
      <c r="BJ346" s="25"/>
      <c r="BK346" s="13"/>
      <c r="BN346" s="114"/>
    </row>
    <row r="347" spans="1:66" ht="20.100000000000001" customHeight="1" x14ac:dyDescent="0.4">
      <c r="A347" s="117"/>
      <c r="B347" s="123"/>
      <c r="C347" s="123"/>
      <c r="D347" s="123"/>
      <c r="T347" s="115"/>
      <c r="U347" s="115"/>
      <c r="V347" s="115"/>
      <c r="W347" s="115"/>
      <c r="X347" s="115"/>
      <c r="Y347" s="115"/>
      <c r="Z347" s="115"/>
      <c r="AA347" s="127"/>
      <c r="AB347" s="29"/>
      <c r="AF347" s="115"/>
      <c r="AG347" s="115"/>
      <c r="AH347" s="115"/>
      <c r="AI347" s="115"/>
      <c r="AJ347" s="115"/>
      <c r="AK347" s="115"/>
      <c r="AL347" s="25"/>
      <c r="AM347" s="13"/>
      <c r="AR347" s="116"/>
      <c r="AS347" s="123"/>
      <c r="AT347" s="123"/>
      <c r="AU347" s="123"/>
      <c r="AZ347" s="115"/>
      <c r="BA347" s="115"/>
      <c r="BB347" s="115"/>
      <c r="BC347" s="115"/>
      <c r="BD347" s="115"/>
      <c r="BE347" s="115"/>
      <c r="BF347" s="115"/>
      <c r="BG347" s="115"/>
      <c r="BH347" s="115"/>
      <c r="BI347" s="115"/>
      <c r="BJ347" s="25"/>
      <c r="BK347" s="13"/>
      <c r="BN347" s="114"/>
    </row>
    <row r="348" spans="1:66" ht="20.100000000000001" customHeight="1" x14ac:dyDescent="0.4">
      <c r="A348" s="117"/>
      <c r="B348" s="123"/>
      <c r="C348" s="123"/>
      <c r="D348" s="123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27"/>
      <c r="AB348" s="29"/>
      <c r="AF348" s="115"/>
      <c r="AG348" s="115"/>
      <c r="AH348" s="115"/>
      <c r="AI348" s="115"/>
      <c r="AJ348" s="115"/>
      <c r="AK348" s="115"/>
      <c r="AL348" s="25"/>
      <c r="AM348" s="13"/>
      <c r="AR348" s="116"/>
      <c r="AS348" s="123"/>
      <c r="AT348" s="123"/>
      <c r="AU348" s="123"/>
      <c r="AZ348" s="115"/>
      <c r="BA348" s="115"/>
      <c r="BB348" s="115"/>
      <c r="BC348" s="115"/>
      <c r="BD348" s="115"/>
      <c r="BE348" s="115"/>
      <c r="BF348" s="115"/>
      <c r="BG348" s="115"/>
      <c r="BH348" s="115"/>
      <c r="BI348" s="115"/>
      <c r="BJ348" s="25"/>
      <c r="BK348" s="13"/>
      <c r="BN348" s="114"/>
    </row>
    <row r="349" spans="1:66" ht="20.100000000000001" customHeight="1" x14ac:dyDescent="0.4">
      <c r="A349" s="117"/>
      <c r="B349" s="123"/>
      <c r="C349" s="123"/>
      <c r="D349" s="123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29"/>
      <c r="AB349" s="29"/>
      <c r="AF349" s="115"/>
      <c r="AG349" s="115"/>
      <c r="AH349" s="115"/>
      <c r="AI349" s="115"/>
      <c r="AJ349" s="115"/>
      <c r="AK349" s="115"/>
      <c r="AL349" s="25"/>
      <c r="AM349" s="13"/>
      <c r="AR349" s="116"/>
      <c r="AS349" s="123"/>
      <c r="AT349" s="123"/>
      <c r="AU349" s="123"/>
      <c r="AZ349" s="115"/>
      <c r="BA349" s="115"/>
      <c r="BB349" s="115"/>
      <c r="BC349" s="115"/>
      <c r="BD349" s="115"/>
      <c r="BE349" s="115"/>
      <c r="BF349" s="115"/>
      <c r="BG349" s="115"/>
      <c r="BH349" s="115"/>
      <c r="BI349" s="115"/>
      <c r="BJ349" s="25"/>
      <c r="BK349" s="13"/>
      <c r="BN349" s="114"/>
    </row>
    <row r="350" spans="1:66" ht="20.100000000000001" customHeight="1" x14ac:dyDescent="0.4">
      <c r="A350" s="117"/>
      <c r="B350" s="123"/>
      <c r="C350" s="123"/>
      <c r="D350" s="123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27"/>
      <c r="AB350" s="29"/>
      <c r="AF350" s="115"/>
      <c r="AG350" s="115"/>
      <c r="AH350" s="115"/>
      <c r="AI350" s="115"/>
      <c r="AJ350" s="115"/>
      <c r="AK350" s="115"/>
      <c r="AL350" s="25"/>
      <c r="AM350" s="13"/>
      <c r="AR350" s="116"/>
      <c r="AS350" s="123"/>
      <c r="AT350" s="123"/>
      <c r="AU350" s="123"/>
      <c r="AZ350" s="115"/>
      <c r="BA350" s="115"/>
      <c r="BB350" s="115"/>
      <c r="BC350" s="115"/>
      <c r="BD350" s="115"/>
      <c r="BE350" s="115"/>
      <c r="BF350" s="115"/>
      <c r="BG350" s="115"/>
      <c r="BH350" s="115"/>
      <c r="BI350" s="115"/>
      <c r="BJ350" s="25"/>
      <c r="BK350" s="13"/>
      <c r="BN350" s="114"/>
    </row>
    <row r="351" spans="1:66" ht="20.100000000000001" customHeight="1" x14ac:dyDescent="0.4">
      <c r="A351" s="117"/>
      <c r="B351" s="123"/>
      <c r="C351" s="123"/>
      <c r="D351" s="123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29"/>
      <c r="AB351" s="29"/>
      <c r="AF351" s="115"/>
      <c r="AG351" s="115"/>
      <c r="AH351" s="115"/>
      <c r="AI351" s="115"/>
      <c r="AJ351" s="115"/>
      <c r="AK351" s="115"/>
      <c r="AL351" s="25"/>
      <c r="AM351" s="13"/>
      <c r="AR351" s="116"/>
      <c r="AS351" s="123"/>
      <c r="AT351" s="123"/>
      <c r="AU351" s="123"/>
      <c r="AZ351" s="115"/>
      <c r="BA351" s="115"/>
      <c r="BB351" s="115"/>
      <c r="BC351" s="115"/>
      <c r="BD351" s="115"/>
      <c r="BE351" s="115"/>
      <c r="BF351" s="115"/>
      <c r="BG351" s="115"/>
      <c r="BH351" s="115"/>
      <c r="BI351" s="115"/>
      <c r="BJ351" s="25"/>
      <c r="BK351" s="13"/>
      <c r="BN351" s="114"/>
    </row>
    <row r="352" spans="1:66" ht="20.100000000000001" customHeight="1" x14ac:dyDescent="0.4">
      <c r="A352" s="117"/>
      <c r="B352" s="123"/>
      <c r="C352" s="123"/>
      <c r="D352" s="123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27"/>
      <c r="AB352" s="29"/>
      <c r="AF352" s="115"/>
      <c r="AG352" s="115"/>
      <c r="AH352" s="115"/>
      <c r="AI352" s="115"/>
      <c r="AJ352" s="115"/>
      <c r="AK352" s="115"/>
      <c r="AL352" s="25"/>
      <c r="AM352" s="13"/>
      <c r="AR352" s="116"/>
      <c r="AS352" s="123"/>
      <c r="AT352" s="123"/>
      <c r="AU352" s="123"/>
      <c r="AZ352" s="115"/>
      <c r="BA352" s="115"/>
      <c r="BB352" s="115"/>
      <c r="BC352" s="115"/>
      <c r="BD352" s="115"/>
      <c r="BE352" s="115"/>
      <c r="BF352" s="115"/>
      <c r="BG352" s="115"/>
      <c r="BH352" s="115"/>
      <c r="BI352" s="115"/>
      <c r="BJ352" s="25"/>
      <c r="BK352" s="13"/>
      <c r="BN352" s="114"/>
    </row>
    <row r="353" spans="1:66" ht="20.100000000000001" customHeight="1" x14ac:dyDescent="0.4">
      <c r="A353" s="117"/>
      <c r="B353" s="123"/>
      <c r="C353" s="123"/>
      <c r="D353" s="123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29"/>
      <c r="AB353" s="29"/>
      <c r="AF353" s="115"/>
      <c r="AG353" s="115"/>
      <c r="AH353" s="115"/>
      <c r="AI353" s="115"/>
      <c r="AJ353" s="115"/>
      <c r="AK353" s="115"/>
      <c r="AL353" s="25"/>
      <c r="AM353" s="13"/>
      <c r="AR353" s="116"/>
      <c r="AS353" s="123"/>
      <c r="AT353" s="123"/>
      <c r="AU353" s="123"/>
      <c r="AZ353" s="115"/>
      <c r="BA353" s="115"/>
      <c r="BB353" s="115"/>
      <c r="BC353" s="115"/>
      <c r="BD353" s="115"/>
      <c r="BE353" s="115"/>
      <c r="BF353" s="115"/>
      <c r="BG353" s="115"/>
      <c r="BH353" s="115"/>
      <c r="BI353" s="115"/>
      <c r="BJ353" s="25"/>
      <c r="BK353" s="13"/>
      <c r="BN353" s="114"/>
    </row>
    <row r="354" spans="1:66" ht="20.100000000000001" customHeight="1" x14ac:dyDescent="0.4">
      <c r="A354" s="117"/>
      <c r="B354" s="123"/>
      <c r="C354" s="123"/>
      <c r="D354" s="123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27"/>
      <c r="AB354" s="127"/>
      <c r="AF354" s="115"/>
      <c r="AG354" s="115"/>
      <c r="AH354" s="115"/>
      <c r="AI354" s="115"/>
      <c r="AJ354" s="115"/>
      <c r="AK354" s="115"/>
      <c r="AL354" s="25"/>
      <c r="AM354" s="13"/>
      <c r="AR354" s="116"/>
      <c r="AS354" s="123"/>
      <c r="AT354" s="123"/>
      <c r="AU354" s="123"/>
      <c r="AZ354" s="115"/>
      <c r="BA354" s="115"/>
      <c r="BB354" s="115"/>
      <c r="BC354" s="115"/>
      <c r="BD354" s="115"/>
      <c r="BE354" s="115"/>
      <c r="BF354" s="115"/>
      <c r="BG354" s="115"/>
      <c r="BH354" s="115"/>
      <c r="BI354" s="115"/>
      <c r="BJ354" s="25"/>
      <c r="BK354" s="13"/>
      <c r="BN354" s="114"/>
    </row>
    <row r="355" spans="1:66" ht="20.100000000000001" customHeight="1" x14ac:dyDescent="0.4">
      <c r="A355" s="117"/>
      <c r="B355" s="123"/>
      <c r="C355" s="123"/>
      <c r="D355" s="123"/>
      <c r="AA355" s="127"/>
      <c r="AB355" s="127"/>
      <c r="AF355" s="115"/>
      <c r="AG355" s="115"/>
      <c r="AH355" s="115"/>
      <c r="AI355" s="115"/>
      <c r="AJ355" s="115"/>
      <c r="AK355" s="115"/>
      <c r="AL355" s="25">
        <v>45673</v>
      </c>
      <c r="AM355" s="13" t="s">
        <v>147</v>
      </c>
      <c r="AR355" s="116"/>
      <c r="AS355" s="123"/>
      <c r="AT355" s="123"/>
      <c r="AU355" s="123"/>
      <c r="AZ355" s="115"/>
      <c r="BA355" s="115"/>
      <c r="BB355" s="115"/>
      <c r="BC355" s="115"/>
      <c r="BD355" s="115"/>
      <c r="BE355" s="115"/>
      <c r="BF355" s="115"/>
      <c r="BG355" s="115"/>
      <c r="BH355" s="115"/>
      <c r="BI355" s="115"/>
      <c r="BJ355" s="25"/>
      <c r="BK355" s="13"/>
      <c r="BN355" s="114"/>
    </row>
    <row r="356" spans="1:66" ht="20.100000000000001" customHeight="1" x14ac:dyDescent="0.4">
      <c r="A356" s="117"/>
      <c r="B356" s="123"/>
      <c r="C356" s="123"/>
      <c r="D356" s="123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27"/>
      <c r="AB356" s="29"/>
      <c r="AF356" s="115"/>
      <c r="AG356" s="115"/>
      <c r="AH356" s="115"/>
      <c r="AI356" s="115"/>
      <c r="AJ356" s="115"/>
      <c r="AK356" s="115"/>
      <c r="AL356" s="25"/>
      <c r="AM356" s="13"/>
      <c r="AR356" s="116"/>
      <c r="AS356" s="123"/>
      <c r="AT356" s="123"/>
      <c r="AU356" s="123"/>
      <c r="AZ356" s="115"/>
      <c r="BA356" s="115"/>
      <c r="BB356" s="115"/>
      <c r="BC356" s="115"/>
      <c r="BD356" s="115"/>
      <c r="BE356" s="115"/>
      <c r="BF356" s="115"/>
      <c r="BG356" s="115"/>
      <c r="BH356" s="115"/>
      <c r="BI356" s="115"/>
      <c r="BJ356" s="25"/>
      <c r="BK356" s="13"/>
      <c r="BN356" s="114"/>
    </row>
    <row r="357" spans="1:66" ht="20.100000000000001" customHeight="1" x14ac:dyDescent="0.4">
      <c r="A357" s="117"/>
      <c r="B357" s="123"/>
      <c r="C357" s="123"/>
      <c r="D357" s="123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27"/>
      <c r="AB357" s="29"/>
      <c r="AF357" s="115"/>
      <c r="AG357" s="115"/>
      <c r="AH357" s="115"/>
      <c r="AI357" s="115"/>
      <c r="AJ357" s="115"/>
      <c r="AK357" s="115"/>
      <c r="AL357" s="25"/>
      <c r="AM357" s="13"/>
      <c r="AR357" s="116"/>
      <c r="AS357" s="123"/>
      <c r="AT357" s="123"/>
      <c r="AU357" s="123"/>
      <c r="AZ357" s="115"/>
      <c r="BA357" s="115"/>
      <c r="BB357" s="115"/>
      <c r="BC357" s="115"/>
      <c r="BD357" s="115"/>
      <c r="BE357" s="115"/>
      <c r="BF357" s="115"/>
      <c r="BG357" s="115"/>
      <c r="BH357" s="115"/>
      <c r="BI357" s="115"/>
      <c r="BJ357" s="25"/>
      <c r="BK357" s="13"/>
      <c r="BN357" s="114"/>
    </row>
    <row r="358" spans="1:66" ht="20.100000000000001" customHeight="1" x14ac:dyDescent="0.4">
      <c r="A358" s="117"/>
      <c r="B358" s="123"/>
      <c r="C358" s="123"/>
      <c r="D358" s="123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27"/>
      <c r="AB358" s="29"/>
      <c r="AF358" s="115"/>
      <c r="AG358" s="115"/>
      <c r="AH358" s="115"/>
      <c r="AI358" s="115"/>
      <c r="AJ358" s="115"/>
      <c r="AK358" s="115"/>
      <c r="AL358" s="25"/>
      <c r="AM358" s="13"/>
      <c r="AR358" s="116"/>
      <c r="AS358" s="123"/>
      <c r="AT358" s="123"/>
      <c r="AU358" s="123"/>
      <c r="AZ358" s="115"/>
      <c r="BA358" s="115"/>
      <c r="BB358" s="115"/>
      <c r="BC358" s="115"/>
      <c r="BD358" s="115"/>
      <c r="BE358" s="115"/>
      <c r="BF358" s="115"/>
      <c r="BG358" s="115"/>
      <c r="BH358" s="115"/>
      <c r="BI358" s="115"/>
      <c r="BJ358" s="25"/>
      <c r="BK358" s="13"/>
      <c r="BN358" s="114"/>
    </row>
    <row r="359" spans="1:66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27"/>
      <c r="AB359" s="29"/>
      <c r="AF359" s="115"/>
      <c r="AG359" s="115"/>
      <c r="AH359" s="115"/>
      <c r="AI359" s="115"/>
      <c r="AJ359" s="115"/>
      <c r="AK359" s="115"/>
      <c r="AL359" s="25"/>
      <c r="AM359" s="13"/>
      <c r="AR359" s="116"/>
      <c r="AS359" s="123"/>
      <c r="AT359" s="123"/>
      <c r="AU359" s="123"/>
      <c r="AZ359" s="115"/>
      <c r="BA359" s="115"/>
      <c r="BB359" s="115"/>
      <c r="BC359" s="115"/>
      <c r="BD359" s="115"/>
      <c r="BE359" s="115"/>
      <c r="BF359" s="115"/>
      <c r="BG359" s="115"/>
      <c r="BH359" s="115"/>
      <c r="BI359" s="115"/>
      <c r="BJ359" s="25"/>
      <c r="BK359" s="13"/>
      <c r="BN359" s="114"/>
    </row>
    <row r="360" spans="1:66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29"/>
      <c r="AB360" s="29"/>
      <c r="AF360" s="115"/>
      <c r="AG360" s="115"/>
      <c r="AH360" s="115"/>
      <c r="AI360" s="115"/>
      <c r="AJ360" s="115"/>
      <c r="AK360" s="115"/>
      <c r="AL360" s="25"/>
      <c r="AM360" s="13"/>
      <c r="AR360" s="116"/>
      <c r="AS360" s="123"/>
      <c r="AT360" s="123"/>
      <c r="AU360" s="123"/>
      <c r="AZ360" s="115"/>
      <c r="BA360" s="115"/>
      <c r="BB360" s="115"/>
      <c r="BC360" s="115"/>
      <c r="BD360" s="115"/>
      <c r="BE360" s="115"/>
      <c r="BF360" s="115"/>
      <c r="BG360" s="115"/>
      <c r="BH360" s="115"/>
      <c r="BI360" s="115"/>
      <c r="BJ360" s="25"/>
      <c r="BK360" s="13"/>
      <c r="BN360" s="114"/>
    </row>
    <row r="361" spans="1:66" ht="20.100000000000001" customHeight="1" x14ac:dyDescent="0.4">
      <c r="A361" s="117"/>
      <c r="B361" s="123"/>
      <c r="C361" s="123"/>
      <c r="D361" s="123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29"/>
      <c r="AB361" s="29"/>
      <c r="AF361" s="115"/>
      <c r="AG361" s="115"/>
      <c r="AH361" s="115"/>
      <c r="AI361" s="115"/>
      <c r="AJ361" s="115"/>
      <c r="AK361" s="115"/>
      <c r="AL361" s="25"/>
      <c r="AM361" s="13"/>
      <c r="AR361" s="116"/>
      <c r="AS361" s="123"/>
      <c r="AT361" s="123"/>
      <c r="AU361" s="123"/>
      <c r="AZ361" s="115"/>
      <c r="BA361" s="115"/>
      <c r="BB361" s="115"/>
      <c r="BC361" s="115"/>
      <c r="BD361" s="115"/>
      <c r="BE361" s="115"/>
      <c r="BF361" s="115"/>
      <c r="BG361" s="115"/>
      <c r="BH361" s="115"/>
      <c r="BI361" s="115"/>
      <c r="BJ361" s="25"/>
      <c r="BK361" s="13"/>
      <c r="BN361" s="114"/>
    </row>
    <row r="362" spans="1:66" ht="20.100000000000001" customHeight="1" x14ac:dyDescent="0.4">
      <c r="A362" s="117"/>
      <c r="B362" s="123"/>
      <c r="C362" s="123"/>
      <c r="D362" s="123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27"/>
      <c r="AB362" s="29"/>
      <c r="AF362" s="115"/>
      <c r="AG362" s="115"/>
      <c r="AH362" s="115"/>
      <c r="AI362" s="115"/>
      <c r="AJ362" s="115"/>
      <c r="AK362" s="115"/>
      <c r="AL362" s="25"/>
      <c r="AM362" s="13"/>
      <c r="AR362" s="116"/>
      <c r="AS362" s="123"/>
      <c r="AT362" s="123"/>
      <c r="AU362" s="123"/>
      <c r="AZ362" s="115"/>
      <c r="BA362" s="115"/>
      <c r="BB362" s="115"/>
      <c r="BC362" s="115"/>
      <c r="BD362" s="115"/>
      <c r="BE362" s="115"/>
      <c r="BF362" s="115"/>
      <c r="BG362" s="115"/>
      <c r="BH362" s="115"/>
      <c r="BI362" s="115"/>
      <c r="BJ362" s="25"/>
      <c r="BK362" s="13"/>
      <c r="BN362" s="114"/>
    </row>
    <row r="363" spans="1:66" ht="20.100000000000001" customHeight="1" x14ac:dyDescent="0.4">
      <c r="A363" s="117"/>
      <c r="B363" s="123"/>
      <c r="C363" s="123"/>
      <c r="D363" s="123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27"/>
      <c r="AB363" s="29"/>
      <c r="AF363" s="115"/>
      <c r="AG363" s="115"/>
      <c r="AH363" s="115"/>
      <c r="AI363" s="115"/>
      <c r="AJ363" s="115"/>
      <c r="AK363" s="115"/>
      <c r="AL363" s="25"/>
      <c r="AM363" s="13"/>
      <c r="AR363" s="116"/>
      <c r="AS363" s="123"/>
      <c r="AT363" s="123"/>
      <c r="AU363" s="123"/>
      <c r="AZ363" s="115"/>
      <c r="BA363" s="115"/>
      <c r="BB363" s="115"/>
      <c r="BC363" s="115"/>
      <c r="BD363" s="115"/>
      <c r="BE363" s="115"/>
      <c r="BF363" s="115"/>
      <c r="BG363" s="115"/>
      <c r="BH363" s="115"/>
      <c r="BI363" s="115"/>
      <c r="BJ363" s="25"/>
      <c r="BK363" s="13"/>
      <c r="BN363" s="114"/>
    </row>
    <row r="364" spans="1:66" ht="20.100000000000001" customHeight="1" x14ac:dyDescent="0.4">
      <c r="A364" s="117"/>
      <c r="B364" s="123"/>
      <c r="C364" s="123"/>
      <c r="D364" s="123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27"/>
      <c r="AB364" s="29"/>
      <c r="AF364" s="115"/>
      <c r="AG364" s="115"/>
      <c r="AH364" s="115"/>
      <c r="AI364" s="115"/>
      <c r="AJ364" s="115"/>
      <c r="AK364" s="115"/>
      <c r="AL364" s="25"/>
      <c r="AM364" s="13"/>
      <c r="AR364" s="116"/>
      <c r="AS364" s="123"/>
      <c r="AT364" s="123"/>
      <c r="AU364" s="123"/>
      <c r="AZ364" s="115"/>
      <c r="BA364" s="115"/>
      <c r="BB364" s="115"/>
      <c r="BC364" s="115"/>
      <c r="BD364" s="115"/>
      <c r="BE364" s="115"/>
      <c r="BF364" s="115"/>
      <c r="BG364" s="115"/>
      <c r="BH364" s="115"/>
      <c r="BI364" s="115"/>
      <c r="BJ364" s="25"/>
      <c r="BK364" s="13"/>
      <c r="BN364" s="114"/>
    </row>
    <row r="365" spans="1:66" ht="20.100000000000001" customHeight="1" x14ac:dyDescent="0.4">
      <c r="A365" s="117"/>
      <c r="B365" s="123"/>
      <c r="C365" s="123"/>
      <c r="D365" s="123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27"/>
      <c r="AB365" s="29"/>
      <c r="AF365" s="115"/>
      <c r="AG365" s="115"/>
      <c r="AH365" s="115"/>
      <c r="AI365" s="115"/>
      <c r="AJ365" s="115"/>
      <c r="AK365" s="115"/>
      <c r="AL365" s="25"/>
      <c r="AM365" s="13"/>
      <c r="AR365" s="116"/>
      <c r="AS365" s="123"/>
      <c r="AT365" s="123"/>
      <c r="AU365" s="123"/>
      <c r="AZ365" s="115"/>
      <c r="BA365" s="115"/>
      <c r="BB365" s="115"/>
      <c r="BC365" s="115"/>
      <c r="BD365" s="115"/>
      <c r="BE365" s="115"/>
      <c r="BF365" s="115"/>
      <c r="BG365" s="115"/>
      <c r="BH365" s="115"/>
      <c r="BI365" s="115"/>
      <c r="BJ365" s="25"/>
      <c r="BK365" s="13"/>
      <c r="BN365" s="114"/>
    </row>
    <row r="366" spans="1:66" ht="20.100000000000001" customHeight="1" x14ac:dyDescent="0.4">
      <c r="A366" s="117"/>
      <c r="B366" s="123"/>
      <c r="C366" s="123"/>
      <c r="D366" s="123"/>
      <c r="AA366" s="127"/>
      <c r="AB366" s="29"/>
      <c r="AD366" s="115"/>
      <c r="AE366" s="115"/>
      <c r="AF366" s="115"/>
      <c r="AG366" s="115"/>
      <c r="AH366" s="115"/>
      <c r="AI366" s="115"/>
      <c r="AJ366" s="115"/>
      <c r="AK366" s="115"/>
      <c r="AL366" s="25">
        <v>45673</v>
      </c>
      <c r="AM366" s="13" t="s">
        <v>148</v>
      </c>
      <c r="AR366" s="116"/>
      <c r="AS366" s="123"/>
      <c r="AT366" s="123"/>
      <c r="AU366" s="123"/>
      <c r="AZ366" s="115"/>
      <c r="BA366" s="115"/>
      <c r="BB366" s="115"/>
      <c r="BC366" s="115"/>
      <c r="BD366" s="115"/>
      <c r="BE366" s="115"/>
      <c r="BF366" s="115"/>
      <c r="BG366" s="115"/>
      <c r="BH366" s="115"/>
      <c r="BI366" s="115"/>
      <c r="BJ366" s="25"/>
      <c r="BK366" s="13"/>
      <c r="BN366" s="114"/>
    </row>
    <row r="367" spans="1:66" ht="20.100000000000001" customHeight="1" x14ac:dyDescent="0.4">
      <c r="A367" s="117"/>
      <c r="B367" s="123"/>
      <c r="C367" s="123"/>
      <c r="D367" s="123"/>
      <c r="T367" s="115"/>
      <c r="U367" s="115"/>
      <c r="V367" s="115"/>
      <c r="W367" s="115"/>
      <c r="X367" s="115"/>
      <c r="Y367" s="115"/>
      <c r="Z367" s="115"/>
      <c r="AA367" s="29"/>
      <c r="AB367" s="29"/>
      <c r="AD367" s="115"/>
      <c r="AE367" s="115"/>
      <c r="AF367" s="115"/>
      <c r="AG367" s="115"/>
      <c r="AH367" s="115"/>
      <c r="AI367" s="115"/>
      <c r="AJ367" s="115"/>
      <c r="AK367" s="115"/>
      <c r="AL367" s="25"/>
      <c r="AM367" s="13"/>
      <c r="AR367" s="116"/>
      <c r="AS367" s="123"/>
      <c r="AT367" s="123"/>
      <c r="AU367" s="123"/>
      <c r="AZ367" s="115"/>
      <c r="BA367" s="115"/>
      <c r="BB367" s="115"/>
      <c r="BC367" s="115"/>
      <c r="BD367" s="115"/>
      <c r="BE367" s="115"/>
      <c r="BF367" s="115"/>
      <c r="BG367" s="115"/>
      <c r="BH367" s="115"/>
      <c r="BI367" s="115"/>
      <c r="BJ367" s="25"/>
      <c r="BK367" s="13"/>
      <c r="BN367" s="114"/>
    </row>
    <row r="368" spans="1:66" ht="20.100000000000001" customHeight="1" x14ac:dyDescent="0.4">
      <c r="A368" s="117"/>
      <c r="B368" s="123"/>
      <c r="C368" s="123"/>
      <c r="D368" s="123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27"/>
      <c r="AB368" s="29"/>
      <c r="AD368" s="115"/>
      <c r="AE368" s="115"/>
      <c r="AF368" s="115"/>
      <c r="AG368" s="115"/>
      <c r="AH368" s="115"/>
      <c r="AI368" s="115"/>
      <c r="AJ368" s="115"/>
      <c r="AK368" s="115"/>
      <c r="AL368" s="25"/>
      <c r="AM368" s="13"/>
      <c r="AR368" s="116"/>
      <c r="AS368" s="123"/>
      <c r="AT368" s="123"/>
      <c r="AU368" s="123"/>
      <c r="AZ368" s="115"/>
      <c r="BA368" s="115"/>
      <c r="BB368" s="115"/>
      <c r="BC368" s="115"/>
      <c r="BD368" s="115"/>
      <c r="BE368" s="115"/>
      <c r="BF368" s="115"/>
      <c r="BG368" s="115"/>
      <c r="BH368" s="115"/>
      <c r="BI368" s="115"/>
      <c r="BJ368" s="25"/>
      <c r="BK368" s="13"/>
      <c r="BN368" s="114"/>
    </row>
    <row r="369" spans="1:66" ht="20.100000000000001" customHeight="1" x14ac:dyDescent="0.4">
      <c r="A369" s="117"/>
      <c r="B369" s="123"/>
      <c r="C369" s="123"/>
      <c r="D369" s="123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27"/>
      <c r="AB369" s="29"/>
      <c r="AD369" s="115"/>
      <c r="AE369" s="115"/>
      <c r="AF369" s="115"/>
      <c r="AG369" s="115"/>
      <c r="AH369" s="115"/>
      <c r="AI369" s="115"/>
      <c r="AJ369" s="115"/>
      <c r="AK369" s="115"/>
      <c r="AL369" s="25"/>
      <c r="AM369" s="13"/>
      <c r="AR369" s="116"/>
      <c r="AS369" s="123"/>
      <c r="AT369" s="123"/>
      <c r="AU369" s="123"/>
      <c r="AZ369" s="115"/>
      <c r="BA369" s="115"/>
      <c r="BB369" s="115"/>
      <c r="BC369" s="115"/>
      <c r="BD369" s="115"/>
      <c r="BE369" s="115"/>
      <c r="BF369" s="115"/>
      <c r="BG369" s="115"/>
      <c r="BH369" s="115"/>
      <c r="BI369" s="115"/>
      <c r="BJ369" s="25"/>
      <c r="BK369" s="13"/>
      <c r="BN369" s="114"/>
    </row>
    <row r="370" spans="1:66" ht="20.100000000000001" customHeight="1" x14ac:dyDescent="0.4">
      <c r="A370" s="117"/>
      <c r="B370" s="123"/>
      <c r="C370" s="123"/>
      <c r="D370" s="123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27"/>
      <c r="AB370" s="29"/>
      <c r="AD370" s="115"/>
      <c r="AE370" s="115"/>
      <c r="AF370" s="115"/>
      <c r="AG370" s="115"/>
      <c r="AH370" s="115"/>
      <c r="AI370" s="115"/>
      <c r="AJ370" s="115"/>
      <c r="AK370" s="115"/>
      <c r="AL370" s="25"/>
      <c r="AM370" s="13"/>
      <c r="AR370" s="116"/>
      <c r="AS370" s="123"/>
      <c r="AT370" s="123"/>
      <c r="AU370" s="123"/>
      <c r="AZ370" s="115"/>
      <c r="BA370" s="115"/>
      <c r="BB370" s="115"/>
      <c r="BC370" s="115"/>
      <c r="BD370" s="115"/>
      <c r="BE370" s="115"/>
      <c r="BF370" s="115"/>
      <c r="BG370" s="115"/>
      <c r="BH370" s="115"/>
      <c r="BI370" s="115"/>
      <c r="BJ370" s="25"/>
      <c r="BK370" s="13"/>
      <c r="BN370" s="114"/>
    </row>
    <row r="371" spans="1:66" ht="20.100000000000001" customHeight="1" x14ac:dyDescent="0.4">
      <c r="A371" s="117"/>
      <c r="B371" s="123"/>
      <c r="C371" s="123"/>
      <c r="D371" s="123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27"/>
      <c r="AB371" s="29"/>
      <c r="AD371" s="115"/>
      <c r="AE371" s="115"/>
      <c r="AF371" s="115"/>
      <c r="AG371" s="115"/>
      <c r="AH371" s="115"/>
      <c r="AI371" s="115"/>
      <c r="AJ371" s="115"/>
      <c r="AK371" s="115"/>
      <c r="AL371" s="25"/>
      <c r="AM371" s="13"/>
      <c r="AR371" s="116"/>
      <c r="AS371" s="123"/>
      <c r="AT371" s="123"/>
      <c r="AU371" s="123"/>
      <c r="AZ371" s="115"/>
      <c r="BA371" s="115"/>
      <c r="BB371" s="115"/>
      <c r="BC371" s="115"/>
      <c r="BD371" s="115"/>
      <c r="BE371" s="115"/>
      <c r="BF371" s="115"/>
      <c r="BG371" s="115"/>
      <c r="BH371" s="115"/>
      <c r="BI371" s="115"/>
      <c r="BJ371" s="25"/>
      <c r="BK371" s="13"/>
      <c r="BN371" s="114"/>
    </row>
    <row r="372" spans="1:66" ht="20.100000000000001" customHeight="1" x14ac:dyDescent="0.4">
      <c r="A372" s="117"/>
      <c r="B372" s="123"/>
      <c r="C372" s="123"/>
      <c r="D372" s="123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29"/>
      <c r="AB372" s="29"/>
      <c r="AD372" s="115"/>
      <c r="AE372" s="115"/>
      <c r="AF372" s="115"/>
      <c r="AG372" s="115"/>
      <c r="AH372" s="115"/>
      <c r="AI372" s="115"/>
      <c r="AJ372" s="115"/>
      <c r="AK372" s="115"/>
      <c r="AL372" s="25"/>
      <c r="AM372" s="13"/>
      <c r="AR372" s="116"/>
      <c r="AS372" s="123"/>
      <c r="AT372" s="123"/>
      <c r="AU372" s="123"/>
      <c r="AZ372" s="115"/>
      <c r="BA372" s="115"/>
      <c r="BB372" s="115"/>
      <c r="BC372" s="115"/>
      <c r="BD372" s="115"/>
      <c r="BE372" s="115"/>
      <c r="BF372" s="115"/>
      <c r="BG372" s="115"/>
      <c r="BH372" s="115"/>
      <c r="BI372" s="115"/>
      <c r="BJ372" s="25"/>
      <c r="BK372" s="13"/>
      <c r="BN372" s="114"/>
    </row>
    <row r="373" spans="1:66" ht="20.100000000000001" customHeight="1" x14ac:dyDescent="0.4">
      <c r="A373" s="117"/>
      <c r="B373" s="123"/>
      <c r="C373" s="123"/>
      <c r="D373" s="123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27"/>
      <c r="AB373" s="29"/>
      <c r="AD373" s="115"/>
      <c r="AE373" s="115"/>
      <c r="AF373" s="115"/>
      <c r="AG373" s="115"/>
      <c r="AH373" s="115"/>
      <c r="AI373" s="115"/>
      <c r="AJ373" s="115"/>
      <c r="AK373" s="115"/>
      <c r="AL373" s="25"/>
      <c r="AM373" s="13"/>
      <c r="AR373" s="116"/>
      <c r="AS373" s="123"/>
      <c r="AT373" s="123"/>
      <c r="AU373" s="123"/>
      <c r="AZ373" s="115"/>
      <c r="BA373" s="115"/>
      <c r="BB373" s="115"/>
      <c r="BC373" s="115"/>
      <c r="BD373" s="115"/>
      <c r="BE373" s="115"/>
      <c r="BF373" s="115"/>
      <c r="BG373" s="115"/>
      <c r="BH373" s="115"/>
      <c r="BI373" s="115"/>
      <c r="BJ373" s="25"/>
      <c r="BK373" s="13"/>
      <c r="BN373" s="114"/>
    </row>
    <row r="374" spans="1:66" ht="20.100000000000001" customHeight="1" x14ac:dyDescent="0.4">
      <c r="A374" s="117"/>
      <c r="B374" s="123"/>
      <c r="C374" s="123"/>
      <c r="D374" s="123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27"/>
      <c r="AB374" s="29"/>
      <c r="AD374" s="115"/>
      <c r="AE374" s="115"/>
      <c r="AF374" s="115"/>
      <c r="AG374" s="115"/>
      <c r="AH374" s="115"/>
      <c r="AI374" s="115"/>
      <c r="AJ374" s="115"/>
      <c r="AK374" s="115"/>
      <c r="AL374" s="25"/>
      <c r="AM374" s="13"/>
      <c r="AR374" s="116"/>
      <c r="AS374" s="123"/>
      <c r="AT374" s="123"/>
      <c r="AU374" s="123"/>
      <c r="AZ374" s="115"/>
      <c r="BA374" s="115"/>
      <c r="BB374" s="115"/>
      <c r="BC374" s="115"/>
      <c r="BD374" s="115"/>
      <c r="BE374" s="115"/>
      <c r="BF374" s="115"/>
      <c r="BG374" s="115"/>
      <c r="BH374" s="115"/>
      <c r="BI374" s="115"/>
      <c r="BJ374" s="25"/>
      <c r="BK374" s="13"/>
      <c r="BN374" s="114"/>
    </row>
    <row r="375" spans="1:66" ht="20.100000000000001" customHeight="1" x14ac:dyDescent="0.4">
      <c r="A375" s="117"/>
      <c r="B375" s="123"/>
      <c r="C375" s="123"/>
      <c r="D375" s="123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27"/>
      <c r="AB375" s="29"/>
      <c r="AD375" s="115"/>
      <c r="AE375" s="115"/>
      <c r="AF375" s="115"/>
      <c r="AG375" s="115"/>
      <c r="AH375" s="115"/>
      <c r="AI375" s="115"/>
      <c r="AJ375" s="115"/>
      <c r="AK375" s="115"/>
      <c r="AL375" s="25"/>
      <c r="AM375" s="13"/>
      <c r="AR375" s="116"/>
      <c r="AS375" s="123"/>
      <c r="AT375" s="123"/>
      <c r="AU375" s="123"/>
      <c r="AZ375" s="115"/>
      <c r="BA375" s="115"/>
      <c r="BB375" s="115"/>
      <c r="BC375" s="115"/>
      <c r="BD375" s="115"/>
      <c r="BE375" s="115"/>
      <c r="BF375" s="115"/>
      <c r="BG375" s="115"/>
      <c r="BH375" s="115"/>
      <c r="BI375" s="115"/>
      <c r="BJ375" s="25"/>
      <c r="BK375" s="13"/>
      <c r="BN375" s="114"/>
    </row>
    <row r="376" spans="1:66" ht="20.100000000000001" customHeight="1" x14ac:dyDescent="0.4">
      <c r="A376" s="117"/>
      <c r="B376" s="123"/>
      <c r="C376" s="123"/>
      <c r="D376" s="123"/>
      <c r="AA376" s="127"/>
      <c r="AB376" s="29"/>
      <c r="AD376" s="115"/>
      <c r="AE376" s="115"/>
      <c r="AF376" s="115"/>
      <c r="AG376" s="115"/>
      <c r="AH376" s="115"/>
      <c r="AI376" s="115"/>
      <c r="AJ376" s="115"/>
      <c r="AK376" s="115"/>
      <c r="AL376" s="25">
        <v>45673</v>
      </c>
      <c r="AM376" s="13" t="s">
        <v>147</v>
      </c>
      <c r="AR376" s="116"/>
      <c r="AS376" s="123"/>
      <c r="AT376" s="123"/>
      <c r="AU376" s="123"/>
      <c r="AZ376" s="115"/>
      <c r="BA376" s="115"/>
      <c r="BB376" s="115"/>
      <c r="BC376" s="115"/>
      <c r="BD376" s="115"/>
      <c r="BE376" s="115"/>
      <c r="BF376" s="115"/>
      <c r="BG376" s="115"/>
      <c r="BH376" s="115"/>
      <c r="BI376" s="115"/>
      <c r="BJ376" s="25"/>
      <c r="BK376" s="13"/>
      <c r="BN376" s="114"/>
    </row>
    <row r="377" spans="1:66" ht="20.100000000000001" customHeight="1" x14ac:dyDescent="0.4">
      <c r="A377" s="117"/>
      <c r="B377" s="123"/>
      <c r="C377" s="123"/>
      <c r="D377" s="123"/>
      <c r="T377" s="115"/>
      <c r="U377" s="115"/>
      <c r="V377" s="115"/>
      <c r="W377" s="115"/>
      <c r="X377" s="115"/>
      <c r="Y377" s="115"/>
      <c r="Z377" s="115"/>
      <c r="AA377" s="29"/>
      <c r="AB377" s="29"/>
      <c r="AD377" s="115"/>
      <c r="AE377" s="115"/>
      <c r="AF377" s="115"/>
      <c r="AG377" s="115"/>
      <c r="AH377" s="115"/>
      <c r="AI377" s="115"/>
      <c r="AJ377" s="115"/>
      <c r="AK377" s="115"/>
      <c r="AL377" s="25"/>
      <c r="AM377" s="13"/>
      <c r="AR377" s="116"/>
      <c r="AS377" s="123"/>
      <c r="AT377" s="123"/>
      <c r="AU377" s="123"/>
      <c r="AZ377" s="115"/>
      <c r="BA377" s="115"/>
      <c r="BB377" s="115"/>
      <c r="BC377" s="115"/>
      <c r="BD377" s="115"/>
      <c r="BE377" s="115"/>
      <c r="BF377" s="115"/>
      <c r="BG377" s="115"/>
      <c r="BH377" s="115"/>
      <c r="BI377" s="115"/>
      <c r="BJ377" s="25"/>
      <c r="BK377" s="13"/>
      <c r="BN377" s="114"/>
    </row>
    <row r="378" spans="1:66" ht="20.100000000000001" customHeight="1" x14ac:dyDescent="0.4">
      <c r="A378" s="117"/>
      <c r="B378" s="123"/>
      <c r="C378" s="123"/>
      <c r="D378" s="123"/>
      <c r="AA378" s="127"/>
      <c r="AB378" s="29"/>
      <c r="AD378" s="115"/>
      <c r="AE378" s="115"/>
      <c r="AF378" s="115"/>
      <c r="AG378" s="115"/>
      <c r="AH378" s="115"/>
      <c r="AI378" s="115"/>
      <c r="AJ378" s="115"/>
      <c r="AK378" s="115"/>
      <c r="AL378" s="25"/>
      <c r="AM378" s="13"/>
      <c r="AR378" s="116"/>
      <c r="AS378" s="123"/>
      <c r="AT378" s="123"/>
      <c r="AU378" s="123"/>
      <c r="AZ378" s="115"/>
      <c r="BA378" s="115"/>
      <c r="BB378" s="115"/>
      <c r="BC378" s="115"/>
      <c r="BD378" s="115"/>
      <c r="BE378" s="115"/>
      <c r="BF378" s="115"/>
      <c r="BG378" s="115"/>
      <c r="BH378" s="115"/>
      <c r="BI378" s="115"/>
      <c r="BJ378" s="25"/>
      <c r="BK378" s="13"/>
      <c r="BN378" s="114"/>
    </row>
    <row r="379" spans="1:66" ht="20.100000000000001" customHeight="1" x14ac:dyDescent="0.4">
      <c r="A379" s="117"/>
      <c r="B379" s="123"/>
      <c r="C379" s="123"/>
      <c r="D379" s="123"/>
      <c r="T379" s="115"/>
      <c r="U379" s="115"/>
      <c r="V379" s="115"/>
      <c r="W379" s="115"/>
      <c r="X379" s="115"/>
      <c r="Y379" s="115"/>
      <c r="Z379" s="115"/>
      <c r="AA379" s="29"/>
      <c r="AB379" s="29"/>
      <c r="AD379" s="115"/>
      <c r="AE379" s="115"/>
      <c r="AF379" s="115"/>
      <c r="AG379" s="115"/>
      <c r="AH379" s="115"/>
      <c r="AI379" s="115"/>
      <c r="AJ379" s="115"/>
      <c r="AK379" s="115"/>
      <c r="AL379" s="25"/>
      <c r="AM379" s="13"/>
      <c r="AR379" s="116"/>
      <c r="AS379" s="123"/>
      <c r="AT379" s="123"/>
      <c r="AU379" s="123"/>
      <c r="AZ379" s="115"/>
      <c r="BA379" s="115"/>
      <c r="BB379" s="115"/>
      <c r="BC379" s="115"/>
      <c r="BD379" s="115"/>
      <c r="BE379" s="115"/>
      <c r="BF379" s="115"/>
      <c r="BG379" s="115"/>
      <c r="BH379" s="115"/>
      <c r="BI379" s="115"/>
      <c r="BJ379" s="25"/>
      <c r="BK379" s="13"/>
      <c r="BN379" s="114"/>
    </row>
    <row r="380" spans="1:66" ht="20.100000000000001" customHeight="1" x14ac:dyDescent="0.4">
      <c r="A380" s="117"/>
      <c r="B380" s="123"/>
      <c r="C380" s="123"/>
      <c r="D380" s="123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27"/>
      <c r="AB380" s="29"/>
      <c r="AD380" s="115"/>
      <c r="AE380" s="115"/>
      <c r="AF380" s="115"/>
      <c r="AG380" s="115"/>
      <c r="AH380" s="115"/>
      <c r="AI380" s="115"/>
      <c r="AJ380" s="115"/>
      <c r="AK380" s="115"/>
      <c r="AL380" s="25"/>
      <c r="AM380" s="13"/>
      <c r="AR380" s="116"/>
      <c r="AS380" s="123"/>
      <c r="AT380" s="123"/>
      <c r="AU380" s="123"/>
      <c r="AZ380" s="115"/>
      <c r="BA380" s="115"/>
      <c r="BB380" s="115"/>
      <c r="BC380" s="115"/>
      <c r="BD380" s="115"/>
      <c r="BE380" s="115"/>
      <c r="BF380" s="115"/>
      <c r="BG380" s="115"/>
      <c r="BH380" s="115"/>
      <c r="BI380" s="115"/>
      <c r="BJ380" s="25"/>
      <c r="BK380" s="13"/>
      <c r="BN380" s="114"/>
    </row>
    <row r="381" spans="1:66" ht="20.100000000000001" customHeight="1" x14ac:dyDescent="0.4">
      <c r="A381" s="117"/>
      <c r="B381" s="123"/>
      <c r="C381" s="123"/>
      <c r="D381" s="123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29"/>
      <c r="AB381" s="29"/>
      <c r="AD381" s="115"/>
      <c r="AE381" s="115"/>
      <c r="AF381" s="115"/>
      <c r="AG381" s="115"/>
      <c r="AH381" s="115"/>
      <c r="AI381" s="115"/>
      <c r="AJ381" s="115"/>
      <c r="AK381" s="115"/>
      <c r="AL381" s="25"/>
      <c r="AM381" s="13"/>
      <c r="AR381" s="116"/>
      <c r="AS381" s="123"/>
      <c r="AT381" s="123"/>
      <c r="AU381" s="123"/>
      <c r="AZ381" s="115"/>
      <c r="BA381" s="115"/>
      <c r="BB381" s="115"/>
      <c r="BC381" s="115"/>
      <c r="BD381" s="115"/>
      <c r="BE381" s="115"/>
      <c r="BF381" s="115"/>
      <c r="BG381" s="115"/>
      <c r="BH381" s="115"/>
      <c r="BI381" s="115"/>
      <c r="BJ381" s="25"/>
      <c r="BK381" s="13"/>
      <c r="BN381" s="114"/>
    </row>
    <row r="382" spans="1:66" ht="20.100000000000001" customHeight="1" x14ac:dyDescent="0.4">
      <c r="A382" s="117"/>
      <c r="B382" s="123"/>
      <c r="C382" s="123"/>
      <c r="D382" s="123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29"/>
      <c r="AB382" s="29"/>
      <c r="AD382" s="115"/>
      <c r="AE382" s="115"/>
      <c r="AF382" s="115"/>
      <c r="AG382" s="115"/>
      <c r="AH382" s="115"/>
      <c r="AI382" s="115"/>
      <c r="AJ382" s="115"/>
      <c r="AK382" s="115"/>
      <c r="AL382" s="25"/>
      <c r="AM382" s="13"/>
      <c r="AR382" s="116"/>
      <c r="AS382" s="123"/>
      <c r="AT382" s="123"/>
      <c r="AU382" s="123"/>
      <c r="AZ382" s="115"/>
      <c r="BA382" s="115"/>
      <c r="BB382" s="115"/>
      <c r="BC382" s="115"/>
      <c r="BD382" s="115"/>
      <c r="BE382" s="115"/>
      <c r="BF382" s="115"/>
      <c r="BG382" s="115"/>
      <c r="BH382" s="115"/>
      <c r="BI382" s="115"/>
      <c r="BJ382" s="25"/>
      <c r="BK382" s="13"/>
      <c r="BN382" s="114"/>
    </row>
    <row r="383" spans="1:66" ht="20.100000000000001" customHeight="1" x14ac:dyDescent="0.4">
      <c r="A383" s="117"/>
      <c r="B383" s="123"/>
      <c r="C383" s="123"/>
      <c r="D383" s="123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29"/>
      <c r="AB383" s="29"/>
      <c r="AD383" s="115"/>
      <c r="AE383" s="115"/>
      <c r="AF383" s="115"/>
      <c r="AG383" s="115"/>
      <c r="AH383" s="115"/>
      <c r="AI383" s="115"/>
      <c r="AJ383" s="115"/>
      <c r="AK383" s="115"/>
      <c r="AL383" s="25"/>
      <c r="AM383" s="13"/>
      <c r="AR383" s="116"/>
      <c r="AS383" s="123"/>
      <c r="AT383" s="123"/>
      <c r="AU383" s="123"/>
      <c r="AZ383" s="115"/>
      <c r="BA383" s="115"/>
      <c r="BB383" s="115"/>
      <c r="BC383" s="115"/>
      <c r="BD383" s="115"/>
      <c r="BE383" s="115"/>
      <c r="BF383" s="115"/>
      <c r="BG383" s="115"/>
      <c r="BH383" s="115"/>
      <c r="BI383" s="115"/>
      <c r="BJ383" s="25"/>
      <c r="BK383" s="13"/>
      <c r="BN383" s="114"/>
    </row>
    <row r="384" spans="1:66" ht="20.100000000000001" customHeight="1" x14ac:dyDescent="0.4">
      <c r="A384" s="117"/>
      <c r="B384" s="123"/>
      <c r="C384" s="123"/>
      <c r="D384" s="123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27"/>
      <c r="AB384" s="29"/>
      <c r="AD384" s="115"/>
      <c r="AE384" s="115"/>
      <c r="AF384" s="115"/>
      <c r="AG384" s="115"/>
      <c r="AH384" s="115"/>
      <c r="AI384" s="115"/>
      <c r="AJ384" s="115"/>
      <c r="AK384" s="115"/>
      <c r="AL384" s="25"/>
      <c r="AM384" s="13"/>
      <c r="AR384" s="116"/>
      <c r="AS384" s="123"/>
      <c r="AT384" s="123"/>
      <c r="AU384" s="123"/>
      <c r="AZ384" s="115"/>
      <c r="BA384" s="115"/>
      <c r="BB384" s="115"/>
      <c r="BC384" s="115"/>
      <c r="BD384" s="115"/>
      <c r="BE384" s="115"/>
      <c r="BF384" s="115"/>
      <c r="BG384" s="115"/>
      <c r="BH384" s="115"/>
      <c r="BI384" s="115"/>
      <c r="BJ384" s="25"/>
      <c r="BK384" s="13"/>
      <c r="BN384" s="114"/>
    </row>
    <row r="385" spans="1:66" ht="20.100000000000001" customHeight="1" x14ac:dyDescent="0.4">
      <c r="A385" s="117"/>
      <c r="B385" s="123"/>
      <c r="C385" s="123"/>
      <c r="D385" s="123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29"/>
      <c r="AB385" s="29"/>
      <c r="AD385" s="115"/>
      <c r="AE385" s="115"/>
      <c r="AF385" s="115"/>
      <c r="AG385" s="115"/>
      <c r="AH385" s="115"/>
      <c r="AI385" s="115"/>
      <c r="AJ385" s="115"/>
      <c r="AK385" s="115"/>
      <c r="AL385" s="25"/>
      <c r="AM385" s="13"/>
      <c r="AR385" s="116"/>
      <c r="AS385" s="123"/>
      <c r="AT385" s="123"/>
      <c r="AU385" s="123"/>
      <c r="AZ385" s="115"/>
      <c r="BA385" s="115"/>
      <c r="BB385" s="115"/>
      <c r="BC385" s="115"/>
      <c r="BD385" s="115"/>
      <c r="BE385" s="115"/>
      <c r="BF385" s="115"/>
      <c r="BG385" s="115"/>
      <c r="BH385" s="115"/>
      <c r="BI385" s="115"/>
      <c r="BJ385" s="25"/>
      <c r="BK385" s="13"/>
      <c r="BN385" s="114"/>
    </row>
    <row r="386" spans="1:66" ht="20.100000000000001" customHeight="1" x14ac:dyDescent="0.4">
      <c r="A386" s="117"/>
      <c r="B386" s="123"/>
      <c r="C386" s="123"/>
      <c r="D386" s="123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27"/>
      <c r="AB386" s="29"/>
      <c r="AD386" s="115"/>
      <c r="AE386" s="115"/>
      <c r="AF386" s="115"/>
      <c r="AG386" s="115"/>
      <c r="AH386" s="115"/>
      <c r="AI386" s="115"/>
      <c r="AJ386" s="115"/>
      <c r="AK386" s="115"/>
      <c r="AL386" s="25"/>
      <c r="AM386" s="13"/>
      <c r="AR386" s="116"/>
      <c r="AS386" s="123"/>
      <c r="AT386" s="123"/>
      <c r="AU386" s="123"/>
      <c r="AZ386" s="115"/>
      <c r="BA386" s="115"/>
      <c r="BB386" s="115"/>
      <c r="BC386" s="115"/>
      <c r="BD386" s="115"/>
      <c r="BE386" s="115"/>
      <c r="BF386" s="115"/>
      <c r="BG386" s="115"/>
      <c r="BH386" s="115"/>
      <c r="BI386" s="115"/>
      <c r="BJ386" s="25"/>
      <c r="BK386" s="13"/>
      <c r="BN386" s="114"/>
    </row>
    <row r="387" spans="1:66" ht="20.100000000000001" customHeight="1" x14ac:dyDescent="0.4">
      <c r="A387" s="117"/>
      <c r="B387" s="123"/>
      <c r="C387" s="123"/>
      <c r="D387" s="123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27"/>
      <c r="AB387" s="29"/>
      <c r="AD387" s="115"/>
      <c r="AE387" s="115"/>
      <c r="AF387" s="115"/>
      <c r="AG387" s="115"/>
      <c r="AH387" s="115"/>
      <c r="AI387" s="115"/>
      <c r="AJ387" s="115"/>
      <c r="AK387" s="115"/>
      <c r="AL387" s="25"/>
      <c r="AM387" s="13"/>
      <c r="AR387" s="116"/>
      <c r="AS387" s="123"/>
      <c r="AT387" s="123"/>
      <c r="AU387" s="123"/>
      <c r="AZ387" s="115"/>
      <c r="BA387" s="115"/>
      <c r="BB387" s="115"/>
      <c r="BC387" s="115"/>
      <c r="BD387" s="115"/>
      <c r="BE387" s="115"/>
      <c r="BF387" s="115"/>
      <c r="BG387" s="115"/>
      <c r="BH387" s="115"/>
      <c r="BI387" s="115"/>
      <c r="BJ387" s="25"/>
      <c r="BK387" s="13"/>
      <c r="BN387" s="114"/>
    </row>
    <row r="388" spans="1:66" ht="20.100000000000001" customHeight="1" x14ac:dyDescent="0.4">
      <c r="A388" s="117"/>
      <c r="B388" s="123"/>
      <c r="C388" s="123"/>
      <c r="D388" s="123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27"/>
      <c r="AB388" s="29"/>
      <c r="AD388" s="115"/>
      <c r="AE388" s="115"/>
      <c r="AF388" s="115"/>
      <c r="AG388" s="115"/>
      <c r="AH388" s="115"/>
      <c r="AI388" s="115"/>
      <c r="AJ388" s="115"/>
      <c r="AK388" s="115"/>
      <c r="AL388" s="25"/>
      <c r="AM388" s="13"/>
      <c r="AR388" s="116"/>
      <c r="AS388" s="123"/>
      <c r="AT388" s="123"/>
      <c r="AU388" s="123"/>
      <c r="AZ388" s="115"/>
      <c r="BA388" s="115"/>
      <c r="BB388" s="115"/>
      <c r="BC388" s="115"/>
      <c r="BD388" s="115"/>
      <c r="BE388" s="115"/>
      <c r="BF388" s="115"/>
      <c r="BG388" s="115"/>
      <c r="BH388" s="115"/>
      <c r="BI388" s="115"/>
      <c r="BJ388" s="25"/>
      <c r="BK388" s="13"/>
      <c r="BN388" s="114"/>
    </row>
    <row r="389" spans="1:66" ht="20.100000000000001" customHeight="1" x14ac:dyDescent="0.4">
      <c r="A389" s="117"/>
      <c r="B389" s="123"/>
      <c r="C389" s="123"/>
      <c r="D389" s="123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27"/>
      <c r="AB389" s="29"/>
      <c r="AD389" s="115"/>
      <c r="AE389" s="115"/>
      <c r="AF389" s="115"/>
      <c r="AG389" s="115"/>
      <c r="AH389" s="115"/>
      <c r="AI389" s="115"/>
      <c r="AJ389" s="115"/>
      <c r="AK389" s="115"/>
      <c r="AL389" s="25"/>
      <c r="AM389" s="13"/>
      <c r="AR389" s="116"/>
      <c r="AS389" s="123"/>
      <c r="AT389" s="123"/>
      <c r="AU389" s="123"/>
      <c r="AZ389" s="115"/>
      <c r="BA389" s="115"/>
      <c r="BB389" s="115"/>
      <c r="BC389" s="115"/>
      <c r="BD389" s="115"/>
      <c r="BE389" s="115"/>
      <c r="BF389" s="115"/>
      <c r="BG389" s="115"/>
      <c r="BH389" s="115"/>
      <c r="BI389" s="115"/>
      <c r="BJ389" s="25"/>
      <c r="BK389" s="13"/>
      <c r="BN389" s="114"/>
    </row>
    <row r="390" spans="1:66" ht="20.100000000000001" customHeight="1" x14ac:dyDescent="0.4">
      <c r="A390" s="117"/>
      <c r="B390" s="123"/>
      <c r="C390" s="123"/>
      <c r="D390" s="123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27"/>
      <c r="AB390" s="29"/>
      <c r="AD390" s="115"/>
      <c r="AE390" s="115"/>
      <c r="AF390" s="115"/>
      <c r="AG390" s="115"/>
      <c r="AH390" s="115"/>
      <c r="AI390" s="115"/>
      <c r="AJ390" s="115"/>
      <c r="AK390" s="115"/>
      <c r="AL390" s="25"/>
      <c r="AM390" s="13"/>
      <c r="AR390" s="116"/>
      <c r="AS390" s="123"/>
      <c r="AT390" s="123"/>
      <c r="AU390" s="123"/>
      <c r="AZ390" s="115"/>
      <c r="BA390" s="115"/>
      <c r="BB390" s="115"/>
      <c r="BC390" s="115"/>
      <c r="BD390" s="115"/>
      <c r="BE390" s="115"/>
      <c r="BF390" s="115"/>
      <c r="BG390" s="115"/>
      <c r="BH390" s="115"/>
      <c r="BI390" s="115"/>
      <c r="BJ390" s="25"/>
      <c r="BK390" s="13"/>
      <c r="BN390" s="114"/>
    </row>
    <row r="391" spans="1:66" ht="20.100000000000001" customHeight="1" x14ac:dyDescent="0.4">
      <c r="A391" s="117"/>
      <c r="B391" s="123"/>
      <c r="C391" s="123"/>
      <c r="D391" s="123"/>
      <c r="AA391" s="127"/>
      <c r="AB391" s="29"/>
      <c r="AD391" s="115"/>
      <c r="AE391" s="115"/>
      <c r="AF391" s="115"/>
      <c r="AG391" s="115"/>
      <c r="AH391" s="115"/>
      <c r="AI391" s="115"/>
      <c r="AJ391" s="115"/>
      <c r="AK391" s="115"/>
      <c r="AL391" s="25">
        <v>45673</v>
      </c>
      <c r="AM391" s="13" t="s">
        <v>147</v>
      </c>
      <c r="AR391" s="116"/>
      <c r="AS391" s="123"/>
      <c r="AT391" s="123"/>
      <c r="AU391" s="123"/>
      <c r="AZ391" s="115"/>
      <c r="BA391" s="115"/>
      <c r="BB391" s="115"/>
      <c r="BC391" s="115"/>
      <c r="BD391" s="115"/>
      <c r="BE391" s="115"/>
      <c r="BF391" s="115"/>
      <c r="BG391" s="115"/>
      <c r="BH391" s="115"/>
      <c r="BI391" s="115"/>
      <c r="BJ391" s="25"/>
      <c r="BK391" s="13"/>
      <c r="BN391" s="114"/>
    </row>
    <row r="392" spans="1:66" ht="20.100000000000001" customHeight="1" x14ac:dyDescent="0.4">
      <c r="A392" s="117"/>
      <c r="B392" s="123"/>
      <c r="C392" s="123"/>
      <c r="D392" s="123"/>
      <c r="AA392" s="127"/>
      <c r="AB392" s="29"/>
      <c r="AD392" s="115"/>
      <c r="AE392" s="115"/>
      <c r="AF392" s="115"/>
      <c r="AG392" s="115"/>
      <c r="AH392" s="115"/>
      <c r="AI392" s="115"/>
      <c r="AJ392" s="115"/>
      <c r="AK392" s="115"/>
      <c r="AL392" s="25">
        <v>45673</v>
      </c>
      <c r="AM392" s="13" t="s">
        <v>147</v>
      </c>
      <c r="AR392" s="116"/>
      <c r="AS392" s="123"/>
      <c r="AT392" s="123"/>
      <c r="AU392" s="123"/>
      <c r="AZ392" s="115"/>
      <c r="BA392" s="115"/>
      <c r="BB392" s="115"/>
      <c r="BC392" s="115"/>
      <c r="BD392" s="115"/>
      <c r="BE392" s="115"/>
      <c r="BF392" s="115"/>
      <c r="BG392" s="115"/>
      <c r="BH392" s="115"/>
      <c r="BI392" s="115"/>
      <c r="BJ392" s="25"/>
      <c r="BK392" s="13"/>
      <c r="BN392" s="114"/>
    </row>
    <row r="393" spans="1:66" ht="20.100000000000001" customHeight="1" x14ac:dyDescent="0.4">
      <c r="A393" s="117"/>
      <c r="B393" s="123"/>
      <c r="C393" s="123"/>
      <c r="D393" s="123"/>
      <c r="AA393" s="127"/>
      <c r="AB393" s="29"/>
      <c r="AD393" s="115"/>
      <c r="AE393" s="115"/>
      <c r="AF393" s="115"/>
      <c r="AG393" s="115"/>
      <c r="AH393" s="115"/>
      <c r="AI393" s="115"/>
      <c r="AJ393" s="115"/>
      <c r="AK393" s="115"/>
      <c r="AL393" s="25">
        <v>45675</v>
      </c>
      <c r="AM393" s="13" t="s">
        <v>147</v>
      </c>
      <c r="AR393" s="116"/>
      <c r="AS393" s="123"/>
      <c r="AT393" s="123"/>
      <c r="AU393" s="123"/>
      <c r="AZ393" s="115"/>
      <c r="BA393" s="115"/>
      <c r="BB393" s="115"/>
      <c r="BC393" s="115"/>
      <c r="BD393" s="115"/>
      <c r="BE393" s="115"/>
      <c r="BF393" s="115"/>
      <c r="BG393" s="115"/>
      <c r="BH393" s="115"/>
      <c r="BI393" s="115"/>
      <c r="BJ393" s="25"/>
      <c r="BK393" s="13"/>
      <c r="BN393" s="114"/>
    </row>
    <row r="394" spans="1:66" ht="20.100000000000001" customHeight="1" x14ac:dyDescent="0.4">
      <c r="A394" s="117"/>
      <c r="B394" s="123"/>
      <c r="C394" s="123"/>
      <c r="D394" s="123"/>
      <c r="AA394" s="127"/>
      <c r="AB394" s="29"/>
      <c r="AD394" s="115"/>
      <c r="AE394" s="115"/>
      <c r="AF394" s="115"/>
      <c r="AG394" s="115"/>
      <c r="AH394" s="115"/>
      <c r="AI394" s="115"/>
      <c r="AJ394" s="115"/>
      <c r="AK394" s="115"/>
      <c r="AL394" s="25"/>
      <c r="AM394" s="13"/>
      <c r="AR394" s="116"/>
      <c r="AS394" s="123"/>
      <c r="AT394" s="123"/>
      <c r="AU394" s="123"/>
      <c r="AZ394" s="115"/>
      <c r="BA394" s="115"/>
      <c r="BB394" s="115"/>
      <c r="BC394" s="115"/>
      <c r="BD394" s="115"/>
      <c r="BE394" s="115"/>
      <c r="BF394" s="115"/>
      <c r="BG394" s="115"/>
      <c r="BH394" s="115"/>
      <c r="BI394" s="115"/>
      <c r="BJ394" s="25"/>
      <c r="BK394" s="13"/>
      <c r="BN394" s="114"/>
    </row>
    <row r="395" spans="1:66" ht="20.100000000000001" customHeight="1" x14ac:dyDescent="0.4">
      <c r="A395" s="117"/>
      <c r="B395" s="123"/>
      <c r="C395" s="123"/>
      <c r="D395" s="123"/>
      <c r="R395" s="115"/>
      <c r="S395" s="115"/>
      <c r="T395" s="115"/>
      <c r="U395" s="115"/>
      <c r="V395" s="115"/>
      <c r="W395" s="115"/>
      <c r="X395" s="115"/>
      <c r="Y395" s="115"/>
      <c r="Z395" s="115"/>
      <c r="AA395" s="127"/>
      <c r="AB395" s="29"/>
      <c r="AD395" s="115"/>
      <c r="AE395" s="115"/>
      <c r="AF395" s="115"/>
      <c r="AG395" s="115"/>
      <c r="AH395" s="115"/>
      <c r="AI395" s="115"/>
      <c r="AJ395" s="115"/>
      <c r="AK395" s="115"/>
      <c r="AL395" s="25"/>
      <c r="AM395" s="13"/>
      <c r="AR395" s="116"/>
      <c r="AS395" s="123"/>
      <c r="AT395" s="123"/>
      <c r="AU395" s="123"/>
      <c r="AZ395" s="115"/>
      <c r="BA395" s="115"/>
      <c r="BB395" s="115"/>
      <c r="BC395" s="115"/>
      <c r="BD395" s="115"/>
      <c r="BE395" s="115"/>
      <c r="BF395" s="115"/>
      <c r="BG395" s="115"/>
      <c r="BH395" s="115"/>
      <c r="BI395" s="115"/>
      <c r="BJ395" s="25"/>
      <c r="BK395" s="13"/>
      <c r="BN395" s="114"/>
    </row>
    <row r="396" spans="1:66" ht="20.100000000000001" customHeight="1" x14ac:dyDescent="0.4">
      <c r="A396" s="117"/>
      <c r="B396" s="123"/>
      <c r="C396" s="123"/>
      <c r="D396" s="123"/>
      <c r="AA396" s="127"/>
      <c r="AB396" s="29"/>
      <c r="AD396" s="115"/>
      <c r="AE396" s="115"/>
      <c r="AF396" s="115"/>
      <c r="AG396" s="115"/>
      <c r="AH396" s="115"/>
      <c r="AI396" s="115"/>
      <c r="AJ396" s="115"/>
      <c r="AK396" s="115"/>
      <c r="AL396" s="25">
        <v>45675</v>
      </c>
      <c r="AM396" s="15" t="s">
        <v>147</v>
      </c>
      <c r="AR396" s="116"/>
      <c r="AS396" s="123"/>
      <c r="AT396" s="123"/>
      <c r="AU396" s="123"/>
      <c r="AZ396" s="115"/>
      <c r="BA396" s="115"/>
      <c r="BB396" s="115"/>
      <c r="BC396" s="115"/>
      <c r="BD396" s="115"/>
      <c r="BE396" s="115"/>
      <c r="BF396" s="115"/>
      <c r="BG396" s="115"/>
      <c r="BH396" s="115"/>
      <c r="BI396" s="115"/>
      <c r="BJ396" s="25"/>
      <c r="BK396" s="13"/>
      <c r="BN396" s="114"/>
    </row>
    <row r="397" spans="1:66" ht="20.100000000000001" customHeight="1" x14ac:dyDescent="0.4">
      <c r="A397" s="117"/>
      <c r="B397" s="123"/>
      <c r="C397" s="123"/>
      <c r="D397" s="123"/>
      <c r="AA397" s="127"/>
      <c r="AB397" s="29"/>
      <c r="AD397" s="115"/>
      <c r="AE397" s="115"/>
      <c r="AF397" s="115"/>
      <c r="AG397" s="115"/>
      <c r="AH397" s="115"/>
      <c r="AI397" s="115"/>
      <c r="AJ397" s="115"/>
      <c r="AK397" s="115"/>
      <c r="AL397" s="25"/>
      <c r="AM397" s="13"/>
      <c r="AR397" s="116"/>
      <c r="AS397" s="123"/>
      <c r="AT397" s="123"/>
      <c r="AU397" s="123"/>
      <c r="AZ397" s="115"/>
      <c r="BA397" s="115"/>
      <c r="BB397" s="115"/>
      <c r="BC397" s="115"/>
      <c r="BD397" s="115"/>
      <c r="BE397" s="115"/>
      <c r="BF397" s="115"/>
      <c r="BG397" s="115"/>
      <c r="BH397" s="115"/>
      <c r="BI397" s="115"/>
      <c r="BJ397" s="25"/>
      <c r="BK397" s="13"/>
      <c r="BN397" s="114"/>
    </row>
    <row r="398" spans="1:66" ht="20.100000000000001" customHeight="1" x14ac:dyDescent="0.4">
      <c r="A398" s="117"/>
      <c r="B398" s="123"/>
      <c r="C398" s="123"/>
      <c r="D398" s="123"/>
      <c r="AA398" s="127"/>
      <c r="AB398" s="29"/>
      <c r="AD398" s="115"/>
      <c r="AE398" s="115"/>
      <c r="AF398" s="115"/>
      <c r="AG398" s="115"/>
      <c r="AH398" s="115"/>
      <c r="AI398" s="115"/>
      <c r="AJ398" s="115"/>
      <c r="AK398" s="115"/>
      <c r="AL398" s="25">
        <v>45675</v>
      </c>
      <c r="AM398" s="13" t="s">
        <v>147</v>
      </c>
      <c r="AR398" s="116"/>
      <c r="AS398" s="123"/>
      <c r="AT398" s="123"/>
      <c r="AU398" s="123"/>
      <c r="AZ398" s="115"/>
      <c r="BA398" s="115"/>
      <c r="BB398" s="115"/>
      <c r="BC398" s="115"/>
      <c r="BD398" s="115"/>
      <c r="BE398" s="115"/>
      <c r="BF398" s="115"/>
      <c r="BG398" s="115"/>
      <c r="BH398" s="115"/>
      <c r="BI398" s="115"/>
      <c r="BJ398" s="25"/>
      <c r="BK398" s="13"/>
      <c r="BN398" s="114"/>
    </row>
    <row r="399" spans="1:66" ht="20.100000000000001" customHeight="1" x14ac:dyDescent="0.4">
      <c r="A399" s="117"/>
      <c r="B399" s="123"/>
      <c r="C399" s="123"/>
      <c r="D399" s="123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27"/>
      <c r="AB399" s="29"/>
      <c r="AD399" s="115"/>
      <c r="AE399" s="115"/>
      <c r="AF399" s="115"/>
      <c r="AG399" s="115"/>
      <c r="AH399" s="115"/>
      <c r="AI399" s="115"/>
      <c r="AJ399" s="115"/>
      <c r="AK399" s="115"/>
      <c r="AL399" s="25"/>
      <c r="AM399" s="13"/>
      <c r="AR399" s="116"/>
      <c r="AS399" s="123"/>
      <c r="AT399" s="123"/>
      <c r="AU399" s="123"/>
      <c r="AZ399" s="115"/>
      <c r="BA399" s="115"/>
      <c r="BB399" s="115"/>
      <c r="BC399" s="115"/>
      <c r="BD399" s="115"/>
      <c r="BE399" s="115"/>
      <c r="BF399" s="115"/>
      <c r="BG399" s="115"/>
      <c r="BH399" s="115"/>
      <c r="BI399" s="115"/>
      <c r="BJ399" s="25"/>
      <c r="BK399" s="13"/>
      <c r="BN399" s="114"/>
    </row>
    <row r="400" spans="1:66" ht="20.100000000000001" customHeight="1" x14ac:dyDescent="0.4">
      <c r="A400" s="117"/>
      <c r="B400" s="123"/>
      <c r="C400" s="123"/>
      <c r="D400" s="123"/>
      <c r="AA400" s="127"/>
      <c r="AB400" s="29"/>
      <c r="AD400" s="115"/>
      <c r="AE400" s="115"/>
      <c r="AF400" s="115"/>
      <c r="AG400" s="115"/>
      <c r="AH400" s="115"/>
      <c r="AI400" s="115"/>
      <c r="AJ400" s="115"/>
      <c r="AK400" s="115"/>
      <c r="AL400" s="25"/>
      <c r="AM400" s="13"/>
      <c r="AR400" s="116"/>
      <c r="AS400" s="123"/>
      <c r="AT400" s="123"/>
      <c r="AU400" s="123"/>
      <c r="AZ400" s="115"/>
      <c r="BA400" s="115"/>
      <c r="BB400" s="115"/>
      <c r="BC400" s="115"/>
      <c r="BD400" s="115"/>
      <c r="BE400" s="115"/>
      <c r="BF400" s="115"/>
      <c r="BG400" s="115"/>
      <c r="BH400" s="115"/>
      <c r="BI400" s="115"/>
      <c r="BJ400" s="25"/>
      <c r="BK400" s="13"/>
      <c r="BN400" s="114"/>
    </row>
    <row r="401" spans="1:66" ht="20.100000000000001" customHeight="1" x14ac:dyDescent="0.4">
      <c r="A401" s="117"/>
      <c r="B401" s="123"/>
      <c r="C401" s="123"/>
      <c r="D401" s="123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27"/>
      <c r="AB401" s="29"/>
      <c r="AD401" s="115"/>
      <c r="AE401" s="115"/>
      <c r="AF401" s="115"/>
      <c r="AG401" s="115"/>
      <c r="AH401" s="115"/>
      <c r="AI401" s="115"/>
      <c r="AJ401" s="115"/>
      <c r="AK401" s="115"/>
      <c r="AL401" s="25"/>
      <c r="AM401" s="13"/>
      <c r="AR401" s="116"/>
      <c r="AS401" s="123"/>
      <c r="AT401" s="123"/>
      <c r="AU401" s="123"/>
      <c r="AZ401" s="115"/>
      <c r="BA401" s="115"/>
      <c r="BB401" s="115"/>
      <c r="BC401" s="115"/>
      <c r="BD401" s="115"/>
      <c r="BE401" s="115"/>
      <c r="BF401" s="115"/>
      <c r="BG401" s="115"/>
      <c r="BH401" s="115"/>
      <c r="BI401" s="115"/>
      <c r="BJ401" s="25"/>
      <c r="BK401" s="13"/>
      <c r="BN401" s="114"/>
    </row>
    <row r="402" spans="1:66" ht="20.100000000000001" customHeight="1" x14ac:dyDescent="0.4">
      <c r="A402" s="117"/>
      <c r="B402" s="123"/>
      <c r="C402" s="123"/>
      <c r="D402" s="123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29"/>
      <c r="AB402" s="29"/>
      <c r="AD402" s="115"/>
      <c r="AE402" s="115"/>
      <c r="AF402" s="115"/>
      <c r="AG402" s="115"/>
      <c r="AH402" s="115"/>
      <c r="AI402" s="115"/>
      <c r="AJ402" s="115"/>
      <c r="AK402" s="115"/>
      <c r="AL402" s="25"/>
      <c r="AM402" s="13"/>
      <c r="AR402" s="116"/>
      <c r="AS402" s="123"/>
      <c r="AT402" s="123"/>
      <c r="AU402" s="123"/>
      <c r="AZ402" s="115"/>
      <c r="BA402" s="115"/>
      <c r="BB402" s="115"/>
      <c r="BC402" s="115"/>
      <c r="BD402" s="115"/>
      <c r="BE402" s="115"/>
      <c r="BF402" s="115"/>
      <c r="BG402" s="115"/>
      <c r="BH402" s="115"/>
      <c r="BI402" s="115"/>
      <c r="BJ402" s="25"/>
      <c r="BK402" s="13"/>
      <c r="BN402" s="114"/>
    </row>
    <row r="403" spans="1:66" ht="20.100000000000001" customHeight="1" x14ac:dyDescent="0.4">
      <c r="A403" s="117"/>
      <c r="B403" s="123"/>
      <c r="C403" s="123"/>
      <c r="D403" s="123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27"/>
      <c r="AB403" s="127"/>
      <c r="AD403" s="115"/>
      <c r="AE403" s="115"/>
      <c r="AF403" s="115"/>
      <c r="AG403" s="115"/>
      <c r="AH403" s="115"/>
      <c r="AI403" s="115"/>
      <c r="AJ403" s="115"/>
      <c r="AK403" s="115"/>
      <c r="AL403" s="25"/>
      <c r="AM403" s="13"/>
      <c r="AR403" s="116"/>
      <c r="AS403" s="123"/>
      <c r="AT403" s="123"/>
      <c r="AU403" s="123"/>
      <c r="AZ403" s="115"/>
      <c r="BA403" s="115"/>
      <c r="BB403" s="115"/>
      <c r="BC403" s="115"/>
      <c r="BD403" s="115"/>
      <c r="BE403" s="115"/>
      <c r="BF403" s="115"/>
      <c r="BG403" s="115"/>
      <c r="BH403" s="115"/>
      <c r="BI403" s="115"/>
      <c r="BJ403" s="25"/>
      <c r="BK403" s="13"/>
      <c r="BN403" s="114"/>
    </row>
    <row r="404" spans="1:66" ht="20.100000000000001" customHeight="1" x14ac:dyDescent="0.4">
      <c r="A404" s="117"/>
      <c r="B404" s="123"/>
      <c r="C404" s="123"/>
      <c r="D404" s="123"/>
      <c r="AA404" s="127"/>
      <c r="AB404" s="127"/>
      <c r="AD404" s="115"/>
      <c r="AE404" s="115"/>
      <c r="AF404" s="115"/>
      <c r="AG404" s="115"/>
      <c r="AH404" s="115"/>
      <c r="AI404" s="115"/>
      <c r="AJ404" s="115"/>
      <c r="AK404" s="115"/>
      <c r="AL404" s="25"/>
      <c r="AM404" s="13"/>
      <c r="AR404" s="116"/>
      <c r="AS404" s="123"/>
      <c r="AT404" s="123"/>
      <c r="AU404" s="123"/>
      <c r="AZ404" s="115"/>
      <c r="BA404" s="115"/>
      <c r="BB404" s="115"/>
      <c r="BC404" s="115"/>
      <c r="BD404" s="115"/>
      <c r="BE404" s="115"/>
      <c r="BF404" s="115"/>
      <c r="BG404" s="115"/>
      <c r="BH404" s="115"/>
      <c r="BI404" s="115"/>
      <c r="BJ404" s="25"/>
      <c r="BK404" s="13"/>
      <c r="BN404" s="114"/>
    </row>
    <row r="405" spans="1:66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27"/>
      <c r="AB405" s="127"/>
      <c r="AD405" s="115"/>
      <c r="AE405" s="115"/>
      <c r="AF405" s="115"/>
      <c r="AG405" s="115"/>
      <c r="AH405" s="115"/>
      <c r="AI405" s="115"/>
      <c r="AJ405" s="115"/>
      <c r="AK405" s="115"/>
      <c r="AL405" s="25"/>
      <c r="AM405" s="13"/>
      <c r="AR405" s="116"/>
      <c r="AS405" s="123"/>
      <c r="AT405" s="123"/>
      <c r="AU405" s="123"/>
      <c r="AZ405" s="115"/>
      <c r="BA405" s="115"/>
      <c r="BB405" s="115"/>
      <c r="BC405" s="115"/>
      <c r="BD405" s="115"/>
      <c r="BE405" s="115"/>
      <c r="BF405" s="115"/>
      <c r="BG405" s="115"/>
      <c r="BH405" s="115"/>
      <c r="BI405" s="115"/>
      <c r="BJ405" s="25"/>
      <c r="BK405" s="13"/>
      <c r="BN405" s="114"/>
    </row>
    <row r="406" spans="1:66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27"/>
      <c r="AB406" s="29"/>
      <c r="AD406" s="115"/>
      <c r="AE406" s="115"/>
      <c r="AF406" s="115"/>
      <c r="AG406" s="115"/>
      <c r="AH406" s="115"/>
      <c r="AI406" s="115"/>
      <c r="AJ406" s="115"/>
      <c r="AK406" s="115"/>
      <c r="AL406" s="25"/>
      <c r="AM406" s="13"/>
      <c r="AR406" s="116"/>
      <c r="AS406" s="123"/>
      <c r="AT406" s="123"/>
      <c r="AU406" s="123"/>
      <c r="AZ406" s="115"/>
      <c r="BA406" s="115"/>
      <c r="BB406" s="115"/>
      <c r="BC406" s="115"/>
      <c r="BD406" s="115"/>
      <c r="BE406" s="115"/>
      <c r="BF406" s="115"/>
      <c r="BG406" s="115"/>
      <c r="BH406" s="115"/>
      <c r="BI406" s="115"/>
      <c r="BJ406" s="25"/>
      <c r="BK406" s="13"/>
      <c r="BN406" s="114"/>
    </row>
    <row r="407" spans="1:66" ht="20.100000000000001" customHeight="1" x14ac:dyDescent="0.4">
      <c r="A407" s="117"/>
      <c r="B407" s="123"/>
      <c r="C407" s="123"/>
      <c r="D407" s="123"/>
      <c r="AA407" s="127"/>
      <c r="AB407" s="29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25">
        <v>45675</v>
      </c>
      <c r="AM407" s="13" t="s">
        <v>146</v>
      </c>
      <c r="AR407" s="116"/>
      <c r="AS407" s="123"/>
      <c r="AT407" s="123"/>
      <c r="AU407" s="123"/>
      <c r="AZ407" s="115"/>
      <c r="BA407" s="115"/>
      <c r="BB407" s="115"/>
      <c r="BC407" s="115"/>
      <c r="BD407" s="115"/>
      <c r="BE407" s="115"/>
      <c r="BF407" s="115"/>
      <c r="BG407" s="115"/>
      <c r="BH407" s="115"/>
      <c r="BI407" s="115"/>
      <c r="BJ407" s="25"/>
      <c r="BK407" s="13"/>
      <c r="BN407" s="114"/>
    </row>
    <row r="408" spans="1:66" ht="20.100000000000001" customHeight="1" x14ac:dyDescent="0.4">
      <c r="A408" s="117"/>
      <c r="B408" s="123"/>
      <c r="C408" s="123"/>
      <c r="D408" s="123"/>
      <c r="S408" s="115"/>
      <c r="T408" s="115"/>
      <c r="U408" s="115"/>
      <c r="V408" s="115"/>
      <c r="W408" s="115"/>
      <c r="X408" s="115"/>
      <c r="Y408" s="115"/>
      <c r="Z408" s="115"/>
      <c r="AA408" s="29"/>
      <c r="AB408" s="29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25"/>
      <c r="AM408" s="13"/>
      <c r="AR408" s="116"/>
      <c r="AS408" s="123"/>
      <c r="AT408" s="123"/>
      <c r="AU408" s="123"/>
      <c r="AZ408" s="115"/>
      <c r="BA408" s="115"/>
      <c r="BB408" s="115"/>
      <c r="BC408" s="115"/>
      <c r="BD408" s="115"/>
      <c r="BE408" s="115"/>
      <c r="BF408" s="115"/>
      <c r="BG408" s="115"/>
      <c r="BH408" s="115"/>
      <c r="BI408" s="115"/>
      <c r="BJ408" s="25"/>
      <c r="BK408" s="13"/>
      <c r="BN408" s="114"/>
    </row>
    <row r="409" spans="1:66" ht="20.100000000000001" customHeight="1" x14ac:dyDescent="0.4">
      <c r="A409" s="117"/>
      <c r="B409" s="123"/>
      <c r="C409" s="123"/>
      <c r="D409" s="123"/>
      <c r="AA409" s="127"/>
      <c r="AB409" s="29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25">
        <v>45676</v>
      </c>
      <c r="AM409" s="13" t="s">
        <v>148</v>
      </c>
      <c r="AR409" s="116"/>
      <c r="AS409" s="123"/>
      <c r="AT409" s="123"/>
      <c r="AU409" s="123"/>
      <c r="AZ409" s="115"/>
      <c r="BA409" s="115"/>
      <c r="BB409" s="115"/>
      <c r="BC409" s="115"/>
      <c r="BD409" s="115"/>
      <c r="BE409" s="115"/>
      <c r="BF409" s="115"/>
      <c r="BG409" s="115"/>
      <c r="BH409" s="115"/>
      <c r="BI409" s="115"/>
      <c r="BJ409" s="25"/>
      <c r="BK409" s="13"/>
      <c r="BN409" s="114"/>
    </row>
    <row r="410" spans="1:66" ht="20.100000000000001" customHeight="1" x14ac:dyDescent="0.4">
      <c r="A410" s="117"/>
      <c r="B410" s="123"/>
      <c r="C410" s="123"/>
      <c r="D410" s="123"/>
      <c r="S410" s="115"/>
      <c r="T410" s="115"/>
      <c r="U410" s="115"/>
      <c r="V410" s="115"/>
      <c r="W410" s="115"/>
      <c r="X410" s="115"/>
      <c r="Y410" s="115"/>
      <c r="Z410" s="115"/>
      <c r="AA410" s="29"/>
      <c r="AB410" s="29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25"/>
      <c r="AM410" s="13"/>
      <c r="AR410" s="116"/>
      <c r="AS410" s="123"/>
      <c r="AT410" s="123"/>
      <c r="AU410" s="123"/>
      <c r="AZ410" s="115"/>
      <c r="BA410" s="115"/>
      <c r="BB410" s="115"/>
      <c r="BC410" s="115"/>
      <c r="BD410" s="115"/>
      <c r="BE410" s="115"/>
      <c r="BF410" s="115"/>
      <c r="BG410" s="115"/>
      <c r="BH410" s="115"/>
      <c r="BI410" s="115"/>
      <c r="BJ410" s="25"/>
      <c r="BK410" s="13"/>
      <c r="BN410" s="114"/>
    </row>
    <row r="411" spans="1:66" ht="20.100000000000001" customHeight="1" x14ac:dyDescent="0.4">
      <c r="A411" s="117"/>
      <c r="B411" s="123"/>
      <c r="C411" s="123"/>
      <c r="D411" s="123"/>
      <c r="R411" s="115"/>
      <c r="S411" s="115"/>
      <c r="T411" s="115"/>
      <c r="U411" s="115"/>
      <c r="V411" s="115"/>
      <c r="W411" s="115"/>
      <c r="X411" s="115"/>
      <c r="Y411" s="115"/>
      <c r="Z411" s="115"/>
      <c r="AA411" s="127"/>
      <c r="AB411" s="29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25"/>
      <c r="AM411" s="13"/>
      <c r="AR411" s="116"/>
      <c r="AS411" s="123"/>
      <c r="AT411" s="123"/>
      <c r="AU411" s="123"/>
      <c r="AZ411" s="115"/>
      <c r="BA411" s="115"/>
      <c r="BB411" s="115"/>
      <c r="BC411" s="115"/>
      <c r="BD411" s="115"/>
      <c r="BE411" s="115"/>
      <c r="BF411" s="115"/>
      <c r="BG411" s="115"/>
      <c r="BH411" s="115"/>
      <c r="BI411" s="115"/>
      <c r="BJ411" s="25"/>
      <c r="BK411" s="13"/>
      <c r="BN411" s="114"/>
    </row>
    <row r="412" spans="1:66" ht="20.100000000000001" customHeight="1" x14ac:dyDescent="0.4">
      <c r="A412" s="117"/>
      <c r="B412" s="123"/>
      <c r="C412" s="123"/>
      <c r="D412" s="123"/>
      <c r="R412" s="115"/>
      <c r="S412" s="115"/>
      <c r="T412" s="115"/>
      <c r="U412" s="115"/>
      <c r="V412" s="115"/>
      <c r="W412" s="115"/>
      <c r="X412" s="115"/>
      <c r="Y412" s="115"/>
      <c r="Z412" s="115"/>
      <c r="AA412" s="29"/>
      <c r="AB412" s="29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25"/>
      <c r="AM412" s="13"/>
      <c r="AR412" s="116"/>
      <c r="AS412" s="123"/>
      <c r="AT412" s="123"/>
      <c r="AU412" s="123"/>
      <c r="AZ412" s="115"/>
      <c r="BA412" s="115"/>
      <c r="BB412" s="115"/>
      <c r="BC412" s="115"/>
      <c r="BD412" s="115"/>
      <c r="BE412" s="115"/>
      <c r="BF412" s="115"/>
      <c r="BG412" s="115"/>
      <c r="BH412" s="115"/>
      <c r="BI412" s="115"/>
      <c r="BJ412" s="25"/>
      <c r="BK412" s="13"/>
      <c r="BN412" s="114"/>
    </row>
    <row r="413" spans="1:66" ht="20.100000000000001" customHeight="1" x14ac:dyDescent="0.4">
      <c r="A413" s="117"/>
      <c r="B413" s="123"/>
      <c r="C413" s="123"/>
      <c r="D413" s="123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27"/>
      <c r="AB413" s="29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25"/>
      <c r="AM413" s="13"/>
      <c r="AR413" s="116"/>
      <c r="AS413" s="123"/>
      <c r="AT413" s="123"/>
      <c r="AU413" s="123"/>
      <c r="AZ413" s="115"/>
      <c r="BA413" s="115"/>
      <c r="BB413" s="115"/>
      <c r="BC413" s="115"/>
      <c r="BD413" s="115"/>
      <c r="BE413" s="115"/>
      <c r="BF413" s="115"/>
      <c r="BG413" s="115"/>
      <c r="BH413" s="115"/>
      <c r="BI413" s="115"/>
      <c r="BJ413" s="25"/>
      <c r="BK413" s="13"/>
      <c r="BN413" s="114"/>
    </row>
    <row r="414" spans="1:66" ht="20.100000000000001" customHeight="1" x14ac:dyDescent="0.4">
      <c r="A414" s="117"/>
      <c r="B414" s="123"/>
      <c r="C414" s="123"/>
      <c r="D414" s="123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27"/>
      <c r="AB414" s="29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25"/>
      <c r="AM414" s="13"/>
      <c r="AR414" s="116"/>
      <c r="AS414" s="123"/>
      <c r="AT414" s="123"/>
      <c r="AU414" s="123"/>
      <c r="AZ414" s="115"/>
      <c r="BA414" s="115"/>
      <c r="BB414" s="115"/>
      <c r="BC414" s="115"/>
      <c r="BD414" s="115"/>
      <c r="BE414" s="115"/>
      <c r="BF414" s="115"/>
      <c r="BG414" s="115"/>
      <c r="BH414" s="115"/>
      <c r="BI414" s="115"/>
      <c r="BJ414" s="25"/>
      <c r="BK414" s="13"/>
      <c r="BN414" s="114"/>
    </row>
    <row r="415" spans="1:66" ht="20.100000000000001" customHeight="1" x14ac:dyDescent="0.4">
      <c r="A415" s="117"/>
      <c r="B415" s="123"/>
      <c r="C415" s="123"/>
      <c r="D415" s="123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27"/>
      <c r="AB415" s="29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25"/>
      <c r="AM415" s="13"/>
      <c r="AR415" s="116"/>
      <c r="AS415" s="123"/>
      <c r="AT415" s="123"/>
      <c r="AU415" s="123"/>
      <c r="AZ415" s="115"/>
      <c r="BA415" s="115"/>
      <c r="BB415" s="115"/>
      <c r="BC415" s="115"/>
      <c r="BD415" s="115"/>
      <c r="BE415" s="115"/>
      <c r="BF415" s="115"/>
      <c r="BG415" s="115"/>
      <c r="BH415" s="115"/>
      <c r="BI415" s="115"/>
      <c r="BJ415" s="25"/>
      <c r="BK415" s="13"/>
      <c r="BN415" s="114"/>
    </row>
    <row r="416" spans="1:66" ht="20.100000000000001" customHeight="1" x14ac:dyDescent="0.4">
      <c r="A416" s="117"/>
      <c r="B416" s="123"/>
      <c r="C416" s="123"/>
      <c r="D416" s="123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27"/>
      <c r="AB416" s="29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25"/>
      <c r="AM416" s="13"/>
      <c r="AR416" s="116"/>
      <c r="AS416" s="123"/>
      <c r="AT416" s="123"/>
      <c r="AU416" s="123"/>
      <c r="AZ416" s="115"/>
      <c r="BA416" s="115"/>
      <c r="BB416" s="115"/>
      <c r="BC416" s="115"/>
      <c r="BD416" s="115"/>
      <c r="BE416" s="115"/>
      <c r="BF416" s="115"/>
      <c r="BG416" s="115"/>
      <c r="BH416" s="115"/>
      <c r="BI416" s="115"/>
      <c r="BJ416" s="25"/>
      <c r="BK416" s="13"/>
      <c r="BN416" s="114"/>
    </row>
    <row r="417" spans="1:66" ht="20.100000000000001" customHeight="1" x14ac:dyDescent="0.4">
      <c r="A417" s="117"/>
      <c r="B417" s="123"/>
      <c r="C417" s="123"/>
      <c r="D417" s="123"/>
      <c r="AA417" s="127"/>
      <c r="AB417" s="29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25">
        <v>45677</v>
      </c>
      <c r="AM417" s="13" t="s">
        <v>146</v>
      </c>
      <c r="AR417" s="116"/>
      <c r="AS417" s="123"/>
      <c r="AT417" s="123"/>
      <c r="AU417" s="123"/>
      <c r="AZ417" s="115"/>
      <c r="BA417" s="115"/>
      <c r="BB417" s="115"/>
      <c r="BC417" s="115"/>
      <c r="BD417" s="115"/>
      <c r="BE417" s="115"/>
      <c r="BF417" s="115"/>
      <c r="BG417" s="115"/>
      <c r="BH417" s="115"/>
      <c r="BI417" s="115"/>
      <c r="BJ417" s="25"/>
      <c r="BK417" s="13"/>
      <c r="BN417" s="114"/>
    </row>
    <row r="418" spans="1:66" ht="20.100000000000001" customHeight="1" x14ac:dyDescent="0.4">
      <c r="A418" s="117"/>
      <c r="B418" s="123"/>
      <c r="C418" s="123"/>
      <c r="D418" s="123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27"/>
      <c r="AB418" s="29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25"/>
      <c r="AM418" s="13"/>
      <c r="AR418" s="116"/>
      <c r="AS418" s="123"/>
      <c r="AT418" s="123"/>
      <c r="AU418" s="123"/>
      <c r="AZ418" s="115"/>
      <c r="BA418" s="115"/>
      <c r="BB418" s="115"/>
      <c r="BC418" s="115"/>
      <c r="BD418" s="115"/>
      <c r="BE418" s="115"/>
      <c r="BF418" s="115"/>
      <c r="BG418" s="115"/>
      <c r="BH418" s="115"/>
      <c r="BI418" s="115"/>
      <c r="BJ418" s="25"/>
      <c r="BK418" s="13"/>
      <c r="BN418" s="114"/>
    </row>
    <row r="419" spans="1:66" ht="20.100000000000001" customHeight="1" x14ac:dyDescent="0.4">
      <c r="A419" s="117"/>
      <c r="B419" s="123"/>
      <c r="C419" s="123"/>
      <c r="D419" s="123"/>
      <c r="AA419" s="127"/>
      <c r="AB419" s="29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25"/>
      <c r="AM419" s="13"/>
      <c r="AR419" s="116"/>
      <c r="AS419" s="123"/>
      <c r="AT419" s="123"/>
      <c r="AU419" s="123"/>
      <c r="AZ419" s="115"/>
      <c r="BA419" s="115"/>
      <c r="BB419" s="115"/>
      <c r="BC419" s="115"/>
      <c r="BD419" s="115"/>
      <c r="BE419" s="115"/>
      <c r="BF419" s="115"/>
      <c r="BG419" s="115"/>
      <c r="BH419" s="115"/>
      <c r="BI419" s="115"/>
      <c r="BJ419" s="25"/>
      <c r="BK419" s="13"/>
      <c r="BN419" s="114"/>
    </row>
    <row r="420" spans="1:66" ht="20.100000000000001" customHeight="1" x14ac:dyDescent="0.4">
      <c r="A420" s="117"/>
      <c r="B420" s="123"/>
      <c r="C420" s="123"/>
      <c r="D420" s="123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27"/>
      <c r="AB420" s="29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25"/>
      <c r="AM420" s="13"/>
      <c r="AR420" s="116"/>
      <c r="AS420" s="123"/>
      <c r="AT420" s="123"/>
      <c r="AU420" s="123"/>
      <c r="AZ420" s="115"/>
      <c r="BA420" s="115"/>
      <c r="BB420" s="115"/>
      <c r="BC420" s="115"/>
      <c r="BD420" s="115"/>
      <c r="BE420" s="115"/>
      <c r="BF420" s="115"/>
      <c r="BG420" s="115"/>
      <c r="BH420" s="115"/>
      <c r="BI420" s="115"/>
      <c r="BJ420" s="25"/>
      <c r="BK420" s="13"/>
      <c r="BN420" s="114"/>
    </row>
    <row r="421" spans="1:66" ht="20.100000000000001" customHeight="1" x14ac:dyDescent="0.4">
      <c r="A421" s="117"/>
      <c r="B421" s="123"/>
      <c r="C421" s="123"/>
      <c r="D421" s="123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27"/>
      <c r="AB421" s="29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25"/>
      <c r="AM421" s="13"/>
      <c r="AR421" s="116"/>
      <c r="AS421" s="123"/>
      <c r="AT421" s="123"/>
      <c r="AU421" s="123"/>
      <c r="AZ421" s="115"/>
      <c r="BA421" s="115"/>
      <c r="BB421" s="115"/>
      <c r="BC421" s="115"/>
      <c r="BD421" s="115"/>
      <c r="BE421" s="115"/>
      <c r="BF421" s="115"/>
      <c r="BG421" s="115"/>
      <c r="BH421" s="115"/>
      <c r="BI421" s="115"/>
      <c r="BJ421" s="25"/>
      <c r="BK421" s="13"/>
      <c r="BN421" s="114"/>
    </row>
    <row r="422" spans="1:66" ht="20.100000000000001" customHeight="1" x14ac:dyDescent="0.4">
      <c r="A422" s="117"/>
      <c r="B422" s="123"/>
      <c r="C422" s="123"/>
      <c r="D422" s="123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27"/>
      <c r="AB422" s="29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25"/>
      <c r="AM422" s="13"/>
      <c r="AR422" s="116"/>
      <c r="AS422" s="123"/>
      <c r="AT422" s="123"/>
      <c r="AU422" s="123"/>
      <c r="AZ422" s="115"/>
      <c r="BA422" s="115"/>
      <c r="BB422" s="115"/>
      <c r="BC422" s="115"/>
      <c r="BD422" s="115"/>
      <c r="BE422" s="115"/>
      <c r="BF422" s="115"/>
      <c r="BG422" s="115"/>
      <c r="BH422" s="115"/>
      <c r="BI422" s="115"/>
      <c r="BJ422" s="25"/>
      <c r="BK422" s="13"/>
      <c r="BN422" s="114"/>
    </row>
    <row r="423" spans="1:66" ht="20.100000000000001" customHeight="1" x14ac:dyDescent="0.4">
      <c r="A423" s="117"/>
      <c r="B423" s="123"/>
      <c r="C423" s="123"/>
      <c r="D423" s="123"/>
      <c r="AA423" s="127"/>
      <c r="AB423" s="29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25">
        <v>45677</v>
      </c>
      <c r="AM423" s="13" t="s">
        <v>146</v>
      </c>
      <c r="AR423" s="116"/>
      <c r="AS423" s="123"/>
      <c r="AT423" s="123"/>
      <c r="AU423" s="123"/>
      <c r="AZ423" s="115"/>
      <c r="BA423" s="115"/>
      <c r="BB423" s="115"/>
      <c r="BC423" s="115"/>
      <c r="BD423" s="115"/>
      <c r="BE423" s="115"/>
      <c r="BF423" s="115"/>
      <c r="BG423" s="115"/>
      <c r="BH423" s="115"/>
      <c r="BI423" s="115"/>
      <c r="BJ423" s="25"/>
      <c r="BK423" s="13"/>
      <c r="BN423" s="114"/>
    </row>
    <row r="424" spans="1:66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27"/>
      <c r="AB424" s="29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25"/>
      <c r="AM424" s="13"/>
      <c r="AR424" s="116"/>
      <c r="AS424" s="123"/>
      <c r="AT424" s="123"/>
      <c r="AU424" s="123"/>
      <c r="AZ424" s="115"/>
      <c r="BA424" s="115"/>
      <c r="BB424" s="115"/>
      <c r="BC424" s="115"/>
      <c r="BD424" s="115"/>
      <c r="BE424" s="115"/>
      <c r="BF424" s="115"/>
      <c r="BG424" s="115"/>
      <c r="BH424" s="115"/>
      <c r="BI424" s="115"/>
      <c r="BJ424" s="25"/>
      <c r="BK424" s="13"/>
      <c r="BN424" s="114"/>
    </row>
    <row r="425" spans="1:66" ht="20.100000000000001" customHeight="1" x14ac:dyDescent="0.4">
      <c r="A425" s="117"/>
      <c r="B425" s="123"/>
      <c r="C425" s="123"/>
      <c r="D425" s="123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27"/>
      <c r="AB425" s="29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25"/>
      <c r="AM425" s="13"/>
      <c r="AR425" s="116"/>
      <c r="AS425" s="123"/>
      <c r="AT425" s="123"/>
      <c r="AU425" s="123"/>
      <c r="AZ425" s="115"/>
      <c r="BA425" s="115"/>
      <c r="BB425" s="115"/>
      <c r="BC425" s="115"/>
      <c r="BD425" s="115"/>
      <c r="BE425" s="115"/>
      <c r="BF425" s="115"/>
      <c r="BG425" s="115"/>
      <c r="BH425" s="115"/>
      <c r="BI425" s="115"/>
      <c r="BJ425" s="25"/>
      <c r="BK425" s="13"/>
      <c r="BN425" s="114"/>
    </row>
    <row r="426" spans="1:66" ht="20.100000000000001" customHeight="1" x14ac:dyDescent="0.4">
      <c r="A426" s="117"/>
      <c r="B426" s="123"/>
      <c r="C426" s="123"/>
      <c r="D426" s="123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29"/>
      <c r="AB426" s="29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25"/>
      <c r="AM426" s="13"/>
      <c r="AR426" s="116"/>
      <c r="AS426" s="123"/>
      <c r="AT426" s="123"/>
      <c r="AU426" s="123"/>
      <c r="AZ426" s="115"/>
      <c r="BA426" s="115"/>
      <c r="BB426" s="115"/>
      <c r="BC426" s="115"/>
      <c r="BD426" s="115"/>
      <c r="BE426" s="115"/>
      <c r="BF426" s="115"/>
      <c r="BG426" s="115"/>
      <c r="BH426" s="115"/>
      <c r="BI426" s="115"/>
      <c r="BJ426" s="25"/>
      <c r="BK426" s="13"/>
      <c r="BN426" s="114"/>
    </row>
    <row r="427" spans="1:66" ht="20.100000000000001" customHeight="1" x14ac:dyDescent="0.4">
      <c r="A427" s="117"/>
      <c r="B427" s="123"/>
      <c r="C427" s="123"/>
      <c r="D427" s="123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27"/>
      <c r="AB427" s="29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25"/>
      <c r="AM427" s="13"/>
      <c r="AR427" s="116"/>
      <c r="AS427" s="123"/>
      <c r="AT427" s="123"/>
      <c r="AU427" s="123"/>
      <c r="AZ427" s="115"/>
      <c r="BA427" s="115"/>
      <c r="BB427" s="115"/>
      <c r="BC427" s="115"/>
      <c r="BD427" s="115"/>
      <c r="BE427" s="115"/>
      <c r="BF427" s="115"/>
      <c r="BG427" s="115"/>
      <c r="BH427" s="115"/>
      <c r="BI427" s="115"/>
      <c r="BJ427" s="25"/>
      <c r="BK427" s="13"/>
      <c r="BN427" s="114"/>
    </row>
    <row r="428" spans="1:66" ht="20.100000000000001" customHeight="1" x14ac:dyDescent="0.4">
      <c r="A428" s="117"/>
      <c r="B428" s="123"/>
      <c r="C428" s="123"/>
      <c r="D428" s="123"/>
      <c r="AA428" s="127"/>
      <c r="AB428" s="29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25">
        <v>45677</v>
      </c>
      <c r="AM428" s="13" t="s">
        <v>148</v>
      </c>
      <c r="AR428" s="116"/>
      <c r="AS428" s="123"/>
      <c r="AT428" s="123"/>
      <c r="AU428" s="123"/>
      <c r="AZ428" s="115"/>
      <c r="BA428" s="115"/>
      <c r="BB428" s="115"/>
      <c r="BC428" s="115"/>
      <c r="BD428" s="115"/>
      <c r="BE428" s="115"/>
      <c r="BF428" s="115"/>
      <c r="BG428" s="115"/>
      <c r="BH428" s="115"/>
      <c r="BI428" s="115"/>
      <c r="BJ428" s="25"/>
      <c r="BK428" s="13"/>
      <c r="BN428" s="114"/>
    </row>
    <row r="429" spans="1:66" ht="19.5" x14ac:dyDescent="0.4">
      <c r="A429" s="117"/>
      <c r="B429" s="123"/>
      <c r="C429" s="123"/>
      <c r="D429" s="123"/>
      <c r="AA429" s="127"/>
      <c r="AB429" s="29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25"/>
      <c r="AM429" s="13"/>
      <c r="AR429" s="116"/>
      <c r="AS429" s="123"/>
      <c r="AT429" s="123"/>
      <c r="AU429" s="123"/>
      <c r="AZ429" s="115"/>
      <c r="BA429" s="115"/>
      <c r="BB429" s="115"/>
      <c r="BC429" s="115"/>
      <c r="BD429" s="115"/>
      <c r="BE429" s="115"/>
      <c r="BF429" s="115"/>
      <c r="BG429" s="115"/>
      <c r="BH429" s="115"/>
      <c r="BI429" s="115"/>
      <c r="BJ429" s="25"/>
      <c r="BK429" s="13"/>
      <c r="BN429" s="114"/>
    </row>
    <row r="430" spans="1:66" ht="19.5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29"/>
      <c r="AB430" s="29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25"/>
      <c r="AM430" s="13"/>
      <c r="AR430" s="116"/>
      <c r="AS430" s="123"/>
      <c r="AT430" s="123"/>
      <c r="AU430" s="123"/>
      <c r="AZ430" s="115"/>
      <c r="BA430" s="115"/>
      <c r="BB430" s="115"/>
      <c r="BC430" s="115"/>
      <c r="BD430" s="115"/>
      <c r="BE430" s="115"/>
      <c r="BF430" s="115"/>
      <c r="BG430" s="115"/>
      <c r="BH430" s="115"/>
      <c r="BI430" s="115"/>
      <c r="BJ430" s="25"/>
      <c r="BK430" s="13"/>
      <c r="BN430" s="114"/>
    </row>
    <row r="431" spans="1:66" ht="19.5" x14ac:dyDescent="0.4">
      <c r="A431" s="117"/>
      <c r="B431" s="123"/>
      <c r="C431" s="123"/>
      <c r="D431" s="123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27"/>
      <c r="AB431" s="29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25"/>
      <c r="AM431" s="13"/>
      <c r="AR431" s="116"/>
      <c r="AS431" s="123"/>
      <c r="AT431" s="123"/>
      <c r="AU431" s="123"/>
      <c r="AZ431" s="115"/>
      <c r="BA431" s="115"/>
      <c r="BB431" s="115"/>
      <c r="BC431" s="115"/>
      <c r="BD431" s="115"/>
      <c r="BE431" s="115"/>
      <c r="BF431" s="115"/>
      <c r="BG431" s="115"/>
      <c r="BH431" s="115"/>
      <c r="BI431" s="115"/>
      <c r="BJ431" s="25"/>
      <c r="BK431" s="13"/>
      <c r="BN431" s="114"/>
    </row>
    <row r="432" spans="1:66" ht="19.5" x14ac:dyDescent="0.4">
      <c r="A432" s="117"/>
      <c r="B432" s="123"/>
      <c r="C432" s="123"/>
      <c r="D432" s="123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29"/>
      <c r="AB432" s="29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25"/>
      <c r="AM432" s="13"/>
      <c r="AR432" s="116"/>
      <c r="AS432" s="123"/>
      <c r="AT432" s="123"/>
      <c r="AU432" s="123"/>
      <c r="AZ432" s="115"/>
      <c r="BA432" s="115"/>
      <c r="BB432" s="115"/>
      <c r="BC432" s="115"/>
      <c r="BD432" s="115"/>
      <c r="BE432" s="115"/>
      <c r="BF432" s="115"/>
      <c r="BG432" s="115"/>
      <c r="BH432" s="115"/>
      <c r="BI432" s="115"/>
      <c r="BJ432" s="25"/>
      <c r="BK432" s="13"/>
      <c r="BN432" s="114"/>
    </row>
    <row r="433" spans="1:66" ht="19.5" x14ac:dyDescent="0.4">
      <c r="A433" s="117"/>
      <c r="B433" s="123"/>
      <c r="C433" s="123"/>
      <c r="D433" s="123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27"/>
      <c r="AB433" s="29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25"/>
      <c r="AM433" s="13"/>
      <c r="AR433" s="116"/>
      <c r="AS433" s="123"/>
      <c r="AT433" s="123"/>
      <c r="AU433" s="123"/>
      <c r="AZ433" s="115"/>
      <c r="BA433" s="115"/>
      <c r="BB433" s="115"/>
      <c r="BC433" s="115"/>
      <c r="BD433" s="115"/>
      <c r="BE433" s="115"/>
      <c r="BF433" s="115"/>
      <c r="BG433" s="115"/>
      <c r="BH433" s="115"/>
      <c r="BI433" s="115"/>
      <c r="BJ433" s="25"/>
      <c r="BK433" s="13"/>
      <c r="BN433" s="114"/>
    </row>
    <row r="434" spans="1:66" ht="19.5" x14ac:dyDescent="0.4">
      <c r="A434" s="117"/>
      <c r="B434" s="123"/>
      <c r="C434" s="123"/>
      <c r="D434" s="123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29"/>
      <c r="AB434" s="29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25"/>
      <c r="AM434" s="13"/>
      <c r="AR434" s="116"/>
      <c r="AS434" s="123"/>
      <c r="AT434" s="123"/>
      <c r="AU434" s="123"/>
      <c r="AZ434" s="115"/>
      <c r="BA434" s="115"/>
      <c r="BB434" s="115"/>
      <c r="BC434" s="115"/>
      <c r="BD434" s="115"/>
      <c r="BE434" s="115"/>
      <c r="BF434" s="115"/>
      <c r="BG434" s="115"/>
      <c r="BH434" s="115"/>
      <c r="BI434" s="115"/>
      <c r="BJ434" s="25"/>
      <c r="BK434" s="13"/>
      <c r="BN434" s="114"/>
    </row>
    <row r="435" spans="1:66" ht="19.5" x14ac:dyDescent="0.4">
      <c r="A435" s="117"/>
      <c r="B435" s="123"/>
      <c r="C435" s="123"/>
      <c r="D435" s="123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27"/>
      <c r="AB435" s="29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25"/>
      <c r="AM435" s="13"/>
      <c r="AR435" s="116"/>
      <c r="AS435" s="123"/>
      <c r="AT435" s="123"/>
      <c r="AU435" s="123"/>
      <c r="AZ435" s="115"/>
      <c r="BA435" s="115"/>
      <c r="BB435" s="115"/>
      <c r="BC435" s="115"/>
      <c r="BD435" s="115"/>
      <c r="BE435" s="115"/>
      <c r="BF435" s="115"/>
      <c r="BG435" s="115"/>
      <c r="BH435" s="115"/>
      <c r="BI435" s="115"/>
      <c r="BJ435" s="25"/>
      <c r="BK435" s="13"/>
      <c r="BN435" s="114"/>
    </row>
    <row r="436" spans="1:66" ht="19.5" x14ac:dyDescent="0.4">
      <c r="A436" s="117"/>
      <c r="B436" s="123"/>
      <c r="C436" s="123"/>
      <c r="D436" s="123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27"/>
      <c r="AB436" s="29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25"/>
      <c r="AM436" s="13"/>
      <c r="AR436" s="116"/>
      <c r="AS436" s="123"/>
      <c r="AT436" s="123"/>
      <c r="AU436" s="123"/>
      <c r="AZ436" s="115"/>
      <c r="BA436" s="115"/>
      <c r="BB436" s="115"/>
      <c r="BC436" s="115"/>
      <c r="BD436" s="115"/>
      <c r="BE436" s="115"/>
      <c r="BF436" s="115"/>
      <c r="BG436" s="115"/>
      <c r="BH436" s="115"/>
      <c r="BI436" s="115"/>
      <c r="BJ436" s="25"/>
      <c r="BK436" s="13"/>
      <c r="BN436" s="114"/>
    </row>
    <row r="437" spans="1:66" ht="19.5" x14ac:dyDescent="0.4">
      <c r="A437" s="117"/>
      <c r="B437" s="123"/>
      <c r="C437" s="123"/>
      <c r="D437" s="123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27"/>
      <c r="AB437" s="29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25"/>
      <c r="AM437" s="13"/>
      <c r="AR437" s="116"/>
      <c r="AS437" s="123"/>
      <c r="AT437" s="123"/>
      <c r="AU437" s="123"/>
      <c r="AZ437" s="115"/>
      <c r="BA437" s="115"/>
      <c r="BB437" s="115"/>
      <c r="BC437" s="115"/>
      <c r="BD437" s="115"/>
      <c r="BE437" s="115"/>
      <c r="BF437" s="115"/>
      <c r="BG437" s="115"/>
      <c r="BH437" s="115"/>
      <c r="BI437" s="115"/>
      <c r="BJ437" s="25"/>
      <c r="BK437" s="13"/>
      <c r="BN437" s="114"/>
    </row>
    <row r="438" spans="1:66" ht="19.5" x14ac:dyDescent="0.4">
      <c r="A438" s="117"/>
      <c r="B438" s="123"/>
      <c r="C438" s="123"/>
      <c r="D438" s="123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29"/>
      <c r="AB438" s="29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25"/>
      <c r="AM438" s="13"/>
      <c r="AR438" s="116"/>
      <c r="AS438" s="123"/>
      <c r="AT438" s="123"/>
      <c r="AU438" s="123"/>
      <c r="AZ438" s="115"/>
      <c r="BA438" s="115"/>
      <c r="BB438" s="115"/>
      <c r="BC438" s="115"/>
      <c r="BD438" s="115"/>
      <c r="BE438" s="115"/>
      <c r="BF438" s="115"/>
      <c r="BG438" s="115"/>
      <c r="BH438" s="115"/>
      <c r="BI438" s="115"/>
      <c r="BJ438" s="25"/>
      <c r="BK438" s="13"/>
      <c r="BN438" s="114"/>
    </row>
    <row r="439" spans="1:66" ht="19.5" x14ac:dyDescent="0.4">
      <c r="A439" s="117"/>
      <c r="B439" s="123"/>
      <c r="C439" s="123"/>
      <c r="D439" s="123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27"/>
      <c r="AB439" s="29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25"/>
      <c r="AM439" s="13"/>
      <c r="AR439" s="116"/>
      <c r="AS439" s="123"/>
      <c r="AT439" s="123"/>
      <c r="AU439" s="123"/>
      <c r="AZ439" s="115"/>
      <c r="BA439" s="115"/>
      <c r="BB439" s="115"/>
      <c r="BC439" s="115"/>
      <c r="BD439" s="115"/>
      <c r="BE439" s="115"/>
      <c r="BF439" s="115"/>
      <c r="BG439" s="115"/>
      <c r="BH439" s="115"/>
      <c r="BI439" s="115"/>
      <c r="BJ439" s="25"/>
      <c r="BK439" s="13"/>
      <c r="BN439" s="114"/>
    </row>
    <row r="440" spans="1:66" ht="19.5" x14ac:dyDescent="0.4">
      <c r="A440" s="117"/>
      <c r="B440" s="123"/>
      <c r="C440" s="123"/>
      <c r="D440" s="123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29"/>
      <c r="AB440" s="29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25"/>
      <c r="AM440" s="13"/>
      <c r="AR440" s="116"/>
      <c r="AS440" s="123"/>
      <c r="AT440" s="123"/>
      <c r="AU440" s="123"/>
      <c r="AZ440" s="115"/>
      <c r="BA440" s="115"/>
      <c r="BB440" s="115"/>
      <c r="BC440" s="115"/>
      <c r="BD440" s="115"/>
      <c r="BE440" s="115"/>
      <c r="BF440" s="115"/>
      <c r="BG440" s="115"/>
      <c r="BH440" s="115"/>
      <c r="BI440" s="115"/>
      <c r="BJ440" s="25"/>
      <c r="BK440" s="13"/>
      <c r="BN440" s="114"/>
    </row>
    <row r="441" spans="1:66" ht="19.5" x14ac:dyDescent="0.4">
      <c r="A441" s="117"/>
      <c r="B441" s="123"/>
      <c r="C441" s="123"/>
      <c r="D441" s="123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27"/>
      <c r="AB441" s="29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25"/>
      <c r="AM441" s="13"/>
      <c r="AR441" s="116"/>
      <c r="AS441" s="123"/>
      <c r="AT441" s="123"/>
      <c r="AU441" s="123"/>
      <c r="AZ441" s="115"/>
      <c r="BA441" s="115"/>
      <c r="BB441" s="115"/>
      <c r="BC441" s="115"/>
      <c r="BD441" s="115"/>
      <c r="BE441" s="115"/>
      <c r="BF441" s="115"/>
      <c r="BG441" s="115"/>
      <c r="BH441" s="115"/>
      <c r="BI441" s="115"/>
      <c r="BJ441" s="25"/>
      <c r="BK441" s="13"/>
      <c r="BN441" s="114"/>
    </row>
    <row r="442" spans="1:66" ht="19.5" x14ac:dyDescent="0.4">
      <c r="A442" s="117"/>
      <c r="B442" s="123"/>
      <c r="C442" s="123"/>
      <c r="D442" s="123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29"/>
      <c r="AB442" s="29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25"/>
      <c r="AM442" s="13"/>
      <c r="AR442" s="116"/>
      <c r="AS442" s="123"/>
      <c r="AT442" s="123"/>
      <c r="AU442" s="123"/>
      <c r="AZ442" s="115"/>
      <c r="BA442" s="115"/>
      <c r="BB442" s="115"/>
      <c r="BC442" s="115"/>
      <c r="BD442" s="115"/>
      <c r="BE442" s="115"/>
      <c r="BF442" s="115"/>
      <c r="BG442" s="115"/>
      <c r="BH442" s="115"/>
      <c r="BI442" s="115"/>
      <c r="BJ442" s="25"/>
      <c r="BK442" s="13"/>
      <c r="BN442" s="114"/>
    </row>
    <row r="443" spans="1:66" ht="19.5" x14ac:dyDescent="0.4">
      <c r="A443" s="117"/>
      <c r="B443" s="123"/>
      <c r="C443" s="123"/>
      <c r="D443" s="123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29"/>
      <c r="AB443" s="29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25"/>
      <c r="AM443" s="13"/>
      <c r="AR443" s="116"/>
      <c r="AS443" s="123"/>
      <c r="AT443" s="123"/>
      <c r="AU443" s="123"/>
      <c r="AZ443" s="115"/>
      <c r="BA443" s="115"/>
      <c r="BB443" s="115"/>
      <c r="BC443" s="115"/>
      <c r="BD443" s="115"/>
      <c r="BE443" s="115"/>
      <c r="BF443" s="115"/>
      <c r="BG443" s="115"/>
      <c r="BH443" s="115"/>
      <c r="BI443" s="115"/>
      <c r="BJ443" s="25"/>
      <c r="BK443" s="13"/>
      <c r="BN443" s="114"/>
    </row>
    <row r="444" spans="1:66" ht="19.5" x14ac:dyDescent="0.4">
      <c r="A444" s="117"/>
      <c r="B444" s="123"/>
      <c r="C444" s="123"/>
      <c r="D444" s="123"/>
      <c r="AA444" s="127"/>
      <c r="AB444" s="29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25">
        <v>45677</v>
      </c>
      <c r="AM444" s="13" t="s">
        <v>146</v>
      </c>
      <c r="AR444" s="116"/>
      <c r="AS444" s="123"/>
      <c r="AT444" s="123"/>
      <c r="AU444" s="123"/>
      <c r="AZ444" s="115"/>
      <c r="BA444" s="115"/>
      <c r="BB444" s="115"/>
      <c r="BC444" s="115"/>
      <c r="BD444" s="115"/>
      <c r="BE444" s="115"/>
      <c r="BF444" s="115"/>
      <c r="BG444" s="115"/>
      <c r="BH444" s="115"/>
      <c r="BI444" s="115"/>
      <c r="BJ444" s="25"/>
      <c r="BK444" s="13"/>
      <c r="BN444" s="114"/>
    </row>
    <row r="445" spans="1:66" ht="19.5" x14ac:dyDescent="0.4">
      <c r="A445" s="117"/>
      <c r="B445" s="123"/>
      <c r="C445" s="123"/>
      <c r="D445" s="123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27"/>
      <c r="AB445" s="29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25"/>
      <c r="AM445" s="13"/>
      <c r="AR445" s="116"/>
      <c r="AS445" s="123"/>
      <c r="AT445" s="123"/>
      <c r="AU445" s="123"/>
      <c r="AZ445" s="115"/>
      <c r="BA445" s="115"/>
      <c r="BB445" s="115"/>
      <c r="BC445" s="115"/>
      <c r="BD445" s="115"/>
      <c r="BE445" s="115"/>
      <c r="BF445" s="115"/>
      <c r="BG445" s="115"/>
      <c r="BH445" s="115"/>
      <c r="BI445" s="115"/>
      <c r="BJ445" s="25"/>
      <c r="BK445" s="13"/>
      <c r="BN445" s="114"/>
    </row>
    <row r="446" spans="1:66" ht="19.5" x14ac:dyDescent="0.4">
      <c r="A446" s="117"/>
      <c r="B446" s="123"/>
      <c r="C446" s="123"/>
      <c r="D446" s="123"/>
      <c r="AA446" s="127"/>
      <c r="AB446" s="29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25"/>
      <c r="AM446" s="13"/>
      <c r="AR446" s="116"/>
      <c r="AS446" s="123"/>
      <c r="AT446" s="123"/>
      <c r="AU446" s="123"/>
      <c r="AZ446" s="115"/>
      <c r="BA446" s="115"/>
      <c r="BB446" s="115"/>
      <c r="BC446" s="115"/>
      <c r="BD446" s="115"/>
      <c r="BE446" s="115"/>
      <c r="BF446" s="115"/>
      <c r="BG446" s="115"/>
      <c r="BH446" s="115"/>
      <c r="BI446" s="115"/>
      <c r="BJ446" s="25"/>
      <c r="BK446" s="13"/>
      <c r="BN446" s="114"/>
    </row>
    <row r="447" spans="1:66" ht="19.5" x14ac:dyDescent="0.4">
      <c r="A447" s="117"/>
      <c r="B447" s="123"/>
      <c r="C447" s="123"/>
      <c r="D447" s="123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27"/>
      <c r="AB447" s="29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25"/>
      <c r="AM447" s="13"/>
      <c r="AR447" s="116"/>
      <c r="AS447" s="123"/>
      <c r="AT447" s="123"/>
      <c r="AU447" s="123"/>
      <c r="AZ447" s="115"/>
      <c r="BA447" s="115"/>
      <c r="BB447" s="115"/>
      <c r="BC447" s="115"/>
      <c r="BD447" s="115"/>
      <c r="BE447" s="115"/>
      <c r="BF447" s="115"/>
      <c r="BG447" s="115"/>
      <c r="BH447" s="115"/>
      <c r="BI447" s="115"/>
      <c r="BJ447" s="25"/>
      <c r="BK447" s="13"/>
      <c r="BN447" s="114"/>
    </row>
    <row r="448" spans="1:66" ht="19.5" x14ac:dyDescent="0.4">
      <c r="A448" s="117"/>
      <c r="B448" s="123"/>
      <c r="C448" s="123"/>
      <c r="D448" s="123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27"/>
      <c r="AB448" s="29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25"/>
      <c r="AM448" s="13"/>
      <c r="AR448" s="116"/>
      <c r="AS448" s="123"/>
      <c r="AT448" s="123"/>
      <c r="AU448" s="123"/>
      <c r="AZ448" s="115"/>
      <c r="BA448" s="115"/>
      <c r="BB448" s="115"/>
      <c r="BC448" s="115"/>
      <c r="BD448" s="115"/>
      <c r="BE448" s="115"/>
      <c r="BF448" s="115"/>
      <c r="BG448" s="115"/>
      <c r="BH448" s="115"/>
      <c r="BI448" s="115"/>
      <c r="BJ448" s="25"/>
      <c r="BK448" s="13"/>
      <c r="BN448" s="114"/>
    </row>
    <row r="449" spans="1:66" ht="19.5" x14ac:dyDescent="0.4">
      <c r="A449" s="117"/>
      <c r="B449" s="123"/>
      <c r="C449" s="123"/>
      <c r="D449" s="123"/>
      <c r="AA449" s="127"/>
      <c r="AB449" s="29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25"/>
      <c r="AM449" s="13"/>
      <c r="AR449" s="116"/>
      <c r="AS449" s="123"/>
      <c r="AT449" s="123"/>
      <c r="AU449" s="123"/>
      <c r="AZ449" s="115"/>
      <c r="BA449" s="115"/>
      <c r="BB449" s="115"/>
      <c r="BC449" s="115"/>
      <c r="BD449" s="115"/>
      <c r="BE449" s="115"/>
      <c r="BF449" s="115"/>
      <c r="BG449" s="115"/>
      <c r="BH449" s="115"/>
      <c r="BI449" s="115"/>
      <c r="BJ449" s="25"/>
      <c r="BK449" s="13"/>
      <c r="BN449" s="114"/>
    </row>
    <row r="450" spans="1:66" ht="19.5" x14ac:dyDescent="0.4">
      <c r="A450" s="117"/>
      <c r="B450" s="123"/>
      <c r="C450" s="123"/>
      <c r="D450" s="123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27"/>
      <c r="AB450" s="29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25"/>
      <c r="AM450" s="13"/>
      <c r="AR450" s="116"/>
      <c r="AS450" s="123"/>
      <c r="AT450" s="123"/>
      <c r="AU450" s="123"/>
      <c r="AZ450" s="115"/>
      <c r="BA450" s="115"/>
      <c r="BB450" s="115"/>
      <c r="BC450" s="115"/>
      <c r="BD450" s="115"/>
      <c r="BE450" s="115"/>
      <c r="BF450" s="115"/>
      <c r="BG450" s="115"/>
      <c r="BH450" s="115"/>
      <c r="BI450" s="115"/>
      <c r="BJ450" s="25"/>
      <c r="BK450" s="13"/>
      <c r="BN450" s="114"/>
    </row>
    <row r="451" spans="1:66" ht="19.5" x14ac:dyDescent="0.4">
      <c r="A451" s="117"/>
      <c r="B451" s="123"/>
      <c r="C451" s="123"/>
      <c r="D451" s="123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27"/>
      <c r="AB451" s="29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25"/>
      <c r="AM451" s="13"/>
      <c r="AR451" s="116"/>
      <c r="AS451" s="123"/>
      <c r="AT451" s="123"/>
      <c r="AU451" s="123"/>
      <c r="AZ451" s="115"/>
      <c r="BA451" s="115"/>
      <c r="BB451" s="115"/>
      <c r="BC451" s="115"/>
      <c r="BD451" s="115"/>
      <c r="BE451" s="115"/>
      <c r="BF451" s="115"/>
      <c r="BG451" s="115"/>
      <c r="BH451" s="115"/>
      <c r="BI451" s="115"/>
      <c r="BJ451" s="25"/>
      <c r="BK451" s="13"/>
      <c r="BN451" s="114"/>
    </row>
    <row r="452" spans="1:66" ht="19.5" x14ac:dyDescent="0.4">
      <c r="A452" s="117"/>
      <c r="B452" s="123"/>
      <c r="C452" s="123"/>
      <c r="D452" s="123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27"/>
      <c r="AB452" s="29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25"/>
      <c r="AM452" s="13"/>
      <c r="AR452" s="116"/>
      <c r="AS452" s="123"/>
      <c r="AT452" s="123"/>
      <c r="AU452" s="123"/>
      <c r="AZ452" s="115"/>
      <c r="BA452" s="115"/>
      <c r="BB452" s="115"/>
      <c r="BC452" s="115"/>
      <c r="BD452" s="115"/>
      <c r="BE452" s="115"/>
      <c r="BF452" s="115"/>
      <c r="BG452" s="115"/>
      <c r="BH452" s="115"/>
      <c r="BI452" s="115"/>
      <c r="BJ452" s="25"/>
      <c r="BK452" s="13"/>
      <c r="BN452" s="114"/>
    </row>
    <row r="453" spans="1:66" ht="19.5" x14ac:dyDescent="0.4">
      <c r="A453" s="117"/>
      <c r="B453" s="123"/>
      <c r="C453" s="123"/>
      <c r="D453" s="123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29"/>
      <c r="AB453" s="29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25"/>
      <c r="AM453" s="13"/>
      <c r="AR453" s="116"/>
      <c r="AS453" s="123"/>
      <c r="AT453" s="123"/>
      <c r="AU453" s="123"/>
      <c r="AZ453" s="115"/>
      <c r="BA453" s="115"/>
      <c r="BB453" s="115"/>
      <c r="BC453" s="115"/>
      <c r="BD453" s="115"/>
      <c r="BE453" s="115"/>
      <c r="BF453" s="115"/>
      <c r="BG453" s="115"/>
      <c r="BH453" s="115"/>
      <c r="BI453" s="115"/>
      <c r="BJ453" s="25"/>
      <c r="BK453" s="13"/>
      <c r="BN453" s="114"/>
    </row>
    <row r="454" spans="1:66" ht="19.5" x14ac:dyDescent="0.4">
      <c r="A454" s="117"/>
      <c r="B454" s="123"/>
      <c r="C454" s="123"/>
      <c r="D454" s="123"/>
      <c r="AA454" s="127"/>
      <c r="AB454" s="29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25">
        <v>45677</v>
      </c>
      <c r="AM454" s="13" t="s">
        <v>147</v>
      </c>
      <c r="AR454" s="116"/>
      <c r="AS454" s="123"/>
      <c r="AT454" s="123"/>
      <c r="AU454" s="123"/>
      <c r="AZ454" s="115"/>
      <c r="BA454" s="115"/>
      <c r="BB454" s="115"/>
      <c r="BC454" s="115"/>
      <c r="BD454" s="115"/>
      <c r="BE454" s="115"/>
      <c r="BF454" s="115"/>
      <c r="BG454" s="115"/>
      <c r="BH454" s="115"/>
      <c r="BI454" s="115"/>
      <c r="BJ454" s="25"/>
      <c r="BK454" s="13"/>
      <c r="BN454" s="114"/>
    </row>
    <row r="455" spans="1:66" ht="19.5" x14ac:dyDescent="0.4">
      <c r="A455" s="117"/>
      <c r="B455" s="123"/>
      <c r="C455" s="123"/>
      <c r="D455" s="123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27"/>
      <c r="AB455" s="29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25"/>
      <c r="AM455" s="13"/>
      <c r="AR455" s="116"/>
      <c r="AS455" s="123"/>
      <c r="AT455" s="123"/>
      <c r="AU455" s="123"/>
      <c r="AZ455" s="115"/>
      <c r="BA455" s="115"/>
      <c r="BB455" s="115"/>
      <c r="BC455" s="115"/>
      <c r="BD455" s="115"/>
      <c r="BE455" s="115"/>
      <c r="BF455" s="115"/>
      <c r="BG455" s="115"/>
      <c r="BH455" s="115"/>
      <c r="BI455" s="115"/>
      <c r="BJ455" s="25"/>
      <c r="BK455" s="13"/>
      <c r="BN455" s="114"/>
    </row>
    <row r="456" spans="1:66" ht="19.5" x14ac:dyDescent="0.4">
      <c r="A456" s="117"/>
      <c r="B456" s="123"/>
      <c r="C456" s="123"/>
      <c r="D456" s="123"/>
      <c r="AA456" s="127"/>
      <c r="AB456" s="29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25">
        <v>45677</v>
      </c>
      <c r="AM456" s="25" t="s">
        <v>147</v>
      </c>
      <c r="AR456" s="116"/>
      <c r="AS456" s="123"/>
      <c r="AT456" s="123"/>
      <c r="AU456" s="123"/>
      <c r="AZ456" s="115"/>
      <c r="BA456" s="115"/>
      <c r="BB456" s="115"/>
      <c r="BC456" s="115"/>
      <c r="BD456" s="115"/>
      <c r="BE456" s="115"/>
      <c r="BF456" s="115"/>
      <c r="BG456" s="115"/>
      <c r="BH456" s="115"/>
      <c r="BI456" s="115"/>
      <c r="BJ456" s="25"/>
      <c r="BK456" s="13"/>
      <c r="BN456" s="114"/>
    </row>
    <row r="457" spans="1:66" ht="19.5" x14ac:dyDescent="0.4">
      <c r="A457" s="117"/>
      <c r="B457" s="123"/>
      <c r="C457" s="123"/>
      <c r="D457" s="123"/>
      <c r="AA457" s="127"/>
      <c r="AB457" s="29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25"/>
      <c r="AM457" s="25"/>
      <c r="AR457" s="116"/>
      <c r="AS457" s="123"/>
      <c r="AT457" s="123"/>
      <c r="AU457" s="123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25"/>
      <c r="BK457" s="13"/>
      <c r="BN457" s="114"/>
    </row>
    <row r="458" spans="1:66" ht="19.5" x14ac:dyDescent="0.4">
      <c r="A458" s="117"/>
      <c r="B458" s="123"/>
      <c r="C458" s="123"/>
      <c r="D458" s="123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27"/>
      <c r="AB458" s="29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25"/>
      <c r="AM458" s="25"/>
      <c r="AR458" s="116"/>
      <c r="AS458" s="123"/>
      <c r="AT458" s="123"/>
      <c r="AU458" s="123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25"/>
      <c r="BK458" s="13"/>
      <c r="BN458" s="114"/>
    </row>
    <row r="459" spans="1:66" ht="19.5" x14ac:dyDescent="0.4">
      <c r="A459" s="117"/>
      <c r="B459" s="123"/>
      <c r="C459" s="123"/>
      <c r="D459" s="123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27"/>
      <c r="AB459" s="29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25"/>
      <c r="AM459" s="25"/>
      <c r="AR459" s="116"/>
      <c r="AS459" s="123"/>
      <c r="AT459" s="123"/>
      <c r="AU459" s="123"/>
      <c r="AZ459" s="115"/>
      <c r="BA459" s="115"/>
      <c r="BB459" s="115"/>
      <c r="BC459" s="115"/>
      <c r="BD459" s="115"/>
      <c r="BE459" s="115"/>
      <c r="BF459" s="115"/>
      <c r="BG459" s="115"/>
      <c r="BH459" s="115"/>
      <c r="BI459" s="115"/>
      <c r="BJ459" s="25"/>
      <c r="BK459" s="13"/>
      <c r="BN459" s="114"/>
    </row>
    <row r="460" spans="1:66" ht="19.5" x14ac:dyDescent="0.4">
      <c r="A460" s="117"/>
      <c r="B460" s="123"/>
      <c r="C460" s="123"/>
      <c r="D460" s="123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27"/>
      <c r="AB460" s="29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25"/>
      <c r="AM460" s="25"/>
      <c r="AR460" s="116"/>
      <c r="AS460" s="123"/>
      <c r="AT460" s="123"/>
      <c r="AU460" s="123"/>
      <c r="AZ460" s="115"/>
      <c r="BA460" s="115"/>
      <c r="BB460" s="115"/>
      <c r="BC460" s="115"/>
      <c r="BD460" s="115"/>
      <c r="BE460" s="115"/>
      <c r="BF460" s="115"/>
      <c r="BG460" s="115"/>
      <c r="BH460" s="115"/>
      <c r="BI460" s="115"/>
      <c r="BJ460" s="25"/>
      <c r="BK460" s="13"/>
      <c r="BN460" s="114"/>
    </row>
    <row r="461" spans="1:66" ht="19.5" x14ac:dyDescent="0.4">
      <c r="A461" s="117"/>
      <c r="B461" s="123"/>
      <c r="C461" s="123"/>
      <c r="D461" s="123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29"/>
      <c r="AB461" s="29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25"/>
      <c r="AM461" s="25"/>
      <c r="AR461" s="116"/>
      <c r="AS461" s="123"/>
      <c r="AT461" s="123"/>
      <c r="AU461" s="123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25"/>
      <c r="BK461" s="13"/>
      <c r="BN461" s="114"/>
    </row>
    <row r="462" spans="1:66" ht="19.5" x14ac:dyDescent="0.4">
      <c r="A462" s="117"/>
      <c r="B462" s="123"/>
      <c r="C462" s="123"/>
      <c r="D462" s="123"/>
      <c r="AA462" s="127"/>
      <c r="AB462" s="29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25">
        <v>45678</v>
      </c>
      <c r="AM462" s="13" t="s">
        <v>147</v>
      </c>
      <c r="AR462" s="116"/>
      <c r="AS462" s="123"/>
      <c r="AT462" s="123"/>
      <c r="AU462" s="123"/>
      <c r="AZ462" s="115"/>
      <c r="BA462" s="115"/>
      <c r="BB462" s="115"/>
      <c r="BC462" s="115"/>
      <c r="BD462" s="115"/>
      <c r="BE462" s="115"/>
      <c r="BF462" s="115"/>
      <c r="BG462" s="115"/>
      <c r="BH462" s="115"/>
      <c r="BI462" s="115"/>
      <c r="BJ462" s="25"/>
      <c r="BK462" s="13"/>
      <c r="BN462" s="114"/>
    </row>
    <row r="463" spans="1:66" ht="19.5" x14ac:dyDescent="0.4">
      <c r="A463" s="117"/>
      <c r="B463" s="123"/>
      <c r="C463" s="123"/>
      <c r="D463" s="123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27"/>
      <c r="AB463" s="29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25"/>
      <c r="AM463" s="13"/>
      <c r="AR463" s="116"/>
      <c r="AS463" s="123"/>
      <c r="AT463" s="123"/>
      <c r="AU463" s="123"/>
      <c r="AZ463" s="115"/>
      <c r="BA463" s="115"/>
      <c r="BB463" s="115"/>
      <c r="BC463" s="115"/>
      <c r="BD463" s="115"/>
      <c r="BE463" s="115"/>
      <c r="BF463" s="115"/>
      <c r="BG463" s="115"/>
      <c r="BH463" s="115"/>
      <c r="BI463" s="115"/>
      <c r="BJ463" s="25"/>
      <c r="BK463" s="13"/>
      <c r="BN463" s="114"/>
    </row>
    <row r="464" spans="1:66" ht="19.5" x14ac:dyDescent="0.4">
      <c r="A464" s="117"/>
      <c r="B464" s="123"/>
      <c r="C464" s="123"/>
      <c r="D464" s="123"/>
      <c r="AA464" s="127"/>
      <c r="AB464" s="29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25">
        <v>45678</v>
      </c>
      <c r="AM464" s="13" t="s">
        <v>146</v>
      </c>
      <c r="AR464" s="116"/>
      <c r="AS464" s="123"/>
      <c r="AT464" s="123"/>
      <c r="AU464" s="123"/>
      <c r="AZ464" s="115"/>
      <c r="BA464" s="115"/>
      <c r="BB464" s="115"/>
      <c r="BC464" s="115"/>
      <c r="BD464" s="115"/>
      <c r="BE464" s="115"/>
      <c r="BF464" s="115"/>
      <c r="BG464" s="115"/>
      <c r="BH464" s="115"/>
      <c r="BI464" s="115"/>
      <c r="BJ464" s="25"/>
      <c r="BK464" s="13"/>
      <c r="BN464" s="114"/>
    </row>
    <row r="465" spans="1:66" ht="19.5" x14ac:dyDescent="0.4">
      <c r="A465" s="117"/>
      <c r="B465" s="123"/>
      <c r="C465" s="123"/>
      <c r="D465" s="123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27"/>
      <c r="AB465" s="29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25"/>
      <c r="AM465" s="13"/>
      <c r="AR465" s="116"/>
      <c r="AS465" s="123"/>
      <c r="AT465" s="123"/>
      <c r="AU465" s="123"/>
      <c r="AZ465" s="115"/>
      <c r="BA465" s="115"/>
      <c r="BB465" s="115"/>
      <c r="BC465" s="115"/>
      <c r="BD465" s="115"/>
      <c r="BE465" s="115"/>
      <c r="BF465" s="115"/>
      <c r="BG465" s="115"/>
      <c r="BH465" s="115"/>
      <c r="BI465" s="115"/>
      <c r="BJ465" s="25"/>
      <c r="BK465" s="13"/>
      <c r="BN465" s="114"/>
    </row>
    <row r="466" spans="1:66" ht="19.5" x14ac:dyDescent="0.4">
      <c r="A466" s="117"/>
      <c r="B466" s="123"/>
      <c r="C466" s="123"/>
      <c r="D466" s="123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27"/>
      <c r="AB466" s="29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25"/>
      <c r="AM466" s="13"/>
      <c r="AR466" s="116"/>
      <c r="AS466" s="123"/>
      <c r="AT466" s="123"/>
      <c r="AU466" s="123"/>
      <c r="AZ466" s="115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25"/>
      <c r="BK466" s="13"/>
      <c r="BN466" s="114"/>
    </row>
    <row r="467" spans="1:66" ht="19.5" x14ac:dyDescent="0.4">
      <c r="A467" s="117"/>
      <c r="B467" s="123"/>
      <c r="C467" s="123"/>
      <c r="D467" s="123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27"/>
      <c r="AB467" s="29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25"/>
      <c r="AM467" s="13"/>
      <c r="AR467" s="116"/>
      <c r="AS467" s="123"/>
      <c r="AT467" s="123"/>
      <c r="AU467" s="123"/>
      <c r="AZ467" s="115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25"/>
      <c r="BK467" s="13"/>
      <c r="BN467" s="114"/>
    </row>
    <row r="468" spans="1:66" ht="19.5" x14ac:dyDescent="0.4">
      <c r="A468" s="117"/>
      <c r="B468" s="123"/>
      <c r="C468" s="123"/>
      <c r="D468" s="123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27"/>
      <c r="AB468" s="29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25"/>
      <c r="AM468" s="13"/>
      <c r="AR468" s="116"/>
      <c r="AS468" s="123"/>
      <c r="AT468" s="123"/>
      <c r="AU468" s="123"/>
      <c r="AZ468" s="115"/>
      <c r="BA468" s="115"/>
      <c r="BB468" s="115"/>
      <c r="BC468" s="115"/>
      <c r="BD468" s="115"/>
      <c r="BE468" s="115"/>
      <c r="BF468" s="115"/>
      <c r="BG468" s="115"/>
      <c r="BH468" s="115"/>
      <c r="BI468" s="115"/>
      <c r="BJ468" s="25"/>
      <c r="BK468" s="13"/>
      <c r="BN468" s="114"/>
    </row>
    <row r="469" spans="1:66" ht="19.5" x14ac:dyDescent="0.4">
      <c r="A469" s="117"/>
      <c r="B469" s="123"/>
      <c r="C469" s="123"/>
      <c r="D469" s="123"/>
      <c r="AA469" s="127"/>
      <c r="AB469" s="29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25">
        <v>45678</v>
      </c>
      <c r="AM469" s="13" t="s">
        <v>148</v>
      </c>
      <c r="AR469" s="116"/>
      <c r="AS469" s="123"/>
      <c r="AT469" s="123"/>
      <c r="AU469" s="123"/>
      <c r="AZ469" s="115"/>
      <c r="BA469" s="115"/>
      <c r="BB469" s="115"/>
      <c r="BC469" s="115"/>
      <c r="BD469" s="115"/>
      <c r="BE469" s="115"/>
      <c r="BF469" s="115"/>
      <c r="BG469" s="115"/>
      <c r="BH469" s="115"/>
      <c r="BI469" s="115"/>
      <c r="BJ469" s="25"/>
      <c r="BK469" s="13"/>
      <c r="BN469" s="114"/>
    </row>
    <row r="470" spans="1:66" ht="19.5" x14ac:dyDescent="0.4">
      <c r="A470" s="117"/>
      <c r="B470" s="123"/>
      <c r="C470" s="123"/>
      <c r="D470" s="123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27"/>
      <c r="AB470" s="29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25"/>
      <c r="AM470" s="13"/>
      <c r="AR470" s="116"/>
      <c r="AS470" s="123"/>
      <c r="AT470" s="123"/>
      <c r="AU470" s="123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25"/>
      <c r="BK470" s="13"/>
      <c r="BN470" s="114"/>
    </row>
    <row r="471" spans="1:66" ht="19.5" x14ac:dyDescent="0.4">
      <c r="A471" s="117"/>
      <c r="B471" s="123"/>
      <c r="C471" s="123"/>
      <c r="D471" s="123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29"/>
      <c r="AB471" s="29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25"/>
      <c r="AM471" s="13"/>
      <c r="AR471" s="116"/>
      <c r="AS471" s="123"/>
      <c r="AT471" s="123"/>
      <c r="AU471" s="123"/>
      <c r="AZ471" s="115"/>
      <c r="BA471" s="115"/>
      <c r="BB471" s="115"/>
      <c r="BC471" s="115"/>
      <c r="BD471" s="115"/>
      <c r="BE471" s="115"/>
      <c r="BF471" s="115"/>
      <c r="BG471" s="115"/>
      <c r="BH471" s="115"/>
      <c r="BI471" s="115"/>
      <c r="BJ471" s="25"/>
      <c r="BK471" s="13"/>
      <c r="BN471" s="114"/>
    </row>
    <row r="472" spans="1:66" ht="19.5" x14ac:dyDescent="0.4">
      <c r="A472" s="117"/>
      <c r="B472" s="123"/>
      <c r="C472" s="123"/>
      <c r="D472" s="123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27"/>
      <c r="AB472" s="134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25"/>
      <c r="AM472" s="13"/>
      <c r="AR472" s="116"/>
      <c r="AS472" s="123"/>
      <c r="AT472" s="123"/>
      <c r="AU472" s="123"/>
      <c r="AZ472" s="115"/>
      <c r="BA472" s="115"/>
      <c r="BB472" s="115"/>
      <c r="BC472" s="115"/>
      <c r="BD472" s="115"/>
      <c r="BE472" s="115"/>
      <c r="BF472" s="115"/>
      <c r="BG472" s="115"/>
      <c r="BH472" s="115"/>
      <c r="BI472" s="115"/>
      <c r="BJ472" s="25"/>
      <c r="BK472" s="13"/>
      <c r="BN472" s="114"/>
    </row>
    <row r="473" spans="1:66" ht="19.5" x14ac:dyDescent="0.4">
      <c r="A473" s="117"/>
      <c r="B473" s="123"/>
      <c r="C473" s="123"/>
      <c r="D473" s="123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27"/>
      <c r="AB473" s="29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25"/>
      <c r="AM473" s="13"/>
      <c r="AR473" s="116"/>
      <c r="AS473" s="123"/>
      <c r="AT473" s="123"/>
      <c r="AU473" s="123"/>
      <c r="AZ473" s="115"/>
      <c r="BA473" s="115"/>
      <c r="BB473" s="115"/>
      <c r="BC473" s="115"/>
      <c r="BD473" s="115"/>
      <c r="BE473" s="115"/>
      <c r="BF473" s="115"/>
      <c r="BG473" s="115"/>
      <c r="BH473" s="115"/>
      <c r="BI473" s="115"/>
      <c r="BJ473" s="25"/>
      <c r="BK473" s="13"/>
      <c r="BN473" s="114"/>
    </row>
    <row r="474" spans="1:66" ht="19.5" x14ac:dyDescent="0.4">
      <c r="A474" s="117"/>
      <c r="B474" s="123"/>
      <c r="C474" s="123"/>
      <c r="D474" s="123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27"/>
      <c r="AB474" s="29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25"/>
      <c r="AM474" s="13"/>
      <c r="AR474" s="116"/>
      <c r="AS474" s="123"/>
      <c r="AT474" s="123"/>
      <c r="AU474" s="123"/>
      <c r="AZ474" s="115"/>
      <c r="BA474" s="115"/>
      <c r="BB474" s="115"/>
      <c r="BC474" s="115"/>
      <c r="BD474" s="115"/>
      <c r="BE474" s="115"/>
      <c r="BF474" s="115"/>
      <c r="BG474" s="115"/>
      <c r="BH474" s="115"/>
      <c r="BI474" s="115"/>
      <c r="BJ474" s="25"/>
      <c r="BK474" s="13"/>
      <c r="BN474" s="114"/>
    </row>
    <row r="475" spans="1:66" ht="19.5" x14ac:dyDescent="0.4">
      <c r="A475" s="117"/>
      <c r="B475" s="123"/>
      <c r="C475" s="123"/>
      <c r="D475" s="123"/>
      <c r="AA475" s="127"/>
      <c r="AB475" s="29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25">
        <v>45678</v>
      </c>
      <c r="AM475" s="13" t="s">
        <v>148</v>
      </c>
      <c r="AR475" s="116"/>
      <c r="AS475" s="123"/>
      <c r="AT475" s="123"/>
      <c r="AU475" s="123"/>
      <c r="AZ475" s="115"/>
      <c r="BA475" s="115"/>
      <c r="BB475" s="115"/>
      <c r="BC475" s="115"/>
      <c r="BD475" s="115"/>
      <c r="BE475" s="115"/>
      <c r="BF475" s="115"/>
      <c r="BG475" s="115"/>
      <c r="BH475" s="115"/>
      <c r="BI475" s="115"/>
      <c r="BJ475" s="25"/>
      <c r="BK475" s="13"/>
      <c r="BN475" s="114"/>
    </row>
    <row r="476" spans="1:66" ht="19.5" x14ac:dyDescent="0.4">
      <c r="A476" s="117"/>
      <c r="B476" s="123"/>
      <c r="C476" s="123"/>
      <c r="D476" s="123"/>
      <c r="AA476" s="127"/>
      <c r="AB476" s="29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25">
        <v>45678</v>
      </c>
      <c r="AM476" s="13" t="s">
        <v>148</v>
      </c>
      <c r="AR476" s="116"/>
      <c r="AS476" s="123"/>
      <c r="AT476" s="123"/>
      <c r="AU476" s="123"/>
      <c r="AZ476" s="115"/>
      <c r="BA476" s="115"/>
      <c r="BB476" s="115"/>
      <c r="BC476" s="115"/>
      <c r="BD476" s="115"/>
      <c r="BE476" s="115"/>
      <c r="BF476" s="115"/>
      <c r="BG476" s="115"/>
      <c r="BH476" s="115"/>
      <c r="BI476" s="115"/>
      <c r="BJ476" s="25"/>
      <c r="BK476" s="13"/>
      <c r="BN476" s="114"/>
    </row>
    <row r="477" spans="1:66" ht="19.5" x14ac:dyDescent="0.4">
      <c r="A477" s="117"/>
      <c r="B477" s="123"/>
      <c r="C477" s="123"/>
      <c r="D477" s="123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27"/>
      <c r="AB477" s="29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25"/>
      <c r="AM477" s="13"/>
      <c r="AR477" s="116"/>
      <c r="AS477" s="123"/>
      <c r="AT477" s="123"/>
      <c r="AU477" s="123"/>
      <c r="AZ477" s="115"/>
      <c r="BA477" s="115"/>
      <c r="BB477" s="115"/>
      <c r="BC477" s="115"/>
      <c r="BD477" s="115"/>
      <c r="BE477" s="115"/>
      <c r="BF477" s="115"/>
      <c r="BG477" s="115"/>
      <c r="BH477" s="115"/>
      <c r="BI477" s="115"/>
      <c r="BJ477" s="25"/>
      <c r="BK477" s="13"/>
      <c r="BN477" s="114"/>
    </row>
    <row r="478" spans="1:66" ht="19.5" x14ac:dyDescent="0.4">
      <c r="A478" s="117"/>
      <c r="B478" s="123"/>
      <c r="C478" s="123"/>
      <c r="D478" s="12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27"/>
      <c r="AB478" s="29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25"/>
      <c r="AM478" s="13"/>
      <c r="AR478" s="116"/>
      <c r="AS478" s="123"/>
      <c r="AT478" s="123"/>
      <c r="AU478" s="123"/>
      <c r="AZ478" s="115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25"/>
      <c r="BK478" s="13"/>
      <c r="BN478" s="114"/>
    </row>
    <row r="479" spans="1:66" ht="19.5" x14ac:dyDescent="0.4">
      <c r="A479" s="117"/>
      <c r="B479" s="123"/>
      <c r="C479" s="123"/>
      <c r="D479" s="123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27"/>
      <c r="AB479" s="29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25"/>
      <c r="AM479" s="13"/>
      <c r="AR479" s="116"/>
      <c r="AS479" s="123"/>
      <c r="AT479" s="123"/>
      <c r="AU479" s="123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25"/>
      <c r="BK479" s="13"/>
      <c r="BN479" s="114"/>
    </row>
    <row r="480" spans="1:66" ht="19.5" x14ac:dyDescent="0.4">
      <c r="A480" s="117"/>
      <c r="B480" s="123"/>
      <c r="C480" s="123"/>
      <c r="D480" s="123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27"/>
      <c r="AB480" s="29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25"/>
      <c r="AM480" s="13"/>
      <c r="AR480" s="116"/>
      <c r="AS480" s="123"/>
      <c r="AT480" s="123"/>
      <c r="AU480" s="123"/>
      <c r="AZ480" s="115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25"/>
      <c r="BK480" s="13"/>
      <c r="BN480" s="114"/>
    </row>
    <row r="481" spans="1:66" ht="19.5" x14ac:dyDescent="0.4">
      <c r="A481" s="117"/>
      <c r="B481" s="123"/>
      <c r="C481" s="123"/>
      <c r="D481" s="123"/>
      <c r="AA481" s="127"/>
      <c r="AB481" s="29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25">
        <v>45679</v>
      </c>
      <c r="AM481" s="15" t="s">
        <v>146</v>
      </c>
      <c r="AR481" s="116"/>
      <c r="AS481" s="123"/>
      <c r="AT481" s="123"/>
      <c r="AU481" s="123"/>
      <c r="AZ481" s="115"/>
      <c r="BA481" s="115"/>
      <c r="BB481" s="115"/>
      <c r="BC481" s="115"/>
      <c r="BD481" s="115"/>
      <c r="BE481" s="115"/>
      <c r="BF481" s="115"/>
      <c r="BG481" s="115"/>
      <c r="BH481" s="115"/>
      <c r="BI481" s="115"/>
      <c r="BJ481" s="25"/>
      <c r="BK481" s="13"/>
      <c r="BN481" s="114"/>
    </row>
    <row r="482" spans="1:66" ht="19.5" x14ac:dyDescent="0.4">
      <c r="A482" s="117"/>
      <c r="B482" s="123"/>
      <c r="C482" s="123"/>
      <c r="D482" s="123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27"/>
      <c r="AB482" s="29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25"/>
      <c r="AM482" s="15"/>
      <c r="AR482" s="116"/>
      <c r="AS482" s="123"/>
      <c r="AT482" s="123"/>
      <c r="AU482" s="123"/>
      <c r="AZ482" s="115"/>
      <c r="BA482" s="115"/>
      <c r="BB482" s="115"/>
      <c r="BC482" s="115"/>
      <c r="BD482" s="115"/>
      <c r="BE482" s="115"/>
      <c r="BF482" s="115"/>
      <c r="BG482" s="115"/>
      <c r="BH482" s="115"/>
      <c r="BI482" s="115"/>
      <c r="BJ482" s="25"/>
      <c r="BK482" s="13"/>
      <c r="BN482" s="114"/>
    </row>
    <row r="483" spans="1:66" ht="19.5" x14ac:dyDescent="0.4">
      <c r="A483" s="117"/>
      <c r="B483" s="123"/>
      <c r="C483" s="123"/>
      <c r="D483" s="123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29"/>
      <c r="AB483" s="29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25"/>
      <c r="AM483" s="15"/>
      <c r="AR483" s="116"/>
      <c r="AS483" s="123"/>
      <c r="AT483" s="123"/>
      <c r="AU483" s="123"/>
      <c r="AZ483" s="115"/>
      <c r="BA483" s="115"/>
      <c r="BB483" s="115"/>
      <c r="BC483" s="115"/>
      <c r="BD483" s="115"/>
      <c r="BE483" s="115"/>
      <c r="BF483" s="115"/>
      <c r="BG483" s="115"/>
      <c r="BH483" s="115"/>
      <c r="BI483" s="115"/>
      <c r="BJ483" s="25"/>
      <c r="BK483" s="13"/>
      <c r="BN483" s="114"/>
    </row>
    <row r="484" spans="1:66" ht="19.5" x14ac:dyDescent="0.4">
      <c r="A484" s="117"/>
      <c r="B484" s="123"/>
      <c r="C484" s="123"/>
      <c r="D484" s="123"/>
      <c r="AA484" s="127"/>
      <c r="AB484" s="29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25"/>
      <c r="AM484" s="15"/>
      <c r="AR484" s="116"/>
      <c r="AS484" s="123"/>
      <c r="AT484" s="123"/>
      <c r="AU484" s="123"/>
      <c r="AZ484" s="115"/>
      <c r="BA484" s="115"/>
      <c r="BB484" s="115"/>
      <c r="BC484" s="115"/>
      <c r="BD484" s="115"/>
      <c r="BE484" s="115"/>
      <c r="BF484" s="115"/>
      <c r="BG484" s="115"/>
      <c r="BH484" s="115"/>
      <c r="BI484" s="115"/>
      <c r="BJ484" s="25"/>
      <c r="BK484" s="13"/>
      <c r="BN484" s="114"/>
    </row>
    <row r="485" spans="1:66" ht="19.5" x14ac:dyDescent="0.4">
      <c r="A485" s="117"/>
      <c r="B485" s="123"/>
      <c r="C485" s="123"/>
      <c r="D485" s="123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27"/>
      <c r="AB485" s="29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25"/>
      <c r="AM485" s="15"/>
      <c r="AR485" s="116"/>
      <c r="AS485" s="123"/>
      <c r="AT485" s="123"/>
      <c r="AU485" s="123"/>
      <c r="AZ485" s="115"/>
      <c r="BA485" s="115"/>
      <c r="BB485" s="115"/>
      <c r="BC485" s="115"/>
      <c r="BD485" s="115"/>
      <c r="BE485" s="115"/>
      <c r="BF485" s="115"/>
      <c r="BG485" s="115"/>
      <c r="BH485" s="115"/>
      <c r="BI485" s="115"/>
      <c r="BJ485" s="25"/>
      <c r="BK485" s="13"/>
      <c r="BN485" s="114"/>
    </row>
    <row r="486" spans="1:66" ht="19.5" x14ac:dyDescent="0.4">
      <c r="A486" s="117"/>
      <c r="B486" s="123"/>
      <c r="C486" s="123"/>
      <c r="D486" s="123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29"/>
      <c r="AB486" s="29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25"/>
      <c r="AM486" s="15"/>
      <c r="AR486" s="116"/>
      <c r="AS486" s="123"/>
      <c r="AT486" s="123"/>
      <c r="AU486" s="123"/>
      <c r="AZ486" s="115"/>
      <c r="BA486" s="115"/>
      <c r="BB486" s="115"/>
      <c r="BC486" s="115"/>
      <c r="BD486" s="115"/>
      <c r="BE486" s="115"/>
      <c r="BF486" s="115"/>
      <c r="BG486" s="115"/>
      <c r="BH486" s="115"/>
      <c r="BI486" s="115"/>
      <c r="BJ486" s="25"/>
      <c r="BK486" s="13"/>
      <c r="BN486" s="114"/>
    </row>
    <row r="487" spans="1:66" ht="19.5" x14ac:dyDescent="0.4">
      <c r="A487" s="117"/>
      <c r="B487" s="123"/>
      <c r="C487" s="123"/>
      <c r="D487" s="123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27"/>
      <c r="AB487" s="29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25"/>
      <c r="AM487" s="15"/>
      <c r="AR487" s="116"/>
      <c r="AS487" s="123"/>
      <c r="AT487" s="123"/>
      <c r="AU487" s="123"/>
      <c r="AZ487" s="115"/>
      <c r="BA487" s="115"/>
      <c r="BB487" s="115"/>
      <c r="BC487" s="115"/>
      <c r="BD487" s="115"/>
      <c r="BE487" s="115"/>
      <c r="BF487" s="115"/>
      <c r="BG487" s="115"/>
      <c r="BH487" s="115"/>
      <c r="BI487" s="115"/>
      <c r="BJ487" s="25"/>
      <c r="BK487" s="13"/>
      <c r="BN487" s="114"/>
    </row>
    <row r="488" spans="1:66" ht="19.5" x14ac:dyDescent="0.4">
      <c r="A488" s="117"/>
      <c r="B488" s="123"/>
      <c r="C488" s="123"/>
      <c r="D488" s="123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27"/>
      <c r="AB488" s="29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25"/>
      <c r="AM488" s="15"/>
      <c r="AR488" s="116"/>
      <c r="AS488" s="123"/>
      <c r="AT488" s="123"/>
      <c r="AU488" s="123"/>
      <c r="AZ488" s="115"/>
      <c r="BA488" s="115"/>
      <c r="BB488" s="115"/>
      <c r="BC488" s="115"/>
      <c r="BD488" s="115"/>
      <c r="BE488" s="115"/>
      <c r="BF488" s="115"/>
      <c r="BG488" s="115"/>
      <c r="BH488" s="115"/>
      <c r="BI488" s="115"/>
      <c r="BJ488" s="25"/>
      <c r="BK488" s="13"/>
      <c r="BN488" s="114"/>
    </row>
    <row r="489" spans="1:66" ht="19.5" x14ac:dyDescent="0.4">
      <c r="A489" s="117"/>
      <c r="B489" s="123"/>
      <c r="C489" s="123"/>
      <c r="D489" s="123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27"/>
      <c r="AB489" s="29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25"/>
      <c r="AM489" s="15"/>
      <c r="AR489" s="116"/>
      <c r="AS489" s="123"/>
      <c r="AT489" s="123"/>
      <c r="AU489" s="123"/>
      <c r="AZ489" s="115"/>
      <c r="BA489" s="115"/>
      <c r="BB489" s="115"/>
      <c r="BC489" s="115"/>
      <c r="BD489" s="115"/>
      <c r="BE489" s="115"/>
      <c r="BF489" s="115"/>
      <c r="BG489" s="115"/>
      <c r="BH489" s="115"/>
      <c r="BI489" s="115"/>
      <c r="BJ489" s="25"/>
      <c r="BK489" s="13"/>
      <c r="BN489" s="114"/>
    </row>
    <row r="490" spans="1:66" ht="19.5" x14ac:dyDescent="0.4">
      <c r="A490" s="117"/>
      <c r="B490" s="123"/>
      <c r="C490" s="123"/>
      <c r="D490" s="123"/>
      <c r="AA490" s="127"/>
      <c r="AB490" s="29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25">
        <v>45679</v>
      </c>
      <c r="AM490" s="15" t="s">
        <v>148</v>
      </c>
      <c r="AR490" s="116"/>
      <c r="AS490" s="123"/>
      <c r="AT490" s="123"/>
      <c r="AU490" s="123"/>
      <c r="AZ490" s="115"/>
      <c r="BA490" s="115"/>
      <c r="BB490" s="115"/>
      <c r="BC490" s="115"/>
      <c r="BD490" s="115"/>
      <c r="BE490" s="115"/>
      <c r="BF490" s="115"/>
      <c r="BG490" s="115"/>
      <c r="BH490" s="115"/>
      <c r="BI490" s="115"/>
      <c r="BJ490" s="25"/>
      <c r="BK490" s="13"/>
      <c r="BN490" s="114"/>
    </row>
    <row r="491" spans="1:66" ht="19.5" x14ac:dyDescent="0.4">
      <c r="A491" s="117"/>
      <c r="B491" s="123"/>
      <c r="C491" s="123"/>
      <c r="D491" s="123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27"/>
      <c r="AB491" s="29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25"/>
      <c r="AM491" s="13"/>
      <c r="AR491" s="116"/>
      <c r="AS491" s="123"/>
      <c r="AT491" s="123"/>
      <c r="AU491" s="123"/>
      <c r="AZ491" s="115"/>
      <c r="BA491" s="115"/>
      <c r="BB491" s="115"/>
      <c r="BC491" s="115"/>
      <c r="BD491" s="115"/>
      <c r="BE491" s="115"/>
      <c r="BF491" s="115"/>
      <c r="BG491" s="115"/>
      <c r="BH491" s="115"/>
      <c r="BI491" s="115"/>
      <c r="BJ491" s="25"/>
      <c r="BK491" s="13"/>
      <c r="BN491" s="114"/>
    </row>
    <row r="492" spans="1:66" ht="19.5" x14ac:dyDescent="0.4">
      <c r="A492" s="117"/>
      <c r="B492" s="123"/>
      <c r="C492" s="123"/>
      <c r="D492" s="123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27"/>
      <c r="AB492" s="29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25"/>
      <c r="AM492" s="13"/>
      <c r="AR492" s="116"/>
      <c r="AS492" s="123"/>
      <c r="AT492" s="123"/>
      <c r="AU492" s="123"/>
      <c r="AZ492" s="115"/>
      <c r="BA492" s="115"/>
      <c r="BB492" s="115"/>
      <c r="BC492" s="115"/>
      <c r="BD492" s="115"/>
      <c r="BE492" s="115"/>
      <c r="BF492" s="115"/>
      <c r="BG492" s="115"/>
      <c r="BH492" s="115"/>
      <c r="BI492" s="115"/>
      <c r="BJ492" s="25"/>
      <c r="BK492" s="13"/>
      <c r="BN492" s="114"/>
    </row>
    <row r="493" spans="1:66" ht="19.5" x14ac:dyDescent="0.4">
      <c r="A493" s="117"/>
      <c r="B493" s="123"/>
      <c r="C493" s="123"/>
      <c r="D493" s="123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27"/>
      <c r="AB493" s="29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25"/>
      <c r="AM493" s="13"/>
      <c r="AR493" s="116"/>
      <c r="AS493" s="123"/>
      <c r="AT493" s="123"/>
      <c r="AU493" s="123"/>
      <c r="AZ493" s="115"/>
      <c r="BA493" s="115"/>
      <c r="BB493" s="115"/>
      <c r="BC493" s="115"/>
      <c r="BD493" s="115"/>
      <c r="BE493" s="115"/>
      <c r="BF493" s="115"/>
      <c r="BG493" s="115"/>
      <c r="BH493" s="115"/>
      <c r="BI493" s="115"/>
      <c r="BJ493" s="25"/>
      <c r="BK493" s="13"/>
      <c r="BN493" s="114"/>
    </row>
    <row r="494" spans="1:66" ht="19.5" x14ac:dyDescent="0.4">
      <c r="A494" s="117"/>
      <c r="B494" s="123"/>
      <c r="C494" s="123"/>
      <c r="D494" s="123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29"/>
      <c r="AB494" s="29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25"/>
      <c r="AM494" s="13"/>
      <c r="AR494" s="116"/>
      <c r="AS494" s="123"/>
      <c r="AT494" s="123"/>
      <c r="AU494" s="123"/>
      <c r="AZ494" s="115"/>
      <c r="BA494" s="115"/>
      <c r="BB494" s="115"/>
      <c r="BC494" s="115"/>
      <c r="BD494" s="115"/>
      <c r="BE494" s="115"/>
      <c r="BF494" s="115"/>
      <c r="BG494" s="115"/>
      <c r="BH494" s="115"/>
      <c r="BI494" s="115"/>
      <c r="BJ494" s="25"/>
      <c r="BK494" s="13"/>
      <c r="BN494" s="114"/>
    </row>
    <row r="495" spans="1:66" ht="19.5" x14ac:dyDescent="0.4">
      <c r="A495" s="117"/>
      <c r="B495" s="123"/>
      <c r="C495" s="123"/>
      <c r="D495" s="123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27"/>
      <c r="AB495" s="29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25"/>
      <c r="AM495" s="13"/>
      <c r="AR495" s="116"/>
      <c r="AS495" s="123"/>
      <c r="AT495" s="123"/>
      <c r="AU495" s="123"/>
      <c r="AZ495" s="115"/>
      <c r="BA495" s="115"/>
      <c r="BB495" s="115"/>
      <c r="BC495" s="115"/>
      <c r="BD495" s="115"/>
      <c r="BE495" s="115"/>
      <c r="BF495" s="115"/>
      <c r="BG495" s="115"/>
      <c r="BH495" s="115"/>
      <c r="BI495" s="115"/>
      <c r="BJ495" s="25"/>
      <c r="BK495" s="13"/>
      <c r="BN495" s="114"/>
    </row>
    <row r="496" spans="1:66" ht="19.5" x14ac:dyDescent="0.4">
      <c r="A496" s="117"/>
      <c r="B496" s="123"/>
      <c r="C496" s="123"/>
      <c r="D496" s="123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29"/>
      <c r="AB496" s="29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25"/>
      <c r="AM496" s="13"/>
      <c r="AR496" s="116"/>
      <c r="AS496" s="123"/>
      <c r="AT496" s="123"/>
      <c r="AU496" s="123"/>
      <c r="AZ496" s="115"/>
      <c r="BA496" s="115"/>
      <c r="BB496" s="115"/>
      <c r="BC496" s="115"/>
      <c r="BD496" s="115"/>
      <c r="BE496" s="115"/>
      <c r="BF496" s="115"/>
      <c r="BG496" s="115"/>
      <c r="BH496" s="115"/>
      <c r="BI496" s="115"/>
      <c r="BJ496" s="25"/>
      <c r="BK496" s="13"/>
      <c r="BN496" s="114"/>
    </row>
    <row r="497" spans="1:66" ht="19.5" x14ac:dyDescent="0.4">
      <c r="A497" s="117"/>
      <c r="B497" s="123"/>
      <c r="C497" s="123"/>
      <c r="D497" s="123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27"/>
      <c r="AB497" s="29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25"/>
      <c r="AM497" s="13"/>
      <c r="AR497" s="116"/>
      <c r="AS497" s="123"/>
      <c r="AT497" s="123"/>
      <c r="AU497" s="123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25"/>
      <c r="BK497" s="13"/>
      <c r="BN497" s="114"/>
    </row>
    <row r="498" spans="1:66" ht="19.5" x14ac:dyDescent="0.4">
      <c r="A498" s="117"/>
      <c r="B498" s="123"/>
      <c r="C498" s="123"/>
      <c r="D498" s="123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29"/>
      <c r="AB498" s="29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25"/>
      <c r="AM498" s="13"/>
      <c r="AR498" s="116"/>
      <c r="AS498" s="123"/>
      <c r="AT498" s="123"/>
      <c r="AU498" s="123"/>
      <c r="AZ498" s="115"/>
      <c r="BA498" s="115"/>
      <c r="BB498" s="115"/>
      <c r="BC498" s="115"/>
      <c r="BD498" s="115"/>
      <c r="BE498" s="115"/>
      <c r="BF498" s="115"/>
      <c r="BG498" s="115"/>
      <c r="BH498" s="115"/>
      <c r="BI498" s="115"/>
      <c r="BJ498" s="25"/>
      <c r="BK498" s="13"/>
      <c r="BN498" s="114"/>
    </row>
    <row r="499" spans="1:66" ht="19.5" x14ac:dyDescent="0.4">
      <c r="A499" s="117"/>
      <c r="B499" s="123"/>
      <c r="C499" s="123"/>
      <c r="D499" s="123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27"/>
      <c r="AB499" s="29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25"/>
      <c r="AM499" s="13"/>
      <c r="AR499" s="116"/>
      <c r="AS499" s="123"/>
      <c r="AT499" s="123"/>
      <c r="AU499" s="123"/>
      <c r="AZ499" s="115"/>
      <c r="BA499" s="115"/>
      <c r="BB499" s="115"/>
      <c r="BC499" s="115"/>
      <c r="BD499" s="115"/>
      <c r="BE499" s="115"/>
      <c r="BF499" s="115"/>
      <c r="BG499" s="115"/>
      <c r="BH499" s="115"/>
      <c r="BI499" s="115"/>
      <c r="BJ499" s="25"/>
      <c r="BK499" s="13"/>
      <c r="BN499" s="114"/>
    </row>
    <row r="500" spans="1:66" ht="19.5" x14ac:dyDescent="0.4">
      <c r="A500" s="117"/>
      <c r="B500" s="123"/>
      <c r="C500" s="123"/>
      <c r="D500" s="123"/>
      <c r="AA500" s="127"/>
      <c r="AB500" s="29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25">
        <v>45679</v>
      </c>
      <c r="AM500" s="13" t="s">
        <v>147</v>
      </c>
      <c r="AR500" s="116"/>
      <c r="AS500" s="123"/>
      <c r="AT500" s="123"/>
      <c r="AU500" s="123"/>
      <c r="AZ500" s="115"/>
      <c r="BA500" s="115"/>
      <c r="BB500" s="115"/>
      <c r="BC500" s="115"/>
      <c r="BD500" s="115"/>
      <c r="BE500" s="115"/>
      <c r="BF500" s="115"/>
      <c r="BG500" s="115"/>
      <c r="BH500" s="115"/>
      <c r="BI500" s="115"/>
      <c r="BJ500" s="25"/>
      <c r="BK500" s="13"/>
      <c r="BN500" s="114"/>
    </row>
    <row r="501" spans="1:66" ht="19.5" x14ac:dyDescent="0.4">
      <c r="A501" s="117"/>
      <c r="B501" s="123"/>
      <c r="C501" s="123"/>
      <c r="D501" s="123"/>
      <c r="R501" s="115"/>
      <c r="S501" s="115"/>
      <c r="T501" s="115"/>
      <c r="U501" s="115"/>
      <c r="V501" s="115"/>
      <c r="W501" s="115"/>
      <c r="X501" s="115"/>
      <c r="Y501" s="115"/>
      <c r="Z501" s="115"/>
      <c r="AA501" s="29"/>
      <c r="AB501" s="29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25"/>
      <c r="AM501" s="13"/>
      <c r="AR501" s="116"/>
      <c r="AS501" s="123"/>
      <c r="AT501" s="123"/>
      <c r="AU501" s="123"/>
      <c r="AZ501" s="115"/>
      <c r="BA501" s="115"/>
      <c r="BB501" s="115"/>
      <c r="BC501" s="115"/>
      <c r="BD501" s="115"/>
      <c r="BE501" s="115"/>
      <c r="BF501" s="115"/>
      <c r="BG501" s="115"/>
      <c r="BH501" s="115"/>
      <c r="BI501" s="115"/>
      <c r="BJ501" s="25"/>
      <c r="BK501" s="13"/>
      <c r="BN501" s="114"/>
    </row>
    <row r="502" spans="1:66" ht="19.5" x14ac:dyDescent="0.4">
      <c r="A502" s="117"/>
      <c r="B502" s="123"/>
      <c r="C502" s="123"/>
      <c r="D502" s="123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27"/>
      <c r="AB502" s="29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25"/>
      <c r="AM502" s="13"/>
      <c r="AR502" s="116"/>
      <c r="AS502" s="123"/>
      <c r="AT502" s="123"/>
      <c r="AU502" s="123"/>
      <c r="AZ502" s="115"/>
      <c r="BA502" s="115"/>
      <c r="BB502" s="115"/>
      <c r="BC502" s="115"/>
      <c r="BD502" s="115"/>
      <c r="BE502" s="115"/>
      <c r="BF502" s="115"/>
      <c r="BG502" s="115"/>
      <c r="BH502" s="115"/>
      <c r="BI502" s="115"/>
      <c r="BJ502" s="25"/>
      <c r="BK502" s="13"/>
      <c r="BN502" s="114"/>
    </row>
    <row r="503" spans="1:66" ht="19.5" x14ac:dyDescent="0.4">
      <c r="A503" s="117"/>
      <c r="B503" s="123"/>
      <c r="C503" s="123"/>
      <c r="D503" s="123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27"/>
      <c r="AB503" s="29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25"/>
      <c r="AM503" s="13"/>
      <c r="AR503" s="116"/>
      <c r="AS503" s="123"/>
      <c r="AT503" s="123"/>
      <c r="AU503" s="123"/>
      <c r="AZ503" s="115"/>
      <c r="BA503" s="115"/>
      <c r="BB503" s="115"/>
      <c r="BC503" s="115"/>
      <c r="BD503" s="115"/>
      <c r="BE503" s="115"/>
      <c r="BF503" s="115"/>
      <c r="BG503" s="115"/>
      <c r="BH503" s="115"/>
      <c r="BI503" s="115"/>
      <c r="BJ503" s="25"/>
      <c r="BK503" s="13"/>
      <c r="BN503" s="114"/>
    </row>
    <row r="504" spans="1:66" ht="19.5" x14ac:dyDescent="0.4">
      <c r="A504" s="117"/>
      <c r="B504" s="123"/>
      <c r="C504" s="123"/>
      <c r="D504" s="123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29"/>
      <c r="AB504" s="29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25"/>
      <c r="AM504" s="13"/>
      <c r="AR504" s="116"/>
      <c r="AS504" s="123"/>
      <c r="AT504" s="123"/>
      <c r="AU504" s="123"/>
      <c r="AZ504" s="115"/>
      <c r="BA504" s="115"/>
      <c r="BB504" s="115"/>
      <c r="BC504" s="115"/>
      <c r="BD504" s="115"/>
      <c r="BE504" s="115"/>
      <c r="BF504" s="115"/>
      <c r="BG504" s="115"/>
      <c r="BH504" s="115"/>
      <c r="BI504" s="115"/>
      <c r="BJ504" s="25"/>
      <c r="BK504" s="13"/>
      <c r="BN504" s="114"/>
    </row>
    <row r="505" spans="1:66" ht="19.5" x14ac:dyDescent="0.4">
      <c r="A505" s="117"/>
      <c r="B505" s="123"/>
      <c r="C505" s="123"/>
      <c r="D505" s="123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29"/>
      <c r="AB505" s="29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25"/>
      <c r="AM505" s="13"/>
      <c r="AR505" s="116"/>
      <c r="AS505" s="123"/>
      <c r="AT505" s="123"/>
      <c r="AU505" s="123"/>
      <c r="AZ505" s="115"/>
      <c r="BA505" s="115"/>
      <c r="BB505" s="115"/>
      <c r="BC505" s="115"/>
      <c r="BD505" s="115"/>
      <c r="BE505" s="115"/>
      <c r="BF505" s="115"/>
      <c r="BG505" s="115"/>
      <c r="BH505" s="115"/>
      <c r="BI505" s="115"/>
      <c r="BJ505" s="25"/>
      <c r="BK505" s="13"/>
      <c r="BN505" s="114"/>
    </row>
    <row r="506" spans="1:66" ht="19.5" x14ac:dyDescent="0.4">
      <c r="A506" s="117"/>
      <c r="B506" s="123"/>
      <c r="C506" s="123"/>
      <c r="D506" s="123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27"/>
      <c r="AB506" s="29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25"/>
      <c r="AM506" s="13"/>
      <c r="AR506" s="116"/>
      <c r="AS506" s="123"/>
      <c r="AT506" s="123"/>
      <c r="AU506" s="123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25"/>
      <c r="BK506" s="13"/>
      <c r="BN506" s="114"/>
    </row>
    <row r="507" spans="1:66" ht="19.5" x14ac:dyDescent="0.4">
      <c r="A507" s="117"/>
      <c r="B507" s="123"/>
      <c r="C507" s="123"/>
      <c r="D507" s="123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29"/>
      <c r="AB507" s="29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25"/>
      <c r="AM507" s="13"/>
      <c r="AR507" s="116"/>
      <c r="AS507" s="123"/>
      <c r="AT507" s="123"/>
      <c r="AU507" s="123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25"/>
      <c r="BK507" s="13"/>
      <c r="BN507" s="114"/>
    </row>
    <row r="508" spans="1:66" ht="19.5" x14ac:dyDescent="0.4">
      <c r="A508" s="117"/>
      <c r="B508" s="123"/>
      <c r="C508" s="123"/>
      <c r="D508" s="123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27"/>
      <c r="AB508" s="29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25"/>
      <c r="AM508" s="13"/>
      <c r="AR508" s="116"/>
      <c r="AS508" s="123"/>
      <c r="AT508" s="123"/>
      <c r="AU508" s="123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25"/>
      <c r="BK508" s="13"/>
      <c r="BN508" s="114"/>
    </row>
    <row r="509" spans="1:66" ht="19.5" x14ac:dyDescent="0.4">
      <c r="A509" s="117"/>
      <c r="B509" s="123"/>
      <c r="C509" s="123"/>
      <c r="D509" s="123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27"/>
      <c r="AB509" s="29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25"/>
      <c r="AM509" s="13"/>
      <c r="AR509" s="116"/>
      <c r="AS509" s="123"/>
      <c r="AT509" s="123"/>
      <c r="AU509" s="123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25"/>
      <c r="BK509" s="13"/>
      <c r="BN509" s="114"/>
    </row>
    <row r="510" spans="1:66" ht="19.5" x14ac:dyDescent="0.4">
      <c r="A510" s="117"/>
      <c r="B510" s="123"/>
      <c r="C510" s="123"/>
      <c r="D510" s="123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27"/>
      <c r="AB510" s="29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25"/>
      <c r="AM510" s="13"/>
      <c r="AR510" s="116"/>
      <c r="AS510" s="123"/>
      <c r="AT510" s="123"/>
      <c r="AU510" s="123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25"/>
      <c r="BK510" s="13"/>
      <c r="BN510" s="114"/>
    </row>
    <row r="511" spans="1:66" ht="19.5" x14ac:dyDescent="0.4">
      <c r="A511" s="117"/>
      <c r="B511" s="123"/>
      <c r="C511" s="123"/>
      <c r="D511" s="123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27"/>
      <c r="AB511" s="29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25"/>
      <c r="AM511" s="13"/>
      <c r="AR511" s="116"/>
      <c r="AS511" s="123"/>
      <c r="AT511" s="123"/>
      <c r="AU511" s="123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25"/>
      <c r="BK511" s="13"/>
      <c r="BN511" s="114"/>
    </row>
    <row r="512" spans="1:66" ht="19.5" x14ac:dyDescent="0.4">
      <c r="A512" s="117"/>
      <c r="B512" s="123"/>
      <c r="C512" s="123"/>
      <c r="D512" s="123"/>
      <c r="AA512" s="127"/>
      <c r="AB512" s="29"/>
      <c r="AL512" s="25">
        <v>45679</v>
      </c>
      <c r="AM512" s="13" t="s">
        <v>147</v>
      </c>
      <c r="AR512" s="116"/>
      <c r="AS512" s="123"/>
      <c r="AT512" s="123"/>
      <c r="AU512" s="123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25"/>
      <c r="BK512" s="13"/>
      <c r="BN512" s="114"/>
    </row>
    <row r="513" spans="1:66" ht="19.5" x14ac:dyDescent="0.4">
      <c r="A513" s="117"/>
      <c r="B513" s="123"/>
      <c r="C513" s="123"/>
      <c r="D513" s="123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27"/>
      <c r="AB513" s="29"/>
      <c r="AL513" s="25"/>
      <c r="AM513" s="13"/>
      <c r="AR513" s="116"/>
      <c r="AS513" s="123"/>
      <c r="AT513" s="123"/>
      <c r="AU513" s="123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25"/>
      <c r="BK513" s="13"/>
      <c r="BN513" s="114"/>
    </row>
    <row r="514" spans="1:66" ht="19.5" x14ac:dyDescent="0.4">
      <c r="A514" s="117"/>
      <c r="B514" s="123"/>
      <c r="C514" s="123"/>
      <c r="D514" s="123"/>
      <c r="AA514" s="127"/>
      <c r="AB514" s="29"/>
      <c r="AL514" s="25"/>
      <c r="AM514" s="13"/>
      <c r="AR514" s="116"/>
      <c r="AS514" s="123"/>
      <c r="AT514" s="123"/>
      <c r="AU514" s="123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25"/>
      <c r="BK514" s="13"/>
      <c r="BN514" s="114"/>
    </row>
    <row r="515" spans="1:66" ht="19.5" x14ac:dyDescent="0.4">
      <c r="A515" s="117"/>
      <c r="B515" s="123"/>
      <c r="C515" s="123"/>
      <c r="D515" s="123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27"/>
      <c r="AB515" s="29"/>
      <c r="AL515" s="25"/>
      <c r="AM515" s="13"/>
      <c r="AR515" s="116"/>
      <c r="AS515" s="123"/>
      <c r="AT515" s="123"/>
      <c r="AU515" s="123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25"/>
      <c r="BK515" s="13"/>
      <c r="BN515" s="114"/>
    </row>
    <row r="516" spans="1:66" ht="19.5" x14ac:dyDescent="0.4">
      <c r="A516" s="117"/>
      <c r="B516" s="123"/>
      <c r="C516" s="123"/>
      <c r="D516" s="123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29"/>
      <c r="AB516" s="29"/>
      <c r="AL516" s="25"/>
      <c r="AM516" s="13"/>
      <c r="AR516" s="116"/>
      <c r="AS516" s="123"/>
      <c r="AT516" s="123"/>
      <c r="AU516" s="123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25"/>
      <c r="BK516" s="13"/>
      <c r="BN516" s="114"/>
    </row>
    <row r="517" spans="1:66" ht="19.5" x14ac:dyDescent="0.4">
      <c r="A517" s="117"/>
      <c r="B517" s="123"/>
      <c r="C517" s="123"/>
      <c r="D517" s="123"/>
      <c r="AA517" s="127"/>
      <c r="AB517" s="29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25">
        <v>45679</v>
      </c>
      <c r="AM517" s="13" t="s">
        <v>146</v>
      </c>
      <c r="AR517" s="116"/>
      <c r="AS517" s="123"/>
      <c r="AT517" s="123"/>
      <c r="AU517" s="123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25"/>
      <c r="BK517" s="13"/>
      <c r="BN517" s="114"/>
    </row>
    <row r="518" spans="1:66" ht="19.5" x14ac:dyDescent="0.4">
      <c r="A518" s="117"/>
      <c r="B518" s="123"/>
      <c r="C518" s="123"/>
      <c r="D518" s="123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27"/>
      <c r="AB518" s="29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25"/>
      <c r="AM518" s="13"/>
      <c r="AR518" s="116"/>
      <c r="AS518" s="123"/>
      <c r="AT518" s="123"/>
      <c r="AU518" s="123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25"/>
      <c r="BK518" s="13"/>
      <c r="BN518" s="114"/>
    </row>
    <row r="519" spans="1:66" ht="19.5" x14ac:dyDescent="0.4">
      <c r="A519" s="117"/>
      <c r="B519" s="123"/>
      <c r="C519" s="123"/>
      <c r="D519" s="123"/>
      <c r="AA519" s="127"/>
      <c r="AB519" s="29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25"/>
      <c r="AM519" s="13"/>
      <c r="AR519" s="116"/>
      <c r="AS519" s="123"/>
      <c r="AT519" s="123"/>
      <c r="AU519" s="123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25"/>
      <c r="BK519" s="13"/>
      <c r="BN519" s="114"/>
    </row>
    <row r="520" spans="1:66" ht="19.5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27"/>
      <c r="AB520" s="29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25"/>
      <c r="AM520" s="13"/>
      <c r="AR520" s="116"/>
      <c r="AS520" s="123"/>
      <c r="AT520" s="123"/>
      <c r="AU520" s="123"/>
      <c r="AZ520" s="115"/>
      <c r="BA520" s="115"/>
      <c r="BB520" s="115"/>
      <c r="BC520" s="115"/>
      <c r="BD520" s="115"/>
      <c r="BE520" s="115"/>
      <c r="BF520" s="115"/>
      <c r="BG520" s="115"/>
      <c r="BH520" s="115"/>
      <c r="BI520" s="115"/>
      <c r="BJ520" s="25"/>
      <c r="BK520" s="13"/>
      <c r="BN520" s="114"/>
    </row>
    <row r="521" spans="1:66" ht="19.5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27"/>
      <c r="AB521" s="29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25"/>
      <c r="AM521" s="13"/>
      <c r="AR521" s="116"/>
      <c r="AS521" s="123"/>
      <c r="AT521" s="123"/>
      <c r="AU521" s="123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25"/>
      <c r="BK521" s="13"/>
      <c r="BN521" s="114"/>
    </row>
    <row r="522" spans="1:66" ht="19.5" x14ac:dyDescent="0.4">
      <c r="A522" s="117"/>
      <c r="B522" s="123"/>
      <c r="C522" s="123"/>
      <c r="D522" s="123"/>
      <c r="AA522" s="127"/>
      <c r="AB522" s="29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25">
        <v>45679</v>
      </c>
      <c r="AM522" s="13" t="s">
        <v>147</v>
      </c>
      <c r="AR522" s="116"/>
      <c r="AS522" s="123"/>
      <c r="AT522" s="123"/>
      <c r="AU522" s="123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25"/>
      <c r="BK522" s="13"/>
      <c r="BN522" s="114"/>
    </row>
    <row r="523" spans="1:66" ht="19.5" x14ac:dyDescent="0.4">
      <c r="A523" s="117"/>
      <c r="B523" s="123"/>
      <c r="C523" s="123"/>
      <c r="D523" s="123"/>
      <c r="AA523" s="127"/>
      <c r="AB523" s="29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25">
        <v>45680</v>
      </c>
      <c r="AM523" s="13" t="s">
        <v>148</v>
      </c>
      <c r="AR523" s="116"/>
      <c r="AS523" s="123"/>
      <c r="AT523" s="123"/>
      <c r="AU523" s="123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25"/>
      <c r="BK523" s="13"/>
      <c r="BN523" s="114"/>
    </row>
    <row r="524" spans="1:66" ht="19.5" x14ac:dyDescent="0.4">
      <c r="A524" s="117"/>
      <c r="B524" s="123"/>
      <c r="C524" s="123"/>
      <c r="D524" s="123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29"/>
      <c r="AB524" s="29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25"/>
      <c r="AM524" s="13"/>
      <c r="AR524" s="116"/>
      <c r="AS524" s="123"/>
      <c r="AT524" s="123"/>
      <c r="AU524" s="123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25"/>
      <c r="BK524" s="13"/>
      <c r="BN524" s="114"/>
    </row>
    <row r="525" spans="1:66" ht="19.5" x14ac:dyDescent="0.4">
      <c r="A525" s="117"/>
      <c r="B525" s="123"/>
      <c r="C525" s="123"/>
      <c r="D525" s="123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27"/>
      <c r="AB525" s="29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25"/>
      <c r="AM525" s="13"/>
      <c r="AR525" s="116"/>
      <c r="AS525" s="123"/>
      <c r="AT525" s="123"/>
      <c r="AU525" s="123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25"/>
      <c r="BK525" s="13"/>
      <c r="BN525" s="114"/>
    </row>
    <row r="526" spans="1:66" ht="19.5" x14ac:dyDescent="0.4">
      <c r="A526" s="117"/>
      <c r="B526" s="123"/>
      <c r="C526" s="123"/>
      <c r="D526" s="123"/>
      <c r="AA526" s="127"/>
      <c r="AB526" s="29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25">
        <v>45680</v>
      </c>
      <c r="AM526" s="13" t="s">
        <v>147</v>
      </c>
      <c r="AR526" s="116"/>
      <c r="AS526" s="123"/>
      <c r="AT526" s="123"/>
      <c r="AU526" s="123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25"/>
      <c r="BK526" s="13"/>
      <c r="BN526" s="114"/>
    </row>
    <row r="527" spans="1:66" ht="19.5" x14ac:dyDescent="0.4">
      <c r="A527" s="117"/>
      <c r="B527" s="123"/>
      <c r="C527" s="123"/>
      <c r="D527" s="123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27"/>
      <c r="AB527" s="29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25"/>
      <c r="AM527" s="13"/>
      <c r="AR527" s="116"/>
      <c r="AS527" s="123"/>
      <c r="AT527" s="123"/>
      <c r="AU527" s="123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25"/>
      <c r="BK527" s="13"/>
      <c r="BN527" s="114"/>
    </row>
    <row r="528" spans="1:66" ht="19.5" x14ac:dyDescent="0.4">
      <c r="A528" s="117"/>
      <c r="B528" s="123"/>
      <c r="C528" s="123"/>
      <c r="D528" s="123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27"/>
      <c r="AB528" s="29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25"/>
      <c r="AM528" s="13"/>
      <c r="AR528" s="116"/>
      <c r="AS528" s="123"/>
      <c r="AT528" s="123"/>
      <c r="AU528" s="123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25"/>
      <c r="BK528" s="13"/>
      <c r="BN528" s="114"/>
    </row>
    <row r="529" spans="1:66" ht="19.5" x14ac:dyDescent="0.4">
      <c r="A529" s="117"/>
      <c r="B529" s="123"/>
      <c r="C529" s="123"/>
      <c r="D529" s="123"/>
      <c r="AA529" s="127"/>
      <c r="AB529" s="29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25">
        <v>45680</v>
      </c>
      <c r="AM529" s="13" t="s">
        <v>147</v>
      </c>
      <c r="AR529" s="116"/>
      <c r="AS529" s="123"/>
      <c r="AT529" s="123"/>
      <c r="AU529" s="123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25"/>
      <c r="BK529" s="13"/>
      <c r="BN529" s="114"/>
    </row>
    <row r="530" spans="1:66" ht="19.5" x14ac:dyDescent="0.4">
      <c r="A530" s="117"/>
      <c r="B530" s="123"/>
      <c r="C530" s="123"/>
      <c r="D530" s="123"/>
      <c r="AA530" s="127"/>
      <c r="AB530" s="29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25"/>
      <c r="AM530" s="13"/>
      <c r="AR530" s="116"/>
      <c r="AS530" s="123"/>
      <c r="AT530" s="123"/>
      <c r="AU530" s="123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25"/>
      <c r="BK530" s="13"/>
      <c r="BN530" s="114"/>
    </row>
    <row r="531" spans="1:66" ht="19.5" x14ac:dyDescent="0.4">
      <c r="A531" s="117"/>
      <c r="B531" s="123"/>
      <c r="C531" s="123"/>
      <c r="D531" s="123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27"/>
      <c r="AB531" s="29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25"/>
      <c r="AM531" s="13"/>
      <c r="AR531" s="116"/>
      <c r="AS531" s="123"/>
      <c r="AT531" s="123"/>
      <c r="AU531" s="123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25"/>
      <c r="BK531" s="13"/>
      <c r="BN531" s="114"/>
    </row>
    <row r="532" spans="1:66" ht="19.5" x14ac:dyDescent="0.4">
      <c r="A532" s="117"/>
      <c r="B532" s="123"/>
      <c r="C532" s="123"/>
      <c r="D532" s="123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27"/>
      <c r="AB532" s="29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25"/>
      <c r="AM532" s="13"/>
      <c r="AR532" s="116"/>
      <c r="AS532" s="123"/>
      <c r="AT532" s="123"/>
      <c r="AU532" s="123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115"/>
      <c r="BJ532" s="25"/>
      <c r="BK532" s="13"/>
      <c r="BN532" s="114"/>
    </row>
    <row r="533" spans="1:66" ht="19.5" x14ac:dyDescent="0.4">
      <c r="A533" s="117"/>
      <c r="B533" s="123"/>
      <c r="C533" s="123"/>
      <c r="D533" s="123"/>
      <c r="AA533" s="127"/>
      <c r="AB533" s="29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25">
        <v>45680</v>
      </c>
      <c r="AM533" s="13" t="s">
        <v>146</v>
      </c>
      <c r="AR533" s="116"/>
      <c r="AS533" s="123"/>
      <c r="AT533" s="123"/>
      <c r="AU533" s="123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25"/>
      <c r="BK533" s="13"/>
      <c r="BN533" s="114"/>
    </row>
    <row r="534" spans="1:66" ht="19.5" x14ac:dyDescent="0.4">
      <c r="A534" s="117"/>
      <c r="B534" s="123"/>
      <c r="C534" s="123"/>
      <c r="D534" s="123"/>
      <c r="AA534" s="127"/>
      <c r="AB534" s="29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25">
        <v>45680</v>
      </c>
      <c r="AM534" s="13" t="s">
        <v>146</v>
      </c>
      <c r="AR534" s="116"/>
      <c r="AS534" s="123"/>
      <c r="AT534" s="123"/>
      <c r="AU534" s="123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25"/>
      <c r="BK534" s="13"/>
      <c r="BN534" s="114"/>
    </row>
    <row r="535" spans="1:66" ht="19.5" x14ac:dyDescent="0.4">
      <c r="A535" s="117"/>
      <c r="B535" s="123"/>
      <c r="C535" s="123"/>
      <c r="D535" s="123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27"/>
      <c r="AB535" s="29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25">
        <v>45680</v>
      </c>
      <c r="AM535" s="13" t="s">
        <v>147</v>
      </c>
      <c r="AR535" s="116"/>
      <c r="AS535" s="123"/>
      <c r="AT535" s="123"/>
      <c r="AU535" s="123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115"/>
      <c r="BJ535" s="25"/>
      <c r="BK535" s="13"/>
      <c r="BN535" s="114"/>
    </row>
    <row r="536" spans="1:66" ht="19.5" x14ac:dyDescent="0.4">
      <c r="A536" s="117"/>
      <c r="B536" s="123"/>
      <c r="C536" s="123"/>
      <c r="D536" s="123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27"/>
      <c r="AB536" s="29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25"/>
      <c r="AM536" s="13"/>
      <c r="AR536" s="116"/>
      <c r="AS536" s="123"/>
      <c r="AT536" s="123"/>
      <c r="AU536" s="123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115"/>
      <c r="BJ536" s="25"/>
      <c r="BK536" s="13"/>
      <c r="BN536" s="114"/>
    </row>
    <row r="537" spans="1:66" ht="19.5" x14ac:dyDescent="0.4">
      <c r="A537" s="117"/>
      <c r="B537" s="123"/>
      <c r="C537" s="123"/>
      <c r="D537" s="123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29"/>
      <c r="AB537" s="29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25"/>
      <c r="AM537" s="13"/>
      <c r="AR537" s="116"/>
      <c r="AS537" s="123"/>
      <c r="AT537" s="123"/>
      <c r="AU537" s="123"/>
      <c r="AZ537" s="115"/>
      <c r="BA537" s="115"/>
      <c r="BB537" s="115"/>
      <c r="BC537" s="115"/>
      <c r="BD537" s="115"/>
      <c r="BE537" s="115"/>
      <c r="BF537" s="115"/>
      <c r="BG537" s="115"/>
      <c r="BH537" s="115"/>
      <c r="BI537" s="115"/>
      <c r="BJ537" s="25"/>
      <c r="BK537" s="13"/>
      <c r="BN537" s="114"/>
    </row>
    <row r="538" spans="1:66" ht="19.5" x14ac:dyDescent="0.4">
      <c r="A538" s="117"/>
      <c r="B538" s="123"/>
      <c r="C538" s="123"/>
      <c r="D538" s="123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27"/>
      <c r="AB538" s="29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25"/>
      <c r="AM538" s="13"/>
      <c r="AR538" s="116"/>
      <c r="AS538" s="123"/>
      <c r="AT538" s="123"/>
      <c r="AU538" s="123"/>
      <c r="AZ538" s="115"/>
      <c r="BA538" s="115"/>
      <c r="BB538" s="115"/>
      <c r="BC538" s="115"/>
      <c r="BD538" s="115"/>
      <c r="BE538" s="115"/>
      <c r="BF538" s="115"/>
      <c r="BG538" s="115"/>
      <c r="BH538" s="115"/>
      <c r="BI538" s="115"/>
      <c r="BJ538" s="25"/>
      <c r="BK538" s="13"/>
      <c r="BN538" s="114"/>
    </row>
    <row r="539" spans="1:66" ht="19.5" x14ac:dyDescent="0.4">
      <c r="A539" s="117"/>
      <c r="B539" s="123"/>
      <c r="C539" s="123"/>
      <c r="D539" s="123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29"/>
      <c r="AB539" s="29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25"/>
      <c r="AM539" s="13"/>
      <c r="AR539" s="116"/>
      <c r="AS539" s="123"/>
      <c r="AT539" s="123"/>
      <c r="AU539" s="123"/>
      <c r="AZ539" s="115"/>
      <c r="BA539" s="115"/>
      <c r="BB539" s="115"/>
      <c r="BC539" s="115"/>
      <c r="BD539" s="115"/>
      <c r="BE539" s="115"/>
      <c r="BF539" s="115"/>
      <c r="BG539" s="115"/>
      <c r="BH539" s="115"/>
      <c r="BI539" s="115"/>
      <c r="BJ539" s="25"/>
      <c r="BK539" s="13"/>
      <c r="BN539" s="114"/>
    </row>
    <row r="540" spans="1:66" ht="19.5" x14ac:dyDescent="0.4">
      <c r="A540" s="117"/>
      <c r="B540" s="123"/>
      <c r="C540" s="123"/>
      <c r="D540" s="123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27"/>
      <c r="AB540" s="29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25">
        <v>45680</v>
      </c>
      <c r="AM540" s="15" t="s">
        <v>142</v>
      </c>
      <c r="AR540" s="116"/>
      <c r="AS540" s="123"/>
      <c r="AT540" s="123"/>
      <c r="AU540" s="123"/>
      <c r="AZ540" s="115"/>
      <c r="BA540" s="115"/>
      <c r="BB540" s="115"/>
      <c r="BC540" s="115"/>
      <c r="BD540" s="115"/>
      <c r="BE540" s="115"/>
      <c r="BF540" s="115"/>
      <c r="BG540" s="115"/>
      <c r="BH540" s="115"/>
      <c r="BI540" s="115"/>
      <c r="BJ540" s="25"/>
      <c r="BK540" s="13"/>
      <c r="BN540" s="114"/>
    </row>
    <row r="541" spans="1:66" ht="19.5" x14ac:dyDescent="0.4">
      <c r="A541" s="117"/>
      <c r="B541" s="123"/>
      <c r="C541" s="123"/>
      <c r="D541" s="123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29"/>
      <c r="AB541" s="29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25"/>
      <c r="AM541" s="15"/>
      <c r="AR541" s="116"/>
      <c r="AS541" s="123"/>
      <c r="AT541" s="123"/>
      <c r="AU541" s="123"/>
      <c r="AZ541" s="115"/>
      <c r="BA541" s="115"/>
      <c r="BB541" s="115"/>
      <c r="BC541" s="115"/>
      <c r="BD541" s="115"/>
      <c r="BE541" s="115"/>
      <c r="BF541" s="115"/>
      <c r="BG541" s="115"/>
      <c r="BH541" s="115"/>
      <c r="BI541" s="115"/>
      <c r="BJ541" s="25"/>
      <c r="BK541" s="13"/>
      <c r="BN541" s="114"/>
    </row>
    <row r="542" spans="1:66" ht="19.5" x14ac:dyDescent="0.4">
      <c r="A542" s="117"/>
      <c r="B542" s="123"/>
      <c r="C542" s="123"/>
      <c r="D542" s="123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27"/>
      <c r="AB542" s="29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25"/>
      <c r="AM542" s="15"/>
      <c r="AR542" s="116"/>
      <c r="AS542" s="123"/>
      <c r="AT542" s="123"/>
      <c r="AU542" s="123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115"/>
      <c r="BJ542" s="25"/>
      <c r="BK542" s="13"/>
      <c r="BN542" s="114"/>
    </row>
    <row r="543" spans="1:66" ht="19.5" x14ac:dyDescent="0.4">
      <c r="A543" s="117"/>
      <c r="B543" s="123"/>
      <c r="C543" s="123"/>
      <c r="D543" s="123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27"/>
      <c r="AB543" s="29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25">
        <v>45680</v>
      </c>
      <c r="AM543" s="15" t="s">
        <v>146</v>
      </c>
      <c r="AR543" s="116"/>
      <c r="AS543" s="123"/>
      <c r="AT543" s="123"/>
      <c r="AU543" s="123"/>
      <c r="AZ543" s="115"/>
      <c r="BA543" s="115"/>
      <c r="BB543" s="115"/>
      <c r="BC543" s="115"/>
      <c r="BD543" s="115"/>
      <c r="BE543" s="115"/>
      <c r="BF543" s="115"/>
      <c r="BG543" s="115"/>
      <c r="BH543" s="115"/>
      <c r="BI543" s="115"/>
      <c r="BJ543" s="25"/>
      <c r="BK543" s="13"/>
      <c r="BN543" s="114"/>
    </row>
    <row r="544" spans="1:66" ht="19.5" x14ac:dyDescent="0.4">
      <c r="A544" s="117"/>
      <c r="B544" s="123"/>
      <c r="C544" s="123"/>
      <c r="D544" s="123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27"/>
      <c r="AB544" s="29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25"/>
      <c r="AM544" s="15"/>
      <c r="AR544" s="116"/>
      <c r="AS544" s="123"/>
      <c r="AT544" s="123"/>
      <c r="AU544" s="123"/>
      <c r="AZ544" s="115"/>
      <c r="BA544" s="115"/>
      <c r="BB544" s="115"/>
      <c r="BC544" s="115"/>
      <c r="BD544" s="115"/>
      <c r="BE544" s="115"/>
      <c r="BF544" s="115"/>
      <c r="BG544" s="115"/>
      <c r="BH544" s="115"/>
      <c r="BI544" s="115"/>
      <c r="BJ544" s="25"/>
      <c r="BK544" s="13"/>
      <c r="BN544" s="114"/>
    </row>
    <row r="545" spans="1:66" ht="19.5" x14ac:dyDescent="0.4">
      <c r="A545" s="117"/>
      <c r="B545" s="123"/>
      <c r="C545" s="123"/>
      <c r="D545" s="123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27"/>
      <c r="AB545" s="29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25">
        <v>45680</v>
      </c>
      <c r="AM545" s="15" t="s">
        <v>146</v>
      </c>
      <c r="AR545" s="116"/>
      <c r="AS545" s="123"/>
      <c r="AT545" s="123"/>
      <c r="AU545" s="123"/>
      <c r="AZ545" s="115"/>
      <c r="BA545" s="115"/>
      <c r="BB545" s="115"/>
      <c r="BC545" s="115"/>
      <c r="BD545" s="115"/>
      <c r="BE545" s="115"/>
      <c r="BF545" s="115"/>
      <c r="BG545" s="115"/>
      <c r="BH545" s="115"/>
      <c r="BI545" s="115"/>
      <c r="BJ545" s="25"/>
      <c r="BK545" s="13"/>
      <c r="BN545" s="114"/>
    </row>
    <row r="546" spans="1:66" ht="19.5" x14ac:dyDescent="0.4">
      <c r="A546" s="117"/>
      <c r="B546" s="123"/>
      <c r="C546" s="123"/>
      <c r="D546" s="123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27"/>
      <c r="AB546" s="29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25"/>
      <c r="AM546" s="15"/>
      <c r="AR546" s="116"/>
      <c r="AS546" s="123"/>
      <c r="AT546" s="123"/>
      <c r="AU546" s="123"/>
      <c r="AZ546" s="115"/>
      <c r="BA546" s="115"/>
      <c r="BB546" s="115"/>
      <c r="BC546" s="115"/>
      <c r="BD546" s="115"/>
      <c r="BE546" s="115"/>
      <c r="BF546" s="115"/>
      <c r="BG546" s="115"/>
      <c r="BH546" s="115"/>
      <c r="BI546" s="115"/>
      <c r="BJ546" s="25"/>
      <c r="BK546" s="13"/>
      <c r="BN546" s="114"/>
    </row>
    <row r="547" spans="1:66" ht="19.5" x14ac:dyDescent="0.4">
      <c r="A547" s="117"/>
      <c r="B547" s="123"/>
      <c r="C547" s="123"/>
      <c r="D547" s="123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27"/>
      <c r="AB547" s="29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25"/>
      <c r="AM547" s="15"/>
      <c r="AR547" s="116"/>
      <c r="AS547" s="123"/>
      <c r="AT547" s="123"/>
      <c r="AU547" s="123"/>
      <c r="AZ547" s="115"/>
      <c r="BA547" s="115"/>
      <c r="BB547" s="115"/>
      <c r="BC547" s="115"/>
      <c r="BD547" s="115"/>
      <c r="BE547" s="115"/>
      <c r="BF547" s="115"/>
      <c r="BG547" s="115"/>
      <c r="BH547" s="115"/>
      <c r="BI547" s="115"/>
      <c r="BJ547" s="25"/>
      <c r="BK547" s="13"/>
      <c r="BN547" s="114"/>
    </row>
    <row r="548" spans="1:66" ht="19.5" x14ac:dyDescent="0.4">
      <c r="A548" s="117"/>
      <c r="B548" s="123"/>
      <c r="C548" s="123"/>
      <c r="D548" s="123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27"/>
      <c r="AB548" s="29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25"/>
      <c r="AM548" s="15"/>
      <c r="AR548" s="116"/>
      <c r="AS548" s="123"/>
      <c r="AT548" s="123"/>
      <c r="AU548" s="123"/>
      <c r="AZ548" s="115"/>
      <c r="BA548" s="115"/>
      <c r="BB548" s="115"/>
      <c r="BC548" s="115"/>
      <c r="BD548" s="115"/>
      <c r="BE548" s="115"/>
      <c r="BF548" s="115"/>
      <c r="BG548" s="115"/>
      <c r="BH548" s="115"/>
      <c r="BI548" s="115"/>
      <c r="BJ548" s="25"/>
      <c r="BK548" s="13"/>
      <c r="BN548" s="114"/>
    </row>
    <row r="549" spans="1:66" ht="19.5" x14ac:dyDescent="0.4">
      <c r="A549" s="117"/>
      <c r="B549" s="123"/>
      <c r="C549" s="123"/>
      <c r="D549" s="123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27"/>
      <c r="AB549" s="29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25">
        <v>45680</v>
      </c>
      <c r="AM549" s="15" t="s">
        <v>146</v>
      </c>
      <c r="AR549" s="116"/>
      <c r="AS549" s="123"/>
      <c r="AT549" s="123"/>
      <c r="AU549" s="123"/>
      <c r="AZ549" s="115"/>
      <c r="BA549" s="115"/>
      <c r="BB549" s="115"/>
      <c r="BC549" s="115"/>
      <c r="BD549" s="115"/>
      <c r="BE549" s="115"/>
      <c r="BF549" s="115"/>
      <c r="BG549" s="115"/>
      <c r="BH549" s="115"/>
      <c r="BI549" s="115"/>
      <c r="BJ549" s="25"/>
      <c r="BK549" s="13"/>
      <c r="BN549" s="114"/>
    </row>
    <row r="550" spans="1:66" ht="19.5" x14ac:dyDescent="0.4">
      <c r="A550" s="117"/>
      <c r="B550" s="123"/>
      <c r="C550" s="123"/>
      <c r="D550" s="123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27"/>
      <c r="AB550" s="29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25"/>
      <c r="AM550" s="15"/>
      <c r="AR550" s="116"/>
      <c r="AS550" s="123"/>
      <c r="AT550" s="123"/>
      <c r="AU550" s="123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115"/>
      <c r="BJ550" s="25"/>
      <c r="BK550" s="13"/>
      <c r="BN550" s="114"/>
    </row>
    <row r="551" spans="1:66" ht="19.5" x14ac:dyDescent="0.4">
      <c r="A551" s="117"/>
      <c r="B551" s="123"/>
      <c r="C551" s="123"/>
      <c r="D551" s="123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29"/>
      <c r="AB551" s="29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25"/>
      <c r="AM551" s="15"/>
      <c r="AR551" s="116"/>
      <c r="AS551" s="123"/>
      <c r="AT551" s="123"/>
      <c r="AU551" s="123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115"/>
      <c r="BJ551" s="25"/>
      <c r="BK551" s="13"/>
      <c r="BN551" s="114"/>
    </row>
    <row r="552" spans="1:66" ht="19.5" x14ac:dyDescent="0.4">
      <c r="A552" s="117"/>
      <c r="B552" s="123"/>
      <c r="C552" s="123"/>
      <c r="D552" s="123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27"/>
      <c r="AB552" s="29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25">
        <v>45680</v>
      </c>
      <c r="AM552" s="15" t="s">
        <v>147</v>
      </c>
      <c r="AR552" s="116"/>
      <c r="AS552" s="123"/>
      <c r="AT552" s="123"/>
      <c r="AU552" s="123"/>
      <c r="AZ552" s="115"/>
      <c r="BA552" s="115"/>
      <c r="BB552" s="115"/>
      <c r="BC552" s="115"/>
      <c r="BD552" s="115"/>
      <c r="BE552" s="115"/>
      <c r="BF552" s="115"/>
      <c r="BG552" s="115"/>
      <c r="BH552" s="115"/>
      <c r="BI552" s="115"/>
      <c r="BJ552" s="25"/>
      <c r="BK552" s="13"/>
      <c r="BN552" s="114"/>
    </row>
    <row r="553" spans="1:66" ht="19.5" x14ac:dyDescent="0.4">
      <c r="A553" s="117"/>
      <c r="B553" s="123"/>
      <c r="C553" s="123"/>
      <c r="D553" s="123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29"/>
      <c r="AB553" s="29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25"/>
      <c r="AM553" s="13"/>
      <c r="AR553" s="116"/>
      <c r="AS553" s="123"/>
      <c r="AT553" s="123"/>
      <c r="AU553" s="123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15"/>
      <c r="BJ553" s="25"/>
      <c r="BK553" s="13"/>
      <c r="BN553" s="114"/>
    </row>
    <row r="554" spans="1:66" ht="19.5" x14ac:dyDescent="0.4">
      <c r="A554" s="117"/>
      <c r="B554" s="123"/>
      <c r="C554" s="123"/>
      <c r="D554" s="123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27"/>
      <c r="AB554" s="29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25"/>
      <c r="AM554" s="13"/>
      <c r="AR554" s="116"/>
      <c r="AS554" s="123"/>
      <c r="AT554" s="123"/>
      <c r="AU554" s="123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15"/>
      <c r="BJ554" s="25"/>
      <c r="BK554" s="13"/>
      <c r="BN554" s="114"/>
    </row>
    <row r="555" spans="1:66" ht="19.5" x14ac:dyDescent="0.4">
      <c r="A555" s="117"/>
      <c r="B555" s="123"/>
      <c r="C555" s="123"/>
      <c r="D555" s="123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27"/>
      <c r="AB555" s="29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25"/>
      <c r="AM555" s="13"/>
      <c r="AR555" s="116"/>
      <c r="AS555" s="123"/>
      <c r="AT555" s="123"/>
      <c r="AU555" s="123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15"/>
      <c r="BJ555" s="25"/>
      <c r="BK555" s="13"/>
      <c r="BN555" s="114"/>
    </row>
    <row r="556" spans="1:66" ht="19.5" x14ac:dyDescent="0.4">
      <c r="A556" s="117"/>
      <c r="B556" s="123"/>
      <c r="C556" s="123"/>
      <c r="D556" s="123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29"/>
      <c r="AB556" s="29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25"/>
      <c r="AM556" s="13"/>
      <c r="AR556" s="116"/>
      <c r="AS556" s="123"/>
      <c r="AT556" s="123"/>
      <c r="AU556" s="123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15"/>
      <c r="BJ556" s="25"/>
      <c r="BK556" s="13"/>
      <c r="BN556" s="114"/>
    </row>
    <row r="557" spans="1:66" ht="19.5" x14ac:dyDescent="0.4">
      <c r="A557" s="117"/>
      <c r="B557" s="123"/>
      <c r="C557" s="123"/>
      <c r="D557" s="123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29"/>
      <c r="AB557" s="29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25"/>
      <c r="AM557" s="13"/>
      <c r="AR557" s="116"/>
      <c r="AS557" s="123"/>
      <c r="AT557" s="123"/>
      <c r="AU557" s="123"/>
      <c r="AZ557" s="115"/>
      <c r="BA557" s="115"/>
      <c r="BB557" s="115"/>
      <c r="BC557" s="115"/>
      <c r="BD557" s="115"/>
      <c r="BE557" s="115"/>
      <c r="BF557" s="115"/>
      <c r="BG557" s="115"/>
      <c r="BH557" s="115"/>
      <c r="BI557" s="115"/>
      <c r="BJ557" s="25"/>
      <c r="BK557" s="13"/>
      <c r="BN557" s="114"/>
    </row>
    <row r="558" spans="1:66" ht="19.5" x14ac:dyDescent="0.4">
      <c r="A558" s="117"/>
      <c r="B558" s="123"/>
      <c r="C558" s="123"/>
      <c r="D558" s="123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27"/>
      <c r="AB558" s="29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25"/>
      <c r="AM558" s="13"/>
      <c r="AR558" s="116"/>
      <c r="AS558" s="123"/>
      <c r="AT558" s="123"/>
      <c r="AU558" s="123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15"/>
      <c r="BJ558" s="25"/>
      <c r="BK558" s="13"/>
      <c r="BN558" s="114"/>
    </row>
    <row r="559" spans="1:66" ht="19.5" x14ac:dyDescent="0.4">
      <c r="A559" s="117"/>
      <c r="B559" s="123"/>
      <c r="C559" s="123"/>
      <c r="D559" s="123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27"/>
      <c r="AB559" s="29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25"/>
      <c r="AM559" s="13"/>
      <c r="AR559" s="116"/>
      <c r="AS559" s="123"/>
      <c r="AT559" s="123"/>
      <c r="AU559" s="123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15"/>
      <c r="BJ559" s="25"/>
      <c r="BK559" s="13"/>
      <c r="BN559" s="114"/>
    </row>
    <row r="560" spans="1:66" ht="19.5" x14ac:dyDescent="0.4">
      <c r="A560" s="117"/>
      <c r="B560" s="123"/>
      <c r="C560" s="123"/>
      <c r="D560" s="123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27"/>
      <c r="AB560" s="29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25"/>
      <c r="AM560" s="13"/>
      <c r="AR560" s="116"/>
      <c r="AS560" s="123"/>
      <c r="AT560" s="123"/>
      <c r="AU560" s="123"/>
      <c r="AZ560" s="115"/>
      <c r="BA560" s="115"/>
      <c r="BB560" s="115"/>
      <c r="BC560" s="115"/>
      <c r="BD560" s="115"/>
      <c r="BE560" s="115"/>
      <c r="BF560" s="115"/>
      <c r="BG560" s="115"/>
      <c r="BH560" s="115"/>
      <c r="BI560" s="115"/>
      <c r="BJ560" s="25"/>
      <c r="BK560" s="13"/>
      <c r="BN560" s="114"/>
    </row>
    <row r="561" spans="1:66" ht="19.5" x14ac:dyDescent="0.4">
      <c r="A561" s="117"/>
      <c r="B561" s="123"/>
      <c r="C561" s="123"/>
      <c r="D561" s="123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27"/>
      <c r="AB561" s="29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25"/>
      <c r="AM561" s="13"/>
      <c r="AR561" s="116"/>
      <c r="AS561" s="123"/>
      <c r="AT561" s="123"/>
      <c r="AU561" s="123"/>
      <c r="AZ561" s="115"/>
      <c r="BA561" s="115"/>
      <c r="BB561" s="115"/>
      <c r="BC561" s="115"/>
      <c r="BD561" s="115"/>
      <c r="BE561" s="115"/>
      <c r="BF561" s="115"/>
      <c r="BG561" s="115"/>
      <c r="BH561" s="115"/>
      <c r="BI561" s="115"/>
      <c r="BJ561" s="25"/>
      <c r="BK561" s="13"/>
      <c r="BN561" s="114"/>
    </row>
    <row r="562" spans="1:66" ht="19.5" x14ac:dyDescent="0.4">
      <c r="A562" s="117"/>
      <c r="B562" s="123"/>
      <c r="C562" s="123"/>
      <c r="D562" s="123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27"/>
      <c r="AB562" s="29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25">
        <v>45680</v>
      </c>
      <c r="AM562" s="13" t="s">
        <v>146</v>
      </c>
      <c r="AR562" s="116"/>
      <c r="AS562" s="123"/>
      <c r="AT562" s="123"/>
      <c r="AU562" s="123"/>
      <c r="AZ562" s="115"/>
      <c r="BA562" s="115"/>
      <c r="BB562" s="115"/>
      <c r="BC562" s="115"/>
      <c r="BD562" s="115"/>
      <c r="BE562" s="115"/>
      <c r="BF562" s="115"/>
      <c r="BG562" s="115"/>
      <c r="BH562" s="115"/>
      <c r="BI562" s="115"/>
      <c r="BJ562" s="25"/>
      <c r="BK562" s="13"/>
      <c r="BN562" s="114"/>
    </row>
    <row r="563" spans="1:66" ht="19.5" x14ac:dyDescent="0.4">
      <c r="A563" s="117"/>
      <c r="B563" s="123"/>
      <c r="C563" s="123"/>
      <c r="D563" s="123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29"/>
      <c r="AB563" s="29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25"/>
      <c r="AM563" s="13"/>
      <c r="AR563" s="116"/>
      <c r="AS563" s="123"/>
      <c r="AT563" s="123"/>
      <c r="AU563" s="123"/>
      <c r="AZ563" s="115"/>
      <c r="BA563" s="115"/>
      <c r="BB563" s="115"/>
      <c r="BC563" s="115"/>
      <c r="BD563" s="115"/>
      <c r="BE563" s="115"/>
      <c r="BF563" s="115"/>
      <c r="BG563" s="115"/>
      <c r="BH563" s="115"/>
      <c r="BI563" s="115"/>
      <c r="BJ563" s="25"/>
      <c r="BK563" s="13"/>
      <c r="BN563" s="114"/>
    </row>
    <row r="564" spans="1:66" ht="19.5" x14ac:dyDescent="0.4">
      <c r="A564" s="117"/>
      <c r="B564" s="123"/>
      <c r="C564" s="123"/>
      <c r="D564" s="123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27"/>
      <c r="AB564" s="29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25">
        <v>45680</v>
      </c>
      <c r="AM564" s="13" t="s">
        <v>147</v>
      </c>
      <c r="AR564" s="116"/>
      <c r="AS564" s="123"/>
      <c r="AT564" s="123"/>
      <c r="AU564" s="123"/>
      <c r="AZ564" s="115"/>
      <c r="BA564" s="115"/>
      <c r="BB564" s="115"/>
      <c r="BC564" s="115"/>
      <c r="BD564" s="115"/>
      <c r="BE564" s="115"/>
      <c r="BF564" s="115"/>
      <c r="BG564" s="115"/>
      <c r="BH564" s="115"/>
      <c r="BI564" s="115"/>
      <c r="BJ564" s="25"/>
      <c r="BK564" s="13"/>
      <c r="BN564" s="114"/>
    </row>
    <row r="565" spans="1:66" ht="19.5" x14ac:dyDescent="0.4">
      <c r="A565" s="117"/>
      <c r="B565" s="123"/>
      <c r="C565" s="123"/>
      <c r="D565" s="123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27"/>
      <c r="AB565" s="29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25">
        <v>45680</v>
      </c>
      <c r="AM565" s="13" t="s">
        <v>146</v>
      </c>
      <c r="AR565" s="116"/>
      <c r="AS565" s="123"/>
      <c r="AT565" s="123"/>
      <c r="AU565" s="123"/>
      <c r="AZ565" s="115"/>
      <c r="BA565" s="115"/>
      <c r="BB565" s="115"/>
      <c r="BC565" s="115"/>
      <c r="BD565" s="115"/>
      <c r="BE565" s="115"/>
      <c r="BF565" s="115"/>
      <c r="BG565" s="115"/>
      <c r="BH565" s="115"/>
      <c r="BI565" s="115"/>
      <c r="BJ565" s="25"/>
      <c r="BK565" s="13"/>
      <c r="BN565" s="114"/>
    </row>
    <row r="566" spans="1:66" ht="19.5" x14ac:dyDescent="0.4">
      <c r="A566" s="117"/>
      <c r="B566" s="123"/>
      <c r="C566" s="123"/>
      <c r="D566" s="123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29"/>
      <c r="AB566" s="29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25"/>
      <c r="AM566" s="13"/>
      <c r="AR566" s="116"/>
      <c r="AS566" s="123"/>
      <c r="AT566" s="123"/>
      <c r="AU566" s="123"/>
      <c r="AZ566" s="115"/>
      <c r="BA566" s="115"/>
      <c r="BB566" s="115"/>
      <c r="BC566" s="115"/>
      <c r="BD566" s="115"/>
      <c r="BE566" s="115"/>
      <c r="BF566" s="115"/>
      <c r="BG566" s="115"/>
      <c r="BH566" s="115"/>
      <c r="BI566" s="115"/>
      <c r="BJ566" s="25"/>
      <c r="BK566" s="13"/>
      <c r="BN566" s="114"/>
    </row>
    <row r="567" spans="1:66" ht="19.5" x14ac:dyDescent="0.4">
      <c r="A567" s="117"/>
      <c r="B567" s="123"/>
      <c r="C567" s="123"/>
      <c r="D567" s="123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27"/>
      <c r="AB567" s="29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25"/>
      <c r="AM567" s="13"/>
      <c r="AR567" s="116"/>
      <c r="AS567" s="123"/>
      <c r="AT567" s="123"/>
      <c r="AU567" s="123"/>
      <c r="AZ567" s="115"/>
      <c r="BA567" s="115"/>
      <c r="BB567" s="115"/>
      <c r="BC567" s="115"/>
      <c r="BD567" s="115"/>
      <c r="BE567" s="115"/>
      <c r="BF567" s="115"/>
      <c r="BG567" s="115"/>
      <c r="BH567" s="115"/>
      <c r="BI567" s="115"/>
      <c r="BJ567" s="25"/>
      <c r="BK567" s="13"/>
      <c r="BN567" s="114"/>
    </row>
    <row r="568" spans="1:66" ht="19.5" x14ac:dyDescent="0.4">
      <c r="A568" s="117"/>
      <c r="B568" s="123"/>
      <c r="C568" s="123"/>
      <c r="D568" s="123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29"/>
      <c r="AB568" s="29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25"/>
      <c r="AM568" s="13"/>
      <c r="AR568" s="116"/>
      <c r="AS568" s="123"/>
      <c r="AT568" s="123"/>
      <c r="AU568" s="123"/>
      <c r="AZ568" s="115"/>
      <c r="BA568" s="115"/>
      <c r="BB568" s="115"/>
      <c r="BC568" s="115"/>
      <c r="BD568" s="115"/>
      <c r="BE568" s="115"/>
      <c r="BF568" s="115"/>
      <c r="BG568" s="115"/>
      <c r="BH568" s="115"/>
      <c r="BI568" s="115"/>
      <c r="BJ568" s="25"/>
      <c r="BK568" s="13"/>
      <c r="BN568" s="114"/>
    </row>
    <row r="569" spans="1:66" ht="19.5" x14ac:dyDescent="0.4">
      <c r="A569" s="117"/>
      <c r="B569" s="123"/>
      <c r="C569" s="123"/>
      <c r="D569" s="123"/>
      <c r="AA569" s="127"/>
      <c r="AB569" s="29"/>
      <c r="AL569" s="25">
        <v>45680</v>
      </c>
      <c r="AM569" s="13" t="s">
        <v>146</v>
      </c>
      <c r="AR569" s="117"/>
      <c r="AS569" s="123"/>
      <c r="AT569" s="123"/>
      <c r="AU569" s="123"/>
      <c r="AZ569" s="115"/>
      <c r="BA569" s="115"/>
      <c r="BB569" s="115"/>
      <c r="BC569" s="115"/>
      <c r="BD569" s="115"/>
      <c r="BE569" s="115"/>
      <c r="BF569" s="115"/>
      <c r="BG569" s="115"/>
      <c r="BH569" s="115"/>
      <c r="BI569" s="115" t="s">
        <v>149</v>
      </c>
      <c r="BJ569" s="13">
        <f>SUBTOTAL(3,BJ2:BJ2)</f>
        <v>1</v>
      </c>
      <c r="BK569" s="13">
        <f>SUBTOTAL(3,BK2:BK2)</f>
        <v>1</v>
      </c>
      <c r="BN569" s="114"/>
    </row>
    <row r="570" spans="1:66" ht="19.5" x14ac:dyDescent="0.4">
      <c r="A570" s="117"/>
      <c r="B570" s="123"/>
      <c r="C570" s="123"/>
      <c r="D570" s="123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29"/>
      <c r="AB570" s="29"/>
      <c r="AL570" s="25"/>
      <c r="AM570" s="13"/>
      <c r="AR570" s="117"/>
      <c r="AS570" s="123"/>
      <c r="AT570" s="123"/>
      <c r="AU570" s="123"/>
      <c r="AZ570" s="115"/>
      <c r="BA570" s="115"/>
      <c r="BB570" s="115"/>
      <c r="BC570" s="115"/>
      <c r="BD570" s="115"/>
      <c r="BE570" s="115"/>
      <c r="BF570" s="115"/>
      <c r="BG570" s="115"/>
      <c r="BH570" s="115"/>
      <c r="BI570" s="115"/>
      <c r="BJ570" s="13"/>
      <c r="BK570" s="13"/>
      <c r="BN570" s="114"/>
    </row>
    <row r="571" spans="1:66" ht="19.5" x14ac:dyDescent="0.4">
      <c r="A571" s="117"/>
      <c r="B571" s="123"/>
      <c r="C571" s="123"/>
      <c r="D571" s="123"/>
      <c r="AA571" s="127"/>
      <c r="AB571" s="29"/>
      <c r="AL571" s="25"/>
      <c r="AM571" s="13"/>
      <c r="AR571" s="117"/>
      <c r="AS571" s="123"/>
      <c r="AT571" s="123"/>
      <c r="AU571" s="123"/>
      <c r="AZ571" s="115"/>
      <c r="BA571" s="115"/>
      <c r="BB571" s="115"/>
      <c r="BC571" s="115"/>
      <c r="BD571" s="115"/>
      <c r="BE571" s="115"/>
      <c r="BF571" s="115"/>
      <c r="BG571" s="115"/>
      <c r="BH571" s="115"/>
      <c r="BI571" s="115"/>
      <c r="BJ571" s="13"/>
      <c r="BK571" s="13"/>
      <c r="BN571" s="114"/>
    </row>
    <row r="572" spans="1:66" ht="19.5" x14ac:dyDescent="0.4">
      <c r="A572" s="117"/>
      <c r="B572" s="123"/>
      <c r="C572" s="123"/>
      <c r="D572" s="123"/>
      <c r="AA572" s="127"/>
      <c r="AB572" s="29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25">
        <v>45682</v>
      </c>
      <c r="AM572" s="13" t="s">
        <v>147</v>
      </c>
      <c r="AR572" s="117"/>
      <c r="AS572" s="123"/>
      <c r="AT572" s="123"/>
      <c r="AU572" s="123"/>
      <c r="AZ572" s="115"/>
      <c r="BA572" s="115"/>
      <c r="BB572" s="115"/>
      <c r="BC572" s="115"/>
      <c r="BD572" s="115"/>
      <c r="BE572" s="115"/>
      <c r="BF572" s="115"/>
      <c r="BG572" s="115"/>
      <c r="BH572" s="115"/>
      <c r="BI572" s="115"/>
      <c r="BJ572" s="13"/>
      <c r="BK572" s="13"/>
      <c r="BN572" s="114"/>
    </row>
    <row r="573" spans="1:66" ht="19.5" x14ac:dyDescent="0.4">
      <c r="A573" s="117"/>
      <c r="B573" s="123"/>
      <c r="C573" s="123"/>
      <c r="D573" s="123"/>
      <c r="AA573" s="127"/>
      <c r="AB573" s="29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25">
        <v>45682</v>
      </c>
      <c r="AM573" s="13" t="s">
        <v>146</v>
      </c>
      <c r="AR573" s="117"/>
      <c r="AS573" s="123"/>
      <c r="AT573" s="123"/>
      <c r="AU573" s="123"/>
      <c r="AZ573" s="115"/>
      <c r="BA573" s="115"/>
      <c r="BB573" s="115"/>
      <c r="BC573" s="115"/>
      <c r="BD573" s="115"/>
      <c r="BE573" s="115"/>
      <c r="BF573" s="115"/>
      <c r="BG573" s="115"/>
      <c r="BH573" s="115"/>
      <c r="BI573" s="115"/>
      <c r="BJ573" s="13"/>
      <c r="BK573" s="13"/>
      <c r="BN573" s="114"/>
    </row>
    <row r="574" spans="1:66" ht="19.5" x14ac:dyDescent="0.4">
      <c r="A574" s="117"/>
      <c r="B574" s="123"/>
      <c r="C574" s="123"/>
      <c r="D574" s="123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27"/>
      <c r="AB574" s="29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25"/>
      <c r="AM574" s="13"/>
      <c r="AR574" s="117"/>
      <c r="AS574" s="123"/>
      <c r="AT574" s="123"/>
      <c r="AU574" s="123"/>
      <c r="AZ574" s="115"/>
      <c r="BA574" s="115"/>
      <c r="BB574" s="115"/>
      <c r="BC574" s="115"/>
      <c r="BD574" s="115"/>
      <c r="BE574" s="115"/>
      <c r="BF574" s="115"/>
      <c r="BG574" s="115"/>
      <c r="BH574" s="115"/>
      <c r="BI574" s="115"/>
      <c r="BJ574" s="13"/>
      <c r="BK574" s="13"/>
      <c r="BN574" s="114"/>
    </row>
    <row r="575" spans="1:66" ht="19.5" x14ac:dyDescent="0.4">
      <c r="A575" s="117"/>
      <c r="B575" s="123"/>
      <c r="C575" s="123"/>
      <c r="D575" s="123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27"/>
      <c r="AB575" s="29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25"/>
      <c r="AM575" s="13"/>
      <c r="AR575" s="117"/>
      <c r="AS575" s="123"/>
      <c r="AT575" s="123"/>
      <c r="AU575" s="123"/>
      <c r="AZ575" s="115"/>
      <c r="BA575" s="115"/>
      <c r="BB575" s="115"/>
      <c r="BC575" s="115"/>
      <c r="BD575" s="115"/>
      <c r="BE575" s="115"/>
      <c r="BF575" s="115"/>
      <c r="BG575" s="115"/>
      <c r="BH575" s="115"/>
      <c r="BI575" s="115"/>
      <c r="BJ575" s="13"/>
      <c r="BK575" s="13"/>
      <c r="BN575" s="114"/>
    </row>
    <row r="576" spans="1:66" ht="19.5" x14ac:dyDescent="0.4">
      <c r="A576" s="117"/>
      <c r="B576" s="123"/>
      <c r="C576" s="123"/>
      <c r="D576" s="123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29"/>
      <c r="AB576" s="29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25"/>
      <c r="AM576" s="13"/>
      <c r="AR576" s="117"/>
      <c r="AS576" s="123"/>
      <c r="AT576" s="123"/>
      <c r="AU576" s="123"/>
      <c r="AZ576" s="115"/>
      <c r="BA576" s="115"/>
      <c r="BB576" s="115"/>
      <c r="BC576" s="115"/>
      <c r="BD576" s="115"/>
      <c r="BE576" s="115"/>
      <c r="BF576" s="115"/>
      <c r="BG576" s="115"/>
      <c r="BH576" s="115"/>
      <c r="BI576" s="115"/>
      <c r="BJ576" s="13"/>
      <c r="BK576" s="13"/>
      <c r="BN576" s="114"/>
    </row>
    <row r="577" spans="1:66" ht="19.5" x14ac:dyDescent="0.4">
      <c r="A577" s="117"/>
      <c r="B577" s="123"/>
      <c r="C577" s="123"/>
      <c r="D577" s="123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27"/>
      <c r="AB577" s="29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25"/>
      <c r="AM577" s="13"/>
      <c r="AR577" s="117"/>
      <c r="AS577" s="123"/>
      <c r="AT577" s="123"/>
      <c r="AU577" s="123"/>
      <c r="AZ577" s="115"/>
      <c r="BA577" s="115"/>
      <c r="BB577" s="115"/>
      <c r="BC577" s="115"/>
      <c r="BD577" s="115"/>
      <c r="BE577" s="115"/>
      <c r="BF577" s="115"/>
      <c r="BG577" s="115"/>
      <c r="BH577" s="115"/>
      <c r="BI577" s="115"/>
      <c r="BJ577" s="13"/>
      <c r="BK577" s="13"/>
      <c r="BN577" s="114"/>
    </row>
    <row r="578" spans="1:66" ht="19.5" x14ac:dyDescent="0.4">
      <c r="A578" s="117"/>
      <c r="B578" s="123"/>
      <c r="C578" s="123"/>
      <c r="D578" s="123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29"/>
      <c r="AB578" s="29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25"/>
      <c r="AM578" s="13"/>
      <c r="AR578" s="117"/>
      <c r="AS578" s="123"/>
      <c r="AT578" s="123"/>
      <c r="AU578" s="123"/>
      <c r="AZ578" s="115"/>
      <c r="BA578" s="115"/>
      <c r="BB578" s="115"/>
      <c r="BC578" s="115"/>
      <c r="BD578" s="115"/>
      <c r="BE578" s="115"/>
      <c r="BF578" s="115"/>
      <c r="BG578" s="115"/>
      <c r="BH578" s="115"/>
      <c r="BI578" s="115"/>
      <c r="BJ578" s="13"/>
      <c r="BK578" s="13"/>
      <c r="BN578" s="114"/>
    </row>
    <row r="579" spans="1:66" ht="19.5" x14ac:dyDescent="0.4">
      <c r="A579" s="117"/>
      <c r="B579" s="123"/>
      <c r="C579" s="123"/>
      <c r="D579" s="123"/>
      <c r="AA579" s="127"/>
      <c r="AB579" s="29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25">
        <v>45682</v>
      </c>
      <c r="AM579" s="13" t="s">
        <v>147</v>
      </c>
      <c r="AR579" s="117"/>
      <c r="AS579" s="123"/>
      <c r="AT579" s="123"/>
      <c r="AU579" s="123"/>
      <c r="AZ579" s="115"/>
      <c r="BA579" s="115"/>
      <c r="BB579" s="115"/>
      <c r="BC579" s="115"/>
      <c r="BD579" s="115"/>
      <c r="BE579" s="115"/>
      <c r="BF579" s="115"/>
      <c r="BG579" s="115"/>
      <c r="BH579" s="115"/>
      <c r="BI579" s="115"/>
      <c r="BJ579" s="13"/>
      <c r="BK579" s="13"/>
      <c r="BN579" s="114"/>
    </row>
    <row r="580" spans="1:66" ht="19.5" x14ac:dyDescent="0.4">
      <c r="A580" s="117"/>
      <c r="B580" s="123"/>
      <c r="C580" s="123"/>
      <c r="D580" s="123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29"/>
      <c r="AB580" s="29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25"/>
      <c r="AM580" s="13"/>
      <c r="AR580" s="117"/>
      <c r="AS580" s="123"/>
      <c r="AT580" s="123"/>
      <c r="AU580" s="123"/>
      <c r="AZ580" s="115"/>
      <c r="BA580" s="115"/>
      <c r="BB580" s="115"/>
      <c r="BC580" s="115"/>
      <c r="BD580" s="115"/>
      <c r="BE580" s="115"/>
      <c r="BF580" s="115"/>
      <c r="BG580" s="115"/>
      <c r="BH580" s="115"/>
      <c r="BI580" s="115"/>
      <c r="BJ580" s="13"/>
      <c r="BK580" s="13"/>
      <c r="BN580" s="114"/>
    </row>
    <row r="581" spans="1:66" ht="19.5" x14ac:dyDescent="0.4">
      <c r="A581" s="117"/>
      <c r="B581" s="123"/>
      <c r="C581" s="123"/>
      <c r="D581" s="123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29"/>
      <c r="AB581" s="29"/>
      <c r="AC581" s="115"/>
      <c r="AD581" s="115"/>
      <c r="AE581" s="115"/>
      <c r="AF581" s="115"/>
      <c r="AG581" s="115"/>
      <c r="AH581" s="115"/>
      <c r="AI581" s="115"/>
      <c r="AJ581" s="115"/>
      <c r="AK581" s="115"/>
      <c r="AL581" s="25"/>
      <c r="AM581" s="13"/>
      <c r="AR581" s="117"/>
      <c r="AS581" s="123"/>
      <c r="AT581" s="123"/>
      <c r="AU581" s="123"/>
      <c r="AZ581" s="115"/>
      <c r="BA581" s="115"/>
      <c r="BB581" s="115"/>
      <c r="BC581" s="115"/>
      <c r="BD581" s="115"/>
      <c r="BE581" s="115"/>
      <c r="BF581" s="115"/>
      <c r="BG581" s="115"/>
      <c r="BH581" s="115"/>
      <c r="BI581" s="115"/>
      <c r="BJ581" s="13"/>
      <c r="BK581" s="13"/>
      <c r="BN581" s="114"/>
    </row>
    <row r="582" spans="1:66" ht="19.5" x14ac:dyDescent="0.4">
      <c r="A582" s="117"/>
      <c r="B582" s="123"/>
      <c r="C582" s="123"/>
      <c r="D582" s="123"/>
      <c r="AA582" s="128"/>
      <c r="AB582" s="29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25"/>
      <c r="AM582" s="13"/>
      <c r="AR582" s="117"/>
      <c r="AS582" s="123"/>
      <c r="AT582" s="123"/>
      <c r="AU582" s="123"/>
      <c r="AZ582" s="115"/>
      <c r="BA582" s="115"/>
      <c r="BB582" s="115"/>
      <c r="BC582" s="115"/>
      <c r="BD582" s="115"/>
      <c r="BE582" s="115"/>
      <c r="BF582" s="115"/>
      <c r="BG582" s="115"/>
      <c r="BH582" s="115"/>
      <c r="BI582" s="115"/>
      <c r="BJ582" s="13"/>
      <c r="BK582" s="13"/>
      <c r="BN582" s="114"/>
    </row>
    <row r="583" spans="1:66" ht="19.5" x14ac:dyDescent="0.4">
      <c r="A583" s="117"/>
      <c r="B583" s="123"/>
      <c r="C583" s="123"/>
      <c r="D583" s="123"/>
      <c r="AA583" s="127"/>
      <c r="AB583" s="29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25"/>
      <c r="AM583" s="13"/>
      <c r="AR583" s="117"/>
      <c r="AS583" s="123"/>
      <c r="AT583" s="123"/>
      <c r="AU583" s="123"/>
      <c r="AZ583" s="115"/>
      <c r="BA583" s="115"/>
      <c r="BB583" s="115"/>
      <c r="BC583" s="115"/>
      <c r="BD583" s="115"/>
      <c r="BE583" s="115"/>
      <c r="BF583" s="115"/>
      <c r="BG583" s="115"/>
      <c r="BH583" s="115"/>
      <c r="BI583" s="115"/>
      <c r="BJ583" s="13"/>
      <c r="BK583" s="13"/>
      <c r="BN583" s="114"/>
    </row>
    <row r="584" spans="1:66" ht="19.5" x14ac:dyDescent="0.4">
      <c r="A584" s="117"/>
      <c r="B584" s="123"/>
      <c r="C584" s="123"/>
      <c r="D584" s="123"/>
      <c r="AA584" s="127"/>
      <c r="AB584" s="29"/>
      <c r="AL584" s="25">
        <v>45682</v>
      </c>
      <c r="AM584" s="15" t="s">
        <v>146</v>
      </c>
      <c r="AR584" s="117"/>
      <c r="AS584" s="123"/>
      <c r="AT584" s="123"/>
      <c r="AU584" s="123"/>
      <c r="AZ584" s="115"/>
      <c r="BA584" s="115"/>
      <c r="BB584" s="115"/>
      <c r="BC584" s="115"/>
      <c r="BD584" s="115"/>
      <c r="BE584" s="115"/>
      <c r="BF584" s="115"/>
      <c r="BG584" s="115"/>
      <c r="BH584" s="115"/>
      <c r="BI584" s="115"/>
      <c r="BJ584" s="13"/>
      <c r="BK584" s="13"/>
      <c r="BN584" s="114"/>
    </row>
    <row r="585" spans="1:66" ht="19.5" x14ac:dyDescent="0.4">
      <c r="A585" s="117"/>
      <c r="B585" s="123"/>
      <c r="C585" s="123"/>
      <c r="D585" s="123"/>
      <c r="AA585" s="128"/>
      <c r="AB585" s="29"/>
      <c r="AL585" s="25"/>
      <c r="AM585" s="15"/>
      <c r="AR585" s="117"/>
      <c r="AS585" s="123"/>
      <c r="AT585" s="123"/>
      <c r="AU585" s="123"/>
      <c r="AZ585" s="115"/>
      <c r="BA585" s="115"/>
      <c r="BB585" s="115"/>
      <c r="BC585" s="115"/>
      <c r="BD585" s="115"/>
      <c r="BE585" s="115"/>
      <c r="BF585" s="115"/>
      <c r="BG585" s="115"/>
      <c r="BH585" s="115"/>
      <c r="BI585" s="115"/>
      <c r="BJ585" s="13"/>
      <c r="BK585" s="13"/>
      <c r="BN585" s="114"/>
    </row>
    <row r="586" spans="1:66" ht="19.5" x14ac:dyDescent="0.4">
      <c r="A586" s="117"/>
      <c r="B586" s="123"/>
      <c r="C586" s="123"/>
      <c r="D586" s="123"/>
      <c r="AA586" s="127"/>
      <c r="AB586" s="29"/>
      <c r="AL586" s="25"/>
      <c r="AM586" s="15"/>
      <c r="AR586" s="117"/>
      <c r="AS586" s="123"/>
      <c r="AT586" s="123"/>
      <c r="AU586" s="123"/>
      <c r="AZ586" s="115"/>
      <c r="BA586" s="115"/>
      <c r="BB586" s="115"/>
      <c r="BC586" s="115"/>
      <c r="BD586" s="115"/>
      <c r="BE586" s="115"/>
      <c r="BF586" s="115"/>
      <c r="BG586" s="115"/>
      <c r="BH586" s="115"/>
      <c r="BI586" s="115"/>
      <c r="BJ586" s="13"/>
      <c r="BK586" s="13"/>
      <c r="BN586" s="114"/>
    </row>
    <row r="587" spans="1:66" ht="19.5" x14ac:dyDescent="0.4">
      <c r="A587" s="117"/>
      <c r="B587" s="123"/>
      <c r="C587" s="123"/>
      <c r="D587" s="123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27"/>
      <c r="AB587" s="29"/>
      <c r="AL587" s="25"/>
      <c r="AM587" s="15"/>
      <c r="AR587" s="117"/>
      <c r="AS587" s="123"/>
      <c r="AT587" s="123"/>
      <c r="AU587" s="123"/>
      <c r="AZ587" s="115"/>
      <c r="BA587" s="115"/>
      <c r="BB587" s="115"/>
      <c r="BC587" s="115"/>
      <c r="BD587" s="115"/>
      <c r="BE587" s="115"/>
      <c r="BF587" s="115"/>
      <c r="BG587" s="115"/>
      <c r="BH587" s="115"/>
      <c r="BI587" s="115"/>
      <c r="BJ587" s="13"/>
      <c r="BK587" s="13"/>
      <c r="BN587" s="114"/>
    </row>
    <row r="588" spans="1:66" ht="19.5" x14ac:dyDescent="0.4">
      <c r="A588" s="117"/>
      <c r="B588" s="123"/>
      <c r="C588" s="123"/>
      <c r="D588" s="123"/>
      <c r="AA588" s="127"/>
      <c r="AB588" s="29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25">
        <v>45682</v>
      </c>
      <c r="AM588" s="15" t="s">
        <v>146</v>
      </c>
      <c r="AR588" s="117"/>
      <c r="AS588" s="123"/>
      <c r="AT588" s="123"/>
      <c r="AU588" s="123"/>
      <c r="AZ588" s="115"/>
      <c r="BA588" s="115"/>
      <c r="BB588" s="115"/>
      <c r="BC588" s="115"/>
      <c r="BD588" s="115"/>
      <c r="BE588" s="115"/>
      <c r="BF588" s="115"/>
      <c r="BG588" s="115"/>
      <c r="BH588" s="115"/>
      <c r="BI588" s="115"/>
      <c r="BJ588" s="13"/>
      <c r="BK588" s="13"/>
      <c r="BN588" s="114"/>
    </row>
    <row r="589" spans="1:66" ht="19.5" x14ac:dyDescent="0.4">
      <c r="A589" s="117"/>
      <c r="B589" s="123"/>
      <c r="C589" s="123"/>
      <c r="D589" s="123"/>
      <c r="AA589" s="128"/>
      <c r="AB589" s="29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25"/>
      <c r="AM589" s="15"/>
      <c r="AR589" s="117"/>
      <c r="AS589" s="123"/>
      <c r="AT589" s="123"/>
      <c r="AU589" s="123"/>
      <c r="AZ589" s="115"/>
      <c r="BA589" s="115"/>
      <c r="BB589" s="115"/>
      <c r="BC589" s="115"/>
      <c r="BD589" s="115"/>
      <c r="BE589" s="115"/>
      <c r="BF589" s="115"/>
      <c r="BG589" s="115"/>
      <c r="BH589" s="115"/>
      <c r="BI589" s="115"/>
      <c r="BJ589" s="13"/>
      <c r="BK589" s="13"/>
      <c r="BN589" s="114"/>
    </row>
    <row r="590" spans="1:66" ht="19.5" x14ac:dyDescent="0.4">
      <c r="A590" s="117"/>
      <c r="B590" s="123"/>
      <c r="C590" s="123"/>
      <c r="D590" s="123"/>
      <c r="AA590" s="127"/>
      <c r="AB590" s="29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25">
        <v>45682</v>
      </c>
      <c r="AM590" s="15" t="s">
        <v>148</v>
      </c>
      <c r="AR590" s="117"/>
      <c r="AS590" s="123"/>
      <c r="AT590" s="123"/>
      <c r="AU590" s="123"/>
      <c r="AZ590" s="115"/>
      <c r="BA590" s="115"/>
      <c r="BB590" s="115"/>
      <c r="BC590" s="115"/>
      <c r="BD590" s="115"/>
      <c r="BE590" s="115"/>
      <c r="BF590" s="115"/>
      <c r="BG590" s="115"/>
      <c r="BH590" s="115"/>
      <c r="BI590" s="115"/>
      <c r="BJ590" s="13"/>
      <c r="BK590" s="13"/>
      <c r="BN590" s="114"/>
    </row>
    <row r="591" spans="1:66" ht="19.5" x14ac:dyDescent="0.4">
      <c r="A591" s="117"/>
      <c r="B591" s="123"/>
      <c r="C591" s="123"/>
      <c r="D591" s="123"/>
      <c r="AA591" s="127"/>
      <c r="AB591" s="29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25">
        <v>45682</v>
      </c>
      <c r="AM591" s="15" t="s">
        <v>146</v>
      </c>
      <c r="AR591" s="117"/>
      <c r="AS591" s="123"/>
      <c r="AT591" s="123"/>
      <c r="AU591" s="123"/>
      <c r="AZ591" s="115"/>
      <c r="BA591" s="115"/>
      <c r="BB591" s="115"/>
      <c r="BC591" s="115"/>
      <c r="BD591" s="115"/>
      <c r="BE591" s="115"/>
      <c r="BF591" s="115"/>
      <c r="BG591" s="115"/>
      <c r="BH591" s="115"/>
      <c r="BI591" s="115"/>
      <c r="BJ591" s="13"/>
      <c r="BK591" s="13"/>
      <c r="BN591" s="114"/>
    </row>
    <row r="592" spans="1:66" ht="19.5" x14ac:dyDescent="0.4">
      <c r="A592" s="117"/>
      <c r="B592" s="123"/>
      <c r="C592" s="123"/>
      <c r="D592" s="123"/>
      <c r="AA592" s="127"/>
      <c r="AB592" s="29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25">
        <v>45682</v>
      </c>
      <c r="AM592" s="15" t="s">
        <v>148</v>
      </c>
      <c r="AR592" s="117"/>
      <c r="AS592" s="123"/>
      <c r="AT592" s="123"/>
      <c r="AU592" s="123"/>
      <c r="AZ592" s="115"/>
      <c r="BA592" s="115"/>
      <c r="BB592" s="115"/>
      <c r="BC592" s="115"/>
      <c r="BD592" s="115"/>
      <c r="BE592" s="115"/>
      <c r="BF592" s="115"/>
      <c r="BG592" s="115"/>
      <c r="BH592" s="115"/>
      <c r="BI592" s="115"/>
      <c r="BJ592" s="13"/>
      <c r="BK592" s="13"/>
      <c r="BN592" s="114"/>
    </row>
    <row r="593" spans="1:66" ht="19.5" x14ac:dyDescent="0.4">
      <c r="A593" s="117"/>
      <c r="B593" s="123"/>
      <c r="C593" s="123"/>
      <c r="D593" s="123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27"/>
      <c r="AB593" s="29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25"/>
      <c r="AM593" s="15"/>
      <c r="AR593" s="117"/>
      <c r="AS593" s="123"/>
      <c r="AT593" s="123"/>
      <c r="AU593" s="123"/>
      <c r="AZ593" s="115"/>
      <c r="BA593" s="115"/>
      <c r="BB593" s="115"/>
      <c r="BC593" s="115"/>
      <c r="BD593" s="115"/>
      <c r="BE593" s="115"/>
      <c r="BF593" s="115"/>
      <c r="BG593" s="115"/>
      <c r="BH593" s="115"/>
      <c r="BI593" s="115"/>
      <c r="BJ593" s="13"/>
      <c r="BK593" s="13"/>
      <c r="BN593" s="114"/>
    </row>
    <row r="594" spans="1:66" ht="19.5" x14ac:dyDescent="0.4">
      <c r="A594" s="117"/>
      <c r="B594" s="123"/>
      <c r="C594" s="123"/>
      <c r="D594" s="123"/>
      <c r="AA594" s="127"/>
      <c r="AB594" s="29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25">
        <v>45682</v>
      </c>
      <c r="AM594" s="15" t="s">
        <v>148</v>
      </c>
      <c r="AR594" s="117"/>
      <c r="AS594" s="123"/>
      <c r="AT594" s="123"/>
      <c r="AU594" s="123"/>
      <c r="AZ594" s="115"/>
      <c r="BA594" s="115"/>
      <c r="BB594" s="115"/>
      <c r="BC594" s="115"/>
      <c r="BD594" s="115"/>
      <c r="BE594" s="115"/>
      <c r="BF594" s="115"/>
      <c r="BG594" s="115"/>
      <c r="BH594" s="115"/>
      <c r="BI594" s="115"/>
      <c r="BJ594" s="13"/>
      <c r="BK594" s="13"/>
      <c r="BN594" s="114"/>
    </row>
    <row r="595" spans="1:66" ht="19.5" x14ac:dyDescent="0.4">
      <c r="A595" s="117"/>
      <c r="B595" s="123"/>
      <c r="C595" s="123"/>
      <c r="D595" s="123"/>
      <c r="AA595" s="127"/>
      <c r="AB595" s="29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25">
        <v>45682</v>
      </c>
      <c r="AM595" s="105" t="s">
        <v>148</v>
      </c>
      <c r="AR595" s="117"/>
      <c r="AS595" s="123"/>
      <c r="AT595" s="123"/>
      <c r="AU595" s="123"/>
      <c r="AZ595" s="115"/>
      <c r="BA595" s="115"/>
      <c r="BB595" s="115"/>
      <c r="BC595" s="115"/>
      <c r="BD595" s="115"/>
      <c r="BE595" s="115"/>
      <c r="BF595" s="115"/>
      <c r="BG595" s="115"/>
      <c r="BH595" s="115"/>
      <c r="BI595" s="115"/>
      <c r="BJ595" s="13"/>
      <c r="BK595" s="13"/>
      <c r="BN595" s="114"/>
    </row>
    <row r="596" spans="1:66" ht="19.5" x14ac:dyDescent="0.4">
      <c r="A596" s="117"/>
      <c r="B596" s="123"/>
      <c r="C596" s="123"/>
      <c r="D596" s="123"/>
      <c r="AA596" s="127"/>
      <c r="AB596" s="29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25">
        <v>45682</v>
      </c>
      <c r="AM596" s="105" t="s">
        <v>146</v>
      </c>
      <c r="AR596" s="117"/>
      <c r="AS596" s="123"/>
      <c r="AT596" s="123"/>
      <c r="AU596" s="123"/>
      <c r="AZ596" s="115"/>
      <c r="BA596" s="115"/>
      <c r="BB596" s="115"/>
      <c r="BC596" s="115"/>
      <c r="BD596" s="115"/>
      <c r="BE596" s="115"/>
      <c r="BF596" s="115"/>
      <c r="BG596" s="115"/>
      <c r="BH596" s="115"/>
      <c r="BI596" s="115"/>
      <c r="BJ596" s="13"/>
      <c r="BK596" s="13"/>
      <c r="BN596" s="114"/>
    </row>
    <row r="597" spans="1:66" ht="19.5" x14ac:dyDescent="0.4">
      <c r="A597" s="117"/>
      <c r="B597" s="123"/>
      <c r="C597" s="123"/>
      <c r="D597" s="123"/>
      <c r="AA597" s="128"/>
      <c r="AB597" s="29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25"/>
      <c r="AM597" s="105"/>
      <c r="AR597" s="117"/>
      <c r="AS597" s="123"/>
      <c r="AT597" s="123"/>
      <c r="AU597" s="123"/>
      <c r="AZ597" s="115"/>
      <c r="BA597" s="115"/>
      <c r="BB597" s="115"/>
      <c r="BC597" s="115"/>
      <c r="BD597" s="115"/>
      <c r="BE597" s="115"/>
      <c r="BF597" s="115"/>
      <c r="BG597" s="115"/>
      <c r="BH597" s="115"/>
      <c r="BI597" s="115"/>
      <c r="BJ597" s="13"/>
      <c r="BK597" s="13"/>
      <c r="BN597" s="114"/>
    </row>
    <row r="598" spans="1:66" ht="19.5" x14ac:dyDescent="0.4">
      <c r="A598" s="117"/>
      <c r="B598" s="123"/>
      <c r="C598" s="123"/>
      <c r="D598" s="123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27"/>
      <c r="AB598" s="29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25">
        <v>45682</v>
      </c>
      <c r="AM598" s="15" t="s">
        <v>146</v>
      </c>
      <c r="AR598" s="117"/>
      <c r="AS598" s="123"/>
      <c r="AT598" s="123"/>
      <c r="AU598" s="123"/>
      <c r="AZ598" s="115"/>
      <c r="BA598" s="115"/>
      <c r="BB598" s="115"/>
      <c r="BC598" s="115"/>
      <c r="BD598" s="115"/>
      <c r="BE598" s="115"/>
      <c r="BF598" s="115"/>
      <c r="BG598" s="115"/>
      <c r="BH598" s="115"/>
      <c r="BI598" s="115"/>
      <c r="BJ598" s="13"/>
      <c r="BK598" s="13"/>
      <c r="BN598" s="114"/>
    </row>
    <row r="599" spans="1:66" ht="19.5" x14ac:dyDescent="0.4">
      <c r="A599" s="117"/>
      <c r="B599" s="123"/>
      <c r="C599" s="123"/>
      <c r="D599" s="123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27"/>
      <c r="AB599" s="29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25">
        <v>45683</v>
      </c>
      <c r="AM599" s="13" t="s">
        <v>147</v>
      </c>
      <c r="AR599" s="117"/>
      <c r="AS599" s="123"/>
      <c r="AT599" s="123"/>
      <c r="AU599" s="123"/>
      <c r="AZ599" s="115"/>
      <c r="BA599" s="115"/>
      <c r="BB599" s="115"/>
      <c r="BC599" s="115"/>
      <c r="BD599" s="115"/>
      <c r="BE599" s="115"/>
      <c r="BF599" s="115"/>
      <c r="BG599" s="115"/>
      <c r="BH599" s="115"/>
      <c r="BI599" s="115"/>
      <c r="BJ599" s="13"/>
      <c r="BK599" s="13"/>
      <c r="BN599" s="114"/>
    </row>
    <row r="600" spans="1:66" ht="19.5" x14ac:dyDescent="0.4">
      <c r="A600" s="117"/>
      <c r="B600" s="123"/>
      <c r="C600" s="123"/>
      <c r="D600" s="123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27"/>
      <c r="AB600" s="29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25">
        <v>45683</v>
      </c>
      <c r="AM600" s="13" t="s">
        <v>147</v>
      </c>
      <c r="AR600" s="117"/>
      <c r="AS600" s="123"/>
      <c r="AT600" s="123"/>
      <c r="AU600" s="123"/>
      <c r="AZ600" s="115"/>
      <c r="BA600" s="115"/>
      <c r="BB600" s="115"/>
      <c r="BC600" s="115"/>
      <c r="BD600" s="115"/>
      <c r="BE600" s="115"/>
      <c r="BF600" s="115"/>
      <c r="BG600" s="115"/>
      <c r="BH600" s="115"/>
      <c r="BI600" s="115"/>
      <c r="BJ600" s="13"/>
      <c r="BK600" s="13"/>
      <c r="BN600" s="114"/>
    </row>
    <row r="601" spans="1:66" ht="19.5" x14ac:dyDescent="0.4">
      <c r="A601" s="117"/>
      <c r="B601" s="123"/>
      <c r="C601" s="123"/>
      <c r="D601" s="123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27"/>
      <c r="AB601" s="29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25"/>
      <c r="AM601" s="13"/>
      <c r="AR601" s="117"/>
      <c r="AS601" s="123"/>
      <c r="AT601" s="123"/>
      <c r="AU601" s="123"/>
      <c r="AZ601" s="115"/>
      <c r="BA601" s="115"/>
      <c r="BB601" s="115"/>
      <c r="BC601" s="115"/>
      <c r="BD601" s="115"/>
      <c r="BE601" s="115"/>
      <c r="BF601" s="115"/>
      <c r="BG601" s="115"/>
      <c r="BH601" s="115"/>
      <c r="BI601" s="115"/>
      <c r="BJ601" s="13"/>
      <c r="BK601" s="13"/>
      <c r="BN601" s="114"/>
    </row>
    <row r="602" spans="1:66" ht="19.5" x14ac:dyDescent="0.4">
      <c r="A602" s="117"/>
      <c r="B602" s="123"/>
      <c r="C602" s="123"/>
      <c r="D602" s="123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27"/>
      <c r="AB602" s="29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25">
        <v>45684</v>
      </c>
      <c r="AM602" s="13" t="s">
        <v>146</v>
      </c>
      <c r="AR602" s="117"/>
      <c r="AS602" s="123"/>
      <c r="AT602" s="123"/>
      <c r="AU602" s="123"/>
      <c r="AZ602" s="115"/>
      <c r="BA602" s="115"/>
      <c r="BB602" s="115"/>
      <c r="BC602" s="115"/>
      <c r="BD602" s="115"/>
      <c r="BE602" s="115"/>
      <c r="BF602" s="115"/>
      <c r="BG602" s="115"/>
      <c r="BH602" s="115"/>
      <c r="BI602" s="115"/>
      <c r="BJ602" s="13"/>
      <c r="BK602" s="13"/>
      <c r="BN602" s="114"/>
    </row>
    <row r="603" spans="1:66" ht="19.5" x14ac:dyDescent="0.4">
      <c r="A603" s="117"/>
      <c r="B603" s="123"/>
      <c r="C603" s="123"/>
      <c r="D603" s="123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27"/>
      <c r="AB603" s="29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25"/>
      <c r="AM603" s="13"/>
      <c r="AR603" s="117"/>
      <c r="AS603" s="123"/>
      <c r="AT603" s="123"/>
      <c r="AU603" s="123"/>
      <c r="AZ603" s="115"/>
      <c r="BA603" s="115"/>
      <c r="BB603" s="115"/>
      <c r="BC603" s="115"/>
      <c r="BD603" s="115"/>
      <c r="BE603" s="115"/>
      <c r="BF603" s="115"/>
      <c r="BG603" s="115"/>
      <c r="BH603" s="115"/>
      <c r="BI603" s="115"/>
      <c r="BJ603" s="13"/>
      <c r="BK603" s="13"/>
      <c r="BN603" s="114"/>
    </row>
    <row r="604" spans="1:66" ht="19.5" x14ac:dyDescent="0.4">
      <c r="A604" s="117"/>
      <c r="B604" s="123"/>
      <c r="C604" s="123"/>
      <c r="D604" s="123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28"/>
      <c r="AB604" s="29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25"/>
      <c r="AM604" s="13"/>
      <c r="AR604" s="117"/>
      <c r="AS604" s="123"/>
      <c r="AT604" s="123"/>
      <c r="AU604" s="123"/>
      <c r="AZ604" s="115"/>
      <c r="BA604" s="115"/>
      <c r="BB604" s="115"/>
      <c r="BC604" s="115"/>
      <c r="BD604" s="115"/>
      <c r="BE604" s="115"/>
      <c r="BF604" s="115"/>
      <c r="BG604" s="115"/>
      <c r="BH604" s="115"/>
      <c r="BI604" s="115"/>
      <c r="BJ604" s="13"/>
      <c r="BK604" s="13"/>
      <c r="BN604" s="114"/>
    </row>
    <row r="605" spans="1:66" ht="19.5" x14ac:dyDescent="0.4">
      <c r="A605" s="117"/>
      <c r="B605" s="123"/>
      <c r="C605" s="123"/>
      <c r="D605" s="123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27"/>
      <c r="AB605" s="29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25">
        <v>45684</v>
      </c>
      <c r="AM605" s="13" t="s">
        <v>148</v>
      </c>
      <c r="AR605" s="117"/>
      <c r="AS605" s="123"/>
      <c r="AT605" s="123"/>
      <c r="AU605" s="123"/>
      <c r="AZ605" s="115"/>
      <c r="BA605" s="115"/>
      <c r="BB605" s="115"/>
      <c r="BC605" s="115"/>
      <c r="BD605" s="115"/>
      <c r="BE605" s="115"/>
      <c r="BF605" s="115"/>
      <c r="BG605" s="115"/>
      <c r="BH605" s="115"/>
      <c r="BI605" s="115"/>
      <c r="BJ605" s="13"/>
      <c r="BK605" s="13"/>
      <c r="BN605" s="114"/>
    </row>
    <row r="606" spans="1:66" ht="19.5" x14ac:dyDescent="0.4">
      <c r="A606" s="117"/>
      <c r="B606" s="123"/>
      <c r="C606" s="123"/>
      <c r="D606" s="123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27"/>
      <c r="AB606" s="29"/>
      <c r="AC606" s="115"/>
      <c r="AD606" s="115"/>
      <c r="AE606" s="115"/>
      <c r="AF606" s="115"/>
      <c r="AG606" s="115"/>
      <c r="AH606" s="115"/>
      <c r="AI606" s="115"/>
      <c r="AJ606" s="115"/>
      <c r="AK606" s="115"/>
      <c r="AL606" s="25"/>
      <c r="AM606" s="13"/>
      <c r="AR606" s="117"/>
      <c r="AS606" s="123"/>
      <c r="AT606" s="123"/>
      <c r="AU606" s="123"/>
      <c r="AZ606" s="115"/>
      <c r="BA606" s="115"/>
      <c r="BB606" s="115"/>
      <c r="BC606" s="115"/>
      <c r="BD606" s="115"/>
      <c r="BE606" s="115"/>
      <c r="BF606" s="115"/>
      <c r="BG606" s="115"/>
      <c r="BH606" s="115"/>
      <c r="BI606" s="115"/>
      <c r="BJ606" s="13"/>
      <c r="BK606" s="13"/>
      <c r="BN606" s="114"/>
    </row>
    <row r="607" spans="1:66" ht="19.5" x14ac:dyDescent="0.4">
      <c r="A607" s="117"/>
      <c r="B607" s="123"/>
      <c r="C607" s="123"/>
      <c r="D607" s="123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27"/>
      <c r="AB607" s="29"/>
      <c r="AC607" s="115"/>
      <c r="AD607" s="115"/>
      <c r="AE607" s="115"/>
      <c r="AF607" s="115"/>
      <c r="AG607" s="115"/>
      <c r="AH607" s="115"/>
      <c r="AI607" s="115"/>
      <c r="AJ607" s="115"/>
      <c r="AK607" s="115"/>
      <c r="AL607" s="25"/>
      <c r="AM607" s="13"/>
      <c r="AR607" s="117"/>
      <c r="AS607" s="123"/>
      <c r="AT607" s="123"/>
      <c r="AU607" s="123"/>
      <c r="AZ607" s="115"/>
      <c r="BA607" s="115"/>
      <c r="BB607" s="115"/>
      <c r="BC607" s="115"/>
      <c r="BD607" s="115"/>
      <c r="BE607" s="115"/>
      <c r="BF607" s="115"/>
      <c r="BG607" s="115"/>
      <c r="BH607" s="115"/>
      <c r="BI607" s="115"/>
      <c r="BJ607" s="13"/>
      <c r="BK607" s="13"/>
      <c r="BN607" s="114"/>
    </row>
    <row r="608" spans="1:66" ht="19.5" x14ac:dyDescent="0.4">
      <c r="A608" s="117"/>
      <c r="B608" s="123"/>
      <c r="C608" s="123"/>
      <c r="D608" s="123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28"/>
      <c r="AB608" s="29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25"/>
      <c r="AM608" s="13"/>
      <c r="AR608" s="117"/>
      <c r="AS608" s="123"/>
      <c r="AT608" s="123"/>
      <c r="AU608" s="123"/>
      <c r="AZ608" s="115"/>
      <c r="BA608" s="115"/>
      <c r="BB608" s="115"/>
      <c r="BC608" s="115"/>
      <c r="BD608" s="115"/>
      <c r="BE608" s="115"/>
      <c r="BF608" s="115"/>
      <c r="BG608" s="115"/>
      <c r="BH608" s="115"/>
      <c r="BI608" s="115"/>
      <c r="BJ608" s="13"/>
      <c r="BK608" s="13"/>
      <c r="BN608" s="114"/>
    </row>
    <row r="609" spans="1:66" ht="19.5" x14ac:dyDescent="0.4">
      <c r="A609" s="117"/>
      <c r="B609" s="123"/>
      <c r="C609" s="123"/>
      <c r="D609" s="123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27"/>
      <c r="AB609" s="127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25"/>
      <c r="AM609" s="13"/>
      <c r="AR609" s="117"/>
      <c r="AS609" s="123"/>
      <c r="AT609" s="123"/>
      <c r="AU609" s="123"/>
      <c r="AZ609" s="115"/>
      <c r="BA609" s="115"/>
      <c r="BB609" s="115"/>
      <c r="BC609" s="115"/>
      <c r="BD609" s="115"/>
      <c r="BE609" s="115"/>
      <c r="BF609" s="115"/>
      <c r="BG609" s="115"/>
      <c r="BH609" s="115"/>
      <c r="BI609" s="115"/>
      <c r="BJ609" s="13"/>
      <c r="BK609" s="13"/>
      <c r="BN609" s="114"/>
    </row>
    <row r="610" spans="1:66" ht="19.5" x14ac:dyDescent="0.4">
      <c r="A610" s="117"/>
      <c r="B610" s="123"/>
      <c r="C610" s="123"/>
      <c r="D610" s="123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27"/>
      <c r="AB610" s="29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25"/>
      <c r="AM610" s="13"/>
      <c r="AR610" s="117"/>
      <c r="AS610" s="123"/>
      <c r="AT610" s="123"/>
      <c r="AU610" s="123"/>
      <c r="AZ610" s="115"/>
      <c r="BA610" s="115"/>
      <c r="BB610" s="115"/>
      <c r="BC610" s="115"/>
      <c r="BD610" s="115"/>
      <c r="BE610" s="115"/>
      <c r="BF610" s="115"/>
      <c r="BG610" s="115"/>
      <c r="BH610" s="115"/>
      <c r="BI610" s="115"/>
      <c r="BJ610" s="13"/>
      <c r="BK610" s="13"/>
      <c r="BN610" s="114"/>
    </row>
    <row r="611" spans="1:66" ht="19.5" x14ac:dyDescent="0.4">
      <c r="A611" s="117"/>
      <c r="B611" s="123"/>
      <c r="C611" s="123"/>
      <c r="D611" s="123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27"/>
      <c r="AB611" s="29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25"/>
      <c r="AM611" s="13"/>
      <c r="AR611" s="117"/>
      <c r="AS611" s="123"/>
      <c r="AT611" s="123"/>
      <c r="AU611" s="123"/>
      <c r="AZ611" s="115"/>
      <c r="BA611" s="115"/>
      <c r="BB611" s="115"/>
      <c r="BC611" s="115"/>
      <c r="BD611" s="115"/>
      <c r="BE611" s="115"/>
      <c r="BF611" s="115"/>
      <c r="BG611" s="115"/>
      <c r="BH611" s="115"/>
      <c r="BI611" s="115"/>
      <c r="BJ611" s="13"/>
      <c r="BK611" s="13"/>
      <c r="BN611" s="114"/>
    </row>
    <row r="612" spans="1:66" ht="19.5" x14ac:dyDescent="0.4">
      <c r="A612" s="117"/>
      <c r="B612" s="123"/>
      <c r="C612" s="123"/>
      <c r="D612" s="123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28"/>
      <c r="AB612" s="29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25"/>
      <c r="AM612" s="13"/>
      <c r="AR612" s="117"/>
      <c r="AS612" s="123"/>
      <c r="AT612" s="123"/>
      <c r="AU612" s="123"/>
      <c r="AZ612" s="115"/>
      <c r="BA612" s="115"/>
      <c r="BB612" s="115"/>
      <c r="BC612" s="115"/>
      <c r="BD612" s="115"/>
      <c r="BE612" s="115"/>
      <c r="BF612" s="115"/>
      <c r="BG612" s="115"/>
      <c r="BH612" s="115"/>
      <c r="BI612" s="115"/>
      <c r="BJ612" s="13"/>
      <c r="BK612" s="13"/>
      <c r="BN612" s="114"/>
    </row>
    <row r="613" spans="1:66" ht="19.5" x14ac:dyDescent="0.4">
      <c r="A613" s="117"/>
      <c r="B613" s="123"/>
      <c r="C613" s="123"/>
      <c r="D613" s="123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27"/>
      <c r="AB613" s="134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25"/>
      <c r="AM613" s="13"/>
      <c r="AR613" s="117"/>
      <c r="AS613" s="123"/>
      <c r="AT613" s="123"/>
      <c r="AU613" s="123"/>
      <c r="AZ613" s="115"/>
      <c r="BA613" s="115"/>
      <c r="BB613" s="115"/>
      <c r="BC613" s="115"/>
      <c r="BD613" s="115"/>
      <c r="BE613" s="115"/>
      <c r="BF613" s="115"/>
      <c r="BG613" s="115"/>
      <c r="BH613" s="115"/>
      <c r="BI613" s="115"/>
      <c r="BJ613" s="13"/>
      <c r="BK613" s="13"/>
      <c r="BN613" s="114"/>
    </row>
    <row r="614" spans="1:66" ht="19.5" x14ac:dyDescent="0.4">
      <c r="A614" s="117"/>
      <c r="B614" s="123"/>
      <c r="C614" s="123"/>
      <c r="D614" s="123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27"/>
      <c r="AB614" s="29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25">
        <v>45684</v>
      </c>
      <c r="AM614" s="13" t="s">
        <v>147</v>
      </c>
      <c r="AR614" s="117"/>
      <c r="AS614" s="123"/>
      <c r="AT614" s="123"/>
      <c r="AU614" s="123"/>
      <c r="AZ614" s="115"/>
      <c r="BA614" s="115"/>
      <c r="BB614" s="115"/>
      <c r="BC614" s="115"/>
      <c r="BD614" s="115"/>
      <c r="BE614" s="115"/>
      <c r="BF614" s="115"/>
      <c r="BG614" s="115"/>
      <c r="BH614" s="115"/>
      <c r="BI614" s="115"/>
      <c r="BJ614" s="13"/>
      <c r="BK614" s="13"/>
      <c r="BN614" s="114"/>
    </row>
    <row r="615" spans="1:66" ht="19.5" x14ac:dyDescent="0.4">
      <c r="A615" s="117"/>
      <c r="B615" s="123"/>
      <c r="C615" s="123"/>
      <c r="D615" s="123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28"/>
      <c r="AB615" s="29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25"/>
      <c r="AM615" s="13"/>
      <c r="AR615" s="117"/>
      <c r="AS615" s="123"/>
      <c r="AT615" s="123"/>
      <c r="AU615" s="123"/>
      <c r="AZ615" s="115"/>
      <c r="BA615" s="115"/>
      <c r="BB615" s="115"/>
      <c r="BC615" s="115"/>
      <c r="BD615" s="115"/>
      <c r="BE615" s="115"/>
      <c r="BF615" s="115"/>
      <c r="BG615" s="115"/>
      <c r="BH615" s="115"/>
      <c r="BI615" s="115"/>
      <c r="BJ615" s="13"/>
      <c r="BK615" s="13"/>
      <c r="BN615" s="114"/>
    </row>
    <row r="616" spans="1:66" ht="19.5" x14ac:dyDescent="0.4">
      <c r="A616" s="117"/>
      <c r="B616" s="123"/>
      <c r="C616" s="123"/>
      <c r="D616" s="123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27"/>
      <c r="AB616" s="29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25"/>
      <c r="AM616" s="13"/>
      <c r="AR616" s="117"/>
      <c r="AS616" s="123"/>
      <c r="AT616" s="123"/>
      <c r="AU616" s="123"/>
      <c r="AZ616" s="115"/>
      <c r="BA616" s="115"/>
      <c r="BB616" s="115"/>
      <c r="BC616" s="115"/>
      <c r="BD616" s="115"/>
      <c r="BE616" s="115"/>
      <c r="BF616" s="115"/>
      <c r="BG616" s="115"/>
      <c r="BH616" s="115"/>
      <c r="BI616" s="115"/>
      <c r="BJ616" s="13"/>
      <c r="BK616" s="13"/>
      <c r="BN616" s="114"/>
    </row>
    <row r="617" spans="1:66" ht="19.5" x14ac:dyDescent="0.4">
      <c r="A617" s="117"/>
      <c r="B617" s="123"/>
      <c r="C617" s="123"/>
      <c r="D617" s="123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27"/>
      <c r="AB617" s="29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25">
        <v>45684</v>
      </c>
      <c r="AM617" s="13" t="s">
        <v>146</v>
      </c>
      <c r="AR617" s="117"/>
      <c r="AS617" s="123"/>
      <c r="AT617" s="123"/>
      <c r="AU617" s="123"/>
      <c r="AZ617" s="115"/>
      <c r="BA617" s="115"/>
      <c r="BB617" s="115"/>
      <c r="BC617" s="115"/>
      <c r="BD617" s="115"/>
      <c r="BE617" s="115"/>
      <c r="BF617" s="115"/>
      <c r="BG617" s="115"/>
      <c r="BH617" s="115"/>
      <c r="BI617" s="115"/>
      <c r="BJ617" s="13"/>
      <c r="BK617" s="13"/>
      <c r="BN617" s="114"/>
    </row>
    <row r="618" spans="1:66" ht="19.5" x14ac:dyDescent="0.4">
      <c r="A618" s="117"/>
      <c r="B618" s="123"/>
      <c r="C618" s="123"/>
      <c r="D618" s="123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28"/>
      <c r="AB618" s="29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25"/>
      <c r="AM618" s="13"/>
      <c r="AR618" s="117"/>
      <c r="AS618" s="123"/>
      <c r="AT618" s="123"/>
      <c r="AU618" s="123"/>
      <c r="AZ618" s="115"/>
      <c r="BA618" s="115"/>
      <c r="BB618" s="115"/>
      <c r="BC618" s="115"/>
      <c r="BD618" s="115"/>
      <c r="BE618" s="115"/>
      <c r="BF618" s="115"/>
      <c r="BG618" s="115"/>
      <c r="BH618" s="115"/>
      <c r="BI618" s="115"/>
      <c r="BJ618" s="13"/>
      <c r="BK618" s="13"/>
      <c r="BN618" s="114"/>
    </row>
    <row r="619" spans="1:66" ht="19.5" x14ac:dyDescent="0.4">
      <c r="A619" s="117"/>
      <c r="B619" s="123"/>
      <c r="C619" s="123"/>
      <c r="D619" s="123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27"/>
      <c r="AB619" s="29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25"/>
      <c r="AM619" s="13"/>
      <c r="AR619" s="117"/>
      <c r="AS619" s="123"/>
      <c r="AT619" s="123"/>
      <c r="AU619" s="123"/>
      <c r="AZ619" s="115"/>
      <c r="BA619" s="115"/>
      <c r="BB619" s="115"/>
      <c r="BC619" s="115"/>
      <c r="BD619" s="115"/>
      <c r="BE619" s="115"/>
      <c r="BF619" s="115"/>
      <c r="BG619" s="115"/>
      <c r="BH619" s="115"/>
      <c r="BI619" s="115"/>
      <c r="BJ619" s="13"/>
      <c r="BK619" s="13"/>
      <c r="BN619" s="114"/>
    </row>
    <row r="620" spans="1:66" ht="19.5" x14ac:dyDescent="0.4">
      <c r="A620" s="117"/>
      <c r="B620" s="123"/>
      <c r="C620" s="123"/>
      <c r="D620" s="123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28"/>
      <c r="AB620" s="29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25"/>
      <c r="AM620" s="13"/>
      <c r="AR620" s="117"/>
      <c r="AS620" s="123"/>
      <c r="AT620" s="123"/>
      <c r="AU620" s="123"/>
      <c r="AZ620" s="115"/>
      <c r="BA620" s="115"/>
      <c r="BB620" s="115"/>
      <c r="BC620" s="115"/>
      <c r="BD620" s="115"/>
      <c r="BE620" s="115"/>
      <c r="BF620" s="115"/>
      <c r="BG620" s="115"/>
      <c r="BH620" s="115"/>
      <c r="BI620" s="115"/>
      <c r="BJ620" s="13"/>
      <c r="BK620" s="13"/>
      <c r="BN620" s="114"/>
    </row>
    <row r="621" spans="1:66" ht="19.5" x14ac:dyDescent="0.4">
      <c r="A621" s="117"/>
      <c r="B621" s="123"/>
      <c r="C621" s="123"/>
      <c r="D621" s="123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27"/>
      <c r="AB621" s="29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25"/>
      <c r="AM621" s="13"/>
      <c r="AR621" s="117"/>
      <c r="AS621" s="123"/>
      <c r="AT621" s="123"/>
      <c r="AU621" s="123"/>
      <c r="AZ621" s="115"/>
      <c r="BA621" s="115"/>
      <c r="BB621" s="115"/>
      <c r="BC621" s="115"/>
      <c r="BD621" s="115"/>
      <c r="BE621" s="115"/>
      <c r="BF621" s="115"/>
      <c r="BG621" s="115"/>
      <c r="BH621" s="115"/>
      <c r="BI621" s="115"/>
      <c r="BJ621" s="13"/>
      <c r="BK621" s="13"/>
      <c r="BN621" s="114"/>
    </row>
    <row r="622" spans="1:66" ht="19.5" x14ac:dyDescent="0.4">
      <c r="A622" s="117"/>
      <c r="B622" s="123"/>
      <c r="C622" s="123"/>
      <c r="D622" s="123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28"/>
      <c r="AB622" s="29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25"/>
      <c r="AM622" s="13"/>
      <c r="AR622" s="117"/>
      <c r="AS622" s="123"/>
      <c r="AT622" s="123"/>
      <c r="AU622" s="123"/>
      <c r="AZ622" s="115"/>
      <c r="BA622" s="115"/>
      <c r="BB622" s="115"/>
      <c r="BC622" s="115"/>
      <c r="BD622" s="115"/>
      <c r="BE622" s="115"/>
      <c r="BF622" s="115"/>
      <c r="BG622" s="115"/>
      <c r="BH622" s="115"/>
      <c r="BI622" s="115"/>
      <c r="BJ622" s="13"/>
      <c r="BK622" s="13"/>
      <c r="BN622" s="114"/>
    </row>
    <row r="623" spans="1:66" ht="19.5" x14ac:dyDescent="0.4">
      <c r="A623" s="117"/>
      <c r="B623" s="123"/>
      <c r="C623" s="123"/>
      <c r="D623" s="123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28"/>
      <c r="AB623" s="29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25"/>
      <c r="AM623" s="13"/>
      <c r="AR623" s="117"/>
      <c r="AS623" s="123"/>
      <c r="AT623" s="123"/>
      <c r="AU623" s="123"/>
      <c r="AZ623" s="115"/>
      <c r="BA623" s="115"/>
      <c r="BB623" s="115"/>
      <c r="BC623" s="115"/>
      <c r="BD623" s="115"/>
      <c r="BE623" s="115"/>
      <c r="BF623" s="115"/>
      <c r="BG623" s="115"/>
      <c r="BH623" s="115"/>
      <c r="BI623" s="115"/>
      <c r="BJ623" s="13"/>
      <c r="BK623" s="13"/>
      <c r="BN623" s="114"/>
    </row>
    <row r="624" spans="1:66" ht="19.5" x14ac:dyDescent="0.4">
      <c r="A624" s="117"/>
      <c r="B624" s="123"/>
      <c r="C624" s="123"/>
      <c r="D624" s="123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27"/>
      <c r="AB624" s="29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25">
        <v>45684</v>
      </c>
      <c r="AM624" s="13" t="s">
        <v>147</v>
      </c>
      <c r="AR624" s="117"/>
      <c r="AS624" s="123"/>
      <c r="AT624" s="123"/>
      <c r="AU624" s="123"/>
      <c r="AZ624" s="115"/>
      <c r="BA624" s="115"/>
      <c r="BB624" s="115"/>
      <c r="BC624" s="115"/>
      <c r="BD624" s="115"/>
      <c r="BE624" s="115"/>
      <c r="BF624" s="115"/>
      <c r="BG624" s="115"/>
      <c r="BH624" s="115"/>
      <c r="BI624" s="115"/>
      <c r="BJ624" s="13"/>
      <c r="BK624" s="13"/>
      <c r="BN624" s="114"/>
    </row>
    <row r="625" spans="1:66" ht="19.5" x14ac:dyDescent="0.4">
      <c r="A625" s="117"/>
      <c r="B625" s="123"/>
      <c r="C625" s="123"/>
      <c r="D625" s="123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27"/>
      <c r="AB625" s="29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25">
        <v>45684</v>
      </c>
      <c r="AM625" s="13" t="s">
        <v>146</v>
      </c>
      <c r="AR625" s="117"/>
      <c r="AS625" s="123"/>
      <c r="AT625" s="123"/>
      <c r="AU625" s="123"/>
      <c r="AZ625" s="115"/>
      <c r="BA625" s="115"/>
      <c r="BB625" s="115"/>
      <c r="BC625" s="115"/>
      <c r="BD625" s="115"/>
      <c r="BE625" s="115"/>
      <c r="BF625" s="115"/>
      <c r="BG625" s="115"/>
      <c r="BH625" s="115"/>
      <c r="BI625" s="115"/>
      <c r="BJ625" s="13"/>
      <c r="BK625" s="13"/>
      <c r="BN625" s="114"/>
    </row>
    <row r="626" spans="1:66" ht="19.5" x14ac:dyDescent="0.4">
      <c r="A626" s="117"/>
      <c r="B626" s="123"/>
      <c r="C626" s="123"/>
      <c r="D626" s="123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27"/>
      <c r="AB626" s="29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25">
        <v>45684</v>
      </c>
      <c r="AM626" s="13" t="s">
        <v>146</v>
      </c>
      <c r="AR626" s="117"/>
      <c r="AS626" s="123"/>
      <c r="AT626" s="123"/>
      <c r="AU626" s="123"/>
      <c r="AZ626" s="115"/>
      <c r="BA626" s="115"/>
      <c r="BB626" s="115"/>
      <c r="BC626" s="115"/>
      <c r="BD626" s="115"/>
      <c r="BE626" s="115"/>
      <c r="BF626" s="115"/>
      <c r="BG626" s="115"/>
      <c r="BH626" s="115"/>
      <c r="BI626" s="115"/>
      <c r="BJ626" s="13"/>
      <c r="BK626" s="13"/>
      <c r="BN626" s="114"/>
    </row>
    <row r="627" spans="1:66" ht="19.5" x14ac:dyDescent="0.4">
      <c r="A627" s="117"/>
      <c r="B627" s="123"/>
      <c r="C627" s="123"/>
      <c r="D627" s="123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29"/>
      <c r="AB627" s="29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25"/>
      <c r="AM627" s="13"/>
      <c r="AR627" s="117"/>
      <c r="AS627" s="123"/>
      <c r="AT627" s="123"/>
      <c r="AU627" s="123"/>
      <c r="AZ627" s="115"/>
      <c r="BA627" s="115"/>
      <c r="BB627" s="115"/>
      <c r="BC627" s="115"/>
      <c r="BD627" s="115"/>
      <c r="BE627" s="115"/>
      <c r="BF627" s="115"/>
      <c r="BG627" s="115"/>
      <c r="BH627" s="115"/>
      <c r="BI627" s="115"/>
      <c r="BJ627" s="13"/>
      <c r="BK627" s="13"/>
      <c r="BN627" s="114"/>
    </row>
    <row r="628" spans="1:66" ht="19.5" x14ac:dyDescent="0.4">
      <c r="A628" s="117"/>
      <c r="B628" s="123"/>
      <c r="C628" s="123"/>
      <c r="D628" s="123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29"/>
      <c r="AB628" s="29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25"/>
      <c r="AM628" s="13"/>
      <c r="AR628" s="117"/>
      <c r="AS628" s="123"/>
      <c r="AT628" s="123"/>
      <c r="AU628" s="123"/>
      <c r="AZ628" s="115"/>
      <c r="BA628" s="115"/>
      <c r="BB628" s="115"/>
      <c r="BC628" s="115"/>
      <c r="BD628" s="115"/>
      <c r="BE628" s="115"/>
      <c r="BF628" s="115"/>
      <c r="BG628" s="115"/>
      <c r="BH628" s="115"/>
      <c r="BI628" s="115"/>
      <c r="BJ628" s="13"/>
      <c r="BK628" s="13"/>
      <c r="BN628" s="114"/>
    </row>
    <row r="629" spans="1:66" ht="19.5" x14ac:dyDescent="0.4">
      <c r="A629" s="117"/>
      <c r="B629" s="123"/>
      <c r="C629" s="123"/>
      <c r="D629" s="123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27"/>
      <c r="AB629" s="29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25">
        <v>45684</v>
      </c>
      <c r="AM629" s="13" t="s">
        <v>147</v>
      </c>
      <c r="AR629" s="117"/>
      <c r="AS629" s="123"/>
      <c r="AT629" s="123"/>
      <c r="AU629" s="123"/>
      <c r="AZ629" s="115"/>
      <c r="BA629" s="115"/>
      <c r="BB629" s="115"/>
      <c r="BC629" s="115"/>
      <c r="BD629" s="115"/>
      <c r="BE629" s="115"/>
      <c r="BF629" s="115"/>
      <c r="BG629" s="115"/>
      <c r="BH629" s="115"/>
      <c r="BI629" s="115"/>
      <c r="BJ629" s="13"/>
      <c r="BK629" s="13"/>
      <c r="BN629" s="114"/>
    </row>
    <row r="630" spans="1:66" ht="19.5" x14ac:dyDescent="0.4">
      <c r="A630" s="117"/>
      <c r="B630" s="123"/>
      <c r="C630" s="123"/>
      <c r="D630" s="123"/>
      <c r="AA630" s="127"/>
      <c r="AB630" s="29"/>
      <c r="AL630" s="25">
        <v>45685</v>
      </c>
      <c r="AM630" s="13" t="s">
        <v>146</v>
      </c>
      <c r="AR630" s="117"/>
      <c r="AS630" s="123"/>
      <c r="AT630" s="123"/>
      <c r="AU630" s="123"/>
      <c r="AZ630" s="115"/>
      <c r="BA630" s="115"/>
      <c r="BB630" s="115"/>
      <c r="BC630" s="115"/>
      <c r="BD630" s="115"/>
      <c r="BE630" s="115"/>
      <c r="BF630" s="115"/>
      <c r="BG630" s="115"/>
      <c r="BH630" s="115"/>
      <c r="BI630" s="115"/>
      <c r="BJ630" s="25">
        <v>45263</v>
      </c>
      <c r="BK630" s="13" t="s">
        <v>162</v>
      </c>
      <c r="BN630" s="114"/>
    </row>
    <row r="631" spans="1:66" ht="19.5" x14ac:dyDescent="0.4">
      <c r="A631" s="117"/>
      <c r="B631" s="123"/>
      <c r="C631" s="123"/>
      <c r="D631" s="123"/>
      <c r="AA631" s="127"/>
      <c r="AB631" s="29"/>
      <c r="AI631" s="115"/>
      <c r="AJ631" s="115"/>
      <c r="AK631" s="115"/>
      <c r="AL631" s="25">
        <v>45685</v>
      </c>
      <c r="AM631" s="13" t="s">
        <v>147</v>
      </c>
      <c r="AR631" s="117"/>
      <c r="AS631" s="123"/>
      <c r="AT631" s="123"/>
      <c r="AU631" s="123"/>
      <c r="AZ631" s="115"/>
      <c r="BA631" s="115"/>
      <c r="BB631" s="115"/>
      <c r="BC631" s="115"/>
      <c r="BD631" s="115"/>
      <c r="BE631" s="115"/>
      <c r="BF631" s="115"/>
      <c r="BG631" s="115"/>
      <c r="BH631" s="115"/>
      <c r="BI631" s="115"/>
      <c r="BJ631" s="25"/>
      <c r="BK631" s="13"/>
      <c r="BN631" s="114"/>
    </row>
    <row r="632" spans="1:66" ht="19.5" x14ac:dyDescent="0.4">
      <c r="A632" s="117"/>
      <c r="B632" s="123"/>
      <c r="C632" s="123"/>
      <c r="D632" s="123"/>
      <c r="AA632" s="128"/>
      <c r="AB632" s="29"/>
      <c r="AI632" s="115"/>
      <c r="AJ632" s="115"/>
      <c r="AK632" s="115"/>
      <c r="AL632" s="25"/>
      <c r="AM632" s="13"/>
      <c r="AR632" s="117"/>
      <c r="AS632" s="123"/>
      <c r="AT632" s="123"/>
      <c r="AU632" s="123"/>
      <c r="AZ632" s="115"/>
      <c r="BA632" s="115"/>
      <c r="BB632" s="115"/>
      <c r="BC632" s="115"/>
      <c r="BD632" s="115"/>
      <c r="BE632" s="115"/>
      <c r="BF632" s="115"/>
      <c r="BG632" s="115"/>
      <c r="BH632" s="115"/>
      <c r="BI632" s="115"/>
      <c r="BJ632" s="25"/>
      <c r="BK632" s="13"/>
      <c r="BN632" s="114"/>
    </row>
    <row r="633" spans="1:66" ht="19.5" x14ac:dyDescent="0.4">
      <c r="A633" s="117"/>
      <c r="B633" s="123"/>
      <c r="C633" s="123"/>
      <c r="D633" s="123"/>
      <c r="AA633" s="127"/>
      <c r="AB633" s="29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25">
        <v>45685</v>
      </c>
      <c r="AM633" s="13" t="s">
        <v>147</v>
      </c>
      <c r="AR633" s="117"/>
      <c r="AS633" s="123"/>
      <c r="AT633" s="123"/>
      <c r="AU633" s="123"/>
      <c r="AZ633" s="115"/>
      <c r="BA633" s="115"/>
      <c r="BB633" s="115"/>
      <c r="BC633" s="115"/>
      <c r="BD633" s="115"/>
      <c r="BE633" s="115"/>
      <c r="BF633" s="115"/>
      <c r="BG633" s="115"/>
      <c r="BH633" s="115"/>
      <c r="BI633" s="115"/>
      <c r="BJ633" s="25"/>
      <c r="BK633" s="13"/>
      <c r="BN633" s="114"/>
    </row>
    <row r="634" spans="1:66" ht="19.5" x14ac:dyDescent="0.4">
      <c r="A634" s="117"/>
      <c r="B634" s="123"/>
      <c r="C634" s="123"/>
      <c r="D634" s="123"/>
      <c r="AA634" s="127"/>
      <c r="AB634" s="29"/>
      <c r="AC634" s="115"/>
      <c r="AD634" s="115"/>
      <c r="AE634" s="115"/>
      <c r="AF634" s="115"/>
      <c r="AG634" s="115"/>
      <c r="AH634" s="115"/>
      <c r="AI634" s="115"/>
      <c r="AJ634" s="115"/>
      <c r="AK634" s="115"/>
      <c r="AL634" s="25">
        <v>45685</v>
      </c>
      <c r="AM634" s="13" t="s">
        <v>148</v>
      </c>
      <c r="AR634" s="117"/>
      <c r="AS634" s="123"/>
      <c r="AT634" s="123"/>
      <c r="AU634" s="123"/>
      <c r="AZ634" s="115"/>
      <c r="BA634" s="115"/>
      <c r="BB634" s="115"/>
      <c r="BC634" s="115"/>
      <c r="BD634" s="115"/>
      <c r="BE634" s="115"/>
      <c r="BF634" s="115"/>
      <c r="BG634" s="115"/>
      <c r="BH634" s="115"/>
      <c r="BI634" s="115"/>
      <c r="BJ634" s="25"/>
      <c r="BK634" s="13"/>
      <c r="BN634" s="114"/>
    </row>
    <row r="635" spans="1:66" ht="19.5" x14ac:dyDescent="0.4">
      <c r="A635" s="117"/>
      <c r="B635" s="123"/>
      <c r="C635" s="123"/>
      <c r="D635" s="123"/>
      <c r="AA635" s="127"/>
      <c r="AB635" s="29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25">
        <v>45685</v>
      </c>
      <c r="AM635" s="13" t="s">
        <v>148</v>
      </c>
      <c r="AR635" s="117"/>
      <c r="AS635" s="123"/>
      <c r="AT635" s="123"/>
      <c r="AU635" s="123"/>
      <c r="AZ635" s="115"/>
      <c r="BA635" s="115"/>
      <c r="BB635" s="115"/>
      <c r="BC635" s="115"/>
      <c r="BD635" s="115"/>
      <c r="BE635" s="115"/>
      <c r="BF635" s="115"/>
      <c r="BG635" s="115"/>
      <c r="BH635" s="115"/>
      <c r="BI635" s="115"/>
      <c r="BJ635" s="25"/>
      <c r="BK635" s="13"/>
      <c r="BN635" s="114"/>
    </row>
    <row r="636" spans="1:66" ht="19.5" x14ac:dyDescent="0.4">
      <c r="A636" s="117"/>
      <c r="B636" s="123"/>
      <c r="C636" s="123"/>
      <c r="D636" s="123"/>
      <c r="AA636" s="128"/>
      <c r="AB636" s="29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25"/>
      <c r="AM636" s="13"/>
      <c r="AR636" s="117"/>
      <c r="AS636" s="123"/>
      <c r="AT636" s="123"/>
      <c r="AU636" s="123"/>
      <c r="AZ636" s="115"/>
      <c r="BA636" s="115"/>
      <c r="BB636" s="115"/>
      <c r="BC636" s="115"/>
      <c r="BD636" s="115"/>
      <c r="BE636" s="115"/>
      <c r="BF636" s="115"/>
      <c r="BG636" s="115"/>
      <c r="BH636" s="115"/>
      <c r="BI636" s="115"/>
      <c r="BJ636" s="25"/>
      <c r="BK636" s="13"/>
      <c r="BN636" s="114"/>
    </row>
    <row r="637" spans="1:66" ht="19.5" x14ac:dyDescent="0.4">
      <c r="A637" s="117"/>
      <c r="B637" s="123"/>
      <c r="C637" s="123"/>
      <c r="D637" s="123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27"/>
      <c r="AB637" s="29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25"/>
      <c r="AM637" s="13"/>
      <c r="AR637" s="117"/>
      <c r="AS637" s="123"/>
      <c r="AT637" s="123"/>
      <c r="AU637" s="123"/>
      <c r="AZ637" s="115"/>
      <c r="BA637" s="115"/>
      <c r="BB637" s="115"/>
      <c r="BC637" s="115"/>
      <c r="BD637" s="115"/>
      <c r="BE637" s="115"/>
      <c r="BF637" s="115"/>
      <c r="BG637" s="115"/>
      <c r="BH637" s="115"/>
      <c r="BI637" s="115"/>
      <c r="BJ637" s="25"/>
      <c r="BK637" s="13"/>
      <c r="BN637" s="114"/>
    </row>
    <row r="638" spans="1:66" ht="19.5" x14ac:dyDescent="0.4">
      <c r="A638" s="117"/>
      <c r="B638" s="123"/>
      <c r="C638" s="123"/>
      <c r="D638" s="123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28"/>
      <c r="AB638" s="29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25"/>
      <c r="AM638" s="13"/>
      <c r="AR638" s="117"/>
      <c r="AS638" s="123"/>
      <c r="AT638" s="123"/>
      <c r="AU638" s="123"/>
      <c r="AZ638" s="115"/>
      <c r="BA638" s="115"/>
      <c r="BB638" s="115"/>
      <c r="BC638" s="115"/>
      <c r="BD638" s="115"/>
      <c r="BE638" s="115"/>
      <c r="BF638" s="115"/>
      <c r="BG638" s="115"/>
      <c r="BH638" s="115"/>
      <c r="BI638" s="115"/>
      <c r="BJ638" s="25"/>
      <c r="BK638" s="13"/>
      <c r="BN638" s="114"/>
    </row>
    <row r="639" spans="1:66" ht="19.5" x14ac:dyDescent="0.4">
      <c r="A639" s="117"/>
      <c r="B639" s="123"/>
      <c r="C639" s="123"/>
      <c r="D639" s="123"/>
      <c r="AA639" s="127"/>
      <c r="AB639" s="29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25">
        <v>45685</v>
      </c>
      <c r="AM639" s="13" t="s">
        <v>148</v>
      </c>
      <c r="AR639" s="117"/>
      <c r="AS639" s="123"/>
      <c r="AT639" s="123"/>
      <c r="AU639" s="123"/>
      <c r="AZ639" s="115"/>
      <c r="BA639" s="115"/>
      <c r="BB639" s="115"/>
      <c r="BC639" s="115"/>
      <c r="BD639" s="115"/>
      <c r="BE639" s="115"/>
      <c r="BF639" s="115"/>
      <c r="BG639" s="115"/>
      <c r="BH639" s="115"/>
      <c r="BI639" s="115"/>
      <c r="BJ639" s="25"/>
      <c r="BK639" s="13"/>
      <c r="BN639" s="114"/>
    </row>
    <row r="640" spans="1:66" ht="19.5" x14ac:dyDescent="0.4">
      <c r="A640" s="117"/>
      <c r="B640" s="123"/>
      <c r="C640" s="123"/>
      <c r="D640" s="123"/>
      <c r="AA640" s="127"/>
      <c r="AB640" s="29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25">
        <v>45685</v>
      </c>
      <c r="AM640" s="13" t="s">
        <v>148</v>
      </c>
      <c r="AR640" s="117"/>
      <c r="AS640" s="123"/>
      <c r="AT640" s="123"/>
      <c r="AU640" s="123"/>
      <c r="AZ640" s="115"/>
      <c r="BA640" s="115"/>
      <c r="BB640" s="115"/>
      <c r="BC640" s="115"/>
      <c r="BD640" s="115"/>
      <c r="BE640" s="115"/>
      <c r="BF640" s="115"/>
      <c r="BG640" s="115"/>
      <c r="BH640" s="115"/>
      <c r="BI640" s="115"/>
      <c r="BJ640" s="25"/>
      <c r="BK640" s="13"/>
      <c r="BN640" s="114"/>
    </row>
    <row r="641" spans="1:66" ht="19.5" x14ac:dyDescent="0.4">
      <c r="A641" s="117"/>
      <c r="B641" s="123"/>
      <c r="C641" s="123"/>
      <c r="D641" s="123"/>
      <c r="AA641" s="127"/>
      <c r="AB641" s="29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25">
        <v>45685</v>
      </c>
      <c r="AM641" s="13" t="s">
        <v>146</v>
      </c>
      <c r="AR641" s="117"/>
      <c r="AS641" s="123"/>
      <c r="AT641" s="123"/>
      <c r="AU641" s="123"/>
      <c r="AZ641" s="115"/>
      <c r="BA641" s="115"/>
      <c r="BB641" s="115"/>
      <c r="BC641" s="115"/>
      <c r="BD641" s="115"/>
      <c r="BE641" s="115"/>
      <c r="BF641" s="115"/>
      <c r="BG641" s="115"/>
      <c r="BH641" s="115"/>
      <c r="BI641" s="115"/>
      <c r="BJ641" s="25"/>
      <c r="BK641" s="13"/>
      <c r="BN641" s="114"/>
    </row>
    <row r="642" spans="1:66" ht="19.5" x14ac:dyDescent="0.4">
      <c r="A642" s="117"/>
      <c r="B642" s="123"/>
      <c r="C642" s="123"/>
      <c r="D642" s="123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27"/>
      <c r="AB642" s="29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25"/>
      <c r="AM642" s="13"/>
      <c r="AR642" s="117"/>
      <c r="AS642" s="123"/>
      <c r="AT642" s="123"/>
      <c r="AU642" s="123"/>
      <c r="AZ642" s="115"/>
      <c r="BA642" s="115"/>
      <c r="BB642" s="115"/>
      <c r="BC642" s="115"/>
      <c r="BD642" s="115"/>
      <c r="BE642" s="115"/>
      <c r="BF642" s="115"/>
      <c r="BG642" s="115"/>
      <c r="BH642" s="115"/>
      <c r="BI642" s="115"/>
      <c r="BJ642" s="25"/>
      <c r="BK642" s="13"/>
      <c r="BN642" s="114"/>
    </row>
    <row r="643" spans="1:66" ht="19.5" x14ac:dyDescent="0.4">
      <c r="A643" s="117"/>
      <c r="B643" s="123"/>
      <c r="C643" s="123"/>
      <c r="D643" s="123"/>
      <c r="AA643" s="127"/>
      <c r="AB643" s="29"/>
      <c r="AL643" s="25">
        <v>45685</v>
      </c>
      <c r="AM643" s="13" t="s">
        <v>148</v>
      </c>
      <c r="AR643" s="117"/>
      <c r="AS643" s="123"/>
      <c r="AT643" s="123"/>
      <c r="AU643" s="123"/>
      <c r="AZ643" s="115"/>
      <c r="BA643" s="115"/>
      <c r="BB643" s="115"/>
      <c r="BC643" s="115"/>
      <c r="BD643" s="115"/>
      <c r="BE643" s="115"/>
      <c r="BF643" s="115"/>
      <c r="BG643" s="115"/>
      <c r="BH643" s="115"/>
      <c r="BI643" s="115" t="s">
        <v>150</v>
      </c>
      <c r="BJ643" s="13">
        <f>SUBTOTAL(3,BJ630:BJ630)</f>
        <v>1</v>
      </c>
      <c r="BK643" s="13">
        <f>SUBTOTAL(3,BK630:BK630)</f>
        <v>1</v>
      </c>
      <c r="BN643" s="114"/>
    </row>
    <row r="644" spans="1:66" ht="19.5" x14ac:dyDescent="0.4">
      <c r="A644" s="117"/>
      <c r="B644" s="123"/>
      <c r="C644" s="123"/>
      <c r="D644" s="123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27"/>
      <c r="AB644" s="29"/>
      <c r="AL644" s="25"/>
      <c r="AM644" s="13"/>
      <c r="AR644" s="117"/>
      <c r="AS644" s="123"/>
      <c r="AT644" s="123"/>
      <c r="AU644" s="123"/>
      <c r="AZ644" s="115"/>
      <c r="BA644" s="115"/>
      <c r="BB644" s="115"/>
      <c r="BC644" s="115"/>
      <c r="BD644" s="115"/>
      <c r="BE644" s="115"/>
      <c r="BF644" s="115"/>
      <c r="BG644" s="115"/>
      <c r="BH644" s="115"/>
      <c r="BI644" s="115"/>
      <c r="BJ644" s="13"/>
      <c r="BK644" s="13"/>
      <c r="BN644" s="114"/>
    </row>
    <row r="645" spans="1:66" ht="19.5" x14ac:dyDescent="0.4">
      <c r="A645" s="117"/>
      <c r="B645" s="123"/>
      <c r="C645" s="123"/>
      <c r="D645" s="123"/>
      <c r="AA645" s="127"/>
      <c r="AB645" s="29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25">
        <v>45685</v>
      </c>
      <c r="AM645" s="15" t="s">
        <v>146</v>
      </c>
      <c r="AR645" s="117"/>
      <c r="AS645" s="123"/>
      <c r="AT645" s="123"/>
      <c r="AU645" s="123"/>
      <c r="AZ645" s="115"/>
      <c r="BA645" s="115"/>
      <c r="BB645" s="115"/>
      <c r="BC645" s="115"/>
      <c r="BD645" s="115"/>
      <c r="BE645" s="115"/>
      <c r="BF645" s="115"/>
      <c r="BG645" s="115"/>
      <c r="BH645" s="115"/>
      <c r="BI645" s="115"/>
      <c r="BJ645" s="13"/>
      <c r="BK645" s="13"/>
      <c r="BN645" s="114"/>
    </row>
    <row r="646" spans="1:66" ht="19.5" x14ac:dyDescent="0.4">
      <c r="A646" s="117"/>
      <c r="B646" s="123"/>
      <c r="C646" s="123"/>
      <c r="D646" s="123"/>
      <c r="AA646" s="127"/>
      <c r="AB646" s="29"/>
      <c r="AL646" s="25">
        <v>45685</v>
      </c>
      <c r="AM646" s="15" t="s">
        <v>146</v>
      </c>
      <c r="AR646" s="117"/>
      <c r="AS646" s="123"/>
      <c r="AT646" s="123"/>
      <c r="AU646" s="123"/>
      <c r="AZ646" s="115"/>
      <c r="BA646" s="115"/>
      <c r="BB646" s="115"/>
      <c r="BC646" s="115"/>
      <c r="BD646" s="115"/>
      <c r="BE646" s="115"/>
      <c r="BF646" s="115"/>
      <c r="BG646" s="115"/>
      <c r="BH646" s="115"/>
      <c r="BI646" s="115"/>
      <c r="BJ646" s="25">
        <v>45264</v>
      </c>
      <c r="BK646" s="13" t="s">
        <v>162</v>
      </c>
      <c r="BN646" s="114"/>
    </row>
    <row r="647" spans="1:66" ht="19.5" x14ac:dyDescent="0.4">
      <c r="A647" s="117"/>
      <c r="B647" s="123"/>
      <c r="C647" s="123"/>
      <c r="D647" s="123"/>
      <c r="AA647" s="127"/>
      <c r="AB647" s="29"/>
      <c r="AH647" s="115"/>
      <c r="AI647" s="115"/>
      <c r="AJ647" s="115"/>
      <c r="AK647" s="115"/>
      <c r="AL647" s="25">
        <v>45686</v>
      </c>
      <c r="AM647" s="15" t="s">
        <v>148</v>
      </c>
      <c r="AR647" s="117"/>
      <c r="AS647" s="123"/>
      <c r="AT647" s="123"/>
      <c r="AU647" s="123"/>
      <c r="AZ647" s="115"/>
      <c r="BA647" s="115"/>
      <c r="BB647" s="115"/>
      <c r="BC647" s="115"/>
      <c r="BD647" s="115"/>
      <c r="BE647" s="115"/>
      <c r="BF647" s="115"/>
      <c r="BG647" s="115"/>
      <c r="BH647" s="115"/>
      <c r="BI647" s="115"/>
      <c r="BJ647" s="25"/>
      <c r="BK647" s="13"/>
      <c r="BN647" s="114"/>
    </row>
    <row r="648" spans="1:66" ht="19.5" x14ac:dyDescent="0.4">
      <c r="A648" s="117"/>
      <c r="B648" s="123"/>
      <c r="C648" s="123"/>
      <c r="D648" s="123"/>
      <c r="AA648" s="127"/>
      <c r="AB648" s="29"/>
      <c r="AF648" s="115"/>
      <c r="AG648" s="115"/>
      <c r="AH648" s="115"/>
      <c r="AI648" s="115"/>
      <c r="AJ648" s="115"/>
      <c r="AK648" s="115"/>
      <c r="AL648" s="25">
        <v>45686</v>
      </c>
      <c r="AM648" s="15" t="s">
        <v>146</v>
      </c>
      <c r="AR648" s="117"/>
      <c r="AS648" s="123"/>
      <c r="AT648" s="123"/>
      <c r="AU648" s="123"/>
      <c r="AZ648" s="115"/>
      <c r="BA648" s="115"/>
      <c r="BB648" s="115"/>
      <c r="BC648" s="115"/>
      <c r="BD648" s="115"/>
      <c r="BE648" s="115"/>
      <c r="BF648" s="115"/>
      <c r="BG648" s="115"/>
      <c r="BH648" s="115"/>
      <c r="BI648" s="115"/>
      <c r="BJ648" s="25"/>
      <c r="BK648" s="13"/>
      <c r="BN648" s="114"/>
    </row>
    <row r="649" spans="1:66" ht="19.5" x14ac:dyDescent="0.4">
      <c r="A649" s="117"/>
      <c r="B649" s="123"/>
      <c r="C649" s="123"/>
      <c r="D649" s="123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27"/>
      <c r="AB649" s="29"/>
      <c r="AF649" s="115"/>
      <c r="AG649" s="115"/>
      <c r="AH649" s="115"/>
      <c r="AI649" s="115"/>
      <c r="AJ649" s="115"/>
      <c r="AK649" s="115"/>
      <c r="AL649" s="25"/>
      <c r="AM649" s="15"/>
      <c r="AR649" s="117"/>
      <c r="AS649" s="123"/>
      <c r="AT649" s="123"/>
      <c r="AU649" s="123"/>
      <c r="AZ649" s="115"/>
      <c r="BA649" s="115"/>
      <c r="BB649" s="115"/>
      <c r="BC649" s="115"/>
      <c r="BD649" s="115"/>
      <c r="BE649" s="115"/>
      <c r="BF649" s="115"/>
      <c r="BG649" s="115"/>
      <c r="BH649" s="115"/>
      <c r="BI649" s="115"/>
      <c r="BJ649" s="25"/>
      <c r="BK649" s="13"/>
      <c r="BN649" s="114"/>
    </row>
    <row r="650" spans="1:66" ht="19.5" x14ac:dyDescent="0.4">
      <c r="A650" s="117"/>
      <c r="B650" s="123"/>
      <c r="C650" s="123"/>
      <c r="D650" s="123"/>
      <c r="AA650" s="127"/>
      <c r="AB650" s="29"/>
      <c r="AF650" s="115"/>
      <c r="AG650" s="115"/>
      <c r="AH650" s="115"/>
      <c r="AI650" s="115"/>
      <c r="AJ650" s="115"/>
      <c r="AK650" s="115"/>
      <c r="AL650" s="25">
        <v>45686</v>
      </c>
      <c r="AM650" s="15" t="s">
        <v>148</v>
      </c>
      <c r="AR650" s="117"/>
      <c r="AS650" s="123"/>
      <c r="AT650" s="123"/>
      <c r="AU650" s="123"/>
      <c r="AZ650" s="115"/>
      <c r="BA650" s="115"/>
      <c r="BB650" s="115"/>
      <c r="BC650" s="115"/>
      <c r="BD650" s="115"/>
      <c r="BE650" s="115"/>
      <c r="BF650" s="115"/>
      <c r="BG650" s="115"/>
      <c r="BH650" s="115"/>
      <c r="BI650" s="115"/>
      <c r="BJ650" s="25"/>
      <c r="BK650" s="13"/>
      <c r="BN650" s="114"/>
    </row>
    <row r="651" spans="1:66" ht="19.5" x14ac:dyDescent="0.4">
      <c r="A651" s="117"/>
      <c r="B651" s="123"/>
      <c r="C651" s="123"/>
      <c r="D651" s="123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27"/>
      <c r="AB651" s="29"/>
      <c r="AF651" s="115"/>
      <c r="AG651" s="115"/>
      <c r="AH651" s="115"/>
      <c r="AI651" s="115"/>
      <c r="AJ651" s="115"/>
      <c r="AK651" s="115"/>
      <c r="AL651" s="25"/>
      <c r="AM651" s="15"/>
      <c r="AR651" s="117"/>
      <c r="AS651" s="123"/>
      <c r="AT651" s="123"/>
      <c r="AU651" s="123"/>
      <c r="AZ651" s="115"/>
      <c r="BA651" s="115"/>
      <c r="BB651" s="115"/>
      <c r="BC651" s="115"/>
      <c r="BD651" s="115"/>
      <c r="BE651" s="115"/>
      <c r="BF651" s="115"/>
      <c r="BG651" s="115"/>
      <c r="BH651" s="115"/>
      <c r="BI651" s="115"/>
      <c r="BJ651" s="25"/>
      <c r="BK651" s="13"/>
      <c r="BN651" s="114"/>
    </row>
    <row r="652" spans="1:66" ht="19.5" x14ac:dyDescent="0.4">
      <c r="A652" s="117"/>
      <c r="B652" s="123"/>
      <c r="C652" s="123"/>
      <c r="D652" s="123"/>
      <c r="AA652" s="127"/>
      <c r="AB652" s="29"/>
      <c r="AL652" s="25">
        <v>45686</v>
      </c>
      <c r="AM652" s="15" t="s">
        <v>146</v>
      </c>
      <c r="AR652" s="117"/>
      <c r="AS652" s="123"/>
      <c r="AT652" s="123"/>
      <c r="AU652" s="123"/>
      <c r="AZ652" s="115"/>
      <c r="BA652" s="115"/>
      <c r="BB652" s="115"/>
      <c r="BC652" s="115"/>
      <c r="BD652" s="115"/>
      <c r="BE652" s="115"/>
      <c r="BF652" s="115"/>
      <c r="BG652" s="115"/>
      <c r="BH652" s="115"/>
      <c r="BI652" s="115" t="s">
        <v>154</v>
      </c>
      <c r="BJ652" s="13">
        <f>SUBTOTAL(3,BJ646:BJ646)</f>
        <v>1</v>
      </c>
      <c r="BK652" s="13">
        <f>SUBTOTAL(3,BK646:BK646)</f>
        <v>1</v>
      </c>
      <c r="BN652" s="114"/>
    </row>
    <row r="653" spans="1:66" ht="19.5" x14ac:dyDescent="0.4">
      <c r="A653" s="117"/>
      <c r="B653" s="123"/>
      <c r="C653" s="123"/>
      <c r="D653" s="123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27"/>
      <c r="AB653" s="29"/>
      <c r="AL653" s="25"/>
      <c r="AM653" s="15"/>
      <c r="AR653" s="117"/>
      <c r="AS653" s="123"/>
      <c r="AT653" s="123"/>
      <c r="AU653" s="123"/>
      <c r="AZ653" s="115"/>
      <c r="BA653" s="115"/>
      <c r="BB653" s="115"/>
      <c r="BC653" s="115"/>
      <c r="BD653" s="115"/>
      <c r="BE653" s="115"/>
      <c r="BF653" s="115"/>
      <c r="BG653" s="115"/>
      <c r="BH653" s="115"/>
      <c r="BI653" s="115"/>
      <c r="BJ653" s="13"/>
      <c r="BK653" s="13"/>
      <c r="BN653" s="114"/>
    </row>
    <row r="654" spans="1:66" ht="19.5" x14ac:dyDescent="0.4">
      <c r="A654" s="117"/>
      <c r="B654" s="123"/>
      <c r="C654" s="123"/>
      <c r="D654" s="123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27"/>
      <c r="AB654" s="29"/>
      <c r="AL654" s="25"/>
      <c r="AM654" s="15"/>
      <c r="AR654" s="117"/>
      <c r="AS654" s="123"/>
      <c r="AT654" s="123"/>
      <c r="AU654" s="123"/>
      <c r="AZ654" s="115"/>
      <c r="BA654" s="115"/>
      <c r="BB654" s="115"/>
      <c r="BC654" s="115"/>
      <c r="BD654" s="115"/>
      <c r="BE654" s="115"/>
      <c r="BF654" s="115"/>
      <c r="BG654" s="115"/>
      <c r="BH654" s="115"/>
      <c r="BI654" s="115"/>
      <c r="BJ654" s="13"/>
      <c r="BK654" s="13"/>
      <c r="BN654" s="114"/>
    </row>
    <row r="655" spans="1:66" ht="19.5" x14ac:dyDescent="0.4">
      <c r="A655" s="117"/>
      <c r="B655" s="123"/>
      <c r="C655" s="123"/>
      <c r="D655" s="123"/>
      <c r="AA655" s="127"/>
      <c r="AB655" s="29"/>
      <c r="AL655" s="25">
        <v>45686</v>
      </c>
      <c r="AM655" s="15" t="s">
        <v>146</v>
      </c>
      <c r="AR655" s="117"/>
      <c r="AS655" s="123"/>
      <c r="AT655" s="123"/>
      <c r="AU655" s="123"/>
      <c r="AZ655" s="115"/>
      <c r="BA655" s="115"/>
      <c r="BB655" s="115"/>
      <c r="BC655" s="115"/>
      <c r="BD655" s="115"/>
      <c r="BE655" s="115"/>
      <c r="BF655" s="115"/>
      <c r="BG655" s="115"/>
      <c r="BH655" s="115"/>
      <c r="BI655" s="115"/>
      <c r="BJ655" s="25">
        <v>45265</v>
      </c>
      <c r="BK655" s="13" t="s">
        <v>162</v>
      </c>
      <c r="BN655" s="114"/>
    </row>
    <row r="656" spans="1:66" ht="19.5" x14ac:dyDescent="0.4">
      <c r="A656" s="117"/>
      <c r="B656" s="123"/>
      <c r="C656" s="123"/>
      <c r="D656" s="123"/>
      <c r="AA656" s="127"/>
      <c r="AB656" s="29"/>
      <c r="AL656" s="25">
        <v>45686</v>
      </c>
      <c r="AM656" s="15" t="s">
        <v>146</v>
      </c>
      <c r="AR656" s="117"/>
      <c r="AS656" s="123"/>
      <c r="AT656" s="123"/>
      <c r="AU656" s="123"/>
      <c r="AZ656" s="115"/>
      <c r="BA656" s="115"/>
      <c r="BB656" s="115"/>
      <c r="BC656" s="115"/>
      <c r="BD656" s="115"/>
      <c r="BE656" s="115"/>
      <c r="BF656" s="115"/>
      <c r="BG656" s="115"/>
      <c r="BH656" s="115"/>
      <c r="BI656" s="115"/>
      <c r="BJ656" s="25">
        <v>45265</v>
      </c>
      <c r="BK656" s="25" t="s">
        <v>162</v>
      </c>
      <c r="BN656" s="114"/>
    </row>
    <row r="657" spans="1:66" ht="19.5" x14ac:dyDescent="0.4">
      <c r="A657" s="117"/>
      <c r="B657" s="123"/>
      <c r="C657" s="123"/>
      <c r="D657" s="123"/>
      <c r="AA657" s="127"/>
      <c r="AB657" s="29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25">
        <v>45686</v>
      </c>
      <c r="AM657" s="15" t="s">
        <v>146</v>
      </c>
      <c r="AR657" s="117"/>
      <c r="AS657" s="123"/>
      <c r="AT657" s="123"/>
      <c r="AU657" s="123"/>
      <c r="AZ657" s="115"/>
      <c r="BA657" s="115"/>
      <c r="BB657" s="115"/>
      <c r="BC657" s="115"/>
      <c r="BD657" s="115"/>
      <c r="BE657" s="115"/>
      <c r="BF657" s="115"/>
      <c r="BG657" s="115"/>
      <c r="BH657" s="115"/>
      <c r="BI657" s="115"/>
      <c r="BJ657" s="25"/>
      <c r="BK657" s="25"/>
      <c r="BN657" s="114"/>
    </row>
    <row r="658" spans="1:66" ht="19.5" x14ac:dyDescent="0.4">
      <c r="A658" s="117"/>
      <c r="B658" s="123"/>
      <c r="C658" s="123"/>
      <c r="D658" s="123"/>
      <c r="AA658" s="128"/>
      <c r="AB658" s="29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25"/>
      <c r="AM658" s="13"/>
      <c r="AR658" s="117"/>
      <c r="AS658" s="123"/>
      <c r="AT658" s="123"/>
      <c r="AU658" s="123"/>
      <c r="AZ658" s="115"/>
      <c r="BA658" s="115"/>
      <c r="BB658" s="115"/>
      <c r="BC658" s="115"/>
      <c r="BD658" s="115"/>
      <c r="BE658" s="115"/>
      <c r="BF658" s="115"/>
      <c r="BG658" s="115"/>
      <c r="BH658" s="115"/>
      <c r="BI658" s="115"/>
      <c r="BJ658" s="25"/>
      <c r="BK658" s="25"/>
      <c r="BN658" s="114"/>
    </row>
    <row r="659" spans="1:66" ht="19.5" x14ac:dyDescent="0.4">
      <c r="A659" s="117"/>
      <c r="B659" s="123"/>
      <c r="C659" s="123"/>
      <c r="D659" s="123"/>
      <c r="AA659" s="127"/>
      <c r="AB659" s="29"/>
      <c r="AL659" s="25">
        <v>45686</v>
      </c>
      <c r="AM659" s="13" t="s">
        <v>146</v>
      </c>
      <c r="AR659" s="117"/>
      <c r="AS659" s="123"/>
      <c r="AT659" s="123"/>
      <c r="AU659" s="123"/>
      <c r="AZ659" s="115"/>
      <c r="BA659" s="115"/>
      <c r="BB659" s="115"/>
      <c r="BC659" s="115"/>
      <c r="BD659" s="115"/>
      <c r="BE659" s="115"/>
      <c r="BF659" s="115"/>
      <c r="BG659" s="115"/>
      <c r="BH659" s="115"/>
      <c r="BI659" s="115"/>
      <c r="BJ659" s="25">
        <v>45265</v>
      </c>
      <c r="BK659" s="13" t="s">
        <v>162</v>
      </c>
      <c r="BN659" s="114"/>
    </row>
    <row r="660" spans="1:66" ht="19.5" x14ac:dyDescent="0.4">
      <c r="A660" s="117"/>
      <c r="B660" s="123"/>
      <c r="C660" s="123"/>
      <c r="D660" s="123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27"/>
      <c r="AB660" s="29"/>
      <c r="AL660" s="25"/>
      <c r="AM660" s="13"/>
      <c r="AR660" s="117"/>
      <c r="AS660" s="123"/>
      <c r="AT660" s="123"/>
      <c r="AU660" s="123"/>
      <c r="AZ660" s="115"/>
      <c r="BA660" s="115"/>
      <c r="BB660" s="115"/>
      <c r="BC660" s="115"/>
      <c r="BD660" s="115"/>
      <c r="BE660" s="115"/>
      <c r="BF660" s="115"/>
      <c r="BG660" s="115"/>
      <c r="BH660" s="115"/>
      <c r="BI660" s="115"/>
      <c r="BJ660" s="25"/>
      <c r="BK660" s="13"/>
      <c r="BN660" s="114"/>
    </row>
    <row r="661" spans="1:66" ht="19.5" x14ac:dyDescent="0.4">
      <c r="A661" s="117"/>
      <c r="B661" s="123"/>
      <c r="C661" s="123"/>
      <c r="D661" s="123"/>
      <c r="AA661" s="127"/>
      <c r="AB661" s="29"/>
      <c r="AH661" s="115"/>
      <c r="AI661" s="115"/>
      <c r="AJ661" s="115"/>
      <c r="AK661" s="115"/>
      <c r="AL661" s="25">
        <v>45686</v>
      </c>
      <c r="AM661" s="15" t="s">
        <v>146</v>
      </c>
      <c r="AR661" s="117"/>
      <c r="AS661" s="123"/>
      <c r="AT661" s="123"/>
      <c r="AU661" s="123"/>
      <c r="AZ661" s="115"/>
      <c r="BA661" s="115"/>
      <c r="BB661" s="115"/>
      <c r="BC661" s="115"/>
      <c r="BD661" s="115"/>
      <c r="BE661" s="115"/>
      <c r="BF661" s="115"/>
      <c r="BG661" s="115"/>
      <c r="BH661" s="115"/>
      <c r="BI661" s="115"/>
      <c r="BJ661" s="25"/>
      <c r="BK661" s="13"/>
      <c r="BN661" s="114"/>
    </row>
    <row r="662" spans="1:66" ht="19.5" x14ac:dyDescent="0.4">
      <c r="A662" s="117"/>
      <c r="B662" s="123"/>
      <c r="C662" s="123"/>
      <c r="D662" s="123"/>
      <c r="AA662" s="127"/>
      <c r="AB662" s="29"/>
      <c r="AL662" s="25">
        <v>45686</v>
      </c>
      <c r="AM662" s="15" t="s">
        <v>147</v>
      </c>
      <c r="AR662" s="117"/>
      <c r="AS662" s="123"/>
      <c r="AT662" s="123"/>
      <c r="AU662" s="123"/>
      <c r="AZ662" s="115"/>
      <c r="BA662" s="115"/>
      <c r="BB662" s="115"/>
      <c r="BC662" s="115"/>
      <c r="BD662" s="115"/>
      <c r="BE662" s="115"/>
      <c r="BF662" s="115"/>
      <c r="BG662" s="115"/>
      <c r="BH662" s="115"/>
      <c r="BI662" s="115"/>
      <c r="BJ662" s="25">
        <v>45265</v>
      </c>
      <c r="BK662" s="13" t="s">
        <v>162</v>
      </c>
      <c r="BN662" s="114"/>
    </row>
    <row r="663" spans="1:66" ht="19.5" x14ac:dyDescent="0.4">
      <c r="A663" s="117"/>
      <c r="B663" s="123"/>
      <c r="C663" s="123"/>
      <c r="D663" s="123"/>
      <c r="AA663" s="127"/>
      <c r="AB663" s="29"/>
      <c r="AI663" s="115"/>
      <c r="AJ663" s="115"/>
      <c r="AK663" s="115"/>
      <c r="AL663" s="25">
        <v>45686</v>
      </c>
      <c r="AM663" s="15" t="s">
        <v>147</v>
      </c>
      <c r="AR663" s="117"/>
      <c r="AS663" s="123"/>
      <c r="AT663" s="123"/>
      <c r="AU663" s="123"/>
      <c r="AZ663" s="115"/>
      <c r="BA663" s="115"/>
      <c r="BB663" s="115"/>
      <c r="BC663" s="115"/>
      <c r="BD663" s="115"/>
      <c r="BE663" s="115"/>
      <c r="BF663" s="115"/>
      <c r="BG663" s="115"/>
      <c r="BH663" s="115"/>
      <c r="BI663" s="115"/>
      <c r="BJ663" s="25"/>
      <c r="BK663" s="13"/>
      <c r="BN663" s="114"/>
    </row>
    <row r="664" spans="1:66" ht="19.5" x14ac:dyDescent="0.4">
      <c r="A664" s="117"/>
      <c r="B664" s="123"/>
      <c r="C664" s="123"/>
      <c r="D664" s="123"/>
      <c r="AA664" s="127"/>
      <c r="AB664" s="29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25">
        <v>45686</v>
      </c>
      <c r="AM664" s="13" t="s">
        <v>146</v>
      </c>
      <c r="AR664" s="117"/>
      <c r="AS664" s="123"/>
      <c r="AT664" s="123"/>
      <c r="AU664" s="123"/>
      <c r="AZ664" s="115"/>
      <c r="BA664" s="115"/>
      <c r="BB664" s="115"/>
      <c r="BC664" s="115"/>
      <c r="BD664" s="115"/>
      <c r="BE664" s="115"/>
      <c r="BF664" s="115"/>
      <c r="BG664" s="115"/>
      <c r="BH664" s="115"/>
      <c r="BI664" s="115"/>
      <c r="BJ664" s="25"/>
      <c r="BK664" s="13"/>
      <c r="BN664" s="114"/>
    </row>
    <row r="665" spans="1:66" ht="19.5" x14ac:dyDescent="0.4">
      <c r="A665" s="117"/>
      <c r="B665" s="123"/>
      <c r="C665" s="123"/>
      <c r="D665" s="123"/>
      <c r="AA665" s="127"/>
      <c r="AB665" s="29"/>
      <c r="AL665" s="25">
        <v>45686</v>
      </c>
      <c r="AM665" s="25" t="s">
        <v>146</v>
      </c>
      <c r="AR665" s="117"/>
      <c r="AS665" s="123"/>
      <c r="AT665" s="123"/>
      <c r="AU665" s="123"/>
      <c r="AZ665" s="115"/>
      <c r="BA665" s="115"/>
      <c r="BB665" s="115"/>
      <c r="BC665" s="115"/>
      <c r="BD665" s="115"/>
      <c r="BE665" s="115"/>
      <c r="BF665" s="115"/>
      <c r="BG665" s="115"/>
      <c r="BH665" s="115"/>
      <c r="BI665" s="115"/>
      <c r="BJ665" s="25">
        <v>45265</v>
      </c>
      <c r="BK665" s="13" t="s">
        <v>163</v>
      </c>
      <c r="BN665" s="114"/>
    </row>
    <row r="666" spans="1:66" ht="19.5" x14ac:dyDescent="0.4">
      <c r="A666" s="117"/>
      <c r="B666" s="123"/>
      <c r="C666" s="123"/>
      <c r="D666" s="123"/>
      <c r="AA666" s="127"/>
      <c r="AB666" s="29"/>
      <c r="AL666" s="25">
        <v>45686</v>
      </c>
      <c r="AM666" s="25" t="s">
        <v>147</v>
      </c>
      <c r="AR666" s="117"/>
      <c r="AS666" s="123"/>
      <c r="AT666" s="123"/>
      <c r="AU666" s="123"/>
      <c r="AZ666" s="115"/>
      <c r="BA666" s="115"/>
      <c r="BB666" s="115"/>
      <c r="BC666" s="115"/>
      <c r="BD666" s="115"/>
      <c r="BE666" s="115"/>
      <c r="BF666" s="115"/>
      <c r="BG666" s="115"/>
      <c r="BH666" s="115"/>
      <c r="BI666" s="115" t="s">
        <v>155</v>
      </c>
      <c r="BJ666" s="13">
        <f>SUBTOTAL(3,BJ655:BJ665)</f>
        <v>5</v>
      </c>
      <c r="BK666" s="13">
        <f>SUBTOTAL(3,BK655:BK665)</f>
        <v>5</v>
      </c>
      <c r="BN666" s="114"/>
    </row>
    <row r="667" spans="1:66" ht="19.5" x14ac:dyDescent="0.4">
      <c r="A667" s="117"/>
      <c r="B667" s="123"/>
      <c r="C667" s="123"/>
      <c r="D667" s="123"/>
      <c r="AA667" s="127"/>
      <c r="AB667" s="29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25">
        <v>45686</v>
      </c>
      <c r="AM667" s="25" t="s">
        <v>148</v>
      </c>
      <c r="AR667" s="117"/>
      <c r="AS667" s="123"/>
      <c r="AT667" s="123"/>
      <c r="AU667" s="123"/>
      <c r="AZ667" s="115"/>
      <c r="BA667" s="115"/>
      <c r="BB667" s="115"/>
      <c r="BC667" s="115"/>
      <c r="BD667" s="115"/>
      <c r="BE667" s="115"/>
      <c r="BF667" s="115"/>
      <c r="BG667" s="115"/>
      <c r="BH667" s="115"/>
      <c r="BI667" s="115"/>
      <c r="BJ667" s="13"/>
      <c r="BK667" s="13"/>
      <c r="BN667" s="114"/>
    </row>
    <row r="668" spans="1:66" ht="19.5" x14ac:dyDescent="0.4">
      <c r="A668" s="117"/>
      <c r="B668" s="123"/>
      <c r="C668" s="123"/>
      <c r="D668" s="123"/>
      <c r="AA668" s="127"/>
      <c r="AB668" s="29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25">
        <v>45686</v>
      </c>
      <c r="AM668" s="13" t="s">
        <v>146</v>
      </c>
      <c r="AR668" s="117"/>
      <c r="AS668" s="123"/>
      <c r="AT668" s="123"/>
      <c r="AU668" s="123"/>
      <c r="AZ668" s="115"/>
      <c r="BA668" s="115"/>
      <c r="BB668" s="115"/>
      <c r="BC668" s="115"/>
      <c r="BD668" s="115"/>
      <c r="BE668" s="115"/>
      <c r="BF668" s="115"/>
      <c r="BG668" s="115"/>
      <c r="BH668" s="115"/>
      <c r="BI668" s="115"/>
      <c r="BJ668" s="13"/>
      <c r="BK668" s="13"/>
      <c r="BN668" s="114"/>
    </row>
    <row r="669" spans="1:66" ht="19.5" x14ac:dyDescent="0.4">
      <c r="A669" s="117"/>
      <c r="B669" s="123"/>
      <c r="C669" s="123"/>
      <c r="D669" s="123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27"/>
      <c r="AB669" s="29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25">
        <v>45686</v>
      </c>
      <c r="AM669" s="13" t="s">
        <v>146</v>
      </c>
      <c r="AR669" s="117"/>
      <c r="AS669" s="123"/>
      <c r="AT669" s="123"/>
      <c r="AU669" s="123"/>
      <c r="AZ669" s="115"/>
      <c r="BA669" s="115"/>
      <c r="BB669" s="115"/>
      <c r="BC669" s="115"/>
      <c r="BD669" s="115"/>
      <c r="BE669" s="115"/>
      <c r="BF669" s="115"/>
      <c r="BG669" s="115"/>
      <c r="BH669" s="115"/>
      <c r="BI669" s="115"/>
      <c r="BJ669" s="13"/>
      <c r="BK669" s="13"/>
      <c r="BN669" s="114"/>
    </row>
    <row r="670" spans="1:66" ht="19.5" x14ac:dyDescent="0.4">
      <c r="A670" s="117"/>
      <c r="B670" s="123"/>
      <c r="C670" s="123"/>
      <c r="D670" s="123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27"/>
      <c r="AB670" s="29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25">
        <v>45686</v>
      </c>
      <c r="AM670" s="15" t="s">
        <v>148</v>
      </c>
      <c r="AR670" s="117"/>
      <c r="AS670" s="123"/>
      <c r="AT670" s="123"/>
      <c r="AU670" s="123"/>
      <c r="AZ670" s="115"/>
      <c r="BA670" s="115"/>
      <c r="BB670" s="115"/>
      <c r="BC670" s="115"/>
      <c r="BD670" s="115"/>
      <c r="BE670" s="115"/>
      <c r="BF670" s="115"/>
      <c r="BG670" s="115"/>
      <c r="BH670" s="115"/>
      <c r="BI670" s="115"/>
      <c r="BJ670" s="13"/>
      <c r="BK670" s="13"/>
      <c r="BN670" s="114"/>
    </row>
    <row r="671" spans="1:66" ht="19.5" x14ac:dyDescent="0.4">
      <c r="A671" s="117"/>
      <c r="B671" s="123"/>
      <c r="C671" s="123"/>
      <c r="D671" s="123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27"/>
      <c r="AB671" s="29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25">
        <v>45686</v>
      </c>
      <c r="AM671" s="15" t="s">
        <v>148</v>
      </c>
      <c r="AR671" s="117"/>
      <c r="AS671" s="123"/>
      <c r="AT671" s="123"/>
      <c r="AU671" s="123"/>
      <c r="AZ671" s="115"/>
      <c r="BA671" s="115"/>
      <c r="BB671" s="115"/>
      <c r="BC671" s="115"/>
      <c r="BD671" s="115"/>
      <c r="BE671" s="115"/>
      <c r="BF671" s="115"/>
      <c r="BG671" s="115"/>
      <c r="BH671" s="115"/>
      <c r="BI671" s="115"/>
      <c r="BJ671" s="13"/>
      <c r="BK671" s="13"/>
      <c r="BN671" s="114"/>
    </row>
    <row r="672" spans="1:66" ht="19.5" x14ac:dyDescent="0.4">
      <c r="A672" s="117"/>
      <c r="B672" s="123"/>
      <c r="C672" s="123"/>
      <c r="D672" s="123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27"/>
      <c r="AB672" s="29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25">
        <v>45686</v>
      </c>
      <c r="AM672" s="15" t="s">
        <v>148</v>
      </c>
      <c r="AR672" s="117"/>
      <c r="AS672" s="123"/>
      <c r="AT672" s="123"/>
      <c r="AU672" s="123"/>
      <c r="AZ672" s="115"/>
      <c r="BA672" s="115"/>
      <c r="BB672" s="115"/>
      <c r="BC672" s="115"/>
      <c r="BD672" s="115"/>
      <c r="BE672" s="115"/>
      <c r="BF672" s="115"/>
      <c r="BG672" s="115"/>
      <c r="BH672" s="115"/>
      <c r="BI672" s="115"/>
      <c r="BJ672" s="13"/>
      <c r="BK672" s="13"/>
      <c r="BN672" s="114"/>
    </row>
    <row r="673" spans="1:66" ht="19.5" x14ac:dyDescent="0.4">
      <c r="A673" s="117"/>
      <c r="B673" s="123"/>
      <c r="C673" s="123"/>
      <c r="D673" s="123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27"/>
      <c r="AB673" s="29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25">
        <v>45686</v>
      </c>
      <c r="AM673" s="15" t="s">
        <v>146</v>
      </c>
      <c r="AR673" s="117"/>
      <c r="AS673" s="123"/>
      <c r="AT673" s="123"/>
      <c r="AU673" s="123"/>
      <c r="AZ673" s="115"/>
      <c r="BA673" s="115"/>
      <c r="BB673" s="115"/>
      <c r="BC673" s="115"/>
      <c r="BD673" s="115"/>
      <c r="BE673" s="115"/>
      <c r="BF673" s="115"/>
      <c r="BG673" s="115"/>
      <c r="BH673" s="115"/>
      <c r="BI673" s="115"/>
      <c r="BJ673" s="13"/>
      <c r="BK673" s="13"/>
      <c r="BN673" s="114"/>
    </row>
    <row r="674" spans="1:66" ht="19.5" x14ac:dyDescent="0.4">
      <c r="A674" s="117"/>
      <c r="B674" s="123"/>
      <c r="C674" s="123"/>
      <c r="D674" s="123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27"/>
      <c r="AB674" s="29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25">
        <v>45686</v>
      </c>
      <c r="AM674" s="15" t="s">
        <v>148</v>
      </c>
      <c r="AR674" s="117"/>
      <c r="AS674" s="123"/>
      <c r="AT674" s="123"/>
      <c r="AU674" s="123"/>
      <c r="AZ674" s="115"/>
      <c r="BA674" s="115"/>
      <c r="BB674" s="115"/>
      <c r="BC674" s="115"/>
      <c r="BD674" s="115"/>
      <c r="BE674" s="115"/>
      <c r="BF674" s="115"/>
      <c r="BG674" s="115"/>
      <c r="BH674" s="115"/>
      <c r="BI674" s="115"/>
      <c r="BJ674" s="13"/>
      <c r="BK674" s="13"/>
      <c r="BN674" s="114"/>
    </row>
    <row r="675" spans="1:66" ht="19.5" x14ac:dyDescent="0.4">
      <c r="A675" s="117"/>
      <c r="B675" s="123"/>
      <c r="C675" s="123"/>
      <c r="D675" s="123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27"/>
      <c r="AB675" s="29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25">
        <v>45689</v>
      </c>
      <c r="AM675" s="15" t="s">
        <v>147</v>
      </c>
      <c r="AR675" s="117"/>
      <c r="AS675" s="123"/>
      <c r="AT675" s="123"/>
      <c r="AU675" s="123"/>
      <c r="AZ675" s="115"/>
      <c r="BA675" s="115"/>
      <c r="BB675" s="115"/>
      <c r="BC675" s="115"/>
      <c r="BD675" s="115"/>
      <c r="BE675" s="115"/>
      <c r="BF675" s="115"/>
      <c r="BG675" s="115"/>
      <c r="BH675" s="115"/>
      <c r="BI675" s="115"/>
      <c r="BJ675" s="13"/>
      <c r="BK675" s="13"/>
      <c r="BN675" s="114"/>
    </row>
    <row r="676" spans="1:66" ht="19.5" x14ac:dyDescent="0.4">
      <c r="A676" s="117"/>
      <c r="B676" s="123"/>
      <c r="C676" s="123"/>
      <c r="D676" s="123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27"/>
      <c r="AB676" s="29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25"/>
      <c r="AM676" s="15"/>
      <c r="AR676" s="117"/>
      <c r="AS676" s="123"/>
      <c r="AT676" s="123"/>
      <c r="AU676" s="123"/>
      <c r="AZ676" s="115"/>
      <c r="BA676" s="115"/>
      <c r="BB676" s="115"/>
      <c r="BC676" s="115"/>
      <c r="BD676" s="115"/>
      <c r="BE676" s="115"/>
      <c r="BF676" s="115"/>
      <c r="BG676" s="115"/>
      <c r="BH676" s="115"/>
      <c r="BI676" s="115"/>
      <c r="BJ676" s="13"/>
      <c r="BK676" s="13"/>
      <c r="BN676" s="114"/>
    </row>
    <row r="677" spans="1:66" ht="19.5" x14ac:dyDescent="0.4">
      <c r="A677" s="117"/>
      <c r="B677" s="123"/>
      <c r="C677" s="123"/>
      <c r="D677" s="123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27"/>
      <c r="AB677" s="29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25">
        <v>45689</v>
      </c>
      <c r="AM677" s="15" t="s">
        <v>147</v>
      </c>
      <c r="AR677" s="117"/>
      <c r="AS677" s="123"/>
      <c r="AT677" s="123"/>
      <c r="AU677" s="123"/>
      <c r="AZ677" s="115"/>
      <c r="BA677" s="115"/>
      <c r="BB677" s="115"/>
      <c r="BC677" s="115"/>
      <c r="BD677" s="115"/>
      <c r="BE677" s="115"/>
      <c r="BF677" s="115"/>
      <c r="BG677" s="115"/>
      <c r="BH677" s="115"/>
      <c r="BI677" s="115"/>
      <c r="BJ677" s="13"/>
      <c r="BK677" s="13"/>
      <c r="BN677" s="114"/>
    </row>
    <row r="678" spans="1:66" ht="19.5" x14ac:dyDescent="0.4">
      <c r="A678" s="117"/>
      <c r="B678" s="123"/>
      <c r="C678" s="123"/>
      <c r="D678" s="123"/>
      <c r="AA678" s="127"/>
      <c r="AB678" s="29"/>
      <c r="AL678" s="25">
        <v>45689</v>
      </c>
      <c r="AM678" s="15" t="s">
        <v>146</v>
      </c>
      <c r="AR678" s="117"/>
      <c r="AS678" s="123"/>
      <c r="AT678" s="123"/>
      <c r="AU678" s="123"/>
      <c r="AW678" s="115"/>
      <c r="AX678" s="115"/>
      <c r="AY678" s="115"/>
      <c r="AZ678" s="115"/>
      <c r="BA678" s="115"/>
      <c r="BB678" s="115"/>
      <c r="BC678" s="115"/>
      <c r="BD678" s="115"/>
      <c r="BE678" s="115"/>
      <c r="BF678" s="115"/>
      <c r="BG678" s="115"/>
      <c r="BH678" s="115"/>
      <c r="BI678" s="115"/>
      <c r="BJ678" s="25">
        <v>45266</v>
      </c>
      <c r="BK678" s="25" t="s">
        <v>162</v>
      </c>
      <c r="BN678" s="114"/>
    </row>
    <row r="679" spans="1:66" ht="19.5" x14ac:dyDescent="0.4">
      <c r="A679" s="117"/>
      <c r="B679" s="123"/>
      <c r="C679" s="123"/>
      <c r="D679" s="123"/>
      <c r="AA679" s="128"/>
      <c r="AB679" s="29"/>
      <c r="AL679" s="25"/>
      <c r="AM679" s="15"/>
      <c r="AR679" s="117"/>
      <c r="AS679" s="123"/>
      <c r="AT679" s="123"/>
      <c r="AU679" s="123"/>
      <c r="AW679" s="115"/>
      <c r="AX679" s="115"/>
      <c r="AY679" s="115"/>
      <c r="AZ679" s="115"/>
      <c r="BA679" s="115"/>
      <c r="BB679" s="115"/>
      <c r="BC679" s="115"/>
      <c r="BD679" s="115"/>
      <c r="BE679" s="115"/>
      <c r="BF679" s="115"/>
      <c r="BG679" s="115"/>
      <c r="BH679" s="115"/>
      <c r="BI679" s="115"/>
      <c r="BJ679" s="25"/>
      <c r="BK679" s="25"/>
      <c r="BN679" s="114"/>
    </row>
    <row r="680" spans="1:66" ht="19.5" x14ac:dyDescent="0.4">
      <c r="A680" s="117"/>
      <c r="B680" s="123"/>
      <c r="C680" s="123"/>
      <c r="D680" s="123"/>
      <c r="AA680" s="127"/>
      <c r="AB680" s="29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25">
        <v>45689</v>
      </c>
      <c r="AM680" s="15" t="s">
        <v>146</v>
      </c>
      <c r="AR680" s="117"/>
      <c r="AS680" s="123"/>
      <c r="AT680" s="123"/>
      <c r="AU680" s="123"/>
      <c r="AW680" s="115"/>
      <c r="AX680" s="115"/>
      <c r="AY680" s="115"/>
      <c r="AZ680" s="115"/>
      <c r="BA680" s="115"/>
      <c r="BB680" s="115"/>
      <c r="BC680" s="115"/>
      <c r="BD680" s="115"/>
      <c r="BE680" s="115"/>
      <c r="BF680" s="115"/>
      <c r="BG680" s="115"/>
      <c r="BH680" s="115"/>
      <c r="BI680" s="115"/>
      <c r="BJ680" s="25"/>
      <c r="BK680" s="25"/>
      <c r="BN680" s="114"/>
    </row>
    <row r="681" spans="1:66" ht="19.5" x14ac:dyDescent="0.4">
      <c r="A681" s="117"/>
      <c r="B681" s="123"/>
      <c r="C681" s="123"/>
      <c r="D681" s="123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27"/>
      <c r="AB681" s="29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25"/>
      <c r="AM681" s="15"/>
      <c r="AR681" s="117"/>
      <c r="AS681" s="123"/>
      <c r="AT681" s="123"/>
      <c r="AU681" s="123"/>
      <c r="AW681" s="115"/>
      <c r="AX681" s="115"/>
      <c r="AY681" s="115"/>
      <c r="AZ681" s="115"/>
      <c r="BA681" s="115"/>
      <c r="BB681" s="115"/>
      <c r="BC681" s="115"/>
      <c r="BD681" s="115"/>
      <c r="BE681" s="115"/>
      <c r="BF681" s="115"/>
      <c r="BG681" s="115"/>
      <c r="BH681" s="115"/>
      <c r="BI681" s="115"/>
      <c r="BJ681" s="25"/>
      <c r="BK681" s="25"/>
      <c r="BN681" s="114"/>
    </row>
    <row r="682" spans="1:66" ht="19.5" x14ac:dyDescent="0.4">
      <c r="A682" s="117"/>
      <c r="B682" s="123"/>
      <c r="C682" s="123"/>
      <c r="D682" s="123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27"/>
      <c r="AB682" s="29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25"/>
      <c r="AM682" s="15"/>
      <c r="AR682" s="117"/>
      <c r="AS682" s="123"/>
      <c r="AT682" s="123"/>
      <c r="AU682" s="123"/>
      <c r="AW682" s="115"/>
      <c r="AX682" s="115"/>
      <c r="AY682" s="115"/>
      <c r="AZ682" s="115"/>
      <c r="BA682" s="115"/>
      <c r="BB682" s="115"/>
      <c r="BC682" s="115"/>
      <c r="BD682" s="115"/>
      <c r="BE682" s="115"/>
      <c r="BF682" s="115"/>
      <c r="BG682" s="115"/>
      <c r="BH682" s="115"/>
      <c r="BI682" s="115"/>
      <c r="BJ682" s="25"/>
      <c r="BK682" s="25"/>
      <c r="BN682" s="114"/>
    </row>
    <row r="683" spans="1:66" ht="19.5" x14ac:dyDescent="0.4">
      <c r="A683" s="117"/>
      <c r="B683" s="123"/>
      <c r="C683" s="123"/>
      <c r="D683" s="123"/>
      <c r="AA683" s="127"/>
      <c r="AB683" s="29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25">
        <v>45690</v>
      </c>
      <c r="AM683" s="15" t="s">
        <v>146</v>
      </c>
      <c r="AR683" s="117"/>
      <c r="AS683" s="123"/>
      <c r="AT683" s="123"/>
      <c r="AU683" s="123"/>
      <c r="AW683" s="115"/>
      <c r="AX683" s="115"/>
      <c r="AY683" s="115"/>
      <c r="AZ683" s="115"/>
      <c r="BA683" s="115"/>
      <c r="BB683" s="115"/>
      <c r="BC683" s="115"/>
      <c r="BD683" s="115"/>
      <c r="BE683" s="115"/>
      <c r="BF683" s="115"/>
      <c r="BG683" s="115"/>
      <c r="BH683" s="115"/>
      <c r="BI683" s="115"/>
      <c r="BJ683" s="25"/>
      <c r="BK683" s="25"/>
      <c r="BN683" s="114"/>
    </row>
    <row r="684" spans="1:66" ht="19.5" x14ac:dyDescent="0.4">
      <c r="A684" s="117"/>
      <c r="B684" s="123"/>
      <c r="C684" s="123"/>
      <c r="D684" s="123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27"/>
      <c r="AB684" s="29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25"/>
      <c r="AM684" s="15"/>
      <c r="AR684" s="117"/>
      <c r="AS684" s="123"/>
      <c r="AT684" s="123"/>
      <c r="AU684" s="123"/>
      <c r="AW684" s="115"/>
      <c r="AX684" s="115"/>
      <c r="AY684" s="115"/>
      <c r="AZ684" s="115"/>
      <c r="BA684" s="115"/>
      <c r="BB684" s="115"/>
      <c r="BC684" s="115"/>
      <c r="BD684" s="115"/>
      <c r="BE684" s="115"/>
      <c r="BF684" s="115"/>
      <c r="BG684" s="115"/>
      <c r="BH684" s="115"/>
      <c r="BI684" s="115"/>
      <c r="BJ684" s="25"/>
      <c r="BK684" s="25"/>
      <c r="BN684" s="114"/>
    </row>
    <row r="685" spans="1:66" ht="19.5" x14ac:dyDescent="0.4">
      <c r="A685" s="117"/>
      <c r="B685" s="123"/>
      <c r="C685" s="123"/>
      <c r="D685" s="123"/>
      <c r="AA685" s="127"/>
      <c r="AB685" s="29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25">
        <v>45691</v>
      </c>
      <c r="AM685" s="15" t="s">
        <v>146</v>
      </c>
      <c r="AR685" s="117"/>
      <c r="AS685" s="123"/>
      <c r="AT685" s="123"/>
      <c r="AU685" s="123"/>
      <c r="AW685" s="115"/>
      <c r="AX685" s="115"/>
      <c r="AY685" s="115"/>
      <c r="AZ685" s="115"/>
      <c r="BA685" s="115"/>
      <c r="BB685" s="115"/>
      <c r="BC685" s="115"/>
      <c r="BD685" s="115"/>
      <c r="BE685" s="115"/>
      <c r="BF685" s="115"/>
      <c r="BG685" s="115"/>
      <c r="BH685" s="115"/>
      <c r="BI685" s="115"/>
      <c r="BJ685" s="25"/>
      <c r="BK685" s="25"/>
      <c r="BN685" s="114"/>
    </row>
    <row r="686" spans="1:66" ht="19.5" x14ac:dyDescent="0.4">
      <c r="A686" s="117"/>
      <c r="B686" s="123"/>
      <c r="C686" s="123"/>
      <c r="D686" s="123"/>
      <c r="AA686" s="127"/>
      <c r="AB686" s="29"/>
      <c r="AL686" s="25">
        <v>45691</v>
      </c>
      <c r="AM686" s="15" t="s">
        <v>146</v>
      </c>
      <c r="AR686" s="117"/>
      <c r="AS686" s="123"/>
      <c r="AT686" s="123"/>
      <c r="AU686" s="123"/>
      <c r="AW686" s="115"/>
      <c r="AX686" s="115"/>
      <c r="AY686" s="115"/>
      <c r="AZ686" s="115"/>
      <c r="BA686" s="115"/>
      <c r="BB686" s="115"/>
      <c r="BC686" s="115"/>
      <c r="BD686" s="115"/>
      <c r="BE686" s="115"/>
      <c r="BF686" s="115"/>
      <c r="BG686" s="115"/>
      <c r="BH686" s="115"/>
      <c r="BI686" s="115" t="s">
        <v>156</v>
      </c>
      <c r="BJ686" s="13">
        <f>SUBTOTAL(3,BJ678:BJ678)</f>
        <v>1</v>
      </c>
      <c r="BK686" s="13">
        <f>SUBTOTAL(3,BK678:BK678)</f>
        <v>1</v>
      </c>
      <c r="BN686" s="114"/>
    </row>
    <row r="687" spans="1:66" ht="19.5" x14ac:dyDescent="0.4">
      <c r="A687" s="117"/>
      <c r="B687" s="123"/>
      <c r="C687" s="123"/>
      <c r="D687" s="123"/>
      <c r="AA687" s="127"/>
      <c r="AB687" s="29"/>
      <c r="AH687" s="115"/>
      <c r="AI687" s="115"/>
      <c r="AJ687" s="115"/>
      <c r="AK687" s="115"/>
      <c r="AL687" s="25">
        <v>45691</v>
      </c>
      <c r="AM687" s="15" t="s">
        <v>146</v>
      </c>
      <c r="AR687" s="117"/>
      <c r="AS687" s="123"/>
      <c r="AT687" s="123"/>
      <c r="AU687" s="123"/>
      <c r="AW687" s="115"/>
      <c r="AX687" s="115"/>
      <c r="AY687" s="115"/>
      <c r="AZ687" s="115"/>
      <c r="BA687" s="115"/>
      <c r="BB687" s="115"/>
      <c r="BC687" s="115"/>
      <c r="BD687" s="115"/>
      <c r="BE687" s="115"/>
      <c r="BF687" s="115"/>
      <c r="BG687" s="115"/>
      <c r="BH687" s="115"/>
      <c r="BI687" s="115"/>
      <c r="BJ687" s="13"/>
      <c r="BK687" s="13"/>
      <c r="BN687" s="114"/>
    </row>
    <row r="688" spans="1:66" ht="19.5" x14ac:dyDescent="0.4">
      <c r="A688" s="117"/>
      <c r="B688" s="123"/>
      <c r="C688" s="123"/>
      <c r="D688" s="123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27"/>
      <c r="AB688" s="29"/>
      <c r="AH688" s="115"/>
      <c r="AI688" s="115"/>
      <c r="AJ688" s="115"/>
      <c r="AK688" s="115"/>
      <c r="AL688" s="25"/>
      <c r="AM688" s="15"/>
      <c r="AR688" s="117"/>
      <c r="AS688" s="123"/>
      <c r="AT688" s="123"/>
      <c r="AU688" s="123"/>
      <c r="AW688" s="115"/>
      <c r="AX688" s="115"/>
      <c r="AY688" s="115"/>
      <c r="AZ688" s="115"/>
      <c r="BA688" s="115"/>
      <c r="BB688" s="115"/>
      <c r="BC688" s="115"/>
      <c r="BD688" s="115"/>
      <c r="BE688" s="115"/>
      <c r="BF688" s="115"/>
      <c r="BG688" s="115"/>
      <c r="BH688" s="115"/>
      <c r="BI688" s="115"/>
      <c r="BJ688" s="13"/>
      <c r="BK688" s="13"/>
      <c r="BN688" s="114"/>
    </row>
    <row r="689" spans="1:66" ht="19.5" x14ac:dyDescent="0.4">
      <c r="A689" s="117"/>
      <c r="B689" s="123"/>
      <c r="C689" s="123"/>
      <c r="D689" s="123"/>
      <c r="AA689" s="127"/>
      <c r="AB689" s="29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25">
        <v>45691</v>
      </c>
      <c r="AM689" s="15" t="s">
        <v>146</v>
      </c>
      <c r="AR689" s="117"/>
      <c r="AS689" s="123"/>
      <c r="AT689" s="123"/>
      <c r="AU689" s="123"/>
      <c r="AW689" s="115"/>
      <c r="AX689" s="115"/>
      <c r="AY689" s="115"/>
      <c r="AZ689" s="115"/>
      <c r="BA689" s="115"/>
      <c r="BB689" s="115"/>
      <c r="BC689" s="115"/>
      <c r="BD689" s="115"/>
      <c r="BE689" s="115"/>
      <c r="BF689" s="115"/>
      <c r="BG689" s="115"/>
      <c r="BH689" s="115"/>
      <c r="BI689" s="115"/>
      <c r="BJ689" s="13"/>
      <c r="BK689" s="13"/>
      <c r="BN689" s="114"/>
    </row>
    <row r="690" spans="1:66" ht="19.5" x14ac:dyDescent="0.4">
      <c r="A690" s="117"/>
      <c r="B690" s="123"/>
      <c r="C690" s="123"/>
      <c r="D690" s="123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27"/>
      <c r="AB690" s="29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25"/>
      <c r="AM690" s="15"/>
      <c r="AR690" s="117"/>
      <c r="AS690" s="123"/>
      <c r="AT690" s="123"/>
      <c r="AU690" s="123"/>
      <c r="AW690" s="115"/>
      <c r="AX690" s="115"/>
      <c r="AY690" s="115"/>
      <c r="AZ690" s="115"/>
      <c r="BA690" s="115"/>
      <c r="BB690" s="115"/>
      <c r="BC690" s="115"/>
      <c r="BD690" s="115"/>
      <c r="BE690" s="115"/>
      <c r="BF690" s="115"/>
      <c r="BG690" s="115"/>
      <c r="BH690" s="115"/>
      <c r="BI690" s="115"/>
      <c r="BJ690" s="13"/>
      <c r="BK690" s="13"/>
      <c r="BN690" s="114"/>
    </row>
    <row r="691" spans="1:66" ht="19.5" x14ac:dyDescent="0.4">
      <c r="A691" s="117"/>
      <c r="B691" s="123"/>
      <c r="C691" s="123"/>
      <c r="D691" s="123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27"/>
      <c r="AB691" s="29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25"/>
      <c r="AM691" s="15"/>
      <c r="AR691" s="117"/>
      <c r="AS691" s="123"/>
      <c r="AT691" s="123"/>
      <c r="AU691" s="123"/>
      <c r="AW691" s="115"/>
      <c r="AX691" s="115"/>
      <c r="AY691" s="115"/>
      <c r="AZ691" s="115"/>
      <c r="BA691" s="115"/>
      <c r="BB691" s="115"/>
      <c r="BC691" s="115"/>
      <c r="BD691" s="115"/>
      <c r="BE691" s="115"/>
      <c r="BF691" s="115"/>
      <c r="BG691" s="115"/>
      <c r="BH691" s="115"/>
      <c r="BI691" s="115"/>
      <c r="BJ691" s="13"/>
      <c r="BK691" s="13"/>
      <c r="BN691" s="114"/>
    </row>
    <row r="692" spans="1:66" ht="19.5" x14ac:dyDescent="0.4">
      <c r="A692" s="117"/>
      <c r="B692" s="123"/>
      <c r="C692" s="123"/>
      <c r="D692" s="123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27"/>
      <c r="AB692" s="29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25"/>
      <c r="AM692" s="15"/>
      <c r="AR692" s="117"/>
      <c r="AS692" s="123"/>
      <c r="AT692" s="123"/>
      <c r="AU692" s="123"/>
      <c r="AW692" s="115"/>
      <c r="AX692" s="115"/>
      <c r="AY692" s="115"/>
      <c r="AZ692" s="115"/>
      <c r="BA692" s="115"/>
      <c r="BB692" s="115"/>
      <c r="BC692" s="115"/>
      <c r="BD692" s="115"/>
      <c r="BE692" s="115"/>
      <c r="BF692" s="115"/>
      <c r="BG692" s="115"/>
      <c r="BH692" s="115"/>
      <c r="BI692" s="115"/>
      <c r="BJ692" s="13"/>
      <c r="BK692" s="13"/>
      <c r="BN692" s="114"/>
    </row>
    <row r="693" spans="1:66" ht="19.5" x14ac:dyDescent="0.4">
      <c r="A693" s="117"/>
      <c r="B693" s="123"/>
      <c r="C693" s="123"/>
      <c r="D693" s="123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28"/>
      <c r="AB693" s="29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25"/>
      <c r="AM693" s="15"/>
      <c r="AR693" s="117"/>
      <c r="AS693" s="123"/>
      <c r="AT693" s="123"/>
      <c r="AU693" s="123"/>
      <c r="AW693" s="115"/>
      <c r="AX693" s="115"/>
      <c r="AY693" s="115"/>
      <c r="AZ693" s="115"/>
      <c r="BA693" s="115"/>
      <c r="BB693" s="115"/>
      <c r="BC693" s="115"/>
      <c r="BD693" s="115"/>
      <c r="BE693" s="115"/>
      <c r="BF693" s="115"/>
      <c r="BG693" s="115"/>
      <c r="BH693" s="115"/>
      <c r="BI693" s="115"/>
      <c r="BJ693" s="13"/>
      <c r="BK693" s="13"/>
      <c r="BN693" s="114"/>
    </row>
    <row r="694" spans="1:66" ht="19.5" x14ac:dyDescent="0.4">
      <c r="A694" s="117"/>
      <c r="B694" s="123"/>
      <c r="C694" s="123"/>
      <c r="D694" s="123"/>
      <c r="AA694" s="127"/>
      <c r="AB694" s="29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25">
        <v>45692</v>
      </c>
      <c r="AM694" s="15" t="s">
        <v>146</v>
      </c>
      <c r="AR694" s="117"/>
      <c r="AS694" s="123"/>
      <c r="AT694" s="123"/>
      <c r="AU694" s="123"/>
      <c r="AW694" s="115"/>
      <c r="AX694" s="115"/>
      <c r="AY694" s="115"/>
      <c r="AZ694" s="115"/>
      <c r="BA694" s="115"/>
      <c r="BB694" s="115"/>
      <c r="BC694" s="115"/>
      <c r="BD694" s="115"/>
      <c r="BE694" s="115"/>
      <c r="BF694" s="115"/>
      <c r="BG694" s="115"/>
      <c r="BH694" s="115"/>
      <c r="BI694" s="115"/>
      <c r="BJ694" s="13"/>
      <c r="BK694" s="13"/>
      <c r="BN694" s="114"/>
    </row>
    <row r="695" spans="1:66" ht="19.5" x14ac:dyDescent="0.4">
      <c r="A695" s="117"/>
      <c r="B695" s="123"/>
      <c r="C695" s="123"/>
      <c r="D695" s="123"/>
      <c r="AA695" s="128"/>
      <c r="AB695" s="29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25"/>
      <c r="AM695" s="15"/>
      <c r="AR695" s="117"/>
      <c r="AS695" s="123"/>
      <c r="AT695" s="123"/>
      <c r="AU695" s="123"/>
      <c r="AW695" s="115"/>
      <c r="AX695" s="115"/>
      <c r="AY695" s="115"/>
      <c r="AZ695" s="115"/>
      <c r="BA695" s="115"/>
      <c r="BB695" s="115"/>
      <c r="BC695" s="115"/>
      <c r="BD695" s="115"/>
      <c r="BE695" s="115"/>
      <c r="BF695" s="115"/>
      <c r="BG695" s="115"/>
      <c r="BH695" s="115"/>
      <c r="BI695" s="115"/>
      <c r="BJ695" s="13"/>
      <c r="BK695" s="13"/>
      <c r="BN695" s="114"/>
    </row>
    <row r="696" spans="1:66" ht="19.5" x14ac:dyDescent="0.4">
      <c r="A696" s="117"/>
      <c r="B696" s="123"/>
      <c r="C696" s="123"/>
      <c r="D696" s="123"/>
      <c r="AA696" s="127"/>
      <c r="AB696" s="29"/>
      <c r="AL696" s="25">
        <v>45692</v>
      </c>
      <c r="AM696" s="15" t="s">
        <v>146</v>
      </c>
      <c r="AR696" s="117"/>
      <c r="AS696" s="123"/>
      <c r="AT696" s="123"/>
      <c r="AU696" s="123"/>
      <c r="AW696" s="115"/>
      <c r="AX696" s="115"/>
      <c r="AY696" s="115"/>
      <c r="AZ696" s="115"/>
      <c r="BA696" s="115"/>
      <c r="BB696" s="115"/>
      <c r="BC696" s="115"/>
      <c r="BD696" s="115"/>
      <c r="BE696" s="115"/>
      <c r="BF696" s="115"/>
      <c r="BG696" s="115"/>
      <c r="BH696" s="115"/>
      <c r="BI696" s="115"/>
      <c r="BJ696" s="25">
        <v>45267</v>
      </c>
      <c r="BK696" s="13" t="s">
        <v>142</v>
      </c>
      <c r="BN696" s="114"/>
    </row>
    <row r="697" spans="1:66" ht="19.5" x14ac:dyDescent="0.4">
      <c r="A697" s="117"/>
      <c r="B697" s="123"/>
      <c r="C697" s="123"/>
      <c r="D697" s="123"/>
      <c r="AA697" s="127"/>
      <c r="AB697" s="29"/>
      <c r="AH697" s="115"/>
      <c r="AI697" s="115"/>
      <c r="AJ697" s="115"/>
      <c r="AK697" s="115"/>
      <c r="AL697" s="25">
        <v>45692</v>
      </c>
      <c r="AM697" s="15" t="s">
        <v>146</v>
      </c>
      <c r="AR697" s="117"/>
      <c r="AS697" s="123"/>
      <c r="AT697" s="123"/>
      <c r="AU697" s="123"/>
      <c r="AW697" s="115"/>
      <c r="AX697" s="115"/>
      <c r="AY697" s="115"/>
      <c r="AZ697" s="115"/>
      <c r="BA697" s="115"/>
      <c r="BB697" s="115"/>
      <c r="BC697" s="115"/>
      <c r="BD697" s="115"/>
      <c r="BE697" s="115"/>
      <c r="BF697" s="115"/>
      <c r="BG697" s="115"/>
      <c r="BH697" s="115"/>
      <c r="BI697" s="115"/>
      <c r="BJ697" s="25"/>
      <c r="BK697" s="13"/>
      <c r="BN697" s="114"/>
    </row>
    <row r="698" spans="1:66" ht="19.5" x14ac:dyDescent="0.4">
      <c r="A698" s="117"/>
      <c r="B698" s="123"/>
      <c r="C698" s="123"/>
      <c r="D698" s="123"/>
      <c r="AA698" s="127"/>
      <c r="AB698" s="29"/>
      <c r="AD698" s="115"/>
      <c r="AE698" s="115"/>
      <c r="AF698" s="115"/>
      <c r="AG698" s="115"/>
      <c r="AH698" s="115"/>
      <c r="AI698" s="115"/>
      <c r="AJ698" s="115"/>
      <c r="AK698" s="115"/>
      <c r="AL698" s="25">
        <v>45692</v>
      </c>
      <c r="AM698" s="15" t="s">
        <v>146</v>
      </c>
      <c r="AR698" s="117"/>
      <c r="AS698" s="123"/>
      <c r="AT698" s="123"/>
      <c r="AU698" s="123"/>
      <c r="AW698" s="115"/>
      <c r="AX698" s="115"/>
      <c r="AY698" s="115"/>
      <c r="AZ698" s="115"/>
      <c r="BA698" s="115"/>
      <c r="BB698" s="115"/>
      <c r="BC698" s="115"/>
      <c r="BD698" s="115"/>
      <c r="BE698" s="115"/>
      <c r="BF698" s="115"/>
      <c r="BG698" s="115"/>
      <c r="BH698" s="115"/>
      <c r="BI698" s="115"/>
      <c r="BJ698" s="25"/>
      <c r="BK698" s="13"/>
      <c r="BN698" s="114"/>
    </row>
    <row r="699" spans="1:66" ht="19.5" x14ac:dyDescent="0.4">
      <c r="A699" s="117"/>
      <c r="B699" s="123"/>
      <c r="C699" s="123"/>
      <c r="D699" s="123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27"/>
      <c r="AB699" s="29"/>
      <c r="AD699" s="115"/>
      <c r="AE699" s="115"/>
      <c r="AF699" s="115"/>
      <c r="AG699" s="115"/>
      <c r="AH699" s="115"/>
      <c r="AI699" s="115"/>
      <c r="AJ699" s="115"/>
      <c r="AK699" s="115"/>
      <c r="AL699" s="25"/>
      <c r="AM699" s="15"/>
      <c r="AR699" s="117"/>
      <c r="AS699" s="123"/>
      <c r="AT699" s="123"/>
      <c r="AU699" s="123"/>
      <c r="AW699" s="115"/>
      <c r="AX699" s="115"/>
      <c r="AY699" s="115"/>
      <c r="AZ699" s="115"/>
      <c r="BA699" s="115"/>
      <c r="BB699" s="115"/>
      <c r="BC699" s="115"/>
      <c r="BD699" s="115"/>
      <c r="BE699" s="115"/>
      <c r="BF699" s="115"/>
      <c r="BG699" s="115"/>
      <c r="BH699" s="115"/>
      <c r="BI699" s="115"/>
      <c r="BJ699" s="25"/>
      <c r="BK699" s="13"/>
      <c r="BN699" s="114"/>
    </row>
    <row r="700" spans="1:66" ht="19.5" x14ac:dyDescent="0.4">
      <c r="A700" s="117"/>
      <c r="B700" s="123"/>
      <c r="C700" s="123"/>
      <c r="D700" s="123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28"/>
      <c r="AB700" s="29"/>
      <c r="AD700" s="115"/>
      <c r="AE700" s="115"/>
      <c r="AF700" s="115"/>
      <c r="AG700" s="115"/>
      <c r="AH700" s="115"/>
      <c r="AI700" s="115"/>
      <c r="AJ700" s="115"/>
      <c r="AK700" s="115"/>
      <c r="AL700" s="25"/>
      <c r="AM700" s="15"/>
      <c r="AR700" s="117"/>
      <c r="AS700" s="123"/>
      <c r="AT700" s="123"/>
      <c r="AU700" s="123"/>
      <c r="AW700" s="115"/>
      <c r="AX700" s="115"/>
      <c r="AY700" s="115"/>
      <c r="AZ700" s="115"/>
      <c r="BA700" s="115"/>
      <c r="BB700" s="115"/>
      <c r="BC700" s="115"/>
      <c r="BD700" s="115"/>
      <c r="BE700" s="115"/>
      <c r="BF700" s="115"/>
      <c r="BG700" s="115"/>
      <c r="BH700" s="115"/>
      <c r="BI700" s="115"/>
      <c r="BJ700" s="25"/>
      <c r="BK700" s="13"/>
      <c r="BN700" s="114"/>
    </row>
    <row r="701" spans="1:66" ht="19.5" x14ac:dyDescent="0.4">
      <c r="A701" s="117"/>
      <c r="B701" s="123"/>
      <c r="C701" s="123"/>
      <c r="D701" s="123"/>
      <c r="AA701" s="127"/>
      <c r="AB701" s="29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25">
        <v>45693</v>
      </c>
      <c r="AM701" s="15" t="s">
        <v>146</v>
      </c>
      <c r="AR701" s="117"/>
      <c r="AS701" s="123"/>
      <c r="AT701" s="123"/>
      <c r="AU701" s="123"/>
      <c r="AW701" s="115"/>
      <c r="AX701" s="115"/>
      <c r="AY701" s="115"/>
      <c r="AZ701" s="115"/>
      <c r="BA701" s="115"/>
      <c r="BB701" s="115"/>
      <c r="BC701" s="115"/>
      <c r="BD701" s="115"/>
      <c r="BE701" s="115"/>
      <c r="BF701" s="115"/>
      <c r="BG701" s="115"/>
      <c r="BH701" s="115"/>
      <c r="BI701" s="115"/>
      <c r="BJ701" s="25"/>
      <c r="BK701" s="13"/>
      <c r="BN701" s="114"/>
    </row>
    <row r="702" spans="1:66" ht="19.5" x14ac:dyDescent="0.4">
      <c r="A702" s="117"/>
      <c r="B702" s="123"/>
      <c r="C702" s="123"/>
      <c r="D702" s="123"/>
      <c r="AA702" s="128"/>
      <c r="AB702" s="29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25"/>
      <c r="AM702" s="15"/>
      <c r="AR702" s="117"/>
      <c r="AS702" s="123"/>
      <c r="AT702" s="123"/>
      <c r="AU702" s="123"/>
      <c r="AW702" s="115"/>
      <c r="AX702" s="115"/>
      <c r="AY702" s="115"/>
      <c r="AZ702" s="115"/>
      <c r="BA702" s="115"/>
      <c r="BB702" s="115"/>
      <c r="BC702" s="115"/>
      <c r="BD702" s="115"/>
      <c r="BE702" s="115"/>
      <c r="BF702" s="115"/>
      <c r="BG702" s="115"/>
      <c r="BH702" s="115"/>
      <c r="BI702" s="115"/>
      <c r="BJ702" s="25"/>
      <c r="BK702" s="13"/>
      <c r="BN702" s="114"/>
    </row>
    <row r="703" spans="1:66" ht="19.5" x14ac:dyDescent="0.4">
      <c r="A703" s="117"/>
      <c r="B703" s="123"/>
      <c r="C703" s="123"/>
      <c r="D703" s="123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27"/>
      <c r="AB703" s="29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25"/>
      <c r="AM703" s="15"/>
      <c r="AR703" s="117"/>
      <c r="AS703" s="123"/>
      <c r="AT703" s="123"/>
      <c r="AU703" s="123"/>
      <c r="AW703" s="115"/>
      <c r="AX703" s="115"/>
      <c r="AY703" s="115"/>
      <c r="AZ703" s="115"/>
      <c r="BA703" s="115"/>
      <c r="BB703" s="115"/>
      <c r="BC703" s="115"/>
      <c r="BD703" s="115"/>
      <c r="BE703" s="115"/>
      <c r="BF703" s="115"/>
      <c r="BG703" s="115"/>
      <c r="BH703" s="115"/>
      <c r="BI703" s="115"/>
      <c r="BJ703" s="25"/>
      <c r="BK703" s="13"/>
      <c r="BN703" s="114"/>
    </row>
    <row r="704" spans="1:66" ht="19.5" x14ac:dyDescent="0.4">
      <c r="A704" s="117"/>
      <c r="B704" s="123"/>
      <c r="C704" s="123"/>
      <c r="D704" s="123"/>
      <c r="AA704" s="127"/>
      <c r="AB704" s="29"/>
      <c r="AL704" s="25">
        <v>45693</v>
      </c>
      <c r="AM704" s="15" t="s">
        <v>146</v>
      </c>
      <c r="AR704" s="117"/>
      <c r="AS704" s="123"/>
      <c r="AT704" s="123"/>
      <c r="AU704" s="123"/>
      <c r="AW704" s="115"/>
      <c r="AX704" s="115"/>
      <c r="AY704" s="115"/>
      <c r="AZ704" s="115"/>
      <c r="BA704" s="115"/>
      <c r="BB704" s="115"/>
      <c r="BC704" s="115"/>
      <c r="BD704" s="115"/>
      <c r="BE704" s="115"/>
      <c r="BF704" s="115"/>
      <c r="BG704" s="115"/>
      <c r="BH704" s="115"/>
      <c r="BI704" s="115" t="s">
        <v>157</v>
      </c>
      <c r="BJ704" s="13">
        <f>SUBTOTAL(3,BJ696:BJ696)</f>
        <v>1</v>
      </c>
      <c r="BK704" s="13">
        <f>SUBTOTAL(3,BK696:BK696)</f>
        <v>1</v>
      </c>
      <c r="BN704" s="114"/>
    </row>
    <row r="705" spans="1:66" ht="19.5" x14ac:dyDescent="0.4">
      <c r="A705" s="117"/>
      <c r="B705" s="123"/>
      <c r="C705" s="123"/>
      <c r="D705" s="123"/>
      <c r="AA705" s="127"/>
      <c r="AB705" s="29"/>
      <c r="AD705" s="115"/>
      <c r="AE705" s="115"/>
      <c r="AF705" s="115"/>
      <c r="AG705" s="115"/>
      <c r="AH705" s="115"/>
      <c r="AI705" s="115"/>
      <c r="AJ705" s="115"/>
      <c r="AK705" s="115"/>
      <c r="AL705" s="25">
        <v>45693</v>
      </c>
      <c r="AM705" s="15" t="s">
        <v>146</v>
      </c>
      <c r="AR705" s="117"/>
      <c r="AS705" s="123"/>
      <c r="AT705" s="123"/>
      <c r="AU705" s="123"/>
      <c r="AW705" s="115"/>
      <c r="AX705" s="115"/>
      <c r="AY705" s="115"/>
      <c r="AZ705" s="115"/>
      <c r="BA705" s="115"/>
      <c r="BB705" s="115"/>
      <c r="BC705" s="115"/>
      <c r="BD705" s="115"/>
      <c r="BE705" s="115"/>
      <c r="BF705" s="115"/>
      <c r="BG705" s="115"/>
      <c r="BH705" s="115"/>
      <c r="BI705" s="115"/>
      <c r="BJ705" s="13"/>
      <c r="BK705" s="13"/>
      <c r="BN705" s="114"/>
    </row>
    <row r="706" spans="1:66" ht="19.5" x14ac:dyDescent="0.4">
      <c r="A706" s="117"/>
      <c r="B706" s="123"/>
      <c r="C706" s="123"/>
      <c r="D706" s="123"/>
      <c r="AA706" s="128"/>
      <c r="AB706" s="29"/>
      <c r="AD706" s="115"/>
      <c r="AE706" s="115"/>
      <c r="AF706" s="115"/>
      <c r="AG706" s="115"/>
      <c r="AH706" s="115"/>
      <c r="AI706" s="115"/>
      <c r="AJ706" s="115"/>
      <c r="AK706" s="115"/>
      <c r="AL706" s="25"/>
      <c r="AM706" s="15"/>
      <c r="AR706" s="117"/>
      <c r="AS706" s="123"/>
      <c r="AT706" s="123"/>
      <c r="AU706" s="123"/>
      <c r="AW706" s="115"/>
      <c r="AX706" s="115"/>
      <c r="AY706" s="115"/>
      <c r="AZ706" s="115"/>
      <c r="BA706" s="115"/>
      <c r="BB706" s="115"/>
      <c r="BC706" s="115"/>
      <c r="BD706" s="115"/>
      <c r="BE706" s="115"/>
      <c r="BF706" s="115"/>
      <c r="BG706" s="115"/>
      <c r="BH706" s="115"/>
      <c r="BI706" s="115"/>
      <c r="BJ706" s="13"/>
      <c r="BK706" s="13"/>
      <c r="BN706" s="114"/>
    </row>
    <row r="707" spans="1:66" ht="19.5" x14ac:dyDescent="0.4">
      <c r="A707" s="117"/>
      <c r="B707" s="123"/>
      <c r="C707" s="123"/>
      <c r="D707" s="123"/>
      <c r="AA707" s="128"/>
      <c r="AB707" s="29"/>
      <c r="AD707" s="115"/>
      <c r="AE707" s="115"/>
      <c r="AF707" s="115"/>
      <c r="AG707" s="115"/>
      <c r="AH707" s="115"/>
      <c r="AI707" s="115"/>
      <c r="AJ707" s="115"/>
      <c r="AK707" s="115"/>
      <c r="AL707" s="25"/>
      <c r="AM707" s="15"/>
      <c r="AR707" s="117"/>
      <c r="AS707" s="123"/>
      <c r="AT707" s="123"/>
      <c r="AU707" s="123"/>
      <c r="AW707" s="115"/>
      <c r="AX707" s="115"/>
      <c r="AY707" s="115"/>
      <c r="AZ707" s="115"/>
      <c r="BA707" s="115"/>
      <c r="BB707" s="115"/>
      <c r="BC707" s="115"/>
      <c r="BD707" s="115"/>
      <c r="BE707" s="115"/>
      <c r="BF707" s="115"/>
      <c r="BG707" s="115"/>
      <c r="BH707" s="115"/>
      <c r="BI707" s="115"/>
      <c r="BJ707" s="13"/>
      <c r="BK707" s="13"/>
      <c r="BN707" s="114"/>
    </row>
    <row r="708" spans="1:66" ht="19.5" x14ac:dyDescent="0.4">
      <c r="A708" s="117"/>
      <c r="B708" s="123"/>
      <c r="C708" s="123"/>
      <c r="D708" s="123"/>
      <c r="AA708" s="127"/>
      <c r="AB708" s="29"/>
      <c r="AD708" s="115"/>
      <c r="AE708" s="115"/>
      <c r="AF708" s="115"/>
      <c r="AG708" s="115"/>
      <c r="AH708" s="115"/>
      <c r="AI708" s="115"/>
      <c r="AJ708" s="115"/>
      <c r="AK708" s="115"/>
      <c r="AL708" s="25">
        <v>45694</v>
      </c>
      <c r="AM708" s="15" t="s">
        <v>147</v>
      </c>
      <c r="AR708" s="117"/>
      <c r="AS708" s="123"/>
      <c r="AT708" s="123"/>
      <c r="AU708" s="123"/>
      <c r="AW708" s="115"/>
      <c r="AX708" s="115"/>
      <c r="AY708" s="115"/>
      <c r="AZ708" s="115"/>
      <c r="BA708" s="115"/>
      <c r="BB708" s="115"/>
      <c r="BC708" s="115"/>
      <c r="BD708" s="115"/>
      <c r="BE708" s="115"/>
      <c r="BF708" s="115"/>
      <c r="BG708" s="115"/>
      <c r="BH708" s="115"/>
      <c r="BI708" s="115"/>
      <c r="BJ708" s="13"/>
      <c r="BK708" s="13"/>
      <c r="BN708" s="114"/>
    </row>
    <row r="709" spans="1:66" ht="19.5" x14ac:dyDescent="0.4">
      <c r="A709" s="117"/>
      <c r="B709" s="123"/>
      <c r="C709" s="123"/>
      <c r="D709" s="123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29"/>
      <c r="AB709" s="29"/>
      <c r="AD709" s="115"/>
      <c r="AE709" s="115"/>
      <c r="AF709" s="115"/>
      <c r="AG709" s="115"/>
      <c r="AH709" s="115"/>
      <c r="AI709" s="115"/>
      <c r="AJ709" s="115"/>
      <c r="AK709" s="115"/>
      <c r="AL709" s="25"/>
      <c r="AM709" s="15"/>
      <c r="AR709" s="117"/>
      <c r="AS709" s="123"/>
      <c r="AT709" s="123"/>
      <c r="AU709" s="123"/>
      <c r="AW709" s="115"/>
      <c r="AX709" s="115"/>
      <c r="AY709" s="115"/>
      <c r="AZ709" s="115"/>
      <c r="BA709" s="115"/>
      <c r="BB709" s="115"/>
      <c r="BC709" s="115"/>
      <c r="BD709" s="115"/>
      <c r="BE709" s="115"/>
      <c r="BF709" s="115"/>
      <c r="BG709" s="115"/>
      <c r="BH709" s="115"/>
      <c r="BI709" s="115"/>
      <c r="BJ709" s="13"/>
      <c r="BK709" s="13"/>
      <c r="BN709" s="114"/>
    </row>
    <row r="710" spans="1:66" ht="19.5" x14ac:dyDescent="0.4">
      <c r="A710" s="117"/>
      <c r="B710" s="123"/>
      <c r="C710" s="123"/>
      <c r="D710" s="123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29"/>
      <c r="AB710" s="29"/>
      <c r="AD710" s="115"/>
      <c r="AE710" s="115"/>
      <c r="AF710" s="115"/>
      <c r="AG710" s="115"/>
      <c r="AH710" s="115"/>
      <c r="AI710" s="115"/>
      <c r="AJ710" s="115"/>
      <c r="AK710" s="115"/>
      <c r="AL710" s="25"/>
      <c r="AM710" s="15"/>
      <c r="AR710" s="117"/>
      <c r="AS710" s="123"/>
      <c r="AT710" s="123"/>
      <c r="AU710" s="123"/>
      <c r="AW710" s="115"/>
      <c r="AX710" s="115"/>
      <c r="AY710" s="115"/>
      <c r="AZ710" s="115"/>
      <c r="BA710" s="115"/>
      <c r="BB710" s="115"/>
      <c r="BC710" s="115"/>
      <c r="BD710" s="115"/>
      <c r="BE710" s="115"/>
      <c r="BF710" s="115"/>
      <c r="BG710" s="115"/>
      <c r="BH710" s="115"/>
      <c r="BI710" s="115"/>
      <c r="BJ710" s="13"/>
      <c r="BK710" s="13"/>
      <c r="BN710" s="114"/>
    </row>
    <row r="711" spans="1:66" ht="19.5" x14ac:dyDescent="0.4">
      <c r="A711" s="117"/>
      <c r="B711" s="123"/>
      <c r="C711" s="123"/>
      <c r="D711" s="123"/>
      <c r="AA711" s="127"/>
      <c r="AB711" s="29"/>
      <c r="AD711" s="115"/>
      <c r="AE711" s="115"/>
      <c r="AF711" s="115"/>
      <c r="AG711" s="115"/>
      <c r="AH711" s="115"/>
      <c r="AI711" s="115"/>
      <c r="AJ711" s="115"/>
      <c r="AK711" s="115"/>
      <c r="AL711" s="25">
        <v>45694</v>
      </c>
      <c r="AM711" s="105" t="s">
        <v>147</v>
      </c>
      <c r="AR711" s="117"/>
      <c r="AS711" s="123"/>
      <c r="AT711" s="123"/>
      <c r="AU711" s="123"/>
      <c r="AW711" s="115"/>
      <c r="AX711" s="115"/>
      <c r="AY711" s="115"/>
      <c r="AZ711" s="115"/>
      <c r="BA711" s="115"/>
      <c r="BB711" s="115"/>
      <c r="BC711" s="115"/>
      <c r="BD711" s="115"/>
      <c r="BE711" s="115"/>
      <c r="BF711" s="115"/>
      <c r="BG711" s="115"/>
      <c r="BH711" s="115"/>
      <c r="BI711" s="115"/>
      <c r="BJ711" s="13"/>
      <c r="BK711" s="13"/>
      <c r="BN711" s="114"/>
    </row>
    <row r="712" spans="1:66" ht="19.5" x14ac:dyDescent="0.4">
      <c r="A712" s="117"/>
      <c r="B712" s="123"/>
      <c r="C712" s="123"/>
      <c r="D712" s="123"/>
      <c r="AA712" s="127"/>
      <c r="AB712" s="29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25">
        <v>45694</v>
      </c>
      <c r="AM712" s="15" t="s">
        <v>147</v>
      </c>
      <c r="AR712" s="117"/>
      <c r="AS712" s="123"/>
      <c r="AT712" s="123"/>
      <c r="AU712" s="123"/>
      <c r="AW712" s="115"/>
      <c r="AX712" s="115"/>
      <c r="AY712" s="115"/>
      <c r="AZ712" s="115"/>
      <c r="BA712" s="115"/>
      <c r="BB712" s="115"/>
      <c r="BC712" s="115"/>
      <c r="BD712" s="115"/>
      <c r="BE712" s="115"/>
      <c r="BF712" s="115"/>
      <c r="BG712" s="115"/>
      <c r="BH712" s="115"/>
      <c r="BI712" s="115"/>
      <c r="BJ712" s="13"/>
      <c r="BK712" s="13"/>
      <c r="BN712" s="114"/>
    </row>
    <row r="713" spans="1:66" ht="19.5" x14ac:dyDescent="0.4">
      <c r="A713" s="117"/>
      <c r="B713" s="123"/>
      <c r="C713" s="123"/>
      <c r="D713" s="123"/>
      <c r="AA713" s="127"/>
      <c r="AB713" s="29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26">
        <v>45694</v>
      </c>
      <c r="AM713" s="15" t="s">
        <v>148</v>
      </c>
      <c r="AR713" s="117"/>
      <c r="AS713" s="123"/>
      <c r="AT713" s="123"/>
      <c r="AU713" s="123"/>
      <c r="AW713" s="115"/>
      <c r="AX713" s="115"/>
      <c r="AY713" s="115"/>
      <c r="AZ713" s="115"/>
      <c r="BA713" s="115"/>
      <c r="BB713" s="115"/>
      <c r="BC713" s="115"/>
      <c r="BD713" s="115"/>
      <c r="BE713" s="115"/>
      <c r="BF713" s="115"/>
      <c r="BG713" s="115"/>
      <c r="BH713" s="115"/>
      <c r="BI713" s="115"/>
      <c r="BJ713" s="13"/>
      <c r="BK713" s="13"/>
      <c r="BN713" s="114"/>
    </row>
    <row r="714" spans="1:66" ht="19.5" x14ac:dyDescent="0.4">
      <c r="A714" s="117"/>
      <c r="B714" s="123"/>
      <c r="C714" s="123"/>
      <c r="D714" s="123"/>
      <c r="AA714" s="127"/>
      <c r="AB714" s="29"/>
      <c r="AL714" s="26">
        <v>45694</v>
      </c>
      <c r="AM714" s="13" t="s">
        <v>147</v>
      </c>
      <c r="AR714" s="117"/>
      <c r="AS714" s="123"/>
      <c r="AT714" s="123"/>
      <c r="AU714" s="123"/>
      <c r="AW714" s="115"/>
      <c r="AX714" s="115"/>
      <c r="AY714" s="115"/>
      <c r="AZ714" s="115"/>
      <c r="BA714" s="115"/>
      <c r="BB714" s="115"/>
      <c r="BC714" s="115"/>
      <c r="BD714" s="115"/>
      <c r="BE714" s="115"/>
      <c r="BF714" s="115"/>
      <c r="BG714" s="115"/>
      <c r="BH714" s="115"/>
      <c r="BI714" s="115"/>
      <c r="BJ714" s="25">
        <v>45268</v>
      </c>
      <c r="BK714" s="13" t="s">
        <v>162</v>
      </c>
      <c r="BN714" s="114"/>
    </row>
    <row r="715" spans="1:66" ht="19.5" x14ac:dyDescent="0.4">
      <c r="A715" s="117"/>
      <c r="B715" s="123"/>
      <c r="C715" s="123"/>
      <c r="D715" s="123"/>
      <c r="AA715" s="127"/>
      <c r="AB715" s="29"/>
      <c r="AD715" s="115"/>
      <c r="AE715" s="115"/>
      <c r="AF715" s="115"/>
      <c r="AG715" s="115"/>
      <c r="AH715" s="115"/>
      <c r="AI715" s="115"/>
      <c r="AJ715" s="115"/>
      <c r="AK715" s="115"/>
      <c r="AL715" s="26">
        <v>45694</v>
      </c>
      <c r="AM715" s="13" t="s">
        <v>147</v>
      </c>
      <c r="AR715" s="117"/>
      <c r="AS715" s="123"/>
      <c r="AT715" s="123"/>
      <c r="AU715" s="123"/>
      <c r="AW715" s="115"/>
      <c r="AX715" s="115"/>
      <c r="AY715" s="115"/>
      <c r="AZ715" s="115"/>
      <c r="BA715" s="115"/>
      <c r="BB715" s="115"/>
      <c r="BC715" s="115"/>
      <c r="BD715" s="115"/>
      <c r="BE715" s="115"/>
      <c r="BF715" s="115"/>
      <c r="BG715" s="115"/>
      <c r="BH715" s="115"/>
      <c r="BI715" s="115"/>
      <c r="BJ715" s="25"/>
      <c r="BK715" s="13"/>
      <c r="BN715" s="114"/>
    </row>
    <row r="716" spans="1:66" ht="19.5" x14ac:dyDescent="0.4">
      <c r="A716" s="117"/>
      <c r="B716" s="123"/>
      <c r="C716" s="123"/>
      <c r="D716" s="123"/>
      <c r="AA716" s="127"/>
      <c r="AB716" s="29"/>
      <c r="AL716" s="26">
        <v>45694</v>
      </c>
      <c r="AM716" s="13" t="s">
        <v>147</v>
      </c>
      <c r="AR716" s="117"/>
      <c r="AS716" s="123"/>
      <c r="AT716" s="123"/>
      <c r="AU716" s="123"/>
      <c r="AW716" s="115"/>
      <c r="AX716" s="115"/>
      <c r="AY716" s="115"/>
      <c r="AZ716" s="115"/>
      <c r="BA716" s="115"/>
      <c r="BB716" s="115"/>
      <c r="BC716" s="115"/>
      <c r="BD716" s="115"/>
      <c r="BE716" s="115"/>
      <c r="BF716" s="115"/>
      <c r="BG716" s="115"/>
      <c r="BH716" s="115"/>
      <c r="BI716" s="115"/>
      <c r="BJ716" s="25">
        <v>45268</v>
      </c>
      <c r="BK716" s="13" t="s">
        <v>162</v>
      </c>
      <c r="BN716" s="114"/>
    </row>
    <row r="717" spans="1:66" ht="19.5" x14ac:dyDescent="0.4">
      <c r="A717" s="117"/>
      <c r="B717" s="123"/>
      <c r="C717" s="123"/>
      <c r="D717" s="123"/>
      <c r="AA717" s="127"/>
      <c r="AB717" s="29"/>
      <c r="AI717" s="115"/>
      <c r="AJ717" s="115"/>
      <c r="AK717" s="115"/>
      <c r="AL717" s="26">
        <v>45696</v>
      </c>
      <c r="AM717" s="13" t="s">
        <v>147</v>
      </c>
      <c r="AR717" s="117"/>
      <c r="AS717" s="123"/>
      <c r="AT717" s="123"/>
      <c r="AU717" s="123"/>
      <c r="AW717" s="115"/>
      <c r="AX717" s="115"/>
      <c r="AY717" s="115"/>
      <c r="AZ717" s="115"/>
      <c r="BA717" s="115"/>
      <c r="BB717" s="115"/>
      <c r="BC717" s="115"/>
      <c r="BD717" s="115"/>
      <c r="BE717" s="115"/>
      <c r="BF717" s="115"/>
      <c r="BG717" s="115"/>
      <c r="BH717" s="115"/>
      <c r="BI717" s="115"/>
      <c r="BJ717" s="25"/>
      <c r="BK717" s="13"/>
      <c r="BN717" s="114"/>
    </row>
    <row r="718" spans="1:66" ht="19.5" x14ac:dyDescent="0.4">
      <c r="A718" s="117"/>
      <c r="B718" s="123"/>
      <c r="C718" s="123"/>
      <c r="D718" s="123"/>
      <c r="AA718" s="127"/>
      <c r="AB718" s="29"/>
      <c r="AL718" s="26">
        <v>45698</v>
      </c>
      <c r="AM718" s="13" t="s">
        <v>147</v>
      </c>
      <c r="AR718" s="117"/>
      <c r="AS718" s="123"/>
      <c r="AT718" s="123"/>
      <c r="AU718" s="123"/>
      <c r="AW718" s="115"/>
      <c r="AX718" s="115"/>
      <c r="AY718" s="115"/>
      <c r="AZ718" s="115"/>
      <c r="BA718" s="115"/>
      <c r="BB718" s="115"/>
      <c r="BC718" s="115"/>
      <c r="BD718" s="115"/>
      <c r="BE718" s="115"/>
      <c r="BF718" s="115"/>
      <c r="BG718" s="115"/>
      <c r="BH718" s="115"/>
      <c r="BI718" s="115"/>
      <c r="BJ718" s="25">
        <v>45268</v>
      </c>
      <c r="BK718" s="13" t="s">
        <v>163</v>
      </c>
      <c r="BN718" s="114"/>
    </row>
    <row r="719" spans="1:66" ht="19.5" x14ac:dyDescent="0.4">
      <c r="A719" s="117"/>
      <c r="B719" s="123"/>
      <c r="C719" s="123"/>
      <c r="D719" s="123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29"/>
      <c r="AB719" s="29"/>
      <c r="AL719" s="26"/>
      <c r="AM719" s="13"/>
      <c r="AR719" s="117"/>
      <c r="AS719" s="123"/>
      <c r="AT719" s="123"/>
      <c r="AU719" s="123"/>
      <c r="AW719" s="115"/>
      <c r="AX719" s="115"/>
      <c r="AY719" s="115"/>
      <c r="AZ719" s="115"/>
      <c r="BA719" s="115"/>
      <c r="BB719" s="115"/>
      <c r="BC719" s="115"/>
      <c r="BD719" s="115"/>
      <c r="BE719" s="115"/>
      <c r="BF719" s="115"/>
      <c r="BG719" s="115"/>
      <c r="BH719" s="115"/>
      <c r="BI719" s="115"/>
      <c r="BJ719" s="25"/>
      <c r="BK719" s="13"/>
      <c r="BN719" s="114"/>
    </row>
    <row r="720" spans="1:66" ht="19.5" x14ac:dyDescent="0.4">
      <c r="A720" s="117"/>
      <c r="B720" s="123"/>
      <c r="C720" s="123"/>
      <c r="D720" s="123"/>
      <c r="AA720" s="127"/>
      <c r="AB720" s="29"/>
      <c r="AI720" s="115"/>
      <c r="AJ720" s="115"/>
      <c r="AK720" s="115"/>
      <c r="AL720" s="26">
        <v>45698</v>
      </c>
      <c r="AM720" s="13" t="s">
        <v>147</v>
      </c>
      <c r="AR720" s="117"/>
      <c r="AS720" s="123"/>
      <c r="AT720" s="123"/>
      <c r="AU720" s="123"/>
      <c r="AW720" s="115"/>
      <c r="AX720" s="115"/>
      <c r="AY720" s="115"/>
      <c r="AZ720" s="115"/>
      <c r="BA720" s="115"/>
      <c r="BB720" s="115"/>
      <c r="BC720" s="115"/>
      <c r="BD720" s="115"/>
      <c r="BE720" s="115"/>
      <c r="BF720" s="115"/>
      <c r="BG720" s="115"/>
      <c r="BH720" s="115"/>
      <c r="BI720" s="115"/>
      <c r="BJ720" s="25"/>
      <c r="BK720" s="13"/>
      <c r="BN720" s="114"/>
    </row>
    <row r="721" spans="1:66" ht="19.5" x14ac:dyDescent="0.4">
      <c r="A721" s="117"/>
      <c r="B721" s="123"/>
      <c r="C721" s="123"/>
      <c r="D721" s="123"/>
      <c r="AA721" s="127"/>
      <c r="AB721" s="29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26">
        <v>45699</v>
      </c>
      <c r="AM721" s="13" t="s">
        <v>148</v>
      </c>
      <c r="AR721" s="117"/>
      <c r="AS721" s="123"/>
      <c r="AT721" s="123"/>
      <c r="AU721" s="123"/>
      <c r="AW721" s="115"/>
      <c r="AX721" s="115"/>
      <c r="AY721" s="115"/>
      <c r="AZ721" s="115"/>
      <c r="BA721" s="115"/>
      <c r="BB721" s="115"/>
      <c r="BC721" s="115"/>
      <c r="BD721" s="115"/>
      <c r="BE721" s="115"/>
      <c r="BF721" s="115"/>
      <c r="BG721" s="115"/>
      <c r="BH721" s="115"/>
      <c r="BI721" s="115"/>
      <c r="BJ721" s="25"/>
      <c r="BK721" s="13"/>
      <c r="BN721" s="114"/>
    </row>
    <row r="722" spans="1:66" ht="19.5" x14ac:dyDescent="0.4">
      <c r="A722" s="117"/>
      <c r="B722" s="123"/>
      <c r="C722" s="123"/>
      <c r="D722" s="123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29"/>
      <c r="AB722" s="29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26"/>
      <c r="AM722" s="13"/>
      <c r="AR722" s="117"/>
      <c r="AS722" s="123"/>
      <c r="AT722" s="123"/>
      <c r="AU722" s="123"/>
      <c r="AW722" s="115"/>
      <c r="AX722" s="115"/>
      <c r="AY722" s="115"/>
      <c r="AZ722" s="115"/>
      <c r="BA722" s="115"/>
      <c r="BB722" s="115"/>
      <c r="BC722" s="115"/>
      <c r="BD722" s="115"/>
      <c r="BE722" s="115"/>
      <c r="BF722" s="115"/>
      <c r="BG722" s="115"/>
      <c r="BH722" s="115"/>
      <c r="BI722" s="115"/>
      <c r="BJ722" s="25"/>
      <c r="BK722" s="13"/>
      <c r="BN722" s="114"/>
    </row>
    <row r="723" spans="1:66" ht="19.5" x14ac:dyDescent="0.4">
      <c r="A723" s="117"/>
      <c r="B723" s="123"/>
      <c r="C723" s="123"/>
      <c r="D723" s="123"/>
      <c r="AA723" s="127"/>
      <c r="AB723" s="29"/>
      <c r="AL723" s="26">
        <v>45699</v>
      </c>
      <c r="AM723" s="13" t="s">
        <v>148</v>
      </c>
      <c r="AR723" s="117"/>
      <c r="AS723" s="123"/>
      <c r="AT723" s="123"/>
      <c r="AU723" s="123"/>
      <c r="AV723" s="115"/>
      <c r="AW723" s="115"/>
      <c r="AX723" s="115"/>
      <c r="AY723" s="115"/>
      <c r="AZ723" s="115"/>
      <c r="BA723" s="115"/>
      <c r="BB723" s="115"/>
      <c r="BC723" s="115"/>
      <c r="BD723" s="115"/>
      <c r="BE723" s="115"/>
      <c r="BF723" s="115"/>
      <c r="BG723" s="115"/>
      <c r="BH723" s="115"/>
      <c r="BI723" s="115"/>
      <c r="BJ723" s="25">
        <v>45268</v>
      </c>
      <c r="BK723" s="13" t="s">
        <v>163</v>
      </c>
      <c r="BN723" s="114"/>
    </row>
    <row r="724" spans="1:66" ht="19.5" x14ac:dyDescent="0.4">
      <c r="A724" s="117"/>
      <c r="B724" s="123"/>
      <c r="C724" s="123"/>
      <c r="D724" s="123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29"/>
      <c r="AB724" s="29"/>
      <c r="AL724" s="26"/>
      <c r="AM724" s="13"/>
      <c r="AR724" s="117"/>
      <c r="AS724" s="123"/>
      <c r="AT724" s="123"/>
      <c r="AU724" s="123"/>
      <c r="AV724" s="115"/>
      <c r="AW724" s="115"/>
      <c r="AX724" s="115"/>
      <c r="AY724" s="115"/>
      <c r="AZ724" s="115"/>
      <c r="BA724" s="115"/>
      <c r="BB724" s="115"/>
      <c r="BC724" s="115"/>
      <c r="BD724" s="115"/>
      <c r="BE724" s="115"/>
      <c r="BF724" s="115"/>
      <c r="BG724" s="115"/>
      <c r="BH724" s="115"/>
      <c r="BI724" s="115"/>
      <c r="BJ724" s="25"/>
      <c r="BK724" s="13"/>
      <c r="BN724" s="114"/>
    </row>
    <row r="725" spans="1:66" ht="19.5" x14ac:dyDescent="0.4">
      <c r="A725" s="117"/>
      <c r="B725" s="123"/>
      <c r="C725" s="123"/>
      <c r="D725" s="123"/>
      <c r="AA725" s="127"/>
      <c r="AB725" s="29"/>
      <c r="AE725" s="115"/>
      <c r="AF725" s="115"/>
      <c r="AG725" s="115"/>
      <c r="AH725" s="115"/>
      <c r="AI725" s="115"/>
      <c r="AJ725" s="115"/>
      <c r="AK725" s="115"/>
      <c r="AL725" s="26">
        <v>45699</v>
      </c>
      <c r="AM725" s="13" t="s">
        <v>148</v>
      </c>
      <c r="AR725" s="117"/>
      <c r="AS725" s="123"/>
      <c r="AT725" s="123"/>
      <c r="AU725" s="123"/>
      <c r="AV725" s="115"/>
      <c r="AW725" s="115"/>
      <c r="AX725" s="115"/>
      <c r="AY725" s="115"/>
      <c r="AZ725" s="115"/>
      <c r="BA725" s="115"/>
      <c r="BB725" s="115"/>
      <c r="BC725" s="115"/>
      <c r="BD725" s="115"/>
      <c r="BE725" s="115"/>
      <c r="BF725" s="115"/>
      <c r="BG725" s="115"/>
      <c r="BH725" s="115"/>
      <c r="BI725" s="115"/>
      <c r="BJ725" s="25"/>
      <c r="BK725" s="13"/>
      <c r="BN725" s="114"/>
    </row>
    <row r="726" spans="1:66" ht="19.5" x14ac:dyDescent="0.4">
      <c r="A726" s="117"/>
      <c r="B726" s="123"/>
      <c r="C726" s="123"/>
      <c r="D726" s="123"/>
      <c r="AA726" s="127"/>
      <c r="AB726" s="29"/>
      <c r="AE726" s="115"/>
      <c r="AF726" s="115"/>
      <c r="AG726" s="115"/>
      <c r="AH726" s="115"/>
      <c r="AI726" s="115"/>
      <c r="AJ726" s="115"/>
      <c r="AK726" s="115"/>
      <c r="AL726" s="26">
        <v>45699</v>
      </c>
      <c r="AM726" s="13" t="s">
        <v>148</v>
      </c>
      <c r="AR726" s="117"/>
      <c r="AS726" s="123"/>
      <c r="AT726" s="123"/>
      <c r="AU726" s="123"/>
      <c r="AV726" s="115"/>
      <c r="AW726" s="115"/>
      <c r="AX726" s="115"/>
      <c r="AY726" s="115"/>
      <c r="AZ726" s="115"/>
      <c r="BA726" s="115"/>
      <c r="BB726" s="115"/>
      <c r="BC726" s="115"/>
      <c r="BD726" s="115"/>
      <c r="BE726" s="115"/>
      <c r="BF726" s="115"/>
      <c r="BG726" s="115"/>
      <c r="BH726" s="115"/>
      <c r="BI726" s="115"/>
      <c r="BJ726" s="25"/>
      <c r="BK726" s="13"/>
      <c r="BN726" s="114"/>
    </row>
    <row r="727" spans="1:66" ht="19.5" x14ac:dyDescent="0.4">
      <c r="A727" s="117"/>
      <c r="B727" s="123"/>
      <c r="C727" s="123"/>
      <c r="D727" s="123"/>
      <c r="AA727" s="127"/>
      <c r="AB727" s="29"/>
      <c r="AE727" s="115"/>
      <c r="AF727" s="115"/>
      <c r="AG727" s="115"/>
      <c r="AH727" s="115"/>
      <c r="AI727" s="115"/>
      <c r="AJ727" s="115"/>
      <c r="AK727" s="115"/>
      <c r="AL727" s="26">
        <v>45699</v>
      </c>
      <c r="AM727" s="13" t="s">
        <v>148</v>
      </c>
      <c r="AR727" s="117"/>
      <c r="AS727" s="123"/>
      <c r="AT727" s="123"/>
      <c r="AU727" s="123"/>
      <c r="AV727" s="115"/>
      <c r="AW727" s="115"/>
      <c r="AX727" s="115"/>
      <c r="AY727" s="115"/>
      <c r="AZ727" s="115"/>
      <c r="BA727" s="115"/>
      <c r="BB727" s="115"/>
      <c r="BC727" s="115"/>
      <c r="BD727" s="115"/>
      <c r="BE727" s="115"/>
      <c r="BF727" s="115"/>
      <c r="BG727" s="115"/>
      <c r="BH727" s="115"/>
      <c r="BI727" s="115"/>
      <c r="BJ727" s="25"/>
      <c r="BK727" s="13"/>
      <c r="BN727" s="114"/>
    </row>
    <row r="728" spans="1:66" ht="19.5" x14ac:dyDescent="0.4">
      <c r="A728" s="117"/>
      <c r="B728" s="123"/>
      <c r="C728" s="123"/>
      <c r="D728" s="123"/>
      <c r="AA728" s="127"/>
      <c r="AB728" s="29"/>
      <c r="AL728" s="26">
        <v>45699</v>
      </c>
      <c r="AM728" s="13" t="s">
        <v>148</v>
      </c>
      <c r="AR728" s="117"/>
      <c r="AS728" s="123"/>
      <c r="AT728" s="123"/>
      <c r="AU728" s="123"/>
      <c r="AV728" s="115"/>
      <c r="AW728" s="115"/>
      <c r="AX728" s="115"/>
      <c r="AY728" s="115"/>
      <c r="AZ728" s="115"/>
      <c r="BA728" s="115"/>
      <c r="BB728" s="115"/>
      <c r="BC728" s="115"/>
      <c r="BD728" s="115"/>
      <c r="BE728" s="115"/>
      <c r="BF728" s="115"/>
      <c r="BG728" s="115"/>
      <c r="BH728" s="115"/>
      <c r="BI728" s="115" t="s">
        <v>158</v>
      </c>
      <c r="BJ728" s="13">
        <f>SUBTOTAL(3,BJ714:BJ723)</f>
        <v>4</v>
      </c>
      <c r="BK728" s="13">
        <f>SUBTOTAL(3,BK714:BK723)</f>
        <v>4</v>
      </c>
      <c r="BN728" s="114"/>
    </row>
    <row r="729" spans="1:66" ht="19.5" x14ac:dyDescent="0.4">
      <c r="A729" s="117"/>
      <c r="B729" s="123"/>
      <c r="C729" s="123"/>
      <c r="D729" s="123"/>
      <c r="AA729" s="127"/>
      <c r="AB729" s="29"/>
      <c r="AI729" s="115"/>
      <c r="AJ729" s="115"/>
      <c r="AK729" s="115"/>
      <c r="AL729" s="26">
        <v>45706</v>
      </c>
      <c r="AM729" s="13" t="s">
        <v>146</v>
      </c>
      <c r="AR729" s="117"/>
      <c r="AS729" s="123"/>
      <c r="AT729" s="123"/>
      <c r="AU729" s="123"/>
      <c r="AV729" s="115"/>
      <c r="AW729" s="115"/>
      <c r="AX729" s="115"/>
      <c r="AY729" s="115"/>
      <c r="AZ729" s="115"/>
      <c r="BA729" s="115"/>
      <c r="BB729" s="115"/>
      <c r="BC729" s="115"/>
      <c r="BD729" s="115"/>
      <c r="BE729" s="115"/>
      <c r="BF729" s="115"/>
      <c r="BG729" s="115"/>
      <c r="BH729" s="115"/>
      <c r="BI729" s="115"/>
      <c r="BJ729" s="13"/>
      <c r="BK729" s="13"/>
      <c r="BN729" s="114"/>
    </row>
    <row r="730" spans="1:66" ht="19.5" x14ac:dyDescent="0.4">
      <c r="A730" s="117"/>
      <c r="B730" s="123"/>
      <c r="C730" s="123"/>
      <c r="D730" s="123"/>
      <c r="AA730" s="127"/>
      <c r="AB730" s="29"/>
      <c r="AH730" s="115"/>
      <c r="AI730" s="115"/>
      <c r="AJ730" s="115"/>
      <c r="AK730" s="115"/>
      <c r="AL730" s="26">
        <v>45709</v>
      </c>
      <c r="AM730" s="13" t="s">
        <v>148</v>
      </c>
      <c r="AR730" s="117"/>
      <c r="AS730" s="123"/>
      <c r="AT730" s="123"/>
      <c r="AU730" s="123"/>
      <c r="AV730" s="115"/>
      <c r="AW730" s="115"/>
      <c r="AX730" s="115"/>
      <c r="AY730" s="115"/>
      <c r="AZ730" s="115"/>
      <c r="BA730" s="115"/>
      <c r="BB730" s="115"/>
      <c r="BC730" s="115"/>
      <c r="BD730" s="115"/>
      <c r="BE730" s="115"/>
      <c r="BF730" s="115"/>
      <c r="BG730" s="115"/>
      <c r="BH730" s="115"/>
      <c r="BI730" s="115"/>
      <c r="BJ730" s="13"/>
      <c r="BK730" s="13"/>
      <c r="BN730" s="114"/>
    </row>
    <row r="731" spans="1:66" ht="19.5" x14ac:dyDescent="0.4">
      <c r="A731" s="117"/>
      <c r="B731" s="123"/>
      <c r="C731" s="123"/>
      <c r="D731" s="123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29"/>
      <c r="AB731" s="29"/>
      <c r="AH731" s="115"/>
      <c r="AI731" s="115"/>
      <c r="AJ731" s="115"/>
      <c r="AK731" s="115"/>
      <c r="AL731" s="26"/>
      <c r="AM731" s="13"/>
      <c r="AR731" s="117"/>
      <c r="AS731" s="123"/>
      <c r="AT731" s="123"/>
      <c r="AU731" s="123"/>
      <c r="AV731" s="115"/>
      <c r="AW731" s="115"/>
      <c r="AX731" s="115"/>
      <c r="AY731" s="115"/>
      <c r="AZ731" s="115"/>
      <c r="BA731" s="115"/>
      <c r="BB731" s="115"/>
      <c r="BC731" s="115"/>
      <c r="BD731" s="115"/>
      <c r="BE731" s="115"/>
      <c r="BF731" s="115"/>
      <c r="BG731" s="115"/>
      <c r="BH731" s="115"/>
      <c r="BI731" s="115"/>
      <c r="BJ731" s="13"/>
      <c r="BK731" s="13"/>
      <c r="BN731" s="114"/>
    </row>
    <row r="732" spans="1:66" ht="19.5" x14ac:dyDescent="0.4">
      <c r="A732" s="117"/>
      <c r="B732" s="123"/>
      <c r="C732" s="123"/>
      <c r="D732" s="123"/>
      <c r="AA732" s="127"/>
      <c r="AB732" s="29"/>
      <c r="AH732" s="115"/>
      <c r="AI732" s="115"/>
      <c r="AJ732" s="115"/>
      <c r="AK732" s="115"/>
      <c r="AL732" s="26">
        <v>45709</v>
      </c>
      <c r="AM732" s="13" t="s">
        <v>147</v>
      </c>
      <c r="AR732" s="117"/>
      <c r="AS732" s="123"/>
      <c r="AT732" s="123"/>
      <c r="AU732" s="123"/>
      <c r="AV732" s="115"/>
      <c r="AW732" s="115"/>
      <c r="AX732" s="115"/>
      <c r="AY732" s="115"/>
      <c r="AZ732" s="115"/>
      <c r="BA732" s="115"/>
      <c r="BB732" s="115"/>
      <c r="BC732" s="115"/>
      <c r="BD732" s="115"/>
      <c r="BE732" s="115"/>
      <c r="BF732" s="115"/>
      <c r="BG732" s="115"/>
      <c r="BH732" s="115"/>
      <c r="BI732" s="115"/>
      <c r="BJ732" s="13"/>
      <c r="BK732" s="13"/>
      <c r="BN732" s="114"/>
    </row>
    <row r="733" spans="1:66" ht="19.5" x14ac:dyDescent="0.4">
      <c r="A733" s="117"/>
      <c r="B733" s="123"/>
      <c r="C733" s="123"/>
      <c r="D733" s="123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29"/>
      <c r="AB733" s="29"/>
      <c r="AH733" s="115"/>
      <c r="AI733" s="115"/>
      <c r="AJ733" s="115"/>
      <c r="AK733" s="115"/>
      <c r="AL733" s="26"/>
      <c r="AM733" s="13"/>
      <c r="AR733" s="117"/>
      <c r="AS733" s="123"/>
      <c r="AT733" s="123"/>
      <c r="AU733" s="123"/>
      <c r="AV733" s="115"/>
      <c r="AW733" s="115"/>
      <c r="AX733" s="115"/>
      <c r="AY733" s="115"/>
      <c r="AZ733" s="115"/>
      <c r="BA733" s="115"/>
      <c r="BB733" s="115"/>
      <c r="BC733" s="115"/>
      <c r="BD733" s="115"/>
      <c r="BE733" s="115"/>
      <c r="BF733" s="115"/>
      <c r="BG733" s="115"/>
      <c r="BH733" s="115"/>
      <c r="BI733" s="115"/>
      <c r="BJ733" s="13"/>
      <c r="BK733" s="13"/>
      <c r="BN733" s="114"/>
    </row>
    <row r="734" spans="1:66" ht="19.5" x14ac:dyDescent="0.4">
      <c r="A734" s="117"/>
      <c r="B734" s="123"/>
      <c r="C734" s="123"/>
      <c r="D734" s="123"/>
      <c r="AA734" s="127"/>
      <c r="AB734" s="29"/>
      <c r="AH734" s="115"/>
      <c r="AI734" s="115"/>
      <c r="AJ734" s="115"/>
      <c r="AK734" s="115"/>
      <c r="AL734" s="26">
        <v>45712</v>
      </c>
      <c r="AM734" s="13" t="s">
        <v>146</v>
      </c>
      <c r="AR734" s="117"/>
      <c r="AS734" s="123"/>
      <c r="AT734" s="123"/>
      <c r="AU734" s="123"/>
      <c r="AV734" s="115"/>
      <c r="AW734" s="115"/>
      <c r="AX734" s="115"/>
      <c r="AY734" s="115"/>
      <c r="AZ734" s="115"/>
      <c r="BA734" s="115"/>
      <c r="BB734" s="115"/>
      <c r="BC734" s="115"/>
      <c r="BD734" s="115"/>
      <c r="BE734" s="115"/>
      <c r="BF734" s="115"/>
      <c r="BG734" s="115"/>
      <c r="BH734" s="115"/>
      <c r="BI734" s="115"/>
      <c r="BJ734" s="13"/>
      <c r="BK734" s="13"/>
      <c r="BN734" s="114"/>
    </row>
    <row r="735" spans="1:66" ht="19.5" x14ac:dyDescent="0.4">
      <c r="A735" s="117"/>
      <c r="B735" s="123"/>
      <c r="C735" s="123"/>
      <c r="D735" s="123"/>
      <c r="AA735" s="127"/>
      <c r="AB735" s="29"/>
      <c r="AH735" s="115"/>
      <c r="AI735" s="115"/>
      <c r="AJ735" s="115"/>
      <c r="AK735" s="115"/>
      <c r="AL735" s="26">
        <v>45712</v>
      </c>
      <c r="AM735" s="13" t="s">
        <v>148</v>
      </c>
      <c r="AR735" s="117"/>
      <c r="AS735" s="123"/>
      <c r="AT735" s="123"/>
      <c r="AU735" s="123"/>
      <c r="AV735" s="115"/>
      <c r="AW735" s="115"/>
      <c r="AX735" s="115"/>
      <c r="AY735" s="115"/>
      <c r="AZ735" s="115"/>
      <c r="BA735" s="115"/>
      <c r="BB735" s="115"/>
      <c r="BC735" s="115"/>
      <c r="BD735" s="115"/>
      <c r="BE735" s="115"/>
      <c r="BF735" s="115"/>
      <c r="BG735" s="115"/>
      <c r="BH735" s="115"/>
      <c r="BI735" s="115"/>
      <c r="BJ735" s="13"/>
      <c r="BK735" s="13"/>
      <c r="BN735" s="114"/>
    </row>
    <row r="736" spans="1:66" ht="19.5" x14ac:dyDescent="0.4">
      <c r="A736" s="117"/>
      <c r="B736" s="123"/>
      <c r="C736" s="123"/>
      <c r="D736" s="123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29"/>
      <c r="AB736" s="29"/>
      <c r="AH736" s="115"/>
      <c r="AI736" s="115"/>
      <c r="AJ736" s="115"/>
      <c r="AK736" s="115"/>
      <c r="AL736" s="26"/>
      <c r="AM736" s="13"/>
      <c r="AR736" s="117"/>
      <c r="AS736" s="123"/>
      <c r="AT736" s="123"/>
      <c r="AU736" s="123"/>
      <c r="AV736" s="115"/>
      <c r="AW736" s="115"/>
      <c r="AX736" s="115"/>
      <c r="AY736" s="115"/>
      <c r="AZ736" s="115"/>
      <c r="BA736" s="115"/>
      <c r="BB736" s="115"/>
      <c r="BC736" s="115"/>
      <c r="BD736" s="115"/>
      <c r="BE736" s="115"/>
      <c r="BF736" s="115"/>
      <c r="BG736" s="115"/>
      <c r="BH736" s="115"/>
      <c r="BI736" s="115"/>
      <c r="BJ736" s="13"/>
      <c r="BK736" s="13"/>
      <c r="BN736" s="114"/>
    </row>
    <row r="737" spans="1:66" ht="19.5" x14ac:dyDescent="0.4">
      <c r="A737" s="117"/>
      <c r="B737" s="123"/>
      <c r="C737" s="123"/>
      <c r="D737" s="123"/>
      <c r="AA737" s="127"/>
      <c r="AB737" s="29"/>
      <c r="AF737" s="115"/>
      <c r="AG737" s="115"/>
      <c r="AH737" s="115"/>
      <c r="AI737" s="115"/>
      <c r="AJ737" s="115"/>
      <c r="AK737" s="115"/>
      <c r="AL737" s="26">
        <v>45714</v>
      </c>
      <c r="AM737" s="13" t="s">
        <v>147</v>
      </c>
      <c r="AR737" s="117"/>
      <c r="AS737" s="123"/>
      <c r="AT737" s="123"/>
      <c r="AU737" s="123"/>
      <c r="AV737" s="115"/>
      <c r="AW737" s="115"/>
      <c r="AX737" s="115"/>
      <c r="AY737" s="115"/>
      <c r="AZ737" s="115"/>
      <c r="BA737" s="115"/>
      <c r="BB737" s="115"/>
      <c r="BC737" s="115"/>
      <c r="BD737" s="115"/>
      <c r="BE737" s="115"/>
      <c r="BF737" s="115"/>
      <c r="BG737" s="115"/>
      <c r="BH737" s="115"/>
      <c r="BI737" s="115"/>
      <c r="BJ737" s="13"/>
      <c r="BK737" s="13"/>
      <c r="BN737" s="114"/>
    </row>
    <row r="738" spans="1:66" ht="19.5" x14ac:dyDescent="0.4">
      <c r="A738" s="117"/>
      <c r="B738" s="123"/>
      <c r="C738" s="123"/>
      <c r="D738" s="123"/>
      <c r="AA738" s="127"/>
      <c r="AB738" s="29"/>
      <c r="AL738" s="26">
        <v>45714</v>
      </c>
      <c r="AM738" s="13" t="s">
        <v>147</v>
      </c>
      <c r="AR738" s="117"/>
      <c r="AS738" s="123"/>
      <c r="AT738" s="123"/>
      <c r="AU738" s="123"/>
      <c r="AV738" s="115"/>
      <c r="AW738" s="115"/>
      <c r="AX738" s="115"/>
      <c r="AY738" s="115"/>
      <c r="AZ738" s="115"/>
      <c r="BA738" s="115"/>
      <c r="BB738" s="115"/>
      <c r="BC738" s="115"/>
      <c r="BD738" s="115"/>
      <c r="BE738" s="115"/>
      <c r="BF738" s="115"/>
      <c r="BG738" s="115"/>
      <c r="BH738" s="115"/>
      <c r="BI738" s="115"/>
      <c r="BJ738" s="25">
        <v>45269</v>
      </c>
      <c r="BK738" s="13" t="s">
        <v>163</v>
      </c>
      <c r="BN738" s="114"/>
    </row>
    <row r="739" spans="1:66" ht="19.5" x14ac:dyDescent="0.4">
      <c r="A739" s="117"/>
      <c r="B739" s="123"/>
      <c r="C739" s="123"/>
      <c r="D739" s="123"/>
      <c r="AA739" s="127"/>
      <c r="AB739" s="29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26">
        <v>45714</v>
      </c>
      <c r="AM739" s="13" t="s">
        <v>147</v>
      </c>
      <c r="AR739" s="117"/>
      <c r="AS739" s="123"/>
      <c r="AT739" s="123"/>
      <c r="AU739" s="123"/>
      <c r="AV739" s="115"/>
      <c r="AW739" s="115"/>
      <c r="AX739" s="115"/>
      <c r="AY739" s="115"/>
      <c r="AZ739" s="115"/>
      <c r="BA739" s="115"/>
      <c r="BB739" s="115"/>
      <c r="BC739" s="115"/>
      <c r="BD739" s="115"/>
      <c r="BE739" s="115"/>
      <c r="BF739" s="115"/>
      <c r="BG739" s="115"/>
      <c r="BH739" s="115"/>
      <c r="BI739" s="115"/>
      <c r="BJ739" s="25"/>
      <c r="BK739" s="13"/>
      <c r="BN739" s="114"/>
    </row>
    <row r="740" spans="1:66" ht="19.5" x14ac:dyDescent="0.4">
      <c r="A740" s="117"/>
      <c r="B740" s="123"/>
      <c r="C740" s="123"/>
      <c r="D740" s="123"/>
      <c r="AA740" s="127"/>
      <c r="AB740" s="29"/>
      <c r="AC740" s="115"/>
      <c r="AD740" s="115"/>
      <c r="AE740" s="115"/>
      <c r="AF740" s="115"/>
      <c r="AG740" s="115"/>
      <c r="AH740" s="115"/>
      <c r="AI740" s="115"/>
      <c r="AJ740" s="115" t="s">
        <v>145</v>
      </c>
      <c r="AK740" s="115">
        <f>SUBTOTAL(3,AK2:AK739)</f>
        <v>0</v>
      </c>
      <c r="AL740" s="26"/>
      <c r="AM740" s="13">
        <f>SUBTOTAL(3,AM2:AM739)</f>
        <v>145</v>
      </c>
      <c r="AR740" s="117"/>
      <c r="AS740" s="123"/>
      <c r="AT740" s="123"/>
      <c r="AU740" s="123"/>
      <c r="AV740" s="115"/>
      <c r="AW740" s="115"/>
      <c r="AX740" s="115"/>
      <c r="AY740" s="115"/>
      <c r="AZ740" s="115"/>
      <c r="BA740" s="115"/>
      <c r="BB740" s="115"/>
      <c r="BC740" s="115"/>
      <c r="BD740" s="115"/>
      <c r="BE740" s="115"/>
      <c r="BF740" s="115"/>
      <c r="BG740" s="115"/>
      <c r="BH740" s="115"/>
      <c r="BI740" s="115"/>
      <c r="BJ740" s="25"/>
      <c r="BK740" s="13"/>
      <c r="BN740" s="114"/>
    </row>
    <row r="741" spans="1:66" ht="19.5" x14ac:dyDescent="0.4">
      <c r="A741" s="117"/>
      <c r="B741" s="123"/>
      <c r="C741" s="123"/>
      <c r="D741" s="123"/>
      <c r="AA741" s="127"/>
      <c r="AB741" s="29"/>
      <c r="AL741" s="26"/>
      <c r="AM741" s="13"/>
      <c r="AR741" s="117"/>
      <c r="AS741" s="123"/>
      <c r="AT741" s="123"/>
      <c r="AU741" s="123"/>
      <c r="AV741" s="115"/>
      <c r="AW741" s="115"/>
      <c r="AX741" s="115"/>
      <c r="AY741" s="115"/>
      <c r="AZ741" s="115"/>
      <c r="BA741" s="115"/>
      <c r="BB741" s="115"/>
      <c r="BC741" s="115"/>
      <c r="BD741" s="115"/>
      <c r="BE741" s="115"/>
      <c r="BF741" s="115"/>
      <c r="BG741" s="115"/>
      <c r="BH741" s="115"/>
      <c r="BI741" s="115"/>
      <c r="BJ741" s="25">
        <v>45269</v>
      </c>
      <c r="BK741" s="13" t="s">
        <v>163</v>
      </c>
      <c r="BN741" s="114"/>
    </row>
    <row r="742" spans="1:66" ht="19.5" x14ac:dyDescent="0.4">
      <c r="A742" s="117"/>
      <c r="B742" s="123"/>
      <c r="C742" s="123"/>
      <c r="D742" s="123"/>
      <c r="AA742" s="127"/>
      <c r="AB742" s="29"/>
      <c r="AE742" s="115"/>
      <c r="AF742" s="115"/>
      <c r="AG742" s="115"/>
      <c r="AH742" s="115"/>
      <c r="AI742" s="115"/>
      <c r="AJ742" s="115"/>
      <c r="AK742" s="115"/>
      <c r="AL742" s="26"/>
      <c r="AM742" s="13"/>
      <c r="AR742" s="117"/>
      <c r="AS742" s="123"/>
      <c r="AT742" s="123"/>
      <c r="AU742" s="123"/>
      <c r="AV742" s="115"/>
      <c r="AW742" s="115"/>
      <c r="AX742" s="115"/>
      <c r="AY742" s="115"/>
      <c r="AZ742" s="115"/>
      <c r="BA742" s="115"/>
      <c r="BB742" s="115"/>
      <c r="BC742" s="115"/>
      <c r="BD742" s="115"/>
      <c r="BE742" s="115"/>
      <c r="BF742" s="115"/>
      <c r="BG742" s="115"/>
      <c r="BH742" s="115"/>
      <c r="BI742" s="115"/>
      <c r="BJ742" s="25"/>
      <c r="BK742" s="13"/>
      <c r="BN742" s="114"/>
    </row>
    <row r="743" spans="1:66" ht="19.5" x14ac:dyDescent="0.4">
      <c r="A743" s="117"/>
      <c r="B743" s="123"/>
      <c r="C743" s="123"/>
      <c r="D743" s="123"/>
      <c r="AA743" s="127"/>
      <c r="AB743" s="29"/>
      <c r="AL743" s="26"/>
      <c r="AM743" s="13"/>
      <c r="AR743" s="117"/>
      <c r="AS743" s="123"/>
      <c r="AT743" s="123"/>
      <c r="AU743" s="123"/>
      <c r="AV743" s="115"/>
      <c r="AW743" s="115"/>
      <c r="AX743" s="115"/>
      <c r="AY743" s="115"/>
      <c r="AZ743" s="115"/>
      <c r="BA743" s="115"/>
      <c r="BB743" s="115"/>
      <c r="BC743" s="115"/>
      <c r="BD743" s="115"/>
      <c r="BE743" s="115"/>
      <c r="BF743" s="115"/>
      <c r="BG743" s="115"/>
      <c r="BH743" s="115"/>
      <c r="BI743" s="115" t="s">
        <v>159</v>
      </c>
      <c r="BJ743" s="13">
        <f>SUBTOTAL(3,BJ738:BJ741)</f>
        <v>2</v>
      </c>
      <c r="BK743" s="13">
        <f>SUBTOTAL(3,BK738:BK741)</f>
        <v>2</v>
      </c>
      <c r="BN743" s="114"/>
    </row>
    <row r="744" spans="1:66" ht="19.5" x14ac:dyDescent="0.4">
      <c r="A744" s="117"/>
      <c r="B744" s="123"/>
      <c r="C744" s="123"/>
      <c r="D744" s="123"/>
      <c r="AA744" s="127"/>
      <c r="AB744" s="29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26"/>
      <c r="AM744" s="13"/>
      <c r="AR744" s="117"/>
      <c r="AS744" s="123"/>
      <c r="AT744" s="123"/>
      <c r="AU744" s="123"/>
      <c r="AV744" s="115"/>
      <c r="AW744" s="115"/>
      <c r="AX744" s="115"/>
      <c r="AY744" s="115"/>
      <c r="AZ744" s="115"/>
      <c r="BA744" s="115"/>
      <c r="BB744" s="115"/>
      <c r="BC744" s="115"/>
      <c r="BD744" s="115"/>
      <c r="BE744" s="115"/>
      <c r="BF744" s="115"/>
      <c r="BG744" s="115"/>
      <c r="BH744" s="115"/>
      <c r="BI744" s="115"/>
      <c r="BJ744" s="13"/>
      <c r="BK744" s="13"/>
      <c r="BN744" s="114"/>
    </row>
    <row r="745" spans="1:66" ht="19.5" x14ac:dyDescent="0.4">
      <c r="A745" s="117"/>
      <c r="B745" s="123"/>
      <c r="C745" s="123"/>
      <c r="D745" s="123"/>
      <c r="AA745" s="127"/>
      <c r="AB745" s="29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26"/>
      <c r="AM745" s="13"/>
      <c r="AR745" s="117"/>
      <c r="AS745" s="123"/>
      <c r="AT745" s="123"/>
      <c r="AU745" s="123"/>
      <c r="AV745" s="115"/>
      <c r="AW745" s="115"/>
      <c r="AX745" s="115"/>
      <c r="AY745" s="115"/>
      <c r="AZ745" s="115"/>
      <c r="BA745" s="115"/>
      <c r="BB745" s="115"/>
      <c r="BC745" s="115"/>
      <c r="BD745" s="115"/>
      <c r="BE745" s="115"/>
      <c r="BF745" s="115"/>
      <c r="BG745" s="115"/>
      <c r="BH745" s="115"/>
      <c r="BI745" s="115"/>
      <c r="BJ745" s="13"/>
      <c r="BK745" s="13"/>
      <c r="BN745" s="114"/>
    </row>
    <row r="746" spans="1:66" ht="19.5" x14ac:dyDescent="0.4">
      <c r="A746" s="117"/>
      <c r="B746" s="123"/>
      <c r="C746" s="123"/>
      <c r="D746" s="123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27"/>
      <c r="AB746" s="29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26"/>
      <c r="AM746" s="13"/>
      <c r="AR746" s="117"/>
      <c r="AS746" s="123"/>
      <c r="AT746" s="123"/>
      <c r="AU746" s="123"/>
      <c r="AV746" s="115"/>
      <c r="AW746" s="115"/>
      <c r="AX746" s="115"/>
      <c r="AY746" s="115"/>
      <c r="AZ746" s="115"/>
      <c r="BA746" s="115"/>
      <c r="BB746" s="115"/>
      <c r="BC746" s="115"/>
      <c r="BD746" s="115"/>
      <c r="BE746" s="115"/>
      <c r="BF746" s="115"/>
      <c r="BG746" s="115"/>
      <c r="BH746" s="115"/>
      <c r="BI746" s="115"/>
      <c r="BJ746" s="13"/>
      <c r="BK746" s="13"/>
      <c r="BN746" s="114"/>
    </row>
    <row r="747" spans="1:66" ht="19.5" x14ac:dyDescent="0.4">
      <c r="A747" s="117"/>
      <c r="B747" s="123"/>
      <c r="C747" s="123"/>
      <c r="D747" s="123"/>
      <c r="AA747" s="127"/>
      <c r="AB747" s="29"/>
      <c r="AL747" s="26"/>
      <c r="AM747" s="13"/>
      <c r="AR747" s="117"/>
      <c r="AS747" s="123"/>
      <c r="AT747" s="123"/>
      <c r="AU747" s="123"/>
      <c r="AV747" s="115"/>
      <c r="AW747" s="115"/>
      <c r="AX747" s="115"/>
      <c r="AY747" s="115"/>
      <c r="AZ747" s="115"/>
      <c r="BA747" s="115"/>
      <c r="BB747" s="115"/>
      <c r="BC747" s="115"/>
      <c r="BD747" s="115"/>
      <c r="BE747" s="115"/>
      <c r="BF747" s="115"/>
      <c r="BG747" s="115"/>
      <c r="BH747" s="115"/>
      <c r="BI747" s="115"/>
      <c r="BJ747" s="25">
        <v>45270</v>
      </c>
      <c r="BK747" s="13" t="s">
        <v>164</v>
      </c>
      <c r="BN747" s="114"/>
    </row>
    <row r="748" spans="1:66" ht="19.5" x14ac:dyDescent="0.4">
      <c r="A748" s="117"/>
      <c r="B748" s="123"/>
      <c r="C748" s="123"/>
      <c r="D748" s="123"/>
      <c r="AA748" s="127"/>
      <c r="AB748" s="29"/>
      <c r="AG748" s="115"/>
      <c r="AH748" s="115"/>
      <c r="AI748" s="115"/>
      <c r="AJ748" s="115"/>
      <c r="AK748" s="115"/>
      <c r="AL748" s="17"/>
      <c r="AM748" s="13"/>
      <c r="AR748" s="117"/>
      <c r="AS748" s="123"/>
      <c r="AT748" s="123"/>
      <c r="AU748" s="123"/>
      <c r="AV748" s="115"/>
      <c r="AW748" s="115"/>
      <c r="AX748" s="115"/>
      <c r="AY748" s="115"/>
      <c r="AZ748" s="115"/>
      <c r="BA748" s="115"/>
      <c r="BB748" s="115"/>
      <c r="BC748" s="115"/>
      <c r="BD748" s="115"/>
      <c r="BE748" s="115"/>
      <c r="BF748" s="115"/>
      <c r="BG748" s="115"/>
      <c r="BH748" s="115"/>
      <c r="BI748" s="115"/>
      <c r="BJ748" s="25"/>
      <c r="BK748" s="13"/>
      <c r="BN748" s="114"/>
    </row>
    <row r="749" spans="1:66" ht="19.5" x14ac:dyDescent="0.4">
      <c r="A749" s="117"/>
      <c r="B749" s="123"/>
      <c r="C749" s="123"/>
      <c r="D749" s="123"/>
      <c r="AA749" s="127"/>
      <c r="AB749" s="29"/>
      <c r="AL749" s="26"/>
      <c r="AM749" s="13"/>
      <c r="AR749" s="117"/>
      <c r="AS749" s="123"/>
      <c r="AT749" s="123"/>
      <c r="AU749" s="123"/>
      <c r="AV749" s="115"/>
      <c r="AW749" s="115"/>
      <c r="AX749" s="115"/>
      <c r="AY749" s="115"/>
      <c r="AZ749" s="115"/>
      <c r="BA749" s="115"/>
      <c r="BB749" s="115"/>
      <c r="BC749" s="115"/>
      <c r="BD749" s="115"/>
      <c r="BE749" s="115"/>
      <c r="BF749" s="115"/>
      <c r="BG749" s="115"/>
      <c r="BH749" s="115"/>
      <c r="BI749" s="115"/>
      <c r="BJ749" s="25"/>
      <c r="BK749" s="13"/>
      <c r="BN749" s="114"/>
    </row>
    <row r="750" spans="1:66" ht="19.5" x14ac:dyDescent="0.4">
      <c r="A750" s="117"/>
      <c r="B750" s="123"/>
      <c r="C750" s="123"/>
      <c r="D750" s="123"/>
      <c r="AA750" s="127"/>
      <c r="AB750" s="29"/>
      <c r="AD750" s="115"/>
      <c r="AE750" s="115"/>
      <c r="AF750" s="115"/>
      <c r="AG750" s="115"/>
      <c r="AH750" s="115"/>
      <c r="AI750" s="115"/>
      <c r="AJ750" s="115"/>
      <c r="AK750" s="115"/>
      <c r="AL750" s="26"/>
      <c r="AM750" s="13"/>
      <c r="AR750" s="117"/>
      <c r="AS750" s="123"/>
      <c r="AT750" s="123"/>
      <c r="AU750" s="123"/>
      <c r="AV750" s="115"/>
      <c r="AW750" s="115"/>
      <c r="AX750" s="115"/>
      <c r="AY750" s="115"/>
      <c r="AZ750" s="115"/>
      <c r="BA750" s="115"/>
      <c r="BB750" s="115"/>
      <c r="BC750" s="115"/>
      <c r="BD750" s="115"/>
      <c r="BE750" s="115"/>
      <c r="BF750" s="115"/>
      <c r="BG750" s="115"/>
      <c r="BH750" s="115"/>
      <c r="BI750" s="115"/>
      <c r="BJ750" s="25"/>
      <c r="BK750" s="13"/>
      <c r="BN750" s="114"/>
    </row>
    <row r="751" spans="1:66" ht="19.5" x14ac:dyDescent="0.4">
      <c r="A751" s="117"/>
      <c r="B751" s="123"/>
      <c r="C751" s="123"/>
      <c r="D751" s="123"/>
      <c r="AA751" s="127"/>
      <c r="AB751" s="29"/>
      <c r="AL751" s="26"/>
      <c r="AM751" s="13"/>
      <c r="AR751" s="117"/>
      <c r="AS751" s="123"/>
      <c r="AT751" s="123"/>
      <c r="AU751" s="123"/>
      <c r="AV751" s="115"/>
      <c r="AW751" s="115"/>
      <c r="AX751" s="115"/>
      <c r="AY751" s="115"/>
      <c r="AZ751" s="115"/>
      <c r="BA751" s="115"/>
      <c r="BB751" s="115"/>
      <c r="BC751" s="115"/>
      <c r="BD751" s="115"/>
      <c r="BE751" s="115"/>
      <c r="BF751" s="115"/>
      <c r="BG751" s="115"/>
      <c r="BH751" s="115"/>
      <c r="BI751" s="115"/>
      <c r="BJ751" s="25">
        <v>45270</v>
      </c>
      <c r="BK751" s="13" t="s">
        <v>164</v>
      </c>
      <c r="BN751" s="114"/>
    </row>
    <row r="752" spans="1:66" ht="19.5" x14ac:dyDescent="0.4">
      <c r="A752" s="117"/>
      <c r="B752" s="123"/>
      <c r="C752" s="123"/>
      <c r="D752" s="123"/>
      <c r="AA752" s="127"/>
      <c r="AB752" s="29"/>
      <c r="AF752" s="115"/>
      <c r="AG752" s="115"/>
      <c r="AH752" s="115"/>
      <c r="AI752" s="115"/>
      <c r="AJ752" s="115"/>
      <c r="AK752" s="115"/>
      <c r="AL752" s="26"/>
      <c r="AM752" s="13"/>
      <c r="AR752" s="117"/>
      <c r="AS752" s="123"/>
      <c r="AT752" s="123"/>
      <c r="AU752" s="123"/>
      <c r="AV752" s="115"/>
      <c r="AW752" s="115"/>
      <c r="AX752" s="115"/>
      <c r="AY752" s="115"/>
      <c r="AZ752" s="115"/>
      <c r="BA752" s="115"/>
      <c r="BB752" s="115"/>
      <c r="BC752" s="115"/>
      <c r="BD752" s="115"/>
      <c r="BE752" s="115"/>
      <c r="BF752" s="115"/>
      <c r="BG752" s="115"/>
      <c r="BH752" s="115"/>
      <c r="BI752" s="115"/>
      <c r="BJ752" s="25"/>
      <c r="BK752" s="13"/>
      <c r="BN752" s="114"/>
    </row>
    <row r="753" spans="1:66" ht="19.5" x14ac:dyDescent="0.4">
      <c r="A753" s="117"/>
      <c r="B753" s="123"/>
      <c r="C753" s="123"/>
      <c r="D753" s="123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27"/>
      <c r="AB753" s="29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26"/>
      <c r="AM753" s="13"/>
      <c r="AR753" s="117"/>
      <c r="AS753" s="123"/>
      <c r="AT753" s="123"/>
      <c r="AU753" s="123"/>
      <c r="AV753" s="115"/>
      <c r="AW753" s="115"/>
      <c r="AX753" s="115"/>
      <c r="AY753" s="115"/>
      <c r="AZ753" s="115"/>
      <c r="BA753" s="115"/>
      <c r="BB753" s="115"/>
      <c r="BC753" s="115"/>
      <c r="BD753" s="115"/>
      <c r="BE753" s="115"/>
      <c r="BF753" s="115"/>
      <c r="BG753" s="115"/>
      <c r="BH753" s="115"/>
      <c r="BI753" s="115"/>
      <c r="BJ753" s="25"/>
      <c r="BK753" s="13"/>
      <c r="BN753" s="114"/>
    </row>
    <row r="754" spans="1:66" ht="19.5" x14ac:dyDescent="0.4">
      <c r="A754" s="117"/>
      <c r="B754" s="123"/>
      <c r="C754" s="123"/>
      <c r="D754" s="123"/>
      <c r="AA754" s="127"/>
      <c r="AB754" s="29"/>
      <c r="AL754" s="26"/>
      <c r="AM754" s="13"/>
      <c r="AR754" s="117"/>
      <c r="AS754" s="123"/>
      <c r="AT754" s="123"/>
      <c r="AU754" s="123"/>
      <c r="AV754" s="115"/>
      <c r="AW754" s="115"/>
      <c r="AX754" s="115"/>
      <c r="AY754" s="115"/>
      <c r="AZ754" s="115"/>
      <c r="BA754" s="115"/>
      <c r="BB754" s="115"/>
      <c r="BC754" s="115"/>
      <c r="BD754" s="115"/>
      <c r="BE754" s="115"/>
      <c r="BF754" s="115"/>
      <c r="BG754" s="115"/>
      <c r="BH754" s="115"/>
      <c r="BI754" s="115"/>
      <c r="BJ754" s="25">
        <v>45270</v>
      </c>
      <c r="BK754" s="13" t="s">
        <v>162</v>
      </c>
      <c r="BN754" s="114"/>
    </row>
    <row r="755" spans="1:66" ht="19.5" x14ac:dyDescent="0.4">
      <c r="A755" s="117"/>
      <c r="B755" s="123"/>
      <c r="C755" s="123"/>
      <c r="D755" s="123"/>
      <c r="AA755" s="127"/>
      <c r="AB755" s="29"/>
      <c r="AE755" s="115"/>
      <c r="AF755" s="115"/>
      <c r="AG755" s="115"/>
      <c r="AH755" s="115"/>
      <c r="AI755" s="115"/>
      <c r="AJ755" s="115"/>
      <c r="AK755" s="115"/>
      <c r="AL755" s="26"/>
      <c r="AM755" s="15"/>
      <c r="AR755" s="117"/>
      <c r="AS755" s="123"/>
      <c r="AT755" s="123"/>
      <c r="AU755" s="123"/>
      <c r="AV755" s="115"/>
      <c r="AW755" s="115"/>
      <c r="AX755" s="115"/>
      <c r="AY755" s="115"/>
      <c r="AZ755" s="115"/>
      <c r="BA755" s="115"/>
      <c r="BB755" s="115"/>
      <c r="BC755" s="115"/>
      <c r="BD755" s="115"/>
      <c r="BE755" s="115"/>
      <c r="BF755" s="115"/>
      <c r="BG755" s="115"/>
      <c r="BH755" s="115"/>
      <c r="BI755" s="115"/>
      <c r="BJ755" s="25"/>
      <c r="BK755" s="13"/>
      <c r="BN755" s="114"/>
    </row>
    <row r="756" spans="1:66" ht="19.5" x14ac:dyDescent="0.4">
      <c r="A756" s="117"/>
      <c r="B756" s="123"/>
      <c r="C756" s="123"/>
      <c r="D756" s="123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29"/>
      <c r="AB756" s="29"/>
      <c r="AE756" s="115"/>
      <c r="AF756" s="115"/>
      <c r="AG756" s="115"/>
      <c r="AH756" s="115"/>
      <c r="AI756" s="115"/>
      <c r="AJ756" s="115"/>
      <c r="AK756" s="115"/>
      <c r="AL756" s="26"/>
      <c r="AM756" s="13"/>
      <c r="AR756" s="117"/>
      <c r="AS756" s="123"/>
      <c r="AT756" s="123"/>
      <c r="AU756" s="123"/>
      <c r="AV756" s="115"/>
      <c r="AW756" s="115"/>
      <c r="AX756" s="115"/>
      <c r="AY756" s="115"/>
      <c r="AZ756" s="115"/>
      <c r="BA756" s="115"/>
      <c r="BB756" s="115"/>
      <c r="BC756" s="115"/>
      <c r="BD756" s="115"/>
      <c r="BE756" s="115"/>
      <c r="BF756" s="115"/>
      <c r="BG756" s="115"/>
      <c r="BH756" s="115"/>
      <c r="BI756" s="115"/>
      <c r="BJ756" s="25"/>
      <c r="BK756" s="13"/>
      <c r="BN756" s="114"/>
    </row>
    <row r="757" spans="1:66" ht="19.5" x14ac:dyDescent="0.4">
      <c r="A757" s="117"/>
      <c r="B757" s="123"/>
      <c r="C757" s="123"/>
      <c r="D757" s="123"/>
      <c r="AA757" s="127"/>
      <c r="AB757" s="29"/>
      <c r="AL757" s="26"/>
      <c r="AM757" s="13"/>
      <c r="AR757" s="117"/>
      <c r="AS757" s="123"/>
      <c r="AT757" s="123"/>
      <c r="AU757" s="123"/>
      <c r="AV757" s="115"/>
      <c r="AW757" s="115"/>
      <c r="AX757" s="115"/>
      <c r="AY757" s="115"/>
      <c r="AZ757" s="115"/>
      <c r="BA757" s="115"/>
      <c r="BB757" s="115"/>
      <c r="BC757" s="115"/>
      <c r="BD757" s="115"/>
      <c r="BE757" s="115"/>
      <c r="BF757" s="115"/>
      <c r="BG757" s="115"/>
      <c r="BH757" s="115"/>
      <c r="BI757" s="115"/>
      <c r="BJ757" s="25">
        <v>45270</v>
      </c>
      <c r="BK757" s="13" t="s">
        <v>162</v>
      </c>
      <c r="BN757" s="114"/>
    </row>
    <row r="758" spans="1:66" ht="19.5" x14ac:dyDescent="0.4">
      <c r="A758" s="117"/>
      <c r="B758" s="123"/>
      <c r="C758" s="123"/>
      <c r="D758" s="123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29"/>
      <c r="AB758" s="29"/>
      <c r="AL758" s="26"/>
      <c r="AM758" s="13"/>
      <c r="AR758" s="117"/>
      <c r="AS758" s="123"/>
      <c r="AT758" s="123"/>
      <c r="AU758" s="123"/>
      <c r="AV758" s="115"/>
      <c r="AW758" s="115"/>
      <c r="AX758" s="115"/>
      <c r="AY758" s="115"/>
      <c r="AZ758" s="115"/>
      <c r="BA758" s="115"/>
      <c r="BB758" s="115"/>
      <c r="BC758" s="115"/>
      <c r="BD758" s="115"/>
      <c r="BE758" s="115"/>
      <c r="BF758" s="115"/>
      <c r="BG758" s="115"/>
      <c r="BH758" s="115"/>
      <c r="BI758" s="115"/>
      <c r="BJ758" s="25"/>
      <c r="BK758" s="13"/>
      <c r="BN758" s="114"/>
    </row>
    <row r="759" spans="1:66" ht="19.5" x14ac:dyDescent="0.4">
      <c r="A759" s="117"/>
      <c r="B759" s="123"/>
      <c r="C759" s="123"/>
      <c r="D759" s="123"/>
      <c r="AA759" s="127"/>
      <c r="AB759" s="29"/>
      <c r="AG759" s="115"/>
      <c r="AH759" s="115"/>
      <c r="AI759" s="115"/>
      <c r="AJ759" s="115"/>
      <c r="AK759" s="115"/>
      <c r="AL759" s="17"/>
      <c r="AM759" s="13"/>
      <c r="AR759" s="117"/>
      <c r="AS759" s="123"/>
      <c r="AT759" s="123"/>
      <c r="AU759" s="123"/>
      <c r="AV759" s="115"/>
      <c r="AW759" s="115"/>
      <c r="AX759" s="115"/>
      <c r="AY759" s="115"/>
      <c r="AZ759" s="115"/>
      <c r="BA759" s="115"/>
      <c r="BB759" s="115"/>
      <c r="BC759" s="115"/>
      <c r="BD759" s="115"/>
      <c r="BE759" s="115"/>
      <c r="BF759" s="115"/>
      <c r="BG759" s="115"/>
      <c r="BH759" s="115"/>
      <c r="BI759" s="115"/>
      <c r="BJ759" s="25"/>
      <c r="BK759" s="13"/>
      <c r="BN759" s="114"/>
    </row>
    <row r="760" spans="1:66" ht="19.5" x14ac:dyDescent="0.4">
      <c r="A760" s="117"/>
      <c r="B760" s="123"/>
      <c r="C760" s="123"/>
      <c r="D760" s="123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29"/>
      <c r="AB760" s="29"/>
      <c r="AG760" s="115"/>
      <c r="AH760" s="115"/>
      <c r="AI760" s="115"/>
      <c r="AJ760" s="115"/>
      <c r="AK760" s="115"/>
      <c r="AL760" s="17"/>
      <c r="AM760" s="13"/>
      <c r="AR760" s="117"/>
      <c r="AS760" s="123"/>
      <c r="AT760" s="123"/>
      <c r="AU760" s="123"/>
      <c r="AV760" s="115"/>
      <c r="AW760" s="115"/>
      <c r="AX760" s="115"/>
      <c r="AY760" s="115"/>
      <c r="AZ760" s="115"/>
      <c r="BA760" s="115"/>
      <c r="BB760" s="115"/>
      <c r="BC760" s="115"/>
      <c r="BD760" s="115"/>
      <c r="BE760" s="115"/>
      <c r="BF760" s="115"/>
      <c r="BG760" s="115"/>
      <c r="BH760" s="115"/>
      <c r="BI760" s="115"/>
      <c r="BJ760" s="25"/>
      <c r="BK760" s="13"/>
      <c r="BN760" s="114"/>
    </row>
    <row r="761" spans="1:66" ht="19.5" x14ac:dyDescent="0.4">
      <c r="A761" s="117"/>
      <c r="B761" s="123"/>
      <c r="C761" s="123"/>
      <c r="D761" s="123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29"/>
      <c r="AB761" s="29"/>
      <c r="AG761" s="115"/>
      <c r="AH761" s="115"/>
      <c r="AI761" s="115"/>
      <c r="AJ761" s="115"/>
      <c r="AK761" s="115"/>
      <c r="AL761" s="17"/>
      <c r="AM761" s="13"/>
      <c r="AR761" s="117"/>
      <c r="AS761" s="123"/>
      <c r="AT761" s="123"/>
      <c r="AU761" s="123"/>
      <c r="AV761" s="115"/>
      <c r="AW761" s="115"/>
      <c r="AX761" s="115"/>
      <c r="AY761" s="115"/>
      <c r="AZ761" s="115"/>
      <c r="BA761" s="115"/>
      <c r="BB761" s="115"/>
      <c r="BC761" s="115"/>
      <c r="BD761" s="115"/>
      <c r="BE761" s="115"/>
      <c r="BF761" s="115"/>
      <c r="BG761" s="115"/>
      <c r="BH761" s="115"/>
      <c r="BI761" s="115"/>
      <c r="BJ761" s="25"/>
      <c r="BK761" s="13"/>
      <c r="BN761" s="114"/>
    </row>
    <row r="762" spans="1:66" ht="19.5" x14ac:dyDescent="0.4">
      <c r="A762" s="117"/>
      <c r="B762" s="123"/>
      <c r="C762" s="123"/>
      <c r="D762" s="123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26"/>
      <c r="AM762" s="13"/>
      <c r="AR762" s="117"/>
      <c r="AS762" s="123"/>
      <c r="AT762" s="123"/>
      <c r="AU762" s="123"/>
      <c r="AV762" s="115"/>
      <c r="AW762" s="115"/>
      <c r="AX762" s="115"/>
      <c r="AY762" s="115"/>
      <c r="AZ762" s="115"/>
      <c r="BA762" s="115"/>
      <c r="BB762" s="115"/>
      <c r="BC762" s="115"/>
      <c r="BD762" s="115"/>
      <c r="BE762" s="115"/>
      <c r="BF762" s="115"/>
      <c r="BG762" s="115"/>
      <c r="BH762" s="115"/>
      <c r="BI762" s="115"/>
      <c r="BJ762" s="25"/>
      <c r="BK762" s="13"/>
      <c r="BN762" s="114"/>
    </row>
    <row r="763" spans="1:66" ht="19.5" x14ac:dyDescent="0.4">
      <c r="A763" s="117"/>
      <c r="B763" s="123"/>
      <c r="C763" s="123"/>
      <c r="D763" s="123"/>
      <c r="AL763" s="26"/>
      <c r="AM763" s="13"/>
      <c r="AR763" s="117"/>
      <c r="AS763" s="123"/>
      <c r="AT763" s="123"/>
      <c r="AU763" s="123"/>
      <c r="AV763" s="115"/>
      <c r="AW763" s="115"/>
      <c r="AX763" s="115"/>
      <c r="AY763" s="115"/>
      <c r="AZ763" s="115"/>
      <c r="BA763" s="115"/>
      <c r="BB763" s="115"/>
      <c r="BC763" s="115"/>
      <c r="BD763" s="115"/>
      <c r="BE763" s="115"/>
      <c r="BF763" s="115"/>
      <c r="BG763" s="115"/>
      <c r="BH763" s="115"/>
      <c r="BI763" s="115"/>
      <c r="BJ763" s="25"/>
      <c r="BK763" s="13"/>
      <c r="BN763" s="114"/>
    </row>
    <row r="764" spans="1:66" ht="19.5" x14ac:dyDescent="0.4">
      <c r="A764" s="117"/>
      <c r="B764" s="123"/>
      <c r="C764" s="123"/>
      <c r="D764" s="123"/>
      <c r="AL764" s="26"/>
      <c r="AM764" s="13"/>
      <c r="AR764" s="117"/>
      <c r="AS764" s="123"/>
      <c r="AT764" s="123"/>
      <c r="AU764" s="123"/>
      <c r="AV764" s="115"/>
      <c r="AW764" s="115"/>
      <c r="AX764" s="115"/>
      <c r="AY764" s="115"/>
      <c r="AZ764" s="115"/>
      <c r="BA764" s="115"/>
      <c r="BB764" s="115"/>
      <c r="BC764" s="115"/>
      <c r="BD764" s="115"/>
      <c r="BE764" s="115"/>
      <c r="BF764" s="115"/>
      <c r="BG764" s="115"/>
      <c r="BH764" s="115"/>
      <c r="BI764" s="115"/>
      <c r="BJ764" s="25">
        <v>45270</v>
      </c>
      <c r="BK764" s="13" t="s">
        <v>163</v>
      </c>
      <c r="BN764" s="114"/>
    </row>
    <row r="765" spans="1:66" ht="19.5" x14ac:dyDescent="0.4">
      <c r="A765" s="117"/>
      <c r="B765" s="123"/>
      <c r="C765" s="123"/>
      <c r="D765" s="123"/>
      <c r="AG765" s="115"/>
      <c r="AH765" s="115"/>
      <c r="AI765" s="115"/>
      <c r="AJ765" s="115"/>
      <c r="AK765" s="115"/>
      <c r="AL765" s="17"/>
      <c r="AM765" s="13"/>
      <c r="AR765" s="117"/>
      <c r="AS765" s="123"/>
      <c r="AT765" s="123"/>
      <c r="AU765" s="123"/>
      <c r="AV765" s="115"/>
      <c r="AW765" s="115"/>
      <c r="AX765" s="115"/>
      <c r="AY765" s="115"/>
      <c r="AZ765" s="115"/>
      <c r="BA765" s="115"/>
      <c r="BB765" s="115"/>
      <c r="BC765" s="115"/>
      <c r="BD765" s="115"/>
      <c r="BE765" s="115"/>
      <c r="BF765" s="115"/>
      <c r="BG765" s="115"/>
      <c r="BH765" s="115"/>
      <c r="BI765" s="115"/>
      <c r="BJ765" s="25"/>
      <c r="BK765" s="13"/>
      <c r="BN765" s="114"/>
    </row>
    <row r="766" spans="1:66" ht="19.5" x14ac:dyDescent="0.4">
      <c r="A766" s="117"/>
      <c r="B766" s="123"/>
      <c r="C766" s="123"/>
      <c r="D766" s="123"/>
      <c r="AL766" s="26"/>
      <c r="AM766" s="13"/>
      <c r="AR766" s="117"/>
      <c r="AS766" s="123"/>
      <c r="AT766" s="123"/>
      <c r="AU766" s="123"/>
      <c r="AV766" s="115"/>
      <c r="AW766" s="115"/>
      <c r="AX766" s="115"/>
      <c r="AY766" s="115"/>
      <c r="AZ766" s="115"/>
      <c r="BA766" s="115"/>
      <c r="BB766" s="115"/>
      <c r="BC766" s="115"/>
      <c r="BD766" s="115"/>
      <c r="BE766" s="115"/>
      <c r="BF766" s="115"/>
      <c r="BG766" s="115"/>
      <c r="BH766" s="115"/>
      <c r="BI766" s="115" t="s">
        <v>151</v>
      </c>
      <c r="BJ766" s="13">
        <f>SUBTOTAL(3,BJ747:BJ764)</f>
        <v>5</v>
      </c>
      <c r="BK766" s="13">
        <f>SUBTOTAL(3,BK747:BK764)</f>
        <v>5</v>
      </c>
      <c r="BN766" s="114"/>
    </row>
    <row r="767" spans="1:66" ht="19.5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26"/>
      <c r="AM767" s="13"/>
      <c r="AR767" s="117"/>
      <c r="AS767" s="123"/>
      <c r="AT767" s="123"/>
      <c r="AU767" s="123"/>
      <c r="AV767" s="115"/>
      <c r="AW767" s="115"/>
      <c r="AX767" s="115"/>
      <c r="AY767" s="115"/>
      <c r="AZ767" s="115"/>
      <c r="BA767" s="115"/>
      <c r="BB767" s="115"/>
      <c r="BC767" s="115"/>
      <c r="BD767" s="115"/>
      <c r="BE767" s="115"/>
      <c r="BF767" s="115"/>
      <c r="BG767" s="115"/>
      <c r="BH767" s="115"/>
      <c r="BI767" s="115"/>
      <c r="BJ767" s="13"/>
      <c r="BK767" s="13"/>
      <c r="BN767" s="114"/>
    </row>
    <row r="768" spans="1:66" ht="19.5" x14ac:dyDescent="0.4">
      <c r="A768" s="117"/>
      <c r="B768" s="123"/>
      <c r="C768" s="123"/>
      <c r="D768" s="123"/>
      <c r="AL768" s="26"/>
      <c r="AM768" s="13"/>
      <c r="AR768" s="117"/>
      <c r="AS768" s="123"/>
      <c r="AT768" s="123"/>
      <c r="AU768" s="123"/>
      <c r="AV768" s="115"/>
      <c r="AW768" s="115"/>
      <c r="AX768" s="115"/>
      <c r="AY768" s="115"/>
      <c r="AZ768" s="115"/>
      <c r="BA768" s="115"/>
      <c r="BB768" s="115"/>
      <c r="BC768" s="115"/>
      <c r="BD768" s="115"/>
      <c r="BE768" s="115"/>
      <c r="BF768" s="115"/>
      <c r="BG768" s="115"/>
      <c r="BH768" s="115"/>
      <c r="BI768" s="115"/>
      <c r="BJ768" s="25">
        <v>45271</v>
      </c>
      <c r="BK768" s="13" t="s">
        <v>162</v>
      </c>
      <c r="BN768" s="114"/>
    </row>
    <row r="769" spans="1:66" ht="19.5" x14ac:dyDescent="0.4">
      <c r="A769" s="117"/>
      <c r="B769" s="123"/>
      <c r="C769" s="123"/>
      <c r="D769" s="123"/>
      <c r="AL769" s="26"/>
      <c r="AM769" s="13"/>
      <c r="AR769" s="117"/>
      <c r="AS769" s="123"/>
      <c r="AT769" s="123"/>
      <c r="AU769" s="123"/>
      <c r="AV769" s="115"/>
      <c r="AW769" s="115"/>
      <c r="AX769" s="115"/>
      <c r="AY769" s="115"/>
      <c r="AZ769" s="115"/>
      <c r="BA769" s="115"/>
      <c r="BB769" s="115"/>
      <c r="BC769" s="115"/>
      <c r="BD769" s="115"/>
      <c r="BE769" s="115"/>
      <c r="BF769" s="115"/>
      <c r="BG769" s="115"/>
      <c r="BH769" s="115"/>
      <c r="BI769" s="115"/>
      <c r="BJ769" s="25">
        <v>45271</v>
      </c>
      <c r="BK769" s="13" t="s">
        <v>163</v>
      </c>
      <c r="BN769" s="114"/>
    </row>
    <row r="770" spans="1:66" ht="19.5" x14ac:dyDescent="0.4">
      <c r="A770" s="117"/>
      <c r="B770" s="123"/>
      <c r="C770" s="123"/>
      <c r="D770" s="123"/>
      <c r="AF770" s="115"/>
      <c r="AG770" s="115"/>
      <c r="AH770" s="115"/>
      <c r="AI770" s="115"/>
      <c r="AJ770" s="115"/>
      <c r="AK770" s="115"/>
      <c r="AL770" s="26"/>
      <c r="AM770" s="13"/>
      <c r="AR770" s="117"/>
      <c r="AS770" s="123"/>
      <c r="AT770" s="123"/>
      <c r="AU770" s="123"/>
      <c r="AV770" s="115"/>
      <c r="AW770" s="115"/>
      <c r="AX770" s="115"/>
      <c r="AY770" s="115"/>
      <c r="AZ770" s="115"/>
      <c r="BA770" s="115"/>
      <c r="BB770" s="115"/>
      <c r="BC770" s="115"/>
      <c r="BD770" s="115"/>
      <c r="BE770" s="115"/>
      <c r="BF770" s="115"/>
      <c r="BG770" s="115"/>
      <c r="BH770" s="115"/>
      <c r="BI770" s="115"/>
      <c r="BJ770" s="25"/>
      <c r="BK770" s="13"/>
      <c r="BN770" s="114"/>
    </row>
    <row r="771" spans="1:66" ht="19.5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26"/>
      <c r="AM771" s="13"/>
      <c r="AR771" s="117"/>
      <c r="AS771" s="123"/>
      <c r="AT771" s="123"/>
      <c r="AU771" s="123"/>
      <c r="AV771" s="115"/>
      <c r="AW771" s="115"/>
      <c r="AX771" s="115"/>
      <c r="AY771" s="115"/>
      <c r="AZ771" s="115"/>
      <c r="BA771" s="115"/>
      <c r="BB771" s="115"/>
      <c r="BC771" s="115"/>
      <c r="BD771" s="115"/>
      <c r="BE771" s="115"/>
      <c r="BF771" s="115"/>
      <c r="BG771" s="115"/>
      <c r="BH771" s="115"/>
      <c r="BI771" s="115"/>
      <c r="BJ771" s="25"/>
      <c r="BK771" s="13"/>
      <c r="BN771" s="114"/>
    </row>
    <row r="772" spans="1:66" ht="19.5" x14ac:dyDescent="0.4">
      <c r="A772" s="117"/>
      <c r="B772" s="123"/>
      <c r="C772" s="123"/>
      <c r="D772" s="123"/>
      <c r="AE772" s="115"/>
      <c r="AF772" s="115"/>
      <c r="AG772" s="115"/>
      <c r="AH772" s="115"/>
      <c r="AI772" s="115"/>
      <c r="AJ772" s="115"/>
      <c r="AK772" s="115"/>
      <c r="AL772" s="17"/>
      <c r="AM772" s="13"/>
      <c r="AR772" s="117"/>
      <c r="AS772" s="123"/>
      <c r="AT772" s="123"/>
      <c r="AU772" s="123"/>
      <c r="AV772" s="115"/>
      <c r="AW772" s="115"/>
      <c r="AX772" s="115"/>
      <c r="AY772" s="115"/>
      <c r="AZ772" s="115"/>
      <c r="BA772" s="115"/>
      <c r="BB772" s="115"/>
      <c r="BC772" s="115"/>
      <c r="BD772" s="115"/>
      <c r="BE772" s="115"/>
      <c r="BF772" s="115"/>
      <c r="BG772" s="115"/>
      <c r="BH772" s="115"/>
      <c r="BI772" s="115"/>
      <c r="BJ772" s="25"/>
      <c r="BK772" s="13"/>
      <c r="BN772" s="114"/>
    </row>
    <row r="773" spans="1:66" ht="19.5" x14ac:dyDescent="0.4">
      <c r="A773" s="117"/>
      <c r="B773" s="123"/>
      <c r="C773" s="123"/>
      <c r="D773" s="123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26"/>
      <c r="AM773" s="13"/>
      <c r="AR773" s="117"/>
      <c r="AS773" s="123"/>
      <c r="AT773" s="123"/>
      <c r="AU773" s="123"/>
      <c r="AV773" s="115"/>
      <c r="AW773" s="115"/>
      <c r="AX773" s="115"/>
      <c r="AY773" s="115"/>
      <c r="AZ773" s="115"/>
      <c r="BA773" s="115"/>
      <c r="BB773" s="115"/>
      <c r="BC773" s="115"/>
      <c r="BD773" s="115"/>
      <c r="BE773" s="115"/>
      <c r="BF773" s="115"/>
      <c r="BG773" s="115"/>
      <c r="BH773" s="115"/>
      <c r="BI773" s="115"/>
      <c r="BJ773" s="25"/>
      <c r="BK773" s="13"/>
      <c r="BN773" s="114"/>
    </row>
    <row r="774" spans="1:66" ht="19.5" x14ac:dyDescent="0.4">
      <c r="A774" s="117"/>
      <c r="B774" s="123"/>
      <c r="C774" s="123"/>
      <c r="D774" s="123"/>
      <c r="AL774" s="26"/>
      <c r="AM774" s="13"/>
      <c r="AR774" s="117"/>
      <c r="AS774" s="123"/>
      <c r="AT774" s="123"/>
      <c r="AU774" s="123"/>
      <c r="AV774" s="115"/>
      <c r="AW774" s="115"/>
      <c r="AX774" s="115"/>
      <c r="AY774" s="115"/>
      <c r="AZ774" s="115"/>
      <c r="BA774" s="115"/>
      <c r="BB774" s="115"/>
      <c r="BC774" s="115"/>
      <c r="BD774" s="115"/>
      <c r="BE774" s="115"/>
      <c r="BF774" s="115"/>
      <c r="BG774" s="115"/>
      <c r="BH774" s="115"/>
      <c r="BI774" s="115"/>
      <c r="BJ774" s="25">
        <v>45271</v>
      </c>
      <c r="BK774" s="13" t="s">
        <v>163</v>
      </c>
      <c r="BN774" s="114"/>
    </row>
    <row r="775" spans="1:66" ht="19.5" x14ac:dyDescent="0.4">
      <c r="A775" s="117"/>
      <c r="B775" s="123"/>
      <c r="C775" s="123"/>
      <c r="D775" s="123"/>
      <c r="AF775" s="115"/>
      <c r="AG775" s="115"/>
      <c r="AH775" s="115"/>
      <c r="AI775" s="115"/>
      <c r="AJ775" s="115"/>
      <c r="AK775" s="115"/>
      <c r="AL775" s="26"/>
      <c r="AM775" s="13"/>
      <c r="AR775" s="117"/>
      <c r="AS775" s="123"/>
      <c r="AT775" s="123"/>
      <c r="AU775" s="123"/>
      <c r="AV775" s="115"/>
      <c r="AW775" s="115"/>
      <c r="AX775" s="115"/>
      <c r="AY775" s="115"/>
      <c r="AZ775" s="115"/>
      <c r="BA775" s="115"/>
      <c r="BB775" s="115"/>
      <c r="BC775" s="115"/>
      <c r="BD775" s="115"/>
      <c r="BE775" s="115"/>
      <c r="BF775" s="115"/>
      <c r="BG775" s="115"/>
      <c r="BH775" s="115"/>
      <c r="BI775" s="115"/>
      <c r="BJ775" s="25"/>
      <c r="BK775" s="13"/>
      <c r="BN775" s="114"/>
    </row>
    <row r="776" spans="1:66" ht="19.5" x14ac:dyDescent="0.4">
      <c r="A776" s="117"/>
      <c r="B776" s="123"/>
      <c r="C776" s="123"/>
      <c r="D776" s="123"/>
      <c r="AD776" s="115"/>
      <c r="AE776" s="115"/>
      <c r="AF776" s="115"/>
      <c r="AG776" s="115"/>
      <c r="AH776" s="115"/>
      <c r="AI776" s="115"/>
      <c r="AJ776" s="115"/>
      <c r="AK776" s="115"/>
      <c r="AL776" s="26"/>
      <c r="AM776" s="13"/>
      <c r="AR776" s="117"/>
      <c r="AS776" s="123"/>
      <c r="AT776" s="123"/>
      <c r="AU776" s="123"/>
      <c r="AV776" s="115"/>
      <c r="AW776" s="115"/>
      <c r="AX776" s="115"/>
      <c r="AY776" s="115"/>
      <c r="AZ776" s="115"/>
      <c r="BA776" s="115"/>
      <c r="BB776" s="115"/>
      <c r="BC776" s="115"/>
      <c r="BD776" s="115"/>
      <c r="BE776" s="115"/>
      <c r="BF776" s="115"/>
      <c r="BG776" s="115"/>
      <c r="BH776" s="115"/>
      <c r="BI776" s="115"/>
      <c r="BJ776" s="25"/>
      <c r="BK776" s="13"/>
      <c r="BN776" s="114"/>
    </row>
    <row r="777" spans="1:66" ht="19.5" x14ac:dyDescent="0.4">
      <c r="A777" s="117"/>
      <c r="B777" s="123"/>
      <c r="C777" s="123"/>
      <c r="D777" s="123"/>
      <c r="AD777" s="115"/>
      <c r="AE777" s="115"/>
      <c r="AF777" s="115"/>
      <c r="AG777" s="115"/>
      <c r="AH777" s="115"/>
      <c r="AI777" s="115"/>
      <c r="AJ777" s="115"/>
      <c r="AK777" s="115"/>
      <c r="AL777" s="17"/>
      <c r="AM777" s="13"/>
      <c r="AR777" s="117"/>
      <c r="AS777" s="123"/>
      <c r="AT777" s="123"/>
      <c r="AU777" s="123"/>
      <c r="AV777" s="115"/>
      <c r="AW777" s="115"/>
      <c r="AX777" s="115"/>
      <c r="AY777" s="115"/>
      <c r="AZ777" s="115"/>
      <c r="BA777" s="115"/>
      <c r="BB777" s="115"/>
      <c r="BC777" s="115"/>
      <c r="BD777" s="115"/>
      <c r="BE777" s="115"/>
      <c r="BF777" s="115"/>
      <c r="BG777" s="115"/>
      <c r="BH777" s="115"/>
      <c r="BI777" s="115"/>
      <c r="BJ777" s="25"/>
      <c r="BK777" s="13"/>
      <c r="BN777" s="114"/>
    </row>
    <row r="778" spans="1:66" ht="19.5" x14ac:dyDescent="0.4">
      <c r="A778" s="117"/>
      <c r="B778" s="123"/>
      <c r="C778" s="123"/>
      <c r="D778" s="123"/>
      <c r="AL778" s="26"/>
      <c r="AM778" s="13"/>
      <c r="AR778" s="117"/>
      <c r="AS778" s="123"/>
      <c r="AT778" s="123"/>
      <c r="AU778" s="123"/>
      <c r="AV778" s="115"/>
      <c r="AW778" s="115"/>
      <c r="AX778" s="115"/>
      <c r="AY778" s="115"/>
      <c r="AZ778" s="115"/>
      <c r="BA778" s="115"/>
      <c r="BB778" s="115"/>
      <c r="BC778" s="115"/>
      <c r="BD778" s="115"/>
      <c r="BE778" s="115"/>
      <c r="BF778" s="115"/>
      <c r="BG778" s="115"/>
      <c r="BH778" s="115"/>
      <c r="BI778" s="115" t="s">
        <v>165</v>
      </c>
      <c r="BJ778" s="13">
        <f>SUBTOTAL(3,BJ768:BJ774)</f>
        <v>3</v>
      </c>
      <c r="BK778" s="13">
        <f>SUBTOTAL(3,BK768:BK774)</f>
        <v>3</v>
      </c>
      <c r="BN778" s="114"/>
    </row>
    <row r="779" spans="1:66" ht="19.5" x14ac:dyDescent="0.4">
      <c r="A779" s="117"/>
      <c r="B779" s="123"/>
      <c r="C779" s="123"/>
      <c r="D779" s="123"/>
      <c r="AL779" s="26"/>
      <c r="AM779" s="13"/>
      <c r="AR779" s="117"/>
      <c r="AS779" s="123"/>
      <c r="AT779" s="123"/>
      <c r="AU779" s="123"/>
      <c r="AV779" s="115"/>
      <c r="AW779" s="115"/>
      <c r="AX779" s="115"/>
      <c r="AY779" s="115"/>
      <c r="AZ779" s="115"/>
      <c r="BA779" s="115"/>
      <c r="BB779" s="115"/>
      <c r="BC779" s="115"/>
      <c r="BD779" s="115"/>
      <c r="BE779" s="115"/>
      <c r="BF779" s="115"/>
      <c r="BG779" s="115"/>
      <c r="BH779" s="115"/>
      <c r="BI779" s="115"/>
      <c r="BJ779" s="25">
        <v>45272</v>
      </c>
      <c r="BK779" s="13" t="s">
        <v>162</v>
      </c>
      <c r="BN779" s="114"/>
    </row>
    <row r="780" spans="1:66" ht="19.5" x14ac:dyDescent="0.4">
      <c r="A780" s="117"/>
      <c r="B780" s="123"/>
      <c r="C780" s="123"/>
      <c r="D780" s="123"/>
      <c r="AG780" s="115"/>
      <c r="AH780" s="115"/>
      <c r="AI780" s="115"/>
      <c r="AJ780" s="115"/>
      <c r="AK780" s="115"/>
      <c r="AL780" s="17"/>
      <c r="AM780" s="13"/>
      <c r="AR780" s="117"/>
      <c r="AS780" s="123"/>
      <c r="AT780" s="123"/>
      <c r="AU780" s="123"/>
      <c r="AV780" s="115"/>
      <c r="AW780" s="115"/>
      <c r="AX780" s="115"/>
      <c r="AY780" s="115"/>
      <c r="AZ780" s="115"/>
      <c r="BA780" s="115"/>
      <c r="BB780" s="115"/>
      <c r="BC780" s="115"/>
      <c r="BD780" s="115"/>
      <c r="BE780" s="115"/>
      <c r="BF780" s="115"/>
      <c r="BG780" s="115"/>
      <c r="BH780" s="115"/>
      <c r="BI780" s="115"/>
      <c r="BJ780" s="25"/>
      <c r="BK780" s="13"/>
      <c r="BN780" s="114"/>
    </row>
    <row r="781" spans="1:66" ht="19.5" x14ac:dyDescent="0.4">
      <c r="A781" s="117"/>
      <c r="B781" s="123"/>
      <c r="C781" s="123"/>
      <c r="D781" s="123"/>
      <c r="AL781" s="26"/>
      <c r="AM781" s="15"/>
      <c r="AR781" s="117"/>
      <c r="AS781" s="123"/>
      <c r="AT781" s="123"/>
      <c r="AU781" s="123"/>
      <c r="AV781" s="115"/>
      <c r="AW781" s="115"/>
      <c r="AX781" s="115"/>
      <c r="AY781" s="115"/>
      <c r="AZ781" s="115"/>
      <c r="BA781" s="115"/>
      <c r="BB781" s="115"/>
      <c r="BC781" s="115"/>
      <c r="BD781" s="115"/>
      <c r="BE781" s="115"/>
      <c r="BF781" s="115"/>
      <c r="BG781" s="115"/>
      <c r="BH781" s="115"/>
      <c r="BI781" s="115"/>
      <c r="BJ781" s="25">
        <v>45272</v>
      </c>
      <c r="BK781" s="13" t="s">
        <v>162</v>
      </c>
      <c r="BN781" s="114"/>
    </row>
    <row r="782" spans="1:66" ht="19.5" x14ac:dyDescent="0.4">
      <c r="A782" s="117"/>
      <c r="B782" s="123"/>
      <c r="C782" s="123"/>
      <c r="D782" s="123"/>
      <c r="AG782" s="115"/>
      <c r="AH782" s="115"/>
      <c r="AI782" s="115"/>
      <c r="AJ782" s="115"/>
      <c r="AK782" s="115"/>
      <c r="AL782" s="17"/>
      <c r="AM782" s="13"/>
      <c r="AR782" s="117"/>
      <c r="AS782" s="123"/>
      <c r="AT782" s="123"/>
      <c r="AU782" s="123"/>
      <c r="AV782" s="115"/>
      <c r="AW782" s="115"/>
      <c r="AX782" s="115"/>
      <c r="AY782" s="115"/>
      <c r="AZ782" s="115"/>
      <c r="BA782" s="115"/>
      <c r="BB782" s="115"/>
      <c r="BC782" s="115"/>
      <c r="BD782" s="115"/>
      <c r="BE782" s="115"/>
      <c r="BF782" s="115"/>
      <c r="BG782" s="115"/>
      <c r="BH782" s="115"/>
      <c r="BI782" s="115"/>
      <c r="BJ782" s="25"/>
      <c r="BK782" s="13"/>
      <c r="BN782" s="114"/>
    </row>
    <row r="783" spans="1:66" ht="19.5" x14ac:dyDescent="0.4">
      <c r="A783" s="117"/>
      <c r="B783" s="123"/>
      <c r="C783" s="123"/>
      <c r="D783" s="123"/>
      <c r="AG783" s="115"/>
      <c r="AH783" s="115"/>
      <c r="AI783" s="115"/>
      <c r="AJ783" s="115"/>
      <c r="AK783" s="115"/>
      <c r="AL783" s="17"/>
      <c r="AM783" s="13"/>
      <c r="AR783" s="117"/>
      <c r="AS783" s="123"/>
      <c r="AT783" s="123"/>
      <c r="AU783" s="123"/>
      <c r="AV783" s="115"/>
      <c r="AW783" s="115"/>
      <c r="AX783" s="115"/>
      <c r="AY783" s="115"/>
      <c r="AZ783" s="115"/>
      <c r="BA783" s="115"/>
      <c r="BB783" s="115"/>
      <c r="BC783" s="115"/>
      <c r="BD783" s="115"/>
      <c r="BE783" s="115"/>
      <c r="BF783" s="115"/>
      <c r="BG783" s="115"/>
      <c r="BH783" s="115"/>
      <c r="BI783" s="115"/>
      <c r="BJ783" s="25"/>
      <c r="BK783" s="13"/>
      <c r="BN783" s="114"/>
    </row>
    <row r="784" spans="1:66" ht="19.5" x14ac:dyDescent="0.4">
      <c r="A784" s="117"/>
      <c r="B784" s="123"/>
      <c r="C784" s="123"/>
      <c r="D784" s="123"/>
      <c r="AL784" s="26"/>
      <c r="AM784" s="13"/>
      <c r="AR784" s="117"/>
      <c r="AS784" s="123"/>
      <c r="AT784" s="123"/>
      <c r="AU784" s="123"/>
      <c r="AV784" s="115"/>
      <c r="AW784" s="115"/>
      <c r="AX784" s="115"/>
      <c r="AY784" s="115"/>
      <c r="AZ784" s="115"/>
      <c r="BA784" s="115"/>
      <c r="BB784" s="115"/>
      <c r="BC784" s="115"/>
      <c r="BD784" s="115"/>
      <c r="BE784" s="115"/>
      <c r="BF784" s="115"/>
      <c r="BG784" s="115"/>
      <c r="BH784" s="115"/>
      <c r="BI784" s="115"/>
      <c r="BJ784" s="25">
        <v>45272</v>
      </c>
      <c r="BK784" s="13" t="s">
        <v>162</v>
      </c>
      <c r="BN784" s="114"/>
    </row>
    <row r="785" spans="1:66" ht="19.5" x14ac:dyDescent="0.4">
      <c r="A785" s="125"/>
      <c r="B785" s="126"/>
      <c r="C785" s="126"/>
      <c r="D785" s="126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26"/>
      <c r="AM785" s="13"/>
      <c r="AR785" s="117"/>
      <c r="AS785" s="123"/>
      <c r="AT785" s="123"/>
      <c r="AU785" s="123"/>
      <c r="AV785" s="115"/>
      <c r="AW785" s="115"/>
      <c r="AX785" s="115"/>
      <c r="AY785" s="115"/>
      <c r="AZ785" s="115"/>
      <c r="BA785" s="115"/>
      <c r="BB785" s="115"/>
      <c r="BC785" s="115"/>
      <c r="BD785" s="115"/>
      <c r="BE785" s="115"/>
      <c r="BF785" s="115"/>
      <c r="BG785" s="115"/>
      <c r="BH785" s="115"/>
      <c r="BI785" s="115"/>
      <c r="BJ785" s="25"/>
      <c r="BK785" s="13"/>
      <c r="BN785" s="114"/>
    </row>
    <row r="786" spans="1:66" ht="19.5" x14ac:dyDescent="0.4">
      <c r="A786" s="125"/>
      <c r="B786" s="126"/>
      <c r="C786" s="126"/>
      <c r="D786" s="126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26"/>
      <c r="AM786" s="13"/>
      <c r="AR786" s="117"/>
      <c r="AS786" s="123"/>
      <c r="AT786" s="123"/>
      <c r="AU786" s="123"/>
      <c r="AV786" s="115"/>
      <c r="AW786" s="115"/>
      <c r="AX786" s="115"/>
      <c r="AY786" s="115"/>
      <c r="AZ786" s="115"/>
      <c r="BA786" s="115"/>
      <c r="BB786" s="115"/>
      <c r="BC786" s="115"/>
      <c r="BD786" s="115"/>
      <c r="BE786" s="115"/>
      <c r="BF786" s="115"/>
      <c r="BG786" s="115"/>
      <c r="BH786" s="115"/>
      <c r="BI786" s="115"/>
      <c r="BJ786" s="25"/>
      <c r="BK786" s="13"/>
      <c r="BN786" s="114"/>
    </row>
    <row r="787" spans="1:66" ht="19.5" x14ac:dyDescent="0.4">
      <c r="A787" s="125"/>
      <c r="B787" s="126"/>
      <c r="C787" s="126"/>
      <c r="D787" s="126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7"/>
      <c r="AM787" s="13"/>
      <c r="AR787" s="117"/>
      <c r="AS787" s="123"/>
      <c r="AT787" s="123"/>
      <c r="AU787" s="123"/>
      <c r="AV787" s="115"/>
      <c r="AW787" s="115"/>
      <c r="AX787" s="115"/>
      <c r="AY787" s="115"/>
      <c r="AZ787" s="115"/>
      <c r="BA787" s="115"/>
      <c r="BB787" s="115"/>
      <c r="BC787" s="115"/>
      <c r="BD787" s="115"/>
      <c r="BE787" s="115"/>
      <c r="BF787" s="115"/>
      <c r="BG787" s="115"/>
      <c r="BH787" s="115"/>
      <c r="BI787" s="115"/>
      <c r="BJ787" s="25"/>
      <c r="BK787" s="13"/>
      <c r="BN787" s="114"/>
    </row>
    <row r="788" spans="1:66" ht="19.5" x14ac:dyDescent="0.4">
      <c r="A788" s="125"/>
      <c r="B788" s="126"/>
      <c r="C788" s="126"/>
      <c r="D788" s="126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26"/>
      <c r="AM788" s="13"/>
      <c r="AR788" s="117"/>
      <c r="AS788" s="123"/>
      <c r="AT788" s="123"/>
      <c r="AU788" s="123"/>
      <c r="AV788" s="115"/>
      <c r="AW788" s="115"/>
      <c r="AX788" s="115"/>
      <c r="AY788" s="115"/>
      <c r="AZ788" s="115"/>
      <c r="BA788" s="115"/>
      <c r="BB788" s="115"/>
      <c r="BC788" s="115"/>
      <c r="BD788" s="115"/>
      <c r="BE788" s="115"/>
      <c r="BF788" s="115"/>
      <c r="BG788" s="115"/>
      <c r="BH788" s="115"/>
      <c r="BI788" s="115"/>
      <c r="BJ788" s="25"/>
      <c r="BK788" s="13"/>
      <c r="BN788" s="114"/>
    </row>
    <row r="789" spans="1:66" ht="19.5" x14ac:dyDescent="0.4">
      <c r="AL789" s="26"/>
      <c r="AM789" s="13"/>
      <c r="AR789" s="117"/>
      <c r="AS789" s="123"/>
      <c r="AT789" s="123"/>
      <c r="AU789" s="123"/>
      <c r="AV789" s="115"/>
      <c r="AW789" s="115"/>
      <c r="AX789" s="115"/>
      <c r="AY789" s="115"/>
      <c r="AZ789" s="115"/>
      <c r="BA789" s="115"/>
      <c r="BB789" s="115"/>
      <c r="BC789" s="115"/>
      <c r="BD789" s="115"/>
      <c r="BE789" s="115"/>
      <c r="BF789" s="115"/>
      <c r="BG789" s="115"/>
      <c r="BH789" s="115"/>
      <c r="BI789" s="115"/>
      <c r="BJ789" s="25">
        <v>45272</v>
      </c>
      <c r="BK789" s="13" t="s">
        <v>162</v>
      </c>
      <c r="BN789" s="114"/>
    </row>
    <row r="790" spans="1:66" ht="19.5" x14ac:dyDescent="0.4">
      <c r="AL790" s="26"/>
      <c r="AM790" s="13"/>
      <c r="AR790" s="117"/>
      <c r="AS790" s="123"/>
      <c r="AT790" s="123"/>
      <c r="AU790" s="123"/>
      <c r="AV790" s="115"/>
      <c r="AW790" s="115"/>
      <c r="AX790" s="115"/>
      <c r="AY790" s="115"/>
      <c r="AZ790" s="115"/>
      <c r="BA790" s="115"/>
      <c r="BB790" s="115"/>
      <c r="BC790" s="115"/>
      <c r="BD790" s="115"/>
      <c r="BE790" s="115"/>
      <c r="BF790" s="115"/>
      <c r="BG790" s="115"/>
      <c r="BH790" s="115"/>
      <c r="BI790" s="115"/>
      <c r="BJ790" s="25"/>
      <c r="BK790" s="13"/>
      <c r="BN790" s="114"/>
    </row>
    <row r="791" spans="1:66" ht="19.5" x14ac:dyDescent="0.4"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26"/>
      <c r="AM791" s="25"/>
      <c r="AR791" s="117"/>
      <c r="AS791" s="123"/>
      <c r="AT791" s="123"/>
      <c r="AU791" s="123"/>
      <c r="AV791" s="115"/>
      <c r="AW791" s="115"/>
      <c r="AX791" s="115"/>
      <c r="AY791" s="115"/>
      <c r="AZ791" s="115"/>
      <c r="BA791" s="115"/>
      <c r="BB791" s="115"/>
      <c r="BC791" s="115"/>
      <c r="BD791" s="115"/>
      <c r="BE791" s="115"/>
      <c r="BF791" s="115"/>
      <c r="BG791" s="115"/>
      <c r="BH791" s="115"/>
      <c r="BI791" s="115"/>
      <c r="BJ791" s="25"/>
      <c r="BK791" s="13"/>
      <c r="BN791" s="114"/>
    </row>
    <row r="792" spans="1:66" ht="19.5" x14ac:dyDescent="0.4">
      <c r="AL792" s="26"/>
      <c r="AM792" s="25"/>
      <c r="AR792" s="117"/>
      <c r="AS792" s="123"/>
      <c r="AT792" s="123"/>
      <c r="AU792" s="123"/>
      <c r="AV792" s="115"/>
      <c r="AW792" s="115"/>
      <c r="AX792" s="115"/>
      <c r="AY792" s="115"/>
      <c r="AZ792" s="115"/>
      <c r="BA792" s="115"/>
      <c r="BB792" s="115"/>
      <c r="BC792" s="115"/>
      <c r="BD792" s="115"/>
      <c r="BE792" s="115"/>
      <c r="BF792" s="115"/>
      <c r="BG792" s="115"/>
      <c r="BH792" s="115"/>
      <c r="BI792" s="115"/>
      <c r="BJ792" s="25">
        <v>45272</v>
      </c>
      <c r="BK792" s="13" t="s">
        <v>162</v>
      </c>
      <c r="BN792" s="114"/>
    </row>
    <row r="793" spans="1:66" ht="19.5" x14ac:dyDescent="0.4">
      <c r="AL793" s="26"/>
      <c r="AM793" s="13"/>
      <c r="AR793" s="117"/>
      <c r="AS793" s="123"/>
      <c r="AT793" s="123"/>
      <c r="AU793" s="123"/>
      <c r="AV793" s="115"/>
      <c r="AW793" s="115"/>
      <c r="AX793" s="115"/>
      <c r="AY793" s="115"/>
      <c r="AZ793" s="115"/>
      <c r="BA793" s="115"/>
      <c r="BB793" s="115"/>
      <c r="BC793" s="115"/>
      <c r="BD793" s="115"/>
      <c r="BE793" s="115"/>
      <c r="BF793" s="115"/>
      <c r="BG793" s="115"/>
      <c r="BH793" s="115"/>
      <c r="BI793" s="115"/>
      <c r="BJ793" s="25">
        <v>45272</v>
      </c>
      <c r="BK793" s="15" t="s">
        <v>162</v>
      </c>
      <c r="BN793" s="114"/>
    </row>
    <row r="794" spans="1:66" ht="19.5" x14ac:dyDescent="0.4">
      <c r="AL794" s="26"/>
      <c r="AM794" s="13"/>
      <c r="AR794" s="117"/>
      <c r="AS794" s="123"/>
      <c r="AT794" s="123"/>
      <c r="AU794" s="123"/>
      <c r="AV794" s="115"/>
      <c r="AW794" s="115"/>
      <c r="AX794" s="115"/>
      <c r="AY794" s="115"/>
      <c r="AZ794" s="115"/>
      <c r="BA794" s="115"/>
      <c r="BB794" s="115"/>
      <c r="BC794" s="115"/>
      <c r="BD794" s="115"/>
      <c r="BE794" s="115"/>
      <c r="BF794" s="115"/>
      <c r="BG794" s="115"/>
      <c r="BH794" s="115"/>
      <c r="BI794" s="115"/>
      <c r="BJ794" s="25">
        <v>45272</v>
      </c>
      <c r="BK794" s="15" t="s">
        <v>162</v>
      </c>
      <c r="BN794" s="114"/>
    </row>
    <row r="795" spans="1:66" ht="19.5" x14ac:dyDescent="0.4"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26"/>
      <c r="AM795" s="13"/>
      <c r="AR795" s="117"/>
      <c r="AS795" s="123"/>
      <c r="AT795" s="123"/>
      <c r="AU795" s="123"/>
      <c r="AV795" s="115"/>
      <c r="AW795" s="115"/>
      <c r="AX795" s="115"/>
      <c r="AY795" s="115"/>
      <c r="AZ795" s="115"/>
      <c r="BA795" s="115"/>
      <c r="BB795" s="115"/>
      <c r="BC795" s="115"/>
      <c r="BD795" s="115"/>
      <c r="BE795" s="115"/>
      <c r="BF795" s="115"/>
      <c r="BG795" s="115"/>
      <c r="BH795" s="115"/>
      <c r="BI795" s="115"/>
      <c r="BJ795" s="25"/>
      <c r="BK795" s="15"/>
      <c r="BN795" s="114"/>
    </row>
    <row r="796" spans="1:66" ht="19.5" x14ac:dyDescent="0.4"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7"/>
      <c r="AM796" s="13"/>
      <c r="AR796" s="117"/>
      <c r="AS796" s="123"/>
      <c r="AT796" s="123"/>
      <c r="AU796" s="123"/>
      <c r="AV796" s="115"/>
      <c r="AW796" s="115"/>
      <c r="AX796" s="115"/>
      <c r="AY796" s="115"/>
      <c r="AZ796" s="115"/>
      <c r="BA796" s="115"/>
      <c r="BB796" s="115"/>
      <c r="BC796" s="115"/>
      <c r="BD796" s="115"/>
      <c r="BE796" s="115"/>
      <c r="BF796" s="115"/>
      <c r="BG796" s="115"/>
      <c r="BH796" s="115"/>
      <c r="BI796" s="115"/>
      <c r="BJ796" s="25"/>
      <c r="BK796" s="15"/>
      <c r="BN796" s="114"/>
    </row>
    <row r="797" spans="1:66" ht="19.5" x14ac:dyDescent="0.4">
      <c r="AL797" s="26"/>
      <c r="AM797" s="13"/>
      <c r="AR797" s="117"/>
      <c r="AS797" s="123"/>
      <c r="AT797" s="123"/>
      <c r="AU797" s="123"/>
      <c r="AV797" s="115"/>
      <c r="AW797" s="115"/>
      <c r="AX797" s="115"/>
      <c r="AY797" s="115"/>
      <c r="AZ797" s="115"/>
      <c r="BA797" s="115"/>
      <c r="BB797" s="115"/>
      <c r="BC797" s="115"/>
      <c r="BD797" s="115"/>
      <c r="BE797" s="115"/>
      <c r="BF797" s="115"/>
      <c r="BG797" s="115"/>
      <c r="BH797" s="115"/>
      <c r="BI797" s="115"/>
      <c r="BJ797" s="25">
        <v>45272</v>
      </c>
      <c r="BK797" s="15" t="s">
        <v>162</v>
      </c>
      <c r="BN797" s="114"/>
    </row>
    <row r="798" spans="1:66" ht="19.5" x14ac:dyDescent="0.4"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26"/>
      <c r="AM798" s="13"/>
      <c r="AR798" s="117"/>
      <c r="AS798" s="123"/>
      <c r="AT798" s="123"/>
      <c r="AU798" s="123"/>
      <c r="AV798" s="115"/>
      <c r="AW798" s="115"/>
      <c r="AX798" s="115"/>
      <c r="AY798" s="115"/>
      <c r="AZ798" s="115"/>
      <c r="BA798" s="115"/>
      <c r="BB798" s="115"/>
      <c r="BC798" s="115"/>
      <c r="BD798" s="115"/>
      <c r="BE798" s="115"/>
      <c r="BF798" s="115"/>
      <c r="BG798" s="115"/>
      <c r="BH798" s="115"/>
      <c r="BI798" s="115"/>
      <c r="BJ798" s="25"/>
      <c r="BK798" s="15"/>
      <c r="BN798" s="114"/>
    </row>
    <row r="799" spans="1:66" ht="19.5" x14ac:dyDescent="0.4"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26"/>
      <c r="AM799" s="13"/>
      <c r="AR799" s="117"/>
      <c r="AS799" s="123"/>
      <c r="AT799" s="123"/>
      <c r="AU799" s="123"/>
      <c r="AV799" s="115"/>
      <c r="AW799" s="115"/>
      <c r="AX799" s="115"/>
      <c r="AY799" s="115"/>
      <c r="AZ799" s="115"/>
      <c r="BA799" s="115"/>
      <c r="BB799" s="115"/>
      <c r="BC799" s="115"/>
      <c r="BD799" s="115"/>
      <c r="BE799" s="115"/>
      <c r="BF799" s="115"/>
      <c r="BG799" s="115"/>
      <c r="BH799" s="115"/>
      <c r="BI799" s="115"/>
      <c r="BJ799" s="25"/>
      <c r="BK799" s="15"/>
      <c r="BN799" s="114"/>
    </row>
    <row r="800" spans="1:66" ht="19.5" x14ac:dyDescent="0.4"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7"/>
      <c r="AM800" s="13"/>
      <c r="AR800" s="117"/>
      <c r="AS800" s="123"/>
      <c r="AT800" s="123"/>
      <c r="AU800" s="123"/>
      <c r="AV800" s="115"/>
      <c r="AW800" s="115"/>
      <c r="AX800" s="115"/>
      <c r="AY800" s="115"/>
      <c r="AZ800" s="115"/>
      <c r="BA800" s="115"/>
      <c r="BB800" s="115"/>
      <c r="BC800" s="115"/>
      <c r="BD800" s="115"/>
      <c r="BE800" s="115"/>
      <c r="BF800" s="115"/>
      <c r="BG800" s="115"/>
      <c r="BH800" s="115"/>
      <c r="BI800" s="115"/>
      <c r="BJ800" s="25"/>
      <c r="BK800" s="15"/>
      <c r="BN800" s="114"/>
    </row>
    <row r="801" spans="6:66" ht="19.5" x14ac:dyDescent="0.4"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26"/>
      <c r="AM801" s="13"/>
      <c r="AR801" s="117"/>
      <c r="AS801" s="123"/>
      <c r="AT801" s="123"/>
      <c r="AU801" s="123"/>
      <c r="AV801" s="115"/>
      <c r="AW801" s="115"/>
      <c r="AX801" s="115"/>
      <c r="AY801" s="115"/>
      <c r="AZ801" s="115"/>
      <c r="BA801" s="115"/>
      <c r="BB801" s="115"/>
      <c r="BC801" s="115"/>
      <c r="BD801" s="115"/>
      <c r="BE801" s="115"/>
      <c r="BF801" s="115"/>
      <c r="BG801" s="115"/>
      <c r="BH801" s="115"/>
      <c r="BI801" s="115"/>
      <c r="BJ801" s="25"/>
      <c r="BK801" s="15"/>
      <c r="BN801" s="114"/>
    </row>
    <row r="802" spans="6:66" ht="19.5" x14ac:dyDescent="0.4"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7"/>
      <c r="AM802" s="13"/>
      <c r="AR802" s="117"/>
      <c r="AS802" s="123"/>
      <c r="AT802" s="123"/>
      <c r="AU802" s="123"/>
      <c r="AV802" s="115"/>
      <c r="AW802" s="115"/>
      <c r="AX802" s="115"/>
      <c r="AY802" s="115"/>
      <c r="AZ802" s="115"/>
      <c r="BA802" s="115"/>
      <c r="BB802" s="115"/>
      <c r="BC802" s="115"/>
      <c r="BD802" s="115"/>
      <c r="BE802" s="115"/>
      <c r="BF802" s="115"/>
      <c r="BG802" s="115"/>
      <c r="BH802" s="115"/>
      <c r="BI802" s="115"/>
      <c r="BJ802" s="25"/>
      <c r="BK802" s="15"/>
      <c r="BN802" s="114"/>
    </row>
    <row r="803" spans="6:66" ht="19.5" x14ac:dyDescent="0.4"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26"/>
      <c r="AM803" s="13"/>
      <c r="AR803" s="117"/>
      <c r="AS803" s="123"/>
      <c r="AT803" s="123"/>
      <c r="AU803" s="123"/>
      <c r="AV803" s="115"/>
      <c r="AW803" s="115"/>
      <c r="AX803" s="115"/>
      <c r="AY803" s="115"/>
      <c r="AZ803" s="115"/>
      <c r="BA803" s="115"/>
      <c r="BB803" s="115"/>
      <c r="BC803" s="115"/>
      <c r="BD803" s="115"/>
      <c r="BE803" s="115"/>
      <c r="BF803" s="115"/>
      <c r="BG803" s="115"/>
      <c r="BH803" s="115"/>
      <c r="BI803" s="115"/>
      <c r="BJ803" s="25"/>
      <c r="BK803" s="15"/>
      <c r="BN803" s="114"/>
    </row>
    <row r="804" spans="6:66" ht="19.5" x14ac:dyDescent="0.4">
      <c r="AL804" s="26"/>
      <c r="AM804" s="13"/>
      <c r="AR804" s="117"/>
      <c r="AS804" s="123"/>
      <c r="AT804" s="123"/>
      <c r="AU804" s="123"/>
      <c r="AV804" s="115"/>
      <c r="AW804" s="115"/>
      <c r="AX804" s="115"/>
      <c r="AY804" s="115"/>
      <c r="AZ804" s="115"/>
      <c r="BA804" s="115"/>
      <c r="BB804" s="115"/>
      <c r="BC804" s="115"/>
      <c r="BD804" s="115"/>
      <c r="BE804" s="115"/>
      <c r="BF804" s="115"/>
      <c r="BG804" s="115"/>
      <c r="BH804" s="115"/>
      <c r="BI804" s="115"/>
      <c r="BJ804" s="25">
        <v>45272</v>
      </c>
      <c r="BK804" s="15" t="s">
        <v>162</v>
      </c>
      <c r="BN804" s="114"/>
    </row>
    <row r="805" spans="6:66" ht="19.5" x14ac:dyDescent="0.4">
      <c r="AE805" s="115"/>
      <c r="AF805" s="115"/>
      <c r="AG805" s="115"/>
      <c r="AH805" s="115"/>
      <c r="AI805" s="115"/>
      <c r="AJ805" s="115"/>
      <c r="AK805" s="115"/>
      <c r="AL805" s="26"/>
      <c r="AM805" s="13"/>
      <c r="AR805" s="117"/>
      <c r="AS805" s="123"/>
      <c r="AT805" s="123"/>
      <c r="AU805" s="123"/>
      <c r="AV805" s="115"/>
      <c r="AW805" s="115"/>
      <c r="AX805" s="115"/>
      <c r="AY805" s="115"/>
      <c r="AZ805" s="115"/>
      <c r="BA805" s="115"/>
      <c r="BB805" s="115"/>
      <c r="BC805" s="115"/>
      <c r="BD805" s="115"/>
      <c r="BE805" s="115"/>
      <c r="BF805" s="115"/>
      <c r="BG805" s="115"/>
      <c r="BH805" s="115"/>
      <c r="BI805" s="115"/>
      <c r="BJ805" s="25"/>
      <c r="BK805" s="15"/>
      <c r="BN805" s="114"/>
    </row>
    <row r="806" spans="6:66" ht="19.5" x14ac:dyDescent="0.4">
      <c r="AE806" s="115"/>
      <c r="AF806" s="115"/>
      <c r="AG806" s="115"/>
      <c r="AH806" s="115"/>
      <c r="AI806" s="115"/>
      <c r="AJ806" s="115"/>
      <c r="AK806" s="115"/>
      <c r="AL806" s="17"/>
      <c r="AM806" s="13"/>
      <c r="AR806" s="117"/>
      <c r="AS806" s="123"/>
      <c r="AT806" s="123"/>
      <c r="AU806" s="123"/>
      <c r="AV806" s="115"/>
      <c r="AW806" s="115"/>
      <c r="AX806" s="115"/>
      <c r="AY806" s="115"/>
      <c r="AZ806" s="115"/>
      <c r="BA806" s="115"/>
      <c r="BB806" s="115"/>
      <c r="BC806" s="115"/>
      <c r="BD806" s="115"/>
      <c r="BE806" s="115"/>
      <c r="BF806" s="115"/>
      <c r="BG806" s="115"/>
      <c r="BH806" s="115"/>
      <c r="BI806" s="115"/>
      <c r="BJ806" s="25"/>
      <c r="BK806" s="15"/>
      <c r="BN806" s="114"/>
    </row>
    <row r="807" spans="6:66" ht="19.5" x14ac:dyDescent="0.4"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26"/>
      <c r="AM807" s="13"/>
      <c r="AR807" s="117"/>
      <c r="AS807" s="123"/>
      <c r="AT807" s="123"/>
      <c r="AU807" s="123"/>
      <c r="AV807" s="115"/>
      <c r="AW807" s="115"/>
      <c r="AX807" s="115"/>
      <c r="AY807" s="115"/>
      <c r="AZ807" s="115"/>
      <c r="BA807" s="115"/>
      <c r="BB807" s="115"/>
      <c r="BC807" s="115"/>
      <c r="BD807" s="115"/>
      <c r="BE807" s="115"/>
      <c r="BF807" s="115"/>
      <c r="BG807" s="115"/>
      <c r="BH807" s="115"/>
      <c r="BI807" s="115"/>
      <c r="BJ807" s="25"/>
      <c r="BK807" s="15"/>
      <c r="BN807" s="114"/>
    </row>
    <row r="808" spans="6:66" ht="19.5" x14ac:dyDescent="0.4"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7"/>
      <c r="AM808" s="13"/>
      <c r="AR808" s="117"/>
      <c r="AS808" s="123"/>
      <c r="AT808" s="123"/>
      <c r="AU808" s="123"/>
      <c r="AV808" s="115"/>
      <c r="AW808" s="115"/>
      <c r="AX808" s="115"/>
      <c r="AY808" s="115"/>
      <c r="AZ808" s="115"/>
      <c r="BA808" s="115"/>
      <c r="BB808" s="115"/>
      <c r="BC808" s="115"/>
      <c r="BD808" s="115"/>
      <c r="BE808" s="115"/>
      <c r="BF808" s="115"/>
      <c r="BG808" s="115"/>
      <c r="BH808" s="115"/>
      <c r="BI808" s="115"/>
      <c r="BJ808" s="25"/>
      <c r="BK808" s="15"/>
      <c r="BN808" s="114"/>
    </row>
    <row r="809" spans="6:66" ht="19.5" x14ac:dyDescent="0.4"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26"/>
      <c r="AM809" s="25"/>
      <c r="AR809" s="117"/>
      <c r="AS809" s="123"/>
      <c r="AT809" s="123"/>
      <c r="AU809" s="123"/>
      <c r="AV809" s="115"/>
      <c r="AW809" s="115"/>
      <c r="AX809" s="115"/>
      <c r="AY809" s="115"/>
      <c r="AZ809" s="115"/>
      <c r="BA809" s="115"/>
      <c r="BB809" s="115"/>
      <c r="BC809" s="115"/>
      <c r="BD809" s="115"/>
      <c r="BE809" s="115"/>
      <c r="BF809" s="115"/>
      <c r="BG809" s="115"/>
      <c r="BH809" s="115"/>
      <c r="BI809" s="115"/>
      <c r="BJ809" s="25"/>
      <c r="BK809" s="15"/>
      <c r="BN809" s="114"/>
    </row>
    <row r="810" spans="6:66" ht="19.5" x14ac:dyDescent="0.4"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7"/>
      <c r="AM810" s="13"/>
      <c r="AR810" s="117"/>
      <c r="AS810" s="123"/>
      <c r="AT810" s="123"/>
      <c r="AU810" s="123"/>
      <c r="AV810" s="115"/>
      <c r="AW810" s="115"/>
      <c r="AX810" s="115"/>
      <c r="AY810" s="115"/>
      <c r="AZ810" s="115"/>
      <c r="BA810" s="115"/>
      <c r="BB810" s="115"/>
      <c r="BC810" s="115"/>
      <c r="BD810" s="115"/>
      <c r="BE810" s="115"/>
      <c r="BF810" s="115"/>
      <c r="BG810" s="115"/>
      <c r="BH810" s="115"/>
      <c r="BI810" s="115"/>
      <c r="BJ810" s="25"/>
      <c r="BK810" s="15"/>
      <c r="BN810" s="114"/>
    </row>
    <row r="811" spans="6:66" ht="19.5" x14ac:dyDescent="0.4"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26"/>
      <c r="AM811" s="13"/>
      <c r="AR811" s="117"/>
      <c r="AS811" s="123"/>
      <c r="AT811" s="123"/>
      <c r="AU811" s="123"/>
      <c r="AV811" s="115"/>
      <c r="AW811" s="115"/>
      <c r="AX811" s="115"/>
      <c r="AY811" s="115"/>
      <c r="AZ811" s="115"/>
      <c r="BA811" s="115"/>
      <c r="BB811" s="115"/>
      <c r="BC811" s="115"/>
      <c r="BD811" s="115"/>
      <c r="BE811" s="115"/>
      <c r="BF811" s="115"/>
      <c r="BG811" s="115"/>
      <c r="BH811" s="115"/>
      <c r="BI811" s="115"/>
      <c r="BJ811" s="25"/>
      <c r="BK811" s="15"/>
      <c r="BN811" s="114"/>
    </row>
    <row r="812" spans="6:66" ht="19.5" x14ac:dyDescent="0.4">
      <c r="AL812" s="26"/>
      <c r="AM812" s="13"/>
      <c r="AR812" s="117"/>
      <c r="AS812" s="123"/>
      <c r="AT812" s="123"/>
      <c r="AU812" s="123"/>
      <c r="AV812" s="115"/>
      <c r="AW812" s="115"/>
      <c r="AX812" s="115"/>
      <c r="AY812" s="115"/>
      <c r="AZ812" s="115"/>
      <c r="BA812" s="115"/>
      <c r="BB812" s="115"/>
      <c r="BC812" s="115"/>
      <c r="BD812" s="115"/>
      <c r="BE812" s="115"/>
      <c r="BF812" s="115"/>
      <c r="BG812" s="115"/>
      <c r="BH812" s="115"/>
      <c r="BI812" s="115"/>
      <c r="BJ812" s="25">
        <v>45272</v>
      </c>
      <c r="BK812" s="15" t="s">
        <v>162</v>
      </c>
      <c r="BN812" s="114"/>
    </row>
    <row r="813" spans="6:66" ht="19.5" x14ac:dyDescent="0.4">
      <c r="AF813" s="115"/>
      <c r="AG813" s="115"/>
      <c r="AH813" s="115"/>
      <c r="AI813" s="115"/>
      <c r="AJ813" s="115"/>
      <c r="AK813" s="115"/>
      <c r="AL813" s="17"/>
      <c r="AM813" s="13"/>
      <c r="AR813" s="117"/>
      <c r="AS813" s="123"/>
      <c r="AT813" s="123"/>
      <c r="AU813" s="123"/>
      <c r="AV813" s="115"/>
      <c r="AW813" s="115"/>
      <c r="AX813" s="115"/>
      <c r="AY813" s="115"/>
      <c r="AZ813" s="115"/>
      <c r="BA813" s="115"/>
      <c r="BB813" s="115"/>
      <c r="BC813" s="115"/>
      <c r="BD813" s="115"/>
      <c r="BE813" s="115"/>
      <c r="BF813" s="115"/>
      <c r="BG813" s="115"/>
      <c r="BH813" s="115"/>
      <c r="BI813" s="115"/>
      <c r="BJ813" s="25"/>
      <c r="BK813" s="15"/>
      <c r="BN813" s="114"/>
    </row>
    <row r="814" spans="6:66" ht="19.5" x14ac:dyDescent="0.4">
      <c r="AE814" s="115"/>
      <c r="AF814" s="115"/>
      <c r="AG814" s="115"/>
      <c r="AH814" s="115"/>
      <c r="AI814" s="115"/>
      <c r="AJ814" s="115"/>
      <c r="AK814" s="115"/>
      <c r="AL814" s="26"/>
      <c r="AM814" s="13"/>
      <c r="AR814" s="117"/>
      <c r="AS814" s="123"/>
      <c r="AT814" s="123"/>
      <c r="AU814" s="123"/>
      <c r="AV814" s="115"/>
      <c r="AW814" s="115"/>
      <c r="AX814" s="115"/>
      <c r="AY814" s="115"/>
      <c r="AZ814" s="115"/>
      <c r="BA814" s="115"/>
      <c r="BB814" s="115"/>
      <c r="BC814" s="115"/>
      <c r="BD814" s="115"/>
      <c r="BE814" s="115"/>
      <c r="BF814" s="115"/>
      <c r="BG814" s="115"/>
      <c r="BH814" s="115"/>
      <c r="BI814" s="115"/>
      <c r="BJ814" s="25"/>
      <c r="BK814" s="15"/>
      <c r="BN814" s="114"/>
    </row>
    <row r="815" spans="6:66" ht="19.5" x14ac:dyDescent="0.4">
      <c r="AE815" s="115"/>
      <c r="AF815" s="115"/>
      <c r="AG815" s="115"/>
      <c r="AH815" s="115"/>
      <c r="AI815" s="115"/>
      <c r="AJ815" s="115"/>
      <c r="AK815" s="115"/>
      <c r="AL815" s="17"/>
      <c r="AM815" s="13"/>
      <c r="AR815" s="117"/>
      <c r="AS815" s="123"/>
      <c r="AT815" s="123"/>
      <c r="AU815" s="123"/>
      <c r="AV815" s="115"/>
      <c r="AW815" s="115"/>
      <c r="AX815" s="115"/>
      <c r="AY815" s="115"/>
      <c r="AZ815" s="115"/>
      <c r="BA815" s="115"/>
      <c r="BB815" s="115"/>
      <c r="BC815" s="115"/>
      <c r="BD815" s="115"/>
      <c r="BE815" s="115"/>
      <c r="BF815" s="115"/>
      <c r="BG815" s="115"/>
      <c r="BH815" s="115"/>
      <c r="BI815" s="115"/>
      <c r="BJ815" s="25"/>
      <c r="BK815" s="15"/>
      <c r="BN815" s="114"/>
    </row>
    <row r="816" spans="6:66" ht="19.5" x14ac:dyDescent="0.4">
      <c r="AE816" s="115"/>
      <c r="AF816" s="115"/>
      <c r="AG816" s="115"/>
      <c r="AH816" s="115"/>
      <c r="AI816" s="115"/>
      <c r="AJ816" s="115"/>
      <c r="AK816" s="115"/>
      <c r="AL816" s="17"/>
      <c r="AM816" s="13"/>
      <c r="AR816" s="117"/>
      <c r="AS816" s="123"/>
      <c r="AT816" s="123"/>
      <c r="AU816" s="123"/>
      <c r="AV816" s="115"/>
      <c r="AW816" s="115"/>
      <c r="AX816" s="115"/>
      <c r="AY816" s="115"/>
      <c r="AZ816" s="115"/>
      <c r="BA816" s="115"/>
      <c r="BB816" s="115"/>
      <c r="BC816" s="115"/>
      <c r="BD816" s="115"/>
      <c r="BE816" s="115"/>
      <c r="BF816" s="115"/>
      <c r="BG816" s="115"/>
      <c r="BH816" s="115"/>
      <c r="BI816" s="115"/>
      <c r="BJ816" s="25"/>
      <c r="BK816" s="15"/>
      <c r="BN816" s="114"/>
    </row>
    <row r="817" spans="6:66" ht="19.5" x14ac:dyDescent="0.4"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26"/>
      <c r="AM817" s="13"/>
      <c r="AR817" s="117"/>
      <c r="AS817" s="123"/>
      <c r="AT817" s="123"/>
      <c r="AU817" s="123"/>
      <c r="AV817" s="115"/>
      <c r="AW817" s="115"/>
      <c r="AX817" s="115"/>
      <c r="AY817" s="115"/>
      <c r="AZ817" s="115"/>
      <c r="BA817" s="115"/>
      <c r="BB817" s="115"/>
      <c r="BC817" s="115"/>
      <c r="BD817" s="115"/>
      <c r="BE817" s="115"/>
      <c r="BF817" s="115"/>
      <c r="BG817" s="115"/>
      <c r="BH817" s="115"/>
      <c r="BI817" s="115"/>
      <c r="BJ817" s="25"/>
      <c r="BK817" s="15"/>
      <c r="BN817" s="114"/>
    </row>
    <row r="818" spans="6:66" ht="19.5" x14ac:dyDescent="0.4"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20"/>
      <c r="AM818" s="13"/>
      <c r="AR818" s="117"/>
      <c r="AS818" s="123"/>
      <c r="AT818" s="123"/>
      <c r="AU818" s="123"/>
      <c r="AV818" s="115"/>
      <c r="AW818" s="115"/>
      <c r="AX818" s="115"/>
      <c r="AY818" s="115"/>
      <c r="AZ818" s="115"/>
      <c r="BA818" s="115"/>
      <c r="BB818" s="115"/>
      <c r="BC818" s="115"/>
      <c r="BD818" s="115"/>
      <c r="BE818" s="115"/>
      <c r="BF818" s="115"/>
      <c r="BG818" s="115"/>
      <c r="BH818" s="115"/>
      <c r="BI818" s="115"/>
      <c r="BJ818" s="25"/>
      <c r="BK818" s="15"/>
      <c r="BN818" s="114"/>
    </row>
    <row r="819" spans="6:66" ht="19.5" x14ac:dyDescent="0.4"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20"/>
      <c r="AM819" s="13"/>
      <c r="AR819" s="117"/>
      <c r="AS819" s="123"/>
      <c r="AT819" s="123"/>
      <c r="AU819" s="123"/>
      <c r="AV819" s="115"/>
      <c r="AW819" s="115"/>
      <c r="AX819" s="115"/>
      <c r="AY819" s="115"/>
      <c r="AZ819" s="115"/>
      <c r="BA819" s="115"/>
      <c r="BB819" s="115"/>
      <c r="BC819" s="115"/>
      <c r="BD819" s="115"/>
      <c r="BE819" s="115"/>
      <c r="BF819" s="115"/>
      <c r="BG819" s="115"/>
      <c r="BH819" s="115"/>
      <c r="BI819" s="115"/>
      <c r="BJ819" s="25"/>
      <c r="BK819" s="15"/>
      <c r="BN819" s="114"/>
    </row>
    <row r="820" spans="6:66" ht="19.5" x14ac:dyDescent="0.4"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25"/>
      <c r="AM820" s="15"/>
      <c r="AR820" s="117"/>
      <c r="AS820" s="123"/>
      <c r="AT820" s="123"/>
      <c r="AU820" s="123"/>
      <c r="AV820" s="115"/>
      <c r="AW820" s="115"/>
      <c r="AX820" s="115"/>
      <c r="AY820" s="115"/>
      <c r="AZ820" s="115"/>
      <c r="BA820" s="115"/>
      <c r="BB820" s="115"/>
      <c r="BC820" s="115"/>
      <c r="BD820" s="115"/>
      <c r="BE820" s="115"/>
      <c r="BF820" s="115"/>
      <c r="BG820" s="115"/>
      <c r="BH820" s="115"/>
      <c r="BI820" s="115"/>
      <c r="BJ820" s="25"/>
      <c r="BK820" s="15"/>
      <c r="BN820" s="114"/>
    </row>
    <row r="821" spans="6:66" ht="19.5" x14ac:dyDescent="0.4"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25"/>
      <c r="AM821" s="15"/>
      <c r="AR821" s="117"/>
      <c r="AS821" s="123"/>
      <c r="AT821" s="123"/>
      <c r="AU821" s="123"/>
      <c r="AV821" s="115"/>
      <c r="AW821" s="115"/>
      <c r="AX821" s="115"/>
      <c r="AY821" s="115"/>
      <c r="AZ821" s="115"/>
      <c r="BA821" s="115"/>
      <c r="BB821" s="115"/>
      <c r="BC821" s="115"/>
      <c r="BD821" s="115"/>
      <c r="BE821" s="115"/>
      <c r="BF821" s="115"/>
      <c r="BG821" s="115"/>
      <c r="BH821" s="115"/>
      <c r="BI821" s="115"/>
      <c r="BJ821" s="25"/>
      <c r="BK821" s="15"/>
      <c r="BN821" s="114"/>
    </row>
    <row r="822" spans="6:66" ht="19.5" x14ac:dyDescent="0.4"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25"/>
      <c r="AM822" s="15"/>
      <c r="AR822" s="117"/>
      <c r="AS822" s="123"/>
      <c r="AT822" s="123"/>
      <c r="AU822" s="123"/>
      <c r="AV822" s="115"/>
      <c r="AW822" s="115"/>
      <c r="AX822" s="115"/>
      <c r="AY822" s="115"/>
      <c r="AZ822" s="115"/>
      <c r="BA822" s="115"/>
      <c r="BB822" s="115"/>
      <c r="BC822" s="115"/>
      <c r="BD822" s="115"/>
      <c r="BE822" s="115"/>
      <c r="BF822" s="115"/>
      <c r="BG822" s="115"/>
      <c r="BH822" s="115"/>
      <c r="BI822" s="115"/>
      <c r="BJ822" s="25"/>
      <c r="BK822" s="15"/>
      <c r="BN822" s="114"/>
    </row>
    <row r="823" spans="6:66" ht="19.5" x14ac:dyDescent="0.4">
      <c r="AL823" s="26"/>
      <c r="AM823" s="15"/>
      <c r="AR823" s="117"/>
      <c r="AS823" s="123"/>
      <c r="AT823" s="123"/>
      <c r="AU823" s="123"/>
      <c r="AV823" s="115"/>
      <c r="AW823" s="115"/>
      <c r="AX823" s="115"/>
      <c r="AY823" s="115"/>
      <c r="AZ823" s="115"/>
      <c r="BA823" s="115"/>
      <c r="BB823" s="115"/>
      <c r="BC823" s="115"/>
      <c r="BD823" s="115"/>
      <c r="BE823" s="115"/>
      <c r="BF823" s="115"/>
      <c r="BG823" s="115"/>
      <c r="BH823" s="115"/>
      <c r="BI823" s="115"/>
      <c r="BJ823" s="25">
        <v>45272</v>
      </c>
      <c r="BK823" s="15" t="s">
        <v>162</v>
      </c>
      <c r="BN823" s="114"/>
    </row>
    <row r="824" spans="6:66" ht="19.5" x14ac:dyDescent="0.4">
      <c r="AL824" s="26"/>
      <c r="AM824" s="13"/>
      <c r="AR824" s="117"/>
      <c r="AS824" s="123"/>
      <c r="AT824" s="123"/>
      <c r="AU824" s="123"/>
      <c r="AV824" s="115"/>
      <c r="AW824" s="115"/>
      <c r="AX824" s="115"/>
      <c r="AY824" s="115"/>
      <c r="AZ824" s="115"/>
      <c r="BA824" s="115"/>
      <c r="BB824" s="115"/>
      <c r="BC824" s="115"/>
      <c r="BD824" s="115"/>
      <c r="BE824" s="115"/>
      <c r="BF824" s="115"/>
      <c r="BG824" s="115"/>
      <c r="BH824" s="115"/>
      <c r="BI824" s="115"/>
      <c r="BJ824" s="25"/>
      <c r="BK824" s="15"/>
      <c r="BN824" s="114"/>
    </row>
    <row r="825" spans="6:66" ht="19.5" x14ac:dyDescent="0.4"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26"/>
      <c r="AM825" s="13"/>
      <c r="AR825" s="117"/>
      <c r="AS825" s="123"/>
      <c r="AT825" s="123"/>
      <c r="AU825" s="123"/>
      <c r="AV825" s="115"/>
      <c r="AW825" s="115"/>
      <c r="AX825" s="115"/>
      <c r="AY825" s="115"/>
      <c r="AZ825" s="115"/>
      <c r="BA825" s="115"/>
      <c r="BB825" s="115"/>
      <c r="BC825" s="115"/>
      <c r="BD825" s="115"/>
      <c r="BE825" s="115"/>
      <c r="BF825" s="115"/>
      <c r="BG825" s="115"/>
      <c r="BH825" s="115"/>
      <c r="BI825" s="115"/>
      <c r="BJ825" s="25"/>
      <c r="BK825" s="15"/>
      <c r="BN825" s="114"/>
    </row>
    <row r="826" spans="6:66" ht="19.5" x14ac:dyDescent="0.4">
      <c r="AL826" s="26"/>
      <c r="AM826" s="13"/>
      <c r="AR826" s="117"/>
      <c r="AS826" s="123"/>
      <c r="AT826" s="123"/>
      <c r="AU826" s="123"/>
      <c r="AV826" s="115"/>
      <c r="AW826" s="115"/>
      <c r="AX826" s="115"/>
      <c r="AY826" s="115"/>
      <c r="AZ826" s="115"/>
      <c r="BA826" s="115"/>
      <c r="BB826" s="115"/>
      <c r="BC826" s="115"/>
      <c r="BD826" s="115"/>
      <c r="BE826" s="115"/>
      <c r="BF826" s="115"/>
      <c r="BG826" s="115"/>
      <c r="BH826" s="115"/>
      <c r="BI826" s="115"/>
      <c r="BJ826" s="25">
        <v>45272</v>
      </c>
      <c r="BK826" s="15" t="s">
        <v>162</v>
      </c>
      <c r="BN826" s="114"/>
    </row>
    <row r="827" spans="6:66" ht="19.5" x14ac:dyDescent="0.4">
      <c r="AD827" s="115"/>
      <c r="AE827" s="115"/>
      <c r="AF827" s="115"/>
      <c r="AG827" s="115"/>
      <c r="AH827" s="115"/>
      <c r="AI827" s="115"/>
      <c r="AJ827" s="115"/>
      <c r="AK827" s="115"/>
      <c r="AL827" s="17"/>
      <c r="AM827" s="13"/>
      <c r="AR827" s="117"/>
      <c r="AS827" s="123"/>
      <c r="AT827" s="123"/>
      <c r="AU827" s="123"/>
      <c r="AV827" s="115"/>
      <c r="AW827" s="115"/>
      <c r="AX827" s="115"/>
      <c r="AY827" s="115"/>
      <c r="AZ827" s="115"/>
      <c r="BA827" s="115"/>
      <c r="BB827" s="115"/>
      <c r="BC827" s="115"/>
      <c r="BD827" s="115"/>
      <c r="BE827" s="115"/>
      <c r="BF827" s="115"/>
      <c r="BG827" s="115"/>
      <c r="BH827" s="115"/>
      <c r="BI827" s="115"/>
      <c r="BJ827" s="25"/>
      <c r="BK827" s="15"/>
      <c r="BN827" s="114"/>
    </row>
    <row r="828" spans="6:66" ht="19.5" x14ac:dyDescent="0.4">
      <c r="AL828" s="26"/>
      <c r="AM828" s="13"/>
      <c r="AR828" s="117"/>
      <c r="AS828" s="123"/>
      <c r="AT828" s="123"/>
      <c r="AU828" s="123"/>
      <c r="AV828" s="115"/>
      <c r="AW828" s="115"/>
      <c r="AX828" s="115"/>
      <c r="AY828" s="115"/>
      <c r="AZ828" s="115"/>
      <c r="BA828" s="115"/>
      <c r="BB828" s="115"/>
      <c r="BC828" s="115"/>
      <c r="BD828" s="115"/>
      <c r="BE828" s="115"/>
      <c r="BF828" s="115"/>
      <c r="BG828" s="115"/>
      <c r="BH828" s="115"/>
      <c r="BI828" s="115"/>
      <c r="BJ828" s="25"/>
      <c r="BK828" s="15"/>
      <c r="BN828" s="114"/>
    </row>
    <row r="829" spans="6:66" ht="19.5" x14ac:dyDescent="0.4"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26"/>
      <c r="AM829" s="13"/>
      <c r="AR829" s="117"/>
      <c r="AS829" s="123"/>
      <c r="AT829" s="123"/>
      <c r="AU829" s="123"/>
      <c r="AV829" s="115"/>
      <c r="AW829" s="115"/>
      <c r="AX829" s="115"/>
      <c r="AY829" s="115"/>
      <c r="AZ829" s="115"/>
      <c r="BA829" s="115"/>
      <c r="BB829" s="115"/>
      <c r="BC829" s="115"/>
      <c r="BD829" s="115"/>
      <c r="BE829" s="115"/>
      <c r="BF829" s="115"/>
      <c r="BG829" s="115"/>
      <c r="BH829" s="115"/>
      <c r="BI829" s="115"/>
      <c r="BJ829" s="25"/>
      <c r="BK829" s="15"/>
      <c r="BN829" s="114"/>
    </row>
    <row r="830" spans="6:66" ht="19.5" x14ac:dyDescent="0.4">
      <c r="AL830" s="26"/>
      <c r="AM830" s="13"/>
      <c r="AR830" s="117"/>
      <c r="AS830" s="123"/>
      <c r="AT830" s="123"/>
      <c r="AU830" s="123"/>
      <c r="AV830" s="115"/>
      <c r="AW830" s="115"/>
      <c r="AX830" s="115"/>
      <c r="AY830" s="115"/>
      <c r="AZ830" s="115"/>
      <c r="BA830" s="115"/>
      <c r="BB830" s="115"/>
      <c r="BC830" s="115"/>
      <c r="BD830" s="115"/>
      <c r="BE830" s="115"/>
      <c r="BF830" s="115"/>
      <c r="BG830" s="115"/>
      <c r="BH830" s="115"/>
      <c r="BI830" s="115"/>
      <c r="BJ830" s="25">
        <v>45272</v>
      </c>
      <c r="BK830" s="15" t="s">
        <v>162</v>
      </c>
      <c r="BN830" s="114"/>
    </row>
    <row r="831" spans="6:66" ht="19.5" x14ac:dyDescent="0.4">
      <c r="AL831" s="26"/>
      <c r="AM831" s="13"/>
      <c r="AR831" s="117"/>
      <c r="AS831" s="123"/>
      <c r="AT831" s="123"/>
      <c r="AU831" s="123"/>
      <c r="AV831" s="115"/>
      <c r="AW831" s="115"/>
      <c r="AX831" s="115"/>
      <c r="AY831" s="115"/>
      <c r="AZ831" s="115"/>
      <c r="BA831" s="115"/>
      <c r="BB831" s="115"/>
      <c r="BC831" s="115"/>
      <c r="BD831" s="115"/>
      <c r="BE831" s="115"/>
      <c r="BF831" s="115"/>
      <c r="BG831" s="115"/>
      <c r="BH831" s="115"/>
      <c r="BI831" s="115" t="s">
        <v>166</v>
      </c>
      <c r="BJ831" s="13">
        <f>SUBTOTAL(3,BJ779:BJ830)</f>
        <v>13</v>
      </c>
      <c r="BK831" s="15">
        <f>SUBTOTAL(3,BK779:BK830)</f>
        <v>13</v>
      </c>
      <c r="BN831" s="114"/>
    </row>
    <row r="832" spans="6:66" ht="19.5" x14ac:dyDescent="0.4">
      <c r="AD832" s="115"/>
      <c r="AE832" s="115"/>
      <c r="AF832" s="115"/>
      <c r="AG832" s="115"/>
      <c r="AH832" s="115"/>
      <c r="AI832" s="115"/>
      <c r="AJ832" s="115"/>
      <c r="AK832" s="115"/>
      <c r="AL832" s="17"/>
      <c r="AM832" s="13"/>
      <c r="AR832" s="117"/>
      <c r="AS832" s="123"/>
      <c r="AT832" s="123"/>
      <c r="AU832" s="123"/>
      <c r="AV832" s="115"/>
      <c r="AW832" s="115"/>
      <c r="AX832" s="115"/>
      <c r="AY832" s="115"/>
      <c r="AZ832" s="115"/>
      <c r="BA832" s="115"/>
      <c r="BB832" s="115"/>
      <c r="BC832" s="115"/>
      <c r="BD832" s="115"/>
      <c r="BE832" s="115"/>
      <c r="BF832" s="115"/>
      <c r="BG832" s="115"/>
      <c r="BH832" s="115"/>
      <c r="BI832" s="115"/>
      <c r="BJ832" s="13"/>
      <c r="BK832" s="15"/>
      <c r="BN832" s="114"/>
    </row>
    <row r="833" spans="27:66" ht="19.5" x14ac:dyDescent="0.4">
      <c r="AL833" s="26"/>
      <c r="AM833" s="13"/>
      <c r="AR833" s="117"/>
      <c r="AS833" s="123"/>
      <c r="AT833" s="123"/>
      <c r="AU833" s="123"/>
      <c r="AV833" s="115"/>
      <c r="AW833" s="115"/>
      <c r="AX833" s="115"/>
      <c r="AY833" s="115"/>
      <c r="AZ833" s="115"/>
      <c r="BA833" s="115"/>
      <c r="BB833" s="115"/>
      <c r="BC833" s="115"/>
      <c r="BD833" s="115"/>
      <c r="BE833" s="115"/>
      <c r="BF833" s="115"/>
      <c r="BG833" s="115"/>
      <c r="BH833" s="115"/>
      <c r="BI833" s="115"/>
      <c r="BJ833" s="25">
        <v>45273</v>
      </c>
      <c r="BK833" s="105" t="s">
        <v>164</v>
      </c>
      <c r="BN833" s="114"/>
    </row>
    <row r="834" spans="27:66" ht="19.5" x14ac:dyDescent="0.4">
      <c r="AL834" s="26"/>
      <c r="AM834" s="13"/>
      <c r="AR834" s="117"/>
      <c r="AS834" s="123"/>
      <c r="AT834" s="123"/>
      <c r="AU834" s="123"/>
      <c r="AV834" s="115"/>
      <c r="AW834" s="115"/>
      <c r="AX834" s="115"/>
      <c r="AY834" s="115"/>
      <c r="AZ834" s="115"/>
      <c r="BA834" s="115"/>
      <c r="BB834" s="115"/>
      <c r="BC834" s="115"/>
      <c r="BD834" s="115"/>
      <c r="BE834" s="115"/>
      <c r="BF834" s="115"/>
      <c r="BG834" s="115"/>
      <c r="BH834" s="115"/>
      <c r="BI834" s="115"/>
      <c r="BJ834" s="25">
        <v>45273</v>
      </c>
      <c r="BK834" s="15" t="s">
        <v>164</v>
      </c>
      <c r="BN834" s="114"/>
    </row>
    <row r="835" spans="27:66" ht="19.5" x14ac:dyDescent="0.4"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26"/>
      <c r="AM835" s="13"/>
      <c r="AR835" s="117"/>
      <c r="AS835" s="123"/>
      <c r="AT835" s="123"/>
      <c r="AU835" s="123"/>
      <c r="AV835" s="115"/>
      <c r="AW835" s="115"/>
      <c r="AX835" s="115"/>
      <c r="AY835" s="115"/>
      <c r="AZ835" s="115"/>
      <c r="BA835" s="115"/>
      <c r="BB835" s="115"/>
      <c r="BC835" s="115"/>
      <c r="BD835" s="115"/>
      <c r="BE835" s="115"/>
      <c r="BF835" s="115"/>
      <c r="BG835" s="115"/>
      <c r="BH835" s="115"/>
      <c r="BI835" s="115"/>
      <c r="BJ835" s="25"/>
      <c r="BK835" s="13"/>
      <c r="BN835" s="114"/>
    </row>
    <row r="836" spans="27:66" ht="19.5" x14ac:dyDescent="0.4">
      <c r="AL836" s="26"/>
      <c r="AM836" s="13"/>
      <c r="AR836" s="117"/>
      <c r="AS836" s="123"/>
      <c r="AT836" s="123"/>
      <c r="AU836" s="123"/>
      <c r="AV836" s="115"/>
      <c r="AW836" s="115"/>
      <c r="AX836" s="115"/>
      <c r="AY836" s="115"/>
      <c r="AZ836" s="115"/>
      <c r="BA836" s="115"/>
      <c r="BB836" s="115"/>
      <c r="BC836" s="115"/>
      <c r="BD836" s="115"/>
      <c r="BE836" s="115"/>
      <c r="BF836" s="115"/>
      <c r="BG836" s="115"/>
      <c r="BH836" s="115"/>
      <c r="BI836" s="115"/>
      <c r="BJ836" s="25">
        <v>45273</v>
      </c>
      <c r="BK836" s="13" t="s">
        <v>164</v>
      </c>
      <c r="BN836" s="114"/>
    </row>
    <row r="837" spans="27:66" ht="19.5" x14ac:dyDescent="0.4">
      <c r="AL837" s="26"/>
      <c r="AM837" s="13"/>
      <c r="AR837" s="117"/>
      <c r="AS837" s="123"/>
      <c r="AT837" s="123"/>
      <c r="AU837" s="123"/>
      <c r="AV837" s="115"/>
      <c r="AW837" s="115"/>
      <c r="AX837" s="115"/>
      <c r="AY837" s="115"/>
      <c r="AZ837" s="115"/>
      <c r="BA837" s="115"/>
      <c r="BB837" s="115"/>
      <c r="BC837" s="115"/>
      <c r="BD837" s="115"/>
      <c r="BE837" s="115"/>
      <c r="BF837" s="115"/>
      <c r="BG837" s="115"/>
      <c r="BH837" s="115"/>
      <c r="BI837" s="115"/>
      <c r="BJ837" s="25">
        <v>45273</v>
      </c>
      <c r="BK837" s="15" t="s">
        <v>164</v>
      </c>
      <c r="BN837" s="114"/>
    </row>
    <row r="838" spans="27:66" ht="19.5" x14ac:dyDescent="0.4">
      <c r="AL838" s="26"/>
      <c r="AM838" s="13"/>
      <c r="AR838" s="117"/>
      <c r="AS838" s="123"/>
      <c r="AT838" s="123"/>
      <c r="AU838" s="123"/>
      <c r="AV838" s="115"/>
      <c r="AW838" s="115"/>
      <c r="AX838" s="115"/>
      <c r="AY838" s="115"/>
      <c r="AZ838" s="115"/>
      <c r="BA838" s="115"/>
      <c r="BB838" s="115"/>
      <c r="BC838" s="115"/>
      <c r="BD838" s="115"/>
      <c r="BE838" s="115"/>
      <c r="BF838" s="115"/>
      <c r="BG838" s="115"/>
      <c r="BH838" s="115"/>
      <c r="BI838" s="115"/>
      <c r="BJ838" s="25">
        <v>45273</v>
      </c>
      <c r="BK838" s="15" t="s">
        <v>162</v>
      </c>
      <c r="BN838" s="114"/>
    </row>
    <row r="839" spans="27:66" ht="19.5" x14ac:dyDescent="0.4"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26"/>
      <c r="AM839" s="13"/>
      <c r="AR839" s="117"/>
      <c r="AS839" s="123"/>
      <c r="AT839" s="123"/>
      <c r="AU839" s="123"/>
      <c r="AV839" s="115"/>
      <c r="AW839" s="115"/>
      <c r="AX839" s="115"/>
      <c r="AY839" s="115"/>
      <c r="AZ839" s="115"/>
      <c r="BA839" s="115"/>
      <c r="BB839" s="115"/>
      <c r="BC839" s="115"/>
      <c r="BD839" s="115"/>
      <c r="BE839" s="115"/>
      <c r="BF839" s="115"/>
      <c r="BG839" s="115"/>
      <c r="BH839" s="115"/>
      <c r="BI839" s="115"/>
      <c r="BJ839" s="25"/>
      <c r="BK839" s="15"/>
      <c r="BN839" s="114"/>
    </row>
    <row r="840" spans="27:66" ht="19.5" x14ac:dyDescent="0.4">
      <c r="AL840" s="26"/>
      <c r="AM840" s="13"/>
      <c r="AR840" s="117"/>
      <c r="AS840" s="123"/>
      <c r="AT840" s="123"/>
      <c r="AU840" s="123"/>
      <c r="AV840" s="115"/>
      <c r="AW840" s="115"/>
      <c r="AX840" s="115"/>
      <c r="AY840" s="115"/>
      <c r="AZ840" s="115"/>
      <c r="BA840" s="115"/>
      <c r="BB840" s="115"/>
      <c r="BC840" s="115"/>
      <c r="BD840" s="115"/>
      <c r="BE840" s="115"/>
      <c r="BF840" s="115"/>
      <c r="BG840" s="115"/>
      <c r="BH840" s="115"/>
      <c r="BI840" s="115"/>
      <c r="BJ840" s="25">
        <v>45273</v>
      </c>
      <c r="BK840" s="15" t="s">
        <v>162</v>
      </c>
      <c r="BN840" s="114"/>
    </row>
    <row r="841" spans="27:66" ht="19.5" x14ac:dyDescent="0.4">
      <c r="AL841" s="26"/>
      <c r="AM841" s="13"/>
      <c r="AR841" s="117"/>
      <c r="AS841" s="123"/>
      <c r="AT841" s="123"/>
      <c r="AU841" s="123"/>
      <c r="AV841" s="115"/>
      <c r="AW841" s="115"/>
      <c r="AX841" s="115"/>
      <c r="AY841" s="115"/>
      <c r="AZ841" s="115"/>
      <c r="BA841" s="115"/>
      <c r="BB841" s="115"/>
      <c r="BC841" s="115"/>
      <c r="BD841" s="115"/>
      <c r="BE841" s="115"/>
      <c r="BF841" s="115"/>
      <c r="BG841" s="115"/>
      <c r="BH841" s="115"/>
      <c r="BI841" s="115"/>
      <c r="BJ841" s="25">
        <v>45273</v>
      </c>
      <c r="BK841" s="15" t="s">
        <v>162</v>
      </c>
      <c r="BN841" s="114"/>
    </row>
    <row r="842" spans="27:66" ht="19.5" x14ac:dyDescent="0.4">
      <c r="AL842" s="26"/>
      <c r="AM842" s="13"/>
      <c r="AR842" s="117"/>
      <c r="AS842" s="123"/>
      <c r="AT842" s="123"/>
      <c r="AU842" s="123"/>
      <c r="AV842" s="115"/>
      <c r="AW842" s="115"/>
      <c r="AX842" s="115"/>
      <c r="AY842" s="115"/>
      <c r="AZ842" s="115"/>
      <c r="BA842" s="115"/>
      <c r="BB842" s="115"/>
      <c r="BC842" s="115"/>
      <c r="BD842" s="115"/>
      <c r="BE842" s="115"/>
      <c r="BF842" s="115"/>
      <c r="BG842" s="115"/>
      <c r="BH842" s="115"/>
      <c r="BI842" s="115"/>
      <c r="BJ842" s="25">
        <v>45273</v>
      </c>
      <c r="BK842" s="15" t="s">
        <v>162</v>
      </c>
      <c r="BN842" s="114"/>
    </row>
    <row r="843" spans="27:66" ht="19.5" x14ac:dyDescent="0.4"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26"/>
      <c r="AM843" s="13"/>
      <c r="AR843" s="117"/>
      <c r="AS843" s="123"/>
      <c r="AT843" s="123"/>
      <c r="AU843" s="123"/>
      <c r="AV843" s="115"/>
      <c r="AW843" s="115"/>
      <c r="AX843" s="115"/>
      <c r="AY843" s="115"/>
      <c r="AZ843" s="115"/>
      <c r="BA843" s="115"/>
      <c r="BB843" s="115"/>
      <c r="BC843" s="115"/>
      <c r="BD843" s="115"/>
      <c r="BE843" s="115"/>
      <c r="BF843" s="115"/>
      <c r="BG843" s="115"/>
      <c r="BH843" s="115"/>
      <c r="BI843" s="115"/>
      <c r="BJ843" s="25"/>
      <c r="BK843" s="15"/>
      <c r="BN843" s="114"/>
    </row>
    <row r="844" spans="27:66" ht="19.5" x14ac:dyDescent="0.4">
      <c r="AL844" s="26"/>
      <c r="AM844" s="13"/>
      <c r="AR844" s="117"/>
      <c r="AS844" s="123"/>
      <c r="AT844" s="123"/>
      <c r="AU844" s="123"/>
      <c r="AV844" s="115"/>
      <c r="AW844" s="115"/>
      <c r="AX844" s="115"/>
      <c r="AY844" s="115"/>
      <c r="AZ844" s="115"/>
      <c r="BA844" s="115"/>
      <c r="BB844" s="115"/>
      <c r="BC844" s="115"/>
      <c r="BD844" s="115"/>
      <c r="BE844" s="115"/>
      <c r="BF844" s="115"/>
      <c r="BG844" s="115"/>
      <c r="BH844" s="115"/>
      <c r="BI844" s="115"/>
      <c r="BJ844" s="25">
        <v>45273</v>
      </c>
      <c r="BK844" s="15" t="s">
        <v>162</v>
      </c>
      <c r="BN844" s="114"/>
    </row>
    <row r="845" spans="27:66" ht="19.5" x14ac:dyDescent="0.4">
      <c r="AL845" s="26"/>
      <c r="AM845" s="13"/>
      <c r="AR845" s="117"/>
      <c r="AS845" s="123"/>
      <c r="AT845" s="123"/>
      <c r="AU845" s="123"/>
      <c r="AV845" s="115"/>
      <c r="AW845" s="115"/>
      <c r="AX845" s="115"/>
      <c r="AY845" s="115"/>
      <c r="AZ845" s="115"/>
      <c r="BA845" s="115"/>
      <c r="BB845" s="115"/>
      <c r="BC845" s="115"/>
      <c r="BD845" s="115"/>
      <c r="BE845" s="115"/>
      <c r="BF845" s="115"/>
      <c r="BG845" s="115"/>
      <c r="BH845" s="115"/>
      <c r="BI845" s="115"/>
      <c r="BJ845" s="25">
        <v>45273</v>
      </c>
      <c r="BK845" s="15" t="s">
        <v>162</v>
      </c>
      <c r="BN845" s="114"/>
    </row>
    <row r="846" spans="27:66" ht="19.5" x14ac:dyDescent="0.4">
      <c r="AL846" s="26"/>
      <c r="AM846" s="13"/>
      <c r="AR846" s="117"/>
      <c r="AS846" s="123"/>
      <c r="AT846" s="123"/>
      <c r="AU846" s="123"/>
      <c r="AV846" s="115"/>
      <c r="AW846" s="115"/>
      <c r="AX846" s="115"/>
      <c r="AY846" s="115"/>
      <c r="AZ846" s="124"/>
      <c r="BA846" s="124"/>
      <c r="BB846" s="124"/>
      <c r="BC846" s="124"/>
      <c r="BD846" s="124"/>
      <c r="BE846" s="124"/>
      <c r="BF846" s="124"/>
      <c r="BG846" s="124"/>
      <c r="BH846" s="124"/>
      <c r="BI846" s="124"/>
      <c r="BJ846" s="25">
        <v>45273</v>
      </c>
      <c r="BK846" s="15" t="s">
        <v>162</v>
      </c>
      <c r="BN846" s="114"/>
    </row>
    <row r="847" spans="27:66" ht="19.5" x14ac:dyDescent="0.4">
      <c r="AL847" s="26"/>
      <c r="AM847" s="13"/>
      <c r="AR847" s="117"/>
      <c r="AS847" s="123"/>
      <c r="AT847" s="123"/>
      <c r="AU847" s="123"/>
      <c r="AV847" s="115"/>
      <c r="AW847" s="115"/>
      <c r="AX847" s="115"/>
      <c r="AY847" s="115"/>
      <c r="AZ847" s="124"/>
      <c r="BA847" s="124"/>
      <c r="BB847" s="124"/>
      <c r="BC847" s="124"/>
      <c r="BD847" s="124"/>
      <c r="BE847" s="124"/>
      <c r="BF847" s="124"/>
      <c r="BG847" s="124"/>
      <c r="BH847" s="124"/>
      <c r="BI847" s="124"/>
      <c r="BJ847" s="25">
        <v>45273</v>
      </c>
      <c r="BK847" s="15" t="s">
        <v>162</v>
      </c>
      <c r="BN847" s="114"/>
    </row>
    <row r="848" spans="27:66" ht="19.5" x14ac:dyDescent="0.4">
      <c r="AD848" s="115"/>
      <c r="AE848" s="115"/>
      <c r="AF848" s="115"/>
      <c r="AG848" s="115"/>
      <c r="AH848" s="115"/>
      <c r="AI848" s="115"/>
      <c r="AJ848" s="115"/>
      <c r="AK848" s="115"/>
      <c r="AL848" s="17"/>
      <c r="AM848" s="13"/>
      <c r="AR848" s="117"/>
      <c r="AS848" s="123"/>
      <c r="AT848" s="123"/>
      <c r="AU848" s="123"/>
      <c r="AV848" s="115"/>
      <c r="AW848" s="115"/>
      <c r="AX848" s="115"/>
      <c r="AY848" s="115"/>
      <c r="AZ848" s="124"/>
      <c r="BA848" s="124"/>
      <c r="BB848" s="124"/>
      <c r="BC848" s="124"/>
      <c r="BD848" s="124"/>
      <c r="BE848" s="124"/>
      <c r="BF848" s="124"/>
      <c r="BG848" s="124"/>
      <c r="BH848" s="124"/>
      <c r="BI848" s="124"/>
      <c r="BJ848" s="25"/>
      <c r="BK848" s="15"/>
      <c r="BN848" s="114"/>
    </row>
    <row r="849" spans="6:66" ht="19.5" x14ac:dyDescent="0.4">
      <c r="AL849" s="26"/>
      <c r="AM849" s="13"/>
      <c r="AR849" s="117"/>
      <c r="AS849" s="123"/>
      <c r="AT849" s="123"/>
      <c r="AU849" s="123"/>
      <c r="AV849" s="115"/>
      <c r="AW849" s="115"/>
      <c r="AX849" s="115"/>
      <c r="AY849" s="115"/>
      <c r="AZ849" s="124"/>
      <c r="BA849" s="124"/>
      <c r="BB849" s="124"/>
      <c r="BC849" s="124"/>
      <c r="BD849" s="124"/>
      <c r="BE849" s="124"/>
      <c r="BF849" s="124"/>
      <c r="BG849" s="124"/>
      <c r="BH849" s="124"/>
      <c r="BI849" s="124"/>
      <c r="BJ849" s="25">
        <v>45273</v>
      </c>
      <c r="BK849" s="15" t="s">
        <v>162</v>
      </c>
      <c r="BN849" s="114"/>
    </row>
    <row r="850" spans="6:66" ht="19.5" x14ac:dyDescent="0.4">
      <c r="AD850" s="115"/>
      <c r="AE850" s="115"/>
      <c r="AF850" s="115"/>
      <c r="AG850" s="115"/>
      <c r="AH850" s="115"/>
      <c r="AI850" s="115"/>
      <c r="AJ850" s="115"/>
      <c r="AK850" s="115"/>
      <c r="AL850" s="17"/>
      <c r="AM850" s="13"/>
      <c r="AR850" s="117"/>
      <c r="AS850" s="123"/>
      <c r="AT850" s="123"/>
      <c r="AU850" s="123"/>
      <c r="AV850" s="115"/>
      <c r="AW850" s="115"/>
      <c r="AX850" s="115"/>
      <c r="AY850" s="115"/>
      <c r="AZ850" s="124"/>
      <c r="BA850" s="124"/>
      <c r="BB850" s="124"/>
      <c r="BC850" s="124"/>
      <c r="BD850" s="124"/>
      <c r="BE850" s="124"/>
      <c r="BF850" s="124"/>
      <c r="BG850" s="124"/>
      <c r="BH850" s="124"/>
      <c r="BI850" s="124"/>
      <c r="BJ850" s="25"/>
      <c r="BK850" s="15"/>
      <c r="BN850" s="114"/>
    </row>
    <row r="851" spans="6:66" ht="19.5" x14ac:dyDescent="0.4">
      <c r="AL851" s="26"/>
      <c r="AM851" s="13"/>
      <c r="AR851" s="117"/>
      <c r="AS851" s="123"/>
      <c r="AT851" s="123"/>
      <c r="AU851" s="123"/>
      <c r="AV851" s="115"/>
      <c r="AW851" s="115"/>
      <c r="AX851" s="115"/>
      <c r="AY851" s="115"/>
      <c r="AZ851" s="124"/>
      <c r="BA851" s="124"/>
      <c r="BB851" s="124"/>
      <c r="BC851" s="124"/>
      <c r="BD851" s="124"/>
      <c r="BE851" s="124"/>
      <c r="BF851" s="124"/>
      <c r="BG851" s="124"/>
      <c r="BH851" s="124"/>
      <c r="BI851" s="124"/>
      <c r="BJ851" s="25">
        <v>45273</v>
      </c>
      <c r="BK851" s="15" t="s">
        <v>162</v>
      </c>
      <c r="BN851" s="114"/>
    </row>
    <row r="852" spans="6:66" ht="19.5" x14ac:dyDescent="0.4">
      <c r="AL852" s="26"/>
      <c r="AM852" s="13"/>
      <c r="AR852" s="117"/>
      <c r="AS852" s="123"/>
      <c r="AT852" s="123"/>
      <c r="AU852" s="123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115"/>
      <c r="BF852" s="115"/>
      <c r="BG852" s="115"/>
      <c r="BH852" s="115"/>
      <c r="BI852" s="115"/>
      <c r="BJ852" s="25">
        <v>45273</v>
      </c>
      <c r="BK852" s="13" t="s">
        <v>162</v>
      </c>
      <c r="BN852" s="114"/>
    </row>
    <row r="853" spans="6:66" ht="19.5" x14ac:dyDescent="0.4">
      <c r="AL853" s="26"/>
      <c r="AM853" s="13"/>
      <c r="AR853" s="117"/>
      <c r="AS853" s="123"/>
      <c r="AT853" s="123"/>
      <c r="AU853" s="123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115"/>
      <c r="BF853" s="115"/>
      <c r="BG853" s="115"/>
      <c r="BH853" s="115"/>
      <c r="BI853" s="115"/>
      <c r="BJ853" s="25">
        <v>45273</v>
      </c>
      <c r="BK853" s="15" t="s">
        <v>162</v>
      </c>
      <c r="BN853" s="114"/>
    </row>
    <row r="854" spans="6:66" ht="19.5" x14ac:dyDescent="0.4">
      <c r="AL854" s="26"/>
      <c r="AM854" s="13"/>
      <c r="AR854" s="117"/>
      <c r="AS854" s="123"/>
      <c r="AT854" s="123"/>
      <c r="AU854" s="123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115"/>
      <c r="BF854" s="115"/>
      <c r="BG854" s="115"/>
      <c r="BH854" s="115"/>
      <c r="BI854" s="115"/>
      <c r="BJ854" s="25">
        <v>45273</v>
      </c>
      <c r="BK854" s="15" t="s">
        <v>162</v>
      </c>
      <c r="BN854" s="114"/>
    </row>
    <row r="855" spans="6:66" ht="19.5" x14ac:dyDescent="0.4"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26"/>
      <c r="AM855" s="25"/>
      <c r="AR855" s="117"/>
      <c r="AS855" s="123"/>
      <c r="AT855" s="123"/>
      <c r="AU855" s="123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115"/>
      <c r="BF855" s="115"/>
      <c r="BG855" s="115"/>
      <c r="BH855" s="115"/>
      <c r="BI855" s="115"/>
      <c r="BJ855" s="25"/>
      <c r="BK855" s="15"/>
      <c r="BN855" s="114"/>
    </row>
    <row r="856" spans="6:66" ht="19.5" x14ac:dyDescent="0.4">
      <c r="AL856" s="26"/>
      <c r="AM856" s="25"/>
      <c r="AR856" s="117"/>
      <c r="AS856" s="123"/>
      <c r="AT856" s="123"/>
      <c r="AU856" s="123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115"/>
      <c r="BF856" s="115"/>
      <c r="BG856" s="115"/>
      <c r="BH856" s="115"/>
      <c r="BI856" s="115"/>
      <c r="BJ856" s="25">
        <v>45273</v>
      </c>
      <c r="BK856" s="15" t="s">
        <v>162</v>
      </c>
      <c r="BN856" s="114"/>
    </row>
    <row r="857" spans="6:66" ht="19.5" x14ac:dyDescent="0.4">
      <c r="AL857" s="26"/>
      <c r="AM857" s="13"/>
      <c r="AR857" s="117"/>
      <c r="AS857" s="123"/>
      <c r="AT857" s="123"/>
      <c r="AU857" s="123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115"/>
      <c r="BF857" s="115"/>
      <c r="BG857" s="115"/>
      <c r="BH857" s="115"/>
      <c r="BI857" s="115"/>
      <c r="BJ857" s="25">
        <v>45273</v>
      </c>
      <c r="BK857" s="15" t="s">
        <v>162</v>
      </c>
      <c r="BN857" s="114"/>
    </row>
    <row r="858" spans="6:66" ht="19.5" x14ac:dyDescent="0.4"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26"/>
      <c r="AM858" s="13"/>
      <c r="AR858" s="117"/>
      <c r="AS858" s="123"/>
      <c r="AT858" s="123"/>
      <c r="AU858" s="123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115"/>
      <c r="BF858" s="115"/>
      <c r="BG858" s="115"/>
      <c r="BH858" s="115"/>
      <c r="BI858" s="115"/>
      <c r="BJ858" s="25"/>
      <c r="BK858" s="15"/>
      <c r="BN858" s="114"/>
    </row>
    <row r="859" spans="6:66" ht="19.5" x14ac:dyDescent="0.4"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26"/>
      <c r="AM859" s="13"/>
      <c r="AR859" s="117"/>
      <c r="AS859" s="123"/>
      <c r="AT859" s="123"/>
      <c r="AU859" s="123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115"/>
      <c r="BF859" s="115"/>
      <c r="BG859" s="115"/>
      <c r="BH859" s="115"/>
      <c r="BI859" s="115"/>
      <c r="BJ859" s="25"/>
      <c r="BK859" s="15"/>
      <c r="BN859" s="114"/>
    </row>
    <row r="860" spans="6:66" ht="19.5" x14ac:dyDescent="0.4">
      <c r="AL860" s="26"/>
      <c r="AM860" s="13"/>
      <c r="AR860" s="117"/>
      <c r="AS860" s="123"/>
      <c r="AT860" s="123"/>
      <c r="AU860" s="123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115"/>
      <c r="BF860" s="115"/>
      <c r="BG860" s="115"/>
      <c r="BH860" s="115"/>
      <c r="BI860" s="115"/>
      <c r="BJ860" s="25">
        <v>45273</v>
      </c>
      <c r="BK860" s="15" t="s">
        <v>162</v>
      </c>
      <c r="BN860" s="114"/>
    </row>
    <row r="861" spans="6:66" ht="19.5" x14ac:dyDescent="0.4">
      <c r="AL861" s="26"/>
      <c r="AM861" s="13"/>
      <c r="AR861" s="117"/>
      <c r="AS861" s="123"/>
      <c r="AT861" s="123"/>
      <c r="AU861" s="123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115"/>
      <c r="BF861" s="115"/>
      <c r="BG861" s="115"/>
      <c r="BH861" s="115"/>
      <c r="BI861" s="115"/>
      <c r="BJ861" s="25">
        <v>45273</v>
      </c>
      <c r="BK861" s="15" t="s">
        <v>162</v>
      </c>
      <c r="BN861" s="114"/>
    </row>
    <row r="862" spans="6:66" ht="19.5" x14ac:dyDescent="0.4">
      <c r="AL862" s="26"/>
      <c r="AM862" s="13"/>
      <c r="AR862" s="117"/>
      <c r="AS862" s="123"/>
      <c r="AT862" s="123"/>
      <c r="AU862" s="123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115"/>
      <c r="BF862" s="115"/>
      <c r="BG862" s="115"/>
      <c r="BH862" s="115"/>
      <c r="BI862" s="115"/>
      <c r="BJ862" s="25">
        <v>45273</v>
      </c>
      <c r="BK862" s="13" t="s">
        <v>163</v>
      </c>
      <c r="BN862" s="114"/>
    </row>
    <row r="863" spans="6:66" ht="19.5" x14ac:dyDescent="0.4">
      <c r="AL863" s="26"/>
      <c r="AM863" s="13"/>
      <c r="AR863" s="117"/>
      <c r="AS863" s="123"/>
      <c r="AT863" s="123"/>
      <c r="AU863" s="123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115"/>
      <c r="BF863" s="115"/>
      <c r="BG863" s="115"/>
      <c r="BH863" s="115"/>
      <c r="BI863" s="115"/>
      <c r="BJ863" s="25"/>
      <c r="BK863" s="13"/>
      <c r="BN863" s="114"/>
    </row>
    <row r="864" spans="6:66" ht="19.5" x14ac:dyDescent="0.4">
      <c r="AL864" s="26"/>
      <c r="AM864" s="13"/>
      <c r="AR864" s="117"/>
      <c r="AS864" s="123"/>
      <c r="AT864" s="123"/>
      <c r="AU864" s="123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115"/>
      <c r="BF864" s="115"/>
      <c r="BG864" s="115"/>
      <c r="BH864" s="115"/>
      <c r="BI864" s="115" t="s">
        <v>152</v>
      </c>
      <c r="BJ864" s="13">
        <f>SUBTOTAL(3,BJ833:BJ862)</f>
        <v>22</v>
      </c>
      <c r="BK864" s="13">
        <f>SUBTOTAL(3,BK833:BK862)</f>
        <v>22</v>
      </c>
      <c r="BN864" s="114"/>
    </row>
    <row r="865" spans="6:66" ht="19.5" x14ac:dyDescent="0.4">
      <c r="AL865" s="26"/>
      <c r="AM865" s="13"/>
      <c r="AR865" s="117"/>
      <c r="AS865" s="123"/>
      <c r="AT865" s="123"/>
      <c r="AU865" s="123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115"/>
      <c r="BF865" s="115"/>
      <c r="BG865" s="115"/>
      <c r="BH865" s="115"/>
      <c r="BI865" s="115"/>
      <c r="BJ865" s="25">
        <v>45274</v>
      </c>
      <c r="BK865" s="15" t="s">
        <v>162</v>
      </c>
      <c r="BN865" s="114"/>
    </row>
    <row r="866" spans="6:66" ht="19.5" x14ac:dyDescent="0.4"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26"/>
      <c r="AM866" s="13"/>
      <c r="AR866" s="117"/>
      <c r="AS866" s="123"/>
      <c r="AT866" s="123"/>
      <c r="AU866" s="123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115"/>
      <c r="BF866" s="115"/>
      <c r="BG866" s="115"/>
      <c r="BH866" s="115"/>
      <c r="BI866" s="115"/>
      <c r="BJ866" s="25"/>
      <c r="BK866" s="15"/>
      <c r="BN866" s="114"/>
    </row>
    <row r="867" spans="6:66" ht="19.5" x14ac:dyDescent="0.4"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26"/>
      <c r="AM867" s="13"/>
      <c r="AR867" s="117"/>
      <c r="AS867" s="123"/>
      <c r="AT867" s="123"/>
      <c r="AU867" s="123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115"/>
      <c r="BF867" s="115"/>
      <c r="BG867" s="115"/>
      <c r="BH867" s="115"/>
      <c r="BI867" s="115"/>
      <c r="BJ867" s="25"/>
      <c r="BK867" s="15"/>
      <c r="BN867" s="114"/>
    </row>
    <row r="868" spans="6:66" ht="19.5" x14ac:dyDescent="0.4">
      <c r="AL868" s="26"/>
      <c r="AM868" s="13"/>
      <c r="AR868" s="117"/>
      <c r="AS868" s="123"/>
      <c r="AT868" s="123"/>
      <c r="AU868" s="123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115"/>
      <c r="BF868" s="115"/>
      <c r="BG868" s="115"/>
      <c r="BH868" s="115"/>
      <c r="BI868" s="115"/>
      <c r="BJ868" s="25">
        <v>45274</v>
      </c>
      <c r="BK868" s="15" t="s">
        <v>162</v>
      </c>
      <c r="BN868" s="114"/>
    </row>
    <row r="869" spans="6:66" ht="19.5" x14ac:dyDescent="0.4"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26"/>
      <c r="AM869" s="13"/>
      <c r="AR869" s="117"/>
      <c r="AS869" s="123"/>
      <c r="AT869" s="123"/>
      <c r="AU869" s="123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115"/>
      <c r="BF869" s="115"/>
      <c r="BG869" s="115"/>
      <c r="BH869" s="115"/>
      <c r="BI869" s="115"/>
      <c r="BJ869" s="25"/>
      <c r="BK869" s="15"/>
      <c r="BN869" s="114"/>
    </row>
    <row r="870" spans="6:66" ht="19.5" x14ac:dyDescent="0.4"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26"/>
      <c r="AM870" s="13"/>
      <c r="AR870" s="117"/>
      <c r="AS870" s="123"/>
      <c r="AT870" s="123"/>
      <c r="AU870" s="123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115"/>
      <c r="BF870" s="115"/>
      <c r="BG870" s="115"/>
      <c r="BH870" s="115"/>
      <c r="BI870" s="115"/>
      <c r="BJ870" s="25"/>
      <c r="BK870" s="15"/>
      <c r="BN870" s="114"/>
    </row>
    <row r="871" spans="6:66" ht="19.5" x14ac:dyDescent="0.4"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26"/>
      <c r="AM871" s="13"/>
      <c r="AR871" s="117"/>
      <c r="AS871" s="123"/>
      <c r="AT871" s="123"/>
      <c r="AU871" s="123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115"/>
      <c r="BF871" s="115"/>
      <c r="BG871" s="115"/>
      <c r="BH871" s="115"/>
      <c r="BI871" s="115"/>
      <c r="BJ871" s="25"/>
      <c r="BK871" s="15"/>
      <c r="BN871" s="114"/>
    </row>
    <row r="872" spans="6:66" ht="19.5" x14ac:dyDescent="0.4">
      <c r="AL872" s="26"/>
      <c r="AM872" s="13"/>
      <c r="AR872" s="117"/>
      <c r="AS872" s="123"/>
      <c r="AT872" s="123"/>
      <c r="AU872" s="123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115"/>
      <c r="BF872" s="115"/>
      <c r="BG872" s="115"/>
      <c r="BH872" s="115"/>
      <c r="BI872" s="115"/>
      <c r="BJ872" s="25">
        <v>45274</v>
      </c>
      <c r="BK872" s="15" t="s">
        <v>162</v>
      </c>
      <c r="BN872" s="114"/>
    </row>
    <row r="873" spans="6:66" ht="19.5" x14ac:dyDescent="0.4"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26"/>
      <c r="AM873" s="13"/>
      <c r="AR873" s="117"/>
      <c r="AS873" s="123"/>
      <c r="AT873" s="123"/>
      <c r="AU873" s="123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115"/>
      <c r="BF873" s="115"/>
      <c r="BG873" s="115"/>
      <c r="BH873" s="115"/>
      <c r="BI873" s="115"/>
      <c r="BJ873" s="25"/>
      <c r="BK873" s="15"/>
      <c r="BN873" s="114"/>
    </row>
    <row r="874" spans="6:66" ht="19.5" x14ac:dyDescent="0.4">
      <c r="AL874" s="26"/>
      <c r="AM874" s="13"/>
      <c r="AR874" s="117"/>
      <c r="AS874" s="123"/>
      <c r="AT874" s="123"/>
      <c r="AU874" s="123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115"/>
      <c r="BF874" s="115"/>
      <c r="BG874" s="115"/>
      <c r="BH874" s="115"/>
      <c r="BI874" s="115"/>
      <c r="BJ874" s="25">
        <v>45274</v>
      </c>
      <c r="BK874" s="15" t="s">
        <v>162</v>
      </c>
      <c r="BN874" s="114"/>
    </row>
    <row r="875" spans="6:66" ht="19.5" x14ac:dyDescent="0.4">
      <c r="AL875" s="26"/>
      <c r="AM875" s="13"/>
      <c r="AR875" s="117"/>
      <c r="AS875" s="123"/>
      <c r="AT875" s="123"/>
      <c r="AU875" s="123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115"/>
      <c r="BF875" s="115"/>
      <c r="BG875" s="115"/>
      <c r="BH875" s="115"/>
      <c r="BI875" s="115"/>
      <c r="BJ875" s="25">
        <v>45274</v>
      </c>
      <c r="BK875" s="15" t="s">
        <v>163</v>
      </c>
      <c r="BN875" s="114"/>
    </row>
    <row r="876" spans="6:66" ht="19.5" x14ac:dyDescent="0.4">
      <c r="AD876" s="115"/>
      <c r="AE876" s="115"/>
      <c r="AF876" s="115"/>
      <c r="AG876" s="115"/>
      <c r="AH876" s="115"/>
      <c r="AI876" s="115"/>
      <c r="AJ876" s="115"/>
      <c r="AK876" s="115"/>
      <c r="AL876" s="17"/>
      <c r="AM876" s="13"/>
      <c r="AR876" s="117"/>
      <c r="AS876" s="123"/>
      <c r="AT876" s="123"/>
      <c r="AU876" s="123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115"/>
      <c r="BF876" s="115"/>
      <c r="BG876" s="115"/>
      <c r="BH876" s="115"/>
      <c r="BI876" s="115"/>
      <c r="BJ876" s="25"/>
      <c r="BK876" s="15"/>
      <c r="BN876" s="114"/>
    </row>
    <row r="877" spans="6:66" ht="19.5" x14ac:dyDescent="0.4"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26"/>
      <c r="AM877" s="13"/>
      <c r="AR877" s="117"/>
      <c r="AS877" s="123"/>
      <c r="AT877" s="123"/>
      <c r="AU877" s="123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115"/>
      <c r="BF877" s="115"/>
      <c r="BG877" s="115"/>
      <c r="BH877" s="115"/>
      <c r="BI877" s="115"/>
      <c r="BJ877" s="25"/>
      <c r="BK877" s="15"/>
      <c r="BN877" s="114"/>
    </row>
    <row r="878" spans="6:66" ht="19.5" x14ac:dyDescent="0.4">
      <c r="AL878" s="26"/>
      <c r="AM878" s="25"/>
      <c r="AR878" s="117"/>
      <c r="AS878" s="123"/>
      <c r="AT878" s="123"/>
      <c r="AU878" s="123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115"/>
      <c r="BF878" s="115"/>
      <c r="BG878" s="115"/>
      <c r="BH878" s="115"/>
      <c r="BI878" s="115" t="s">
        <v>167</v>
      </c>
      <c r="BJ878" s="13">
        <f>SUBTOTAL(3,BJ865:BJ875)</f>
        <v>5</v>
      </c>
      <c r="BK878" s="15">
        <f>SUBTOTAL(3,BK865:BK875)</f>
        <v>5</v>
      </c>
      <c r="BN878" s="114"/>
    </row>
    <row r="879" spans="6:66" ht="19.5" x14ac:dyDescent="0.4"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26"/>
      <c r="AM879" s="105"/>
      <c r="AR879" s="117"/>
      <c r="AS879" s="123"/>
      <c r="AT879" s="123"/>
      <c r="AU879" s="123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115"/>
      <c r="BF879" s="115"/>
      <c r="BG879" s="115"/>
      <c r="BH879" s="115"/>
      <c r="BI879" s="115"/>
      <c r="BJ879" s="13"/>
      <c r="BK879" s="15"/>
      <c r="BN879" s="114"/>
    </row>
    <row r="880" spans="6:66" ht="19.5" x14ac:dyDescent="0.4">
      <c r="AL880" s="26"/>
      <c r="AM880" s="105"/>
      <c r="AR880" s="117"/>
      <c r="AS880" s="123"/>
      <c r="AT880" s="123"/>
      <c r="AU880" s="123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115"/>
      <c r="BF880" s="115"/>
      <c r="BG880" s="115"/>
      <c r="BH880" s="115"/>
      <c r="BI880" s="115"/>
      <c r="BJ880" s="13"/>
      <c r="BK880" s="15"/>
      <c r="BN880" s="114"/>
    </row>
    <row r="881" spans="6:66" ht="19.5" x14ac:dyDescent="0.4">
      <c r="AD881" s="115"/>
      <c r="AE881" s="115"/>
      <c r="AF881" s="115"/>
      <c r="AG881" s="115"/>
      <c r="AH881" s="115"/>
      <c r="AI881" s="115"/>
      <c r="AJ881" s="115"/>
      <c r="AK881" s="115"/>
      <c r="AL881" s="17"/>
      <c r="AM881" s="15"/>
      <c r="AR881" s="117"/>
      <c r="AS881" s="123"/>
      <c r="AT881" s="123"/>
      <c r="AU881" s="123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115"/>
      <c r="BF881" s="115"/>
      <c r="BG881" s="115"/>
      <c r="BH881" s="115"/>
      <c r="BI881" s="115"/>
      <c r="BJ881" s="13"/>
      <c r="BK881" s="15"/>
      <c r="BN881" s="114"/>
    </row>
    <row r="882" spans="6:66" ht="19.5" x14ac:dyDescent="0.4"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26"/>
      <c r="AM882" s="15"/>
      <c r="AR882" s="117"/>
      <c r="AS882" s="123"/>
      <c r="AT882" s="123"/>
      <c r="AU882" s="123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115"/>
      <c r="BF882" s="115"/>
      <c r="BG882" s="115"/>
      <c r="BH882" s="115"/>
      <c r="BI882" s="115"/>
      <c r="BJ882" s="13"/>
      <c r="BK882" s="15"/>
      <c r="BN882" s="114"/>
    </row>
    <row r="883" spans="6:66" ht="19.5" x14ac:dyDescent="0.4"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26"/>
      <c r="AM883" s="15"/>
      <c r="AR883" s="117"/>
      <c r="AS883" s="123"/>
      <c r="AT883" s="123"/>
      <c r="AU883" s="123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115"/>
      <c r="BF883" s="115"/>
      <c r="BG883" s="115"/>
      <c r="BH883" s="115"/>
      <c r="BI883" s="115"/>
      <c r="BJ883" s="13"/>
      <c r="BK883" s="15"/>
      <c r="BN883" s="114"/>
    </row>
    <row r="884" spans="6:66" ht="19.5" x14ac:dyDescent="0.4"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26"/>
      <c r="AM884" s="15"/>
      <c r="AR884" s="117"/>
      <c r="AS884" s="123"/>
      <c r="AT884" s="123"/>
      <c r="AU884" s="123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115"/>
      <c r="BF884" s="115"/>
      <c r="BG884" s="115"/>
      <c r="BH884" s="115"/>
      <c r="BI884" s="115"/>
      <c r="BJ884" s="13"/>
      <c r="BK884" s="15"/>
      <c r="BN884" s="114"/>
    </row>
    <row r="885" spans="6:66" ht="19.5" x14ac:dyDescent="0.4"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26"/>
      <c r="AM885" s="15"/>
      <c r="AR885" s="117"/>
      <c r="AS885" s="123"/>
      <c r="AT885" s="123"/>
      <c r="AU885" s="123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115"/>
      <c r="BF885" s="115"/>
      <c r="BG885" s="115"/>
      <c r="BH885" s="115"/>
      <c r="BI885" s="115"/>
      <c r="BJ885" s="13"/>
      <c r="BK885" s="15"/>
      <c r="BN885" s="114"/>
    </row>
    <row r="886" spans="6:66" ht="19.5" x14ac:dyDescent="0.4">
      <c r="AL886" s="26"/>
      <c r="AM886" s="15"/>
      <c r="AR886" s="117"/>
      <c r="AS886" s="123"/>
      <c r="AT886" s="123"/>
      <c r="AU886" s="123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115"/>
      <c r="BF886" s="115"/>
      <c r="BG886" s="115"/>
      <c r="BH886" s="115"/>
      <c r="BI886" s="115"/>
      <c r="BJ886" s="25">
        <v>45275</v>
      </c>
      <c r="BK886" s="15" t="s">
        <v>163</v>
      </c>
      <c r="BN886" s="114"/>
    </row>
    <row r="887" spans="6:66" ht="19.5" x14ac:dyDescent="0.4">
      <c r="AL887" s="26"/>
      <c r="AM887" s="15"/>
      <c r="AR887" s="117"/>
      <c r="AS887" s="123"/>
      <c r="AT887" s="123"/>
      <c r="AU887" s="123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115"/>
      <c r="BF887" s="115"/>
      <c r="BG887" s="115"/>
      <c r="BH887" s="115"/>
      <c r="BI887" s="115" t="s">
        <v>168</v>
      </c>
      <c r="BJ887" s="13">
        <f>SUBTOTAL(3,BJ886:BJ886)</f>
        <v>1</v>
      </c>
      <c r="BK887" s="15">
        <f>SUBTOTAL(3,BK886:BK886)</f>
        <v>1</v>
      </c>
      <c r="BN887" s="114"/>
    </row>
    <row r="888" spans="6:66" ht="19.5" x14ac:dyDescent="0.4">
      <c r="AL888" s="26"/>
      <c r="AM888" s="15"/>
      <c r="AR888" s="117"/>
      <c r="AS888" s="123"/>
      <c r="AT888" s="123"/>
      <c r="AU888" s="123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115"/>
      <c r="BF888" s="115"/>
      <c r="BG888" s="115"/>
      <c r="BH888" s="115"/>
      <c r="BI888" s="115"/>
      <c r="BJ888" s="25">
        <v>45276</v>
      </c>
      <c r="BK888" s="15" t="s">
        <v>164</v>
      </c>
      <c r="BN888" s="114"/>
    </row>
    <row r="889" spans="6:66" ht="19.5" x14ac:dyDescent="0.4">
      <c r="AL889" s="26"/>
      <c r="AM889" s="15"/>
      <c r="AR889" s="117"/>
      <c r="AS889" s="123"/>
      <c r="AT889" s="123"/>
      <c r="AU889" s="123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115"/>
      <c r="BF889" s="115"/>
      <c r="BG889" s="115"/>
      <c r="BH889" s="115"/>
      <c r="BI889" s="115"/>
      <c r="BJ889" s="25">
        <v>45276</v>
      </c>
      <c r="BK889" s="15" t="s">
        <v>162</v>
      </c>
      <c r="BN889" s="114"/>
    </row>
    <row r="890" spans="6:66" ht="19.5" x14ac:dyDescent="0.4">
      <c r="AL890" s="26"/>
      <c r="AM890" s="15"/>
      <c r="AR890" s="117"/>
      <c r="AS890" s="123"/>
      <c r="AT890" s="123"/>
      <c r="AU890" s="123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115"/>
      <c r="BF890" s="115"/>
      <c r="BG890" s="115"/>
      <c r="BH890" s="115"/>
      <c r="BI890" s="115"/>
      <c r="BJ890" s="25">
        <v>45276</v>
      </c>
      <c r="BK890" s="15" t="s">
        <v>162</v>
      </c>
      <c r="BN890" s="114"/>
    </row>
    <row r="891" spans="6:66" ht="19.5" x14ac:dyDescent="0.4">
      <c r="AL891" s="26"/>
      <c r="AM891" s="15"/>
      <c r="AR891" s="117"/>
      <c r="AS891" s="123"/>
      <c r="AT891" s="123"/>
      <c r="AU891" s="123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115"/>
      <c r="BF891" s="115"/>
      <c r="BG891" s="115"/>
      <c r="BH891" s="115"/>
      <c r="BI891" s="115"/>
      <c r="BJ891" s="25">
        <v>45276</v>
      </c>
      <c r="BK891" s="15" t="s">
        <v>162</v>
      </c>
      <c r="BN891" s="114"/>
    </row>
    <row r="892" spans="6:66" ht="19.5" x14ac:dyDescent="0.4">
      <c r="AL892" s="26"/>
      <c r="AM892" s="15"/>
      <c r="AR892" s="117"/>
      <c r="AS892" s="123"/>
      <c r="AT892" s="123"/>
      <c r="AU892" s="123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115"/>
      <c r="BF892" s="115"/>
      <c r="BG892" s="115"/>
      <c r="BH892" s="115"/>
      <c r="BI892" s="115"/>
      <c r="BJ892" s="25">
        <v>45276</v>
      </c>
      <c r="BK892" s="15" t="s">
        <v>162</v>
      </c>
      <c r="BN892" s="114"/>
    </row>
    <row r="893" spans="6:66" ht="19.5" x14ac:dyDescent="0.4"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26"/>
      <c r="AM893" s="15"/>
      <c r="AR893" s="117"/>
      <c r="AS893" s="123"/>
      <c r="AT893" s="123"/>
      <c r="AU893" s="123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115"/>
      <c r="BF893" s="115"/>
      <c r="BG893" s="115"/>
      <c r="BH893" s="115"/>
      <c r="BI893" s="115"/>
      <c r="BJ893" s="25"/>
      <c r="BK893" s="15"/>
      <c r="BN893" s="114"/>
    </row>
    <row r="894" spans="6:66" ht="19.5" x14ac:dyDescent="0.4">
      <c r="AL894" s="26"/>
      <c r="AM894" s="15"/>
      <c r="AR894" s="117"/>
      <c r="AS894" s="123"/>
      <c r="AT894" s="123"/>
      <c r="AU894" s="123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115"/>
      <c r="BF894" s="115"/>
      <c r="BG894" s="115"/>
      <c r="BH894" s="115"/>
      <c r="BI894" s="115"/>
      <c r="BJ894" s="25">
        <v>45276</v>
      </c>
      <c r="BK894" s="15" t="s">
        <v>162</v>
      </c>
      <c r="BN894" s="114"/>
    </row>
    <row r="895" spans="6:66" ht="19.5" x14ac:dyDescent="0.4">
      <c r="AL895" s="26"/>
      <c r="AM895" s="15"/>
      <c r="AR895" s="117"/>
      <c r="AS895" s="123"/>
      <c r="AT895" s="123"/>
      <c r="AU895" s="123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115"/>
      <c r="BF895" s="115"/>
      <c r="BG895" s="115"/>
      <c r="BH895" s="115"/>
      <c r="BI895" s="115"/>
      <c r="BJ895" s="25">
        <v>45276</v>
      </c>
      <c r="BK895" s="15" t="s">
        <v>162</v>
      </c>
      <c r="BN895" s="114"/>
    </row>
    <row r="896" spans="6:66" ht="19.5" x14ac:dyDescent="0.4">
      <c r="AD896" s="115"/>
      <c r="AE896" s="115"/>
      <c r="AF896" s="115"/>
      <c r="AG896" s="115"/>
      <c r="AH896" s="115"/>
      <c r="AI896" s="115"/>
      <c r="AJ896" s="115"/>
      <c r="AK896" s="115"/>
      <c r="AL896" s="17"/>
      <c r="AM896" s="15"/>
      <c r="AR896" s="117"/>
      <c r="AS896" s="123"/>
      <c r="AT896" s="123"/>
      <c r="AU896" s="123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115"/>
      <c r="BF896" s="115"/>
      <c r="BG896" s="115"/>
      <c r="BH896" s="115"/>
      <c r="BI896" s="115"/>
      <c r="BJ896" s="25"/>
      <c r="BK896" s="15"/>
      <c r="BN896" s="114"/>
    </row>
    <row r="897" spans="6:66" ht="19.5" x14ac:dyDescent="0.4"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26"/>
      <c r="AM897" s="15"/>
      <c r="AR897" s="117"/>
      <c r="AS897" s="123"/>
      <c r="AT897" s="123"/>
      <c r="AU897" s="123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115"/>
      <c r="BF897" s="115"/>
      <c r="BG897" s="115"/>
      <c r="BH897" s="115"/>
      <c r="BI897" s="115"/>
      <c r="BJ897" s="25"/>
      <c r="BK897" s="15"/>
      <c r="BN897" s="114"/>
    </row>
    <row r="898" spans="6:66" ht="19.5" x14ac:dyDescent="0.4"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26"/>
      <c r="AM898" s="15"/>
      <c r="AR898" s="117"/>
      <c r="AS898" s="123"/>
      <c r="AT898" s="123"/>
      <c r="AU898" s="123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115"/>
      <c r="BF898" s="115"/>
      <c r="BG898" s="115"/>
      <c r="BH898" s="115"/>
      <c r="BI898" s="115"/>
      <c r="BJ898" s="25"/>
      <c r="BK898" s="15"/>
      <c r="BN898" s="114"/>
    </row>
    <row r="899" spans="6:66" ht="19.5" x14ac:dyDescent="0.4"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26"/>
      <c r="AM899" s="15"/>
      <c r="AR899" s="117"/>
      <c r="AS899" s="123"/>
      <c r="AT899" s="123"/>
      <c r="AU899" s="123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115"/>
      <c r="BF899" s="115"/>
      <c r="BG899" s="115"/>
      <c r="BH899" s="115"/>
      <c r="BI899" s="115"/>
      <c r="BJ899" s="25"/>
      <c r="BK899" s="15"/>
      <c r="BN899" s="114"/>
    </row>
    <row r="900" spans="6:66" ht="19.5" x14ac:dyDescent="0.4">
      <c r="AL900" s="26"/>
      <c r="AM900" s="15"/>
      <c r="AQ900" s="115"/>
      <c r="AR900" s="117"/>
      <c r="AS900" s="123"/>
      <c r="AT900" s="123"/>
      <c r="AU900" s="123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115"/>
      <c r="BF900" s="115"/>
      <c r="BG900" s="115"/>
      <c r="BH900" s="115"/>
      <c r="BI900" s="115"/>
      <c r="BJ900" s="25">
        <v>45276</v>
      </c>
      <c r="BK900" s="15" t="s">
        <v>162</v>
      </c>
      <c r="BN900" s="114"/>
    </row>
    <row r="901" spans="6:66" ht="19.5" x14ac:dyDescent="0.4">
      <c r="AL901" s="26"/>
      <c r="AM901" s="15"/>
      <c r="AQ901" s="115"/>
      <c r="AR901" s="117"/>
      <c r="AS901" s="123"/>
      <c r="AT901" s="123"/>
      <c r="AU901" s="123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115"/>
      <c r="BF901" s="115"/>
      <c r="BG901" s="115"/>
      <c r="BH901" s="115"/>
      <c r="BI901" s="115"/>
      <c r="BJ901" s="25">
        <v>45276</v>
      </c>
      <c r="BK901" s="15" t="s">
        <v>162</v>
      </c>
      <c r="BN901" s="114"/>
    </row>
    <row r="902" spans="6:66" ht="19.5" x14ac:dyDescent="0.4">
      <c r="AL902" s="26"/>
      <c r="AM902" s="15"/>
      <c r="AQ902" s="115"/>
      <c r="AR902" s="117"/>
      <c r="AS902" s="123"/>
      <c r="AT902" s="123"/>
      <c r="AU902" s="123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115"/>
      <c r="BF902" s="115"/>
      <c r="BG902" s="115"/>
      <c r="BH902" s="115"/>
      <c r="BI902" s="115"/>
      <c r="BJ902" s="25">
        <v>45276</v>
      </c>
      <c r="BK902" s="15" t="s">
        <v>162</v>
      </c>
      <c r="BN902" s="114"/>
    </row>
    <row r="903" spans="6:66" ht="19.5" x14ac:dyDescent="0.4">
      <c r="AD903" s="115"/>
      <c r="AE903" s="115"/>
      <c r="AF903" s="115"/>
      <c r="AG903" s="115"/>
      <c r="AH903" s="115"/>
      <c r="AI903" s="115"/>
      <c r="AJ903" s="115"/>
      <c r="AK903" s="115"/>
      <c r="AL903" s="17"/>
      <c r="AM903" s="15"/>
      <c r="AQ903" s="115"/>
      <c r="AR903" s="117"/>
      <c r="AS903" s="123"/>
      <c r="AT903" s="123"/>
      <c r="AU903" s="123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115"/>
      <c r="BF903" s="115"/>
      <c r="BG903" s="115"/>
      <c r="BH903" s="115"/>
      <c r="BI903" s="115"/>
      <c r="BJ903" s="25"/>
      <c r="BK903" s="15"/>
      <c r="BN903" s="114"/>
    </row>
    <row r="904" spans="6:66" ht="19.5" x14ac:dyDescent="0.4"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26"/>
      <c r="AM904" s="15"/>
      <c r="AQ904" s="115"/>
      <c r="AR904" s="117"/>
      <c r="AS904" s="123"/>
      <c r="AT904" s="123"/>
      <c r="AU904" s="123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115"/>
      <c r="BF904" s="115"/>
      <c r="BG904" s="115"/>
      <c r="BH904" s="115"/>
      <c r="BI904" s="115"/>
      <c r="BJ904" s="25"/>
      <c r="BK904" s="15"/>
      <c r="BN904" s="114"/>
    </row>
    <row r="905" spans="6:66" ht="19.5" x14ac:dyDescent="0.4"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7"/>
      <c r="AM905" s="15"/>
      <c r="AQ905" s="115"/>
      <c r="AR905" s="117"/>
      <c r="AS905" s="123"/>
      <c r="AT905" s="123"/>
      <c r="AU905" s="123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115"/>
      <c r="BF905" s="115"/>
      <c r="BG905" s="115"/>
      <c r="BH905" s="115"/>
      <c r="BI905" s="115"/>
      <c r="BJ905" s="25"/>
      <c r="BK905" s="15"/>
      <c r="BN905" s="114"/>
    </row>
    <row r="906" spans="6:66" ht="19.5" x14ac:dyDescent="0.4">
      <c r="AL906" s="26"/>
      <c r="AM906" s="15"/>
      <c r="AQ906" s="115"/>
      <c r="AR906" s="117"/>
      <c r="AS906" s="123"/>
      <c r="AT906" s="123"/>
      <c r="AU906" s="123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115"/>
      <c r="BF906" s="115"/>
      <c r="BG906" s="115"/>
      <c r="BH906" s="115"/>
      <c r="BI906" s="115"/>
      <c r="BJ906" s="25"/>
      <c r="BK906" s="15"/>
      <c r="BN906" s="114"/>
    </row>
    <row r="907" spans="6:66" ht="19.5" x14ac:dyDescent="0.4"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26"/>
      <c r="AM907" s="15"/>
      <c r="AQ907" s="115"/>
      <c r="AR907" s="117"/>
      <c r="AS907" s="123"/>
      <c r="AT907" s="123"/>
      <c r="AU907" s="123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115"/>
      <c r="BF907" s="115"/>
      <c r="BG907" s="115"/>
      <c r="BH907" s="115"/>
      <c r="BI907" s="115"/>
      <c r="BJ907" s="25"/>
      <c r="BK907" s="15"/>
      <c r="BN907" s="114"/>
    </row>
    <row r="908" spans="6:66" ht="19.5" x14ac:dyDescent="0.4">
      <c r="AL908" s="26"/>
      <c r="AM908" s="15"/>
      <c r="AQ908" s="115"/>
      <c r="AR908" s="117"/>
      <c r="AS908" s="123"/>
      <c r="AT908" s="123"/>
      <c r="AU908" s="123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115"/>
      <c r="BF908" s="115"/>
      <c r="BG908" s="115"/>
      <c r="BH908" s="115"/>
      <c r="BI908" s="115"/>
      <c r="BJ908" s="25">
        <v>45276</v>
      </c>
      <c r="BK908" s="15" t="s">
        <v>162</v>
      </c>
      <c r="BN908" s="114"/>
    </row>
    <row r="909" spans="6:66" ht="19.5" x14ac:dyDescent="0.4">
      <c r="AD909" s="115"/>
      <c r="AE909" s="115"/>
      <c r="AF909" s="115"/>
      <c r="AG909" s="115"/>
      <c r="AH909" s="115"/>
      <c r="AI909" s="115"/>
      <c r="AJ909" s="115"/>
      <c r="AK909" s="115"/>
      <c r="AL909" s="17"/>
      <c r="AM909" s="15"/>
      <c r="AQ909" s="115"/>
      <c r="AR909" s="117"/>
      <c r="AS909" s="123"/>
      <c r="AT909" s="123"/>
      <c r="AU909" s="123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115"/>
      <c r="BF909" s="115"/>
      <c r="BG909" s="115"/>
      <c r="BH909" s="115"/>
      <c r="BI909" s="115"/>
      <c r="BJ909" s="25"/>
      <c r="BK909" s="15"/>
      <c r="BN909" s="114"/>
    </row>
    <row r="910" spans="6:66" ht="19.5" x14ac:dyDescent="0.4">
      <c r="AL910" s="26"/>
      <c r="AM910" s="15"/>
      <c r="AQ910" s="115"/>
      <c r="AR910" s="117"/>
      <c r="AS910" s="123"/>
      <c r="AT910" s="123"/>
      <c r="AU910" s="123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115"/>
      <c r="BF910" s="115"/>
      <c r="BG910" s="115"/>
      <c r="BH910" s="115"/>
      <c r="BI910" s="115"/>
      <c r="BJ910" s="25">
        <v>45276</v>
      </c>
      <c r="BK910" s="15" t="s">
        <v>162</v>
      </c>
      <c r="BN910" s="114"/>
    </row>
    <row r="911" spans="6:66" ht="19.5" x14ac:dyDescent="0.4">
      <c r="AD911" s="115"/>
      <c r="AE911" s="115"/>
      <c r="AF911" s="115"/>
      <c r="AG911" s="115"/>
      <c r="AH911" s="115"/>
      <c r="AI911" s="115"/>
      <c r="AJ911" s="115"/>
      <c r="AK911" s="115"/>
      <c r="AL911" s="17"/>
      <c r="AM911" s="15"/>
      <c r="AQ911" s="115"/>
      <c r="AR911" s="117"/>
      <c r="AS911" s="123"/>
      <c r="AT911" s="123"/>
      <c r="AU911" s="123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115"/>
      <c r="BF911" s="115"/>
      <c r="BG911" s="115"/>
      <c r="BH911" s="115"/>
      <c r="BI911" s="115"/>
      <c r="BJ911" s="25"/>
      <c r="BK911" s="15"/>
      <c r="BN911" s="114"/>
    </row>
    <row r="912" spans="6:66" ht="19.5" x14ac:dyDescent="0.4"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26"/>
      <c r="AM912" s="15"/>
      <c r="AQ912" s="115"/>
      <c r="AR912" s="117"/>
      <c r="AS912" s="123"/>
      <c r="AT912" s="123"/>
      <c r="AU912" s="123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115"/>
      <c r="BF912" s="115"/>
      <c r="BG912" s="115"/>
      <c r="BH912" s="115"/>
      <c r="BI912" s="115"/>
      <c r="BJ912" s="25"/>
      <c r="BK912" s="15"/>
      <c r="BN912" s="114"/>
    </row>
    <row r="913" spans="27:66" ht="19.5" x14ac:dyDescent="0.4"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7"/>
      <c r="AM913" s="15"/>
      <c r="AQ913" s="115"/>
      <c r="AR913" s="117"/>
      <c r="AS913" s="123"/>
      <c r="AT913" s="123"/>
      <c r="AU913" s="123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115"/>
      <c r="BF913" s="115"/>
      <c r="BG913" s="115"/>
      <c r="BH913" s="115"/>
      <c r="BI913" s="115"/>
      <c r="BJ913" s="25"/>
      <c r="BK913" s="15"/>
      <c r="BN913" s="114"/>
    </row>
    <row r="914" spans="27:66" ht="19.5" x14ac:dyDescent="0.4">
      <c r="AL914" s="26"/>
      <c r="AM914" s="15"/>
      <c r="AQ914" s="115"/>
      <c r="AR914" s="117"/>
      <c r="AS914" s="123"/>
      <c r="AT914" s="123"/>
      <c r="AU914" s="123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115"/>
      <c r="BF914" s="115"/>
      <c r="BG914" s="115"/>
      <c r="BH914" s="115"/>
      <c r="BI914" s="115"/>
      <c r="BJ914" s="25">
        <v>45276</v>
      </c>
      <c r="BK914" s="15" t="s">
        <v>162</v>
      </c>
      <c r="BN914" s="114"/>
    </row>
    <row r="915" spans="27:66" ht="19.5" x14ac:dyDescent="0.4">
      <c r="AL915" s="26"/>
      <c r="AM915" s="15"/>
      <c r="AQ915" s="115"/>
      <c r="AR915" s="117"/>
      <c r="AS915" s="123"/>
      <c r="AT915" s="123"/>
      <c r="AU915" s="123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115"/>
      <c r="BF915" s="115"/>
      <c r="BG915" s="115"/>
      <c r="BH915" s="115"/>
      <c r="BI915" s="115"/>
      <c r="BJ915" s="25">
        <v>45276</v>
      </c>
      <c r="BK915" s="15" t="s">
        <v>162</v>
      </c>
      <c r="BN915" s="114"/>
    </row>
    <row r="916" spans="27:66" ht="19.5" x14ac:dyDescent="0.4">
      <c r="AL916" s="26"/>
      <c r="AM916" s="15"/>
      <c r="AQ916" s="115"/>
      <c r="AR916" s="117"/>
      <c r="AS916" s="123"/>
      <c r="AT916" s="123"/>
      <c r="AU916" s="123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115"/>
      <c r="BF916" s="115"/>
      <c r="BG916" s="115"/>
      <c r="BH916" s="115"/>
      <c r="BI916" s="115"/>
      <c r="BJ916" s="25">
        <v>45276</v>
      </c>
      <c r="BK916" s="15" t="s">
        <v>162</v>
      </c>
      <c r="BN916" s="114"/>
    </row>
    <row r="917" spans="27:66" ht="19.5" x14ac:dyDescent="0.4">
      <c r="AL917" s="26"/>
      <c r="AM917" s="15"/>
      <c r="AQ917" s="115"/>
      <c r="AR917" s="117"/>
      <c r="AS917" s="123"/>
      <c r="AT917" s="123"/>
      <c r="AU917" s="123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115"/>
      <c r="BF917" s="115"/>
      <c r="BG917" s="115"/>
      <c r="BH917" s="115"/>
      <c r="BI917" s="115"/>
      <c r="BJ917" s="25"/>
      <c r="BK917" s="15"/>
      <c r="BN917" s="114"/>
    </row>
    <row r="918" spans="27:66" ht="19.5" x14ac:dyDescent="0.4">
      <c r="AD918" s="115"/>
      <c r="AE918" s="115"/>
      <c r="AF918" s="115"/>
      <c r="AG918" s="115"/>
      <c r="AH918" s="115"/>
      <c r="AI918" s="115"/>
      <c r="AJ918" s="115"/>
      <c r="AK918" s="115"/>
      <c r="AL918" s="17"/>
      <c r="AM918" s="15"/>
      <c r="AQ918" s="115"/>
      <c r="AR918" s="117"/>
      <c r="AS918" s="123"/>
      <c r="AT918" s="123"/>
      <c r="AU918" s="123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115"/>
      <c r="BF918" s="115"/>
      <c r="BG918" s="115"/>
      <c r="BH918" s="115"/>
      <c r="BI918" s="115"/>
      <c r="BJ918" s="25"/>
      <c r="BK918" s="15"/>
      <c r="BN918" s="114"/>
    </row>
    <row r="919" spans="27:66" ht="19.5" x14ac:dyDescent="0.4">
      <c r="AL919" s="26"/>
      <c r="AM919" s="15"/>
      <c r="AQ919" s="115"/>
      <c r="AR919" s="117"/>
      <c r="AS919" s="123"/>
      <c r="AT919" s="123"/>
      <c r="AU919" s="123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115"/>
      <c r="BF919" s="115"/>
      <c r="BG919" s="115"/>
      <c r="BH919" s="115"/>
      <c r="BI919" s="115"/>
      <c r="BJ919" s="25">
        <v>45276</v>
      </c>
      <c r="BK919" s="15" t="s">
        <v>162</v>
      </c>
      <c r="BN919" s="114"/>
    </row>
    <row r="920" spans="27:66" ht="19.5" x14ac:dyDescent="0.4">
      <c r="AL920" s="26"/>
      <c r="AM920" s="15"/>
      <c r="AQ920" s="115"/>
      <c r="AR920" s="117"/>
      <c r="AS920" s="123"/>
      <c r="AT920" s="123"/>
      <c r="AU920" s="123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115"/>
      <c r="BF920" s="115"/>
      <c r="BG920" s="115"/>
      <c r="BH920" s="115"/>
      <c r="BI920" s="115"/>
      <c r="BJ920" s="25">
        <v>45276</v>
      </c>
      <c r="BK920" s="15" t="s">
        <v>162</v>
      </c>
      <c r="BN920" s="114"/>
    </row>
    <row r="921" spans="27:66" ht="19.5" x14ac:dyDescent="0.4">
      <c r="AD921" s="115"/>
      <c r="AE921" s="115"/>
      <c r="AF921" s="115"/>
      <c r="AG921" s="115"/>
      <c r="AH921" s="115"/>
      <c r="AI921" s="115"/>
      <c r="AJ921" s="115"/>
      <c r="AK921" s="115"/>
      <c r="AL921" s="17"/>
      <c r="AM921" s="15"/>
      <c r="AQ921" s="115"/>
      <c r="AR921" s="117"/>
      <c r="AS921" s="123"/>
      <c r="AT921" s="123"/>
      <c r="AU921" s="123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115"/>
      <c r="BF921" s="115"/>
      <c r="BG921" s="115"/>
      <c r="BH921" s="115"/>
      <c r="BI921" s="115"/>
      <c r="BJ921" s="25"/>
      <c r="BK921" s="15"/>
      <c r="BN921" s="114"/>
    </row>
    <row r="922" spans="27:66" ht="19.5" x14ac:dyDescent="0.4"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26"/>
      <c r="AM922" s="15"/>
      <c r="AQ922" s="115"/>
      <c r="AR922" s="117"/>
      <c r="AS922" s="123"/>
      <c r="AT922" s="123"/>
      <c r="AU922" s="123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115"/>
      <c r="BF922" s="115"/>
      <c r="BG922" s="115"/>
      <c r="BH922" s="115"/>
      <c r="BI922" s="115"/>
      <c r="BJ922" s="25"/>
      <c r="BK922" s="15"/>
      <c r="BN922" s="114"/>
    </row>
    <row r="923" spans="27:66" ht="19.5" x14ac:dyDescent="0.4"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7"/>
      <c r="AM923" s="15"/>
      <c r="AQ923" s="115"/>
      <c r="AR923" s="117"/>
      <c r="AS923" s="123"/>
      <c r="AT923" s="123"/>
      <c r="AU923" s="123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115"/>
      <c r="BF923" s="115"/>
      <c r="BG923" s="115"/>
      <c r="BH923" s="115"/>
      <c r="BI923" s="115"/>
      <c r="BJ923" s="25"/>
      <c r="BK923" s="15"/>
      <c r="BN923" s="114"/>
    </row>
    <row r="924" spans="27:66" ht="19.5" x14ac:dyDescent="0.4"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26"/>
      <c r="AM924" s="15"/>
      <c r="AQ924" s="115"/>
      <c r="AR924" s="117"/>
      <c r="AS924" s="123"/>
      <c r="AT924" s="123"/>
      <c r="AU924" s="123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115"/>
      <c r="BF924" s="115"/>
      <c r="BG924" s="115"/>
      <c r="BH924" s="115"/>
      <c r="BI924" s="115"/>
      <c r="BJ924" s="25"/>
      <c r="BK924" s="15"/>
      <c r="BN924" s="114"/>
    </row>
    <row r="925" spans="27:66" ht="19.5" x14ac:dyDescent="0.4">
      <c r="AL925" s="26"/>
      <c r="AM925" s="15"/>
      <c r="AQ925" s="115"/>
      <c r="AR925" s="117"/>
      <c r="AS925" s="123"/>
      <c r="AT925" s="123"/>
      <c r="AU925" s="123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115"/>
      <c r="BF925" s="115"/>
      <c r="BG925" s="115"/>
      <c r="BH925" s="115"/>
      <c r="BI925" s="115" t="s">
        <v>169</v>
      </c>
      <c r="BJ925" s="13">
        <f>SUBTOTAL(3,BJ888:BJ920)</f>
        <v>17</v>
      </c>
      <c r="BK925" s="15">
        <f>SUBTOTAL(3,BK888:BK920)</f>
        <v>17</v>
      </c>
      <c r="BN925" s="114"/>
    </row>
    <row r="926" spans="27:66" ht="19.5" x14ac:dyDescent="0.4"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  <c r="AK926" s="115"/>
      <c r="AL926" s="26"/>
      <c r="AM926" s="15"/>
      <c r="AQ926" s="115"/>
      <c r="AR926" s="117"/>
      <c r="AS926" s="123"/>
      <c r="AT926" s="123"/>
      <c r="AU926" s="123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115"/>
      <c r="BF926" s="115"/>
      <c r="BG926" s="115"/>
      <c r="BH926" s="115"/>
      <c r="BI926" s="115"/>
      <c r="BJ926" s="13"/>
      <c r="BK926" s="15"/>
      <c r="BN926" s="114"/>
    </row>
    <row r="927" spans="27:66" ht="19.5" x14ac:dyDescent="0.4">
      <c r="AL927" s="26"/>
      <c r="AM927" s="15"/>
      <c r="AQ927" s="115"/>
      <c r="AR927" s="117"/>
      <c r="AS927" s="123"/>
      <c r="AT927" s="123"/>
      <c r="AU927" s="123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115"/>
      <c r="BF927" s="115"/>
      <c r="BG927" s="115"/>
      <c r="BH927" s="115"/>
      <c r="BI927" s="115"/>
      <c r="BJ927" s="25">
        <v>45277</v>
      </c>
      <c r="BK927" s="15" t="s">
        <v>162</v>
      </c>
      <c r="BN927" s="114"/>
    </row>
    <row r="928" spans="27:66" ht="19.5" x14ac:dyDescent="0.4">
      <c r="AD928" s="115"/>
      <c r="AE928" s="115"/>
      <c r="AF928" s="115"/>
      <c r="AG928" s="115"/>
      <c r="AH928" s="115"/>
      <c r="AI928" s="115"/>
      <c r="AJ928" s="115"/>
      <c r="AK928" s="115"/>
      <c r="AL928" s="17"/>
      <c r="AM928" s="15"/>
      <c r="AQ928" s="115"/>
      <c r="AR928" s="117"/>
      <c r="AS928" s="123"/>
      <c r="AT928" s="123"/>
      <c r="AU928" s="123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115"/>
      <c r="BF928" s="115"/>
      <c r="BG928" s="115"/>
      <c r="BH928" s="115"/>
      <c r="BI928" s="115"/>
      <c r="BJ928" s="25"/>
      <c r="BK928" s="15"/>
      <c r="BN928" s="114"/>
    </row>
    <row r="929" spans="6:66" ht="19.5" x14ac:dyDescent="0.4"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  <c r="AK929" s="115"/>
      <c r="AL929" s="26"/>
      <c r="AM929" s="15"/>
      <c r="AQ929" s="115"/>
      <c r="AR929" s="117"/>
      <c r="AS929" s="123"/>
      <c r="AT929" s="123"/>
      <c r="AU929" s="123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115"/>
      <c r="BF929" s="115"/>
      <c r="BG929" s="115"/>
      <c r="BH929" s="115"/>
      <c r="BI929" s="115"/>
      <c r="BJ929" s="25"/>
      <c r="BK929" s="15"/>
      <c r="BN929" s="114"/>
    </row>
    <row r="930" spans="6:66" ht="19.5" x14ac:dyDescent="0.4"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7"/>
      <c r="AM930" s="15"/>
      <c r="AQ930" s="115"/>
      <c r="AR930" s="117"/>
      <c r="AS930" s="123"/>
      <c r="AT930" s="123"/>
      <c r="AU930" s="123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115"/>
      <c r="BF930" s="115"/>
      <c r="BG930" s="115"/>
      <c r="BH930" s="115"/>
      <c r="BI930" s="115"/>
      <c r="BJ930" s="25"/>
      <c r="BK930" s="15"/>
      <c r="BN930" s="114"/>
    </row>
    <row r="931" spans="6:66" ht="19.5" x14ac:dyDescent="0.4"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7"/>
      <c r="AM931" s="15"/>
      <c r="AQ931" s="115"/>
      <c r="AR931" s="117"/>
      <c r="AS931" s="123"/>
      <c r="AT931" s="123"/>
      <c r="AU931" s="123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115"/>
      <c r="BF931" s="115"/>
      <c r="BG931" s="115"/>
      <c r="BH931" s="115"/>
      <c r="BI931" s="115"/>
      <c r="BJ931" s="25"/>
      <c r="BK931" s="15"/>
      <c r="BN931" s="114"/>
    </row>
    <row r="932" spans="6:66" ht="19.5" x14ac:dyDescent="0.4">
      <c r="AL932" s="26"/>
      <c r="AM932" s="15"/>
      <c r="AQ932" s="115"/>
      <c r="AR932" s="117"/>
      <c r="AS932" s="123"/>
      <c r="AT932" s="123"/>
      <c r="AU932" s="123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115"/>
      <c r="BF932" s="115"/>
      <c r="BG932" s="115"/>
      <c r="BH932" s="115"/>
      <c r="BI932" s="115"/>
      <c r="BJ932" s="25">
        <v>45277</v>
      </c>
      <c r="BK932" s="15" t="s">
        <v>162</v>
      </c>
      <c r="BN932" s="114"/>
    </row>
    <row r="933" spans="6:66" ht="19.5" x14ac:dyDescent="0.4"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7"/>
      <c r="AM933" s="15"/>
      <c r="AQ933" s="115"/>
      <c r="AR933" s="117"/>
      <c r="AS933" s="123"/>
      <c r="AT933" s="123"/>
      <c r="AU933" s="123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115"/>
      <c r="BF933" s="115"/>
      <c r="BG933" s="115"/>
      <c r="BH933" s="115"/>
      <c r="BI933" s="115"/>
      <c r="BJ933" s="131"/>
      <c r="BK933" s="13"/>
      <c r="BN933" s="114"/>
    </row>
    <row r="934" spans="6:66" ht="19.5" x14ac:dyDescent="0.4">
      <c r="AL934" s="26"/>
      <c r="AM934" s="15"/>
      <c r="AQ934" s="115"/>
      <c r="AR934" s="117"/>
      <c r="AS934" s="123"/>
      <c r="AT934" s="123"/>
      <c r="AU934" s="123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115"/>
      <c r="BF934" s="115"/>
      <c r="BG934" s="115"/>
      <c r="BH934" s="115"/>
      <c r="BI934" s="115"/>
      <c r="BJ934" s="26">
        <v>45277</v>
      </c>
      <c r="BK934" s="13" t="s">
        <v>162</v>
      </c>
      <c r="BN934" s="114"/>
    </row>
    <row r="935" spans="6:66" ht="19.5" x14ac:dyDescent="0.4">
      <c r="AL935" s="26"/>
      <c r="AM935" s="15"/>
      <c r="AQ935" s="115"/>
      <c r="AR935" s="117"/>
      <c r="AS935" s="123"/>
      <c r="AT935" s="123"/>
      <c r="AU935" s="123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115"/>
      <c r="BF935" s="115"/>
      <c r="BG935" s="115"/>
      <c r="BH935" s="115"/>
      <c r="BI935" s="115"/>
      <c r="BJ935" s="26">
        <v>45277</v>
      </c>
      <c r="BK935" s="15" t="s">
        <v>162</v>
      </c>
      <c r="BN935" s="114"/>
    </row>
    <row r="936" spans="6:66" ht="19.5" x14ac:dyDescent="0.4"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  <c r="AK936" s="115"/>
      <c r="AL936" s="26"/>
      <c r="AM936" s="15"/>
      <c r="AQ936" s="115"/>
      <c r="AR936" s="117"/>
      <c r="AS936" s="123"/>
      <c r="AT936" s="123"/>
      <c r="AU936" s="123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115"/>
      <c r="BF936" s="115"/>
      <c r="BG936" s="115"/>
      <c r="BH936" s="115"/>
      <c r="BI936" s="115"/>
      <c r="BJ936" s="26"/>
      <c r="BK936" s="15"/>
      <c r="BN936" s="114"/>
    </row>
    <row r="937" spans="6:66" ht="19.5" x14ac:dyDescent="0.4">
      <c r="AL937" s="26"/>
      <c r="AM937" s="15"/>
      <c r="AQ937" s="115"/>
      <c r="AR937" s="117"/>
      <c r="AS937" s="123"/>
      <c r="AT937" s="123"/>
      <c r="AU937" s="123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115"/>
      <c r="BF937" s="115"/>
      <c r="BG937" s="115"/>
      <c r="BH937" s="115"/>
      <c r="BI937" s="115"/>
      <c r="BJ937" s="26">
        <v>45277</v>
      </c>
      <c r="BK937" s="15" t="s">
        <v>162</v>
      </c>
      <c r="BN937" s="114"/>
    </row>
    <row r="938" spans="6:66" ht="19.5" x14ac:dyDescent="0.4">
      <c r="AL938" s="26"/>
      <c r="AM938" s="15"/>
      <c r="AQ938" s="115"/>
      <c r="AR938" s="117"/>
      <c r="AS938" s="123"/>
      <c r="AT938" s="123"/>
      <c r="AU938" s="123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115"/>
      <c r="BF938" s="115"/>
      <c r="BG938" s="115"/>
      <c r="BH938" s="115"/>
      <c r="BI938" s="115" t="s">
        <v>160</v>
      </c>
      <c r="BJ938" s="17">
        <f>SUBTOTAL(3,BJ927:BJ937)</f>
        <v>5</v>
      </c>
      <c r="BK938" s="15">
        <f>SUBTOTAL(3,BK927:BK937)</f>
        <v>5</v>
      </c>
      <c r="BN938" s="114"/>
    </row>
    <row r="939" spans="6:66" ht="19.5" x14ac:dyDescent="0.4"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26"/>
      <c r="AM939" s="15"/>
      <c r="AQ939" s="115"/>
      <c r="AR939" s="117"/>
      <c r="AS939" s="123"/>
      <c r="AT939" s="123"/>
      <c r="AU939" s="123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115"/>
      <c r="BF939" s="115"/>
      <c r="BG939" s="115"/>
      <c r="BH939" s="115"/>
      <c r="BI939" s="115"/>
      <c r="BJ939" s="17"/>
      <c r="BK939" s="15"/>
      <c r="BN939" s="114"/>
    </row>
    <row r="940" spans="6:66" ht="19.5" x14ac:dyDescent="0.4"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26"/>
      <c r="AM940" s="15"/>
      <c r="AQ940" s="115"/>
      <c r="AR940" s="117"/>
      <c r="AS940" s="123"/>
      <c r="AT940" s="123"/>
      <c r="AU940" s="123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115"/>
      <c r="BF940" s="115"/>
      <c r="BG940" s="115"/>
      <c r="BH940" s="115"/>
      <c r="BI940" s="115"/>
      <c r="BJ940" s="17"/>
      <c r="BK940" s="15"/>
      <c r="BN940" s="114"/>
    </row>
    <row r="941" spans="6:66" ht="19.5" x14ac:dyDescent="0.4">
      <c r="AL941" s="26"/>
      <c r="AM941" s="15"/>
      <c r="AQ941" s="115"/>
      <c r="AR941" s="117"/>
      <c r="AS941" s="123"/>
      <c r="AT941" s="123"/>
      <c r="AU941" s="123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115"/>
      <c r="BF941" s="115"/>
      <c r="BG941" s="115"/>
      <c r="BH941" s="115"/>
      <c r="BI941" s="115"/>
      <c r="BJ941" s="26">
        <v>45278</v>
      </c>
      <c r="BK941" s="15" t="s">
        <v>164</v>
      </c>
      <c r="BN941" s="114"/>
    </row>
    <row r="942" spans="6:66" ht="19.5" x14ac:dyDescent="0.4">
      <c r="AL942" s="26"/>
      <c r="AM942" s="15"/>
      <c r="AQ942" s="115"/>
      <c r="AR942" s="117"/>
      <c r="AS942" s="123"/>
      <c r="AT942" s="123"/>
      <c r="AU942" s="123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115"/>
      <c r="BF942" s="115"/>
      <c r="BG942" s="115"/>
      <c r="BH942" s="115"/>
      <c r="BI942" s="115"/>
      <c r="BJ942" s="26">
        <v>45278</v>
      </c>
      <c r="BK942" s="15" t="s">
        <v>164</v>
      </c>
      <c r="BN942" s="114"/>
    </row>
    <row r="943" spans="6:66" ht="19.5" x14ac:dyDescent="0.4"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26"/>
      <c r="AM943" s="15"/>
      <c r="AQ943" s="115"/>
      <c r="AR943" s="117"/>
      <c r="AS943" s="123"/>
      <c r="AT943" s="123"/>
      <c r="AU943" s="123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115"/>
      <c r="BF943" s="115"/>
      <c r="BG943" s="115"/>
      <c r="BH943" s="115"/>
      <c r="BI943" s="115"/>
      <c r="BJ943" s="26"/>
      <c r="BK943" s="15"/>
      <c r="BN943" s="114"/>
    </row>
    <row r="944" spans="6:66" ht="19.5" x14ac:dyDescent="0.4">
      <c r="AL944" s="26"/>
      <c r="AM944" s="15"/>
      <c r="AQ944" s="115"/>
      <c r="AR944" s="117"/>
      <c r="AS944" s="123"/>
      <c r="AT944" s="123"/>
      <c r="AU944" s="123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115"/>
      <c r="BF944" s="115"/>
      <c r="BG944" s="115"/>
      <c r="BH944" s="115"/>
      <c r="BI944" s="115"/>
      <c r="BJ944" s="26">
        <v>45278</v>
      </c>
      <c r="BK944" s="15" t="s">
        <v>162</v>
      </c>
      <c r="BN944" s="114"/>
    </row>
    <row r="945" spans="6:66" ht="19.5" x14ac:dyDescent="0.4"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7"/>
      <c r="AM945" s="15"/>
      <c r="AQ945" s="115"/>
      <c r="AR945" s="117"/>
      <c r="AS945" s="123"/>
      <c r="AT945" s="123"/>
      <c r="AU945" s="123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115"/>
      <c r="BF945" s="115"/>
      <c r="BG945" s="115"/>
      <c r="BH945" s="115"/>
      <c r="BI945" s="115"/>
      <c r="BJ945" s="26"/>
      <c r="BK945" s="15"/>
      <c r="BN945" s="114"/>
    </row>
    <row r="946" spans="6:66" ht="19.5" x14ac:dyDescent="0.4"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26"/>
      <c r="AM946" s="15"/>
      <c r="AQ946" s="115"/>
      <c r="AR946" s="117"/>
      <c r="AS946" s="123"/>
      <c r="AT946" s="123"/>
      <c r="AU946" s="123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115"/>
      <c r="BF946" s="115"/>
      <c r="BG946" s="115"/>
      <c r="BH946" s="115"/>
      <c r="BI946" s="115"/>
      <c r="BJ946" s="26"/>
      <c r="BK946" s="15"/>
      <c r="BN946" s="114"/>
    </row>
    <row r="947" spans="6:66" ht="19.5" x14ac:dyDescent="0.4"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  <c r="AK947" s="115"/>
      <c r="AL947" s="17"/>
      <c r="AM947" s="15"/>
      <c r="AQ947" s="115"/>
      <c r="AR947" s="117"/>
      <c r="AS947" s="123"/>
      <c r="AT947" s="123"/>
      <c r="AU947" s="123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115"/>
      <c r="BF947" s="115"/>
      <c r="BG947" s="115"/>
      <c r="BH947" s="115"/>
      <c r="BI947" s="115"/>
      <c r="BJ947" s="26"/>
      <c r="BK947" s="15"/>
      <c r="BN947" s="114"/>
    </row>
    <row r="948" spans="6:66" ht="19.5" x14ac:dyDescent="0.4">
      <c r="AL948" s="26"/>
      <c r="AM948" s="15"/>
      <c r="AQ948" s="115"/>
      <c r="AR948" s="117"/>
      <c r="AS948" s="123"/>
      <c r="AT948" s="123"/>
      <c r="AU948" s="123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115"/>
      <c r="BF948" s="115"/>
      <c r="BG948" s="115"/>
      <c r="BH948" s="115"/>
      <c r="BI948" s="115"/>
      <c r="BJ948" s="26">
        <v>45278</v>
      </c>
      <c r="BK948" s="15" t="s">
        <v>142</v>
      </c>
      <c r="BN948" s="114"/>
    </row>
    <row r="949" spans="6:66" ht="19.5" x14ac:dyDescent="0.4">
      <c r="AL949" s="26"/>
      <c r="AM949" s="15"/>
      <c r="AQ949" s="115"/>
      <c r="AR949" s="117"/>
      <c r="AS949" s="123"/>
      <c r="AT949" s="123"/>
      <c r="AU949" s="123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115"/>
      <c r="BF949" s="115"/>
      <c r="BG949" s="115"/>
      <c r="BH949" s="115"/>
      <c r="BI949" s="115"/>
      <c r="BJ949" s="26">
        <v>45278</v>
      </c>
      <c r="BK949" s="15" t="s">
        <v>162</v>
      </c>
      <c r="BN949" s="114"/>
    </row>
    <row r="950" spans="6:66" ht="19.5" x14ac:dyDescent="0.4">
      <c r="AL950" s="26"/>
      <c r="AM950" s="15"/>
      <c r="AQ950" s="115"/>
      <c r="AR950" s="117"/>
      <c r="AS950" s="123"/>
      <c r="AT950" s="123"/>
      <c r="AU950" s="123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115"/>
      <c r="BF950" s="115"/>
      <c r="BG950" s="115"/>
      <c r="BH950" s="115"/>
      <c r="BI950" s="115"/>
      <c r="BJ950" s="26">
        <v>45278</v>
      </c>
      <c r="BK950" s="15" t="s">
        <v>162</v>
      </c>
      <c r="BN950" s="114"/>
    </row>
    <row r="951" spans="6:66" ht="19.5" x14ac:dyDescent="0.4">
      <c r="AC951" s="115"/>
      <c r="AD951" s="115"/>
      <c r="AE951" s="115"/>
      <c r="AF951" s="115"/>
      <c r="AG951" s="115"/>
      <c r="AH951" s="115"/>
      <c r="AI951" s="115"/>
      <c r="AJ951" s="115"/>
      <c r="AK951" s="115"/>
      <c r="AL951" s="17"/>
      <c r="AM951" s="15"/>
      <c r="AQ951" s="115"/>
      <c r="AR951" s="117"/>
      <c r="AS951" s="123"/>
      <c r="AT951" s="123"/>
      <c r="AU951" s="123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115"/>
      <c r="BF951" s="115"/>
      <c r="BG951" s="115"/>
      <c r="BH951" s="115"/>
      <c r="BI951" s="115"/>
      <c r="BJ951" s="26"/>
      <c r="BK951" s="15"/>
      <c r="BN951" s="114"/>
    </row>
    <row r="952" spans="6:66" ht="19.5" x14ac:dyDescent="0.4"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26"/>
      <c r="AM952" s="15"/>
      <c r="AQ952" s="115"/>
      <c r="AR952" s="117"/>
      <c r="AS952" s="123"/>
      <c r="AT952" s="123"/>
      <c r="AU952" s="123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115"/>
      <c r="BF952" s="115"/>
      <c r="BG952" s="115"/>
      <c r="BH952" s="115"/>
      <c r="BI952" s="115"/>
      <c r="BJ952" s="26"/>
      <c r="BK952" s="15"/>
      <c r="BN952" s="114"/>
    </row>
    <row r="953" spans="6:66" ht="19.5" x14ac:dyDescent="0.4"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  <c r="AK953" s="115"/>
      <c r="AL953" s="26"/>
      <c r="AM953" s="15"/>
      <c r="AQ953" s="115"/>
      <c r="AR953" s="117"/>
      <c r="AS953" s="123"/>
      <c r="AT953" s="123"/>
      <c r="AU953" s="123"/>
      <c r="AV953" s="115"/>
      <c r="AW953" s="115"/>
      <c r="AX953" s="115"/>
      <c r="AY953" s="115"/>
      <c r="AZ953" s="115"/>
      <c r="BA953" s="115"/>
      <c r="BB953" s="115"/>
      <c r="BC953" s="115"/>
      <c r="BD953" s="115"/>
      <c r="BE953" s="115"/>
      <c r="BF953" s="115"/>
      <c r="BG953" s="115"/>
      <c r="BH953" s="115"/>
      <c r="BI953" s="115"/>
      <c r="BJ953" s="26"/>
      <c r="BK953" s="15"/>
      <c r="BN953" s="114"/>
    </row>
    <row r="954" spans="6:66" ht="19.5" x14ac:dyDescent="0.4"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  <c r="AK954" s="115"/>
      <c r="AL954" s="17"/>
      <c r="AM954" s="15"/>
      <c r="AQ954" s="115"/>
      <c r="AR954" s="117"/>
      <c r="AS954" s="123"/>
      <c r="AT954" s="123"/>
      <c r="AU954" s="123"/>
      <c r="AV954" s="115"/>
      <c r="AW954" s="115"/>
      <c r="AX954" s="115"/>
      <c r="AY954" s="115"/>
      <c r="AZ954" s="115"/>
      <c r="BA954" s="115"/>
      <c r="BB954" s="115"/>
      <c r="BC954" s="115"/>
      <c r="BD954" s="115"/>
      <c r="BE954" s="115"/>
      <c r="BF954" s="115"/>
      <c r="BG954" s="115"/>
      <c r="BH954" s="115"/>
      <c r="BI954" s="115"/>
      <c r="BJ954" s="26"/>
      <c r="BK954" s="15"/>
      <c r="BN954" s="114"/>
    </row>
    <row r="955" spans="6:66" ht="19.5" x14ac:dyDescent="0.4"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26"/>
      <c r="AM955" s="15"/>
      <c r="AQ955" s="115"/>
      <c r="AR955" s="117"/>
      <c r="AS955" s="123"/>
      <c r="AT955" s="123"/>
      <c r="AU955" s="123"/>
      <c r="AV955" s="115"/>
      <c r="AW955" s="115"/>
      <c r="AX955" s="115"/>
      <c r="AY955" s="115"/>
      <c r="AZ955" s="115"/>
      <c r="BA955" s="115"/>
      <c r="BB955" s="115"/>
      <c r="BC955" s="115"/>
      <c r="BD955" s="115"/>
      <c r="BE955" s="115"/>
      <c r="BF955" s="115"/>
      <c r="BG955" s="115"/>
      <c r="BH955" s="115"/>
      <c r="BI955" s="115"/>
      <c r="BJ955" s="26"/>
      <c r="BK955" s="15"/>
      <c r="BN955" s="114"/>
    </row>
    <row r="956" spans="6:66" ht="19.5" x14ac:dyDescent="0.4">
      <c r="AL956" s="26"/>
      <c r="AM956" s="15"/>
      <c r="AQ956" s="115"/>
      <c r="AR956" s="117"/>
      <c r="AS956" s="123"/>
      <c r="AT956" s="123"/>
      <c r="AU956" s="123"/>
      <c r="AV956" s="115"/>
      <c r="AW956" s="115"/>
      <c r="AX956" s="115"/>
      <c r="AY956" s="115"/>
      <c r="AZ956" s="115"/>
      <c r="BA956" s="115"/>
      <c r="BB956" s="115"/>
      <c r="BC956" s="115"/>
      <c r="BD956" s="115"/>
      <c r="BE956" s="115"/>
      <c r="BF956" s="115"/>
      <c r="BG956" s="115"/>
      <c r="BH956" s="115"/>
      <c r="BI956" s="115"/>
      <c r="BJ956" s="26">
        <v>45278</v>
      </c>
      <c r="BK956" s="15" t="s">
        <v>162</v>
      </c>
      <c r="BN956" s="114"/>
    </row>
    <row r="957" spans="6:66" ht="19.5" x14ac:dyDescent="0.4"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26"/>
      <c r="AM957" s="15"/>
      <c r="AQ957" s="115"/>
      <c r="AR957" s="117"/>
      <c r="AS957" s="123"/>
      <c r="AT957" s="123"/>
      <c r="AU957" s="123"/>
      <c r="AV957" s="115"/>
      <c r="AW957" s="115"/>
      <c r="AX957" s="115"/>
      <c r="AY957" s="115"/>
      <c r="AZ957" s="115"/>
      <c r="BA957" s="115"/>
      <c r="BB957" s="115"/>
      <c r="BC957" s="115"/>
      <c r="BD957" s="115"/>
      <c r="BE957" s="115"/>
      <c r="BF957" s="115"/>
      <c r="BG957" s="115"/>
      <c r="BH957" s="115"/>
      <c r="BI957" s="115"/>
      <c r="BJ957" s="26"/>
      <c r="BK957" s="15"/>
      <c r="BN957" s="114"/>
    </row>
    <row r="958" spans="6:66" ht="19.5" x14ac:dyDescent="0.4">
      <c r="AL958" s="26"/>
      <c r="AM958" s="15"/>
      <c r="AQ958" s="115"/>
      <c r="AR958" s="117"/>
      <c r="AS958" s="123"/>
      <c r="AT958" s="123"/>
      <c r="AU958" s="123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115"/>
      <c r="BF958" s="115"/>
      <c r="BG958" s="115"/>
      <c r="BH958" s="115"/>
      <c r="BI958" s="115"/>
      <c r="BJ958" s="26">
        <v>45278</v>
      </c>
      <c r="BK958" s="15" t="s">
        <v>163</v>
      </c>
      <c r="BN958" s="114"/>
    </row>
    <row r="959" spans="6:66" ht="19.5" x14ac:dyDescent="0.4">
      <c r="AL959" s="26"/>
      <c r="AM959" s="15"/>
      <c r="AQ959" s="115"/>
      <c r="AR959" s="117"/>
      <c r="AS959" s="123"/>
      <c r="AT959" s="123"/>
      <c r="AU959" s="123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115"/>
      <c r="BF959" s="115"/>
      <c r="BG959" s="115"/>
      <c r="BH959" s="115"/>
      <c r="BI959" s="115"/>
      <c r="BJ959" s="26">
        <v>45278</v>
      </c>
      <c r="BK959" s="105" t="s">
        <v>163</v>
      </c>
      <c r="BN959" s="114"/>
    </row>
    <row r="960" spans="6:66" ht="19.5" x14ac:dyDescent="0.4">
      <c r="AL960" s="25"/>
      <c r="AM960" s="13"/>
      <c r="AQ960" s="115"/>
      <c r="AR960" s="117"/>
      <c r="AS960" s="123"/>
      <c r="AT960" s="123"/>
      <c r="AU960" s="123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115"/>
      <c r="BF960" s="115"/>
      <c r="BG960" s="115"/>
      <c r="BH960" s="115"/>
      <c r="BI960" s="115"/>
      <c r="BJ960" s="26">
        <v>45278</v>
      </c>
      <c r="BK960" s="15" t="s">
        <v>163</v>
      </c>
      <c r="BN960" s="114"/>
    </row>
    <row r="961" spans="6:66" ht="19.5" x14ac:dyDescent="0.4"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25"/>
      <c r="AM961" s="13"/>
      <c r="AQ961" s="115"/>
      <c r="AR961" s="117"/>
      <c r="AS961" s="123"/>
      <c r="AT961" s="123"/>
      <c r="AU961" s="123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115"/>
      <c r="BF961" s="115"/>
      <c r="BG961" s="115"/>
      <c r="BH961" s="115"/>
      <c r="BI961" s="115"/>
      <c r="BJ961" s="26"/>
      <c r="BK961" s="15"/>
      <c r="BN961" s="114"/>
    </row>
    <row r="962" spans="6:66" ht="19.5" x14ac:dyDescent="0.4"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25"/>
      <c r="AM962" s="13"/>
      <c r="AQ962" s="115"/>
      <c r="AR962" s="117"/>
      <c r="AS962" s="123"/>
      <c r="AT962" s="123"/>
      <c r="AU962" s="123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115"/>
      <c r="BF962" s="115"/>
      <c r="BG962" s="115"/>
      <c r="BH962" s="115"/>
      <c r="BI962" s="115"/>
      <c r="BJ962" s="26"/>
      <c r="BK962" s="15"/>
      <c r="BN962" s="114"/>
    </row>
    <row r="963" spans="6:66" ht="19.5" x14ac:dyDescent="0.4"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  <c r="AK963" s="115"/>
      <c r="AL963" s="25"/>
      <c r="AM963" s="13"/>
      <c r="AQ963" s="115"/>
      <c r="AR963" s="117"/>
      <c r="AS963" s="123"/>
      <c r="AT963" s="123"/>
      <c r="AU963" s="123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115"/>
      <c r="BF963" s="115"/>
      <c r="BG963" s="115"/>
      <c r="BH963" s="115"/>
      <c r="BI963" s="115"/>
      <c r="BJ963" s="26"/>
      <c r="BK963" s="15"/>
      <c r="BN963" s="114"/>
    </row>
    <row r="964" spans="6:66" ht="19.5" x14ac:dyDescent="0.4"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25"/>
      <c r="AM964" s="13"/>
      <c r="AQ964" s="115"/>
      <c r="AR964" s="117"/>
      <c r="AS964" s="123"/>
      <c r="AT964" s="123"/>
      <c r="AU964" s="123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115"/>
      <c r="BF964" s="115"/>
      <c r="BG964" s="115"/>
      <c r="BH964" s="115"/>
      <c r="BI964" s="115"/>
      <c r="BJ964" s="26"/>
      <c r="BK964" s="15"/>
      <c r="BN964" s="114"/>
    </row>
    <row r="965" spans="6:66" ht="19.5" x14ac:dyDescent="0.4"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25"/>
      <c r="AM965" s="13"/>
      <c r="AQ965" s="115"/>
      <c r="AR965" s="117"/>
      <c r="AS965" s="123"/>
      <c r="AT965" s="123"/>
      <c r="AU965" s="123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115"/>
      <c r="BF965" s="115"/>
      <c r="BG965" s="115"/>
      <c r="BH965" s="115"/>
      <c r="BI965" s="115"/>
      <c r="BJ965" s="26"/>
      <c r="BK965" s="15"/>
      <c r="BN965" s="114"/>
    </row>
    <row r="966" spans="6:66" ht="19.5" x14ac:dyDescent="0.4"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25"/>
      <c r="AM966" s="13"/>
      <c r="AQ966" s="115"/>
      <c r="AR966" s="117"/>
      <c r="AS966" s="123"/>
      <c r="AT966" s="123"/>
      <c r="AU966" s="123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115"/>
      <c r="BF966" s="115"/>
      <c r="BG966" s="115"/>
      <c r="BH966" s="115"/>
      <c r="BI966" s="115"/>
      <c r="BJ966" s="26"/>
      <c r="BK966" s="15"/>
      <c r="BN966" s="114"/>
    </row>
    <row r="967" spans="6:66" ht="19.5" x14ac:dyDescent="0.4">
      <c r="AL967" s="25"/>
      <c r="AM967" s="13"/>
      <c r="AQ967" s="115"/>
      <c r="AR967" s="117"/>
      <c r="AS967" s="123"/>
      <c r="AT967" s="123"/>
      <c r="AU967" s="123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115"/>
      <c r="BF967" s="115"/>
      <c r="BG967" s="115"/>
      <c r="BH967" s="115"/>
      <c r="BI967" s="115"/>
      <c r="BJ967" s="26">
        <v>45278</v>
      </c>
      <c r="BK967" s="15" t="s">
        <v>163</v>
      </c>
      <c r="BN967" s="114"/>
    </row>
    <row r="968" spans="6:66" ht="19.5" x14ac:dyDescent="0.4">
      <c r="AL968" s="25"/>
      <c r="AM968" s="13"/>
      <c r="AQ968" s="115"/>
      <c r="AR968" s="117"/>
      <c r="AS968" s="123"/>
      <c r="AT968" s="123"/>
      <c r="AU968" s="123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115"/>
      <c r="BF968" s="115"/>
      <c r="BG968" s="115"/>
      <c r="BH968" s="115"/>
      <c r="BI968" s="115"/>
      <c r="BJ968" s="26"/>
      <c r="BK968" s="15"/>
      <c r="BN968" s="114"/>
    </row>
    <row r="969" spans="6:66" ht="19.5" x14ac:dyDescent="0.4"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3"/>
      <c r="AM969" s="13"/>
      <c r="AQ969" s="115"/>
      <c r="AR969" s="117"/>
      <c r="AS969" s="123"/>
      <c r="AT969" s="123"/>
      <c r="AU969" s="123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115"/>
      <c r="BF969" s="115"/>
      <c r="BG969" s="115"/>
      <c r="BH969" s="115"/>
      <c r="BI969" s="115"/>
      <c r="BJ969" s="26"/>
      <c r="BK969" s="15"/>
      <c r="BN969" s="114"/>
    </row>
    <row r="970" spans="6:66" ht="19.5" x14ac:dyDescent="0.4">
      <c r="AL970" s="25"/>
      <c r="AM970" s="13"/>
      <c r="AQ970" s="115"/>
      <c r="AR970" s="117"/>
      <c r="AS970" s="123"/>
      <c r="AT970" s="123"/>
      <c r="AU970" s="123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115"/>
      <c r="BF970" s="115"/>
      <c r="BG970" s="115"/>
      <c r="BH970" s="115"/>
      <c r="BI970" s="115"/>
      <c r="BJ970" s="26">
        <v>45278</v>
      </c>
      <c r="BK970" s="15" t="s">
        <v>163</v>
      </c>
      <c r="BN970" s="114"/>
    </row>
    <row r="971" spans="6:66" ht="19.5" x14ac:dyDescent="0.4"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3"/>
      <c r="AM971" s="13"/>
      <c r="AQ971" s="115"/>
      <c r="AR971" s="117"/>
      <c r="AS971" s="123"/>
      <c r="AT971" s="123"/>
      <c r="AU971" s="123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115"/>
      <c r="BF971" s="115"/>
      <c r="BG971" s="115"/>
      <c r="BH971" s="115"/>
      <c r="BI971" s="115"/>
      <c r="BJ971" s="26"/>
      <c r="BK971" s="13"/>
      <c r="BN971" s="114"/>
    </row>
    <row r="972" spans="6:66" ht="19.5" x14ac:dyDescent="0.4">
      <c r="AL972" s="25"/>
      <c r="AM972" s="13"/>
      <c r="AQ972" s="115"/>
      <c r="AR972" s="117"/>
      <c r="AS972" s="123"/>
      <c r="AT972" s="123"/>
      <c r="AU972" s="123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115"/>
      <c r="BF972" s="115"/>
      <c r="BG972" s="115"/>
      <c r="BH972" s="115"/>
      <c r="BI972" s="115" t="s">
        <v>153</v>
      </c>
      <c r="BJ972" s="17">
        <f>SUBTOTAL(3,BJ941:BJ970)</f>
        <v>12</v>
      </c>
      <c r="BK972" s="13">
        <f>SUBTOTAL(3,BK941:BK970)</f>
        <v>12</v>
      </c>
      <c r="BN972" s="114"/>
    </row>
    <row r="973" spans="6:66" ht="19.5" x14ac:dyDescent="0.4"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3"/>
      <c r="AM973" s="13"/>
      <c r="AQ973" s="115"/>
      <c r="AR973" s="117"/>
      <c r="AS973" s="123"/>
      <c r="AT973" s="123"/>
      <c r="AU973" s="123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115"/>
      <c r="BF973" s="115"/>
      <c r="BG973" s="115"/>
      <c r="BH973" s="115"/>
      <c r="BI973" s="115"/>
      <c r="BJ973" s="17"/>
      <c r="BK973" s="13"/>
      <c r="BN973" s="114"/>
    </row>
    <row r="974" spans="6:66" ht="19.5" x14ac:dyDescent="0.4">
      <c r="AL974" s="25"/>
      <c r="AM974" s="13"/>
      <c r="AQ974" s="115"/>
      <c r="AR974" s="117"/>
      <c r="AS974" s="123"/>
      <c r="AT974" s="123"/>
      <c r="AU974" s="123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115"/>
      <c r="BF974" s="115"/>
      <c r="BG974" s="115"/>
      <c r="BH974" s="115"/>
      <c r="BI974" s="115"/>
      <c r="BJ974" s="26">
        <v>45279</v>
      </c>
      <c r="BK974" s="25" t="s">
        <v>162</v>
      </c>
      <c r="BN974" s="114"/>
    </row>
    <row r="975" spans="6:66" ht="19.5" x14ac:dyDescent="0.4">
      <c r="AL975" s="25"/>
      <c r="AM975" s="13"/>
      <c r="AQ975" s="115"/>
      <c r="AR975" s="117"/>
      <c r="AS975" s="123"/>
      <c r="AT975" s="123"/>
      <c r="AU975" s="123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115"/>
      <c r="BF975" s="115"/>
      <c r="BG975" s="115"/>
      <c r="BH975" s="115"/>
      <c r="BI975" s="115"/>
      <c r="BJ975" s="26">
        <v>45279</v>
      </c>
      <c r="BK975" s="13" t="s">
        <v>162</v>
      </c>
      <c r="BN975" s="114"/>
    </row>
    <row r="976" spans="6:66" ht="19.5" x14ac:dyDescent="0.4"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20"/>
      <c r="AM976" s="13"/>
      <c r="AQ976" s="115"/>
      <c r="AR976" s="117"/>
      <c r="AS976" s="123"/>
      <c r="AT976" s="123"/>
      <c r="AU976" s="123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115"/>
      <c r="BF976" s="115"/>
      <c r="BG976" s="115"/>
      <c r="BH976" s="115"/>
      <c r="BI976" s="115"/>
      <c r="BJ976" s="26"/>
      <c r="BK976" s="13"/>
      <c r="BN976" s="114"/>
    </row>
    <row r="977" spans="29:66" ht="19.5" x14ac:dyDescent="0.4"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20"/>
      <c r="AM977" s="13"/>
      <c r="AQ977" s="115"/>
      <c r="AR977" s="117"/>
      <c r="AS977" s="123"/>
      <c r="AT977" s="123"/>
      <c r="AU977" s="123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115"/>
      <c r="BF977" s="115"/>
      <c r="BG977" s="115"/>
      <c r="BH977" s="115"/>
      <c r="BI977" s="115"/>
      <c r="BJ977" s="26"/>
      <c r="BK977" s="13"/>
      <c r="BN977" s="114"/>
    </row>
    <row r="978" spans="29:66" ht="19.5" x14ac:dyDescent="0.4">
      <c r="AL978" s="26"/>
      <c r="AM978" s="13"/>
      <c r="AQ978" s="115"/>
      <c r="AR978" s="117"/>
      <c r="AS978" s="123"/>
      <c r="AT978" s="123"/>
      <c r="AU978" s="123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115"/>
      <c r="BF978" s="115"/>
      <c r="BG978" s="115"/>
      <c r="BH978" s="115"/>
      <c r="BI978" s="115"/>
      <c r="BJ978" s="26">
        <v>45279</v>
      </c>
      <c r="BK978" s="13" t="s">
        <v>162</v>
      </c>
      <c r="BN978" s="114"/>
    </row>
    <row r="979" spans="29:66" ht="19.5" x14ac:dyDescent="0.4">
      <c r="AL979" s="26"/>
      <c r="AM979" s="13"/>
      <c r="AQ979" s="115"/>
      <c r="AR979" s="117"/>
      <c r="AS979" s="123"/>
      <c r="AT979" s="123"/>
      <c r="AU979" s="123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115"/>
      <c r="BF979" s="115"/>
      <c r="BG979" s="115"/>
      <c r="BH979" s="115"/>
      <c r="BI979" s="115"/>
      <c r="BJ979" s="26">
        <v>45279</v>
      </c>
      <c r="BK979" s="13" t="s">
        <v>162</v>
      </c>
      <c r="BN979" s="114"/>
    </row>
    <row r="980" spans="29:66" ht="19.5" x14ac:dyDescent="0.4">
      <c r="AL980" s="129"/>
      <c r="AM980" s="13"/>
      <c r="AQ980" s="115"/>
      <c r="AR980" s="117"/>
      <c r="AS980" s="123"/>
      <c r="AT980" s="123"/>
      <c r="AU980" s="123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115"/>
      <c r="BF980" s="115"/>
      <c r="BG980" s="115"/>
      <c r="BH980" s="115"/>
      <c r="BI980" s="115"/>
      <c r="BJ980" s="26"/>
      <c r="BK980" s="13"/>
      <c r="BN980" s="114"/>
    </row>
    <row r="981" spans="29:66" ht="19.5" x14ac:dyDescent="0.4">
      <c r="AL981" s="26"/>
      <c r="AM981" s="13"/>
      <c r="AQ981" s="115"/>
      <c r="AR981" s="117"/>
      <c r="AS981" s="123"/>
      <c r="AT981" s="123"/>
      <c r="AU981" s="123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115"/>
      <c r="BF981" s="115"/>
      <c r="BG981" s="115"/>
      <c r="BH981" s="115"/>
      <c r="BI981" s="115"/>
      <c r="BJ981" s="26">
        <v>45279</v>
      </c>
      <c r="BK981" s="13" t="s">
        <v>162</v>
      </c>
      <c r="BN981" s="114"/>
    </row>
    <row r="982" spans="29:66" ht="19.5" x14ac:dyDescent="0.4">
      <c r="AL982" s="26"/>
      <c r="AM982" s="13"/>
      <c r="AQ982" s="115"/>
      <c r="AR982" s="117"/>
      <c r="AS982" s="123"/>
      <c r="AT982" s="123"/>
      <c r="AU982" s="123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115"/>
      <c r="BF982" s="115"/>
      <c r="BG982" s="115"/>
      <c r="BH982" s="115"/>
      <c r="BI982" s="115"/>
      <c r="BJ982" s="26">
        <v>45279</v>
      </c>
      <c r="BK982" s="13" t="s">
        <v>162</v>
      </c>
      <c r="BN982" s="114"/>
    </row>
    <row r="983" spans="29:66" ht="19.5" x14ac:dyDescent="0.4">
      <c r="AL983" s="26"/>
      <c r="AM983" s="13"/>
      <c r="AQ983" s="115"/>
      <c r="AR983" s="117"/>
      <c r="AS983" s="123"/>
      <c r="AT983" s="123"/>
      <c r="AU983" s="123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115"/>
      <c r="BF983" s="115"/>
      <c r="BG983" s="115"/>
      <c r="BH983" s="115"/>
      <c r="BI983" s="115" t="s">
        <v>170</v>
      </c>
      <c r="BJ983" s="17">
        <f>SUBTOTAL(3,BJ974:BJ982)</f>
        <v>6</v>
      </c>
      <c r="BK983" s="13">
        <f>SUBTOTAL(3,BK974:BK982)</f>
        <v>6</v>
      </c>
      <c r="BN983" s="114"/>
    </row>
    <row r="984" spans="29:66" ht="19.5" x14ac:dyDescent="0.4">
      <c r="AL984" s="129"/>
      <c r="AM984" s="13"/>
      <c r="AQ984" s="115"/>
      <c r="AR984" s="117"/>
      <c r="AS984" s="123"/>
      <c r="AT984" s="123"/>
      <c r="AU984" s="123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115"/>
      <c r="BF984" s="115"/>
      <c r="BG984" s="115"/>
      <c r="BH984" s="115"/>
      <c r="BI984" s="115"/>
      <c r="BJ984" s="17"/>
      <c r="BK984" s="13"/>
      <c r="BN984" s="114"/>
    </row>
    <row r="985" spans="29:66" ht="19.5" x14ac:dyDescent="0.4">
      <c r="AL985" s="26"/>
      <c r="AM985" s="13"/>
      <c r="AQ985" s="115"/>
      <c r="AR985" s="117"/>
      <c r="AS985" s="123"/>
      <c r="AT985" s="123"/>
      <c r="AU985" s="123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115"/>
      <c r="BF985" s="115"/>
      <c r="BG985" s="115"/>
      <c r="BH985" s="115"/>
      <c r="BI985" s="115"/>
      <c r="BJ985" s="26">
        <v>45280</v>
      </c>
      <c r="BK985" s="13" t="s">
        <v>162</v>
      </c>
      <c r="BN985" s="114"/>
    </row>
    <row r="986" spans="29:66" ht="19.5" x14ac:dyDescent="0.4">
      <c r="AL986" s="26"/>
      <c r="AM986" s="13"/>
      <c r="AQ986" s="115"/>
      <c r="AR986" s="116"/>
      <c r="AS986" s="123"/>
      <c r="AT986" s="123"/>
      <c r="AU986" s="123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115"/>
      <c r="BF986" s="115"/>
      <c r="BG986" s="115"/>
      <c r="BH986" s="115"/>
      <c r="BI986" s="115"/>
      <c r="BJ986" s="26">
        <v>45280</v>
      </c>
      <c r="BK986" s="13" t="s">
        <v>162</v>
      </c>
      <c r="BN986" s="114"/>
    </row>
    <row r="987" spans="29:66" ht="19.5" x14ac:dyDescent="0.4">
      <c r="AL987" s="26"/>
      <c r="AM987" s="13"/>
      <c r="AQ987" s="115"/>
      <c r="AR987" s="116"/>
      <c r="AS987" s="123"/>
      <c r="AT987" s="123"/>
      <c r="AU987" s="123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115"/>
      <c r="BF987" s="115"/>
      <c r="BG987" s="115"/>
      <c r="BH987" s="115"/>
      <c r="BI987" s="115"/>
      <c r="BJ987" s="26">
        <v>45280</v>
      </c>
      <c r="BK987" s="13" t="s">
        <v>162</v>
      </c>
      <c r="BN987" s="114"/>
    </row>
    <row r="988" spans="29:66" ht="19.5" x14ac:dyDescent="0.4">
      <c r="AL988" s="26"/>
      <c r="AM988" s="13"/>
      <c r="AQ988" s="115"/>
      <c r="AR988" s="116"/>
      <c r="AS988" s="123"/>
      <c r="AT988" s="123"/>
      <c r="AU988" s="123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115"/>
      <c r="BF988" s="115"/>
      <c r="BG988" s="115"/>
      <c r="BH988" s="115"/>
      <c r="BI988" s="115"/>
      <c r="BJ988" s="26">
        <v>45280</v>
      </c>
      <c r="BK988" s="13" t="s">
        <v>162</v>
      </c>
      <c r="BN988" s="114"/>
    </row>
    <row r="989" spans="29:66" ht="19.5" x14ac:dyDescent="0.4">
      <c r="AL989" s="129"/>
      <c r="AM989" s="13"/>
      <c r="AQ989" s="115"/>
      <c r="AR989" s="116"/>
      <c r="AS989" s="123"/>
      <c r="AT989" s="123"/>
      <c r="AU989" s="123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115"/>
      <c r="BF989" s="115"/>
      <c r="BG989" s="115"/>
      <c r="BH989" s="115"/>
      <c r="BI989" s="115"/>
      <c r="BJ989" s="26"/>
      <c r="BK989" s="13"/>
      <c r="BN989" s="114"/>
    </row>
    <row r="990" spans="29:66" ht="19.5" x14ac:dyDescent="0.4">
      <c r="AL990" s="26"/>
      <c r="AM990" s="13"/>
      <c r="AQ990" s="115"/>
      <c r="AR990" s="116"/>
      <c r="AS990" s="123"/>
      <c r="AT990" s="123"/>
      <c r="AU990" s="123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115"/>
      <c r="BF990" s="115"/>
      <c r="BG990" s="115"/>
      <c r="BH990" s="115"/>
      <c r="BI990" s="115"/>
      <c r="BJ990" s="26">
        <v>45280</v>
      </c>
      <c r="BK990" s="13" t="s">
        <v>162</v>
      </c>
      <c r="BN990" s="114"/>
    </row>
    <row r="991" spans="29:66" ht="19.5" x14ac:dyDescent="0.4">
      <c r="AL991" s="130"/>
      <c r="AM991" s="119"/>
      <c r="AQ991" s="115"/>
      <c r="AR991" s="116"/>
      <c r="AS991" s="123"/>
      <c r="AT991" s="123"/>
      <c r="AU991" s="123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115"/>
      <c r="BF991" s="115"/>
      <c r="BG991" s="115"/>
      <c r="BH991" s="115"/>
      <c r="BI991" s="115"/>
      <c r="BJ991" s="26"/>
      <c r="BK991" s="13"/>
      <c r="BN991" s="114"/>
    </row>
    <row r="992" spans="29:66" ht="19.5" x14ac:dyDescent="0.4">
      <c r="AL992" s="130"/>
      <c r="AM992" s="119"/>
      <c r="AQ992" s="115"/>
      <c r="AR992" s="116"/>
      <c r="AS992" s="123"/>
      <c r="AT992" s="123"/>
      <c r="AU992" s="123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115"/>
      <c r="BF992" s="115"/>
      <c r="BG992" s="115"/>
      <c r="BH992" s="115"/>
      <c r="BI992" s="115"/>
      <c r="BJ992" s="26"/>
      <c r="BK992" s="13"/>
      <c r="BN992" s="114"/>
    </row>
    <row r="993" spans="40:66" ht="19.5" x14ac:dyDescent="0.4">
      <c r="AQ993" s="115"/>
      <c r="AR993" s="116"/>
      <c r="AS993" s="123"/>
      <c r="AT993" s="123"/>
      <c r="AU993" s="123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115"/>
      <c r="BF993" s="115"/>
      <c r="BG993" s="115"/>
      <c r="BH993" s="115"/>
      <c r="BI993" s="115"/>
      <c r="BJ993" s="26">
        <v>45280</v>
      </c>
      <c r="BK993" s="13" t="s">
        <v>162</v>
      </c>
      <c r="BN993" s="114"/>
    </row>
    <row r="994" spans="40:66" ht="19.5" x14ac:dyDescent="0.4">
      <c r="AQ994" s="115"/>
      <c r="AR994" s="116"/>
      <c r="AS994" s="123"/>
      <c r="AT994" s="123"/>
      <c r="AU994" s="123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115"/>
      <c r="BF994" s="115"/>
      <c r="BG994" s="115"/>
      <c r="BH994" s="115"/>
      <c r="BI994" s="115"/>
      <c r="BJ994" s="26">
        <v>45280</v>
      </c>
      <c r="BK994" s="13" t="s">
        <v>162</v>
      </c>
      <c r="BN994" s="114"/>
    </row>
    <row r="995" spans="40:66" ht="19.5" x14ac:dyDescent="0.4">
      <c r="AQ995" s="115"/>
      <c r="AR995" s="116"/>
      <c r="AS995" s="123"/>
      <c r="AT995" s="123"/>
      <c r="AU995" s="123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115"/>
      <c r="BF995" s="115"/>
      <c r="BG995" s="115"/>
      <c r="BH995" s="115"/>
      <c r="BI995" s="115"/>
      <c r="BJ995" s="26">
        <v>45280</v>
      </c>
      <c r="BK995" s="13" t="s">
        <v>162</v>
      </c>
      <c r="BN995" s="114"/>
    </row>
    <row r="996" spans="40:66" ht="19.5" x14ac:dyDescent="0.4">
      <c r="AP996" s="115"/>
      <c r="AQ996" s="115"/>
      <c r="AR996" s="116"/>
      <c r="AS996" s="123"/>
      <c r="AT996" s="123"/>
      <c r="AU996" s="123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115"/>
      <c r="BF996" s="115"/>
      <c r="BG996" s="115"/>
      <c r="BH996" s="115"/>
      <c r="BI996" s="115"/>
      <c r="BJ996" s="26">
        <v>45280</v>
      </c>
      <c r="BK996" s="13" t="s">
        <v>162</v>
      </c>
      <c r="BN996" s="114"/>
    </row>
    <row r="997" spans="40:66" ht="19.5" x14ac:dyDescent="0.4">
      <c r="AP997" s="115"/>
      <c r="AQ997" s="115"/>
      <c r="AR997" s="116"/>
      <c r="AS997" s="123"/>
      <c r="AT997" s="123"/>
      <c r="AU997" s="123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115"/>
      <c r="BF997" s="115"/>
      <c r="BG997" s="115"/>
      <c r="BH997" s="115"/>
      <c r="BI997" s="115"/>
      <c r="BJ997" s="26">
        <v>45280</v>
      </c>
      <c r="BK997" s="13" t="s">
        <v>162</v>
      </c>
      <c r="BN997" s="114"/>
    </row>
    <row r="998" spans="40:66" ht="19.5" x14ac:dyDescent="0.4">
      <c r="AN998" s="115"/>
      <c r="AO998" s="115"/>
      <c r="AP998" s="115"/>
      <c r="AQ998" s="115"/>
      <c r="AR998" s="116"/>
      <c r="AS998" s="123"/>
      <c r="AT998" s="123"/>
      <c r="AU998" s="123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115"/>
      <c r="BF998" s="115"/>
      <c r="BG998" s="115"/>
      <c r="BH998" s="115"/>
      <c r="BI998" s="115"/>
      <c r="BJ998" s="26">
        <v>45280</v>
      </c>
      <c r="BK998" s="13" t="s">
        <v>162</v>
      </c>
      <c r="BN998" s="114"/>
    </row>
    <row r="999" spans="40:66" x14ac:dyDescent="0.4">
      <c r="AN999" s="115"/>
      <c r="AO999" s="115"/>
      <c r="AP999" s="115"/>
      <c r="AQ999" s="115"/>
      <c r="AR999" s="115"/>
      <c r="AS999" s="122"/>
      <c r="AT999" s="122"/>
      <c r="AU999" s="122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115"/>
      <c r="BF999" s="115"/>
      <c r="BG999" s="115"/>
      <c r="BH999" s="115"/>
      <c r="BI999" s="115"/>
      <c r="BJ999" s="26">
        <v>45280</v>
      </c>
      <c r="BK999" s="13" t="s">
        <v>162</v>
      </c>
      <c r="BN999" s="114"/>
    </row>
    <row r="1000" spans="40:66" x14ac:dyDescent="0.4">
      <c r="AN1000" s="115"/>
      <c r="AO1000" s="115"/>
      <c r="AP1000" s="115"/>
      <c r="AQ1000" s="115"/>
      <c r="AR1000" s="115"/>
      <c r="AS1000" s="122"/>
      <c r="AT1000" s="122"/>
      <c r="AU1000" s="122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115"/>
      <c r="BF1000" s="115"/>
      <c r="BG1000" s="115"/>
      <c r="BH1000" s="115"/>
      <c r="BI1000" s="115"/>
      <c r="BJ1000" s="26">
        <v>45280</v>
      </c>
      <c r="BK1000" s="13" t="s">
        <v>162</v>
      </c>
      <c r="BN1000" s="114"/>
    </row>
    <row r="1001" spans="40:66" x14ac:dyDescent="0.4">
      <c r="AN1001" s="115"/>
      <c r="AO1001" s="115"/>
      <c r="AP1001" s="115"/>
      <c r="AQ1001" s="115"/>
      <c r="AR1001" s="115"/>
      <c r="AS1001" s="122"/>
      <c r="AT1001" s="122"/>
      <c r="AU1001" s="122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115"/>
      <c r="BF1001" s="115"/>
      <c r="BG1001" s="115"/>
      <c r="BH1001" s="115"/>
      <c r="BI1001" s="115" t="s">
        <v>171</v>
      </c>
      <c r="BJ1001" s="17">
        <f>SUBTOTAL(3,BJ985:BJ1000)</f>
        <v>13</v>
      </c>
      <c r="BK1001" s="13">
        <f>SUBTOTAL(3,BK985:BK1000)</f>
        <v>13</v>
      </c>
      <c r="BN1001" s="114"/>
    </row>
    <row r="1002" spans="40:66" x14ac:dyDescent="0.4">
      <c r="AN1002" s="115"/>
      <c r="AO1002" s="115"/>
      <c r="AP1002" s="115"/>
      <c r="AQ1002" s="115"/>
      <c r="AR1002" s="115"/>
      <c r="AS1002" s="122"/>
      <c r="AT1002" s="122"/>
      <c r="AU1002" s="122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115"/>
      <c r="BF1002" s="115"/>
      <c r="BG1002" s="115"/>
      <c r="BH1002" s="115"/>
      <c r="BI1002" s="115"/>
      <c r="BJ1002" s="26">
        <v>45283</v>
      </c>
      <c r="BK1002" s="13" t="s">
        <v>162</v>
      </c>
      <c r="BN1002" s="114"/>
    </row>
    <row r="1003" spans="40:66" x14ac:dyDescent="0.4">
      <c r="AN1003" s="115"/>
      <c r="AO1003" s="115"/>
      <c r="AP1003" s="115"/>
      <c r="AQ1003" s="115"/>
      <c r="AR1003" s="115"/>
      <c r="AS1003" s="122"/>
      <c r="AT1003" s="122"/>
      <c r="AU1003" s="122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115"/>
      <c r="BF1003" s="115"/>
      <c r="BG1003" s="115"/>
      <c r="BH1003" s="115"/>
      <c r="BI1003" s="115"/>
      <c r="BJ1003" s="26">
        <v>45283</v>
      </c>
      <c r="BK1003" s="13" t="s">
        <v>162</v>
      </c>
      <c r="BN1003" s="114"/>
    </row>
    <row r="1004" spans="40:66" x14ac:dyDescent="0.4">
      <c r="AN1004" s="115"/>
      <c r="AO1004" s="115"/>
      <c r="AP1004" s="115"/>
      <c r="AQ1004" s="115"/>
      <c r="AR1004" s="115"/>
      <c r="AS1004" s="122"/>
      <c r="AT1004" s="122"/>
      <c r="AU1004" s="122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115"/>
      <c r="BF1004" s="115"/>
      <c r="BG1004" s="115"/>
      <c r="BH1004" s="115"/>
      <c r="BI1004" s="115"/>
      <c r="BJ1004" s="26">
        <v>45283</v>
      </c>
      <c r="BK1004" s="13" t="s">
        <v>162</v>
      </c>
      <c r="BN1004" s="114"/>
    </row>
    <row r="1005" spans="40:66" x14ac:dyDescent="0.4">
      <c r="AN1005" s="115"/>
      <c r="AO1005" s="115"/>
      <c r="AP1005" s="115"/>
      <c r="AQ1005" s="115"/>
      <c r="AR1005" s="115"/>
      <c r="AS1005" s="122"/>
      <c r="AT1005" s="122"/>
      <c r="AU1005" s="122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115"/>
      <c r="BF1005" s="115"/>
      <c r="BG1005" s="115"/>
      <c r="BH1005" s="115"/>
      <c r="BI1005" s="115"/>
      <c r="BJ1005" s="26">
        <v>45283</v>
      </c>
      <c r="BK1005" s="13" t="s">
        <v>162</v>
      </c>
      <c r="BN1005" s="114"/>
    </row>
    <row r="1006" spans="40:66" x14ac:dyDescent="0.4">
      <c r="AN1006" s="115"/>
      <c r="AO1006" s="115"/>
      <c r="AP1006" s="115"/>
      <c r="AQ1006" s="115"/>
      <c r="AR1006" s="115"/>
      <c r="AS1006" s="122"/>
      <c r="AT1006" s="122"/>
      <c r="AU1006" s="122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115"/>
      <c r="BF1006" s="115"/>
      <c r="BG1006" s="115"/>
      <c r="BH1006" s="115"/>
      <c r="BI1006" s="115"/>
      <c r="BJ1006" s="26">
        <v>45283</v>
      </c>
      <c r="BK1006" s="13" t="s">
        <v>162</v>
      </c>
      <c r="BN1006" s="114"/>
    </row>
    <row r="1007" spans="40:66" x14ac:dyDescent="0.4">
      <c r="AN1007" s="115"/>
      <c r="AO1007" s="115"/>
      <c r="AP1007" s="115"/>
      <c r="AQ1007" s="115"/>
      <c r="AR1007" s="115"/>
      <c r="AS1007" s="122"/>
      <c r="AT1007" s="122"/>
      <c r="AU1007" s="122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115"/>
      <c r="BF1007" s="115"/>
      <c r="BG1007" s="115"/>
      <c r="BH1007" s="115"/>
      <c r="BI1007" s="115"/>
      <c r="BJ1007" s="26">
        <v>45283</v>
      </c>
      <c r="BK1007" s="13" t="s">
        <v>162</v>
      </c>
      <c r="BN1007" s="114"/>
    </row>
    <row r="1008" spans="40:66" x14ac:dyDescent="0.4">
      <c r="AN1008" s="115"/>
      <c r="AO1008" s="115"/>
      <c r="AP1008" s="115"/>
      <c r="AQ1008" s="115"/>
      <c r="AR1008" s="115"/>
      <c r="AS1008" s="122"/>
      <c r="AT1008" s="122"/>
      <c r="AU1008" s="122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115"/>
      <c r="BF1008" s="115"/>
      <c r="BG1008" s="115"/>
      <c r="BH1008" s="115"/>
      <c r="BI1008" s="115"/>
      <c r="BJ1008" s="26">
        <v>45283</v>
      </c>
      <c r="BK1008" s="13" t="s">
        <v>162</v>
      </c>
      <c r="BN1008" s="114"/>
    </row>
    <row r="1009" spans="40:66" x14ac:dyDescent="0.4">
      <c r="AN1009" s="115"/>
      <c r="AO1009" s="115"/>
      <c r="AP1009" s="115"/>
      <c r="AQ1009" s="115"/>
      <c r="AR1009" s="115"/>
      <c r="AS1009" s="122"/>
      <c r="AT1009" s="122"/>
      <c r="AU1009" s="122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115"/>
      <c r="BF1009" s="115"/>
      <c r="BG1009" s="115"/>
      <c r="BH1009" s="115"/>
      <c r="BI1009" s="115"/>
      <c r="BJ1009" s="26">
        <v>45283</v>
      </c>
      <c r="BK1009" s="13" t="s">
        <v>162</v>
      </c>
      <c r="BN1009" s="114"/>
    </row>
    <row r="1010" spans="40:66" x14ac:dyDescent="0.4">
      <c r="AN1010" s="115"/>
      <c r="AO1010" s="115"/>
      <c r="AP1010" s="115"/>
      <c r="AQ1010" s="115"/>
      <c r="AR1010" s="115"/>
      <c r="AS1010" s="122"/>
      <c r="AT1010" s="122"/>
      <c r="AU1010" s="122"/>
      <c r="AV1010" s="115"/>
      <c r="AW1010" s="115"/>
      <c r="AX1010" s="115"/>
      <c r="AY1010" s="115"/>
      <c r="AZ1010" s="115"/>
      <c r="BA1010" s="115"/>
      <c r="BB1010" s="115"/>
      <c r="BC1010" s="115"/>
      <c r="BD1010" s="115"/>
      <c r="BE1010" s="115"/>
      <c r="BF1010" s="115"/>
      <c r="BG1010" s="115"/>
      <c r="BH1010" s="115"/>
      <c r="BI1010" s="115"/>
      <c r="BJ1010" s="26">
        <v>45283</v>
      </c>
      <c r="BK1010" s="13" t="s">
        <v>162</v>
      </c>
      <c r="BN1010" s="114"/>
    </row>
    <row r="1011" spans="40:66" x14ac:dyDescent="0.4">
      <c r="AN1011" s="115"/>
      <c r="AO1011" s="115"/>
      <c r="AP1011" s="115"/>
      <c r="AQ1011" s="115"/>
      <c r="AR1011" s="115"/>
      <c r="AS1011" s="122"/>
      <c r="AT1011" s="122"/>
      <c r="AU1011" s="122"/>
      <c r="AV1011" s="115"/>
      <c r="AW1011" s="115"/>
      <c r="AX1011" s="115"/>
      <c r="AY1011" s="115"/>
      <c r="AZ1011" s="115"/>
      <c r="BA1011" s="115"/>
      <c r="BB1011" s="115"/>
      <c r="BC1011" s="115"/>
      <c r="BD1011" s="115"/>
      <c r="BE1011" s="115"/>
      <c r="BF1011" s="115"/>
      <c r="BG1011" s="115"/>
      <c r="BH1011" s="115"/>
      <c r="BI1011" s="115"/>
      <c r="BJ1011" s="26">
        <v>45283</v>
      </c>
      <c r="BK1011" s="13" t="s">
        <v>162</v>
      </c>
      <c r="BN1011" s="114"/>
    </row>
    <row r="1012" spans="40:66" x14ac:dyDescent="0.4">
      <c r="AN1012" s="115"/>
      <c r="AO1012" s="115"/>
      <c r="AP1012" s="115"/>
      <c r="AQ1012" s="115"/>
      <c r="AR1012" s="115"/>
      <c r="AS1012" s="122"/>
      <c r="AT1012" s="122"/>
      <c r="AU1012" s="122"/>
      <c r="AV1012" s="115"/>
      <c r="AW1012" s="115"/>
      <c r="AX1012" s="115"/>
      <c r="AY1012" s="115"/>
      <c r="AZ1012" s="115"/>
      <c r="BA1012" s="115"/>
      <c r="BB1012" s="115"/>
      <c r="BC1012" s="115"/>
      <c r="BD1012" s="115"/>
      <c r="BE1012" s="115"/>
      <c r="BF1012" s="115"/>
      <c r="BG1012" s="115"/>
      <c r="BH1012" s="115"/>
      <c r="BI1012" s="115"/>
      <c r="BJ1012" s="26">
        <v>45283</v>
      </c>
      <c r="BK1012" s="13" t="s">
        <v>163</v>
      </c>
      <c r="BN1012" s="114"/>
    </row>
    <row r="1013" spans="40:66" x14ac:dyDescent="0.4">
      <c r="AN1013" s="115"/>
      <c r="AO1013" s="115"/>
      <c r="AP1013" s="115"/>
      <c r="AQ1013" s="115"/>
      <c r="AR1013" s="115"/>
      <c r="AS1013" s="122"/>
      <c r="AT1013" s="122"/>
      <c r="AU1013" s="122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115"/>
      <c r="BF1013" s="115"/>
      <c r="BG1013" s="115"/>
      <c r="BH1013" s="115"/>
      <c r="BI1013" s="115"/>
      <c r="BJ1013" s="26">
        <v>45283</v>
      </c>
      <c r="BK1013" s="13" t="s">
        <v>163</v>
      </c>
      <c r="BN1013" s="114"/>
    </row>
    <row r="1014" spans="40:66" x14ac:dyDescent="0.4">
      <c r="AN1014" s="115"/>
      <c r="AO1014" s="115"/>
      <c r="AP1014" s="115"/>
      <c r="AQ1014" s="115"/>
      <c r="AR1014" s="115"/>
      <c r="AS1014" s="122"/>
      <c r="AT1014" s="122"/>
      <c r="AU1014" s="122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115"/>
      <c r="BF1014" s="115"/>
      <c r="BG1014" s="115"/>
      <c r="BH1014" s="115"/>
      <c r="BI1014" s="115"/>
      <c r="BJ1014" s="26">
        <v>45283</v>
      </c>
      <c r="BK1014" s="13" t="s">
        <v>163</v>
      </c>
      <c r="BN1014" s="114"/>
    </row>
    <row r="1015" spans="40:66" x14ac:dyDescent="0.4">
      <c r="AN1015" s="115"/>
      <c r="AO1015" s="115"/>
      <c r="AP1015" s="115"/>
      <c r="AQ1015" s="115"/>
      <c r="AR1015" s="115"/>
      <c r="AS1015" s="122"/>
      <c r="AT1015" s="122"/>
      <c r="AU1015" s="122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115"/>
      <c r="BF1015" s="115"/>
      <c r="BG1015" s="115"/>
      <c r="BH1015" s="115"/>
      <c r="BI1015" s="115" t="s">
        <v>161</v>
      </c>
      <c r="BJ1015" s="17">
        <f>SUBTOTAL(3,BJ1002:BJ1014)</f>
        <v>13</v>
      </c>
      <c r="BK1015" s="13">
        <f>SUBTOTAL(3,BK1002:BK1014)</f>
        <v>13</v>
      </c>
      <c r="BN1015" s="114"/>
    </row>
    <row r="1016" spans="40:66" x14ac:dyDescent="0.4">
      <c r="AN1016" s="115"/>
      <c r="AO1016" s="115"/>
      <c r="AP1016" s="115"/>
      <c r="AQ1016" s="115"/>
      <c r="AR1016" s="115"/>
      <c r="AS1016" s="122"/>
      <c r="AT1016" s="122"/>
      <c r="AU1016" s="122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115"/>
      <c r="BF1016" s="115"/>
      <c r="BG1016" s="115"/>
      <c r="BH1016" s="115"/>
      <c r="BI1016" s="115"/>
      <c r="BJ1016" s="26">
        <v>45285</v>
      </c>
      <c r="BK1016" s="13" t="s">
        <v>163</v>
      </c>
      <c r="BN1016" s="114"/>
    </row>
    <row r="1017" spans="40:66" x14ac:dyDescent="0.4">
      <c r="AN1017" s="115"/>
      <c r="AO1017" s="115"/>
      <c r="AP1017" s="115"/>
      <c r="AQ1017" s="115"/>
      <c r="AR1017" s="115"/>
      <c r="AS1017" s="122"/>
      <c r="AT1017" s="122"/>
      <c r="AU1017" s="122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115"/>
      <c r="BF1017" s="115"/>
      <c r="BG1017" s="115"/>
      <c r="BH1017" s="115"/>
      <c r="BI1017" s="115" t="s">
        <v>172</v>
      </c>
      <c r="BJ1017" s="17">
        <f>SUBTOTAL(3,BJ1016:BJ1016)</f>
        <v>1</v>
      </c>
      <c r="BK1017" s="13">
        <f>SUBTOTAL(3,BK1016:BK1016)</f>
        <v>1</v>
      </c>
      <c r="BN1017" s="114"/>
    </row>
    <row r="1018" spans="40:66" x14ac:dyDescent="0.4">
      <c r="AN1018" s="115"/>
      <c r="AO1018" s="115"/>
      <c r="AP1018" s="115"/>
      <c r="AQ1018" s="115"/>
      <c r="AR1018" s="115"/>
      <c r="AS1018" s="122"/>
      <c r="AT1018" s="122"/>
      <c r="AU1018" s="122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115"/>
      <c r="BF1018" s="115"/>
      <c r="BG1018" s="115"/>
      <c r="BH1018" s="115"/>
      <c r="BI1018" s="115"/>
      <c r="BJ1018" s="26">
        <v>45299</v>
      </c>
      <c r="BK1018" s="13" t="s">
        <v>164</v>
      </c>
      <c r="BN1018" s="114"/>
    </row>
    <row r="1019" spans="40:66" x14ac:dyDescent="0.4">
      <c r="AN1019" s="115"/>
      <c r="AO1019" s="115"/>
      <c r="AP1019" s="115"/>
      <c r="AQ1019" s="115"/>
      <c r="AR1019" s="115"/>
      <c r="AS1019" s="122"/>
      <c r="AT1019" s="122"/>
      <c r="AU1019" s="122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115"/>
      <c r="BF1019" s="115"/>
      <c r="BG1019" s="115"/>
      <c r="BH1019" s="115"/>
      <c r="BI1019" s="115"/>
      <c r="BJ1019" s="26">
        <v>45299</v>
      </c>
      <c r="BK1019" s="13" t="s">
        <v>162</v>
      </c>
      <c r="BN1019" s="114"/>
    </row>
    <row r="1020" spans="40:66" x14ac:dyDescent="0.4">
      <c r="AN1020" s="115"/>
      <c r="AO1020" s="115"/>
      <c r="AP1020" s="115"/>
      <c r="AQ1020" s="115"/>
      <c r="AR1020" s="115"/>
      <c r="AS1020" s="122"/>
      <c r="AT1020" s="122"/>
      <c r="AU1020" s="122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115"/>
      <c r="BF1020" s="115"/>
      <c r="BG1020" s="115"/>
      <c r="BH1020" s="115"/>
      <c r="BI1020" s="115"/>
      <c r="BJ1020" s="26">
        <v>45299</v>
      </c>
      <c r="BK1020" s="13" t="s">
        <v>162</v>
      </c>
      <c r="BN1020" s="114"/>
    </row>
    <row r="1021" spans="40:66" x14ac:dyDescent="0.4">
      <c r="AN1021" s="115"/>
      <c r="AO1021" s="115"/>
      <c r="AP1021" s="115"/>
      <c r="AQ1021" s="115"/>
      <c r="AR1021" s="115"/>
      <c r="AS1021" s="122"/>
      <c r="AT1021" s="122"/>
      <c r="AU1021" s="122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115"/>
      <c r="BF1021" s="115"/>
      <c r="BG1021" s="115"/>
      <c r="BH1021" s="115"/>
      <c r="BI1021" s="115"/>
      <c r="BJ1021" s="26">
        <v>45299</v>
      </c>
      <c r="BK1021" s="15" t="s">
        <v>162</v>
      </c>
      <c r="BN1021" s="114"/>
    </row>
    <row r="1022" spans="40:66" x14ac:dyDescent="0.4">
      <c r="AN1022" s="115"/>
      <c r="AO1022" s="115"/>
      <c r="AP1022" s="115"/>
      <c r="AQ1022" s="115"/>
      <c r="AR1022" s="115"/>
      <c r="AS1022" s="122"/>
      <c r="AT1022" s="122"/>
      <c r="AU1022" s="122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115"/>
      <c r="BF1022" s="115"/>
      <c r="BG1022" s="115"/>
      <c r="BH1022" s="115"/>
      <c r="BI1022" s="115" t="s">
        <v>173</v>
      </c>
      <c r="BJ1022" s="17">
        <f>SUBTOTAL(3,BJ1018:BJ1021)</f>
        <v>4</v>
      </c>
      <c r="BK1022" s="13">
        <f>SUBTOTAL(3,BK1018:BK1021)</f>
        <v>4</v>
      </c>
      <c r="BN1022" s="114"/>
    </row>
    <row r="1023" spans="40:66" x14ac:dyDescent="0.4">
      <c r="AN1023" s="115"/>
      <c r="AO1023" s="115"/>
      <c r="AP1023" s="115"/>
      <c r="AQ1023" s="115"/>
      <c r="AR1023" s="115"/>
      <c r="AS1023" s="122"/>
      <c r="AT1023" s="122"/>
      <c r="AU1023" s="122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115"/>
      <c r="BF1023" s="115"/>
      <c r="BG1023" s="115"/>
      <c r="BH1023" s="115"/>
      <c r="BI1023" s="115" t="s">
        <v>145</v>
      </c>
      <c r="BJ1023" s="17">
        <f>SUBTOTAL(3,BJ2:BJ1021)</f>
        <v>136</v>
      </c>
      <c r="BK1023" s="13">
        <f>SUBTOTAL(3,BK2:BK1021)</f>
        <v>136</v>
      </c>
      <c r="BN1023" s="114"/>
    </row>
    <row r="1024" spans="40:66" x14ac:dyDescent="0.4">
      <c r="AN1024" s="115"/>
      <c r="AO1024" s="115"/>
      <c r="AP1024" s="115"/>
      <c r="AQ1024" s="115"/>
      <c r="AR1024" s="115"/>
      <c r="AS1024" s="122"/>
      <c r="AT1024" s="122"/>
      <c r="AU1024" s="122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115"/>
      <c r="BF1024" s="115"/>
      <c r="BG1024" s="115" t="s">
        <v>145</v>
      </c>
      <c r="BH1024" s="115"/>
      <c r="BI1024" s="115"/>
      <c r="BJ1024" s="26"/>
      <c r="BK1024" s="13"/>
      <c r="BN1024" s="114"/>
    </row>
    <row r="1025" spans="40:66" x14ac:dyDescent="0.4">
      <c r="AN1025" s="115"/>
      <c r="AO1025" s="115"/>
      <c r="AP1025" s="115"/>
      <c r="AQ1025" s="115"/>
      <c r="AR1025" s="115"/>
      <c r="AS1025" s="122"/>
      <c r="AT1025" s="122"/>
      <c r="AU1025" s="122"/>
      <c r="AV1025" s="115"/>
      <c r="AW1025" s="115"/>
      <c r="AX1025" s="115"/>
      <c r="AY1025" s="115"/>
      <c r="AZ1025" s="115"/>
      <c r="BA1025" s="115"/>
      <c r="BB1025" s="115"/>
      <c r="BC1025" s="115"/>
      <c r="BD1025" s="115"/>
      <c r="BE1025" s="115"/>
      <c r="BF1025" s="115"/>
      <c r="BG1025" s="115"/>
      <c r="BH1025" s="115"/>
      <c r="BI1025" s="115"/>
      <c r="BJ1025" s="17"/>
      <c r="BK1025" s="13"/>
      <c r="BN1025" s="114"/>
    </row>
    <row r="1026" spans="40:66" x14ac:dyDescent="0.4">
      <c r="AN1026" s="115"/>
      <c r="AO1026" s="115"/>
      <c r="AP1026" s="115"/>
      <c r="AQ1026" s="115"/>
      <c r="AR1026" s="115"/>
      <c r="AS1026" s="122"/>
      <c r="AT1026" s="122"/>
      <c r="AU1026" s="122"/>
      <c r="AV1026" s="115"/>
      <c r="AW1026" s="115"/>
      <c r="AX1026" s="115"/>
      <c r="AY1026" s="115"/>
      <c r="AZ1026" s="115"/>
      <c r="BA1026" s="115"/>
      <c r="BB1026" s="115"/>
      <c r="BC1026" s="115"/>
      <c r="BD1026" s="115"/>
      <c r="BE1026" s="115"/>
      <c r="BF1026" s="115"/>
      <c r="BG1026" s="115"/>
      <c r="BH1026" s="115"/>
      <c r="BI1026" s="115"/>
      <c r="BJ1026" s="26"/>
      <c r="BK1026" s="13"/>
      <c r="BN1026" s="114"/>
    </row>
    <row r="1027" spans="40:66" x14ac:dyDescent="0.4">
      <c r="AN1027" s="115"/>
      <c r="AO1027" s="115"/>
      <c r="AP1027" s="115"/>
      <c r="AQ1027" s="115"/>
      <c r="AR1027" s="115"/>
      <c r="AS1027" s="122"/>
      <c r="AT1027" s="122"/>
      <c r="AU1027" s="122"/>
      <c r="AV1027" s="115"/>
      <c r="AW1027" s="115"/>
      <c r="AX1027" s="115"/>
      <c r="AY1027" s="115"/>
      <c r="AZ1027" s="115"/>
      <c r="BA1027" s="115"/>
      <c r="BB1027" s="115"/>
      <c r="BC1027" s="115"/>
      <c r="BD1027" s="115"/>
      <c r="BE1027" s="115"/>
      <c r="BF1027" s="115"/>
      <c r="BG1027" s="115"/>
      <c r="BH1027" s="115"/>
      <c r="BI1027" s="115"/>
      <c r="BJ1027" s="17"/>
      <c r="BK1027" s="13"/>
      <c r="BN1027" s="114"/>
    </row>
    <row r="1028" spans="40:66" x14ac:dyDescent="0.4">
      <c r="AN1028" s="115"/>
      <c r="AO1028" s="115"/>
      <c r="AP1028" s="115"/>
      <c r="AQ1028" s="115"/>
      <c r="AR1028" s="115"/>
      <c r="AS1028" s="122"/>
      <c r="AT1028" s="122"/>
      <c r="AU1028" s="122"/>
      <c r="AV1028" s="115"/>
      <c r="AW1028" s="115"/>
      <c r="AX1028" s="115"/>
      <c r="AY1028" s="115"/>
      <c r="AZ1028" s="115"/>
      <c r="BA1028" s="115"/>
      <c r="BB1028" s="115"/>
      <c r="BC1028" s="115"/>
      <c r="BD1028" s="115"/>
      <c r="BE1028" s="115"/>
      <c r="BF1028" s="115"/>
      <c r="BG1028" s="115"/>
      <c r="BH1028" s="115"/>
      <c r="BI1028" s="115"/>
      <c r="BJ1028" s="26"/>
      <c r="BK1028" s="13"/>
      <c r="BN1028" s="114"/>
    </row>
    <row r="1029" spans="40:66" x14ac:dyDescent="0.4">
      <c r="AN1029" s="115"/>
      <c r="AO1029" s="115"/>
      <c r="AP1029" s="115"/>
      <c r="AQ1029" s="115"/>
      <c r="AR1029" s="115"/>
      <c r="AS1029" s="122"/>
      <c r="AT1029" s="122"/>
      <c r="AU1029" s="122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115"/>
      <c r="BF1029" s="115"/>
      <c r="BG1029" s="115"/>
      <c r="BH1029" s="115"/>
      <c r="BI1029" s="115"/>
      <c r="BJ1029" s="26"/>
      <c r="BK1029" s="13"/>
      <c r="BN1029" s="114"/>
    </row>
    <row r="1030" spans="40:66" x14ac:dyDescent="0.4">
      <c r="AN1030" s="115"/>
      <c r="AO1030" s="115"/>
      <c r="AP1030" s="115"/>
      <c r="AQ1030" s="115"/>
      <c r="AR1030" s="115"/>
      <c r="AS1030" s="122"/>
      <c r="AT1030" s="122"/>
      <c r="AU1030" s="122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115"/>
      <c r="BF1030" s="115"/>
      <c r="BG1030" s="115"/>
      <c r="BH1030" s="115"/>
      <c r="BI1030" s="115"/>
      <c r="BJ1030" s="26"/>
      <c r="BK1030" s="13"/>
      <c r="BN1030" s="114"/>
    </row>
    <row r="1031" spans="40:66" x14ac:dyDescent="0.4">
      <c r="AN1031" s="115"/>
      <c r="AO1031" s="115"/>
      <c r="AP1031" s="115"/>
      <c r="AQ1031" s="115"/>
      <c r="AR1031" s="115"/>
      <c r="AS1031" s="122"/>
      <c r="AT1031" s="122"/>
      <c r="AU1031" s="122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115"/>
      <c r="BF1031" s="115"/>
      <c r="BG1031" s="115"/>
      <c r="BH1031" s="115"/>
      <c r="BI1031" s="115"/>
      <c r="BJ1031" s="17"/>
      <c r="BK1031" s="13"/>
      <c r="BN1031" s="114"/>
    </row>
    <row r="1032" spans="40:66" x14ac:dyDescent="0.4">
      <c r="AN1032" s="115"/>
      <c r="AO1032" s="115"/>
      <c r="AP1032" s="115"/>
      <c r="AQ1032" s="115"/>
      <c r="AR1032" s="115"/>
      <c r="AS1032" s="122"/>
      <c r="AT1032" s="122"/>
      <c r="AU1032" s="122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115"/>
      <c r="BF1032" s="115"/>
      <c r="BG1032" s="115"/>
      <c r="BH1032" s="115"/>
      <c r="BI1032" s="115"/>
      <c r="BJ1032" s="26"/>
      <c r="BK1032" s="13"/>
      <c r="BN1032" s="114"/>
    </row>
    <row r="1033" spans="40:66" x14ac:dyDescent="0.4">
      <c r="AN1033" s="115"/>
      <c r="AO1033" s="115"/>
      <c r="AP1033" s="115"/>
      <c r="AQ1033" s="115"/>
      <c r="AR1033" s="115"/>
      <c r="AS1033" s="122"/>
      <c r="AT1033" s="122"/>
      <c r="AU1033" s="122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115"/>
      <c r="BF1033" s="115"/>
      <c r="BG1033" s="115"/>
      <c r="BH1033" s="115"/>
      <c r="BI1033" s="115"/>
      <c r="BJ1033" s="17"/>
      <c r="BK1033" s="13"/>
      <c r="BN1033" s="114"/>
    </row>
    <row r="1034" spans="40:66" x14ac:dyDescent="0.4">
      <c r="AN1034" s="115"/>
      <c r="AO1034" s="115"/>
      <c r="AP1034" s="115"/>
      <c r="AQ1034" s="115"/>
      <c r="AR1034" s="115"/>
      <c r="AS1034" s="122"/>
      <c r="AT1034" s="122"/>
      <c r="AU1034" s="122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115"/>
      <c r="BF1034" s="115"/>
      <c r="BG1034" s="115"/>
      <c r="BH1034" s="115"/>
      <c r="BI1034" s="115"/>
      <c r="BJ1034" s="26"/>
      <c r="BK1034" s="13"/>
      <c r="BN1034" s="114"/>
    </row>
    <row r="1035" spans="40:66" x14ac:dyDescent="0.4">
      <c r="AN1035" s="115"/>
      <c r="AO1035" s="115"/>
      <c r="AP1035" s="115"/>
      <c r="AQ1035" s="115"/>
      <c r="AR1035" s="115"/>
      <c r="AS1035" s="122"/>
      <c r="AT1035" s="122"/>
      <c r="AU1035" s="122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115"/>
      <c r="BF1035" s="115"/>
      <c r="BG1035" s="115"/>
      <c r="BH1035" s="115"/>
      <c r="BI1035" s="115"/>
      <c r="BJ1035" s="17"/>
      <c r="BK1035" s="13"/>
      <c r="BN1035" s="114"/>
    </row>
    <row r="1036" spans="40:66" x14ac:dyDescent="0.4">
      <c r="AN1036" s="115"/>
      <c r="AO1036" s="115"/>
      <c r="AP1036" s="115"/>
      <c r="AQ1036" s="115"/>
      <c r="AR1036" s="115"/>
      <c r="AS1036" s="122"/>
      <c r="AT1036" s="122"/>
      <c r="AU1036" s="122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115"/>
      <c r="BF1036" s="115"/>
      <c r="BG1036" s="115"/>
      <c r="BH1036" s="115"/>
      <c r="BI1036" s="115"/>
      <c r="BJ1036" s="17"/>
      <c r="BK1036" s="13"/>
      <c r="BN1036" s="114"/>
    </row>
    <row r="1037" spans="40:66" x14ac:dyDescent="0.4">
      <c r="AN1037" s="115"/>
      <c r="AO1037" s="115"/>
      <c r="AP1037" s="115"/>
      <c r="AQ1037" s="115"/>
      <c r="AR1037" s="115"/>
      <c r="AS1037" s="122"/>
      <c r="AT1037" s="122"/>
      <c r="AU1037" s="122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115"/>
      <c r="BF1037" s="115"/>
      <c r="BG1037" s="115"/>
      <c r="BH1037" s="115"/>
      <c r="BI1037" s="115"/>
      <c r="BJ1037" s="17"/>
      <c r="BK1037" s="13"/>
      <c r="BN1037" s="114"/>
    </row>
    <row r="1038" spans="40:66" x14ac:dyDescent="0.4">
      <c r="AN1038" s="115"/>
      <c r="AO1038" s="115"/>
      <c r="AP1038" s="115"/>
      <c r="AQ1038" s="115"/>
      <c r="AR1038" s="115"/>
      <c r="AS1038" s="122"/>
      <c r="AT1038" s="122"/>
      <c r="AU1038" s="122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115"/>
      <c r="BF1038" s="115"/>
      <c r="BG1038" s="115"/>
      <c r="BH1038" s="115"/>
      <c r="BI1038" s="115"/>
      <c r="BJ1038" s="26"/>
      <c r="BK1038" s="13"/>
      <c r="BN1038" s="114"/>
    </row>
    <row r="1039" spans="40:66" x14ac:dyDescent="0.4">
      <c r="AN1039" s="115"/>
      <c r="AO1039" s="115"/>
      <c r="AP1039" s="115"/>
      <c r="AQ1039" s="115"/>
      <c r="AR1039" s="115"/>
      <c r="AS1039" s="122"/>
      <c r="AT1039" s="122"/>
      <c r="AU1039" s="122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115"/>
      <c r="BF1039" s="115"/>
      <c r="BG1039" s="115"/>
      <c r="BH1039" s="115"/>
      <c r="BI1039" s="115"/>
      <c r="BJ1039" s="17"/>
      <c r="BK1039" s="13"/>
      <c r="BN1039" s="114"/>
    </row>
    <row r="1040" spans="40:66" x14ac:dyDescent="0.4">
      <c r="AN1040" s="115"/>
      <c r="AO1040" s="115"/>
      <c r="AP1040" s="115"/>
      <c r="AQ1040" s="115"/>
      <c r="AR1040" s="115"/>
      <c r="AS1040" s="122"/>
      <c r="AT1040" s="122"/>
      <c r="AU1040" s="122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115"/>
      <c r="BF1040" s="115"/>
      <c r="BG1040" s="115"/>
      <c r="BH1040" s="115"/>
      <c r="BI1040" s="115"/>
      <c r="BJ1040" s="26"/>
      <c r="BK1040" s="13"/>
      <c r="BN1040" s="114"/>
    </row>
    <row r="1041" spans="40:66" x14ac:dyDescent="0.4">
      <c r="AN1041" s="115"/>
      <c r="AO1041" s="115"/>
      <c r="AP1041" s="115"/>
      <c r="AQ1041" s="115"/>
      <c r="AR1041" s="115"/>
      <c r="AS1041" s="122"/>
      <c r="AT1041" s="122"/>
      <c r="AU1041" s="122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115"/>
      <c r="BF1041" s="115"/>
      <c r="BG1041" s="115"/>
      <c r="BH1041" s="115"/>
      <c r="BI1041" s="115"/>
      <c r="BJ1041" s="17"/>
      <c r="BK1041" s="13"/>
      <c r="BN1041" s="114"/>
    </row>
    <row r="1042" spans="40:66" x14ac:dyDescent="0.4">
      <c r="AN1042" s="115"/>
      <c r="AO1042" s="115"/>
      <c r="AP1042" s="115"/>
      <c r="AQ1042" s="115"/>
      <c r="AR1042" s="115"/>
      <c r="AS1042" s="122"/>
      <c r="AT1042" s="122"/>
      <c r="AU1042" s="122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115"/>
      <c r="BF1042" s="115"/>
      <c r="BG1042" s="115"/>
      <c r="BH1042" s="115"/>
      <c r="BI1042" s="115"/>
      <c r="BJ1042" s="26"/>
      <c r="BK1042" s="25"/>
      <c r="BN1042" s="114"/>
    </row>
    <row r="1043" spans="40:66" x14ac:dyDescent="0.4">
      <c r="AN1043" s="115"/>
      <c r="AO1043" s="115"/>
      <c r="AP1043" s="115"/>
      <c r="AQ1043" s="115"/>
      <c r="AR1043" s="115"/>
      <c r="AS1043" s="122"/>
      <c r="AT1043" s="122"/>
      <c r="AU1043" s="122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115"/>
      <c r="BF1043" s="115"/>
      <c r="BG1043" s="115"/>
      <c r="BH1043" s="115"/>
      <c r="BI1043" s="115"/>
      <c r="BJ1043" s="17"/>
      <c r="BK1043" s="13"/>
      <c r="BN1043" s="114"/>
    </row>
    <row r="1044" spans="40:66" x14ac:dyDescent="0.4">
      <c r="AN1044" s="115"/>
      <c r="AO1044" s="115"/>
      <c r="AP1044" s="115"/>
      <c r="AQ1044" s="115"/>
      <c r="AR1044" s="115"/>
      <c r="AS1044" s="122"/>
      <c r="AT1044" s="122"/>
      <c r="AU1044" s="122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115"/>
      <c r="BF1044" s="115"/>
      <c r="BG1044" s="115"/>
      <c r="BH1044" s="115"/>
      <c r="BI1044" s="115"/>
      <c r="BJ1044" s="17"/>
      <c r="BK1044" s="13"/>
      <c r="BN1044" s="114"/>
    </row>
    <row r="1045" spans="40:66" x14ac:dyDescent="0.4">
      <c r="AN1045" s="115"/>
      <c r="AO1045" s="115"/>
      <c r="AP1045" s="115"/>
      <c r="AQ1045" s="115"/>
      <c r="AR1045" s="115"/>
      <c r="AS1045" s="122"/>
      <c r="AT1045" s="122"/>
      <c r="AU1045" s="122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115"/>
      <c r="BF1045" s="115"/>
      <c r="BG1045" s="115"/>
      <c r="BH1045" s="115"/>
      <c r="BI1045" s="115"/>
      <c r="BJ1045" s="26"/>
      <c r="BK1045" s="15"/>
      <c r="BN1045" s="114"/>
    </row>
    <row r="1046" spans="40:66" x14ac:dyDescent="0.4">
      <c r="AN1046" s="115"/>
      <c r="AO1046" s="115"/>
      <c r="AP1046" s="115"/>
      <c r="AQ1046" s="115"/>
      <c r="AR1046" s="115"/>
      <c r="AS1046" s="122"/>
      <c r="AT1046" s="122"/>
      <c r="AU1046" s="122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115"/>
      <c r="BF1046" s="115"/>
      <c r="BG1046" s="115"/>
      <c r="BH1046" s="115"/>
      <c r="BI1046" s="115"/>
      <c r="BJ1046" s="26"/>
      <c r="BK1046" s="15"/>
      <c r="BN1046" s="114"/>
    </row>
    <row r="1047" spans="40:66" x14ac:dyDescent="0.4">
      <c r="AN1047" s="115"/>
      <c r="AO1047" s="115"/>
      <c r="AP1047" s="115"/>
      <c r="AQ1047" s="115"/>
      <c r="AR1047" s="115"/>
      <c r="AS1047" s="122"/>
      <c r="AT1047" s="122"/>
      <c r="AU1047" s="122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115"/>
      <c r="BF1047" s="115"/>
      <c r="BG1047" s="115"/>
      <c r="BH1047" s="115"/>
      <c r="BI1047" s="115"/>
      <c r="BJ1047" s="26"/>
      <c r="BK1047" s="15"/>
      <c r="BN1047" s="114"/>
    </row>
    <row r="1048" spans="40:66" x14ac:dyDescent="0.4">
      <c r="AN1048" s="115"/>
      <c r="AO1048" s="115"/>
      <c r="AP1048" s="115"/>
      <c r="AQ1048" s="115"/>
      <c r="AR1048" s="115"/>
      <c r="AS1048" s="122"/>
      <c r="AT1048" s="122"/>
      <c r="AU1048" s="122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115"/>
      <c r="BF1048" s="115"/>
      <c r="BG1048" s="115"/>
      <c r="BH1048" s="115"/>
      <c r="BI1048" s="115"/>
      <c r="BJ1048" s="26"/>
      <c r="BK1048" s="15"/>
      <c r="BN1048" s="114"/>
    </row>
    <row r="1049" spans="40:66" x14ac:dyDescent="0.4">
      <c r="AN1049" s="115"/>
      <c r="AO1049" s="115"/>
      <c r="AP1049" s="115"/>
      <c r="AQ1049" s="115"/>
      <c r="AR1049" s="115"/>
      <c r="AS1049" s="122"/>
      <c r="AT1049" s="122"/>
      <c r="AU1049" s="122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115"/>
      <c r="BF1049" s="115"/>
      <c r="BG1049" s="115"/>
      <c r="BH1049" s="115"/>
      <c r="BI1049" s="115"/>
      <c r="BJ1049" s="26"/>
      <c r="BK1049" s="15"/>
      <c r="BN1049" s="114"/>
    </row>
    <row r="1050" spans="40:66" x14ac:dyDescent="0.4">
      <c r="AN1050" s="115"/>
      <c r="AO1050" s="115"/>
      <c r="AP1050" s="115"/>
      <c r="AQ1050" s="115"/>
      <c r="AR1050" s="115"/>
      <c r="AS1050" s="122"/>
      <c r="AT1050" s="122"/>
      <c r="AU1050" s="122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115"/>
      <c r="BF1050" s="115"/>
      <c r="BG1050" s="115"/>
      <c r="BH1050" s="115"/>
      <c r="BI1050" s="115"/>
      <c r="BJ1050" s="26"/>
      <c r="BK1050" s="15"/>
      <c r="BN1050" s="114"/>
    </row>
    <row r="1051" spans="40:66" x14ac:dyDescent="0.4">
      <c r="AN1051" s="115"/>
      <c r="AO1051" s="115"/>
      <c r="AP1051" s="115"/>
      <c r="AQ1051" s="115"/>
      <c r="AR1051" s="115"/>
      <c r="AS1051" s="122"/>
      <c r="AT1051" s="122"/>
      <c r="AU1051" s="122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115"/>
      <c r="BF1051" s="115"/>
      <c r="BG1051" s="115"/>
      <c r="BH1051" s="115"/>
      <c r="BI1051" s="115"/>
      <c r="BJ1051" s="26"/>
      <c r="BK1051" s="15"/>
      <c r="BN1051" s="114"/>
    </row>
    <row r="1052" spans="40:66" x14ac:dyDescent="0.4">
      <c r="AN1052" s="115"/>
      <c r="AO1052" s="115"/>
      <c r="AP1052" s="115"/>
      <c r="AQ1052" s="115"/>
      <c r="AR1052" s="115"/>
      <c r="AS1052" s="122"/>
      <c r="AT1052" s="122"/>
      <c r="AU1052" s="122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115"/>
      <c r="BF1052" s="115"/>
      <c r="BG1052" s="115"/>
      <c r="BH1052" s="115"/>
      <c r="BI1052" s="115"/>
      <c r="BJ1052" s="26"/>
      <c r="BK1052" s="15"/>
      <c r="BN1052" s="114"/>
    </row>
    <row r="1053" spans="40:66" x14ac:dyDescent="0.4">
      <c r="AN1053" s="115"/>
      <c r="AO1053" s="115"/>
      <c r="AP1053" s="115"/>
      <c r="AQ1053" s="115"/>
      <c r="AR1053" s="115"/>
      <c r="AS1053" s="122"/>
      <c r="AT1053" s="122"/>
      <c r="AU1053" s="122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115"/>
      <c r="BF1053" s="115"/>
      <c r="BG1053" s="115"/>
      <c r="BH1053" s="115"/>
      <c r="BI1053" s="115"/>
      <c r="BJ1053" s="17"/>
      <c r="BK1053" s="15"/>
      <c r="BN1053" s="114"/>
    </row>
    <row r="1054" spans="40:66" x14ac:dyDescent="0.4">
      <c r="AN1054" s="115"/>
      <c r="AO1054" s="115"/>
      <c r="AP1054" s="115"/>
      <c r="AQ1054" s="115"/>
      <c r="AR1054" s="115"/>
      <c r="AS1054" s="122"/>
      <c r="AT1054" s="122"/>
      <c r="AU1054" s="122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115"/>
      <c r="BF1054" s="115"/>
      <c r="BG1054" s="115"/>
      <c r="BH1054" s="115"/>
      <c r="BI1054" s="115"/>
      <c r="BJ1054" s="26"/>
      <c r="BK1054" s="15"/>
      <c r="BN1054" s="114"/>
    </row>
    <row r="1055" spans="40:66" x14ac:dyDescent="0.4">
      <c r="AN1055" s="115"/>
      <c r="AO1055" s="115"/>
      <c r="AP1055" s="115"/>
      <c r="AQ1055" s="115"/>
      <c r="AR1055" s="115"/>
      <c r="AS1055" s="122"/>
      <c r="AT1055" s="122"/>
      <c r="AU1055" s="122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115"/>
      <c r="BF1055" s="115"/>
      <c r="BG1055" s="115"/>
      <c r="BH1055" s="115"/>
      <c r="BI1055" s="115"/>
      <c r="BJ1055" s="26"/>
      <c r="BK1055" s="13"/>
      <c r="BN1055" s="114"/>
    </row>
    <row r="1056" spans="40:66" x14ac:dyDescent="0.4">
      <c r="AN1056" s="115"/>
      <c r="AO1056" s="115"/>
      <c r="AP1056" s="115"/>
      <c r="AQ1056" s="115"/>
      <c r="AR1056" s="115"/>
      <c r="AS1056" s="122"/>
      <c r="AT1056" s="122"/>
      <c r="AU1056" s="122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115"/>
      <c r="BF1056" s="115"/>
      <c r="BG1056" s="115"/>
      <c r="BH1056" s="115"/>
      <c r="BI1056" s="115"/>
      <c r="BJ1056" s="26"/>
      <c r="BK1056" s="13"/>
      <c r="BN1056" s="114"/>
    </row>
    <row r="1057" spans="40:66" x14ac:dyDescent="0.4">
      <c r="AN1057" s="115"/>
      <c r="AO1057" s="115"/>
      <c r="AP1057" s="115"/>
      <c r="AQ1057" s="115"/>
      <c r="AR1057" s="115"/>
      <c r="AS1057" s="122"/>
      <c r="AT1057" s="122"/>
      <c r="AU1057" s="122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115"/>
      <c r="BF1057" s="115"/>
      <c r="BG1057" s="115"/>
      <c r="BH1057" s="115"/>
      <c r="BI1057" s="115"/>
      <c r="BJ1057" s="26"/>
      <c r="BK1057" s="13"/>
      <c r="BN1057" s="114"/>
    </row>
    <row r="1058" spans="40:66" x14ac:dyDescent="0.4">
      <c r="AN1058" s="115"/>
      <c r="AO1058" s="115"/>
      <c r="AP1058" s="115"/>
      <c r="AQ1058" s="115"/>
      <c r="AR1058" s="115"/>
      <c r="AS1058" s="122"/>
      <c r="AT1058" s="122"/>
      <c r="AU1058" s="122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115"/>
      <c r="BF1058" s="115"/>
      <c r="BG1058" s="115"/>
      <c r="BH1058" s="115"/>
      <c r="BI1058" s="115"/>
      <c r="BJ1058" s="26"/>
      <c r="BK1058" s="13"/>
      <c r="BN1058" s="114"/>
    </row>
    <row r="1059" spans="40:66" x14ac:dyDescent="0.4">
      <c r="AN1059" s="115"/>
      <c r="AO1059" s="115"/>
      <c r="AP1059" s="115"/>
      <c r="AQ1059" s="115"/>
      <c r="AR1059" s="115"/>
      <c r="AS1059" s="122"/>
      <c r="AT1059" s="122"/>
      <c r="AU1059" s="122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115"/>
      <c r="BF1059" s="115"/>
      <c r="BG1059" s="115"/>
      <c r="BH1059" s="115"/>
      <c r="BI1059" s="115"/>
      <c r="BJ1059" s="26"/>
      <c r="BK1059" s="13"/>
      <c r="BN1059" s="114"/>
    </row>
    <row r="1060" spans="40:66" x14ac:dyDescent="0.4">
      <c r="AN1060" s="115"/>
      <c r="AO1060" s="115"/>
      <c r="AP1060" s="115"/>
      <c r="AQ1060" s="115"/>
      <c r="AR1060" s="115"/>
      <c r="AS1060" s="122"/>
      <c r="AT1060" s="122"/>
      <c r="AU1060" s="122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115"/>
      <c r="BF1060" s="115"/>
      <c r="BG1060" s="115"/>
      <c r="BH1060" s="115"/>
      <c r="BI1060" s="115"/>
      <c r="BJ1060" s="26"/>
      <c r="BK1060" s="13"/>
      <c r="BN1060" s="114"/>
    </row>
    <row r="1061" spans="40:66" x14ac:dyDescent="0.4">
      <c r="AN1061" s="115"/>
      <c r="AO1061" s="115"/>
      <c r="AP1061" s="115"/>
      <c r="AQ1061" s="115"/>
      <c r="AR1061" s="115"/>
      <c r="AS1061" s="122"/>
      <c r="AT1061" s="122"/>
      <c r="AU1061" s="122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115"/>
      <c r="BF1061" s="115"/>
      <c r="BG1061" s="115"/>
      <c r="BH1061" s="115"/>
      <c r="BI1061" s="115"/>
      <c r="BJ1061" s="26"/>
      <c r="BK1061" s="13"/>
      <c r="BN1061" s="114"/>
    </row>
    <row r="1062" spans="40:66" x14ac:dyDescent="0.4">
      <c r="AN1062" s="115"/>
      <c r="AO1062" s="115"/>
      <c r="AP1062" s="115"/>
      <c r="AQ1062" s="115"/>
      <c r="AR1062" s="115"/>
      <c r="AS1062" s="122"/>
      <c r="AT1062" s="122"/>
      <c r="AU1062" s="122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115"/>
      <c r="BF1062" s="115"/>
      <c r="BG1062" s="115"/>
      <c r="BH1062" s="115"/>
      <c r="BI1062" s="115"/>
      <c r="BJ1062" s="26"/>
      <c r="BK1062" s="13"/>
      <c r="BN1062" s="114"/>
    </row>
    <row r="1063" spans="40:66" x14ac:dyDescent="0.4">
      <c r="AN1063" s="115"/>
      <c r="AO1063" s="115"/>
      <c r="AP1063" s="115"/>
      <c r="AQ1063" s="115"/>
      <c r="AR1063" s="115"/>
      <c r="AS1063" s="122"/>
      <c r="AT1063" s="122"/>
      <c r="AU1063" s="122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115"/>
      <c r="BF1063" s="115"/>
      <c r="BG1063" s="115"/>
      <c r="BH1063" s="115"/>
      <c r="BI1063" s="115"/>
      <c r="BJ1063" s="26"/>
      <c r="BK1063" s="13"/>
      <c r="BN1063" s="114"/>
    </row>
    <row r="1064" spans="40:66" x14ac:dyDescent="0.4">
      <c r="AN1064" s="115"/>
      <c r="AO1064" s="115"/>
      <c r="AP1064" s="115"/>
      <c r="AQ1064" s="115"/>
      <c r="AR1064" s="115"/>
      <c r="AS1064" s="122"/>
      <c r="AT1064" s="122"/>
      <c r="AU1064" s="122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115"/>
      <c r="BF1064" s="115"/>
      <c r="BG1064" s="115"/>
      <c r="BH1064" s="115"/>
      <c r="BI1064" s="115"/>
      <c r="BJ1064" s="26"/>
      <c r="BK1064" s="13"/>
      <c r="BN1064" s="114"/>
    </row>
    <row r="1065" spans="40:66" x14ac:dyDescent="0.4">
      <c r="AN1065" s="115"/>
      <c r="AO1065" s="115"/>
      <c r="AP1065" s="115"/>
      <c r="AQ1065" s="115"/>
      <c r="AR1065" s="115"/>
      <c r="AS1065" s="122"/>
      <c r="AT1065" s="122"/>
      <c r="AU1065" s="122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115"/>
      <c r="BF1065" s="115"/>
      <c r="BG1065" s="115"/>
      <c r="BH1065" s="115"/>
      <c r="BI1065" s="115"/>
      <c r="BJ1065" s="26"/>
      <c r="BK1065" s="13"/>
      <c r="BN1065" s="114"/>
    </row>
    <row r="1066" spans="40:66" x14ac:dyDescent="0.4">
      <c r="AN1066" s="115"/>
      <c r="AO1066" s="115"/>
      <c r="AP1066" s="115"/>
      <c r="AQ1066" s="115"/>
      <c r="AR1066" s="115"/>
      <c r="AS1066" s="122"/>
      <c r="AT1066" s="122"/>
      <c r="AU1066" s="122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115"/>
      <c r="BF1066" s="115"/>
      <c r="BG1066" s="115"/>
      <c r="BH1066" s="115"/>
      <c r="BI1066" s="115"/>
      <c r="BJ1066" s="17"/>
      <c r="BK1066" s="13"/>
      <c r="BN1066" s="114"/>
    </row>
    <row r="1067" spans="40:66" x14ac:dyDescent="0.4">
      <c r="AN1067" s="115"/>
      <c r="AO1067" s="115"/>
      <c r="AP1067" s="115"/>
      <c r="AQ1067" s="115"/>
      <c r="AR1067" s="115"/>
      <c r="AS1067" s="122"/>
      <c r="AT1067" s="122"/>
      <c r="AU1067" s="122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115"/>
      <c r="BF1067" s="115"/>
      <c r="BG1067" s="115"/>
      <c r="BH1067" s="115"/>
      <c r="BI1067" s="115"/>
      <c r="BJ1067" s="26"/>
      <c r="BK1067" s="13"/>
      <c r="BN1067" s="114"/>
    </row>
    <row r="1068" spans="40:66" x14ac:dyDescent="0.4">
      <c r="AN1068" s="115"/>
      <c r="AO1068" s="115"/>
      <c r="AP1068" s="115"/>
      <c r="AQ1068" s="115"/>
      <c r="AR1068" s="115"/>
      <c r="AS1068" s="122"/>
      <c r="AT1068" s="122"/>
      <c r="AU1068" s="122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115"/>
      <c r="BF1068" s="115"/>
      <c r="BG1068" s="115"/>
      <c r="BH1068" s="115"/>
      <c r="BI1068" s="115"/>
      <c r="BJ1068" s="26"/>
      <c r="BK1068" s="13"/>
      <c r="BN1068" s="114"/>
    </row>
    <row r="1069" spans="40:66" x14ac:dyDescent="0.4">
      <c r="AN1069" s="115"/>
      <c r="AO1069" s="115"/>
      <c r="AP1069" s="115"/>
      <c r="AQ1069" s="115"/>
      <c r="AR1069" s="115"/>
      <c r="AS1069" s="122"/>
      <c r="AT1069" s="122"/>
      <c r="AU1069" s="122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115"/>
      <c r="BF1069" s="115"/>
      <c r="BG1069" s="115"/>
      <c r="BH1069" s="115"/>
      <c r="BI1069" s="115"/>
      <c r="BJ1069" s="26"/>
      <c r="BK1069" s="13"/>
      <c r="BN1069" s="114"/>
    </row>
    <row r="1070" spans="40:66" x14ac:dyDescent="0.4">
      <c r="AN1070" s="115"/>
      <c r="AO1070" s="115"/>
      <c r="AP1070" s="115"/>
      <c r="AQ1070" s="115"/>
      <c r="AR1070" s="115"/>
      <c r="AS1070" s="122"/>
      <c r="AT1070" s="122"/>
      <c r="AU1070" s="122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115"/>
      <c r="BF1070" s="115"/>
      <c r="BG1070" s="115"/>
      <c r="BH1070" s="115"/>
      <c r="BI1070" s="115"/>
      <c r="BJ1070" s="17"/>
      <c r="BK1070" s="13"/>
      <c r="BN1070" s="114"/>
    </row>
    <row r="1071" spans="40:66" x14ac:dyDescent="0.4">
      <c r="AN1071" s="115"/>
      <c r="AO1071" s="115"/>
      <c r="AP1071" s="115"/>
      <c r="AQ1071" s="115"/>
      <c r="AR1071" s="115"/>
      <c r="AS1071" s="122"/>
      <c r="AT1071" s="122"/>
      <c r="AU1071" s="122"/>
      <c r="AV1071" s="115"/>
      <c r="AW1071" s="115"/>
      <c r="AX1071" s="115"/>
      <c r="AY1071" s="115"/>
      <c r="AZ1071" s="115"/>
      <c r="BA1071" s="115"/>
      <c r="BB1071" s="115"/>
      <c r="BC1071" s="115"/>
      <c r="BD1071" s="115"/>
      <c r="BE1071" s="115"/>
      <c r="BF1071" s="115"/>
      <c r="BG1071" s="115"/>
      <c r="BH1071" s="115"/>
      <c r="BI1071" s="115"/>
      <c r="BJ1071" s="26"/>
      <c r="BK1071" s="13"/>
      <c r="BN1071" s="114"/>
    </row>
    <row r="1072" spans="40:66" x14ac:dyDescent="0.4">
      <c r="AN1072" s="115"/>
      <c r="AO1072" s="115"/>
      <c r="AP1072" s="115"/>
      <c r="AQ1072" s="115"/>
      <c r="AR1072" s="115"/>
      <c r="AS1072" s="122"/>
      <c r="AT1072" s="122"/>
      <c r="AU1072" s="122"/>
      <c r="AV1072" s="115"/>
      <c r="AW1072" s="115"/>
      <c r="AX1072" s="115"/>
      <c r="AY1072" s="115"/>
      <c r="AZ1072" s="115"/>
      <c r="BA1072" s="115"/>
      <c r="BB1072" s="115"/>
      <c r="BC1072" s="115"/>
      <c r="BD1072" s="115"/>
      <c r="BE1072" s="115"/>
      <c r="BF1072" s="115"/>
      <c r="BG1072" s="115"/>
      <c r="BH1072" s="115"/>
      <c r="BI1072" s="115"/>
      <c r="BJ1072" s="17"/>
      <c r="BK1072" s="13"/>
      <c r="BN1072" s="114"/>
    </row>
    <row r="1073" spans="39:66" x14ac:dyDescent="0.4">
      <c r="AN1073" s="115"/>
      <c r="AO1073" s="115"/>
      <c r="AP1073" s="115"/>
      <c r="AQ1073" s="115"/>
      <c r="AR1073" s="115"/>
      <c r="AS1073" s="122"/>
      <c r="AT1073" s="122"/>
      <c r="AU1073" s="122"/>
      <c r="AV1073" s="115"/>
      <c r="AW1073" s="115"/>
      <c r="AX1073" s="115"/>
      <c r="AY1073" s="115"/>
      <c r="AZ1073" s="115"/>
      <c r="BA1073" s="115"/>
      <c r="BB1073" s="115"/>
      <c r="BC1073" s="115"/>
      <c r="BD1073" s="115"/>
      <c r="BE1073" s="115"/>
      <c r="BF1073" s="115"/>
      <c r="BG1073" s="115"/>
      <c r="BH1073" s="115"/>
      <c r="BI1073" s="115"/>
      <c r="BJ1073" s="26"/>
      <c r="BK1073" s="13"/>
      <c r="BN1073" s="114"/>
    </row>
    <row r="1074" spans="39:66" x14ac:dyDescent="0.4">
      <c r="AN1074" s="115"/>
      <c r="AO1074" s="115"/>
      <c r="AP1074" s="115"/>
      <c r="AQ1074" s="115"/>
      <c r="AR1074" s="115"/>
      <c r="AS1074" s="122"/>
      <c r="AT1074" s="122"/>
      <c r="AU1074" s="122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115"/>
      <c r="BF1074" s="115"/>
      <c r="BG1074" s="115"/>
      <c r="BH1074" s="115"/>
      <c r="BI1074" s="115"/>
      <c r="BJ1074" s="26"/>
      <c r="BK1074" s="15"/>
      <c r="BN1074" s="114"/>
    </row>
    <row r="1075" spans="39:66" x14ac:dyDescent="0.4">
      <c r="AN1075" s="115"/>
      <c r="AO1075" s="115"/>
      <c r="AP1075" s="115"/>
      <c r="AQ1075" s="115"/>
      <c r="AR1075" s="115"/>
      <c r="AS1075" s="122"/>
      <c r="AT1075" s="122"/>
      <c r="AU1075" s="122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115"/>
      <c r="BF1075" s="115"/>
      <c r="BG1075" s="115"/>
      <c r="BH1075" s="115"/>
      <c r="BI1075" s="115"/>
      <c r="BJ1075" s="17"/>
      <c r="BK1075" s="15"/>
      <c r="BN1075" s="114"/>
    </row>
    <row r="1076" spans="39:66" x14ac:dyDescent="0.4">
      <c r="AN1076" s="115"/>
      <c r="AO1076" s="115"/>
      <c r="AP1076" s="115"/>
      <c r="AQ1076" s="115"/>
      <c r="AR1076" s="115"/>
      <c r="AS1076" s="122"/>
      <c r="AT1076" s="122"/>
      <c r="AU1076" s="122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115"/>
      <c r="BF1076" s="115"/>
      <c r="BG1076" s="115"/>
      <c r="BH1076" s="115"/>
      <c r="BI1076" s="115"/>
      <c r="BJ1076" s="17"/>
      <c r="BK1076" s="15"/>
      <c r="BN1076" s="114"/>
    </row>
    <row r="1077" spans="39:66" x14ac:dyDescent="0.4">
      <c r="AM1077" s="115"/>
      <c r="AN1077" s="115"/>
      <c r="AO1077" s="115"/>
      <c r="AP1077" s="115"/>
      <c r="AQ1077" s="115"/>
      <c r="AR1077" s="115"/>
      <c r="AS1077" s="122"/>
      <c r="AT1077" s="122"/>
      <c r="AU1077" s="122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115"/>
      <c r="BF1077" s="115"/>
      <c r="BG1077" s="115"/>
      <c r="BH1077" s="115"/>
      <c r="BI1077" s="115"/>
      <c r="BJ1077" s="26"/>
      <c r="BK1077" s="15"/>
      <c r="BN1077" s="114"/>
    </row>
    <row r="1078" spans="39:66" x14ac:dyDescent="0.4">
      <c r="AM1078" s="115"/>
      <c r="AN1078" s="115"/>
      <c r="AO1078" s="115"/>
      <c r="AP1078" s="115"/>
      <c r="AQ1078" s="115"/>
      <c r="AR1078" s="115"/>
      <c r="AS1078" s="122"/>
      <c r="AT1078" s="122"/>
      <c r="AU1078" s="122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115"/>
      <c r="BF1078" s="115"/>
      <c r="BG1078" s="115"/>
      <c r="BH1078" s="115"/>
      <c r="BI1078" s="115"/>
      <c r="BJ1078" s="17"/>
      <c r="BK1078" s="15"/>
      <c r="BN1078" s="114"/>
    </row>
    <row r="1079" spans="39:66" x14ac:dyDescent="0.4">
      <c r="AM1079" s="115"/>
      <c r="AN1079" s="115"/>
      <c r="AO1079" s="115"/>
      <c r="AP1079" s="115"/>
      <c r="AQ1079" s="115"/>
      <c r="AR1079" s="115"/>
      <c r="AS1079" s="122"/>
      <c r="AT1079" s="122"/>
      <c r="AU1079" s="122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115"/>
      <c r="BF1079" s="115"/>
      <c r="BG1079" s="115"/>
      <c r="BH1079" s="115"/>
      <c r="BI1079" s="115"/>
      <c r="BJ1079" s="26"/>
      <c r="BK1079" s="15"/>
      <c r="BN1079" s="114"/>
    </row>
    <row r="1080" spans="39:66" x14ac:dyDescent="0.4">
      <c r="AM1080" s="115"/>
      <c r="AN1080" s="115"/>
      <c r="AO1080" s="115"/>
      <c r="AP1080" s="115"/>
      <c r="AQ1080" s="115"/>
      <c r="AR1080" s="115"/>
      <c r="AS1080" s="122"/>
      <c r="AT1080" s="122"/>
      <c r="AU1080" s="122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115"/>
      <c r="BF1080" s="115"/>
      <c r="BG1080" s="115"/>
      <c r="BH1080" s="115"/>
      <c r="BI1080" s="115"/>
      <c r="BJ1080" s="26"/>
      <c r="BK1080" s="15"/>
      <c r="BN1080" s="114"/>
    </row>
    <row r="1081" spans="39:66" x14ac:dyDescent="0.4">
      <c r="AM1081" s="115"/>
      <c r="AN1081" s="115"/>
      <c r="AO1081" s="115"/>
      <c r="AP1081" s="115"/>
      <c r="AQ1081" s="115"/>
      <c r="AR1081" s="115"/>
      <c r="AS1081" s="122"/>
      <c r="AT1081" s="122"/>
      <c r="AU1081" s="122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115"/>
      <c r="BF1081" s="115"/>
      <c r="BG1081" s="115"/>
      <c r="BH1081" s="115"/>
      <c r="BI1081" s="115"/>
      <c r="BJ1081" s="17"/>
      <c r="BK1081" s="15"/>
      <c r="BN1081" s="114"/>
    </row>
    <row r="1082" spans="39:66" x14ac:dyDescent="0.4">
      <c r="AM1082" s="115"/>
      <c r="AN1082" s="115"/>
      <c r="AO1082" s="115"/>
      <c r="AP1082" s="115"/>
      <c r="AQ1082" s="115"/>
      <c r="AR1082" s="115"/>
      <c r="AS1082" s="122"/>
      <c r="AT1082" s="122"/>
      <c r="AU1082" s="122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115"/>
      <c r="BF1082" s="115"/>
      <c r="BG1082" s="115"/>
      <c r="BH1082" s="115"/>
      <c r="BI1082" s="115"/>
      <c r="BJ1082" s="26"/>
      <c r="BK1082" s="15"/>
      <c r="BN1082" s="114"/>
    </row>
    <row r="1083" spans="39:66" x14ac:dyDescent="0.4">
      <c r="AM1083" s="115"/>
      <c r="AN1083" s="115"/>
      <c r="AO1083" s="115"/>
      <c r="AP1083" s="115"/>
      <c r="AQ1083" s="115"/>
      <c r="AR1083" s="115"/>
      <c r="AS1083" s="122"/>
      <c r="AT1083" s="122"/>
      <c r="AU1083" s="122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115"/>
      <c r="BF1083" s="115"/>
      <c r="BG1083" s="115"/>
      <c r="BH1083" s="115"/>
      <c r="BI1083" s="115"/>
      <c r="BJ1083" s="17"/>
      <c r="BK1083" s="15"/>
      <c r="BN1083" s="114"/>
    </row>
    <row r="1084" spans="39:66" x14ac:dyDescent="0.4">
      <c r="AM1084" s="115"/>
      <c r="AN1084" s="115"/>
      <c r="AO1084" s="115"/>
      <c r="AP1084" s="115"/>
      <c r="AQ1084" s="115"/>
      <c r="AR1084" s="115"/>
      <c r="AS1084" s="122"/>
      <c r="AT1084" s="122"/>
      <c r="AU1084" s="122"/>
      <c r="AV1084" s="115"/>
      <c r="AW1084" s="115"/>
      <c r="AX1084" s="115"/>
      <c r="AY1084" s="115"/>
      <c r="AZ1084" s="115"/>
      <c r="BA1084" s="115"/>
      <c r="BB1084" s="115"/>
      <c r="BC1084" s="115"/>
      <c r="BD1084" s="115"/>
      <c r="BE1084" s="115"/>
      <c r="BF1084" s="115"/>
      <c r="BG1084" s="115"/>
      <c r="BH1084" s="115"/>
      <c r="BI1084" s="115"/>
      <c r="BJ1084" s="17"/>
      <c r="BK1084" s="15"/>
      <c r="BN1084" s="114"/>
    </row>
    <row r="1085" spans="39:66" x14ac:dyDescent="0.4">
      <c r="AM1085" s="115"/>
      <c r="AN1085" s="115"/>
      <c r="AO1085" s="115"/>
      <c r="AP1085" s="115"/>
      <c r="AQ1085" s="115"/>
      <c r="AR1085" s="115"/>
      <c r="AS1085" s="122"/>
      <c r="AT1085" s="122"/>
      <c r="AU1085" s="122"/>
      <c r="AV1085" s="115"/>
      <c r="AW1085" s="115"/>
      <c r="AX1085" s="115"/>
      <c r="AY1085" s="115"/>
      <c r="AZ1085" s="115"/>
      <c r="BA1085" s="115"/>
      <c r="BB1085" s="115"/>
      <c r="BC1085" s="115"/>
      <c r="BD1085" s="115"/>
      <c r="BE1085" s="115"/>
      <c r="BF1085" s="115"/>
      <c r="BG1085" s="115"/>
      <c r="BH1085" s="115"/>
      <c r="BI1085" s="115"/>
      <c r="BJ1085" s="26"/>
      <c r="BK1085" s="15"/>
      <c r="BN1085" s="114"/>
    </row>
    <row r="1086" spans="39:66" x14ac:dyDescent="0.4">
      <c r="AM1086" s="115"/>
      <c r="AN1086" s="115"/>
      <c r="AO1086" s="115"/>
      <c r="AP1086" s="115"/>
      <c r="AQ1086" s="115"/>
      <c r="AR1086" s="115"/>
      <c r="AS1086" s="122"/>
      <c r="AT1086" s="122"/>
      <c r="AU1086" s="122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115"/>
      <c r="BF1086" s="115"/>
      <c r="BG1086" s="115"/>
      <c r="BH1086" s="115"/>
      <c r="BI1086" s="115"/>
      <c r="BJ1086" s="26"/>
      <c r="BK1086" s="15"/>
      <c r="BN1086" s="114"/>
    </row>
    <row r="1087" spans="39:66" x14ac:dyDescent="0.4">
      <c r="AM1087" s="115"/>
      <c r="AN1087" s="115"/>
      <c r="AO1087" s="115"/>
      <c r="AP1087" s="115"/>
      <c r="AQ1087" s="115"/>
      <c r="AR1087" s="115"/>
      <c r="AS1087" s="122"/>
      <c r="AT1087" s="122"/>
      <c r="AU1087" s="122"/>
      <c r="AV1087" s="115"/>
      <c r="AW1087" s="115"/>
      <c r="AX1087" s="115"/>
      <c r="AY1087" s="115"/>
      <c r="AZ1087" s="115"/>
      <c r="BA1087" s="115"/>
      <c r="BB1087" s="115"/>
      <c r="BC1087" s="115"/>
      <c r="BD1087" s="115"/>
      <c r="BE1087" s="115"/>
      <c r="BF1087" s="115"/>
      <c r="BG1087" s="115"/>
      <c r="BH1087" s="115"/>
      <c r="BI1087" s="115"/>
      <c r="BJ1087" s="26"/>
      <c r="BK1087" s="15"/>
      <c r="BN1087" s="114"/>
    </row>
    <row r="1088" spans="39:66" x14ac:dyDescent="0.4">
      <c r="AM1088" s="115"/>
      <c r="AN1088" s="115"/>
      <c r="AO1088" s="115"/>
      <c r="AP1088" s="115"/>
      <c r="AQ1088" s="115"/>
      <c r="AR1088" s="115"/>
      <c r="AS1088" s="122"/>
      <c r="AT1088" s="122"/>
      <c r="AU1088" s="122"/>
      <c r="AV1088" s="115"/>
      <c r="AW1088" s="115"/>
      <c r="AX1088" s="115"/>
      <c r="AY1088" s="115"/>
      <c r="AZ1088" s="115"/>
      <c r="BA1088" s="115"/>
      <c r="BB1088" s="115"/>
      <c r="BC1088" s="115"/>
      <c r="BD1088" s="115"/>
      <c r="BE1088" s="115"/>
      <c r="BF1088" s="115"/>
      <c r="BG1088" s="115"/>
      <c r="BH1088" s="115"/>
      <c r="BI1088" s="115"/>
      <c r="BJ1088" s="26"/>
      <c r="BK1088" s="15"/>
      <c r="BN1088" s="114"/>
    </row>
    <row r="1089" spans="39:66" x14ac:dyDescent="0.4">
      <c r="AM1089" s="115"/>
      <c r="AN1089" s="115"/>
      <c r="AO1089" s="115"/>
      <c r="AP1089" s="115"/>
      <c r="AQ1089" s="115"/>
      <c r="AR1089" s="115"/>
      <c r="AS1089" s="122"/>
      <c r="AT1089" s="122"/>
      <c r="AU1089" s="122"/>
      <c r="AV1089" s="115"/>
      <c r="AW1089" s="115"/>
      <c r="AX1089" s="115"/>
      <c r="AY1089" s="115"/>
      <c r="AZ1089" s="115"/>
      <c r="BA1089" s="115"/>
      <c r="BB1089" s="115"/>
      <c r="BC1089" s="115"/>
      <c r="BD1089" s="115"/>
      <c r="BE1089" s="115"/>
      <c r="BF1089" s="115"/>
      <c r="BG1089" s="115"/>
      <c r="BH1089" s="115"/>
      <c r="BI1089" s="115"/>
      <c r="BJ1089" s="26"/>
      <c r="BK1089" s="15"/>
      <c r="BN1089" s="114"/>
    </row>
    <row r="1090" spans="39:66" x14ac:dyDescent="0.4">
      <c r="AM1090" s="115"/>
      <c r="AN1090" s="115"/>
      <c r="AO1090" s="115"/>
      <c r="AP1090" s="115"/>
      <c r="AQ1090" s="115"/>
      <c r="AR1090" s="115"/>
      <c r="AS1090" s="122"/>
      <c r="AT1090" s="122"/>
      <c r="AU1090" s="122"/>
      <c r="AV1090" s="115"/>
      <c r="AW1090" s="115"/>
      <c r="AX1090" s="115"/>
      <c r="AY1090" s="115"/>
      <c r="AZ1090" s="115"/>
      <c r="BA1090" s="115"/>
      <c r="BB1090" s="115"/>
      <c r="BC1090" s="115"/>
      <c r="BD1090" s="115"/>
      <c r="BE1090" s="115"/>
      <c r="BF1090" s="115"/>
      <c r="BG1090" s="115"/>
      <c r="BH1090" s="115"/>
      <c r="BI1090" s="115"/>
      <c r="BJ1090" s="26"/>
      <c r="BK1090" s="15"/>
      <c r="BN1090" s="114"/>
    </row>
    <row r="1091" spans="39:66" x14ac:dyDescent="0.4">
      <c r="AM1091" s="115"/>
      <c r="AN1091" s="115"/>
      <c r="AO1091" s="115"/>
      <c r="AP1091" s="115"/>
      <c r="AQ1091" s="115"/>
      <c r="AR1091" s="115"/>
      <c r="AS1091" s="122"/>
      <c r="AT1091" s="122"/>
      <c r="AU1091" s="122"/>
      <c r="AV1091" s="115"/>
      <c r="AW1091" s="115"/>
      <c r="AX1091" s="115"/>
      <c r="AY1091" s="115"/>
      <c r="AZ1091" s="115"/>
      <c r="BA1091" s="115"/>
      <c r="BB1091" s="115"/>
      <c r="BC1091" s="115"/>
      <c r="BD1091" s="115"/>
      <c r="BE1091" s="115"/>
      <c r="BF1091" s="115"/>
      <c r="BG1091" s="115"/>
      <c r="BH1091" s="115"/>
      <c r="BI1091" s="115"/>
      <c r="BJ1091" s="26"/>
      <c r="BK1091" s="15"/>
      <c r="BN1091" s="114"/>
    </row>
    <row r="1092" spans="39:66" x14ac:dyDescent="0.4">
      <c r="AM1092" s="115"/>
      <c r="AN1092" s="115"/>
      <c r="AO1092" s="115"/>
      <c r="AP1092" s="115"/>
      <c r="AQ1092" s="115"/>
      <c r="AR1092" s="115"/>
      <c r="AS1092" s="122"/>
      <c r="AT1092" s="122"/>
      <c r="AU1092" s="122"/>
      <c r="AV1092" s="115"/>
      <c r="AW1092" s="115"/>
      <c r="AX1092" s="115"/>
      <c r="AY1092" s="115"/>
      <c r="AZ1092" s="115"/>
      <c r="BA1092" s="115"/>
      <c r="BB1092" s="115"/>
      <c r="BC1092" s="115"/>
      <c r="BD1092" s="115"/>
      <c r="BE1092" s="115"/>
      <c r="BF1092" s="115"/>
      <c r="BG1092" s="115"/>
      <c r="BH1092" s="115"/>
      <c r="BI1092" s="115"/>
      <c r="BJ1092" s="17"/>
      <c r="BK1092" s="15"/>
      <c r="BN1092" s="114"/>
    </row>
    <row r="1093" spans="39:66" x14ac:dyDescent="0.4">
      <c r="AM1093" s="115"/>
      <c r="AN1093" s="115"/>
      <c r="AO1093" s="115"/>
      <c r="AP1093" s="115"/>
      <c r="AQ1093" s="115"/>
      <c r="AR1093" s="115"/>
      <c r="AS1093" s="122"/>
      <c r="AT1093" s="122"/>
      <c r="AU1093" s="122"/>
      <c r="AV1093" s="115"/>
      <c r="AW1093" s="115"/>
      <c r="AX1093" s="115"/>
      <c r="AY1093" s="115"/>
      <c r="AZ1093" s="115"/>
      <c r="BA1093" s="115"/>
      <c r="BB1093" s="115"/>
      <c r="BC1093" s="115"/>
      <c r="BD1093" s="115"/>
      <c r="BE1093" s="115"/>
      <c r="BF1093" s="115"/>
      <c r="BG1093" s="115"/>
      <c r="BH1093" s="115"/>
      <c r="BI1093" s="115"/>
      <c r="BJ1093" s="26"/>
      <c r="BK1093" s="15"/>
      <c r="BN1093" s="114"/>
    </row>
    <row r="1094" spans="39:66" x14ac:dyDescent="0.4">
      <c r="AM1094" s="115"/>
      <c r="AN1094" s="115"/>
      <c r="AO1094" s="115"/>
      <c r="AP1094" s="115"/>
      <c r="AQ1094" s="115"/>
      <c r="AR1094" s="115"/>
      <c r="AS1094" s="122"/>
      <c r="AT1094" s="122"/>
      <c r="AU1094" s="122"/>
      <c r="AV1094" s="115"/>
      <c r="AW1094" s="115"/>
      <c r="AX1094" s="115"/>
      <c r="AY1094" s="115"/>
      <c r="AZ1094" s="115"/>
      <c r="BA1094" s="115"/>
      <c r="BB1094" s="115"/>
      <c r="BC1094" s="115"/>
      <c r="BD1094" s="115"/>
      <c r="BE1094" s="115"/>
      <c r="BF1094" s="115"/>
      <c r="BG1094" s="115"/>
      <c r="BH1094" s="115"/>
      <c r="BI1094" s="115"/>
      <c r="BJ1094" s="26"/>
      <c r="BK1094" s="15"/>
      <c r="BN1094" s="114"/>
    </row>
    <row r="1095" spans="39:66" x14ac:dyDescent="0.4">
      <c r="AM1095" s="115"/>
      <c r="AN1095" s="115"/>
      <c r="AO1095" s="115"/>
      <c r="AP1095" s="115"/>
      <c r="AQ1095" s="115"/>
      <c r="AR1095" s="115"/>
      <c r="AS1095" s="122"/>
      <c r="AT1095" s="122"/>
      <c r="AU1095" s="122"/>
      <c r="AV1095" s="115"/>
      <c r="AW1095" s="115"/>
      <c r="AX1095" s="115"/>
      <c r="AY1095" s="115"/>
      <c r="AZ1095" s="115"/>
      <c r="BA1095" s="115"/>
      <c r="BB1095" s="115"/>
      <c r="BC1095" s="115"/>
      <c r="BD1095" s="115"/>
      <c r="BE1095" s="115"/>
      <c r="BF1095" s="115"/>
      <c r="BG1095" s="115"/>
      <c r="BH1095" s="115"/>
      <c r="BI1095" s="115"/>
      <c r="BJ1095" s="26"/>
      <c r="BK1095" s="15"/>
      <c r="BN1095" s="114"/>
    </row>
    <row r="1096" spans="39:66" x14ac:dyDescent="0.4">
      <c r="AM1096" s="115"/>
      <c r="AN1096" s="115"/>
      <c r="AO1096" s="115"/>
      <c r="AP1096" s="115"/>
      <c r="AQ1096" s="115"/>
      <c r="AR1096" s="115"/>
      <c r="AS1096" s="122"/>
      <c r="AT1096" s="122"/>
      <c r="AU1096" s="122"/>
      <c r="AV1096" s="115"/>
      <c r="AW1096" s="115"/>
      <c r="AX1096" s="115"/>
      <c r="AY1096" s="115"/>
      <c r="AZ1096" s="115"/>
      <c r="BA1096" s="115"/>
      <c r="BB1096" s="115"/>
      <c r="BC1096" s="115"/>
      <c r="BD1096" s="115"/>
      <c r="BE1096" s="115"/>
      <c r="BF1096" s="115"/>
      <c r="BG1096" s="115"/>
      <c r="BH1096" s="115"/>
      <c r="BI1096" s="115"/>
      <c r="BJ1096" s="26"/>
      <c r="BK1096" s="13"/>
      <c r="BN1096" s="114"/>
    </row>
    <row r="1097" spans="39:66" x14ac:dyDescent="0.4">
      <c r="AM1097" s="115"/>
      <c r="AN1097" s="115"/>
      <c r="AO1097" s="115"/>
      <c r="AP1097" s="115"/>
      <c r="AQ1097" s="115"/>
      <c r="AR1097" s="115"/>
      <c r="AS1097" s="122"/>
      <c r="AT1097" s="122"/>
      <c r="AU1097" s="122"/>
      <c r="AV1097" s="115"/>
      <c r="AW1097" s="115"/>
      <c r="AX1097" s="115"/>
      <c r="AY1097" s="115"/>
      <c r="AZ1097" s="115"/>
      <c r="BA1097" s="115"/>
      <c r="BB1097" s="115"/>
      <c r="BC1097" s="115"/>
      <c r="BD1097" s="115"/>
      <c r="BE1097" s="115"/>
      <c r="BF1097" s="115"/>
      <c r="BG1097" s="115"/>
      <c r="BH1097" s="115"/>
      <c r="BI1097" s="115"/>
      <c r="BJ1097" s="17"/>
      <c r="BK1097" s="13"/>
      <c r="BN1097" s="114"/>
    </row>
    <row r="1098" spans="39:66" x14ac:dyDescent="0.4">
      <c r="AM1098" s="115"/>
      <c r="AN1098" s="115"/>
      <c r="AO1098" s="115"/>
      <c r="AP1098" s="115"/>
      <c r="AQ1098" s="115"/>
      <c r="AR1098" s="115"/>
      <c r="AS1098" s="122"/>
      <c r="AT1098" s="122"/>
      <c r="AU1098" s="122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115"/>
      <c r="BF1098" s="115"/>
      <c r="BG1098" s="115"/>
      <c r="BH1098" s="115"/>
      <c r="BI1098" s="115"/>
      <c r="BJ1098" s="26"/>
      <c r="BK1098" s="13"/>
      <c r="BN1098" s="114"/>
    </row>
    <row r="1099" spans="39:66" x14ac:dyDescent="0.4">
      <c r="AM1099" s="115"/>
      <c r="AN1099" s="115"/>
      <c r="AO1099" s="115"/>
      <c r="AP1099" s="115"/>
      <c r="AQ1099" s="115"/>
      <c r="AR1099" s="115"/>
      <c r="AS1099" s="122"/>
      <c r="AT1099" s="122"/>
      <c r="AU1099" s="122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115"/>
      <c r="BF1099" s="115"/>
      <c r="BG1099" s="115"/>
      <c r="BH1099" s="115"/>
      <c r="BI1099" s="115"/>
      <c r="BJ1099" s="26"/>
      <c r="BK1099" s="13"/>
      <c r="BN1099" s="114"/>
    </row>
    <row r="1100" spans="39:66" x14ac:dyDescent="0.4">
      <c r="AM1100" s="115"/>
      <c r="AN1100" s="115"/>
      <c r="AO1100" s="115"/>
      <c r="AP1100" s="115"/>
      <c r="AQ1100" s="115"/>
      <c r="AR1100" s="115"/>
      <c r="AS1100" s="122"/>
      <c r="AT1100" s="122"/>
      <c r="AU1100" s="122"/>
      <c r="AV1100" s="115"/>
      <c r="AW1100" s="115"/>
      <c r="AX1100" s="115"/>
      <c r="AY1100" s="115"/>
      <c r="AZ1100" s="115"/>
      <c r="BA1100" s="115"/>
      <c r="BB1100" s="115"/>
      <c r="BC1100" s="115"/>
      <c r="BD1100" s="115"/>
      <c r="BE1100" s="115"/>
      <c r="BF1100" s="115"/>
      <c r="BG1100" s="115"/>
      <c r="BH1100" s="115"/>
      <c r="BI1100" s="115"/>
      <c r="BJ1100" s="26"/>
      <c r="BK1100" s="13"/>
      <c r="BN1100" s="114"/>
    </row>
    <row r="1101" spans="39:66" x14ac:dyDescent="0.4">
      <c r="AM1101" s="115"/>
      <c r="AN1101" s="115"/>
      <c r="AO1101" s="115"/>
      <c r="AP1101" s="115"/>
      <c r="AQ1101" s="115"/>
      <c r="AR1101" s="115"/>
      <c r="AS1101" s="122"/>
      <c r="AT1101" s="122"/>
      <c r="AU1101" s="122"/>
      <c r="AV1101" s="115"/>
      <c r="AW1101" s="115"/>
      <c r="AX1101" s="115"/>
      <c r="AY1101" s="115"/>
      <c r="AZ1101" s="115"/>
      <c r="BA1101" s="115"/>
      <c r="BB1101" s="115"/>
      <c r="BC1101" s="115"/>
      <c r="BD1101" s="115"/>
      <c r="BE1101" s="115"/>
      <c r="BF1101" s="115"/>
      <c r="BG1101" s="115"/>
      <c r="BH1101" s="115"/>
      <c r="BI1101" s="115"/>
      <c r="BJ1101" s="26"/>
      <c r="BK1101" s="13"/>
      <c r="BN1101" s="114"/>
    </row>
    <row r="1102" spans="39:66" x14ac:dyDescent="0.4">
      <c r="AM1102" s="115"/>
      <c r="AN1102" s="115"/>
      <c r="AO1102" s="115"/>
      <c r="AP1102" s="115"/>
      <c r="AQ1102" s="115"/>
      <c r="AR1102" s="115"/>
      <c r="AS1102" s="122"/>
      <c r="AT1102" s="122"/>
      <c r="AU1102" s="122"/>
      <c r="AV1102" s="115"/>
      <c r="AW1102" s="115"/>
      <c r="AX1102" s="115"/>
      <c r="AY1102" s="115"/>
      <c r="AZ1102" s="115"/>
      <c r="BA1102" s="115"/>
      <c r="BB1102" s="115"/>
      <c r="BC1102" s="115"/>
      <c r="BD1102" s="115"/>
      <c r="BE1102" s="115"/>
      <c r="BF1102" s="115"/>
      <c r="BG1102" s="115"/>
      <c r="BH1102" s="115"/>
      <c r="BI1102" s="115"/>
      <c r="BJ1102" s="26"/>
      <c r="BK1102" s="13"/>
      <c r="BN1102" s="114"/>
    </row>
    <row r="1103" spans="39:66" x14ac:dyDescent="0.4">
      <c r="AM1103" s="115"/>
      <c r="AN1103" s="115"/>
      <c r="AO1103" s="115"/>
      <c r="AP1103" s="115"/>
      <c r="AQ1103" s="115"/>
      <c r="AR1103" s="115"/>
      <c r="AS1103" s="122"/>
      <c r="AT1103" s="122"/>
      <c r="AU1103" s="122"/>
      <c r="AV1103" s="115"/>
      <c r="AW1103" s="115"/>
      <c r="AX1103" s="115"/>
      <c r="AY1103" s="115"/>
      <c r="AZ1103" s="115"/>
      <c r="BA1103" s="115"/>
      <c r="BB1103" s="115"/>
      <c r="BC1103" s="115"/>
      <c r="BD1103" s="115"/>
      <c r="BE1103" s="115"/>
      <c r="BF1103" s="115"/>
      <c r="BG1103" s="115"/>
      <c r="BH1103" s="115"/>
      <c r="BI1103" s="115"/>
      <c r="BJ1103" s="26"/>
      <c r="BK1103" s="13"/>
      <c r="BN1103" s="114"/>
    </row>
    <row r="1104" spans="39:66" x14ac:dyDescent="0.4">
      <c r="AM1104" s="115"/>
      <c r="AN1104" s="115"/>
      <c r="AO1104" s="115"/>
      <c r="AP1104" s="115"/>
      <c r="AQ1104" s="115"/>
      <c r="AR1104" s="115"/>
      <c r="AS1104" s="122"/>
      <c r="AT1104" s="122"/>
      <c r="AU1104" s="122"/>
      <c r="AV1104" s="115"/>
      <c r="AW1104" s="115"/>
      <c r="AX1104" s="115"/>
      <c r="AY1104" s="115"/>
      <c r="AZ1104" s="115"/>
      <c r="BA1104" s="115"/>
      <c r="BB1104" s="115"/>
      <c r="BC1104" s="115"/>
      <c r="BD1104" s="115"/>
      <c r="BE1104" s="115"/>
      <c r="BF1104" s="115"/>
      <c r="BG1104" s="115"/>
      <c r="BH1104" s="115"/>
      <c r="BI1104" s="115"/>
      <c r="BJ1104" s="17"/>
      <c r="BK1104" s="13"/>
      <c r="BN1104" s="114"/>
    </row>
    <row r="1105" spans="5:66" x14ac:dyDescent="0.4">
      <c r="AM1105" s="115"/>
      <c r="AN1105" s="115"/>
      <c r="AO1105" s="115"/>
      <c r="AP1105" s="115"/>
      <c r="AQ1105" s="115"/>
      <c r="AR1105" s="115"/>
      <c r="AS1105" s="122"/>
      <c r="AT1105" s="122"/>
      <c r="AU1105" s="122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115"/>
      <c r="BF1105" s="115"/>
      <c r="BG1105" s="115"/>
      <c r="BH1105" s="115"/>
      <c r="BI1105" s="115"/>
      <c r="BJ1105" s="26"/>
      <c r="BK1105" s="13"/>
      <c r="BN1105" s="114"/>
    </row>
    <row r="1106" spans="5:66" x14ac:dyDescent="0.4">
      <c r="AM1106" s="115"/>
      <c r="AN1106" s="115"/>
      <c r="AO1106" s="115"/>
      <c r="AP1106" s="115"/>
      <c r="AQ1106" s="115"/>
      <c r="AR1106" s="115"/>
      <c r="AS1106" s="122"/>
      <c r="AT1106" s="122"/>
      <c r="AU1106" s="122"/>
      <c r="AV1106" s="115"/>
      <c r="AW1106" s="115"/>
      <c r="AX1106" s="115"/>
      <c r="AY1106" s="115"/>
      <c r="AZ1106" s="115"/>
      <c r="BA1106" s="115"/>
      <c r="BB1106" s="115"/>
      <c r="BC1106" s="115"/>
      <c r="BD1106" s="115"/>
      <c r="BE1106" s="115"/>
      <c r="BF1106" s="115"/>
      <c r="BG1106" s="115"/>
      <c r="BH1106" s="115"/>
      <c r="BI1106" s="115"/>
      <c r="BJ1106" s="26"/>
      <c r="BK1106" s="13"/>
      <c r="BN1106" s="114"/>
    </row>
    <row r="1107" spans="5:66" x14ac:dyDescent="0.4"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22"/>
      <c r="AT1107" s="122"/>
      <c r="AU1107" s="122"/>
      <c r="AV1107" s="115"/>
      <c r="AW1107" s="115"/>
      <c r="AX1107" s="115"/>
      <c r="AY1107" s="115"/>
      <c r="AZ1107" s="115"/>
      <c r="BA1107" s="115"/>
      <c r="BB1107" s="115"/>
      <c r="BC1107" s="115"/>
      <c r="BD1107" s="115"/>
      <c r="BE1107" s="115"/>
      <c r="BF1107" s="115"/>
      <c r="BG1107" s="115"/>
      <c r="BH1107" s="115"/>
      <c r="BI1107" s="115"/>
      <c r="BJ1107" s="26"/>
      <c r="BK1107" s="13"/>
      <c r="BN1107" s="114"/>
    </row>
    <row r="1108" spans="5:66" x14ac:dyDescent="0.4"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22"/>
      <c r="AT1108" s="122"/>
      <c r="AU1108" s="122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115"/>
      <c r="BF1108" s="115"/>
      <c r="BG1108" s="115"/>
      <c r="BH1108" s="115"/>
      <c r="BI1108" s="115"/>
      <c r="BJ1108" s="26"/>
      <c r="BK1108" s="13"/>
      <c r="BN1108" s="114"/>
    </row>
    <row r="1109" spans="5:66" x14ac:dyDescent="0.4"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22"/>
      <c r="AT1109" s="122"/>
      <c r="AU1109" s="122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115"/>
      <c r="BF1109" s="115"/>
      <c r="BG1109" s="115"/>
      <c r="BH1109" s="115"/>
      <c r="BI1109" s="115"/>
      <c r="BJ1109" s="26"/>
      <c r="BK1109" s="13"/>
      <c r="BN1109" s="114"/>
    </row>
    <row r="1110" spans="5:66" x14ac:dyDescent="0.4"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22"/>
      <c r="AT1110" s="122"/>
      <c r="AU1110" s="122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115"/>
      <c r="BF1110" s="115"/>
      <c r="BG1110" s="115"/>
      <c r="BH1110" s="115"/>
      <c r="BI1110" s="115"/>
      <c r="BJ1110" s="26"/>
      <c r="BK1110" s="13"/>
      <c r="BN1110" s="114"/>
    </row>
    <row r="1111" spans="5:66" x14ac:dyDescent="0.4"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22"/>
      <c r="AT1111" s="122"/>
      <c r="AU1111" s="122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115"/>
      <c r="BF1111" s="115"/>
      <c r="BG1111" s="115"/>
      <c r="BH1111" s="115"/>
      <c r="BI1111" s="115"/>
      <c r="BJ1111" s="26"/>
      <c r="BK1111" s="13"/>
      <c r="BN1111" s="114"/>
    </row>
    <row r="1112" spans="5:66" x14ac:dyDescent="0.4"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22"/>
      <c r="AT1112" s="122"/>
      <c r="AU1112" s="122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115"/>
      <c r="BF1112" s="115"/>
      <c r="BG1112" s="115"/>
      <c r="BH1112" s="115"/>
      <c r="BI1112" s="115"/>
      <c r="BJ1112" s="26"/>
      <c r="BK1112" s="13"/>
      <c r="BN1112" s="114"/>
    </row>
    <row r="1113" spans="5:66" x14ac:dyDescent="0.4"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22"/>
      <c r="AT1113" s="122"/>
      <c r="AU1113" s="122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115"/>
      <c r="BF1113" s="115"/>
      <c r="BG1113" s="115"/>
      <c r="BH1113" s="115"/>
      <c r="BI1113" s="115"/>
      <c r="BJ1113" s="26"/>
      <c r="BK1113" s="13"/>
      <c r="BN1113" s="114"/>
    </row>
    <row r="1114" spans="5:66" x14ac:dyDescent="0.4"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22"/>
      <c r="AT1114" s="122"/>
      <c r="AU1114" s="122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115"/>
      <c r="BF1114" s="115"/>
      <c r="BG1114" s="115"/>
      <c r="BH1114" s="115"/>
      <c r="BI1114" s="115"/>
      <c r="BJ1114" s="26"/>
      <c r="BK1114" s="13"/>
      <c r="BN1114" s="114"/>
    </row>
    <row r="1115" spans="5:66" x14ac:dyDescent="0.4"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22"/>
      <c r="AT1115" s="122"/>
      <c r="AU1115" s="122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115"/>
      <c r="BF1115" s="115"/>
      <c r="BG1115" s="115"/>
      <c r="BH1115" s="115"/>
      <c r="BI1115" s="115"/>
      <c r="BJ1115" s="26"/>
      <c r="BK1115" s="13"/>
      <c r="BN1115" s="114"/>
    </row>
    <row r="1116" spans="5:66" x14ac:dyDescent="0.4"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22"/>
      <c r="AT1116" s="122"/>
      <c r="AU1116" s="122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115"/>
      <c r="BF1116" s="115"/>
      <c r="BG1116" s="115"/>
      <c r="BH1116" s="115"/>
      <c r="BI1116" s="115"/>
      <c r="BJ1116" s="26"/>
      <c r="BK1116" s="13"/>
      <c r="BN1116" s="114"/>
    </row>
    <row r="1117" spans="5:66" x14ac:dyDescent="0.4">
      <c r="E1117" s="115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22"/>
      <c r="AT1117" s="122"/>
      <c r="AU1117" s="122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115"/>
      <c r="BF1117" s="115"/>
      <c r="BG1117" s="115"/>
      <c r="BH1117" s="115"/>
      <c r="BI1117" s="115"/>
      <c r="BJ1117" s="26"/>
      <c r="BK1117" s="13"/>
      <c r="BN1117" s="114"/>
    </row>
    <row r="1118" spans="5:66" x14ac:dyDescent="0.4"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22"/>
      <c r="AT1118" s="122"/>
      <c r="AU1118" s="122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115"/>
      <c r="BF1118" s="115"/>
      <c r="BG1118" s="115"/>
      <c r="BH1118" s="115"/>
      <c r="BI1118" s="115"/>
      <c r="BJ1118" s="26"/>
      <c r="BK1118" s="13"/>
      <c r="BN1118" s="114"/>
    </row>
    <row r="1119" spans="5:66" x14ac:dyDescent="0.4"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22"/>
      <c r="AT1119" s="122"/>
      <c r="AU1119" s="122"/>
      <c r="AV1119" s="115"/>
      <c r="AW1119" s="115"/>
      <c r="AX1119" s="115"/>
      <c r="AY1119" s="115"/>
      <c r="AZ1119" s="115"/>
      <c r="BA1119" s="115"/>
      <c r="BB1119" s="115"/>
      <c r="BC1119" s="115"/>
      <c r="BD1119" s="115"/>
      <c r="BE1119" s="115"/>
      <c r="BF1119" s="115"/>
      <c r="BG1119" s="115"/>
      <c r="BH1119" s="115"/>
      <c r="BI1119" s="115"/>
      <c r="BJ1119" s="26"/>
      <c r="BK1119" s="13"/>
      <c r="BN1119" s="114"/>
    </row>
    <row r="1120" spans="5:66" x14ac:dyDescent="0.4"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22"/>
      <c r="AT1120" s="122"/>
      <c r="AU1120" s="122"/>
      <c r="AV1120" s="115"/>
      <c r="AW1120" s="115"/>
      <c r="AX1120" s="115"/>
      <c r="AY1120" s="115"/>
      <c r="AZ1120" s="115"/>
      <c r="BA1120" s="115"/>
      <c r="BB1120" s="115"/>
      <c r="BC1120" s="115"/>
      <c r="BD1120" s="115"/>
      <c r="BE1120" s="115"/>
      <c r="BF1120" s="115"/>
      <c r="BG1120" s="115"/>
      <c r="BH1120" s="115"/>
      <c r="BI1120" s="115"/>
      <c r="BJ1120" s="26"/>
      <c r="BK1120" s="13"/>
      <c r="BN1120" s="114"/>
    </row>
    <row r="1121" spans="3:66" x14ac:dyDescent="0.4"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15"/>
      <c r="AI1121" s="115"/>
      <c r="AJ1121" s="115"/>
      <c r="AK1121" s="115"/>
      <c r="AL1121" s="115"/>
      <c r="AM1121" s="115"/>
      <c r="AN1121" s="115"/>
      <c r="AO1121" s="115"/>
      <c r="AP1121" s="115"/>
      <c r="AQ1121" s="115"/>
      <c r="AR1121" s="115"/>
      <c r="AS1121" s="122"/>
      <c r="AT1121" s="122"/>
      <c r="AU1121" s="122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115"/>
      <c r="BF1121" s="115"/>
      <c r="BG1121" s="115"/>
      <c r="BH1121" s="115"/>
      <c r="BI1121" s="115"/>
      <c r="BJ1121" s="26"/>
      <c r="BK1121" s="13"/>
      <c r="BN1121" s="114"/>
    </row>
    <row r="1122" spans="3:66" x14ac:dyDescent="0.4"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22"/>
      <c r="AT1122" s="122"/>
      <c r="AU1122" s="122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115"/>
      <c r="BF1122" s="115"/>
      <c r="BG1122" s="115"/>
      <c r="BH1122" s="115"/>
      <c r="BI1122" s="115"/>
      <c r="BJ1122" s="26"/>
      <c r="BK1122" s="13"/>
      <c r="BN1122" s="114"/>
    </row>
    <row r="1123" spans="3:66" x14ac:dyDescent="0.4"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22"/>
      <c r="AT1123" s="122"/>
      <c r="AU1123" s="122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115"/>
      <c r="BF1123" s="115"/>
      <c r="BG1123" s="115"/>
      <c r="BH1123" s="115"/>
      <c r="BI1123" s="115"/>
      <c r="BJ1123" s="17"/>
      <c r="BK1123" s="13"/>
      <c r="BN1123" s="114"/>
    </row>
    <row r="1124" spans="3:66" x14ac:dyDescent="0.4"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22"/>
      <c r="AT1124" s="122"/>
      <c r="AU1124" s="122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115"/>
      <c r="BF1124" s="115"/>
      <c r="BG1124" s="115"/>
      <c r="BH1124" s="115"/>
      <c r="BI1124" s="115"/>
      <c r="BJ1124" s="26"/>
      <c r="BK1124" s="13"/>
      <c r="BN1124" s="114"/>
    </row>
    <row r="1125" spans="3:66" x14ac:dyDescent="0.4"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22"/>
      <c r="AT1125" s="122"/>
      <c r="AU1125" s="122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115"/>
      <c r="BF1125" s="115"/>
      <c r="BG1125" s="115"/>
      <c r="BH1125" s="115"/>
      <c r="BI1125" s="115"/>
      <c r="BJ1125" s="26"/>
      <c r="BK1125" s="13"/>
      <c r="BN1125" s="114"/>
    </row>
    <row r="1126" spans="3:66" x14ac:dyDescent="0.4"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22"/>
      <c r="AT1126" s="122"/>
      <c r="AU1126" s="122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115"/>
      <c r="BF1126" s="115"/>
      <c r="BG1126" s="115"/>
      <c r="BH1126" s="115"/>
      <c r="BI1126" s="115"/>
      <c r="BJ1126" s="26"/>
      <c r="BK1126" s="13"/>
      <c r="BN1126" s="114"/>
    </row>
    <row r="1127" spans="3:66" x14ac:dyDescent="0.4"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22"/>
      <c r="AT1127" s="122"/>
      <c r="AU1127" s="122"/>
      <c r="AV1127" s="115"/>
      <c r="AW1127" s="115"/>
      <c r="AX1127" s="115"/>
      <c r="AY1127" s="115"/>
      <c r="AZ1127" s="115"/>
      <c r="BA1127" s="115"/>
      <c r="BB1127" s="115"/>
      <c r="BC1127" s="115"/>
      <c r="BD1127" s="115"/>
      <c r="BE1127" s="115"/>
      <c r="BF1127" s="115"/>
      <c r="BG1127" s="115"/>
      <c r="BH1127" s="115"/>
      <c r="BI1127" s="115"/>
      <c r="BJ1127" s="26"/>
      <c r="BK1127" s="15"/>
      <c r="BN1127" s="114"/>
    </row>
    <row r="1128" spans="3:66" x14ac:dyDescent="0.4"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15"/>
      <c r="AI1128" s="115"/>
      <c r="AJ1128" s="115"/>
      <c r="AK1128" s="115"/>
      <c r="AL1128" s="115"/>
      <c r="AM1128" s="115"/>
      <c r="AN1128" s="115"/>
      <c r="AO1128" s="115"/>
      <c r="AP1128" s="115"/>
      <c r="AQ1128" s="115"/>
      <c r="AR1128" s="115"/>
      <c r="AS1128" s="122"/>
      <c r="AT1128" s="122"/>
      <c r="AU1128" s="122"/>
      <c r="AV1128" s="115"/>
      <c r="AW1128" s="115"/>
      <c r="AX1128" s="115"/>
      <c r="AY1128" s="115"/>
      <c r="AZ1128" s="115"/>
      <c r="BA1128" s="115"/>
      <c r="BB1128" s="115"/>
      <c r="BC1128" s="115"/>
      <c r="BD1128" s="115"/>
      <c r="BE1128" s="115"/>
      <c r="BF1128" s="115"/>
      <c r="BG1128" s="115"/>
      <c r="BH1128" s="115"/>
      <c r="BI1128" s="115"/>
      <c r="BJ1128" s="26"/>
      <c r="BK1128" s="15"/>
      <c r="BN1128" s="114"/>
    </row>
    <row r="1129" spans="3:66" x14ac:dyDescent="0.4"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22"/>
      <c r="AT1129" s="122"/>
      <c r="AU1129" s="122"/>
      <c r="AV1129" s="115"/>
      <c r="AW1129" s="115"/>
      <c r="AX1129" s="115"/>
      <c r="AY1129" s="115"/>
      <c r="AZ1129" s="115"/>
      <c r="BA1129" s="115"/>
      <c r="BB1129" s="115"/>
      <c r="BC1129" s="115"/>
      <c r="BD1129" s="115"/>
      <c r="BE1129" s="115"/>
      <c r="BF1129" s="115"/>
      <c r="BG1129" s="115"/>
      <c r="BH1129" s="115"/>
      <c r="BI1129" s="115"/>
      <c r="BJ1129" s="26"/>
      <c r="BK1129" s="15"/>
      <c r="BN1129" s="114"/>
    </row>
    <row r="1130" spans="3:66" x14ac:dyDescent="0.4"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22"/>
      <c r="AT1130" s="122"/>
      <c r="AU1130" s="122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115"/>
      <c r="BF1130" s="115"/>
      <c r="BG1130" s="115"/>
      <c r="BH1130" s="115"/>
      <c r="BI1130" s="115"/>
      <c r="BJ1130" s="26"/>
      <c r="BK1130" s="13"/>
      <c r="BN1130" s="114"/>
    </row>
    <row r="1131" spans="3:66" x14ac:dyDescent="0.4"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22"/>
      <c r="AT1131" s="122"/>
      <c r="AU1131" s="122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115"/>
      <c r="BF1131" s="115"/>
      <c r="BG1131" s="115"/>
      <c r="BH1131" s="115"/>
      <c r="BI1131" s="115"/>
      <c r="BJ1131" s="26"/>
      <c r="BK1131" s="13"/>
      <c r="BN1131" s="114"/>
    </row>
    <row r="1132" spans="3:66" x14ac:dyDescent="0.4"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22"/>
      <c r="AT1132" s="122"/>
      <c r="AU1132" s="122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115"/>
      <c r="BF1132" s="115"/>
      <c r="BG1132" s="115"/>
      <c r="BH1132" s="115"/>
      <c r="BI1132" s="115"/>
      <c r="BJ1132" s="26"/>
      <c r="BK1132" s="13"/>
      <c r="BN1132" s="114"/>
    </row>
    <row r="1133" spans="3:66" x14ac:dyDescent="0.4"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22"/>
      <c r="AT1133" s="122"/>
      <c r="AU1133" s="122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115"/>
      <c r="BF1133" s="115"/>
      <c r="BG1133" s="115"/>
      <c r="BH1133" s="115"/>
      <c r="BI1133" s="115"/>
      <c r="BJ1133" s="17"/>
      <c r="BK1133" s="13"/>
      <c r="BN1133" s="114"/>
    </row>
    <row r="1134" spans="3:66" x14ac:dyDescent="0.4"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22"/>
      <c r="AT1134" s="122"/>
      <c r="AU1134" s="122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115"/>
      <c r="BF1134" s="115"/>
      <c r="BG1134" s="115"/>
      <c r="BH1134" s="115"/>
      <c r="BI1134" s="115"/>
      <c r="BJ1134" s="26"/>
      <c r="BK1134" s="13"/>
      <c r="BN1134" s="114"/>
    </row>
    <row r="1135" spans="3:66" x14ac:dyDescent="0.4"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122"/>
      <c r="AT1135" s="122"/>
      <c r="AU1135" s="122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115"/>
      <c r="BF1135" s="115"/>
      <c r="BG1135" s="115"/>
      <c r="BH1135" s="115"/>
      <c r="BI1135" s="115"/>
      <c r="BJ1135" s="26"/>
      <c r="BK1135" s="25"/>
      <c r="BN1135" s="114"/>
    </row>
    <row r="1136" spans="3:66" x14ac:dyDescent="0.4"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22"/>
      <c r="AT1136" s="122"/>
      <c r="AU1136" s="122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115"/>
      <c r="BF1136" s="115"/>
      <c r="BG1136" s="115"/>
      <c r="BH1136" s="115"/>
      <c r="BI1136" s="115"/>
      <c r="BJ1136" s="26"/>
      <c r="BK1136" s="13"/>
      <c r="BN1136" s="114"/>
    </row>
    <row r="1137" spans="1:66" x14ac:dyDescent="0.4"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22"/>
      <c r="AT1137" s="122"/>
      <c r="AU1137" s="122"/>
      <c r="AV1137" s="115"/>
      <c r="AW1137" s="115"/>
      <c r="AX1137" s="115"/>
      <c r="AY1137" s="115"/>
      <c r="AZ1137" s="115"/>
      <c r="BA1137" s="115"/>
      <c r="BB1137" s="115"/>
      <c r="BC1137" s="115"/>
      <c r="BD1137" s="115"/>
      <c r="BE1137" s="115"/>
      <c r="BF1137" s="115"/>
      <c r="BG1137" s="115"/>
      <c r="BH1137" s="115"/>
      <c r="BI1137" s="115"/>
      <c r="BJ1137" s="26"/>
      <c r="BK1137" s="13"/>
      <c r="BN1137" s="114"/>
    </row>
    <row r="1138" spans="1:66" x14ac:dyDescent="0.4">
      <c r="C1138" s="115"/>
      <c r="D1138" s="115"/>
      <c r="E1138" s="115"/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22"/>
      <c r="AT1138" s="122"/>
      <c r="AU1138" s="122"/>
      <c r="AV1138" s="115"/>
      <c r="AW1138" s="115"/>
      <c r="AX1138" s="115"/>
      <c r="AY1138" s="115"/>
      <c r="AZ1138" s="115"/>
      <c r="BA1138" s="115"/>
      <c r="BB1138" s="115"/>
      <c r="BC1138" s="115"/>
      <c r="BD1138" s="115"/>
      <c r="BE1138" s="115"/>
      <c r="BF1138" s="115"/>
      <c r="BG1138" s="115"/>
      <c r="BH1138" s="115"/>
      <c r="BI1138" s="115"/>
      <c r="BJ1138" s="26"/>
      <c r="BK1138" s="13"/>
      <c r="BN1138" s="114"/>
    </row>
    <row r="1139" spans="1:66" x14ac:dyDescent="0.4">
      <c r="C1139" s="115"/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22"/>
      <c r="AT1139" s="122"/>
      <c r="AU1139" s="122"/>
      <c r="AV1139" s="115"/>
      <c r="AW1139" s="115"/>
      <c r="AX1139" s="115"/>
      <c r="AY1139" s="115"/>
      <c r="AZ1139" s="115"/>
      <c r="BA1139" s="115"/>
      <c r="BB1139" s="115"/>
      <c r="BC1139" s="115"/>
      <c r="BD1139" s="115"/>
      <c r="BE1139" s="115"/>
      <c r="BF1139" s="115"/>
      <c r="BG1139" s="115"/>
      <c r="BH1139" s="115"/>
      <c r="BI1139" s="115"/>
      <c r="BJ1139" s="26"/>
      <c r="BK1139" s="13"/>
      <c r="BN1139" s="114"/>
    </row>
    <row r="1140" spans="1:66" x14ac:dyDescent="0.4">
      <c r="C1140" s="115"/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22"/>
      <c r="AT1140" s="122"/>
      <c r="AU1140" s="122"/>
      <c r="AV1140" s="115"/>
      <c r="AW1140" s="115"/>
      <c r="AX1140" s="115"/>
      <c r="AY1140" s="115"/>
      <c r="BJ1140" s="26"/>
      <c r="BK1140" s="13"/>
      <c r="BN1140" s="114"/>
    </row>
    <row r="1141" spans="1:66" x14ac:dyDescent="0.4"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22"/>
      <c r="AT1141" s="122"/>
      <c r="AU1141" s="122"/>
      <c r="AV1141" s="115"/>
      <c r="AW1141" s="115"/>
      <c r="AX1141" s="115"/>
      <c r="AY1141" s="115"/>
      <c r="AZ1141" s="115"/>
      <c r="BA1141" s="115"/>
      <c r="BB1141" s="115"/>
      <c r="BC1141" s="115"/>
      <c r="BD1141" s="115"/>
      <c r="BE1141" s="115"/>
      <c r="BF1141" s="115"/>
      <c r="BG1141" s="115"/>
      <c r="BH1141" s="115"/>
      <c r="BI1141" s="115"/>
      <c r="BJ1141" s="26"/>
      <c r="BK1141" s="13"/>
      <c r="BN1141" s="114"/>
    </row>
    <row r="1142" spans="1:66" x14ac:dyDescent="0.4"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22"/>
      <c r="AT1142" s="122"/>
      <c r="AU1142" s="122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115"/>
      <c r="BF1142" s="115"/>
      <c r="BG1142" s="115"/>
      <c r="BH1142" s="115"/>
      <c r="BI1142" s="115"/>
      <c r="BJ1142" s="17"/>
      <c r="BK1142" s="13"/>
      <c r="BN1142" s="114"/>
    </row>
    <row r="1143" spans="1:66" x14ac:dyDescent="0.4"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22"/>
      <c r="AT1143" s="122"/>
      <c r="AU1143" s="122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115"/>
      <c r="BF1143" s="115"/>
      <c r="BG1143" s="115"/>
      <c r="BH1143" s="115"/>
      <c r="BI1143" s="115"/>
      <c r="BJ1143" s="26"/>
      <c r="BK1143" s="13"/>
      <c r="BN1143" s="114"/>
    </row>
    <row r="1144" spans="1:66" x14ac:dyDescent="0.4"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22"/>
      <c r="AT1144" s="122"/>
      <c r="AU1144" s="122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115"/>
      <c r="BF1144" s="115"/>
      <c r="BG1144" s="115"/>
      <c r="BH1144" s="115"/>
      <c r="BI1144" s="115"/>
      <c r="BJ1144" s="26"/>
      <c r="BK1144" s="15"/>
      <c r="BN1144" s="114"/>
    </row>
    <row r="1145" spans="1:66" x14ac:dyDescent="0.4"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22"/>
      <c r="AT1145" s="122"/>
      <c r="AU1145" s="122"/>
      <c r="AV1145" s="115"/>
      <c r="AW1145" s="115"/>
      <c r="AX1145" s="115"/>
      <c r="AY1145" s="115"/>
      <c r="AZ1145" s="115"/>
      <c r="BA1145" s="115"/>
      <c r="BB1145" s="115"/>
      <c r="BC1145" s="115"/>
      <c r="BD1145" s="115"/>
      <c r="BE1145" s="115"/>
      <c r="BF1145" s="115"/>
      <c r="BG1145" s="115"/>
      <c r="BH1145" s="115"/>
      <c r="BI1145" s="115"/>
      <c r="BJ1145" s="17"/>
      <c r="BK1145" s="15"/>
      <c r="BN1145" s="114"/>
    </row>
    <row r="1146" spans="1:66" x14ac:dyDescent="0.4"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15"/>
      <c r="AI1146" s="115"/>
      <c r="AJ1146" s="115"/>
      <c r="AK1146" s="115"/>
      <c r="AL1146" s="115"/>
      <c r="AM1146" s="115"/>
      <c r="AN1146" s="115"/>
      <c r="AO1146" s="115"/>
      <c r="AP1146" s="115"/>
      <c r="AQ1146" s="115"/>
      <c r="AR1146" s="115"/>
      <c r="AS1146" s="122"/>
      <c r="AT1146" s="122"/>
      <c r="AU1146" s="122"/>
      <c r="AV1146" s="115"/>
      <c r="AW1146" s="115"/>
      <c r="AX1146" s="115"/>
      <c r="AY1146" s="115"/>
      <c r="AZ1146" s="115"/>
      <c r="BA1146" s="115"/>
      <c r="BB1146" s="115"/>
      <c r="BC1146" s="115"/>
      <c r="BD1146" s="115"/>
      <c r="BE1146" s="115"/>
      <c r="BF1146" s="115"/>
      <c r="BG1146" s="115"/>
      <c r="BH1146" s="115"/>
      <c r="BI1146" s="115"/>
      <c r="BJ1146" s="26"/>
      <c r="BK1146" s="15"/>
      <c r="BN1146" s="114"/>
    </row>
    <row r="1147" spans="1:66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22"/>
      <c r="AT1147" s="122"/>
      <c r="AU1147" s="122"/>
      <c r="AV1147" s="115"/>
      <c r="AW1147" s="115"/>
      <c r="AX1147" s="115"/>
      <c r="AY1147" s="115"/>
      <c r="AZ1147" s="115"/>
      <c r="BA1147" s="115"/>
      <c r="BB1147" s="115"/>
      <c r="BC1147" s="115"/>
      <c r="BD1147" s="115"/>
      <c r="BE1147" s="115"/>
      <c r="BF1147" s="115"/>
      <c r="BG1147" s="115"/>
      <c r="BH1147" s="115"/>
      <c r="BI1147" s="115"/>
      <c r="BJ1147" s="26"/>
      <c r="BK1147" s="15"/>
      <c r="BN1147" s="114"/>
    </row>
    <row r="1148" spans="1:66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15"/>
      <c r="AI1148" s="115"/>
      <c r="AJ1148" s="115"/>
      <c r="AK1148" s="115"/>
      <c r="AL1148" s="115"/>
      <c r="AM1148" s="115"/>
      <c r="AN1148" s="115"/>
      <c r="AO1148" s="115"/>
      <c r="AP1148" s="115"/>
      <c r="AQ1148" s="115"/>
      <c r="AR1148" s="115"/>
      <c r="AS1148" s="122"/>
      <c r="AT1148" s="122"/>
      <c r="AU1148" s="122"/>
      <c r="AV1148" s="115"/>
      <c r="AW1148" s="115"/>
      <c r="AX1148" s="115"/>
      <c r="AY1148" s="115"/>
      <c r="AZ1148" s="115"/>
      <c r="BA1148" s="115"/>
      <c r="BB1148" s="115"/>
      <c r="BC1148" s="115"/>
      <c r="BD1148" s="115"/>
      <c r="BE1148" s="115"/>
      <c r="BF1148" s="115"/>
      <c r="BG1148" s="115"/>
      <c r="BH1148" s="115"/>
      <c r="BI1148" s="115"/>
      <c r="BJ1148" s="17"/>
      <c r="BK1148" s="13"/>
      <c r="BN1148" s="114"/>
    </row>
    <row r="1149" spans="1:66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22"/>
      <c r="AT1149" s="122"/>
      <c r="AU1149" s="122"/>
      <c r="AV1149" s="115"/>
      <c r="AW1149" s="115"/>
      <c r="AX1149" s="115"/>
      <c r="AY1149" s="115"/>
      <c r="AZ1149" s="115"/>
      <c r="BA1149" s="115"/>
      <c r="BB1149" s="115"/>
      <c r="BC1149" s="115"/>
      <c r="BD1149" s="115"/>
      <c r="BE1149" s="115"/>
      <c r="BF1149" s="115"/>
      <c r="BG1149" s="115"/>
      <c r="BH1149" s="115"/>
      <c r="BI1149" s="115"/>
      <c r="BJ1149" s="17"/>
      <c r="BK1149" s="13"/>
      <c r="BN1149" s="114"/>
    </row>
    <row r="1150" spans="1:66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22"/>
      <c r="AT1150" s="122"/>
      <c r="AU1150" s="122"/>
      <c r="AV1150" s="115"/>
      <c r="AW1150" s="115"/>
      <c r="AX1150" s="115"/>
      <c r="AY1150" s="115"/>
      <c r="AZ1150" s="115"/>
      <c r="BA1150" s="115"/>
      <c r="BB1150" s="115"/>
      <c r="BC1150" s="115"/>
      <c r="BD1150" s="115"/>
      <c r="BE1150" s="115"/>
      <c r="BF1150" s="115"/>
      <c r="BG1150" s="115"/>
      <c r="BH1150" s="115"/>
      <c r="BI1150" s="115"/>
      <c r="BJ1150" s="26"/>
      <c r="BK1150" s="13"/>
      <c r="BN1150" s="114"/>
    </row>
    <row r="1151" spans="1:66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22"/>
      <c r="AT1151" s="122"/>
      <c r="AU1151" s="122"/>
      <c r="AV1151" s="115"/>
      <c r="AW1151" s="115"/>
      <c r="AX1151" s="115"/>
      <c r="AY1151" s="115"/>
      <c r="AZ1151" s="115"/>
      <c r="BA1151" s="115"/>
      <c r="BB1151" s="115"/>
      <c r="BC1151" s="115"/>
      <c r="BD1151" s="115"/>
      <c r="BE1151" s="115"/>
      <c r="BF1151" s="115"/>
      <c r="BG1151" s="115"/>
      <c r="BH1151" s="115"/>
      <c r="BI1151" s="115"/>
      <c r="BJ1151" s="26"/>
      <c r="BK1151" s="13"/>
      <c r="BN1151" s="114"/>
    </row>
    <row r="1152" spans="1:66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22"/>
      <c r="AT1152" s="122"/>
      <c r="AU1152" s="122"/>
      <c r="AV1152" s="115"/>
      <c r="AW1152" s="115"/>
      <c r="AX1152" s="115"/>
      <c r="AY1152" s="115"/>
      <c r="AZ1152" s="115"/>
      <c r="BA1152" s="115"/>
      <c r="BB1152" s="115"/>
      <c r="BC1152" s="115"/>
      <c r="BD1152" s="115"/>
      <c r="BE1152" s="115"/>
      <c r="BF1152" s="115"/>
      <c r="BG1152" s="115"/>
      <c r="BH1152" s="115"/>
      <c r="BI1152" s="115"/>
      <c r="BJ1152" s="17"/>
      <c r="BK1152" s="13"/>
      <c r="BN1152" s="114"/>
    </row>
    <row r="1153" spans="1:66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22"/>
      <c r="AT1153" s="122"/>
      <c r="AU1153" s="122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115"/>
      <c r="BF1153" s="115"/>
      <c r="BG1153" s="115"/>
      <c r="BH1153" s="115"/>
      <c r="BI1153" s="115"/>
      <c r="BJ1153" s="26"/>
      <c r="BK1153" s="15"/>
      <c r="BN1153" s="114"/>
    </row>
    <row r="1154" spans="1:66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22"/>
      <c r="AT1154" s="122"/>
      <c r="AU1154" s="122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115"/>
      <c r="BF1154" s="115"/>
      <c r="BG1154" s="115"/>
      <c r="BH1154" s="115"/>
      <c r="BI1154" s="115"/>
      <c r="BJ1154" s="26"/>
      <c r="BK1154" s="15"/>
      <c r="BN1154" s="114"/>
    </row>
    <row r="1155" spans="1:66" x14ac:dyDescent="0.4">
      <c r="A1155" s="115"/>
      <c r="B1155" s="115"/>
      <c r="C1155" s="115"/>
      <c r="D1155" s="115"/>
      <c r="E1155" s="115"/>
      <c r="F1155" s="115"/>
      <c r="G1155" s="115"/>
      <c r="H1155" s="115"/>
      <c r="I1155" s="115"/>
      <c r="J1155" s="115"/>
      <c r="K1155" s="115"/>
      <c r="L1155" s="115"/>
      <c r="M1155" s="115"/>
      <c r="N1155" s="115"/>
      <c r="O1155" s="115"/>
      <c r="P1155" s="115"/>
      <c r="Q1155" s="115"/>
      <c r="R1155" s="115"/>
      <c r="S1155" s="115"/>
      <c r="T1155" s="115"/>
      <c r="U1155" s="115"/>
      <c r="V1155" s="115"/>
      <c r="W1155" s="115"/>
      <c r="X1155" s="115"/>
      <c r="Y1155" s="115"/>
      <c r="Z1155" s="115"/>
      <c r="AA1155" s="115"/>
      <c r="AB1155" s="115"/>
      <c r="AC1155" s="115"/>
      <c r="AD1155" s="115"/>
      <c r="AE1155" s="115"/>
      <c r="AF1155" s="115"/>
      <c r="AG1155" s="115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22"/>
      <c r="AT1155" s="122"/>
      <c r="AU1155" s="122"/>
      <c r="AV1155" s="115"/>
      <c r="AW1155" s="115"/>
      <c r="AX1155" s="115"/>
      <c r="AY1155" s="115"/>
      <c r="AZ1155" s="115"/>
      <c r="BA1155" s="115"/>
      <c r="BB1155" s="115"/>
      <c r="BC1155" s="115"/>
      <c r="BD1155" s="115"/>
      <c r="BE1155" s="115"/>
      <c r="BF1155" s="115"/>
      <c r="BG1155" s="115"/>
      <c r="BH1155" s="115"/>
      <c r="BI1155" s="115"/>
      <c r="BJ1155" s="26"/>
      <c r="BK1155" s="15"/>
      <c r="BN1155" s="114"/>
    </row>
    <row r="1156" spans="1:66" x14ac:dyDescent="0.4">
      <c r="A1156" s="115"/>
      <c r="B1156" s="115"/>
      <c r="C1156" s="115"/>
      <c r="D1156" s="115"/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15"/>
      <c r="AI1156" s="115"/>
      <c r="AJ1156" s="115"/>
      <c r="AK1156" s="115"/>
      <c r="AL1156" s="115"/>
      <c r="AM1156" s="115"/>
      <c r="AN1156" s="115"/>
      <c r="AO1156" s="115"/>
      <c r="AP1156" s="115"/>
      <c r="AQ1156" s="115"/>
      <c r="AR1156" s="115"/>
      <c r="AS1156" s="122"/>
      <c r="AT1156" s="122"/>
      <c r="AU1156" s="122"/>
      <c r="AV1156" s="115"/>
      <c r="AW1156" s="115"/>
      <c r="AX1156" s="115"/>
      <c r="AY1156" s="115"/>
      <c r="AZ1156" s="115"/>
      <c r="BA1156" s="115"/>
      <c r="BB1156" s="115"/>
      <c r="BC1156" s="115"/>
      <c r="BD1156" s="115"/>
      <c r="BE1156" s="115"/>
      <c r="BF1156" s="115"/>
      <c r="BG1156" s="115"/>
      <c r="BH1156" s="115"/>
      <c r="BI1156" s="115"/>
      <c r="BJ1156" s="26"/>
      <c r="BK1156" s="13"/>
      <c r="BN1156" s="114"/>
    </row>
    <row r="1157" spans="1:66" x14ac:dyDescent="0.4">
      <c r="A1157" s="115"/>
      <c r="B1157" s="115"/>
      <c r="C1157" s="115"/>
      <c r="D1157" s="115"/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22"/>
      <c r="AT1157" s="122"/>
      <c r="AU1157" s="122"/>
      <c r="AV1157" s="115"/>
      <c r="AW1157" s="115"/>
      <c r="AX1157" s="115"/>
      <c r="AY1157" s="115"/>
      <c r="AZ1157" s="115"/>
      <c r="BA1157" s="115"/>
      <c r="BB1157" s="115"/>
      <c r="BC1157" s="115"/>
      <c r="BD1157" s="115"/>
      <c r="BE1157" s="115"/>
      <c r="BF1157" s="115"/>
      <c r="BG1157" s="115"/>
      <c r="BH1157" s="115"/>
      <c r="BI1157" s="115"/>
      <c r="BJ1157" s="26"/>
      <c r="BK1157" s="25"/>
      <c r="BN1157" s="114"/>
    </row>
    <row r="1158" spans="1:66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22"/>
      <c r="AT1158" s="122"/>
      <c r="AU1158" s="122"/>
      <c r="AV1158" s="115"/>
      <c r="AW1158" s="115"/>
      <c r="AX1158" s="115"/>
      <c r="AY1158" s="115"/>
      <c r="AZ1158" s="115"/>
      <c r="BA1158" s="115"/>
      <c r="BB1158" s="115"/>
      <c r="BC1158" s="115"/>
      <c r="BD1158" s="115"/>
      <c r="BE1158" s="115"/>
      <c r="BF1158" s="115"/>
      <c r="BG1158" s="115"/>
      <c r="BH1158" s="115"/>
      <c r="BI1158" s="115"/>
      <c r="BJ1158" s="26"/>
      <c r="BK1158" s="13"/>
      <c r="BN1158" s="114"/>
    </row>
    <row r="1159" spans="1:66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22"/>
      <c r="AT1159" s="122"/>
      <c r="AU1159" s="122"/>
      <c r="AV1159" s="115"/>
      <c r="AW1159" s="115"/>
      <c r="AX1159" s="115"/>
      <c r="AY1159" s="115"/>
      <c r="AZ1159" s="115"/>
      <c r="BA1159" s="115"/>
      <c r="BB1159" s="115"/>
      <c r="BC1159" s="115"/>
      <c r="BD1159" s="115"/>
      <c r="BE1159" s="115"/>
      <c r="BF1159" s="115"/>
      <c r="BG1159" s="115"/>
      <c r="BH1159" s="115"/>
      <c r="BI1159" s="115"/>
      <c r="BJ1159" s="26"/>
      <c r="BK1159" s="13"/>
      <c r="BN1159" s="114"/>
    </row>
    <row r="1160" spans="1:66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22"/>
      <c r="AT1160" s="122"/>
      <c r="AU1160" s="122"/>
      <c r="AV1160" s="115"/>
      <c r="AW1160" s="115"/>
      <c r="AX1160" s="115"/>
      <c r="AY1160" s="115"/>
      <c r="AZ1160" s="115"/>
      <c r="BA1160" s="115"/>
      <c r="BB1160" s="115"/>
      <c r="BC1160" s="115"/>
      <c r="BD1160" s="115"/>
      <c r="BE1160" s="115"/>
      <c r="BF1160" s="115"/>
      <c r="BG1160" s="115"/>
      <c r="BH1160" s="115"/>
      <c r="BI1160" s="115"/>
      <c r="BJ1160" s="26"/>
      <c r="BK1160" s="13"/>
      <c r="BN1160" s="114"/>
    </row>
    <row r="1161" spans="1:66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22"/>
      <c r="AT1161" s="122"/>
      <c r="AU1161" s="122"/>
      <c r="AV1161" s="115"/>
      <c r="AW1161" s="115"/>
      <c r="AX1161" s="115"/>
      <c r="AY1161" s="115"/>
      <c r="AZ1161" s="115"/>
      <c r="BA1161" s="115"/>
      <c r="BB1161" s="115"/>
      <c r="BC1161" s="115"/>
      <c r="BD1161" s="115"/>
      <c r="BE1161" s="115"/>
      <c r="BF1161" s="115"/>
      <c r="BG1161" s="115"/>
      <c r="BH1161" s="115"/>
      <c r="BI1161" s="115"/>
      <c r="BJ1161" s="26"/>
      <c r="BK1161" s="13"/>
      <c r="BN1161" s="114"/>
    </row>
    <row r="1162" spans="1:66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22"/>
      <c r="AT1162" s="122"/>
      <c r="AU1162" s="122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115"/>
      <c r="BF1162" s="115"/>
      <c r="BG1162" s="115"/>
      <c r="BH1162" s="115"/>
      <c r="BI1162" s="115"/>
      <c r="BJ1162" s="26"/>
      <c r="BK1162" s="13"/>
      <c r="BN1162" s="114"/>
    </row>
    <row r="1163" spans="1:66" x14ac:dyDescent="0.4">
      <c r="A1163" s="115"/>
      <c r="B1163" s="115"/>
      <c r="C1163" s="115"/>
      <c r="D1163" s="115"/>
      <c r="E1163" s="115"/>
      <c r="F1163" s="115"/>
      <c r="G1163" s="115"/>
      <c r="H1163" s="115"/>
      <c r="I1163" s="115"/>
      <c r="J1163" s="115"/>
      <c r="K1163" s="115"/>
      <c r="L1163" s="115"/>
      <c r="M1163" s="115"/>
      <c r="N1163" s="115"/>
      <c r="O1163" s="115"/>
      <c r="P1163" s="115"/>
      <c r="Q1163" s="115"/>
      <c r="R1163" s="115"/>
      <c r="S1163" s="115"/>
      <c r="T1163" s="115"/>
      <c r="U1163" s="115"/>
      <c r="V1163" s="115"/>
      <c r="W1163" s="115"/>
      <c r="X1163" s="115"/>
      <c r="Y1163" s="115"/>
      <c r="Z1163" s="115"/>
      <c r="AA1163" s="115"/>
      <c r="AB1163" s="115"/>
      <c r="AC1163" s="115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22"/>
      <c r="AT1163" s="122"/>
      <c r="AU1163" s="122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115"/>
      <c r="BF1163" s="115"/>
      <c r="BG1163" s="115"/>
      <c r="BH1163" s="115"/>
      <c r="BI1163" s="115"/>
      <c r="BJ1163" s="26"/>
      <c r="BK1163" s="13"/>
      <c r="BN1163" s="114"/>
    </row>
    <row r="1164" spans="1:66" x14ac:dyDescent="0.4">
      <c r="A1164" s="115"/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15"/>
      <c r="AC1164" s="115"/>
      <c r="AD1164" s="115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22"/>
      <c r="AT1164" s="122"/>
      <c r="AU1164" s="122"/>
      <c r="AV1164" s="115"/>
      <c r="AW1164" s="115"/>
      <c r="AX1164" s="115"/>
      <c r="AY1164" s="115"/>
      <c r="AZ1164" s="115"/>
      <c r="BA1164" s="115"/>
      <c r="BB1164" s="115"/>
      <c r="BC1164" s="115"/>
      <c r="BD1164" s="115"/>
      <c r="BE1164" s="115"/>
      <c r="BF1164" s="115"/>
      <c r="BG1164" s="115"/>
      <c r="BH1164" s="115"/>
      <c r="BI1164" s="115"/>
      <c r="BJ1164" s="26"/>
      <c r="BK1164" s="13"/>
      <c r="BN1164" s="114"/>
    </row>
    <row r="1165" spans="1:66" x14ac:dyDescent="0.4">
      <c r="A1165" s="115"/>
      <c r="B1165" s="115"/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22"/>
      <c r="AT1165" s="122"/>
      <c r="AU1165" s="122"/>
      <c r="AV1165" s="115"/>
      <c r="AW1165" s="115"/>
      <c r="AX1165" s="115"/>
      <c r="AY1165" s="115"/>
      <c r="AZ1165" s="115"/>
      <c r="BA1165" s="115"/>
      <c r="BB1165" s="115"/>
      <c r="BC1165" s="115"/>
      <c r="BD1165" s="115"/>
      <c r="BE1165" s="115"/>
      <c r="BF1165" s="115"/>
      <c r="BG1165" s="115"/>
      <c r="BH1165" s="115"/>
      <c r="BI1165" s="115"/>
      <c r="BJ1165" s="26"/>
      <c r="BK1165" s="13"/>
      <c r="BN1165" s="114"/>
    </row>
    <row r="1166" spans="1:66" x14ac:dyDescent="0.4">
      <c r="A1166" s="115"/>
      <c r="B1166" s="115"/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22"/>
      <c r="AT1166" s="122"/>
      <c r="AU1166" s="122"/>
      <c r="AV1166" s="115"/>
      <c r="AW1166" s="115"/>
      <c r="AX1166" s="115"/>
      <c r="AY1166" s="115"/>
      <c r="AZ1166" s="115"/>
      <c r="BA1166" s="115"/>
      <c r="BB1166" s="115"/>
      <c r="BC1166" s="115"/>
      <c r="BD1166" s="115"/>
      <c r="BE1166" s="115"/>
      <c r="BF1166" s="115"/>
      <c r="BG1166" s="115"/>
      <c r="BH1166" s="115"/>
      <c r="BI1166" s="115"/>
      <c r="BJ1166" s="26"/>
      <c r="BK1166" s="13"/>
      <c r="BN1166" s="114"/>
    </row>
    <row r="1167" spans="1:66" x14ac:dyDescent="0.4">
      <c r="A1167" s="115"/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22"/>
      <c r="AT1167" s="122"/>
      <c r="AU1167" s="122"/>
      <c r="AV1167" s="115"/>
      <c r="AW1167" s="115"/>
      <c r="AX1167" s="115"/>
      <c r="AY1167" s="115"/>
      <c r="AZ1167" s="115"/>
      <c r="BA1167" s="115"/>
      <c r="BB1167" s="115"/>
      <c r="BC1167" s="115"/>
      <c r="BD1167" s="115"/>
      <c r="BE1167" s="115"/>
      <c r="BF1167" s="115"/>
      <c r="BG1167" s="115"/>
      <c r="BH1167" s="115"/>
      <c r="BI1167" s="115"/>
      <c r="BJ1167" s="26"/>
      <c r="BK1167" s="13"/>
      <c r="BN1167" s="114"/>
    </row>
    <row r="1168" spans="1:66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22"/>
      <c r="AT1168" s="122"/>
      <c r="AU1168" s="122"/>
      <c r="AV1168" s="115"/>
      <c r="AW1168" s="115"/>
      <c r="AX1168" s="115"/>
      <c r="AY1168" s="115"/>
      <c r="AZ1168" s="115"/>
      <c r="BA1168" s="115"/>
      <c r="BB1168" s="115"/>
      <c r="BC1168" s="115"/>
      <c r="BD1168" s="115"/>
      <c r="BE1168" s="115"/>
      <c r="BF1168" s="115"/>
      <c r="BG1168" s="115"/>
      <c r="BH1168" s="115"/>
      <c r="BI1168" s="115"/>
      <c r="BJ1168" s="26"/>
      <c r="BK1168" s="15"/>
      <c r="BN1168" s="114"/>
    </row>
    <row r="1169" spans="1:66" x14ac:dyDescent="0.4">
      <c r="A1169" s="115"/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22"/>
      <c r="AT1169" s="122"/>
      <c r="AU1169" s="122"/>
      <c r="AV1169" s="115"/>
      <c r="AW1169" s="115"/>
      <c r="AX1169" s="115"/>
      <c r="AY1169" s="115"/>
      <c r="AZ1169" s="115"/>
      <c r="BA1169" s="115"/>
      <c r="BB1169" s="115"/>
      <c r="BC1169" s="115"/>
      <c r="BD1169" s="115"/>
      <c r="BE1169" s="115"/>
      <c r="BF1169" s="115"/>
      <c r="BG1169" s="115"/>
      <c r="BH1169" s="115"/>
      <c r="BI1169" s="115"/>
      <c r="BJ1169" s="26"/>
      <c r="BK1169" s="15"/>
      <c r="BN1169" s="114"/>
    </row>
    <row r="1170" spans="1:66" x14ac:dyDescent="0.4">
      <c r="A1170" s="115"/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22"/>
      <c r="AT1170" s="122"/>
      <c r="AU1170" s="122"/>
      <c r="AV1170" s="115"/>
      <c r="AW1170" s="115"/>
      <c r="AX1170" s="115"/>
      <c r="AY1170" s="115"/>
      <c r="AZ1170" s="115"/>
      <c r="BA1170" s="115"/>
      <c r="BB1170" s="115"/>
      <c r="BC1170" s="115"/>
      <c r="BD1170" s="115"/>
      <c r="BE1170" s="115"/>
      <c r="BF1170" s="115"/>
      <c r="BG1170" s="115"/>
      <c r="BH1170" s="115"/>
      <c r="BI1170" s="115"/>
      <c r="BJ1170" s="26"/>
      <c r="BK1170" s="15"/>
      <c r="BN1170" s="114"/>
    </row>
    <row r="1171" spans="1:66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22"/>
      <c r="AT1171" s="122"/>
      <c r="AU1171" s="122"/>
      <c r="AV1171" s="115"/>
      <c r="AW1171" s="115"/>
      <c r="AX1171" s="115"/>
      <c r="AY1171" s="115"/>
      <c r="AZ1171" s="115"/>
      <c r="BA1171" s="115"/>
      <c r="BB1171" s="115"/>
      <c r="BC1171" s="115"/>
      <c r="BD1171" s="115"/>
      <c r="BE1171" s="115"/>
      <c r="BF1171" s="115"/>
      <c r="BG1171" s="115"/>
      <c r="BH1171" s="115"/>
      <c r="BI1171" s="115"/>
      <c r="BJ1171" s="26"/>
      <c r="BK1171" s="15"/>
      <c r="BN1171" s="114"/>
    </row>
    <row r="1172" spans="1:66" x14ac:dyDescent="0.4">
      <c r="A1172" s="115"/>
      <c r="B1172" s="115"/>
      <c r="C1172" s="115"/>
      <c r="D1172" s="115"/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22"/>
      <c r="AT1172" s="122"/>
      <c r="AU1172" s="122"/>
      <c r="AV1172" s="115"/>
      <c r="AW1172" s="115"/>
      <c r="AX1172" s="115"/>
      <c r="AY1172" s="115"/>
      <c r="AZ1172" s="115"/>
      <c r="BA1172" s="115"/>
      <c r="BB1172" s="115"/>
      <c r="BC1172" s="115"/>
      <c r="BD1172" s="115"/>
      <c r="BE1172" s="115"/>
      <c r="BF1172" s="115"/>
      <c r="BG1172" s="115"/>
      <c r="BH1172" s="115"/>
      <c r="BI1172" s="115"/>
      <c r="BJ1172" s="26"/>
      <c r="BK1172" s="13"/>
      <c r="BN1172" s="114"/>
    </row>
    <row r="1173" spans="1:66" x14ac:dyDescent="0.4">
      <c r="A1173" s="115"/>
      <c r="B1173" s="115"/>
      <c r="C1173" s="115"/>
      <c r="D1173" s="115"/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22"/>
      <c r="AT1173" s="122"/>
      <c r="AU1173" s="122"/>
      <c r="AV1173" s="115"/>
      <c r="AW1173" s="115"/>
      <c r="AX1173" s="115"/>
      <c r="AY1173" s="115"/>
      <c r="AZ1173" s="115"/>
      <c r="BA1173" s="115"/>
      <c r="BB1173" s="115"/>
      <c r="BC1173" s="115"/>
      <c r="BD1173" s="115"/>
      <c r="BE1173" s="115"/>
      <c r="BF1173" s="115"/>
      <c r="BG1173" s="115"/>
      <c r="BH1173" s="115"/>
      <c r="BI1173" s="115"/>
      <c r="BJ1173" s="26"/>
      <c r="BK1173" s="15"/>
      <c r="BN1173" s="114"/>
    </row>
    <row r="1174" spans="1:66" x14ac:dyDescent="0.4">
      <c r="A1174" s="115"/>
      <c r="B1174" s="115"/>
      <c r="C1174" s="115"/>
      <c r="D1174" s="115"/>
      <c r="E1174" s="115"/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22"/>
      <c r="AT1174" s="122"/>
      <c r="AU1174" s="122"/>
      <c r="AV1174" s="115"/>
      <c r="AW1174" s="115"/>
      <c r="AX1174" s="115"/>
      <c r="AY1174" s="115"/>
      <c r="AZ1174" s="115"/>
      <c r="BA1174" s="115"/>
      <c r="BB1174" s="115"/>
      <c r="BC1174" s="115"/>
      <c r="BD1174" s="115"/>
      <c r="BE1174" s="115"/>
      <c r="BF1174" s="115"/>
      <c r="BG1174" s="115"/>
      <c r="BH1174" s="115"/>
      <c r="BI1174" s="115"/>
      <c r="BJ1174" s="26"/>
      <c r="BK1174" s="15"/>
      <c r="BN1174" s="114"/>
    </row>
    <row r="1175" spans="1:66" x14ac:dyDescent="0.4">
      <c r="A1175" s="115"/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22"/>
      <c r="AT1175" s="122"/>
      <c r="AU1175" s="122"/>
      <c r="AV1175" s="115"/>
      <c r="AW1175" s="115"/>
      <c r="AX1175" s="115"/>
      <c r="AY1175" s="115"/>
      <c r="AZ1175" s="115"/>
      <c r="BA1175" s="115"/>
      <c r="BB1175" s="115"/>
      <c r="BC1175" s="115"/>
      <c r="BD1175" s="115"/>
      <c r="BE1175" s="115"/>
      <c r="BF1175" s="115"/>
      <c r="BG1175" s="115"/>
      <c r="BH1175" s="115"/>
      <c r="BI1175" s="115"/>
      <c r="BJ1175" s="26"/>
      <c r="BK1175" s="15"/>
      <c r="BN1175" s="114"/>
    </row>
    <row r="1176" spans="1:66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22"/>
      <c r="AT1176" s="122"/>
      <c r="AU1176" s="122"/>
      <c r="AV1176" s="115"/>
      <c r="AW1176" s="115"/>
      <c r="AX1176" s="115"/>
      <c r="AY1176" s="115"/>
      <c r="AZ1176" s="115"/>
      <c r="BA1176" s="115"/>
      <c r="BB1176" s="115"/>
      <c r="BC1176" s="115"/>
      <c r="BD1176" s="115"/>
      <c r="BE1176" s="115"/>
      <c r="BF1176" s="115"/>
      <c r="BG1176" s="115"/>
      <c r="BH1176" s="115"/>
      <c r="BI1176" s="115"/>
      <c r="BJ1176" s="26"/>
      <c r="BK1176" s="15"/>
      <c r="BN1176" s="114"/>
    </row>
    <row r="1177" spans="1:66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22"/>
      <c r="AT1177" s="122"/>
      <c r="AU1177" s="122"/>
      <c r="AV1177" s="115"/>
      <c r="AW1177" s="115"/>
      <c r="AX1177" s="115"/>
      <c r="AY1177" s="115"/>
      <c r="AZ1177" s="115"/>
      <c r="BA1177" s="115"/>
      <c r="BB1177" s="115"/>
      <c r="BC1177" s="115"/>
      <c r="BD1177" s="115"/>
      <c r="BE1177" s="115"/>
      <c r="BF1177" s="115"/>
      <c r="BG1177" s="115"/>
      <c r="BH1177" s="115"/>
      <c r="BI1177" s="115"/>
      <c r="BJ1177" s="26"/>
      <c r="BK1177" s="15"/>
      <c r="BN1177" s="114"/>
    </row>
    <row r="1178" spans="1:66" x14ac:dyDescent="0.4">
      <c r="A1178" s="115"/>
      <c r="B1178" s="115"/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22"/>
      <c r="AT1178" s="122"/>
      <c r="AU1178" s="122"/>
      <c r="AV1178" s="115"/>
      <c r="AW1178" s="115"/>
      <c r="AX1178" s="115"/>
      <c r="AY1178" s="115"/>
      <c r="AZ1178" s="115"/>
      <c r="BA1178" s="115"/>
      <c r="BB1178" s="115"/>
      <c r="BC1178" s="115"/>
      <c r="BD1178" s="115"/>
      <c r="BE1178" s="115"/>
      <c r="BF1178" s="115"/>
      <c r="BG1178" s="115"/>
      <c r="BH1178" s="115"/>
      <c r="BI1178" s="115"/>
      <c r="BJ1178" s="26"/>
      <c r="BK1178" s="105"/>
      <c r="BN1178" s="114"/>
    </row>
    <row r="1179" spans="1:66" x14ac:dyDescent="0.4">
      <c r="A1179" s="115"/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22"/>
      <c r="AT1179" s="122"/>
      <c r="AU1179" s="122"/>
      <c r="AV1179" s="115"/>
      <c r="AW1179" s="115"/>
      <c r="AX1179" s="115"/>
      <c r="AY1179" s="115"/>
      <c r="AZ1179" s="115"/>
      <c r="BA1179" s="115"/>
      <c r="BB1179" s="115"/>
      <c r="BC1179" s="115"/>
      <c r="BD1179" s="115"/>
      <c r="BE1179" s="115"/>
      <c r="BF1179" s="115"/>
      <c r="BG1179" s="115"/>
      <c r="BH1179" s="115"/>
      <c r="BI1179" s="115"/>
      <c r="BJ1179" s="17"/>
      <c r="BK1179" s="15"/>
      <c r="BN1179" s="114"/>
    </row>
    <row r="1180" spans="1:66" x14ac:dyDescent="0.4">
      <c r="A1180" s="115"/>
      <c r="B1180" s="115"/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22"/>
      <c r="AT1180" s="122"/>
      <c r="AU1180" s="122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115"/>
      <c r="BF1180" s="115"/>
      <c r="BG1180" s="115"/>
      <c r="BH1180" s="115"/>
      <c r="BI1180" s="115"/>
      <c r="BJ1180" s="26"/>
      <c r="BK1180" s="15"/>
      <c r="BN1180" s="114"/>
    </row>
    <row r="1181" spans="1:66" x14ac:dyDescent="0.4">
      <c r="A1181" s="115"/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122"/>
      <c r="AT1181" s="122"/>
      <c r="AU1181" s="122"/>
      <c r="AV1181" s="115"/>
      <c r="AW1181" s="115"/>
      <c r="AX1181" s="115"/>
      <c r="AY1181" s="115"/>
      <c r="AZ1181" s="115"/>
      <c r="BA1181" s="115"/>
      <c r="BB1181" s="115"/>
      <c r="BC1181" s="115"/>
      <c r="BD1181" s="115"/>
      <c r="BE1181" s="115"/>
      <c r="BF1181" s="115"/>
      <c r="BG1181" s="115"/>
      <c r="BH1181" s="115"/>
      <c r="BI1181" s="115"/>
      <c r="BJ1181" s="26"/>
      <c r="BK1181" s="15"/>
      <c r="BN1181" s="114"/>
    </row>
    <row r="1182" spans="1:66" x14ac:dyDescent="0.4">
      <c r="A1182" s="115"/>
      <c r="B1182" s="115"/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22"/>
      <c r="AT1182" s="122"/>
      <c r="AU1182" s="122"/>
      <c r="AV1182" s="115"/>
      <c r="AW1182" s="115"/>
      <c r="AX1182" s="115"/>
      <c r="AY1182" s="115"/>
      <c r="AZ1182" s="115"/>
      <c r="BA1182" s="115"/>
      <c r="BB1182" s="115"/>
      <c r="BC1182" s="115"/>
      <c r="BD1182" s="115"/>
      <c r="BE1182" s="115"/>
      <c r="BF1182" s="115"/>
      <c r="BG1182" s="115"/>
      <c r="BH1182" s="115"/>
      <c r="BI1182" s="115"/>
      <c r="BJ1182" s="26"/>
      <c r="BK1182" s="105"/>
      <c r="BN1182" s="114"/>
    </row>
    <row r="1183" spans="1:66" x14ac:dyDescent="0.4">
      <c r="BJ1183" s="26"/>
      <c r="BK1183" s="15"/>
      <c r="BN1183" s="114"/>
    </row>
    <row r="1184" spans="1:66" x14ac:dyDescent="0.4">
      <c r="AT1184" s="122"/>
      <c r="AU1184" s="122"/>
      <c r="AV1184" s="115"/>
      <c r="AW1184" s="115"/>
      <c r="AX1184" s="115"/>
      <c r="AY1184" s="115"/>
      <c r="AZ1184" s="115"/>
      <c r="BA1184" s="115"/>
      <c r="BB1184" s="115"/>
      <c r="BC1184" s="115"/>
      <c r="BD1184" s="115"/>
      <c r="BE1184" s="115"/>
      <c r="BF1184" s="115"/>
      <c r="BG1184" s="115"/>
      <c r="BH1184" s="115"/>
      <c r="BI1184" s="115"/>
      <c r="BJ1184" s="26"/>
      <c r="BK1184" s="15"/>
      <c r="BN1184" s="114"/>
    </row>
    <row r="1185" spans="2:66" x14ac:dyDescent="0.4">
      <c r="AP1185" s="115"/>
      <c r="AQ1185" s="115"/>
      <c r="AR1185" s="115"/>
      <c r="AS1185" s="122"/>
      <c r="AT1185" s="122"/>
      <c r="AU1185" s="122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115"/>
      <c r="BF1185" s="115"/>
      <c r="BG1185" s="115"/>
      <c r="BH1185" s="115"/>
      <c r="BI1185" s="115"/>
      <c r="BJ1185" s="26"/>
      <c r="BK1185" s="15"/>
      <c r="BN1185" s="114"/>
    </row>
    <row r="1186" spans="2:66" x14ac:dyDescent="0.4"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22"/>
      <c r="AT1186" s="122"/>
      <c r="AU1186" s="122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115"/>
      <c r="BF1186" s="115"/>
      <c r="BG1186" s="115"/>
      <c r="BH1186" s="115"/>
      <c r="BI1186" s="115"/>
      <c r="BJ1186" s="26"/>
      <c r="BK1186" s="15"/>
      <c r="BN1186" s="114"/>
    </row>
    <row r="1187" spans="2:66" x14ac:dyDescent="0.4"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22"/>
      <c r="AT1187" s="122"/>
      <c r="AU1187" s="122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115"/>
      <c r="BF1187" s="115"/>
      <c r="BG1187" s="115"/>
      <c r="BH1187" s="115"/>
      <c r="BI1187" s="115"/>
      <c r="BJ1187" s="17"/>
      <c r="BK1187" s="15"/>
      <c r="BN1187" s="114"/>
    </row>
    <row r="1188" spans="2:66" x14ac:dyDescent="0.4"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22"/>
      <c r="AT1188" s="122"/>
      <c r="AU1188" s="122"/>
      <c r="AV1188" s="115"/>
      <c r="AW1188" s="115"/>
      <c r="AX1188" s="115"/>
      <c r="AY1188" s="115"/>
      <c r="AZ1188" s="115"/>
      <c r="BA1188" s="115"/>
      <c r="BB1188" s="115"/>
      <c r="BC1188" s="115"/>
      <c r="BD1188" s="115"/>
      <c r="BE1188" s="115"/>
      <c r="BF1188" s="115"/>
      <c r="BG1188" s="115"/>
      <c r="BH1188" s="115"/>
      <c r="BI1188" s="115"/>
      <c r="BJ1188" s="26"/>
      <c r="BK1188" s="15"/>
      <c r="BN1188" s="114"/>
    </row>
    <row r="1189" spans="2:66" x14ac:dyDescent="0.4">
      <c r="B1189" s="115"/>
      <c r="C1189" s="115"/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15"/>
      <c r="AF1189" s="115"/>
      <c r="AG1189" s="115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22"/>
      <c r="AT1189" s="122"/>
      <c r="AU1189" s="122"/>
      <c r="AV1189" s="115"/>
      <c r="AW1189" s="115"/>
      <c r="AX1189" s="115"/>
      <c r="AY1189" s="115"/>
      <c r="AZ1189" s="115"/>
      <c r="BA1189" s="115"/>
      <c r="BB1189" s="115"/>
      <c r="BC1189" s="115"/>
      <c r="BD1189" s="115"/>
      <c r="BE1189" s="115"/>
      <c r="BF1189" s="115"/>
      <c r="BG1189" s="115"/>
      <c r="BH1189" s="115"/>
      <c r="BI1189" s="115"/>
      <c r="BJ1189" s="26"/>
      <c r="BK1189" s="15"/>
      <c r="BN1189" s="114"/>
    </row>
    <row r="1190" spans="2:66" x14ac:dyDescent="0.4">
      <c r="B1190" s="115"/>
      <c r="C1190" s="115"/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15"/>
      <c r="AF1190" s="115"/>
      <c r="AG1190" s="115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22"/>
      <c r="AT1190" s="122"/>
      <c r="AU1190" s="122"/>
      <c r="AV1190" s="115"/>
      <c r="AW1190" s="115"/>
      <c r="AX1190" s="115"/>
      <c r="AY1190" s="115"/>
      <c r="AZ1190" s="115"/>
      <c r="BA1190" s="115"/>
      <c r="BB1190" s="115"/>
      <c r="BC1190" s="115"/>
      <c r="BD1190" s="115"/>
      <c r="BE1190" s="115"/>
      <c r="BF1190" s="115"/>
      <c r="BG1190" s="115"/>
      <c r="BH1190" s="115"/>
      <c r="BI1190" s="115"/>
      <c r="BJ1190" s="26"/>
      <c r="BK1190" s="15"/>
      <c r="BN1190" s="114"/>
    </row>
    <row r="1191" spans="2:66" x14ac:dyDescent="0.4">
      <c r="B1191" s="115"/>
      <c r="C1191" s="115"/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15"/>
      <c r="AF1191" s="115"/>
      <c r="AG1191" s="115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22"/>
      <c r="AT1191" s="122"/>
      <c r="AU1191" s="122"/>
      <c r="AV1191" s="115"/>
      <c r="AW1191" s="115"/>
      <c r="AX1191" s="115"/>
      <c r="AY1191" s="115"/>
      <c r="AZ1191" s="115"/>
      <c r="BA1191" s="115"/>
      <c r="BB1191" s="115"/>
      <c r="BC1191" s="115"/>
      <c r="BD1191" s="115"/>
      <c r="BE1191" s="115"/>
      <c r="BF1191" s="115"/>
      <c r="BG1191" s="115"/>
      <c r="BH1191" s="115"/>
      <c r="BI1191" s="115"/>
      <c r="BJ1191" s="26"/>
      <c r="BK1191" s="15"/>
      <c r="BN1191" s="114"/>
    </row>
    <row r="1192" spans="2:66" x14ac:dyDescent="0.4">
      <c r="B1192" s="115"/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22"/>
      <c r="AT1192" s="122"/>
      <c r="AU1192" s="122"/>
      <c r="AV1192" s="115"/>
      <c r="AW1192" s="115"/>
      <c r="AX1192" s="115"/>
      <c r="AY1192" s="115"/>
      <c r="AZ1192" s="115"/>
      <c r="BA1192" s="115"/>
      <c r="BB1192" s="115"/>
      <c r="BC1192" s="115"/>
      <c r="BD1192" s="115"/>
      <c r="BE1192" s="115"/>
      <c r="BF1192" s="115"/>
      <c r="BG1192" s="115"/>
      <c r="BH1192" s="115"/>
      <c r="BI1192" s="115"/>
      <c r="BJ1192" s="26"/>
      <c r="BK1192" s="15"/>
      <c r="BN1192" s="114"/>
    </row>
    <row r="1193" spans="2:66" x14ac:dyDescent="0.4">
      <c r="B1193" s="115"/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22"/>
      <c r="AT1193" s="122"/>
      <c r="AU1193" s="122"/>
      <c r="AV1193" s="115"/>
      <c r="AW1193" s="115"/>
      <c r="AX1193" s="115"/>
      <c r="AY1193" s="115"/>
      <c r="AZ1193" s="115"/>
      <c r="BA1193" s="115"/>
      <c r="BB1193" s="115"/>
      <c r="BC1193" s="115"/>
      <c r="BD1193" s="115"/>
      <c r="BE1193" s="115"/>
      <c r="BF1193" s="115"/>
      <c r="BG1193" s="115"/>
      <c r="BH1193" s="115"/>
      <c r="BI1193" s="115"/>
      <c r="BJ1193" s="26"/>
      <c r="BK1193" s="15"/>
      <c r="BN1193" s="114"/>
    </row>
    <row r="1194" spans="2:66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22"/>
      <c r="AT1194" s="122"/>
      <c r="AU1194" s="122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115"/>
      <c r="BF1194" s="115"/>
      <c r="BG1194" s="115"/>
      <c r="BH1194" s="115"/>
      <c r="BI1194" s="115"/>
      <c r="BJ1194" s="26"/>
      <c r="BK1194" s="15"/>
      <c r="BN1194" s="114"/>
    </row>
    <row r="1195" spans="2:66" x14ac:dyDescent="0.4"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22"/>
      <c r="AT1195" s="122"/>
      <c r="AU1195" s="122"/>
      <c r="AV1195" s="115"/>
      <c r="AW1195" s="115"/>
      <c r="AX1195" s="115"/>
      <c r="AY1195" s="115"/>
      <c r="AZ1195" s="115"/>
      <c r="BA1195" s="115"/>
      <c r="BB1195" s="115"/>
      <c r="BC1195" s="115"/>
      <c r="BD1195" s="115"/>
      <c r="BE1195" s="115"/>
      <c r="BF1195" s="115"/>
      <c r="BG1195" s="115"/>
      <c r="BH1195" s="115"/>
      <c r="BI1195" s="115"/>
      <c r="BJ1195" s="17"/>
      <c r="BK1195" s="15"/>
      <c r="BN1195" s="114"/>
    </row>
    <row r="1196" spans="2:66" x14ac:dyDescent="0.4"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22"/>
      <c r="AT1196" s="122"/>
      <c r="AU1196" s="122"/>
      <c r="AV1196" s="115"/>
      <c r="AW1196" s="115"/>
      <c r="AX1196" s="115"/>
      <c r="AY1196" s="115"/>
      <c r="AZ1196" s="115"/>
      <c r="BA1196" s="115"/>
      <c r="BB1196" s="115"/>
      <c r="BC1196" s="115"/>
      <c r="BD1196" s="115"/>
      <c r="BE1196" s="115"/>
      <c r="BF1196" s="115"/>
      <c r="BG1196" s="115"/>
      <c r="BH1196" s="115"/>
      <c r="BI1196" s="115"/>
      <c r="BJ1196" s="26"/>
      <c r="BK1196" s="15"/>
      <c r="BN1196" s="114"/>
    </row>
    <row r="1197" spans="2:66" x14ac:dyDescent="0.4"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22"/>
      <c r="AT1197" s="122"/>
      <c r="AU1197" s="122"/>
      <c r="AV1197" s="115"/>
      <c r="AW1197" s="115"/>
      <c r="AX1197" s="115"/>
      <c r="AY1197" s="115"/>
      <c r="AZ1197" s="115"/>
      <c r="BA1197" s="115"/>
      <c r="BB1197" s="115"/>
      <c r="BC1197" s="115"/>
      <c r="BD1197" s="115"/>
      <c r="BE1197" s="115"/>
      <c r="BF1197" s="115"/>
      <c r="BG1197" s="115"/>
      <c r="BH1197" s="115"/>
      <c r="BI1197" s="115"/>
      <c r="BJ1197" s="26"/>
      <c r="BK1197" s="15"/>
      <c r="BN1197" s="114"/>
    </row>
    <row r="1198" spans="2:66" x14ac:dyDescent="0.4"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15"/>
      <c r="AC1198" s="115"/>
      <c r="AD1198" s="115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22"/>
      <c r="AT1198" s="122"/>
      <c r="AU1198" s="122"/>
      <c r="AV1198" s="115"/>
      <c r="AW1198" s="115"/>
      <c r="AX1198" s="115"/>
      <c r="AY1198" s="115"/>
      <c r="AZ1198" s="115"/>
      <c r="BA1198" s="115"/>
      <c r="BB1198" s="115"/>
      <c r="BC1198" s="115"/>
      <c r="BD1198" s="115"/>
      <c r="BE1198" s="115"/>
      <c r="BF1198" s="115"/>
      <c r="BG1198" s="115"/>
      <c r="BH1198" s="115"/>
      <c r="BI1198" s="115"/>
      <c r="BJ1198" s="26"/>
      <c r="BK1198" s="15"/>
      <c r="BN1198" s="114"/>
    </row>
    <row r="1199" spans="2:66" x14ac:dyDescent="0.4"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15"/>
      <c r="AC1199" s="115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22"/>
      <c r="AT1199" s="122"/>
      <c r="AU1199" s="122"/>
      <c r="AV1199" s="115"/>
      <c r="AW1199" s="115"/>
      <c r="AX1199" s="115"/>
      <c r="AY1199" s="115"/>
      <c r="AZ1199" s="115"/>
      <c r="BA1199" s="115"/>
      <c r="BB1199" s="115"/>
      <c r="BC1199" s="115"/>
      <c r="BD1199" s="115"/>
      <c r="BE1199" s="115"/>
      <c r="BF1199" s="115"/>
      <c r="BG1199" s="115"/>
      <c r="BH1199" s="115"/>
      <c r="BI1199" s="115"/>
      <c r="BJ1199" s="26"/>
      <c r="BK1199" s="15"/>
      <c r="BN1199" s="114"/>
    </row>
    <row r="1200" spans="2:66" x14ac:dyDescent="0.4">
      <c r="B1200" s="115"/>
      <c r="C1200" s="115"/>
      <c r="D1200" s="115"/>
      <c r="E1200" s="115"/>
      <c r="F1200" s="115"/>
      <c r="G1200" s="115"/>
      <c r="H1200" s="115"/>
      <c r="I1200" s="115"/>
      <c r="J1200" s="115"/>
      <c r="K1200" s="115"/>
      <c r="L1200" s="115"/>
      <c r="M1200" s="115"/>
      <c r="N1200" s="115"/>
      <c r="O1200" s="115"/>
      <c r="P1200" s="115"/>
      <c r="Q1200" s="115"/>
      <c r="R1200" s="115"/>
      <c r="S1200" s="115"/>
      <c r="T1200" s="115"/>
      <c r="U1200" s="115"/>
      <c r="V1200" s="115"/>
      <c r="W1200" s="115"/>
      <c r="X1200" s="115"/>
      <c r="Y1200" s="115"/>
      <c r="Z1200" s="115"/>
      <c r="AA1200" s="115"/>
      <c r="AB1200" s="115"/>
      <c r="AC1200" s="115"/>
      <c r="AD1200" s="115"/>
      <c r="AE1200" s="115"/>
      <c r="AF1200" s="115"/>
      <c r="AG1200" s="115"/>
      <c r="AH1200" s="115"/>
      <c r="AI1200" s="115"/>
      <c r="AJ1200" s="115"/>
      <c r="AK1200" s="115"/>
      <c r="AL1200" s="115"/>
      <c r="AM1200" s="115"/>
      <c r="AN1200" s="115"/>
      <c r="AO1200" s="115"/>
      <c r="AP1200" s="115"/>
      <c r="AQ1200" s="115"/>
      <c r="AR1200" s="115"/>
      <c r="AS1200" s="122"/>
      <c r="AT1200" s="122"/>
      <c r="AU1200" s="122"/>
      <c r="AV1200" s="115"/>
      <c r="AW1200" s="115"/>
      <c r="AX1200" s="115"/>
      <c r="AY1200" s="115"/>
      <c r="AZ1200" s="115"/>
      <c r="BA1200" s="115"/>
      <c r="BB1200" s="115"/>
      <c r="BC1200" s="115"/>
      <c r="BD1200" s="115"/>
      <c r="BE1200" s="115"/>
      <c r="BF1200" s="115"/>
      <c r="BG1200" s="115"/>
      <c r="BH1200" s="115"/>
      <c r="BI1200" s="115"/>
      <c r="BJ1200" s="26"/>
      <c r="BK1200" s="15"/>
      <c r="BN1200" s="114"/>
    </row>
    <row r="1201" spans="2:66" x14ac:dyDescent="0.4"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22"/>
      <c r="AT1201" s="122"/>
      <c r="AU1201" s="122"/>
      <c r="AV1201" s="115"/>
      <c r="AW1201" s="115"/>
      <c r="AX1201" s="115"/>
      <c r="AY1201" s="115"/>
      <c r="AZ1201" s="115"/>
      <c r="BA1201" s="115"/>
      <c r="BB1201" s="115"/>
      <c r="BC1201" s="115"/>
      <c r="BD1201" s="115"/>
      <c r="BE1201" s="115"/>
      <c r="BF1201" s="115"/>
      <c r="BG1201" s="115"/>
      <c r="BH1201" s="115"/>
      <c r="BI1201" s="115"/>
      <c r="BJ1201" s="26"/>
      <c r="BK1201" s="15"/>
      <c r="BN1201" s="114"/>
    </row>
    <row r="1202" spans="2:66" x14ac:dyDescent="0.4">
      <c r="B1202" s="115"/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22"/>
      <c r="AT1202" s="122"/>
      <c r="AU1202" s="122"/>
      <c r="AV1202" s="115"/>
      <c r="AW1202" s="115"/>
      <c r="AX1202" s="115"/>
      <c r="AY1202" s="115"/>
      <c r="AZ1202" s="115"/>
      <c r="BA1202" s="115"/>
      <c r="BB1202" s="115"/>
      <c r="BC1202" s="115"/>
      <c r="BD1202" s="115"/>
      <c r="BE1202" s="115"/>
      <c r="BF1202" s="115"/>
      <c r="BG1202" s="115"/>
      <c r="BH1202" s="115"/>
      <c r="BI1202" s="115"/>
      <c r="BJ1202" s="26"/>
      <c r="BK1202" s="15"/>
      <c r="BN1202" s="114"/>
    </row>
    <row r="1203" spans="2:66" x14ac:dyDescent="0.4">
      <c r="B1203" s="115"/>
      <c r="C1203" s="115"/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22"/>
      <c r="AT1203" s="122"/>
      <c r="AU1203" s="122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115"/>
      <c r="BF1203" s="115"/>
      <c r="BG1203" s="115"/>
      <c r="BH1203" s="115"/>
      <c r="BI1203" s="115"/>
      <c r="BJ1203" s="17"/>
      <c r="BK1203" s="15"/>
      <c r="BN1203" s="114"/>
    </row>
    <row r="1204" spans="2:66" x14ac:dyDescent="0.4"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22"/>
      <c r="AT1204" s="122"/>
      <c r="AU1204" s="122"/>
      <c r="AV1204" s="115"/>
      <c r="AW1204" s="115"/>
      <c r="AX1204" s="115"/>
      <c r="AY1204" s="115"/>
      <c r="AZ1204" s="115"/>
      <c r="BA1204" s="115"/>
      <c r="BB1204" s="115"/>
      <c r="BC1204" s="115"/>
      <c r="BD1204" s="115"/>
      <c r="BE1204" s="115"/>
      <c r="BF1204" s="115"/>
      <c r="BG1204" s="115"/>
      <c r="BH1204" s="115"/>
      <c r="BI1204" s="115"/>
      <c r="BJ1204" s="26"/>
      <c r="BK1204" s="15"/>
      <c r="BN1204" s="114"/>
    </row>
    <row r="1205" spans="2:66" x14ac:dyDescent="0.4"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22"/>
      <c r="AT1205" s="122"/>
      <c r="AU1205" s="122"/>
      <c r="AV1205" s="115"/>
      <c r="AW1205" s="115"/>
      <c r="AX1205" s="115"/>
      <c r="AY1205" s="115"/>
      <c r="AZ1205" s="115"/>
      <c r="BA1205" s="115"/>
      <c r="BB1205" s="115"/>
      <c r="BC1205" s="115"/>
      <c r="BD1205" s="115"/>
      <c r="BE1205" s="115"/>
      <c r="BF1205" s="115"/>
      <c r="BG1205" s="115"/>
      <c r="BH1205" s="115"/>
      <c r="BI1205" s="115"/>
      <c r="BJ1205" s="26"/>
      <c r="BK1205" s="15"/>
      <c r="BN1205" s="114"/>
    </row>
    <row r="1206" spans="2:66" x14ac:dyDescent="0.4"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22"/>
      <c r="AT1206" s="122"/>
      <c r="AU1206" s="122"/>
      <c r="AV1206" s="115"/>
      <c r="AW1206" s="115"/>
      <c r="AX1206" s="115"/>
      <c r="AY1206" s="115"/>
      <c r="AZ1206" s="115"/>
      <c r="BA1206" s="115"/>
      <c r="BB1206" s="115"/>
      <c r="BC1206" s="115"/>
      <c r="BD1206" s="115"/>
      <c r="BE1206" s="115"/>
      <c r="BF1206" s="115"/>
      <c r="BG1206" s="115"/>
      <c r="BH1206" s="115"/>
      <c r="BI1206" s="115"/>
      <c r="BJ1206" s="26"/>
      <c r="BK1206" s="15"/>
      <c r="BN1206" s="114"/>
    </row>
    <row r="1207" spans="2:66" x14ac:dyDescent="0.4"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22"/>
      <c r="AT1207" s="122"/>
      <c r="AU1207" s="122"/>
      <c r="AV1207" s="115"/>
      <c r="AW1207" s="115"/>
      <c r="AX1207" s="115"/>
      <c r="AY1207" s="115"/>
      <c r="AZ1207" s="115"/>
      <c r="BA1207" s="115"/>
      <c r="BB1207" s="115"/>
      <c r="BC1207" s="115"/>
      <c r="BD1207" s="115"/>
      <c r="BE1207" s="115"/>
      <c r="BF1207" s="115"/>
      <c r="BG1207" s="115"/>
      <c r="BH1207" s="115"/>
      <c r="BI1207" s="115"/>
      <c r="BJ1207" s="26"/>
      <c r="BK1207" s="15"/>
      <c r="BN1207" s="114"/>
    </row>
    <row r="1208" spans="2:66" x14ac:dyDescent="0.4"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22"/>
      <c r="AT1208" s="122"/>
      <c r="AU1208" s="122"/>
      <c r="AV1208" s="115"/>
      <c r="AW1208" s="115"/>
      <c r="AX1208" s="115"/>
      <c r="AY1208" s="115"/>
      <c r="AZ1208" s="115"/>
      <c r="BA1208" s="115"/>
      <c r="BB1208" s="115"/>
      <c r="BC1208" s="115"/>
      <c r="BD1208" s="115"/>
      <c r="BE1208" s="115"/>
      <c r="BF1208" s="115"/>
      <c r="BG1208" s="115"/>
      <c r="BH1208" s="115"/>
      <c r="BI1208" s="115"/>
      <c r="BJ1208" s="26"/>
      <c r="BK1208" s="15"/>
      <c r="BN1208" s="114"/>
    </row>
    <row r="1209" spans="2:66" x14ac:dyDescent="0.4"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15"/>
      <c r="AI1209" s="115"/>
      <c r="AJ1209" s="115"/>
      <c r="AK1209" s="115"/>
      <c r="AL1209" s="115"/>
      <c r="AM1209" s="115"/>
      <c r="AN1209" s="115"/>
      <c r="AO1209" s="115"/>
      <c r="AP1209" s="115"/>
      <c r="AQ1209" s="115"/>
      <c r="AR1209" s="115"/>
      <c r="AS1209" s="122"/>
      <c r="AT1209" s="122"/>
      <c r="AU1209" s="122"/>
      <c r="AV1209" s="115"/>
      <c r="AW1209" s="115"/>
      <c r="AX1209" s="115"/>
      <c r="AY1209" s="115"/>
      <c r="AZ1209" s="115"/>
      <c r="BA1209" s="115"/>
      <c r="BB1209" s="115"/>
      <c r="BC1209" s="115"/>
      <c r="BD1209" s="115"/>
      <c r="BE1209" s="115"/>
      <c r="BF1209" s="115"/>
      <c r="BG1209" s="115"/>
      <c r="BH1209" s="115"/>
      <c r="BI1209" s="115"/>
      <c r="BJ1209" s="26"/>
      <c r="BK1209" s="15"/>
      <c r="BN1209" s="114"/>
    </row>
    <row r="1210" spans="2:66" x14ac:dyDescent="0.4"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22"/>
      <c r="AT1210" s="122"/>
      <c r="AU1210" s="122"/>
      <c r="AV1210" s="115"/>
      <c r="AW1210" s="115"/>
      <c r="AX1210" s="115"/>
      <c r="AY1210" s="115"/>
      <c r="AZ1210" s="115"/>
      <c r="BA1210" s="115"/>
      <c r="BB1210" s="115"/>
      <c r="BC1210" s="115"/>
      <c r="BD1210" s="115"/>
      <c r="BE1210" s="115"/>
      <c r="BF1210" s="115"/>
      <c r="BG1210" s="115"/>
      <c r="BH1210" s="115"/>
      <c r="BI1210" s="115"/>
      <c r="BJ1210" s="26"/>
      <c r="BK1210" s="15"/>
      <c r="BN1210" s="114"/>
    </row>
    <row r="1211" spans="2:66" x14ac:dyDescent="0.4">
      <c r="B1211" s="115"/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15"/>
      <c r="AF1211" s="115"/>
      <c r="AG1211" s="115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22"/>
      <c r="AT1211" s="122"/>
      <c r="AU1211" s="122"/>
      <c r="AV1211" s="115"/>
      <c r="AW1211" s="115"/>
      <c r="AX1211" s="115"/>
      <c r="AY1211" s="115"/>
      <c r="AZ1211" s="115"/>
      <c r="BA1211" s="115"/>
      <c r="BB1211" s="115"/>
      <c r="BC1211" s="115"/>
      <c r="BD1211" s="115"/>
      <c r="BE1211" s="115"/>
      <c r="BF1211" s="115"/>
      <c r="BG1211" s="115"/>
      <c r="BH1211" s="115"/>
      <c r="BI1211" s="115"/>
      <c r="BJ1211" s="26"/>
      <c r="BK1211" s="15"/>
      <c r="BN1211" s="114"/>
    </row>
    <row r="1212" spans="2:66" x14ac:dyDescent="0.4">
      <c r="B1212" s="115"/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15"/>
      <c r="AF1212" s="115"/>
      <c r="AG1212" s="115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22"/>
      <c r="AT1212" s="122"/>
      <c r="AU1212" s="122"/>
      <c r="AV1212" s="115"/>
      <c r="AW1212" s="115"/>
      <c r="AX1212" s="115"/>
      <c r="AY1212" s="115"/>
      <c r="AZ1212" s="115"/>
      <c r="BA1212" s="115"/>
      <c r="BB1212" s="115"/>
      <c r="BC1212" s="115"/>
      <c r="BD1212" s="115"/>
      <c r="BE1212" s="115"/>
      <c r="BF1212" s="115"/>
      <c r="BG1212" s="115"/>
      <c r="BH1212" s="115"/>
      <c r="BI1212" s="115"/>
      <c r="BJ1212" s="17"/>
      <c r="BK1212" s="15"/>
      <c r="BN1212" s="114"/>
    </row>
    <row r="1213" spans="2:66" x14ac:dyDescent="0.4"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15"/>
      <c r="AC1213" s="115"/>
      <c r="AD1213" s="115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122"/>
      <c r="AT1213" s="122"/>
      <c r="AU1213" s="122"/>
      <c r="AV1213" s="115"/>
      <c r="AW1213" s="115"/>
      <c r="AX1213" s="115"/>
      <c r="AY1213" s="115"/>
      <c r="AZ1213" s="115"/>
      <c r="BA1213" s="115"/>
      <c r="BB1213" s="115"/>
      <c r="BC1213" s="115"/>
      <c r="BD1213" s="115"/>
      <c r="BE1213" s="115"/>
      <c r="BF1213" s="115"/>
      <c r="BG1213" s="115"/>
      <c r="BH1213" s="115"/>
      <c r="BI1213" s="115"/>
      <c r="BJ1213" s="26"/>
      <c r="BK1213" s="15"/>
      <c r="BN1213" s="114"/>
    </row>
    <row r="1214" spans="2:66" x14ac:dyDescent="0.4">
      <c r="B1214" s="115"/>
      <c r="C1214" s="115"/>
      <c r="D1214" s="115"/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15"/>
      <c r="AF1214" s="115"/>
      <c r="AG1214" s="115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22"/>
      <c r="AT1214" s="122"/>
      <c r="AU1214" s="122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115"/>
      <c r="BF1214" s="115"/>
      <c r="BG1214" s="115"/>
      <c r="BH1214" s="115"/>
      <c r="BI1214" s="115"/>
      <c r="BJ1214" s="17"/>
      <c r="BK1214" s="15"/>
      <c r="BN1214" s="114"/>
    </row>
    <row r="1215" spans="2:66" x14ac:dyDescent="0.4"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22"/>
      <c r="AT1215" s="122"/>
      <c r="AU1215" s="122"/>
      <c r="AV1215" s="115"/>
      <c r="AW1215" s="115"/>
      <c r="AX1215" s="115"/>
      <c r="AY1215" s="115"/>
      <c r="AZ1215" s="115"/>
      <c r="BA1215" s="115"/>
      <c r="BB1215" s="115"/>
      <c r="BC1215" s="115"/>
      <c r="BD1215" s="115"/>
      <c r="BE1215" s="115"/>
      <c r="BF1215" s="115"/>
      <c r="BG1215" s="115"/>
      <c r="BH1215" s="115"/>
      <c r="BI1215" s="115"/>
      <c r="BJ1215" s="26"/>
      <c r="BK1215" s="15"/>
      <c r="BN1215" s="114"/>
    </row>
    <row r="1216" spans="2:66" x14ac:dyDescent="0.4"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22"/>
      <c r="AT1216" s="122"/>
      <c r="AU1216" s="122"/>
      <c r="AV1216" s="115"/>
      <c r="AW1216" s="115"/>
      <c r="AX1216" s="115"/>
      <c r="AY1216" s="115"/>
      <c r="AZ1216" s="115"/>
      <c r="BA1216" s="115"/>
      <c r="BB1216" s="115"/>
      <c r="BC1216" s="115"/>
      <c r="BD1216" s="115"/>
      <c r="BE1216" s="115"/>
      <c r="BF1216" s="115"/>
      <c r="BG1216" s="115"/>
      <c r="BH1216" s="115"/>
      <c r="BI1216" s="115"/>
      <c r="BJ1216" s="17"/>
      <c r="BK1216" s="15"/>
      <c r="BN1216" s="114"/>
    </row>
    <row r="1217" spans="1:66" x14ac:dyDescent="0.4">
      <c r="B1217" s="115"/>
      <c r="C1217" s="115"/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15"/>
      <c r="AF1217" s="115"/>
      <c r="AG1217" s="115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22"/>
      <c r="AT1217" s="122"/>
      <c r="AU1217" s="122"/>
      <c r="AV1217" s="115"/>
      <c r="AW1217" s="115"/>
      <c r="AX1217" s="115"/>
      <c r="AY1217" s="115"/>
      <c r="AZ1217" s="115"/>
      <c r="BA1217" s="115"/>
      <c r="BB1217" s="115"/>
      <c r="BC1217" s="115"/>
      <c r="BD1217" s="115"/>
      <c r="BE1217" s="115"/>
      <c r="BF1217" s="115"/>
      <c r="BG1217" s="115"/>
      <c r="BH1217" s="115"/>
      <c r="BI1217" s="115"/>
      <c r="BJ1217" s="26"/>
      <c r="BK1217" s="15"/>
      <c r="BN1217" s="114"/>
    </row>
    <row r="1218" spans="1:66" x14ac:dyDescent="0.4">
      <c r="B1218" s="115"/>
      <c r="C1218" s="115"/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22"/>
      <c r="AT1218" s="122"/>
      <c r="AU1218" s="122"/>
      <c r="AV1218" s="115"/>
      <c r="AW1218" s="115"/>
      <c r="AX1218" s="115"/>
      <c r="AY1218" s="115"/>
      <c r="AZ1218" s="115"/>
      <c r="BA1218" s="115"/>
      <c r="BB1218" s="115"/>
      <c r="BC1218" s="115"/>
      <c r="BD1218" s="115"/>
      <c r="BE1218" s="115"/>
      <c r="BF1218" s="115"/>
      <c r="BG1218" s="115"/>
      <c r="BH1218" s="115"/>
      <c r="BI1218" s="115"/>
      <c r="BJ1218" s="26"/>
      <c r="BK1218" s="15"/>
      <c r="BN1218" s="114"/>
    </row>
    <row r="1219" spans="1:66" x14ac:dyDescent="0.4">
      <c r="B1219" s="115"/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22"/>
      <c r="AT1219" s="122"/>
      <c r="AU1219" s="122"/>
      <c r="AV1219" s="115"/>
      <c r="AW1219" s="115"/>
      <c r="AX1219" s="115"/>
      <c r="AY1219" s="115"/>
      <c r="AZ1219" s="115"/>
      <c r="BA1219" s="115"/>
      <c r="BB1219" s="115"/>
      <c r="BC1219" s="115"/>
      <c r="BD1219" s="115"/>
      <c r="BE1219" s="115"/>
      <c r="BF1219" s="115"/>
      <c r="BG1219" s="115"/>
      <c r="BH1219" s="115"/>
      <c r="BI1219" s="115"/>
      <c r="BJ1219" s="17"/>
      <c r="BK1219" s="15"/>
      <c r="BN1219" s="114"/>
    </row>
    <row r="1220" spans="1:66" x14ac:dyDescent="0.4"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15"/>
      <c r="AF1220" s="115"/>
      <c r="AG1220" s="115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22"/>
      <c r="AT1220" s="122"/>
      <c r="AU1220" s="122"/>
      <c r="AV1220" s="115"/>
      <c r="AW1220" s="115"/>
      <c r="AX1220" s="115"/>
      <c r="AY1220" s="115"/>
      <c r="AZ1220" s="115"/>
      <c r="BA1220" s="115"/>
      <c r="BB1220" s="115"/>
      <c r="BC1220" s="115"/>
      <c r="BD1220" s="115"/>
      <c r="BE1220" s="115"/>
      <c r="BF1220" s="115"/>
      <c r="BG1220" s="115"/>
      <c r="BH1220" s="115"/>
      <c r="BI1220" s="115"/>
      <c r="BJ1220" s="26"/>
      <c r="BK1220" s="15"/>
      <c r="BN1220" s="114"/>
    </row>
    <row r="1221" spans="1:66" x14ac:dyDescent="0.4"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22"/>
      <c r="AT1221" s="122"/>
      <c r="AU1221" s="122"/>
      <c r="AV1221" s="115"/>
      <c r="AW1221" s="115"/>
      <c r="AX1221" s="115"/>
      <c r="AY1221" s="115"/>
      <c r="AZ1221" s="115"/>
      <c r="BA1221" s="115"/>
      <c r="BB1221" s="115"/>
      <c r="BC1221" s="115"/>
      <c r="BD1221" s="115"/>
      <c r="BE1221" s="115"/>
      <c r="BF1221" s="115"/>
      <c r="BG1221" s="115"/>
      <c r="BH1221" s="115"/>
      <c r="BI1221" s="115"/>
      <c r="BJ1221" s="26"/>
      <c r="BK1221" s="15"/>
      <c r="BN1221" s="114"/>
    </row>
    <row r="1222" spans="1:66" x14ac:dyDescent="0.4">
      <c r="A1222" s="115"/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22"/>
      <c r="AT1222" s="122"/>
      <c r="AU1222" s="122"/>
      <c r="AV1222" s="115"/>
      <c r="AW1222" s="115"/>
      <c r="AX1222" s="115"/>
      <c r="AY1222" s="115"/>
      <c r="AZ1222" s="115"/>
      <c r="BA1222" s="115"/>
      <c r="BB1222" s="115"/>
      <c r="BC1222" s="115"/>
      <c r="BD1222" s="115"/>
      <c r="BE1222" s="115"/>
      <c r="BF1222" s="115"/>
      <c r="BG1222" s="115"/>
      <c r="BH1222" s="115"/>
      <c r="BI1222" s="115"/>
      <c r="BJ1222" s="26"/>
      <c r="BK1222" s="105"/>
      <c r="BN1222" s="114"/>
    </row>
    <row r="1223" spans="1:66" x14ac:dyDescent="0.4">
      <c r="A1223" s="115"/>
      <c r="B1223" s="115"/>
      <c r="C1223" s="115"/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22"/>
      <c r="AT1223" s="122"/>
      <c r="AU1223" s="122"/>
      <c r="AV1223" s="115"/>
      <c r="AW1223" s="115"/>
      <c r="AX1223" s="115"/>
      <c r="AY1223" s="115"/>
      <c r="AZ1223" s="115"/>
      <c r="BA1223" s="115"/>
      <c r="BB1223" s="115"/>
      <c r="BC1223" s="115"/>
      <c r="BD1223" s="115"/>
      <c r="BE1223" s="115"/>
      <c r="BF1223" s="115"/>
      <c r="BG1223" s="115"/>
      <c r="BH1223" s="115"/>
      <c r="BI1223" s="115"/>
      <c r="BJ1223" s="17"/>
      <c r="BK1223" s="15"/>
      <c r="BN1223" s="114"/>
    </row>
    <row r="1224" spans="1:66" x14ac:dyDescent="0.4">
      <c r="A1224" s="115"/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22"/>
      <c r="AT1224" s="122"/>
      <c r="AU1224" s="122"/>
      <c r="AV1224" s="115"/>
      <c r="AW1224" s="115"/>
      <c r="AX1224" s="115"/>
      <c r="AY1224" s="115"/>
      <c r="AZ1224" s="115"/>
      <c r="BA1224" s="115"/>
      <c r="BB1224" s="115"/>
      <c r="BC1224" s="115"/>
      <c r="BD1224" s="115"/>
      <c r="BE1224" s="115"/>
      <c r="BF1224" s="115"/>
      <c r="BG1224" s="115"/>
      <c r="BH1224" s="115"/>
      <c r="BI1224" s="115"/>
      <c r="BJ1224" s="17"/>
      <c r="BK1224" s="15"/>
      <c r="BN1224" s="114"/>
    </row>
    <row r="1225" spans="1:66" x14ac:dyDescent="0.4">
      <c r="A1225" s="115"/>
      <c r="B1225" s="115"/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22"/>
      <c r="AT1225" s="122"/>
      <c r="AU1225" s="122"/>
      <c r="AV1225" s="115"/>
      <c r="AW1225" s="115"/>
      <c r="AX1225" s="115"/>
      <c r="AY1225" s="115"/>
      <c r="AZ1225" s="115"/>
      <c r="BA1225" s="115"/>
      <c r="BB1225" s="115"/>
      <c r="BC1225" s="115"/>
      <c r="BD1225" s="115"/>
      <c r="BE1225" s="115"/>
      <c r="BF1225" s="115"/>
      <c r="BG1225" s="115"/>
      <c r="BH1225" s="115"/>
      <c r="BI1225" s="115"/>
      <c r="BJ1225" s="26"/>
      <c r="BK1225" s="15"/>
      <c r="BN1225" s="114"/>
    </row>
    <row r="1226" spans="1:66" x14ac:dyDescent="0.4">
      <c r="A1226" s="115"/>
      <c r="B1226" s="115"/>
      <c r="C1226" s="115"/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22"/>
      <c r="AT1226" s="122"/>
      <c r="AU1226" s="122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115"/>
      <c r="BF1226" s="115"/>
      <c r="BG1226" s="115"/>
      <c r="BH1226" s="115"/>
      <c r="BI1226" s="115"/>
      <c r="BJ1226" s="26"/>
      <c r="BK1226" s="15"/>
      <c r="BN1226" s="114"/>
    </row>
    <row r="1227" spans="1:66" x14ac:dyDescent="0.4">
      <c r="A1227" s="115"/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22"/>
      <c r="AT1227" s="122"/>
      <c r="AU1227" s="122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115"/>
      <c r="BF1227" s="115"/>
      <c r="BG1227" s="115"/>
      <c r="BH1227" s="115"/>
      <c r="BI1227" s="115"/>
      <c r="BJ1227" s="26"/>
      <c r="BK1227" s="15"/>
      <c r="BN1227" s="114"/>
    </row>
    <row r="1228" spans="1:66" x14ac:dyDescent="0.4">
      <c r="A1228" s="115"/>
      <c r="B1228" s="115"/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22"/>
      <c r="AT1228" s="122"/>
      <c r="AU1228" s="122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15"/>
      <c r="BF1228" s="115"/>
      <c r="BG1228" s="115"/>
      <c r="BH1228" s="115"/>
      <c r="BI1228" s="115"/>
      <c r="BJ1228" s="26"/>
      <c r="BK1228" s="15"/>
      <c r="BN1228" s="114"/>
    </row>
    <row r="1229" spans="1:66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22"/>
      <c r="AT1229" s="122"/>
      <c r="AU1229" s="122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115"/>
      <c r="BF1229" s="115"/>
      <c r="BG1229" s="115"/>
      <c r="BH1229" s="115"/>
      <c r="BI1229" s="115"/>
      <c r="BJ1229" s="26"/>
      <c r="BK1229" s="15"/>
      <c r="BN1229" s="114"/>
    </row>
    <row r="1230" spans="1:66" x14ac:dyDescent="0.4">
      <c r="A1230" s="115"/>
      <c r="B1230" s="115"/>
      <c r="C1230" s="115"/>
      <c r="D1230" s="115"/>
      <c r="E1230" s="115"/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22"/>
      <c r="AT1230" s="122"/>
      <c r="AU1230" s="122"/>
      <c r="AV1230" s="115"/>
      <c r="AW1230" s="115"/>
      <c r="AX1230" s="115"/>
      <c r="AY1230" s="115"/>
      <c r="AZ1230" s="115"/>
      <c r="BA1230" s="115"/>
      <c r="BB1230" s="115"/>
      <c r="BC1230" s="115"/>
      <c r="BD1230" s="115"/>
      <c r="BE1230" s="115"/>
      <c r="BF1230" s="115"/>
      <c r="BG1230" s="115"/>
      <c r="BH1230" s="115"/>
      <c r="BI1230" s="115"/>
      <c r="BJ1230" s="26"/>
      <c r="BK1230" s="15"/>
      <c r="BN1230" s="114"/>
    </row>
    <row r="1231" spans="1:66" x14ac:dyDescent="0.4">
      <c r="A1231" s="115"/>
      <c r="B1231" s="115"/>
      <c r="C1231" s="115"/>
      <c r="D1231" s="115"/>
      <c r="E1231" s="115"/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22"/>
      <c r="AT1231" s="122"/>
      <c r="AU1231" s="122"/>
      <c r="AV1231" s="115"/>
      <c r="AW1231" s="115"/>
      <c r="AX1231" s="115"/>
      <c r="AY1231" s="115"/>
      <c r="AZ1231" s="115"/>
      <c r="BA1231" s="115"/>
      <c r="BB1231" s="115"/>
      <c r="BC1231" s="115"/>
      <c r="BD1231" s="115"/>
      <c r="BE1231" s="115"/>
      <c r="BF1231" s="115"/>
      <c r="BG1231" s="115"/>
      <c r="BH1231" s="115"/>
      <c r="BI1231" s="115"/>
      <c r="BJ1231" s="26"/>
      <c r="BK1231" s="15"/>
      <c r="BN1231" s="114"/>
    </row>
    <row r="1232" spans="1:66" x14ac:dyDescent="0.4">
      <c r="A1232" s="115"/>
      <c r="B1232" s="115"/>
      <c r="C1232" s="115"/>
      <c r="D1232" s="115"/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22"/>
      <c r="AT1232" s="122"/>
      <c r="AU1232" s="122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115"/>
      <c r="BF1232" s="115"/>
      <c r="BG1232" s="115"/>
      <c r="BH1232" s="115"/>
      <c r="BI1232" s="115"/>
      <c r="BJ1232" s="26"/>
      <c r="BK1232" s="15"/>
      <c r="BN1232" s="114"/>
    </row>
    <row r="1233" spans="1:66" x14ac:dyDescent="0.4">
      <c r="A1233" s="115"/>
      <c r="B1233" s="115"/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22"/>
      <c r="AT1233" s="122"/>
      <c r="AU1233" s="122"/>
      <c r="AV1233" s="115"/>
      <c r="AW1233" s="115"/>
      <c r="AX1233" s="115"/>
      <c r="AY1233" s="115"/>
      <c r="AZ1233" s="115"/>
      <c r="BA1233" s="115"/>
      <c r="BB1233" s="115"/>
      <c r="BC1233" s="115"/>
      <c r="BD1233" s="115"/>
      <c r="BE1233" s="115"/>
      <c r="BF1233" s="115"/>
      <c r="BG1233" s="115"/>
      <c r="BH1233" s="115"/>
      <c r="BI1233" s="115"/>
      <c r="BJ1233" s="26"/>
      <c r="BK1233" s="105"/>
      <c r="BN1233" s="114"/>
    </row>
    <row r="1234" spans="1:66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22"/>
      <c r="AT1234" s="122"/>
      <c r="AU1234" s="122"/>
      <c r="AV1234" s="115"/>
      <c r="AW1234" s="115"/>
      <c r="AX1234" s="115"/>
      <c r="AY1234" s="115"/>
      <c r="AZ1234" s="115"/>
      <c r="BA1234" s="115"/>
      <c r="BB1234" s="115"/>
      <c r="BC1234" s="115"/>
      <c r="BD1234" s="115"/>
      <c r="BE1234" s="115"/>
      <c r="BF1234" s="115"/>
      <c r="BG1234" s="115"/>
      <c r="BH1234" s="115"/>
      <c r="BI1234" s="115"/>
      <c r="BJ1234" s="26"/>
      <c r="BK1234" s="15"/>
      <c r="BN1234" s="114"/>
    </row>
    <row r="1235" spans="1:66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22"/>
      <c r="AT1235" s="122"/>
      <c r="AU1235" s="122"/>
      <c r="AV1235" s="115"/>
      <c r="AW1235" s="115"/>
      <c r="AX1235" s="115"/>
      <c r="AY1235" s="115"/>
      <c r="AZ1235" s="115"/>
      <c r="BA1235" s="115"/>
      <c r="BB1235" s="115"/>
      <c r="BC1235" s="115"/>
      <c r="BD1235" s="115"/>
      <c r="BE1235" s="115"/>
      <c r="BF1235" s="115"/>
      <c r="BG1235" s="115"/>
      <c r="BH1235" s="115"/>
      <c r="BI1235" s="115"/>
      <c r="BJ1235" s="26"/>
      <c r="BK1235" s="15"/>
      <c r="BN1235" s="114"/>
    </row>
    <row r="1236" spans="1:66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22"/>
      <c r="AT1236" s="122"/>
      <c r="AU1236" s="122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115"/>
      <c r="BF1236" s="115"/>
      <c r="BG1236" s="115"/>
      <c r="BH1236" s="115"/>
      <c r="BI1236" s="115"/>
      <c r="BJ1236" s="26"/>
      <c r="BK1236" s="13"/>
      <c r="BN1236" s="114"/>
    </row>
    <row r="1237" spans="1:66" x14ac:dyDescent="0.4">
      <c r="A1237" s="115"/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22"/>
      <c r="AT1237" s="122"/>
      <c r="AU1237" s="122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15"/>
      <c r="BF1237" s="115"/>
      <c r="BG1237" s="115"/>
      <c r="BH1237" s="115"/>
      <c r="BI1237" s="115"/>
      <c r="BJ1237" s="17"/>
      <c r="BK1237" s="13"/>
      <c r="BN1237" s="114"/>
    </row>
    <row r="1238" spans="1:66" x14ac:dyDescent="0.4">
      <c r="A1238" s="115"/>
      <c r="B1238" s="115"/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22"/>
      <c r="AT1238" s="122"/>
      <c r="AU1238" s="122"/>
      <c r="AV1238" s="115"/>
      <c r="AW1238" s="115"/>
      <c r="AX1238" s="115"/>
      <c r="AY1238" s="115"/>
      <c r="AZ1238" s="115"/>
      <c r="BA1238" s="115"/>
      <c r="BB1238" s="115"/>
      <c r="BC1238" s="115"/>
      <c r="BD1238" s="115"/>
      <c r="BE1238" s="115"/>
      <c r="BF1238" s="115"/>
      <c r="BG1238" s="115"/>
      <c r="BH1238" s="115"/>
      <c r="BI1238" s="115"/>
      <c r="BJ1238" s="26"/>
      <c r="BK1238" s="13"/>
      <c r="BN1238" s="114"/>
    </row>
    <row r="1239" spans="1:66" x14ac:dyDescent="0.4">
      <c r="A1239" s="115"/>
      <c r="B1239" s="115"/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22"/>
      <c r="AT1239" s="122"/>
      <c r="AU1239" s="122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115"/>
      <c r="BF1239" s="115"/>
      <c r="BG1239" s="115"/>
      <c r="BH1239" s="115"/>
      <c r="BI1239" s="115"/>
      <c r="BJ1239" s="26"/>
      <c r="BK1239" s="13"/>
      <c r="BN1239" s="114"/>
    </row>
    <row r="1240" spans="1:66" x14ac:dyDescent="0.4">
      <c r="A1240" s="115"/>
      <c r="B1240" s="115"/>
      <c r="C1240" s="115"/>
      <c r="D1240" s="115"/>
      <c r="E1240" s="115"/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22"/>
      <c r="AT1240" s="122"/>
      <c r="AU1240" s="122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115"/>
      <c r="BF1240" s="115"/>
      <c r="BG1240" s="115"/>
      <c r="BH1240" s="115"/>
      <c r="BI1240" s="115"/>
      <c r="BJ1240" s="26"/>
      <c r="BK1240" s="13"/>
      <c r="BN1240" s="114"/>
    </row>
    <row r="1241" spans="1:66" x14ac:dyDescent="0.4">
      <c r="A1241" s="115"/>
      <c r="B1241" s="115"/>
      <c r="C1241" s="115"/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22"/>
      <c r="AT1241" s="122"/>
      <c r="AU1241" s="122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15"/>
      <c r="BF1241" s="115"/>
      <c r="BG1241" s="115"/>
      <c r="BH1241" s="115"/>
      <c r="BI1241" s="115"/>
      <c r="BJ1241" s="26"/>
      <c r="BK1241" s="13"/>
      <c r="BN1241" s="114"/>
    </row>
    <row r="1242" spans="1:66" x14ac:dyDescent="0.4">
      <c r="A1242" s="115"/>
      <c r="B1242" s="115"/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22"/>
      <c r="AT1242" s="122"/>
      <c r="AU1242" s="122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115"/>
      <c r="BF1242" s="115"/>
      <c r="BG1242" s="115"/>
      <c r="BH1242" s="115"/>
      <c r="BI1242" s="115"/>
      <c r="BJ1242" s="26"/>
      <c r="BK1242" s="13"/>
      <c r="BN1242" s="114"/>
    </row>
    <row r="1243" spans="1:66" x14ac:dyDescent="0.4">
      <c r="A1243" s="115"/>
      <c r="B1243" s="115"/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22"/>
      <c r="AT1243" s="122"/>
      <c r="AU1243" s="122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15"/>
      <c r="BF1243" s="115"/>
      <c r="BG1243" s="115"/>
      <c r="BH1243" s="115"/>
      <c r="BI1243" s="115"/>
      <c r="BJ1243" s="26"/>
      <c r="BK1243" s="13"/>
      <c r="BN1243" s="114"/>
    </row>
    <row r="1244" spans="1:66" x14ac:dyDescent="0.4">
      <c r="A1244" s="115"/>
      <c r="B1244" s="115"/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22"/>
      <c r="AT1244" s="122"/>
      <c r="AU1244" s="122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115"/>
      <c r="BF1244" s="115"/>
      <c r="BG1244" s="115"/>
      <c r="BH1244" s="115"/>
      <c r="BI1244" s="115"/>
      <c r="BJ1244" s="17"/>
      <c r="BK1244" s="13"/>
      <c r="BN1244" s="114"/>
    </row>
    <row r="1245" spans="1:66" x14ac:dyDescent="0.4">
      <c r="A1245" s="115"/>
      <c r="B1245" s="115"/>
      <c r="C1245" s="115"/>
      <c r="D1245" s="115"/>
      <c r="E1245" s="115"/>
      <c r="F1245" s="115"/>
      <c r="G1245" s="115"/>
      <c r="H1245" s="115"/>
      <c r="I1245" s="115"/>
      <c r="J1245" s="115"/>
      <c r="K1245" s="115"/>
      <c r="L1245" s="115"/>
      <c r="M1245" s="115"/>
      <c r="N1245" s="115"/>
      <c r="O1245" s="115"/>
      <c r="P1245" s="115"/>
      <c r="Q1245" s="115"/>
      <c r="R1245" s="115"/>
      <c r="S1245" s="115"/>
      <c r="T1245" s="115"/>
      <c r="U1245" s="115"/>
      <c r="V1245" s="115"/>
      <c r="W1245" s="115"/>
      <c r="X1245" s="115"/>
      <c r="Y1245" s="115"/>
      <c r="Z1245" s="115"/>
      <c r="AA1245" s="115"/>
      <c r="AB1245" s="115"/>
      <c r="AC1245" s="115"/>
      <c r="AD1245" s="115"/>
      <c r="AE1245" s="115"/>
      <c r="AF1245" s="115"/>
      <c r="AG1245" s="115"/>
      <c r="AH1245" s="115"/>
      <c r="AI1245" s="115"/>
      <c r="AJ1245" s="115"/>
      <c r="AK1245" s="115"/>
      <c r="AL1245" s="115"/>
      <c r="AM1245" s="115"/>
      <c r="AN1245" s="115"/>
      <c r="AO1245" s="115"/>
      <c r="AP1245" s="115"/>
      <c r="AQ1245" s="115"/>
      <c r="AR1245" s="115"/>
      <c r="AS1245" s="122"/>
      <c r="AT1245" s="122"/>
      <c r="AU1245" s="122"/>
      <c r="AV1245" s="115"/>
      <c r="AW1245" s="115"/>
      <c r="AX1245" s="115"/>
      <c r="AY1245" s="115"/>
      <c r="AZ1245" s="115"/>
      <c r="BA1245" s="115"/>
      <c r="BB1245" s="115"/>
      <c r="BC1245" s="115"/>
      <c r="BD1245" s="115"/>
      <c r="BE1245" s="115"/>
      <c r="BF1245" s="115"/>
      <c r="BG1245" s="115"/>
      <c r="BH1245" s="115"/>
      <c r="BI1245" s="115"/>
      <c r="BJ1245" s="26"/>
      <c r="BK1245" s="13"/>
      <c r="BN1245" s="114"/>
    </row>
    <row r="1246" spans="1:66" x14ac:dyDescent="0.4">
      <c r="A1246" s="115"/>
      <c r="B1246" s="115"/>
      <c r="C1246" s="115"/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22"/>
      <c r="AT1246" s="122"/>
      <c r="AU1246" s="122"/>
      <c r="AV1246" s="115"/>
      <c r="AW1246" s="115"/>
      <c r="AX1246" s="115"/>
      <c r="AY1246" s="115"/>
      <c r="AZ1246" s="115"/>
      <c r="BA1246" s="115"/>
      <c r="BB1246" s="115"/>
      <c r="BC1246" s="115"/>
      <c r="BD1246" s="115"/>
      <c r="BE1246" s="115"/>
      <c r="BF1246" s="115"/>
      <c r="BG1246" s="115"/>
      <c r="BH1246" s="115"/>
      <c r="BI1246" s="115"/>
      <c r="BJ1246" s="26"/>
      <c r="BK1246" s="13"/>
      <c r="BN1246" s="114"/>
    </row>
    <row r="1247" spans="1:66" x14ac:dyDescent="0.4">
      <c r="A1247" s="115"/>
      <c r="B1247" s="115"/>
      <c r="C1247" s="115"/>
      <c r="D1247" s="115"/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15"/>
      <c r="AI1247" s="115"/>
      <c r="AJ1247" s="115"/>
      <c r="AK1247" s="115"/>
      <c r="AL1247" s="115"/>
      <c r="AM1247" s="115"/>
      <c r="AN1247" s="115"/>
      <c r="AO1247" s="115"/>
      <c r="AP1247" s="115"/>
      <c r="AQ1247" s="115"/>
      <c r="AR1247" s="115"/>
      <c r="AS1247" s="122"/>
      <c r="AT1247" s="122"/>
      <c r="AU1247" s="122"/>
      <c r="AV1247" s="115"/>
      <c r="AW1247" s="115"/>
      <c r="AX1247" s="115"/>
      <c r="AY1247" s="115"/>
      <c r="AZ1247" s="115"/>
      <c r="BA1247" s="115"/>
      <c r="BB1247" s="115"/>
      <c r="BC1247" s="115"/>
      <c r="BD1247" s="115"/>
      <c r="BE1247" s="115"/>
      <c r="BF1247" s="115"/>
      <c r="BG1247" s="115"/>
      <c r="BH1247" s="115"/>
      <c r="BI1247" s="115"/>
      <c r="BJ1247" s="26"/>
      <c r="BK1247" s="13"/>
      <c r="BN1247" s="114"/>
    </row>
    <row r="1248" spans="1:66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22"/>
      <c r="AT1248" s="122"/>
      <c r="AU1248" s="122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115"/>
      <c r="BF1248" s="115"/>
      <c r="BG1248" s="115"/>
      <c r="BH1248" s="115"/>
      <c r="BI1248" s="115"/>
      <c r="BJ1248" s="26"/>
      <c r="BK1248" s="13"/>
      <c r="BN1248" s="114"/>
    </row>
    <row r="1249" spans="1:66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22"/>
      <c r="AT1249" s="122"/>
      <c r="AU1249" s="122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15"/>
      <c r="BF1249" s="115"/>
      <c r="BG1249" s="115"/>
      <c r="BH1249" s="115"/>
      <c r="BI1249" s="115"/>
      <c r="BJ1249" s="26"/>
      <c r="BK1249" s="25"/>
      <c r="BN1249" s="114"/>
    </row>
    <row r="1250" spans="1:66" x14ac:dyDescent="0.4">
      <c r="A1250" s="115"/>
      <c r="B1250" s="115"/>
      <c r="C1250" s="115"/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22"/>
      <c r="AT1250" s="122"/>
      <c r="AU1250" s="122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115"/>
      <c r="BF1250" s="115"/>
      <c r="BG1250" s="115"/>
      <c r="BH1250" s="115"/>
      <c r="BI1250" s="115"/>
      <c r="BJ1250" s="17"/>
      <c r="BK1250" s="13"/>
      <c r="BN1250" s="114"/>
    </row>
    <row r="1251" spans="1:66" x14ac:dyDescent="0.4">
      <c r="A1251" s="115"/>
      <c r="B1251" s="115"/>
      <c r="C1251" s="115"/>
      <c r="D1251" s="115"/>
      <c r="E1251" s="115"/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22"/>
      <c r="AT1251" s="122"/>
      <c r="AU1251" s="122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15"/>
      <c r="BF1251" s="115"/>
      <c r="BG1251" s="115"/>
      <c r="BH1251" s="115"/>
      <c r="BI1251" s="115"/>
      <c r="BJ1251" s="26"/>
      <c r="BK1251" s="15"/>
      <c r="BN1251" s="114"/>
    </row>
    <row r="1252" spans="1:66" x14ac:dyDescent="0.4">
      <c r="A1252" s="115"/>
      <c r="B1252" s="115"/>
      <c r="C1252" s="115"/>
      <c r="D1252" s="115"/>
      <c r="E1252" s="115"/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22"/>
      <c r="AT1252" s="122"/>
      <c r="AU1252" s="122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115"/>
      <c r="BF1252" s="115"/>
      <c r="BG1252" s="115"/>
      <c r="BH1252" s="115"/>
      <c r="BI1252" s="115"/>
      <c r="BJ1252" s="26"/>
      <c r="BK1252" s="15"/>
      <c r="BN1252" s="114"/>
    </row>
    <row r="1253" spans="1:66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22"/>
      <c r="AT1253" s="122"/>
      <c r="AU1253" s="122"/>
      <c r="AV1253" s="115"/>
      <c r="AW1253" s="115"/>
      <c r="AX1253" s="115"/>
      <c r="AY1253" s="115"/>
      <c r="AZ1253" s="115"/>
      <c r="BA1253" s="115"/>
      <c r="BB1253" s="115"/>
      <c r="BC1253" s="115"/>
      <c r="BD1253" s="115"/>
      <c r="BE1253" s="115"/>
      <c r="BF1253" s="115"/>
      <c r="BG1253" s="115"/>
      <c r="BH1253" s="115"/>
      <c r="BI1253" s="115"/>
      <c r="BJ1253" s="17"/>
      <c r="BK1253" s="15"/>
      <c r="BN1253" s="114"/>
    </row>
    <row r="1254" spans="1:66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22"/>
      <c r="AT1254" s="122"/>
      <c r="AU1254" s="122"/>
      <c r="AV1254" s="115"/>
      <c r="AW1254" s="115"/>
      <c r="AX1254" s="115"/>
      <c r="AY1254" s="115"/>
      <c r="AZ1254" s="115"/>
      <c r="BA1254" s="115"/>
      <c r="BB1254" s="115"/>
      <c r="BC1254" s="115"/>
      <c r="BD1254" s="115"/>
      <c r="BE1254" s="115"/>
      <c r="BF1254" s="115"/>
      <c r="BG1254" s="115"/>
      <c r="BH1254" s="115"/>
      <c r="BI1254" s="115"/>
      <c r="BJ1254" s="26"/>
      <c r="BK1254" s="15"/>
      <c r="BN1254" s="114"/>
    </row>
    <row r="1255" spans="1:66" x14ac:dyDescent="0.4">
      <c r="A1255" s="115"/>
      <c r="B1255" s="115"/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15"/>
      <c r="AI1255" s="115"/>
      <c r="AJ1255" s="115"/>
      <c r="AK1255" s="115"/>
      <c r="AL1255" s="115"/>
      <c r="AM1255" s="115"/>
      <c r="AN1255" s="115"/>
      <c r="AO1255" s="115"/>
      <c r="AP1255" s="115"/>
      <c r="AQ1255" s="115"/>
      <c r="AR1255" s="115"/>
      <c r="AS1255" s="122"/>
      <c r="AT1255" s="122"/>
      <c r="AU1255" s="122"/>
      <c r="AV1255" s="115"/>
      <c r="AW1255" s="115"/>
      <c r="AX1255" s="115"/>
      <c r="AY1255" s="115"/>
      <c r="AZ1255" s="115"/>
      <c r="BA1255" s="115"/>
      <c r="BB1255" s="115"/>
      <c r="BC1255" s="115"/>
      <c r="BD1255" s="115"/>
      <c r="BE1255" s="115"/>
      <c r="BF1255" s="115"/>
      <c r="BG1255" s="115"/>
      <c r="BH1255" s="115"/>
      <c r="BI1255" s="115"/>
      <c r="BJ1255" s="26"/>
      <c r="BK1255" s="15"/>
      <c r="BN1255" s="114"/>
    </row>
    <row r="1256" spans="1:66" x14ac:dyDescent="0.4">
      <c r="A1256" s="115"/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22"/>
      <c r="AT1256" s="122"/>
      <c r="AU1256" s="122"/>
      <c r="AV1256" s="115"/>
      <c r="AW1256" s="115"/>
      <c r="AX1256" s="115"/>
      <c r="AY1256" s="115"/>
      <c r="AZ1256" s="115"/>
      <c r="BA1256" s="115"/>
      <c r="BB1256" s="115"/>
      <c r="BC1256" s="115"/>
      <c r="BD1256" s="115"/>
      <c r="BE1256" s="115"/>
      <c r="BF1256" s="115"/>
      <c r="BG1256" s="115"/>
      <c r="BH1256" s="115"/>
      <c r="BI1256" s="115"/>
      <c r="BJ1256" s="26"/>
      <c r="BK1256" s="13"/>
      <c r="BN1256" s="114"/>
    </row>
    <row r="1257" spans="1:66" x14ac:dyDescent="0.4">
      <c r="A1257" s="115"/>
      <c r="B1257" s="115"/>
      <c r="C1257" s="115"/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22"/>
      <c r="AT1257" s="122"/>
      <c r="AU1257" s="122"/>
      <c r="AV1257" s="115"/>
      <c r="AW1257" s="115"/>
      <c r="AX1257" s="115"/>
      <c r="AY1257" s="115"/>
      <c r="AZ1257" s="115"/>
      <c r="BA1257" s="115"/>
      <c r="BB1257" s="115"/>
      <c r="BC1257" s="115"/>
      <c r="BD1257" s="115"/>
      <c r="BE1257" s="115"/>
      <c r="BF1257" s="115"/>
      <c r="BG1257" s="115"/>
      <c r="BH1257" s="115"/>
      <c r="BI1257" s="115"/>
      <c r="BJ1257" s="26"/>
      <c r="BK1257" s="13"/>
      <c r="BN1257" s="114"/>
    </row>
    <row r="1258" spans="1:66" x14ac:dyDescent="0.4">
      <c r="A1258" s="115"/>
      <c r="B1258" s="115"/>
      <c r="C1258" s="115"/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22"/>
      <c r="AT1258" s="122"/>
      <c r="AU1258" s="122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115"/>
      <c r="BF1258" s="115"/>
      <c r="BG1258" s="115"/>
      <c r="BH1258" s="115"/>
      <c r="BI1258" s="115"/>
      <c r="BJ1258" s="26"/>
      <c r="BK1258" s="13"/>
      <c r="BN1258" s="114"/>
    </row>
    <row r="1259" spans="1:66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22"/>
      <c r="AT1259" s="122"/>
      <c r="AU1259" s="122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115"/>
      <c r="BF1259" s="115"/>
      <c r="BG1259" s="115"/>
      <c r="BH1259" s="115"/>
      <c r="BI1259" s="115"/>
      <c r="BJ1259" s="26"/>
      <c r="BK1259" s="13"/>
      <c r="BN1259" s="114"/>
    </row>
    <row r="1260" spans="1:66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22"/>
      <c r="AT1260" s="122"/>
      <c r="AU1260" s="122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115"/>
      <c r="BF1260" s="115"/>
      <c r="BG1260" s="115"/>
      <c r="BH1260" s="115"/>
      <c r="BI1260" s="115"/>
      <c r="BJ1260" s="26"/>
      <c r="BK1260" s="13"/>
      <c r="BN1260" s="114"/>
    </row>
    <row r="1261" spans="1:66" x14ac:dyDescent="0.4">
      <c r="A1261" s="115"/>
      <c r="B1261" s="115"/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22"/>
      <c r="AT1261" s="122"/>
      <c r="AU1261" s="122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115"/>
      <c r="BF1261" s="115"/>
      <c r="BG1261" s="115"/>
      <c r="BH1261" s="115"/>
      <c r="BI1261" s="115"/>
      <c r="BJ1261" s="26"/>
      <c r="BK1261" s="13"/>
      <c r="BN1261" s="114"/>
    </row>
    <row r="1262" spans="1:66" x14ac:dyDescent="0.4">
      <c r="A1262" s="115"/>
      <c r="B1262" s="115"/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22"/>
      <c r="AT1262" s="122"/>
      <c r="AU1262" s="122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115"/>
      <c r="BF1262" s="115"/>
      <c r="BG1262" s="115"/>
      <c r="BH1262" s="115"/>
      <c r="BI1262" s="115"/>
      <c r="BJ1262" s="26"/>
      <c r="BK1262" s="13"/>
      <c r="BN1262" s="114"/>
    </row>
    <row r="1263" spans="1:66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22"/>
      <c r="AT1263" s="122"/>
      <c r="AU1263" s="122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115"/>
      <c r="BF1263" s="115"/>
      <c r="BG1263" s="115"/>
      <c r="BH1263" s="115"/>
      <c r="BI1263" s="115"/>
      <c r="BJ1263" s="26"/>
      <c r="BK1263" s="13"/>
      <c r="BN1263" s="114"/>
    </row>
    <row r="1264" spans="1:66" x14ac:dyDescent="0.4">
      <c r="A1264" s="115"/>
      <c r="B1264" s="115"/>
      <c r="C1264" s="115"/>
      <c r="D1264" s="115"/>
      <c r="E1264" s="115"/>
      <c r="F1264" s="115"/>
      <c r="G1264" s="115"/>
      <c r="H1264" s="115"/>
      <c r="I1264" s="115"/>
      <c r="J1264" s="115"/>
      <c r="K1264" s="115"/>
      <c r="L1264" s="115"/>
      <c r="M1264" s="115"/>
      <c r="N1264" s="115"/>
      <c r="O1264" s="115"/>
      <c r="P1264" s="115"/>
      <c r="Q1264" s="115"/>
      <c r="R1264" s="115"/>
      <c r="S1264" s="115"/>
      <c r="T1264" s="115"/>
      <c r="U1264" s="115"/>
      <c r="V1264" s="115"/>
      <c r="W1264" s="115"/>
      <c r="X1264" s="115"/>
      <c r="Y1264" s="115"/>
      <c r="Z1264" s="115"/>
      <c r="AA1264" s="115"/>
      <c r="AB1264" s="115"/>
      <c r="AC1264" s="115"/>
      <c r="AD1264" s="115"/>
      <c r="AE1264" s="115"/>
      <c r="AF1264" s="115"/>
      <c r="AG1264" s="115"/>
      <c r="AH1264" s="115"/>
      <c r="AI1264" s="115"/>
      <c r="AJ1264" s="115"/>
      <c r="AK1264" s="115"/>
      <c r="AL1264" s="115"/>
      <c r="AM1264" s="115"/>
      <c r="AN1264" s="115"/>
      <c r="AO1264" s="115"/>
      <c r="AP1264" s="115"/>
      <c r="AQ1264" s="115"/>
      <c r="AR1264" s="115"/>
      <c r="AS1264" s="122"/>
      <c r="AT1264" s="122"/>
      <c r="AU1264" s="122"/>
      <c r="AV1264" s="115"/>
      <c r="AW1264" s="115"/>
      <c r="AX1264" s="115"/>
      <c r="AY1264" s="115"/>
      <c r="AZ1264" s="115"/>
      <c r="BA1264" s="115"/>
      <c r="BB1264" s="115"/>
      <c r="BC1264" s="115"/>
      <c r="BD1264" s="115"/>
      <c r="BE1264" s="115"/>
      <c r="BF1264" s="115"/>
      <c r="BG1264" s="115"/>
      <c r="BH1264" s="115"/>
      <c r="BI1264" s="115"/>
      <c r="BJ1264" s="17"/>
      <c r="BK1264" s="13"/>
      <c r="BN1264" s="114"/>
    </row>
    <row r="1265" spans="1:67" x14ac:dyDescent="0.4">
      <c r="A1265" s="115"/>
      <c r="B1265" s="115"/>
      <c r="C1265" s="115"/>
      <c r="D1265" s="115"/>
      <c r="E1265" s="115"/>
      <c r="F1265" s="115"/>
      <c r="G1265" s="115"/>
      <c r="H1265" s="115"/>
      <c r="I1265" s="115"/>
      <c r="J1265" s="115"/>
      <c r="K1265" s="115"/>
      <c r="L1265" s="115"/>
      <c r="M1265" s="115"/>
      <c r="N1265" s="115"/>
      <c r="O1265" s="115"/>
      <c r="P1265" s="115"/>
      <c r="Q1265" s="115"/>
      <c r="R1265" s="115"/>
      <c r="S1265" s="115"/>
      <c r="T1265" s="115"/>
      <c r="U1265" s="115"/>
      <c r="V1265" s="115"/>
      <c r="W1265" s="115"/>
      <c r="X1265" s="115"/>
      <c r="Y1265" s="115"/>
      <c r="Z1265" s="115"/>
      <c r="AA1265" s="115"/>
      <c r="AB1265" s="115"/>
      <c r="AC1265" s="115"/>
      <c r="AD1265" s="115"/>
      <c r="AE1265" s="115"/>
      <c r="AF1265" s="115"/>
      <c r="AG1265" s="115"/>
      <c r="AH1265" s="115"/>
      <c r="AI1265" s="115"/>
      <c r="AJ1265" s="115"/>
      <c r="AK1265" s="115"/>
      <c r="AL1265" s="115"/>
      <c r="AM1265" s="115"/>
      <c r="AN1265" s="115"/>
      <c r="AO1265" s="115"/>
      <c r="AP1265" s="115"/>
      <c r="AQ1265" s="115"/>
      <c r="AR1265" s="115"/>
      <c r="AS1265" s="122"/>
      <c r="AT1265" s="122"/>
      <c r="AU1265" s="122"/>
      <c r="AV1265" s="115"/>
      <c r="AW1265" s="115"/>
      <c r="AX1265" s="115"/>
      <c r="AY1265" s="115"/>
      <c r="AZ1265" s="115"/>
      <c r="BA1265" s="115"/>
      <c r="BB1265" s="115"/>
      <c r="BC1265" s="115"/>
      <c r="BD1265" s="115"/>
      <c r="BE1265" s="115"/>
      <c r="BF1265" s="115"/>
      <c r="BG1265" s="115"/>
      <c r="BH1265" s="115"/>
      <c r="BI1265" s="115"/>
      <c r="BJ1265" s="26"/>
      <c r="BK1265" s="13"/>
      <c r="BN1265" s="114"/>
    </row>
    <row r="1266" spans="1:67" x14ac:dyDescent="0.4">
      <c r="A1266" s="115"/>
      <c r="B1266" s="115"/>
      <c r="C1266" s="115"/>
      <c r="D1266" s="115"/>
      <c r="E1266" s="115"/>
      <c r="F1266" s="115"/>
      <c r="G1266" s="115"/>
      <c r="H1266" s="115"/>
      <c r="I1266" s="115"/>
      <c r="J1266" s="115"/>
      <c r="K1266" s="115"/>
      <c r="L1266" s="115"/>
      <c r="M1266" s="115"/>
      <c r="N1266" s="115"/>
      <c r="O1266" s="115"/>
      <c r="P1266" s="115"/>
      <c r="Q1266" s="115"/>
      <c r="R1266" s="115"/>
      <c r="S1266" s="115"/>
      <c r="T1266" s="115"/>
      <c r="U1266" s="115"/>
      <c r="V1266" s="115"/>
      <c r="W1266" s="115"/>
      <c r="X1266" s="115"/>
      <c r="Y1266" s="115"/>
      <c r="Z1266" s="115"/>
      <c r="AA1266" s="115"/>
      <c r="AB1266" s="115"/>
      <c r="AC1266" s="115"/>
      <c r="AD1266" s="115"/>
      <c r="AE1266" s="115"/>
      <c r="AF1266" s="115"/>
      <c r="AG1266" s="115"/>
      <c r="AH1266" s="115"/>
      <c r="AI1266" s="115"/>
      <c r="AJ1266" s="115"/>
      <c r="AK1266" s="115"/>
      <c r="AL1266" s="115"/>
      <c r="AM1266" s="115"/>
      <c r="AN1266" s="115"/>
      <c r="AO1266" s="115"/>
      <c r="AP1266" s="115"/>
      <c r="AQ1266" s="115"/>
      <c r="AR1266" s="115"/>
      <c r="AS1266" s="122"/>
      <c r="AT1266" s="122"/>
      <c r="AU1266" s="122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115"/>
      <c r="BF1266" s="115"/>
      <c r="BG1266" s="115"/>
      <c r="BH1266" s="115"/>
      <c r="BI1266" s="115"/>
      <c r="BJ1266" s="17"/>
      <c r="BK1266" s="13"/>
      <c r="BN1266" s="114"/>
    </row>
    <row r="1267" spans="1:67" x14ac:dyDescent="0.4">
      <c r="A1267" s="115"/>
      <c r="B1267" s="115"/>
      <c r="C1267" s="115"/>
      <c r="D1267" s="115"/>
      <c r="E1267" s="115"/>
      <c r="F1267" s="115"/>
      <c r="G1267" s="115"/>
      <c r="H1267" s="115"/>
      <c r="I1267" s="115"/>
      <c r="J1267" s="115"/>
      <c r="K1267" s="115"/>
      <c r="L1267" s="115"/>
      <c r="M1267" s="115"/>
      <c r="N1267" s="115"/>
      <c r="O1267" s="115"/>
      <c r="P1267" s="115"/>
      <c r="Q1267" s="115"/>
      <c r="R1267" s="115"/>
      <c r="S1267" s="115"/>
      <c r="T1267" s="115"/>
      <c r="U1267" s="115"/>
      <c r="V1267" s="115"/>
      <c r="W1267" s="115"/>
      <c r="X1267" s="115"/>
      <c r="Y1267" s="115"/>
      <c r="Z1267" s="115"/>
      <c r="AA1267" s="115"/>
      <c r="AB1267" s="115"/>
      <c r="AC1267" s="115"/>
      <c r="AD1267" s="115"/>
      <c r="AE1267" s="115"/>
      <c r="AF1267" s="115"/>
      <c r="AG1267" s="115"/>
      <c r="AH1267" s="115"/>
      <c r="AI1267" s="115"/>
      <c r="AJ1267" s="115"/>
      <c r="AK1267" s="115"/>
      <c r="AL1267" s="115"/>
      <c r="AM1267" s="115"/>
      <c r="AN1267" s="115"/>
      <c r="AO1267" s="115"/>
      <c r="AP1267" s="115"/>
      <c r="AQ1267" s="115"/>
      <c r="AR1267" s="115"/>
      <c r="AS1267" s="122"/>
      <c r="AT1267" s="122"/>
      <c r="AU1267" s="122"/>
      <c r="AV1267" s="115"/>
      <c r="AW1267" s="115"/>
      <c r="AX1267" s="115"/>
      <c r="AY1267" s="115"/>
      <c r="AZ1267" s="115"/>
      <c r="BA1267" s="115"/>
      <c r="BB1267" s="115"/>
      <c r="BC1267" s="115"/>
      <c r="BD1267" s="115"/>
      <c r="BE1267" s="115"/>
      <c r="BF1267" s="115"/>
      <c r="BG1267" s="115"/>
      <c r="BH1267" s="115"/>
      <c r="BI1267" s="115"/>
      <c r="BJ1267" s="26"/>
      <c r="BK1267" s="13"/>
      <c r="BN1267" s="114"/>
    </row>
    <row r="1268" spans="1:67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22"/>
      <c r="AT1268" s="122"/>
      <c r="AU1268" s="122"/>
      <c r="AV1268" s="115"/>
      <c r="AW1268" s="115"/>
      <c r="AX1268" s="115"/>
      <c r="AY1268" s="115"/>
      <c r="AZ1268" s="115"/>
      <c r="BA1268" s="115"/>
      <c r="BB1268" s="115"/>
      <c r="BC1268" s="115"/>
      <c r="BD1268" s="115"/>
      <c r="BE1268" s="115"/>
      <c r="BF1268" s="115"/>
      <c r="BG1268" s="115"/>
      <c r="BH1268" s="115"/>
      <c r="BI1268" s="115"/>
      <c r="BJ1268" s="26"/>
      <c r="BK1268" s="13"/>
      <c r="BN1268" s="114"/>
    </row>
    <row r="1269" spans="1:67" x14ac:dyDescent="0.4">
      <c r="A1269" s="115"/>
      <c r="B1269" s="115"/>
      <c r="C1269" s="115"/>
      <c r="D1269" s="115"/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15"/>
      <c r="AI1269" s="115"/>
      <c r="AJ1269" s="115"/>
      <c r="AK1269" s="115"/>
      <c r="AL1269" s="115"/>
      <c r="AM1269" s="115"/>
      <c r="AN1269" s="115"/>
      <c r="AO1269" s="115"/>
      <c r="AP1269" s="115"/>
      <c r="AQ1269" s="115"/>
      <c r="AR1269" s="115"/>
      <c r="AS1269" s="122"/>
      <c r="AT1269" s="122"/>
      <c r="AU1269" s="122"/>
      <c r="AV1269" s="115"/>
      <c r="AW1269" s="115"/>
      <c r="AX1269" s="115"/>
      <c r="AY1269" s="115"/>
      <c r="AZ1269" s="115"/>
      <c r="BA1269" s="115"/>
      <c r="BB1269" s="115"/>
      <c r="BC1269" s="115"/>
      <c r="BD1269" s="115"/>
      <c r="BE1269" s="115"/>
      <c r="BF1269" s="115"/>
      <c r="BG1269" s="115"/>
      <c r="BH1269" s="115"/>
      <c r="BI1269" s="115"/>
      <c r="BJ1269" s="26"/>
      <c r="BK1269" s="13"/>
      <c r="BN1269" s="114"/>
    </row>
    <row r="1270" spans="1:67" x14ac:dyDescent="0.4">
      <c r="A1270" s="115"/>
      <c r="B1270" s="115"/>
      <c r="C1270" s="115"/>
      <c r="D1270" s="115"/>
      <c r="E1270" s="115"/>
      <c r="F1270" s="115"/>
      <c r="G1270" s="115"/>
      <c r="H1270" s="115"/>
      <c r="I1270" s="115"/>
      <c r="J1270" s="115"/>
      <c r="K1270" s="115"/>
      <c r="L1270" s="115"/>
      <c r="M1270" s="115"/>
      <c r="N1270" s="115"/>
      <c r="O1270" s="115"/>
      <c r="P1270" s="115"/>
      <c r="Q1270" s="115"/>
      <c r="R1270" s="115"/>
      <c r="S1270" s="115"/>
      <c r="T1270" s="115"/>
      <c r="U1270" s="115"/>
      <c r="V1270" s="115"/>
      <c r="W1270" s="115"/>
      <c r="X1270" s="115"/>
      <c r="Y1270" s="115"/>
      <c r="Z1270" s="115"/>
      <c r="AA1270" s="115"/>
      <c r="AB1270" s="115"/>
      <c r="AC1270" s="115"/>
      <c r="AD1270" s="115"/>
      <c r="AE1270" s="115"/>
      <c r="AF1270" s="115"/>
      <c r="AG1270" s="115"/>
      <c r="AH1270" s="115"/>
      <c r="AI1270" s="115"/>
      <c r="AJ1270" s="115"/>
      <c r="AK1270" s="115"/>
      <c r="AL1270" s="115"/>
      <c r="AM1270" s="115"/>
      <c r="AN1270" s="115"/>
      <c r="AO1270" s="115"/>
      <c r="AP1270" s="115"/>
      <c r="AQ1270" s="115"/>
      <c r="AR1270" s="115"/>
      <c r="AS1270" s="122"/>
      <c r="AT1270" s="122"/>
      <c r="AU1270" s="122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115"/>
      <c r="BF1270" s="115"/>
      <c r="BG1270" s="115"/>
      <c r="BH1270" s="115"/>
      <c r="BI1270" s="115"/>
      <c r="BJ1270" s="26"/>
      <c r="BK1270" s="15"/>
      <c r="BN1270" s="114"/>
    </row>
    <row r="1271" spans="1:67" x14ac:dyDescent="0.4">
      <c r="A1271" s="115"/>
      <c r="B1271" s="115"/>
      <c r="C1271" s="115"/>
      <c r="D1271" s="115"/>
      <c r="E1271" s="115"/>
      <c r="F1271" s="115"/>
      <c r="G1271" s="115"/>
      <c r="H1271" s="115"/>
      <c r="I1271" s="115"/>
      <c r="J1271" s="115"/>
      <c r="K1271" s="115"/>
      <c r="L1271" s="115"/>
      <c r="M1271" s="115"/>
      <c r="N1271" s="115"/>
      <c r="O1271" s="115"/>
      <c r="P1271" s="115"/>
      <c r="Q1271" s="115"/>
      <c r="R1271" s="115"/>
      <c r="S1271" s="115"/>
      <c r="T1271" s="115"/>
      <c r="U1271" s="115"/>
      <c r="V1271" s="115"/>
      <c r="W1271" s="115"/>
      <c r="X1271" s="115"/>
      <c r="Y1271" s="115"/>
      <c r="Z1271" s="115"/>
      <c r="AA1271" s="115"/>
      <c r="AB1271" s="115"/>
      <c r="AC1271" s="115"/>
      <c r="AD1271" s="115"/>
      <c r="AE1271" s="115"/>
      <c r="AF1271" s="115"/>
      <c r="AG1271" s="115"/>
      <c r="AH1271" s="115"/>
      <c r="AI1271" s="115"/>
      <c r="AJ1271" s="115"/>
      <c r="AK1271" s="115"/>
      <c r="AL1271" s="115"/>
      <c r="AM1271" s="115"/>
      <c r="AN1271" s="115"/>
      <c r="AO1271" s="115"/>
      <c r="AP1271" s="115"/>
      <c r="AQ1271" s="115"/>
      <c r="AR1271" s="115"/>
      <c r="AS1271" s="122"/>
      <c r="AT1271" s="122"/>
      <c r="AU1271" s="122"/>
      <c r="AV1271" s="115"/>
      <c r="AW1271" s="115"/>
      <c r="AX1271" s="115"/>
      <c r="AY1271" s="115"/>
      <c r="AZ1271" s="115"/>
      <c r="BA1271" s="115"/>
      <c r="BB1271" s="115"/>
      <c r="BC1271" s="115"/>
      <c r="BD1271" s="115"/>
      <c r="BE1271" s="115"/>
      <c r="BF1271" s="115"/>
      <c r="BG1271" s="115"/>
      <c r="BH1271" s="115"/>
      <c r="BI1271" s="115"/>
      <c r="BJ1271" s="26"/>
      <c r="BK1271" s="15"/>
      <c r="BN1271" s="114"/>
    </row>
    <row r="1272" spans="1:67" x14ac:dyDescent="0.4">
      <c r="A1272" s="115"/>
      <c r="B1272" s="115"/>
      <c r="C1272" s="115"/>
      <c r="D1272" s="115"/>
      <c r="E1272" s="115"/>
      <c r="F1272" s="115"/>
      <c r="G1272" s="115"/>
      <c r="H1272" s="115"/>
      <c r="I1272" s="115"/>
      <c r="J1272" s="115"/>
      <c r="K1272" s="115"/>
      <c r="L1272" s="115"/>
      <c r="M1272" s="115"/>
      <c r="N1272" s="115"/>
      <c r="O1272" s="115"/>
      <c r="P1272" s="115"/>
      <c r="Q1272" s="115"/>
      <c r="R1272" s="115"/>
      <c r="S1272" s="115"/>
      <c r="T1272" s="115"/>
      <c r="U1272" s="115"/>
      <c r="V1272" s="115"/>
      <c r="W1272" s="115"/>
      <c r="X1272" s="115"/>
      <c r="Y1272" s="115"/>
      <c r="Z1272" s="115"/>
      <c r="AA1272" s="115"/>
      <c r="AB1272" s="115"/>
      <c r="AC1272" s="115"/>
      <c r="AD1272" s="115"/>
      <c r="AE1272" s="115"/>
      <c r="AF1272" s="115"/>
      <c r="AG1272" s="115"/>
      <c r="AH1272" s="115"/>
      <c r="AI1272" s="115"/>
      <c r="AJ1272" s="115"/>
      <c r="AK1272" s="115"/>
      <c r="AL1272" s="115"/>
      <c r="AM1272" s="115"/>
      <c r="AN1272" s="115"/>
      <c r="AO1272" s="115"/>
      <c r="AP1272" s="115"/>
      <c r="AQ1272" s="115"/>
      <c r="AR1272" s="115"/>
      <c r="AS1272" s="122"/>
      <c r="AT1272" s="122"/>
      <c r="AU1272" s="122"/>
      <c r="AV1272" s="115"/>
      <c r="AW1272" s="115"/>
      <c r="AX1272" s="115"/>
      <c r="AY1272" s="115"/>
      <c r="AZ1272" s="115"/>
      <c r="BA1272" s="115"/>
      <c r="BB1272" s="115"/>
      <c r="BC1272" s="115"/>
      <c r="BD1272" s="115"/>
      <c r="BE1272" s="115"/>
      <c r="BF1272" s="115"/>
      <c r="BG1272" s="115"/>
      <c r="BH1272" s="115"/>
      <c r="BI1272" s="115"/>
      <c r="BJ1272" s="26"/>
      <c r="BK1272" s="15"/>
      <c r="BN1272" s="114"/>
    </row>
    <row r="1273" spans="1:67" x14ac:dyDescent="0.4">
      <c r="A1273" s="115"/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15"/>
      <c r="AF1273" s="115"/>
      <c r="AG1273" s="115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22"/>
      <c r="AT1273" s="122"/>
      <c r="AU1273" s="122"/>
      <c r="AV1273" s="115"/>
      <c r="AW1273" s="115"/>
      <c r="AX1273" s="115"/>
      <c r="AY1273" s="115"/>
      <c r="AZ1273" s="115"/>
      <c r="BA1273" s="115"/>
      <c r="BB1273" s="115"/>
      <c r="BC1273" s="115"/>
      <c r="BD1273" s="115"/>
      <c r="BE1273" s="115"/>
      <c r="BF1273" s="115"/>
      <c r="BG1273" s="115"/>
      <c r="BH1273" s="115"/>
      <c r="BI1273" s="115"/>
      <c r="BJ1273" s="26"/>
      <c r="BK1273" s="13"/>
      <c r="BN1273" s="114"/>
    </row>
    <row r="1274" spans="1:67" x14ac:dyDescent="0.4">
      <c r="A1274" s="115"/>
      <c r="B1274" s="115"/>
      <c r="C1274" s="115"/>
      <c r="D1274" s="115"/>
      <c r="E1274" s="115"/>
      <c r="F1274" s="115"/>
      <c r="G1274" s="115"/>
      <c r="H1274" s="115"/>
      <c r="I1274" s="115"/>
      <c r="J1274" s="115"/>
      <c r="K1274" s="115"/>
      <c r="L1274" s="115"/>
      <c r="M1274" s="115"/>
      <c r="N1274" s="115"/>
      <c r="O1274" s="115"/>
      <c r="P1274" s="115"/>
      <c r="Q1274" s="115"/>
      <c r="R1274" s="115"/>
      <c r="S1274" s="115"/>
      <c r="T1274" s="115"/>
      <c r="U1274" s="115"/>
      <c r="V1274" s="115"/>
      <c r="W1274" s="115"/>
      <c r="X1274" s="115"/>
      <c r="Y1274" s="115"/>
      <c r="Z1274" s="115"/>
      <c r="AA1274" s="115"/>
      <c r="AB1274" s="115"/>
      <c r="AC1274" s="115"/>
      <c r="AD1274" s="115"/>
      <c r="AE1274" s="115"/>
      <c r="AF1274" s="115"/>
      <c r="AG1274" s="115"/>
      <c r="AH1274" s="115"/>
      <c r="AI1274" s="115"/>
      <c r="AJ1274" s="115"/>
      <c r="AK1274" s="115"/>
      <c r="AL1274" s="115"/>
      <c r="AM1274" s="115"/>
      <c r="AN1274" s="115"/>
      <c r="AO1274" s="115"/>
      <c r="AP1274" s="115"/>
      <c r="AQ1274" s="115"/>
      <c r="AR1274" s="115"/>
      <c r="AS1274" s="122"/>
      <c r="AT1274" s="122"/>
      <c r="AU1274" s="122"/>
      <c r="AV1274" s="115"/>
      <c r="AW1274" s="115"/>
      <c r="AX1274" s="115"/>
      <c r="AY1274" s="115"/>
      <c r="AZ1274" s="115"/>
      <c r="BA1274" s="115"/>
      <c r="BB1274" s="115"/>
      <c r="BC1274" s="115"/>
      <c r="BD1274" s="115"/>
      <c r="BE1274" s="115"/>
      <c r="BF1274" s="115"/>
      <c r="BG1274" s="115"/>
      <c r="BH1274" s="115"/>
      <c r="BI1274" s="115"/>
      <c r="BJ1274" s="26"/>
      <c r="BK1274" s="15"/>
      <c r="BN1274" s="114"/>
    </row>
    <row r="1275" spans="1:67" x14ac:dyDescent="0.4">
      <c r="A1275" s="115"/>
      <c r="B1275" s="115"/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15"/>
      <c r="AI1275" s="115"/>
      <c r="AJ1275" s="115"/>
      <c r="AK1275" s="115"/>
      <c r="AL1275" s="115"/>
      <c r="AM1275" s="115"/>
      <c r="AN1275" s="115"/>
      <c r="AO1275" s="115"/>
      <c r="AP1275" s="115"/>
      <c r="AQ1275" s="115"/>
      <c r="AR1275" s="115"/>
      <c r="AS1275" s="122"/>
      <c r="AT1275" s="122"/>
      <c r="AU1275" s="122"/>
      <c r="AV1275" s="115"/>
      <c r="AW1275" s="115"/>
      <c r="AX1275" s="115"/>
      <c r="AY1275" s="115"/>
      <c r="AZ1275" s="115"/>
      <c r="BA1275" s="115"/>
      <c r="BB1275" s="115"/>
      <c r="BC1275" s="115"/>
      <c r="BD1275" s="115"/>
      <c r="BE1275" s="115"/>
      <c r="BF1275" s="115"/>
      <c r="BG1275" s="115"/>
      <c r="BH1275" s="115"/>
      <c r="BI1275" s="115"/>
      <c r="BJ1275" s="26"/>
      <c r="BK1275" s="15"/>
      <c r="BN1275" s="114"/>
      <c r="BO1275" s="120"/>
    </row>
    <row r="1276" spans="1:67" x14ac:dyDescent="0.4">
      <c r="A1276" s="115"/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22"/>
      <c r="AT1276" s="122"/>
      <c r="AU1276" s="122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115"/>
      <c r="BF1276" s="115"/>
      <c r="BG1276" s="115"/>
      <c r="BH1276" s="115"/>
      <c r="BI1276" s="115"/>
      <c r="BJ1276" s="26"/>
      <c r="BK1276" s="15"/>
      <c r="BN1276" s="114"/>
      <c r="BO1276" s="120"/>
    </row>
    <row r="1277" spans="1:67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22"/>
      <c r="AT1277" s="122"/>
      <c r="AU1277" s="122"/>
      <c r="AV1277" s="115"/>
      <c r="AW1277" s="115"/>
      <c r="AX1277" s="115"/>
      <c r="AY1277" s="115"/>
      <c r="AZ1277" s="115"/>
      <c r="BA1277" s="115"/>
      <c r="BB1277" s="115"/>
      <c r="BC1277" s="115"/>
      <c r="BD1277" s="115"/>
      <c r="BE1277" s="115"/>
      <c r="BF1277" s="115"/>
      <c r="BG1277" s="115"/>
      <c r="BH1277" s="115"/>
      <c r="BI1277" s="115"/>
      <c r="BJ1277" s="26"/>
      <c r="BK1277" s="15"/>
      <c r="BN1277" s="114"/>
      <c r="BO1277" s="120"/>
    </row>
    <row r="1278" spans="1:67" x14ac:dyDescent="0.4">
      <c r="A1278" s="115"/>
      <c r="B1278" s="115"/>
      <c r="C1278" s="115"/>
      <c r="D1278" s="115"/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22"/>
      <c r="AT1278" s="122"/>
      <c r="AU1278" s="122"/>
      <c r="AV1278" s="115"/>
      <c r="AW1278" s="115"/>
      <c r="AX1278" s="115"/>
      <c r="AY1278" s="115"/>
      <c r="AZ1278" s="115"/>
      <c r="BA1278" s="115"/>
      <c r="BB1278" s="115"/>
      <c r="BC1278" s="115"/>
      <c r="BD1278" s="115"/>
      <c r="BE1278" s="115"/>
      <c r="BF1278" s="115"/>
      <c r="BG1278" s="115"/>
      <c r="BH1278" s="115"/>
      <c r="BI1278" s="115"/>
      <c r="BJ1278" s="26"/>
      <c r="BK1278" s="15"/>
      <c r="BN1278" s="114"/>
      <c r="BO1278" s="120"/>
    </row>
    <row r="1279" spans="1:67" x14ac:dyDescent="0.4">
      <c r="A1279" s="115"/>
      <c r="B1279" s="115"/>
      <c r="C1279" s="115"/>
      <c r="D1279" s="115"/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22"/>
      <c r="AT1279" s="122"/>
      <c r="AU1279" s="122"/>
      <c r="AV1279" s="115"/>
      <c r="AW1279" s="115"/>
      <c r="AX1279" s="115"/>
      <c r="AY1279" s="115"/>
      <c r="AZ1279" s="115"/>
      <c r="BA1279" s="115"/>
      <c r="BB1279" s="115"/>
      <c r="BC1279" s="115"/>
      <c r="BD1279" s="115"/>
      <c r="BE1279" s="115"/>
      <c r="BF1279" s="115"/>
      <c r="BG1279" s="115"/>
      <c r="BH1279" s="115"/>
      <c r="BI1279" s="115"/>
      <c r="BJ1279" s="26"/>
      <c r="BK1279" s="15"/>
      <c r="BN1279" s="114"/>
      <c r="BO1279" s="120"/>
    </row>
    <row r="1280" spans="1:67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22"/>
      <c r="AT1280" s="122"/>
      <c r="AU1280" s="122"/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115"/>
      <c r="BF1280" s="115"/>
      <c r="BG1280" s="115"/>
      <c r="BH1280" s="115"/>
      <c r="BI1280" s="115"/>
      <c r="BJ1280" s="26"/>
      <c r="BK1280" s="15"/>
      <c r="BN1280" s="114"/>
      <c r="BO1280" s="120"/>
    </row>
    <row r="1281" spans="1:67" x14ac:dyDescent="0.4">
      <c r="A1281" s="115"/>
      <c r="B1281" s="115"/>
      <c r="C1281" s="115"/>
      <c r="D1281" s="115"/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22"/>
      <c r="AT1281" s="122"/>
      <c r="AU1281" s="122"/>
      <c r="AV1281" s="115"/>
      <c r="AW1281" s="115"/>
      <c r="AX1281" s="115"/>
      <c r="AY1281" s="115"/>
      <c r="AZ1281" s="115"/>
      <c r="BA1281" s="115"/>
      <c r="BB1281" s="115"/>
      <c r="BC1281" s="115"/>
      <c r="BD1281" s="115"/>
      <c r="BE1281" s="115"/>
      <c r="BF1281" s="115"/>
      <c r="BG1281" s="115"/>
      <c r="BH1281" s="115"/>
      <c r="BI1281" s="115"/>
      <c r="BJ1281" s="26"/>
      <c r="BK1281" s="15"/>
      <c r="BN1281" s="114"/>
      <c r="BO1281" s="120"/>
    </row>
    <row r="1282" spans="1:67" x14ac:dyDescent="0.4">
      <c r="A1282" s="115"/>
      <c r="B1282" s="115"/>
      <c r="C1282" s="115"/>
      <c r="D1282" s="115"/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22"/>
      <c r="AT1282" s="122"/>
      <c r="AU1282" s="122"/>
      <c r="AV1282" s="115"/>
      <c r="AW1282" s="115"/>
      <c r="AX1282" s="115"/>
      <c r="AY1282" s="115"/>
      <c r="AZ1282" s="115"/>
      <c r="BA1282" s="115"/>
      <c r="BB1282" s="115"/>
      <c r="BC1282" s="115"/>
      <c r="BD1282" s="115"/>
      <c r="BE1282" s="115"/>
      <c r="BF1282" s="115"/>
      <c r="BG1282" s="115"/>
      <c r="BH1282" s="115"/>
      <c r="BI1282" s="115"/>
      <c r="BJ1282" s="17"/>
      <c r="BK1282" s="15"/>
      <c r="BN1282" s="114"/>
      <c r="BO1282" s="120"/>
    </row>
    <row r="1283" spans="1:67" x14ac:dyDescent="0.4">
      <c r="A1283" s="115"/>
      <c r="B1283" s="115"/>
      <c r="C1283" s="115"/>
      <c r="D1283" s="115"/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22"/>
      <c r="AT1283" s="122"/>
      <c r="AU1283" s="122"/>
      <c r="AV1283" s="115"/>
      <c r="AW1283" s="115"/>
      <c r="AX1283" s="115"/>
      <c r="AY1283" s="115"/>
      <c r="AZ1283" s="115"/>
      <c r="BA1283" s="115"/>
      <c r="BB1283" s="115"/>
      <c r="BC1283" s="115"/>
      <c r="BD1283" s="115"/>
      <c r="BE1283" s="115"/>
      <c r="BF1283" s="115"/>
      <c r="BG1283" s="115"/>
      <c r="BH1283" s="115"/>
      <c r="BI1283" s="115"/>
      <c r="BJ1283" s="26"/>
      <c r="BK1283" s="15"/>
      <c r="BN1283" s="114"/>
      <c r="BO1283" s="120"/>
    </row>
    <row r="1284" spans="1:67" x14ac:dyDescent="0.4">
      <c r="A1284" s="115"/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22"/>
      <c r="AT1284" s="122"/>
      <c r="AU1284" s="122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115"/>
      <c r="BF1284" s="115"/>
      <c r="BG1284" s="115"/>
      <c r="BH1284" s="115"/>
      <c r="BI1284" s="115"/>
      <c r="BJ1284" s="26"/>
      <c r="BK1284" s="15"/>
      <c r="BN1284" s="114"/>
    </row>
    <row r="1285" spans="1:67" x14ac:dyDescent="0.4">
      <c r="BJ1285" s="26"/>
      <c r="BK1285" s="15"/>
      <c r="BN1285" s="114"/>
    </row>
    <row r="1286" spans="1:67" x14ac:dyDescent="0.4">
      <c r="AW1286" s="115"/>
      <c r="AX1286" s="115"/>
      <c r="AY1286" s="115"/>
      <c r="AZ1286" s="115"/>
      <c r="BA1286" s="115"/>
      <c r="BB1286" s="115"/>
      <c r="BC1286" s="115"/>
      <c r="BD1286" s="115"/>
      <c r="BE1286" s="115"/>
      <c r="BF1286" s="115"/>
      <c r="BG1286" s="115"/>
      <c r="BH1286" s="115"/>
      <c r="BI1286" s="115"/>
      <c r="BJ1286" s="17"/>
      <c r="BK1286" s="15"/>
      <c r="BN1286" s="114"/>
    </row>
    <row r="1287" spans="1:67" x14ac:dyDescent="0.4">
      <c r="AW1287" s="115"/>
      <c r="AX1287" s="115"/>
      <c r="AY1287" s="115"/>
      <c r="AZ1287" s="115"/>
      <c r="BA1287" s="115"/>
      <c r="BB1287" s="115"/>
      <c r="BC1287" s="115"/>
      <c r="BD1287" s="115"/>
      <c r="BE1287" s="115"/>
      <c r="BF1287" s="115"/>
      <c r="BG1287" s="115"/>
      <c r="BH1287" s="115"/>
      <c r="BI1287" s="115"/>
      <c r="BJ1287" s="17"/>
      <c r="BK1287" s="15"/>
      <c r="BN1287" s="114"/>
    </row>
    <row r="1288" spans="1:67" x14ac:dyDescent="0.4">
      <c r="AU1288" s="122"/>
      <c r="AV1288" s="115"/>
      <c r="AW1288" s="115"/>
      <c r="AX1288" s="115"/>
      <c r="AY1288" s="115"/>
      <c r="AZ1288" s="115"/>
      <c r="BA1288" s="115"/>
      <c r="BB1288" s="115"/>
      <c r="BC1288" s="115"/>
      <c r="BD1288" s="115"/>
      <c r="BE1288" s="115"/>
      <c r="BF1288" s="115"/>
      <c r="BG1288" s="115"/>
      <c r="BH1288" s="115"/>
      <c r="BI1288" s="115"/>
      <c r="BJ1288" s="17"/>
      <c r="BK1288" s="15"/>
      <c r="BN1288" s="114"/>
    </row>
    <row r="1289" spans="1:67" x14ac:dyDescent="0.4">
      <c r="AP1289" s="115"/>
      <c r="AQ1289" s="115"/>
      <c r="AR1289" s="115"/>
      <c r="AS1289" s="122"/>
      <c r="AT1289" s="122"/>
      <c r="AU1289" s="122"/>
      <c r="AV1289" s="115"/>
      <c r="AW1289" s="115"/>
      <c r="AX1289" s="115"/>
      <c r="AY1289" s="115"/>
      <c r="AZ1289" s="115"/>
      <c r="BA1289" s="115"/>
      <c r="BB1289" s="115"/>
      <c r="BC1289" s="115"/>
      <c r="BD1289" s="115"/>
      <c r="BE1289" s="115"/>
      <c r="BF1289" s="115"/>
      <c r="BG1289" s="115"/>
      <c r="BH1289" s="115"/>
      <c r="BI1289" s="115"/>
      <c r="BJ1289" s="26"/>
      <c r="BK1289" s="15"/>
      <c r="BN1289" s="114"/>
    </row>
    <row r="1290" spans="1:67" x14ac:dyDescent="0.4">
      <c r="AP1290" s="115"/>
      <c r="AQ1290" s="115"/>
      <c r="AR1290" s="115"/>
      <c r="AS1290" s="122"/>
      <c r="AT1290" s="122"/>
      <c r="AU1290" s="122"/>
      <c r="AV1290" s="115"/>
      <c r="AW1290" s="115"/>
      <c r="AX1290" s="115"/>
      <c r="AY1290" s="115"/>
      <c r="AZ1290" s="115"/>
      <c r="BA1290" s="115"/>
      <c r="BB1290" s="115"/>
      <c r="BC1290" s="115"/>
      <c r="BD1290" s="115"/>
      <c r="BE1290" s="115"/>
      <c r="BF1290" s="115"/>
      <c r="BG1290" s="115"/>
      <c r="BH1290" s="115"/>
      <c r="BI1290" s="115"/>
      <c r="BJ1290" s="17"/>
      <c r="BK1290" s="15"/>
      <c r="BN1290" s="114"/>
    </row>
    <row r="1291" spans="1:67" x14ac:dyDescent="0.4">
      <c r="AO1291" s="115"/>
      <c r="AP1291" s="115"/>
      <c r="AQ1291" s="115"/>
      <c r="AR1291" s="115"/>
      <c r="AS1291" s="122"/>
      <c r="AT1291" s="122"/>
      <c r="AU1291" s="122"/>
      <c r="AV1291" s="115"/>
      <c r="AW1291" s="115"/>
      <c r="AX1291" s="115"/>
      <c r="AY1291" s="115"/>
      <c r="AZ1291" s="115"/>
      <c r="BA1291" s="115"/>
      <c r="BB1291" s="115"/>
      <c r="BC1291" s="115"/>
      <c r="BD1291" s="115"/>
      <c r="BE1291" s="115"/>
      <c r="BF1291" s="115"/>
      <c r="BG1291" s="115"/>
      <c r="BH1291" s="115"/>
      <c r="BI1291" s="115"/>
      <c r="BJ1291" s="26"/>
      <c r="BK1291" s="15"/>
      <c r="BN1291" s="114"/>
    </row>
    <row r="1292" spans="1:67" x14ac:dyDescent="0.4">
      <c r="AO1292" s="115"/>
      <c r="AP1292" s="115"/>
      <c r="AQ1292" s="115"/>
      <c r="AR1292" s="115"/>
      <c r="AS1292" s="122"/>
      <c r="AT1292" s="122"/>
      <c r="AU1292" s="122"/>
      <c r="AV1292" s="115"/>
      <c r="AW1292" s="115"/>
      <c r="AX1292" s="115"/>
      <c r="AY1292" s="115"/>
      <c r="AZ1292" s="115"/>
      <c r="BA1292" s="115"/>
      <c r="BB1292" s="115"/>
      <c r="BC1292" s="115"/>
      <c r="BD1292" s="115"/>
      <c r="BE1292" s="115"/>
      <c r="BF1292" s="115"/>
      <c r="BG1292" s="115"/>
      <c r="BH1292" s="115"/>
      <c r="BI1292" s="115"/>
      <c r="BJ1292" s="17"/>
      <c r="BK1292" s="15"/>
      <c r="BN1292" s="114"/>
    </row>
    <row r="1293" spans="1:67" x14ac:dyDescent="0.4">
      <c r="AO1293" s="115"/>
      <c r="AP1293" s="115"/>
      <c r="AQ1293" s="115"/>
      <c r="AR1293" s="115"/>
      <c r="AS1293" s="122"/>
      <c r="AT1293" s="122"/>
      <c r="AU1293" s="122"/>
      <c r="AV1293" s="115"/>
      <c r="AW1293" s="115"/>
      <c r="AX1293" s="115"/>
      <c r="AY1293" s="115"/>
      <c r="AZ1293" s="115"/>
      <c r="BA1293" s="115"/>
      <c r="BB1293" s="115"/>
      <c r="BC1293" s="115"/>
      <c r="BD1293" s="115"/>
      <c r="BE1293" s="115"/>
      <c r="BF1293" s="115"/>
      <c r="BG1293" s="115"/>
      <c r="BH1293" s="115"/>
      <c r="BI1293" s="115"/>
      <c r="BJ1293" s="17"/>
      <c r="BK1293" s="15"/>
      <c r="BN1293" s="114"/>
    </row>
    <row r="1294" spans="1:67" x14ac:dyDescent="0.4">
      <c r="AO1294" s="115"/>
      <c r="AP1294" s="115"/>
      <c r="AQ1294" s="115"/>
      <c r="AR1294" s="115"/>
      <c r="AS1294" s="122"/>
      <c r="AT1294" s="122"/>
      <c r="AU1294" s="122"/>
      <c r="AV1294" s="115"/>
      <c r="AW1294" s="115"/>
      <c r="AX1294" s="115"/>
      <c r="AY1294" s="115"/>
      <c r="AZ1294" s="115"/>
      <c r="BA1294" s="115"/>
      <c r="BB1294" s="115"/>
      <c r="BC1294" s="115"/>
      <c r="BD1294" s="115"/>
      <c r="BE1294" s="115"/>
      <c r="BF1294" s="115"/>
      <c r="BG1294" s="115"/>
      <c r="BH1294" s="115"/>
      <c r="BI1294" s="115"/>
      <c r="BJ1294" s="17"/>
      <c r="BK1294" s="15"/>
      <c r="BN1294" s="114"/>
    </row>
    <row r="1295" spans="1:67" x14ac:dyDescent="0.4">
      <c r="AO1295" s="115"/>
      <c r="AP1295" s="115"/>
      <c r="AQ1295" s="115"/>
      <c r="AR1295" s="115"/>
      <c r="AS1295" s="122"/>
      <c r="AT1295" s="122"/>
      <c r="AU1295" s="122"/>
      <c r="AV1295" s="115"/>
      <c r="AW1295" s="115"/>
      <c r="AX1295" s="115"/>
      <c r="AY1295" s="115"/>
      <c r="AZ1295" s="115"/>
      <c r="BA1295" s="115"/>
      <c r="BB1295" s="115"/>
      <c r="BC1295" s="115"/>
      <c r="BD1295" s="115"/>
      <c r="BE1295" s="115"/>
      <c r="BF1295" s="115"/>
      <c r="BG1295" s="115"/>
      <c r="BH1295" s="115"/>
      <c r="BI1295" s="115"/>
      <c r="BJ1295" s="26"/>
      <c r="BK1295" s="15"/>
      <c r="BN1295" s="114"/>
    </row>
    <row r="1296" spans="1:67" x14ac:dyDescent="0.4">
      <c r="AO1296" s="115"/>
      <c r="AP1296" s="115"/>
      <c r="AQ1296" s="115"/>
      <c r="AR1296" s="115"/>
      <c r="AS1296" s="122"/>
      <c r="AT1296" s="122"/>
      <c r="AU1296" s="122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115"/>
      <c r="BF1296" s="115"/>
      <c r="BG1296" s="115"/>
      <c r="BH1296" s="115"/>
      <c r="BI1296" s="115"/>
      <c r="BJ1296" s="17"/>
      <c r="BK1296" s="15"/>
      <c r="BN1296" s="114"/>
    </row>
    <row r="1297" spans="1:70" ht="19.5" x14ac:dyDescent="0.4">
      <c r="BJ1297" s="26"/>
      <c r="BK1297" s="15"/>
      <c r="BO1297" s="116"/>
      <c r="BP1297" s="116"/>
      <c r="BQ1297" s="116"/>
      <c r="BR1297" s="116"/>
    </row>
    <row r="1298" spans="1:70" ht="19.5" x14ac:dyDescent="0.4">
      <c r="AT1298" s="122"/>
      <c r="AU1298" s="122"/>
      <c r="AV1298" s="115"/>
      <c r="AW1298" s="115"/>
      <c r="AX1298" s="115"/>
      <c r="AY1298" s="115"/>
      <c r="AZ1298" s="115"/>
      <c r="BA1298" s="115"/>
      <c r="BB1298" s="115"/>
      <c r="BC1298" s="115"/>
      <c r="BD1298" s="115"/>
      <c r="BE1298" s="115"/>
      <c r="BF1298" s="115"/>
      <c r="BG1298" s="115"/>
      <c r="BH1298" s="115"/>
      <c r="BI1298" s="115"/>
      <c r="BJ1298" s="17"/>
      <c r="BK1298" s="15"/>
      <c r="BO1298" s="117"/>
      <c r="BP1298" s="116"/>
      <c r="BQ1298" s="116"/>
      <c r="BR1298" s="116"/>
    </row>
    <row r="1299" spans="1:70" ht="19.5" x14ac:dyDescent="0.4">
      <c r="AL1299" s="115"/>
      <c r="AM1299" s="115"/>
      <c r="AN1299" s="115"/>
      <c r="AO1299" s="115"/>
      <c r="AP1299" s="115"/>
      <c r="AQ1299" s="115"/>
      <c r="AR1299" s="115"/>
      <c r="AS1299" s="122"/>
      <c r="AT1299" s="122"/>
      <c r="AU1299" s="122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115"/>
      <c r="BF1299" s="115"/>
      <c r="BG1299" s="115"/>
      <c r="BH1299" s="115"/>
      <c r="BI1299" s="115"/>
      <c r="BJ1299" s="26"/>
      <c r="BK1299" s="15"/>
      <c r="BO1299" s="117"/>
      <c r="BP1299" s="116"/>
      <c r="BQ1299" s="116"/>
      <c r="BR1299" s="116"/>
    </row>
    <row r="1300" spans="1:70" ht="19.5" x14ac:dyDescent="0.4"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22"/>
      <c r="AT1300" s="122"/>
      <c r="AU1300" s="122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115"/>
      <c r="BF1300" s="115"/>
      <c r="BG1300" s="115"/>
      <c r="BH1300" s="115"/>
      <c r="BI1300" s="115"/>
      <c r="BJ1300" s="26"/>
      <c r="BK1300" s="13"/>
      <c r="BO1300" s="117"/>
      <c r="BP1300" s="116"/>
      <c r="BQ1300" s="116"/>
      <c r="BR1300" s="116"/>
    </row>
    <row r="1301" spans="1:70" ht="19.5" x14ac:dyDescent="0.4"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22"/>
      <c r="AT1301" s="122"/>
      <c r="AU1301" s="122"/>
      <c r="AV1301" s="115"/>
      <c r="AW1301" s="115"/>
      <c r="AX1301" s="115"/>
      <c r="AY1301" s="115"/>
      <c r="AZ1301" s="115"/>
      <c r="BA1301" s="115"/>
      <c r="BB1301" s="115"/>
      <c r="BC1301" s="115"/>
      <c r="BD1301" s="115"/>
      <c r="BE1301" s="115"/>
      <c r="BF1301" s="115"/>
      <c r="BG1301" s="115"/>
      <c r="BH1301" s="115"/>
      <c r="BI1301" s="115"/>
      <c r="BJ1301" s="26"/>
      <c r="BK1301" s="15"/>
      <c r="BO1301" s="117"/>
      <c r="BP1301" s="116"/>
      <c r="BQ1301" s="116"/>
      <c r="BR1301" s="116"/>
    </row>
    <row r="1302" spans="1:70" ht="19.5" x14ac:dyDescent="0.4"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22"/>
      <c r="AT1302" s="122"/>
      <c r="AU1302" s="122"/>
      <c r="AV1302" s="115"/>
      <c r="AW1302" s="115"/>
      <c r="AX1302" s="115"/>
      <c r="AY1302" s="115"/>
      <c r="AZ1302" s="115"/>
      <c r="BA1302" s="115"/>
      <c r="BB1302" s="115"/>
      <c r="BC1302" s="115"/>
      <c r="BD1302" s="115"/>
      <c r="BE1302" s="115"/>
      <c r="BF1302" s="115"/>
      <c r="BG1302" s="115"/>
      <c r="BH1302" s="115"/>
      <c r="BI1302" s="115"/>
      <c r="BJ1302" s="17"/>
      <c r="BK1302" s="15"/>
      <c r="BO1302" s="117"/>
      <c r="BP1302" s="116"/>
      <c r="BQ1302" s="116"/>
      <c r="BR1302" s="116"/>
    </row>
    <row r="1303" spans="1:70" ht="19.5" x14ac:dyDescent="0.4"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22"/>
      <c r="AT1303" s="122"/>
      <c r="AU1303" s="122"/>
      <c r="AV1303" s="115"/>
      <c r="AW1303" s="115"/>
      <c r="AX1303" s="115"/>
      <c r="AY1303" s="115"/>
      <c r="AZ1303" s="115"/>
      <c r="BA1303" s="115"/>
      <c r="BB1303" s="115"/>
      <c r="BC1303" s="115"/>
      <c r="BD1303" s="115"/>
      <c r="BE1303" s="115"/>
      <c r="BF1303" s="115"/>
      <c r="BG1303" s="115"/>
      <c r="BH1303" s="115"/>
      <c r="BI1303" s="115"/>
      <c r="BJ1303" s="26"/>
      <c r="BK1303" s="15"/>
      <c r="BO1303" s="117"/>
      <c r="BP1303" s="116"/>
      <c r="BQ1303" s="116"/>
      <c r="BR1303" s="116"/>
    </row>
    <row r="1304" spans="1:70" ht="19.5" x14ac:dyDescent="0.4"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22"/>
      <c r="AT1304" s="122"/>
      <c r="AU1304" s="122"/>
      <c r="AV1304" s="115"/>
      <c r="AW1304" s="115"/>
      <c r="AX1304" s="115"/>
      <c r="AY1304" s="115"/>
      <c r="AZ1304" s="115"/>
      <c r="BA1304" s="115"/>
      <c r="BB1304" s="115"/>
      <c r="BC1304" s="115"/>
      <c r="BD1304" s="115"/>
      <c r="BE1304" s="115"/>
      <c r="BF1304" s="115"/>
      <c r="BG1304" s="115"/>
      <c r="BH1304" s="115"/>
      <c r="BI1304" s="115"/>
      <c r="BJ1304" s="26"/>
      <c r="BK1304" s="15"/>
      <c r="BO1304" s="117"/>
      <c r="BP1304" s="116"/>
      <c r="BQ1304" s="116"/>
      <c r="BR1304" s="116"/>
    </row>
    <row r="1305" spans="1:70" ht="19.5" x14ac:dyDescent="0.4"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22"/>
      <c r="AT1305" s="122"/>
      <c r="AU1305" s="122"/>
      <c r="AV1305" s="115"/>
      <c r="AW1305" s="115"/>
      <c r="AX1305" s="115"/>
      <c r="AY1305" s="115"/>
      <c r="AZ1305" s="115"/>
      <c r="BA1305" s="115"/>
      <c r="BB1305" s="115"/>
      <c r="BC1305" s="115"/>
      <c r="BD1305" s="115"/>
      <c r="BE1305" s="115"/>
      <c r="BF1305" s="115"/>
      <c r="BG1305" s="115"/>
      <c r="BH1305" s="115"/>
      <c r="BI1305" s="115"/>
      <c r="BJ1305" s="17"/>
      <c r="BK1305" s="15"/>
      <c r="BO1305" s="117"/>
      <c r="BP1305" s="116"/>
      <c r="BQ1305" s="116"/>
      <c r="BR1305" s="116"/>
    </row>
    <row r="1306" spans="1:70" ht="19.5" x14ac:dyDescent="0.4"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22"/>
      <c r="AT1306" s="122"/>
      <c r="AU1306" s="122"/>
      <c r="AV1306" s="115"/>
      <c r="AW1306" s="115"/>
      <c r="AX1306" s="115"/>
      <c r="AY1306" s="115"/>
      <c r="AZ1306" s="115"/>
      <c r="BA1306" s="115"/>
      <c r="BB1306" s="115"/>
      <c r="BC1306" s="115"/>
      <c r="BD1306" s="115"/>
      <c r="BE1306" s="115"/>
      <c r="BF1306" s="115"/>
      <c r="BG1306" s="115"/>
      <c r="BH1306" s="115"/>
      <c r="BI1306" s="115"/>
      <c r="BJ1306" s="26"/>
      <c r="BK1306" s="15"/>
      <c r="BO1306" s="117"/>
      <c r="BP1306" s="116"/>
      <c r="BQ1306" s="116"/>
      <c r="BR1306" s="116"/>
    </row>
    <row r="1307" spans="1:70" ht="19.5" x14ac:dyDescent="0.4">
      <c r="BJ1307" s="26"/>
      <c r="BK1307" s="15"/>
      <c r="BO1307" s="117"/>
      <c r="BP1307" s="116"/>
      <c r="BQ1307" s="116"/>
      <c r="BR1307" s="116"/>
    </row>
    <row r="1308" spans="1:70" ht="19.5" x14ac:dyDescent="0.4">
      <c r="AT1308" s="122"/>
      <c r="AU1308" s="122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115"/>
      <c r="BF1308" s="115"/>
      <c r="BG1308" s="115"/>
      <c r="BH1308" s="115"/>
      <c r="BI1308" s="115"/>
      <c r="BJ1308" s="17"/>
      <c r="BK1308" s="15"/>
      <c r="BO1308" s="117"/>
      <c r="BP1308" s="116"/>
      <c r="BQ1308" s="116"/>
      <c r="BR1308" s="116"/>
    </row>
    <row r="1309" spans="1:70" ht="19.5" x14ac:dyDescent="0.4">
      <c r="AQ1309" s="115"/>
      <c r="AR1309" s="115"/>
      <c r="AS1309" s="122"/>
      <c r="AT1309" s="122"/>
      <c r="AU1309" s="122"/>
      <c r="AV1309" s="115"/>
      <c r="AW1309" s="115"/>
      <c r="AX1309" s="115"/>
      <c r="AY1309" s="115"/>
      <c r="AZ1309" s="115"/>
      <c r="BA1309" s="115"/>
      <c r="BB1309" s="115"/>
      <c r="BC1309" s="115"/>
      <c r="BD1309" s="115"/>
      <c r="BE1309" s="115"/>
      <c r="BF1309" s="115"/>
      <c r="BG1309" s="115"/>
      <c r="BH1309" s="115"/>
      <c r="BI1309" s="115"/>
      <c r="BJ1309" s="26"/>
      <c r="BK1309" s="15"/>
      <c r="BO1309" s="117"/>
      <c r="BP1309" s="116"/>
      <c r="BQ1309" s="116"/>
      <c r="BR1309" s="116"/>
    </row>
    <row r="1310" spans="1:70" ht="19.5" x14ac:dyDescent="0.4">
      <c r="AQ1310" s="115"/>
      <c r="AR1310" s="115"/>
      <c r="AS1310" s="122"/>
      <c r="AT1310" s="122"/>
      <c r="AU1310" s="122"/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115"/>
      <c r="BF1310" s="115"/>
      <c r="BG1310" s="115"/>
      <c r="BH1310" s="115"/>
      <c r="BI1310" s="115"/>
      <c r="BJ1310" s="17"/>
      <c r="BK1310" s="15"/>
      <c r="BO1310" s="117"/>
      <c r="BP1310" s="116"/>
      <c r="BQ1310" s="116"/>
      <c r="BR1310" s="116"/>
    </row>
    <row r="1311" spans="1:70" ht="19.5" x14ac:dyDescent="0.4">
      <c r="AP1311" s="115"/>
      <c r="AQ1311" s="115"/>
      <c r="AR1311" s="115"/>
      <c r="AS1311" s="122"/>
      <c r="AT1311" s="122"/>
      <c r="AU1311" s="122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115"/>
      <c r="BF1311" s="115"/>
      <c r="BG1311" s="115"/>
      <c r="BH1311" s="115"/>
      <c r="BI1311" s="115"/>
      <c r="BJ1311" s="26"/>
      <c r="BK1311" s="15"/>
      <c r="BO1311" s="117"/>
      <c r="BP1311" s="116"/>
      <c r="BQ1311" s="116"/>
      <c r="BR1311" s="116"/>
    </row>
    <row r="1312" spans="1:70" ht="19.5" x14ac:dyDescent="0.4">
      <c r="A1312" s="115"/>
      <c r="B1312" s="115"/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22"/>
      <c r="AT1312" s="122"/>
      <c r="AU1312" s="122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115"/>
      <c r="BF1312" s="115"/>
      <c r="BG1312" s="115"/>
      <c r="BH1312" s="115"/>
      <c r="BI1312" s="115"/>
      <c r="BJ1312" s="26"/>
      <c r="BK1312" s="15"/>
      <c r="BO1312" s="117"/>
      <c r="BP1312" s="116"/>
      <c r="BQ1312" s="116"/>
      <c r="BR1312" s="116"/>
    </row>
    <row r="1313" spans="1:70" ht="19.5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22"/>
      <c r="AT1313" s="122"/>
      <c r="AU1313" s="122"/>
      <c r="AV1313" s="115"/>
      <c r="AW1313" s="115"/>
      <c r="AX1313" s="115"/>
      <c r="AY1313" s="115"/>
      <c r="AZ1313" s="115"/>
      <c r="BA1313" s="115"/>
      <c r="BB1313" s="115"/>
      <c r="BC1313" s="115"/>
      <c r="BD1313" s="115"/>
      <c r="BE1313" s="115"/>
      <c r="BF1313" s="115"/>
      <c r="BG1313" s="115"/>
      <c r="BH1313" s="115"/>
      <c r="BI1313" s="115"/>
      <c r="BJ1313" s="26"/>
      <c r="BK1313" s="15"/>
      <c r="BO1313" s="117"/>
      <c r="BP1313" s="116"/>
      <c r="BQ1313" s="116"/>
      <c r="BR1313" s="116"/>
    </row>
    <row r="1314" spans="1:70" ht="19.5" x14ac:dyDescent="0.4">
      <c r="A1314" s="115"/>
      <c r="B1314" s="115"/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22"/>
      <c r="AT1314" s="122"/>
      <c r="AU1314" s="122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115"/>
      <c r="BF1314" s="115"/>
      <c r="BG1314" s="115"/>
      <c r="BH1314" s="115"/>
      <c r="BI1314" s="115"/>
      <c r="BJ1314" s="26"/>
      <c r="BK1314" s="15"/>
      <c r="BO1314" s="117"/>
      <c r="BP1314" s="116"/>
      <c r="BQ1314" s="116"/>
      <c r="BR1314" s="116"/>
    </row>
    <row r="1315" spans="1:70" ht="19.5" x14ac:dyDescent="0.4">
      <c r="A1315" s="115"/>
      <c r="B1315" s="115"/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22"/>
      <c r="AT1315" s="122"/>
      <c r="AU1315" s="122"/>
      <c r="AV1315" s="115"/>
      <c r="AW1315" s="115"/>
      <c r="AX1315" s="115"/>
      <c r="AY1315" s="115"/>
      <c r="AZ1315" s="115"/>
      <c r="BA1315" s="115"/>
      <c r="BB1315" s="115"/>
      <c r="BC1315" s="115"/>
      <c r="BD1315" s="115"/>
      <c r="BE1315" s="115"/>
      <c r="BF1315" s="115"/>
      <c r="BG1315" s="115"/>
      <c r="BH1315" s="115"/>
      <c r="BI1315" s="115"/>
      <c r="BJ1315" s="26"/>
      <c r="BK1315" s="105"/>
      <c r="BO1315" s="117"/>
      <c r="BP1315" s="116"/>
      <c r="BQ1315" s="116"/>
      <c r="BR1315" s="116"/>
    </row>
    <row r="1316" spans="1:70" ht="19.5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22"/>
      <c r="AT1316" s="122"/>
      <c r="AU1316" s="122"/>
      <c r="AV1316" s="115"/>
      <c r="AW1316" s="115"/>
      <c r="AX1316" s="115"/>
      <c r="AY1316" s="115"/>
      <c r="AZ1316" s="115"/>
      <c r="BA1316" s="115"/>
      <c r="BB1316" s="115"/>
      <c r="BC1316" s="115"/>
      <c r="BD1316" s="115"/>
      <c r="BE1316" s="115"/>
      <c r="BF1316" s="115"/>
      <c r="BG1316" s="115"/>
      <c r="BH1316" s="115"/>
      <c r="BI1316" s="115"/>
      <c r="BJ1316" s="26"/>
      <c r="BK1316" s="105"/>
      <c r="BO1316" s="117"/>
      <c r="BP1316" s="116"/>
      <c r="BQ1316" s="116"/>
      <c r="BR1316" s="116"/>
    </row>
    <row r="1317" spans="1:70" ht="19.5" x14ac:dyDescent="0.4">
      <c r="BJ1317" s="26"/>
      <c r="BK1317" s="13"/>
      <c r="BO1317" s="117"/>
      <c r="BP1317" s="116"/>
      <c r="BQ1317" s="116"/>
      <c r="BR1317" s="116"/>
    </row>
    <row r="1318" spans="1:70" ht="19.5" x14ac:dyDescent="0.4">
      <c r="AQ1318" s="115"/>
      <c r="AR1318" s="115"/>
      <c r="AS1318" s="122"/>
      <c r="AT1318" s="122"/>
      <c r="AU1318" s="122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115"/>
      <c r="BF1318" s="115"/>
      <c r="BG1318" s="115"/>
      <c r="BH1318" s="115"/>
      <c r="BI1318" s="115"/>
      <c r="BJ1318" s="26"/>
      <c r="BK1318" s="13"/>
      <c r="BO1318" s="117"/>
      <c r="BP1318" s="116"/>
      <c r="BQ1318" s="116"/>
      <c r="BR1318" s="116"/>
    </row>
    <row r="1319" spans="1:70" ht="19.5" x14ac:dyDescent="0.4">
      <c r="AL1319" s="115"/>
      <c r="AM1319" s="115"/>
      <c r="AN1319" s="115"/>
      <c r="AO1319" s="115"/>
      <c r="AP1319" s="115"/>
      <c r="AQ1319" s="115"/>
      <c r="AR1319" s="115"/>
      <c r="AS1319" s="122"/>
      <c r="AT1319" s="122"/>
      <c r="AU1319" s="122"/>
      <c r="AV1319" s="115"/>
      <c r="AW1319" s="115"/>
      <c r="AX1319" s="115"/>
      <c r="AY1319" s="115"/>
      <c r="AZ1319" s="115"/>
      <c r="BA1319" s="115"/>
      <c r="BB1319" s="115"/>
      <c r="BC1319" s="115"/>
      <c r="BD1319" s="115"/>
      <c r="BE1319" s="115"/>
      <c r="BF1319" s="115"/>
      <c r="BG1319" s="115"/>
      <c r="BH1319" s="115"/>
      <c r="BI1319" s="115"/>
      <c r="BJ1319" s="26"/>
      <c r="BK1319" s="13"/>
      <c r="BO1319" s="117"/>
      <c r="BP1319" s="116"/>
      <c r="BQ1319" s="116"/>
      <c r="BR1319" s="116"/>
    </row>
    <row r="1320" spans="1:70" ht="19.5" x14ac:dyDescent="0.4">
      <c r="BJ1320" s="26"/>
      <c r="BK1320" s="13"/>
      <c r="BO1320" s="117"/>
      <c r="BP1320" s="116"/>
      <c r="BQ1320" s="116"/>
      <c r="BR1320" s="116"/>
    </row>
    <row r="1321" spans="1:70" ht="19.5" x14ac:dyDescent="0.4"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22"/>
      <c r="AT1321" s="122"/>
      <c r="AU1321" s="122"/>
      <c r="AV1321" s="115"/>
      <c r="AW1321" s="115"/>
      <c r="AX1321" s="115"/>
      <c r="AY1321" s="115"/>
      <c r="AZ1321" s="115"/>
      <c r="BA1321" s="115"/>
      <c r="BB1321" s="115"/>
      <c r="BC1321" s="115"/>
      <c r="BD1321" s="115"/>
      <c r="BE1321" s="115"/>
      <c r="BF1321" s="115"/>
      <c r="BG1321" s="115"/>
      <c r="BH1321" s="115"/>
      <c r="BI1321" s="115"/>
      <c r="BJ1321" s="26"/>
      <c r="BK1321" s="13"/>
      <c r="BO1321" s="117"/>
      <c r="BP1321" s="116"/>
      <c r="BQ1321" s="116"/>
      <c r="BR1321" s="116"/>
    </row>
    <row r="1322" spans="1:70" ht="19.5" x14ac:dyDescent="0.4"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22"/>
      <c r="AT1322" s="122"/>
      <c r="AU1322" s="122"/>
      <c r="AV1322" s="115"/>
      <c r="AW1322" s="115"/>
      <c r="AX1322" s="115"/>
      <c r="AY1322" s="115"/>
      <c r="AZ1322" s="115"/>
      <c r="BA1322" s="115"/>
      <c r="BB1322" s="115"/>
      <c r="BC1322" s="115"/>
      <c r="BD1322" s="115"/>
      <c r="BE1322" s="115"/>
      <c r="BF1322" s="115"/>
      <c r="BG1322" s="115"/>
      <c r="BH1322" s="115"/>
      <c r="BI1322" s="115"/>
      <c r="BJ1322" s="26"/>
      <c r="BK1322" s="13"/>
      <c r="BO1322" s="117"/>
      <c r="BP1322" s="116"/>
      <c r="BQ1322" s="116"/>
      <c r="BR1322" s="116"/>
    </row>
    <row r="1323" spans="1:70" ht="19.5" x14ac:dyDescent="0.4"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22"/>
      <c r="AT1323" s="122"/>
      <c r="AU1323" s="122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115"/>
      <c r="BF1323" s="115"/>
      <c r="BG1323" s="115"/>
      <c r="BH1323" s="115"/>
      <c r="BI1323" s="115"/>
      <c r="BJ1323" s="26"/>
      <c r="BK1323" s="13"/>
      <c r="BO1323" s="117"/>
      <c r="BP1323" s="116"/>
      <c r="BQ1323" s="116"/>
      <c r="BR1323" s="116"/>
    </row>
    <row r="1324" spans="1:70" ht="19.5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22"/>
      <c r="AT1324" s="122"/>
      <c r="AU1324" s="122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115"/>
      <c r="BF1324" s="115"/>
      <c r="BG1324" s="115"/>
      <c r="BH1324" s="115"/>
      <c r="BI1324" s="115"/>
      <c r="BJ1324" s="26"/>
      <c r="BK1324" s="13"/>
      <c r="BO1324" s="117"/>
      <c r="BP1324" s="116"/>
      <c r="BQ1324" s="116"/>
      <c r="BR1324" s="116"/>
    </row>
    <row r="1325" spans="1:70" ht="19.5" x14ac:dyDescent="0.4"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22"/>
      <c r="AT1325" s="122"/>
      <c r="AU1325" s="122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115"/>
      <c r="BF1325" s="115"/>
      <c r="BG1325" s="115"/>
      <c r="BH1325" s="115"/>
      <c r="BI1325" s="115"/>
      <c r="BJ1325" s="26"/>
      <c r="BK1325" s="13"/>
      <c r="BO1325" s="117"/>
      <c r="BP1325" s="116"/>
      <c r="BQ1325" s="116"/>
      <c r="BR1325" s="116"/>
    </row>
    <row r="1326" spans="1:70" ht="19.5" x14ac:dyDescent="0.4"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22"/>
      <c r="AT1326" s="122"/>
      <c r="AU1326" s="122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115"/>
      <c r="BF1326" s="115"/>
      <c r="BG1326" s="115"/>
      <c r="BH1326" s="115"/>
      <c r="BI1326" s="115"/>
      <c r="BJ1326" s="26"/>
      <c r="BK1326" s="13"/>
      <c r="BO1326" s="117"/>
      <c r="BP1326" s="116"/>
      <c r="BQ1326" s="116"/>
      <c r="BR1326" s="116"/>
    </row>
    <row r="1327" spans="1:70" ht="19.5" x14ac:dyDescent="0.4"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22"/>
      <c r="AT1327" s="122"/>
      <c r="AU1327" s="122"/>
      <c r="AV1327" s="115"/>
      <c r="AW1327" s="115"/>
      <c r="AX1327" s="115"/>
      <c r="AY1327" s="115"/>
      <c r="AZ1327" s="115"/>
      <c r="BA1327" s="115"/>
      <c r="BB1327" s="115"/>
      <c r="BC1327" s="115"/>
      <c r="BD1327" s="115"/>
      <c r="BE1327" s="115"/>
      <c r="BF1327" s="115"/>
      <c r="BG1327" s="115"/>
      <c r="BH1327" s="115"/>
      <c r="BI1327" s="115"/>
      <c r="BJ1327" s="26"/>
      <c r="BK1327" s="13"/>
      <c r="BO1327" s="117"/>
      <c r="BP1327" s="116"/>
      <c r="BQ1327" s="116"/>
      <c r="BR1327" s="116"/>
    </row>
    <row r="1328" spans="1:70" ht="19.5" x14ac:dyDescent="0.4"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22"/>
      <c r="AT1328" s="122"/>
      <c r="AU1328" s="122"/>
      <c r="AV1328" s="115"/>
      <c r="AW1328" s="115"/>
      <c r="AX1328" s="115"/>
      <c r="AY1328" s="115"/>
      <c r="AZ1328" s="115"/>
      <c r="BA1328" s="115"/>
      <c r="BB1328" s="115"/>
      <c r="BC1328" s="115"/>
      <c r="BD1328" s="115"/>
      <c r="BE1328" s="115"/>
      <c r="BF1328" s="115"/>
      <c r="BG1328" s="115"/>
      <c r="BH1328" s="115"/>
      <c r="BI1328" s="115"/>
      <c r="BJ1328" s="26"/>
      <c r="BK1328" s="13"/>
      <c r="BO1328" s="117"/>
      <c r="BP1328" s="116"/>
      <c r="BQ1328" s="116"/>
      <c r="BR1328" s="116"/>
    </row>
    <row r="1329" spans="1:70" ht="19.5" x14ac:dyDescent="0.4">
      <c r="BJ1329" s="26"/>
      <c r="BK1329" s="15"/>
      <c r="BO1329" s="117"/>
      <c r="BP1329" s="116"/>
      <c r="BQ1329" s="116"/>
      <c r="BR1329" s="116"/>
    </row>
    <row r="1330" spans="1:70" ht="19.5" x14ac:dyDescent="0.4"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22"/>
      <c r="AT1330" s="122"/>
      <c r="AU1330" s="122"/>
      <c r="AV1330" s="115"/>
      <c r="AW1330" s="115"/>
      <c r="AX1330" s="115"/>
      <c r="AY1330" s="115"/>
      <c r="AZ1330" s="115"/>
      <c r="BA1330" s="115"/>
      <c r="BB1330" s="115"/>
      <c r="BC1330" s="115"/>
      <c r="BD1330" s="115"/>
      <c r="BE1330" s="115"/>
      <c r="BF1330" s="115"/>
      <c r="BG1330" s="115"/>
      <c r="BH1330" s="115"/>
      <c r="BI1330" s="115"/>
      <c r="BJ1330" s="26"/>
      <c r="BK1330" s="15"/>
      <c r="BO1330" s="117"/>
      <c r="BP1330" s="116"/>
      <c r="BQ1330" s="116"/>
      <c r="BR1330" s="116"/>
    </row>
    <row r="1331" spans="1:70" ht="19.5" x14ac:dyDescent="0.4"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22"/>
      <c r="AT1331" s="122"/>
      <c r="AU1331" s="122"/>
      <c r="AV1331" s="115"/>
      <c r="AW1331" s="115"/>
      <c r="AX1331" s="115"/>
      <c r="AY1331" s="115"/>
      <c r="AZ1331" s="115"/>
      <c r="BA1331" s="115"/>
      <c r="BB1331" s="115"/>
      <c r="BC1331" s="115"/>
      <c r="BD1331" s="115"/>
      <c r="BE1331" s="115"/>
      <c r="BF1331" s="115"/>
      <c r="BG1331" s="115"/>
      <c r="BH1331" s="115"/>
      <c r="BI1331" s="115"/>
      <c r="BJ1331" s="17"/>
      <c r="BK1331" s="15"/>
      <c r="BO1331" s="117"/>
      <c r="BP1331" s="116"/>
      <c r="BQ1331" s="116"/>
      <c r="BR1331" s="116"/>
    </row>
    <row r="1332" spans="1:70" ht="19.5" x14ac:dyDescent="0.4">
      <c r="BJ1332" s="26"/>
      <c r="BK1332" s="15"/>
      <c r="BO1332" s="117"/>
      <c r="BP1332" s="116"/>
      <c r="BQ1332" s="116"/>
      <c r="BR1332" s="116"/>
    </row>
    <row r="1333" spans="1:70" ht="19.5" x14ac:dyDescent="0.4">
      <c r="BJ1333" s="26"/>
      <c r="BK1333" s="13"/>
      <c r="BO1333" s="117"/>
      <c r="BP1333" s="116"/>
      <c r="BQ1333" s="116"/>
      <c r="BR1333" s="116"/>
    </row>
    <row r="1334" spans="1:70" ht="19.5" x14ac:dyDescent="0.4">
      <c r="AP1334" s="115"/>
      <c r="AQ1334" s="115"/>
      <c r="AR1334" s="115"/>
      <c r="AS1334" s="122"/>
      <c r="AT1334" s="122"/>
      <c r="AU1334" s="122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115"/>
      <c r="BF1334" s="115"/>
      <c r="BG1334" s="115"/>
      <c r="BH1334" s="115"/>
      <c r="BI1334" s="115"/>
      <c r="BJ1334" s="26"/>
      <c r="BK1334" s="13"/>
      <c r="BO1334" s="117"/>
      <c r="BP1334" s="116"/>
      <c r="BQ1334" s="116"/>
      <c r="BR1334" s="116"/>
    </row>
    <row r="1335" spans="1:70" ht="19.5" x14ac:dyDescent="0.4"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22"/>
      <c r="AT1335" s="122"/>
      <c r="AU1335" s="122"/>
      <c r="AV1335" s="115"/>
      <c r="AW1335" s="115"/>
      <c r="AX1335" s="115"/>
      <c r="AY1335" s="115"/>
      <c r="AZ1335" s="115"/>
      <c r="BA1335" s="115"/>
      <c r="BB1335" s="115"/>
      <c r="BC1335" s="115"/>
      <c r="BD1335" s="115"/>
      <c r="BE1335" s="115"/>
      <c r="BF1335" s="115"/>
      <c r="BG1335" s="115"/>
      <c r="BH1335" s="115"/>
      <c r="BI1335" s="115"/>
      <c r="BJ1335" s="26"/>
      <c r="BK1335" s="13"/>
      <c r="BO1335" s="117"/>
      <c r="BP1335" s="116"/>
      <c r="BQ1335" s="116"/>
      <c r="BR1335" s="116"/>
    </row>
    <row r="1336" spans="1:70" ht="19.5" x14ac:dyDescent="0.4"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22"/>
      <c r="AT1336" s="122"/>
      <c r="AU1336" s="122"/>
      <c r="AV1336" s="115"/>
      <c r="AW1336" s="115"/>
      <c r="AX1336" s="115"/>
      <c r="AY1336" s="115"/>
      <c r="AZ1336" s="115"/>
      <c r="BA1336" s="115"/>
      <c r="BB1336" s="115"/>
      <c r="BC1336" s="115"/>
      <c r="BD1336" s="115"/>
      <c r="BE1336" s="115"/>
      <c r="BF1336" s="115"/>
      <c r="BG1336" s="115"/>
      <c r="BH1336" s="115"/>
      <c r="BI1336" s="115"/>
      <c r="BJ1336" s="17"/>
      <c r="BK1336" s="13"/>
      <c r="BO1336" s="117"/>
      <c r="BP1336" s="116"/>
      <c r="BQ1336" s="116"/>
      <c r="BR1336" s="116"/>
    </row>
    <row r="1337" spans="1:70" ht="19.5" x14ac:dyDescent="0.4"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22"/>
      <c r="AT1337" s="122"/>
      <c r="AU1337" s="122"/>
      <c r="AV1337" s="115"/>
      <c r="AW1337" s="115"/>
      <c r="AX1337" s="115"/>
      <c r="AY1337" s="115"/>
      <c r="AZ1337" s="115"/>
      <c r="BA1337" s="115"/>
      <c r="BB1337" s="115"/>
      <c r="BC1337" s="115"/>
      <c r="BD1337" s="115"/>
      <c r="BE1337" s="115"/>
      <c r="BF1337" s="115"/>
      <c r="BG1337" s="115"/>
      <c r="BH1337" s="115"/>
      <c r="BI1337" s="115"/>
      <c r="BJ1337" s="26"/>
      <c r="BK1337" s="25"/>
      <c r="BO1337" s="117"/>
      <c r="BP1337" s="116"/>
      <c r="BQ1337" s="116"/>
      <c r="BR1337" s="116"/>
    </row>
    <row r="1338" spans="1:70" ht="19.5" x14ac:dyDescent="0.4"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22"/>
      <c r="AT1338" s="122"/>
      <c r="AU1338" s="122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115"/>
      <c r="BF1338" s="115"/>
      <c r="BG1338" s="115"/>
      <c r="BH1338" s="115"/>
      <c r="BI1338" s="115"/>
      <c r="BJ1338" s="17"/>
      <c r="BK1338" s="13"/>
      <c r="BO1338" s="117"/>
      <c r="BP1338" s="116"/>
      <c r="BQ1338" s="116"/>
      <c r="BR1338" s="116"/>
    </row>
    <row r="1339" spans="1:70" ht="19.5" x14ac:dyDescent="0.4"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22"/>
      <c r="AT1339" s="122"/>
      <c r="AU1339" s="122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115"/>
      <c r="BF1339" s="115"/>
      <c r="BG1339" s="115"/>
      <c r="BH1339" s="115"/>
      <c r="BI1339" s="115"/>
      <c r="BJ1339" s="26"/>
      <c r="BK1339" s="13"/>
      <c r="BO1339" s="117"/>
      <c r="BP1339" s="116"/>
      <c r="BQ1339" s="116"/>
      <c r="BR1339" s="116"/>
    </row>
    <row r="1340" spans="1:70" ht="19.5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22"/>
      <c r="AT1340" s="122"/>
      <c r="AU1340" s="122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115"/>
      <c r="BF1340" s="115"/>
      <c r="BG1340" s="115"/>
      <c r="BH1340" s="115"/>
      <c r="BI1340" s="115"/>
      <c r="BJ1340" s="26"/>
      <c r="BK1340" s="13"/>
      <c r="BO1340" s="117"/>
      <c r="BP1340" s="116"/>
      <c r="BQ1340" s="116"/>
      <c r="BR1340" s="116"/>
    </row>
    <row r="1341" spans="1:70" ht="19.5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22"/>
      <c r="AT1341" s="122"/>
      <c r="AU1341" s="122"/>
      <c r="AV1341" s="115"/>
      <c r="AW1341" s="115"/>
      <c r="AX1341" s="115"/>
      <c r="AY1341" s="115"/>
      <c r="AZ1341" s="115"/>
      <c r="BA1341" s="115"/>
      <c r="BB1341" s="115"/>
      <c r="BC1341" s="115"/>
      <c r="BD1341" s="115"/>
      <c r="BE1341" s="115"/>
      <c r="BF1341" s="115"/>
      <c r="BG1341" s="115"/>
      <c r="BH1341" s="115"/>
      <c r="BI1341" s="115"/>
      <c r="BJ1341" s="26"/>
      <c r="BK1341" s="13"/>
      <c r="BO1341" s="117"/>
      <c r="BP1341" s="116"/>
      <c r="BQ1341" s="116"/>
      <c r="BR1341" s="116"/>
    </row>
    <row r="1342" spans="1:70" ht="19.5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22"/>
      <c r="AT1342" s="122"/>
      <c r="AU1342" s="122"/>
      <c r="AV1342" s="115"/>
      <c r="AW1342" s="115"/>
      <c r="AX1342" s="115"/>
      <c r="AY1342" s="115"/>
      <c r="AZ1342" s="115"/>
      <c r="BA1342" s="115"/>
      <c r="BB1342" s="115"/>
      <c r="BC1342" s="115"/>
      <c r="BD1342" s="115"/>
      <c r="BE1342" s="115"/>
      <c r="BF1342" s="115"/>
      <c r="BG1342" s="115"/>
      <c r="BH1342" s="115"/>
      <c r="BI1342" s="115"/>
      <c r="BJ1342" s="26"/>
      <c r="BK1342" s="13"/>
      <c r="BO1342" s="117"/>
      <c r="BP1342" s="116"/>
      <c r="BQ1342" s="116"/>
      <c r="BR1342" s="116"/>
    </row>
    <row r="1343" spans="1:70" ht="19.5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22"/>
      <c r="AT1343" s="122"/>
      <c r="AU1343" s="122"/>
      <c r="AV1343" s="115"/>
      <c r="AW1343" s="115"/>
      <c r="AX1343" s="115"/>
      <c r="AY1343" s="115"/>
      <c r="AZ1343" s="115"/>
      <c r="BA1343" s="115"/>
      <c r="BB1343" s="115"/>
      <c r="BC1343" s="115"/>
      <c r="BD1343" s="115"/>
      <c r="BE1343" s="115"/>
      <c r="BF1343" s="115"/>
      <c r="BG1343" s="115"/>
      <c r="BH1343" s="115"/>
      <c r="BI1343" s="115"/>
      <c r="BJ1343" s="26"/>
      <c r="BK1343" s="13"/>
      <c r="BO1343" s="117"/>
      <c r="BP1343" s="116"/>
      <c r="BQ1343" s="116"/>
      <c r="BR1343" s="116"/>
    </row>
    <row r="1344" spans="1:70" ht="19.5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22"/>
      <c r="AT1344" s="122"/>
      <c r="AU1344" s="122"/>
      <c r="AV1344" s="115"/>
      <c r="AW1344" s="115"/>
      <c r="AX1344" s="115"/>
      <c r="AY1344" s="115"/>
      <c r="AZ1344" s="115"/>
      <c r="BA1344" s="115"/>
      <c r="BB1344" s="115"/>
      <c r="BC1344" s="115"/>
      <c r="BD1344" s="115"/>
      <c r="BE1344" s="115"/>
      <c r="BF1344" s="115"/>
      <c r="BG1344" s="115"/>
      <c r="BH1344" s="115"/>
      <c r="BI1344" s="115"/>
      <c r="BJ1344" s="26"/>
      <c r="BK1344" s="13"/>
      <c r="BO1344" s="117"/>
      <c r="BP1344" s="116"/>
      <c r="BQ1344" s="116"/>
      <c r="BR1344" s="116"/>
    </row>
    <row r="1345" spans="1:70" ht="19.5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22"/>
      <c r="AT1345" s="122"/>
      <c r="AU1345" s="122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115"/>
      <c r="BF1345" s="115"/>
      <c r="BG1345" s="115"/>
      <c r="BH1345" s="115"/>
      <c r="BI1345" s="115"/>
      <c r="BJ1345" s="26"/>
      <c r="BK1345" s="13"/>
      <c r="BO1345" s="117"/>
      <c r="BP1345" s="116"/>
      <c r="BQ1345" s="116"/>
      <c r="BR1345" s="116"/>
    </row>
    <row r="1346" spans="1:70" ht="19.5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22"/>
      <c r="AT1346" s="122"/>
      <c r="AU1346" s="122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15"/>
      <c r="BF1346" s="115"/>
      <c r="BG1346" s="115"/>
      <c r="BH1346" s="115"/>
      <c r="BI1346" s="115"/>
      <c r="BJ1346" s="26"/>
      <c r="BK1346" s="13"/>
      <c r="BO1346" s="117"/>
      <c r="BP1346" s="116"/>
      <c r="BQ1346" s="116"/>
      <c r="BR1346" s="116"/>
    </row>
    <row r="1347" spans="1:70" ht="19.5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22"/>
      <c r="AT1347" s="122"/>
      <c r="AU1347" s="122"/>
      <c r="AV1347" s="115"/>
      <c r="AW1347" s="115"/>
      <c r="AX1347" s="115"/>
      <c r="AY1347" s="115"/>
      <c r="AZ1347" s="115"/>
      <c r="BA1347" s="115"/>
      <c r="BB1347" s="115"/>
      <c r="BC1347" s="115"/>
      <c r="BD1347" s="115"/>
      <c r="BE1347" s="115"/>
      <c r="BF1347" s="115"/>
      <c r="BG1347" s="115"/>
      <c r="BH1347" s="115"/>
      <c r="BI1347" s="115"/>
      <c r="BJ1347" s="26"/>
      <c r="BK1347" s="15"/>
      <c r="BO1347" s="117"/>
      <c r="BP1347" s="116"/>
      <c r="BQ1347" s="116"/>
      <c r="BR1347" s="116"/>
    </row>
    <row r="1348" spans="1:70" ht="19.5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22"/>
      <c r="AT1348" s="122"/>
      <c r="AU1348" s="122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115"/>
      <c r="BF1348" s="115"/>
      <c r="BG1348" s="115"/>
      <c r="BH1348" s="115"/>
      <c r="BI1348" s="115"/>
      <c r="BJ1348" s="26"/>
      <c r="BK1348" s="15"/>
      <c r="BO1348" s="117"/>
      <c r="BP1348" s="116"/>
      <c r="BQ1348" s="116"/>
      <c r="BR1348" s="116"/>
    </row>
    <row r="1349" spans="1:70" ht="19.5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22"/>
      <c r="AT1349" s="122"/>
      <c r="AU1349" s="122"/>
      <c r="AV1349" s="115"/>
      <c r="AW1349" s="115"/>
      <c r="AX1349" s="115"/>
      <c r="AY1349" s="115"/>
      <c r="AZ1349" s="115"/>
      <c r="BA1349" s="115"/>
      <c r="BB1349" s="115"/>
      <c r="BC1349" s="115"/>
      <c r="BD1349" s="115"/>
      <c r="BE1349" s="115"/>
      <c r="BF1349" s="115"/>
      <c r="BG1349" s="115"/>
      <c r="BH1349" s="115"/>
      <c r="BI1349" s="115"/>
      <c r="BJ1349" s="26"/>
      <c r="BK1349" s="15"/>
      <c r="BO1349" s="117"/>
      <c r="BP1349" s="116"/>
      <c r="BQ1349" s="116"/>
      <c r="BR1349" s="116"/>
    </row>
    <row r="1350" spans="1:70" ht="19.5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22"/>
      <c r="AT1350" s="122"/>
      <c r="AU1350" s="122"/>
      <c r="AV1350" s="115"/>
      <c r="AW1350" s="115"/>
      <c r="AX1350" s="115"/>
      <c r="AY1350" s="115"/>
      <c r="AZ1350" s="115"/>
      <c r="BA1350" s="115"/>
      <c r="BB1350" s="115"/>
      <c r="BC1350" s="115"/>
      <c r="BD1350" s="115"/>
      <c r="BE1350" s="115"/>
      <c r="BF1350" s="115"/>
      <c r="BG1350" s="115"/>
      <c r="BH1350" s="115"/>
      <c r="BI1350" s="115"/>
      <c r="BJ1350" s="26"/>
      <c r="BK1350" s="15"/>
      <c r="BO1350" s="117"/>
      <c r="BP1350" s="116"/>
      <c r="BQ1350" s="116"/>
      <c r="BR1350" s="116"/>
    </row>
    <row r="1351" spans="1:70" ht="19.5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22"/>
      <c r="AT1351" s="122"/>
      <c r="AU1351" s="122"/>
      <c r="AV1351" s="115"/>
      <c r="AW1351" s="115"/>
      <c r="AX1351" s="115"/>
      <c r="AY1351" s="115"/>
      <c r="AZ1351" s="115"/>
      <c r="BA1351" s="115"/>
      <c r="BB1351" s="115"/>
      <c r="BC1351" s="115"/>
      <c r="BD1351" s="115"/>
      <c r="BE1351" s="115"/>
      <c r="BF1351" s="115"/>
      <c r="BG1351" s="115"/>
      <c r="BH1351" s="115"/>
      <c r="BI1351" s="115"/>
      <c r="BJ1351" s="26"/>
      <c r="BK1351" s="25"/>
      <c r="BO1351" s="117"/>
      <c r="BP1351" s="116"/>
      <c r="BQ1351" s="116"/>
      <c r="BR1351" s="116"/>
    </row>
    <row r="1352" spans="1:70" ht="19.5" x14ac:dyDescent="0.4">
      <c r="BJ1352" s="26"/>
      <c r="BK1352" s="15"/>
      <c r="BO1352" s="117"/>
      <c r="BP1352" s="116"/>
      <c r="BQ1352" s="116"/>
      <c r="BR1352" s="116"/>
    </row>
    <row r="1353" spans="1:70" ht="19.5" x14ac:dyDescent="0.4">
      <c r="AR1353" s="115"/>
      <c r="AS1353" s="122"/>
      <c r="AT1353" s="122"/>
      <c r="AU1353" s="122"/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115"/>
      <c r="BF1353" s="115"/>
      <c r="BG1353" s="115"/>
      <c r="BH1353" s="115"/>
      <c r="BI1353" s="115"/>
      <c r="BJ1353" s="26"/>
      <c r="BK1353" s="15"/>
      <c r="BO1353" s="117"/>
      <c r="BP1353" s="116"/>
      <c r="BQ1353" s="116"/>
      <c r="BR1353" s="116"/>
    </row>
    <row r="1354" spans="1:70" ht="19.5" x14ac:dyDescent="0.4">
      <c r="AP1354" s="115"/>
      <c r="AQ1354" s="115"/>
      <c r="AR1354" s="115"/>
      <c r="AS1354" s="122"/>
      <c r="AT1354" s="122"/>
      <c r="AU1354" s="122"/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15"/>
      <c r="BF1354" s="115"/>
      <c r="BG1354" s="115"/>
      <c r="BH1354" s="115"/>
      <c r="BI1354" s="115"/>
      <c r="BJ1354" s="26"/>
      <c r="BK1354" s="15"/>
      <c r="BO1354" s="117"/>
      <c r="BP1354" s="116"/>
      <c r="BQ1354" s="116"/>
      <c r="BR1354" s="116"/>
    </row>
    <row r="1355" spans="1:70" ht="19.5" x14ac:dyDescent="0.4">
      <c r="AP1355" s="115"/>
      <c r="AQ1355" s="115"/>
      <c r="AR1355" s="115"/>
      <c r="AS1355" s="122"/>
      <c r="AT1355" s="122"/>
      <c r="AU1355" s="122"/>
      <c r="AV1355" s="115"/>
      <c r="AW1355" s="115"/>
      <c r="AX1355" s="115"/>
      <c r="AY1355" s="115"/>
      <c r="AZ1355" s="115"/>
      <c r="BA1355" s="115"/>
      <c r="BB1355" s="115"/>
      <c r="BC1355" s="115"/>
      <c r="BD1355" s="115"/>
      <c r="BE1355" s="115"/>
      <c r="BF1355" s="115"/>
      <c r="BG1355" s="115"/>
      <c r="BH1355" s="115"/>
      <c r="BI1355" s="115"/>
      <c r="BJ1355" s="17"/>
      <c r="BK1355" s="15"/>
      <c r="BO1355" s="117"/>
      <c r="BP1355" s="116"/>
      <c r="BQ1355" s="116"/>
      <c r="BR1355" s="116"/>
    </row>
    <row r="1356" spans="1:70" ht="19.5" x14ac:dyDescent="0.4">
      <c r="AM1356" s="115"/>
      <c r="AN1356" s="115"/>
      <c r="AO1356" s="115"/>
      <c r="AP1356" s="115"/>
      <c r="AQ1356" s="115"/>
      <c r="AR1356" s="115"/>
      <c r="AS1356" s="122"/>
      <c r="AT1356" s="122"/>
      <c r="AU1356" s="122"/>
      <c r="AV1356" s="115"/>
      <c r="AW1356" s="115"/>
      <c r="AX1356" s="115"/>
      <c r="AY1356" s="115"/>
      <c r="AZ1356" s="115"/>
      <c r="BA1356" s="115"/>
      <c r="BB1356" s="115"/>
      <c r="BC1356" s="115"/>
      <c r="BD1356" s="115"/>
      <c r="BE1356" s="115"/>
      <c r="BF1356" s="115"/>
      <c r="BG1356" s="115"/>
      <c r="BH1356" s="115"/>
      <c r="BI1356" s="115"/>
      <c r="BJ1356" s="26"/>
      <c r="BK1356" s="15"/>
      <c r="BO1356" s="117"/>
      <c r="BP1356" s="116"/>
      <c r="BQ1356" s="116"/>
      <c r="BR1356" s="116"/>
    </row>
    <row r="1357" spans="1:70" ht="19.5" x14ac:dyDescent="0.4">
      <c r="AM1357" s="115"/>
      <c r="AN1357" s="115"/>
      <c r="AO1357" s="115"/>
      <c r="AP1357" s="115"/>
      <c r="AQ1357" s="115"/>
      <c r="AR1357" s="115"/>
      <c r="AS1357" s="122"/>
      <c r="AT1357" s="122"/>
      <c r="AU1357" s="122"/>
      <c r="AV1357" s="115"/>
      <c r="AW1357" s="115"/>
      <c r="AX1357" s="115"/>
      <c r="AY1357" s="115"/>
      <c r="AZ1357" s="115"/>
      <c r="BA1357" s="115"/>
      <c r="BB1357" s="115"/>
      <c r="BC1357" s="115"/>
      <c r="BD1357" s="115"/>
      <c r="BE1357" s="115"/>
      <c r="BF1357" s="115"/>
      <c r="BG1357" s="115"/>
      <c r="BH1357" s="115"/>
      <c r="BI1357" s="115"/>
      <c r="BJ1357" s="17"/>
      <c r="BK1357" s="15"/>
      <c r="BO1357" s="117"/>
      <c r="BP1357" s="116"/>
      <c r="BQ1357" s="116"/>
      <c r="BR1357" s="116"/>
    </row>
    <row r="1358" spans="1:70" ht="19.5" x14ac:dyDescent="0.4">
      <c r="AM1358" s="115"/>
      <c r="AN1358" s="115"/>
      <c r="AO1358" s="115"/>
      <c r="AP1358" s="115"/>
      <c r="AQ1358" s="115"/>
      <c r="AR1358" s="115"/>
      <c r="AS1358" s="122"/>
      <c r="AT1358" s="122"/>
      <c r="AU1358" s="122"/>
      <c r="AV1358" s="115"/>
      <c r="AW1358" s="115"/>
      <c r="AX1358" s="115"/>
      <c r="AY1358" s="115"/>
      <c r="AZ1358" s="115"/>
      <c r="BA1358" s="115"/>
      <c r="BB1358" s="115"/>
      <c r="BC1358" s="115"/>
      <c r="BD1358" s="115"/>
      <c r="BE1358" s="115"/>
      <c r="BF1358" s="115"/>
      <c r="BG1358" s="115"/>
      <c r="BH1358" s="115"/>
      <c r="BI1358" s="115"/>
      <c r="BJ1358" s="26"/>
      <c r="BK1358" s="15"/>
      <c r="BO1358" s="117"/>
      <c r="BP1358" s="116"/>
      <c r="BQ1358" s="116"/>
      <c r="BR1358" s="116"/>
    </row>
    <row r="1359" spans="1:70" ht="19.5" x14ac:dyDescent="0.4">
      <c r="AM1359" s="115"/>
      <c r="AN1359" s="115"/>
      <c r="AO1359" s="115"/>
      <c r="AP1359" s="115"/>
      <c r="AQ1359" s="115"/>
      <c r="AR1359" s="115"/>
      <c r="AS1359" s="122"/>
      <c r="AT1359" s="122"/>
      <c r="AU1359" s="122"/>
      <c r="AV1359" s="115"/>
      <c r="AW1359" s="115"/>
      <c r="AX1359" s="115"/>
      <c r="AY1359" s="115"/>
      <c r="AZ1359" s="115"/>
      <c r="BA1359" s="115"/>
      <c r="BB1359" s="115"/>
      <c r="BC1359" s="115"/>
      <c r="BD1359" s="115"/>
      <c r="BE1359" s="115"/>
      <c r="BF1359" s="115"/>
      <c r="BG1359" s="115"/>
      <c r="BH1359" s="115"/>
      <c r="BI1359" s="115"/>
      <c r="BJ1359" s="17"/>
      <c r="BK1359" s="13"/>
      <c r="BO1359" s="117"/>
      <c r="BP1359" s="116"/>
      <c r="BQ1359" s="116"/>
      <c r="BR1359" s="116"/>
    </row>
    <row r="1360" spans="1:70" ht="19.5" x14ac:dyDescent="0.4">
      <c r="AM1360" s="115"/>
      <c r="AN1360" s="115"/>
      <c r="AO1360" s="115"/>
      <c r="AP1360" s="115"/>
      <c r="AQ1360" s="115"/>
      <c r="AR1360" s="115"/>
      <c r="AS1360" s="122"/>
      <c r="AT1360" s="122"/>
      <c r="AU1360" s="122"/>
      <c r="AV1360" s="115"/>
      <c r="AW1360" s="115"/>
      <c r="AX1360" s="115"/>
      <c r="AY1360" s="115"/>
      <c r="AZ1360" s="115"/>
      <c r="BA1360" s="115"/>
      <c r="BB1360" s="115"/>
      <c r="BC1360" s="115"/>
      <c r="BD1360" s="115"/>
      <c r="BE1360" s="115"/>
      <c r="BF1360" s="115"/>
      <c r="BG1360" s="115"/>
      <c r="BH1360" s="115"/>
      <c r="BI1360" s="115"/>
      <c r="BJ1360" s="17"/>
      <c r="BK1360" s="13"/>
      <c r="BO1360" s="117"/>
      <c r="BP1360" s="116"/>
      <c r="BQ1360" s="116"/>
      <c r="BR1360" s="116"/>
    </row>
    <row r="1361" spans="1:70" ht="19.5" x14ac:dyDescent="0.4">
      <c r="BJ1361" s="26"/>
      <c r="BK1361" s="13"/>
      <c r="BO1361" s="117"/>
      <c r="BP1361" s="116"/>
      <c r="BQ1361" s="116"/>
      <c r="BR1361" s="116"/>
    </row>
    <row r="1362" spans="1:70" ht="19.5" x14ac:dyDescent="0.4">
      <c r="AR1362" s="115"/>
      <c r="AS1362" s="122"/>
      <c r="AT1362" s="122"/>
      <c r="AU1362" s="122"/>
      <c r="AV1362" s="115"/>
      <c r="AW1362" s="115"/>
      <c r="AX1362" s="115"/>
      <c r="AY1362" s="115"/>
      <c r="AZ1362" s="115"/>
      <c r="BA1362" s="115"/>
      <c r="BB1362" s="115"/>
      <c r="BC1362" s="115"/>
      <c r="BD1362" s="115"/>
      <c r="BE1362" s="115"/>
      <c r="BF1362" s="115"/>
      <c r="BG1362" s="115"/>
      <c r="BH1362" s="115"/>
      <c r="BI1362" s="115"/>
      <c r="BJ1362" s="17"/>
      <c r="BK1362" s="13"/>
      <c r="BO1362" s="117"/>
      <c r="BP1362" s="116"/>
      <c r="BQ1362" s="116"/>
      <c r="BR1362" s="116"/>
    </row>
    <row r="1363" spans="1:70" ht="19.5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22"/>
      <c r="AT1363" s="122"/>
      <c r="AU1363" s="122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115"/>
      <c r="BF1363" s="115"/>
      <c r="BG1363" s="115"/>
      <c r="BH1363" s="115"/>
      <c r="BI1363" s="115"/>
      <c r="BJ1363" s="26"/>
      <c r="BK1363" s="13"/>
      <c r="BO1363" s="117"/>
      <c r="BP1363" s="116"/>
      <c r="BQ1363" s="116"/>
      <c r="BR1363" s="116"/>
    </row>
    <row r="1364" spans="1:70" ht="19.5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22"/>
      <c r="AT1364" s="122"/>
      <c r="AU1364" s="122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15"/>
      <c r="BF1364" s="115"/>
      <c r="BG1364" s="115"/>
      <c r="BH1364" s="115"/>
      <c r="BI1364" s="115"/>
      <c r="BJ1364" s="26"/>
      <c r="BK1364" s="13"/>
      <c r="BO1364" s="117"/>
      <c r="BP1364" s="116"/>
      <c r="BQ1364" s="116"/>
      <c r="BR1364" s="116"/>
    </row>
    <row r="1365" spans="1:70" ht="19.5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22"/>
      <c r="AT1365" s="122"/>
      <c r="AU1365" s="122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115"/>
      <c r="BF1365" s="115"/>
      <c r="BG1365" s="115"/>
      <c r="BH1365" s="115"/>
      <c r="BI1365" s="115"/>
      <c r="BJ1365" s="26"/>
      <c r="BK1365" s="13"/>
      <c r="BO1365" s="117"/>
      <c r="BP1365" s="116"/>
      <c r="BQ1365" s="116"/>
      <c r="BR1365" s="116"/>
    </row>
    <row r="1366" spans="1:70" ht="19.5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22"/>
      <c r="AT1366" s="122"/>
      <c r="AU1366" s="122"/>
      <c r="AV1366" s="115"/>
      <c r="AW1366" s="115"/>
      <c r="AX1366" s="115"/>
      <c r="AY1366" s="115"/>
      <c r="AZ1366" s="115"/>
      <c r="BA1366" s="115"/>
      <c r="BB1366" s="115"/>
      <c r="BC1366" s="115"/>
      <c r="BD1366" s="115"/>
      <c r="BE1366" s="115"/>
      <c r="BF1366" s="115"/>
      <c r="BG1366" s="115"/>
      <c r="BH1366" s="115"/>
      <c r="BI1366" s="115"/>
      <c r="BJ1366" s="26"/>
      <c r="BK1366" s="13"/>
      <c r="BO1366" s="117"/>
      <c r="BP1366" s="116"/>
      <c r="BQ1366" s="116"/>
      <c r="BR1366" s="116"/>
    </row>
    <row r="1367" spans="1:70" ht="19.5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22"/>
      <c r="AT1367" s="122"/>
      <c r="AU1367" s="122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115"/>
      <c r="BF1367" s="115"/>
      <c r="BG1367" s="115"/>
      <c r="BH1367" s="115"/>
      <c r="BI1367" s="115"/>
      <c r="BJ1367" s="17"/>
      <c r="BK1367" s="13"/>
      <c r="BO1367" s="117"/>
      <c r="BP1367" s="116"/>
      <c r="BQ1367" s="116"/>
      <c r="BR1367" s="116"/>
    </row>
    <row r="1368" spans="1:70" ht="19.5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22"/>
      <c r="AT1368" s="122"/>
      <c r="AU1368" s="122"/>
      <c r="AV1368" s="115"/>
      <c r="AW1368" s="115"/>
      <c r="AX1368" s="115"/>
      <c r="AY1368" s="115"/>
      <c r="AZ1368" s="115"/>
      <c r="BA1368" s="115"/>
      <c r="BB1368" s="115"/>
      <c r="BC1368" s="115"/>
      <c r="BD1368" s="115"/>
      <c r="BE1368" s="115"/>
      <c r="BF1368" s="115"/>
      <c r="BG1368" s="115"/>
      <c r="BH1368" s="115"/>
      <c r="BI1368" s="115"/>
      <c r="BJ1368" s="26"/>
      <c r="BK1368" s="13"/>
      <c r="BO1368" s="117"/>
      <c r="BP1368" s="116"/>
      <c r="BQ1368" s="116"/>
      <c r="BR1368" s="116"/>
    </row>
    <row r="1369" spans="1:70" ht="19.5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22"/>
      <c r="AT1369" s="122"/>
      <c r="AU1369" s="122"/>
      <c r="AV1369" s="115"/>
      <c r="AW1369" s="115"/>
      <c r="AX1369" s="115"/>
      <c r="AY1369" s="115"/>
      <c r="AZ1369" s="115"/>
      <c r="BA1369" s="115"/>
      <c r="BB1369" s="115"/>
      <c r="BC1369" s="115"/>
      <c r="BD1369" s="115"/>
      <c r="BE1369" s="115"/>
      <c r="BF1369" s="115"/>
      <c r="BG1369" s="115"/>
      <c r="BH1369" s="115"/>
      <c r="BI1369" s="115"/>
      <c r="BJ1369" s="26"/>
      <c r="BK1369" s="15"/>
      <c r="BO1369" s="117"/>
      <c r="BP1369" s="116"/>
      <c r="BQ1369" s="116"/>
      <c r="BR1369" s="116"/>
    </row>
    <row r="1370" spans="1:70" ht="19.5" x14ac:dyDescent="0.4">
      <c r="BJ1370" s="26"/>
      <c r="BK1370" s="15"/>
      <c r="BO1370" s="117"/>
      <c r="BP1370" s="116"/>
      <c r="BQ1370" s="116"/>
      <c r="BR1370" s="116"/>
    </row>
    <row r="1371" spans="1:70" ht="19.5" x14ac:dyDescent="0.4">
      <c r="AQ1371" s="115"/>
      <c r="AR1371" s="115"/>
      <c r="AS1371" s="122"/>
      <c r="AT1371" s="122"/>
      <c r="AU1371" s="122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15"/>
      <c r="BF1371" s="115"/>
      <c r="BG1371" s="115"/>
      <c r="BH1371" s="115"/>
      <c r="BI1371" s="115"/>
      <c r="BJ1371" s="26"/>
      <c r="BK1371" s="13"/>
      <c r="BO1371" s="117"/>
      <c r="BP1371" s="116"/>
      <c r="BQ1371" s="116"/>
      <c r="BR1371" s="116"/>
    </row>
    <row r="1372" spans="1:70" ht="19.5" x14ac:dyDescent="0.4">
      <c r="AO1372" s="115"/>
      <c r="AP1372" s="115"/>
      <c r="AQ1372" s="115"/>
      <c r="AR1372" s="115"/>
      <c r="AS1372" s="122"/>
      <c r="AT1372" s="122"/>
      <c r="AU1372" s="122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15"/>
      <c r="BF1372" s="115"/>
      <c r="BG1372" s="115"/>
      <c r="BH1372" s="115"/>
      <c r="BI1372" s="115"/>
      <c r="BJ1372" s="26"/>
      <c r="BK1372" s="15"/>
      <c r="BO1372" s="117"/>
      <c r="BP1372" s="116"/>
      <c r="BQ1372" s="116"/>
      <c r="BR1372" s="116"/>
    </row>
    <row r="1373" spans="1:70" ht="19.5" x14ac:dyDescent="0.4">
      <c r="AO1373" s="115"/>
      <c r="AP1373" s="115"/>
      <c r="AQ1373" s="115"/>
      <c r="AR1373" s="115"/>
      <c r="AS1373" s="122"/>
      <c r="AT1373" s="122"/>
      <c r="AU1373" s="122"/>
      <c r="AV1373" s="115"/>
      <c r="AW1373" s="115"/>
      <c r="AX1373" s="115"/>
      <c r="AY1373" s="115"/>
      <c r="AZ1373" s="115"/>
      <c r="BA1373" s="115"/>
      <c r="BB1373" s="115"/>
      <c r="BC1373" s="115"/>
      <c r="BD1373" s="115"/>
      <c r="BE1373" s="115"/>
      <c r="BF1373" s="115"/>
      <c r="BG1373" s="115"/>
      <c r="BH1373" s="115"/>
      <c r="BI1373" s="115"/>
      <c r="BJ1373" s="26"/>
      <c r="BK1373" s="15"/>
      <c r="BO1373" s="117"/>
      <c r="BP1373" s="116"/>
      <c r="BQ1373" s="116"/>
      <c r="BR1373" s="116"/>
    </row>
    <row r="1374" spans="1:70" ht="19.5" x14ac:dyDescent="0.4">
      <c r="AO1374" s="115"/>
      <c r="AP1374" s="115"/>
      <c r="AQ1374" s="115"/>
      <c r="AR1374" s="115"/>
      <c r="AS1374" s="122"/>
      <c r="AT1374" s="122"/>
      <c r="AU1374" s="122"/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15"/>
      <c r="BF1374" s="115"/>
      <c r="BG1374" s="115"/>
      <c r="BH1374" s="115"/>
      <c r="BI1374" s="115"/>
      <c r="BJ1374" s="17"/>
      <c r="BK1374" s="15"/>
      <c r="BO1374" s="117"/>
      <c r="BP1374" s="116"/>
      <c r="BQ1374" s="116"/>
      <c r="BR1374" s="116"/>
    </row>
    <row r="1375" spans="1:70" ht="19.5" x14ac:dyDescent="0.4">
      <c r="AN1375" s="115"/>
      <c r="AO1375" s="115"/>
      <c r="AP1375" s="115"/>
      <c r="AQ1375" s="115"/>
      <c r="AR1375" s="115"/>
      <c r="AS1375" s="122"/>
      <c r="AT1375" s="122"/>
      <c r="AU1375" s="122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15"/>
      <c r="BF1375" s="115"/>
      <c r="BG1375" s="115"/>
      <c r="BH1375" s="115"/>
      <c r="BI1375" s="115"/>
      <c r="BJ1375" s="26"/>
      <c r="BK1375" s="15"/>
      <c r="BO1375" s="117"/>
      <c r="BP1375" s="116"/>
      <c r="BQ1375" s="116"/>
      <c r="BR1375" s="116"/>
    </row>
    <row r="1376" spans="1:70" ht="19.5" x14ac:dyDescent="0.4">
      <c r="AN1376" s="115"/>
      <c r="AO1376" s="115"/>
      <c r="AP1376" s="115"/>
      <c r="AQ1376" s="115"/>
      <c r="AR1376" s="115"/>
      <c r="AS1376" s="122"/>
      <c r="AT1376" s="122"/>
      <c r="AU1376" s="122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15"/>
      <c r="BF1376" s="115"/>
      <c r="BG1376" s="115"/>
      <c r="BH1376" s="115"/>
      <c r="BI1376" s="115"/>
      <c r="BJ1376" s="26"/>
      <c r="BK1376" s="15"/>
      <c r="BO1376" s="117"/>
      <c r="BP1376" s="116"/>
      <c r="BQ1376" s="116"/>
      <c r="BR1376" s="116"/>
    </row>
    <row r="1377" spans="1:70" ht="19.5" x14ac:dyDescent="0.4">
      <c r="AN1377" s="115"/>
      <c r="AO1377" s="115"/>
      <c r="AP1377" s="115"/>
      <c r="AQ1377" s="115"/>
      <c r="AR1377" s="115"/>
      <c r="AS1377" s="122"/>
      <c r="AT1377" s="122"/>
      <c r="AU1377" s="122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15"/>
      <c r="BF1377" s="115"/>
      <c r="BG1377" s="115"/>
      <c r="BH1377" s="115"/>
      <c r="BI1377" s="115"/>
      <c r="BJ1377" s="26"/>
      <c r="BK1377" s="105"/>
      <c r="BO1377" s="117"/>
      <c r="BP1377" s="116"/>
      <c r="BQ1377" s="116"/>
      <c r="BR1377" s="116"/>
    </row>
    <row r="1378" spans="1:70" ht="19.5" x14ac:dyDescent="0.4">
      <c r="AN1378" s="115"/>
      <c r="AO1378" s="115"/>
      <c r="AP1378" s="115"/>
      <c r="AQ1378" s="115"/>
      <c r="AR1378" s="115"/>
      <c r="AS1378" s="122"/>
      <c r="AT1378" s="122"/>
      <c r="AU1378" s="122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15"/>
      <c r="BF1378" s="115"/>
      <c r="BG1378" s="115"/>
      <c r="BH1378" s="115"/>
      <c r="BI1378" s="115"/>
      <c r="BJ1378" s="17"/>
      <c r="BK1378" s="15"/>
      <c r="BO1378" s="117"/>
      <c r="BP1378" s="116"/>
      <c r="BQ1378" s="116"/>
      <c r="BR1378" s="116"/>
    </row>
    <row r="1379" spans="1:70" ht="19.5" x14ac:dyDescent="0.4">
      <c r="AN1379" s="115"/>
      <c r="AO1379" s="115"/>
      <c r="AP1379" s="115"/>
      <c r="AQ1379" s="115"/>
      <c r="AR1379" s="115"/>
      <c r="AS1379" s="122"/>
      <c r="AT1379" s="122"/>
      <c r="AU1379" s="122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15"/>
      <c r="BF1379" s="115"/>
      <c r="BG1379" s="115"/>
      <c r="BH1379" s="115"/>
      <c r="BI1379" s="115"/>
      <c r="BJ1379" s="26"/>
      <c r="BK1379" s="15"/>
      <c r="BO1379" s="117"/>
      <c r="BP1379" s="116"/>
      <c r="BQ1379" s="116"/>
      <c r="BR1379" s="116"/>
    </row>
    <row r="1380" spans="1:70" ht="19.5" x14ac:dyDescent="0.4">
      <c r="AN1380" s="115"/>
      <c r="AO1380" s="115"/>
      <c r="AP1380" s="115"/>
      <c r="AQ1380" s="115"/>
      <c r="AR1380" s="115"/>
      <c r="AS1380" s="122"/>
      <c r="AT1380" s="122"/>
      <c r="AU1380" s="122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15"/>
      <c r="BF1380" s="115"/>
      <c r="BG1380" s="115"/>
      <c r="BH1380" s="115"/>
      <c r="BI1380" s="115"/>
      <c r="BJ1380" s="17"/>
      <c r="BK1380" s="15"/>
      <c r="BO1380" s="117"/>
      <c r="BP1380" s="116"/>
      <c r="BQ1380" s="116"/>
      <c r="BR1380" s="116"/>
    </row>
    <row r="1381" spans="1:70" ht="19.5" x14ac:dyDescent="0.4"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22"/>
      <c r="AT1381" s="122"/>
      <c r="AU1381" s="122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15"/>
      <c r="BF1381" s="115"/>
      <c r="BG1381" s="115"/>
      <c r="BH1381" s="115"/>
      <c r="BI1381" s="115"/>
      <c r="BJ1381" s="26"/>
      <c r="BK1381" s="15"/>
      <c r="BO1381" s="117"/>
      <c r="BP1381" s="116"/>
      <c r="BQ1381" s="116"/>
      <c r="BR1381" s="116"/>
    </row>
    <row r="1382" spans="1:70" ht="19.5" x14ac:dyDescent="0.4"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22"/>
      <c r="AT1382" s="122"/>
      <c r="AU1382" s="122"/>
      <c r="AV1382" s="115"/>
      <c r="AW1382" s="115"/>
      <c r="AX1382" s="115"/>
      <c r="AY1382" s="115"/>
      <c r="AZ1382" s="115"/>
      <c r="BA1382" s="115"/>
      <c r="BB1382" s="115"/>
      <c r="BC1382" s="115"/>
      <c r="BD1382" s="115"/>
      <c r="BE1382" s="115"/>
      <c r="BF1382" s="115"/>
      <c r="BG1382" s="115"/>
      <c r="BH1382" s="115"/>
      <c r="BI1382" s="115"/>
      <c r="BJ1382" s="17"/>
      <c r="BK1382" s="15"/>
      <c r="BO1382" s="117"/>
      <c r="BP1382" s="116"/>
      <c r="BQ1382" s="116"/>
      <c r="BR1382" s="116"/>
    </row>
    <row r="1383" spans="1:70" ht="19.5" x14ac:dyDescent="0.4"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22"/>
      <c r="AT1383" s="122"/>
      <c r="AU1383" s="122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15"/>
      <c r="BF1383" s="115"/>
      <c r="BG1383" s="115"/>
      <c r="BH1383" s="115"/>
      <c r="BI1383" s="115"/>
      <c r="BJ1383" s="26"/>
      <c r="BK1383" s="15"/>
      <c r="BO1383" s="117"/>
      <c r="BP1383" s="116"/>
      <c r="BQ1383" s="116"/>
      <c r="BR1383" s="116"/>
    </row>
    <row r="1384" spans="1:70" ht="19.5" x14ac:dyDescent="0.4"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22"/>
      <c r="AT1384" s="122"/>
      <c r="AU1384" s="122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115"/>
      <c r="BF1384" s="115"/>
      <c r="BG1384" s="115"/>
      <c r="BH1384" s="115"/>
      <c r="BI1384" s="115"/>
      <c r="BJ1384" s="17"/>
      <c r="BK1384" s="15"/>
      <c r="BO1384" s="117"/>
      <c r="BP1384" s="116"/>
      <c r="BQ1384" s="116"/>
      <c r="BR1384" s="116"/>
    </row>
    <row r="1385" spans="1:70" ht="19.5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22"/>
      <c r="AT1385" s="122"/>
      <c r="AU1385" s="122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15"/>
      <c r="BF1385" s="115"/>
      <c r="BG1385" s="115"/>
      <c r="BH1385" s="115"/>
      <c r="BI1385" s="115"/>
      <c r="BJ1385" s="26"/>
      <c r="BK1385" s="15"/>
      <c r="BO1385" s="117"/>
      <c r="BP1385" s="116"/>
      <c r="BQ1385" s="116"/>
      <c r="BR1385" s="116"/>
    </row>
    <row r="1386" spans="1:70" ht="19.5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22"/>
      <c r="AT1386" s="122"/>
      <c r="AU1386" s="122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15"/>
      <c r="BF1386" s="115"/>
      <c r="BG1386" s="115"/>
      <c r="BH1386" s="115"/>
      <c r="BI1386" s="115"/>
      <c r="BJ1386" s="26"/>
      <c r="BK1386" s="15"/>
      <c r="BO1386" s="117"/>
      <c r="BP1386" s="116"/>
      <c r="BQ1386" s="116"/>
      <c r="BR1386" s="116"/>
    </row>
    <row r="1387" spans="1:70" ht="19.5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22"/>
      <c r="AT1387" s="122"/>
      <c r="AU1387" s="122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15"/>
      <c r="BF1387" s="115"/>
      <c r="BG1387" s="115"/>
      <c r="BH1387" s="115"/>
      <c r="BI1387" s="115"/>
      <c r="BJ1387" s="26"/>
      <c r="BK1387" s="15"/>
      <c r="BO1387" s="117"/>
      <c r="BP1387" s="116"/>
      <c r="BQ1387" s="116"/>
      <c r="BR1387" s="116"/>
    </row>
    <row r="1388" spans="1:70" ht="19.5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22"/>
      <c r="AT1388" s="122"/>
      <c r="AU1388" s="122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15"/>
      <c r="BF1388" s="115"/>
      <c r="BG1388" s="115"/>
      <c r="BH1388" s="115"/>
      <c r="BI1388" s="115"/>
      <c r="BJ1388" s="26"/>
      <c r="BK1388" s="15"/>
      <c r="BO1388" s="117"/>
      <c r="BP1388" s="116"/>
      <c r="BQ1388" s="116"/>
      <c r="BR1388" s="116"/>
    </row>
    <row r="1389" spans="1:70" ht="19.5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22"/>
      <c r="AT1389" s="122"/>
      <c r="AU1389" s="122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15"/>
      <c r="BF1389" s="115"/>
      <c r="BG1389" s="115"/>
      <c r="BH1389" s="115"/>
      <c r="BI1389" s="115"/>
      <c r="BJ1389" s="26"/>
      <c r="BK1389" s="15"/>
      <c r="BO1389" s="117"/>
      <c r="BP1389" s="116"/>
      <c r="BQ1389" s="116"/>
      <c r="BR1389" s="116"/>
    </row>
    <row r="1390" spans="1:70" ht="19.5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22"/>
      <c r="AT1390" s="122"/>
      <c r="AU1390" s="122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15"/>
      <c r="BF1390" s="115"/>
      <c r="BG1390" s="115"/>
      <c r="BH1390" s="115"/>
      <c r="BI1390" s="115"/>
      <c r="BJ1390" s="26"/>
      <c r="BK1390" s="15"/>
      <c r="BO1390" s="117"/>
      <c r="BP1390" s="116"/>
      <c r="BQ1390" s="116"/>
      <c r="BR1390" s="116"/>
    </row>
    <row r="1391" spans="1:70" ht="19.5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22"/>
      <c r="AT1391" s="122"/>
      <c r="AU1391" s="122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115"/>
      <c r="BF1391" s="115"/>
      <c r="BG1391" s="115"/>
      <c r="BH1391" s="115"/>
      <c r="BI1391" s="115"/>
      <c r="BJ1391" s="17"/>
      <c r="BK1391" s="15"/>
      <c r="BO1391" s="117"/>
      <c r="BP1391" s="116"/>
      <c r="BQ1391" s="116"/>
      <c r="BR1391" s="116"/>
    </row>
    <row r="1392" spans="1:70" ht="19.5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22"/>
      <c r="AT1392" s="122"/>
      <c r="AU1392" s="122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15"/>
      <c r="BF1392" s="115"/>
      <c r="BG1392" s="115"/>
      <c r="BH1392" s="115"/>
      <c r="BI1392" s="115"/>
      <c r="BJ1392" s="26"/>
      <c r="BK1392" s="15"/>
      <c r="BO1392" s="117"/>
      <c r="BP1392" s="116"/>
      <c r="BQ1392" s="116"/>
      <c r="BR1392" s="116"/>
    </row>
    <row r="1393" spans="1:70" ht="19.5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22"/>
      <c r="AT1393" s="122"/>
      <c r="AU1393" s="122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115"/>
      <c r="BF1393" s="115"/>
      <c r="BG1393" s="115"/>
      <c r="BH1393" s="115"/>
      <c r="BI1393" s="115"/>
      <c r="BJ1393" s="17"/>
      <c r="BK1393" s="15"/>
      <c r="BO1393" s="117"/>
      <c r="BP1393" s="116"/>
      <c r="BQ1393" s="116"/>
      <c r="BR1393" s="116"/>
    </row>
    <row r="1394" spans="1:70" ht="19.5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22"/>
      <c r="AT1394" s="122"/>
      <c r="AU1394" s="122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15"/>
      <c r="BF1394" s="115"/>
      <c r="BG1394" s="115"/>
      <c r="BH1394" s="115"/>
      <c r="BI1394" s="115"/>
      <c r="BJ1394" s="26"/>
      <c r="BK1394" s="15"/>
      <c r="BO1394" s="117"/>
      <c r="BP1394" s="116"/>
      <c r="BQ1394" s="116"/>
      <c r="BR1394" s="116"/>
    </row>
    <row r="1395" spans="1:70" ht="19.5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22"/>
      <c r="AT1395" s="122"/>
      <c r="AU1395" s="122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15"/>
      <c r="BF1395" s="115"/>
      <c r="BG1395" s="115"/>
      <c r="BH1395" s="115"/>
      <c r="BI1395" s="115"/>
      <c r="BJ1395" s="20"/>
      <c r="BK1395" s="15"/>
      <c r="BO1395" s="117"/>
      <c r="BP1395" s="116"/>
      <c r="BQ1395" s="116"/>
      <c r="BR1395" s="116"/>
    </row>
    <row r="1396" spans="1:70" ht="19.5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22"/>
      <c r="AT1396" s="122"/>
      <c r="AU1396" s="122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15"/>
      <c r="BF1396" s="115"/>
      <c r="BG1396" s="115"/>
      <c r="BH1396" s="115"/>
      <c r="BI1396" s="115"/>
      <c r="BJ1396" s="20"/>
      <c r="BK1396" s="15"/>
      <c r="BO1396" s="117"/>
      <c r="BP1396" s="116"/>
      <c r="BQ1396" s="116"/>
      <c r="BR1396" s="116"/>
    </row>
    <row r="1397" spans="1:70" ht="19.5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22"/>
      <c r="AT1397" s="122"/>
      <c r="AU1397" s="122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15"/>
      <c r="BF1397" s="115"/>
      <c r="BG1397" s="115"/>
      <c r="BH1397" s="115"/>
      <c r="BI1397" s="115"/>
      <c r="BJ1397" s="20"/>
      <c r="BK1397" s="15"/>
      <c r="BO1397" s="117"/>
      <c r="BP1397" s="116"/>
      <c r="BQ1397" s="116"/>
      <c r="BR1397" s="116"/>
    </row>
    <row r="1398" spans="1:70" ht="19.5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22"/>
      <c r="AT1398" s="122"/>
      <c r="AU1398" s="122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15"/>
      <c r="BF1398" s="115"/>
      <c r="BG1398" s="115"/>
      <c r="BH1398" s="115"/>
      <c r="BI1398" s="115"/>
      <c r="BJ1398" s="20"/>
      <c r="BK1398" s="15"/>
      <c r="BO1398" s="117"/>
      <c r="BP1398" s="116"/>
      <c r="BQ1398" s="116"/>
      <c r="BR1398" s="116"/>
    </row>
    <row r="1399" spans="1:70" ht="19.5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22"/>
      <c r="AT1399" s="122"/>
      <c r="AU1399" s="122"/>
      <c r="AV1399" s="115"/>
      <c r="AW1399" s="115"/>
      <c r="AX1399" s="115"/>
      <c r="AY1399" s="115"/>
      <c r="AZ1399" s="115"/>
      <c r="BA1399" s="115"/>
      <c r="BB1399" s="115"/>
      <c r="BC1399" s="115"/>
      <c r="BD1399" s="115"/>
      <c r="BE1399" s="115"/>
      <c r="BF1399" s="115"/>
      <c r="BG1399" s="115"/>
      <c r="BH1399" s="115"/>
      <c r="BI1399" s="115"/>
      <c r="BJ1399" s="25"/>
      <c r="BK1399" s="15"/>
      <c r="BO1399" s="117"/>
      <c r="BP1399" s="116"/>
      <c r="BQ1399" s="116"/>
      <c r="BR1399" s="116"/>
    </row>
    <row r="1400" spans="1:70" ht="19.5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22"/>
      <c r="AT1400" s="122"/>
      <c r="AU1400" s="122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15"/>
      <c r="BF1400" s="115"/>
      <c r="BG1400" s="115"/>
      <c r="BH1400" s="115"/>
      <c r="BI1400" s="115"/>
      <c r="BJ1400" s="13"/>
      <c r="BK1400" s="15"/>
      <c r="BO1400" s="117"/>
      <c r="BP1400" s="116"/>
      <c r="BQ1400" s="116"/>
      <c r="BR1400" s="116"/>
    </row>
    <row r="1401" spans="1:70" ht="19.5" x14ac:dyDescent="0.4">
      <c r="BJ1401" s="25"/>
      <c r="BK1401" s="15"/>
      <c r="BO1401" s="117"/>
      <c r="BP1401" s="116"/>
      <c r="BQ1401" s="116"/>
      <c r="BR1401" s="116"/>
    </row>
    <row r="1402" spans="1:70" ht="19.5" x14ac:dyDescent="0.4">
      <c r="AP1402" s="115"/>
      <c r="AQ1402" s="115"/>
      <c r="AR1402" s="115"/>
      <c r="AS1402" s="122"/>
      <c r="AT1402" s="122"/>
      <c r="AU1402" s="122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15"/>
      <c r="BF1402" s="115"/>
      <c r="BG1402" s="115"/>
      <c r="BH1402" s="115"/>
      <c r="BI1402" s="115"/>
      <c r="BJ1402" s="13"/>
      <c r="BK1402" s="15"/>
      <c r="BO1402" s="117"/>
      <c r="BP1402" s="116"/>
      <c r="BQ1402" s="116"/>
      <c r="BR1402" s="116"/>
    </row>
    <row r="1403" spans="1:70" ht="19.5" x14ac:dyDescent="0.4"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22"/>
      <c r="AT1403" s="122"/>
      <c r="AU1403" s="122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115"/>
      <c r="BG1403" s="115"/>
      <c r="BH1403" s="115"/>
      <c r="BI1403" s="115"/>
      <c r="BJ1403" s="25"/>
      <c r="BK1403" s="15"/>
      <c r="BO1403" s="117"/>
      <c r="BP1403" s="116"/>
      <c r="BQ1403" s="116"/>
      <c r="BR1403" s="116"/>
    </row>
    <row r="1404" spans="1:70" ht="19.5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22"/>
      <c r="AT1404" s="122"/>
      <c r="AU1404" s="122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115"/>
      <c r="BG1404" s="115"/>
      <c r="BH1404" s="115"/>
      <c r="BI1404" s="115"/>
      <c r="BJ1404" s="25"/>
      <c r="BK1404" s="15"/>
      <c r="BO1404" s="117"/>
      <c r="BP1404" s="116"/>
      <c r="BQ1404" s="116"/>
      <c r="BR1404" s="116"/>
    </row>
    <row r="1405" spans="1:70" ht="19.5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22"/>
      <c r="AT1405" s="122"/>
      <c r="AU1405" s="122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115"/>
      <c r="BF1405" s="115"/>
      <c r="BG1405" s="115"/>
      <c r="BH1405" s="115"/>
      <c r="BI1405" s="115"/>
      <c r="BJ1405" s="13"/>
      <c r="BK1405" s="15"/>
      <c r="BO1405" s="117"/>
      <c r="BP1405" s="116"/>
      <c r="BQ1405" s="116"/>
      <c r="BR1405" s="116"/>
    </row>
    <row r="1406" spans="1:70" ht="19.5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22"/>
      <c r="AT1406" s="122"/>
      <c r="AU1406" s="122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115"/>
      <c r="BG1406" s="115"/>
      <c r="BH1406" s="115"/>
      <c r="BI1406" s="115"/>
      <c r="BJ1406" s="25"/>
      <c r="BK1406" s="15"/>
      <c r="BO1406" s="117"/>
      <c r="BP1406" s="116"/>
      <c r="BQ1406" s="116"/>
      <c r="BR1406" s="116"/>
    </row>
    <row r="1407" spans="1:70" ht="19.5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22"/>
      <c r="AT1407" s="122"/>
      <c r="AU1407" s="122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115"/>
      <c r="BG1407" s="115"/>
      <c r="BH1407" s="115"/>
      <c r="BI1407" s="115"/>
      <c r="BJ1407" s="13"/>
      <c r="BK1407" s="15"/>
      <c r="BO1407" s="117"/>
      <c r="BP1407" s="116"/>
      <c r="BQ1407" s="116"/>
      <c r="BR1407" s="116"/>
    </row>
    <row r="1408" spans="1:70" ht="19.5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22"/>
      <c r="AT1408" s="122"/>
      <c r="AU1408" s="122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115"/>
      <c r="BG1408" s="115"/>
      <c r="BH1408" s="115"/>
      <c r="BI1408" s="115"/>
      <c r="BJ1408" s="25"/>
      <c r="BK1408" s="15"/>
      <c r="BO1408" s="117"/>
      <c r="BP1408" s="116"/>
      <c r="BQ1408" s="116"/>
      <c r="BR1408" s="116"/>
    </row>
    <row r="1409" spans="1:70" ht="19.5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22"/>
      <c r="AT1409" s="122"/>
      <c r="AU1409" s="122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15"/>
      <c r="BF1409" s="115"/>
      <c r="BG1409" s="115"/>
      <c r="BH1409" s="115"/>
      <c r="BI1409" s="115"/>
      <c r="BJ1409" s="26"/>
      <c r="BK1409" s="15"/>
      <c r="BO1409" s="117"/>
      <c r="BP1409" s="116"/>
      <c r="BQ1409" s="116"/>
      <c r="BR1409" s="116"/>
    </row>
    <row r="1410" spans="1:70" ht="19.5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22"/>
      <c r="AT1410" s="122"/>
      <c r="AU1410" s="122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15"/>
      <c r="BF1410" s="115"/>
      <c r="BG1410" s="115"/>
      <c r="BH1410" s="115"/>
      <c r="BI1410" s="115"/>
      <c r="BJ1410" s="17"/>
      <c r="BK1410" s="13"/>
      <c r="BO1410" s="117"/>
      <c r="BP1410" s="116"/>
      <c r="BQ1410" s="116"/>
      <c r="BR1410" s="116"/>
    </row>
    <row r="1411" spans="1:70" ht="19.5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22"/>
      <c r="AT1411" s="122"/>
      <c r="AU1411" s="122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115"/>
      <c r="BF1411" s="115"/>
      <c r="BG1411" s="115"/>
      <c r="BH1411" s="115"/>
      <c r="BI1411" s="115"/>
      <c r="BJ1411" s="26"/>
      <c r="BK1411" s="13"/>
      <c r="BO1411" s="117"/>
      <c r="BP1411" s="116"/>
      <c r="BQ1411" s="116"/>
      <c r="BR1411" s="116"/>
    </row>
    <row r="1412" spans="1:70" ht="19.5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22"/>
      <c r="AT1412" s="122"/>
      <c r="AU1412" s="122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15"/>
      <c r="BG1412" s="115"/>
      <c r="BH1412" s="115"/>
      <c r="BI1412" s="115"/>
      <c r="BJ1412" s="17"/>
      <c r="BK1412" s="13"/>
      <c r="BO1412" s="117"/>
      <c r="BP1412" s="116"/>
      <c r="BQ1412" s="116"/>
      <c r="BR1412" s="116"/>
    </row>
    <row r="1413" spans="1:70" ht="19.5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22"/>
      <c r="AT1413" s="122"/>
      <c r="AU1413" s="122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115"/>
      <c r="BF1413" s="115"/>
      <c r="BG1413" s="115"/>
      <c r="BH1413" s="115"/>
      <c r="BI1413" s="115"/>
      <c r="BJ1413" s="26"/>
      <c r="BK1413" s="15"/>
      <c r="BO1413" s="117"/>
      <c r="BP1413" s="116"/>
      <c r="BQ1413" s="116"/>
      <c r="BR1413" s="116"/>
    </row>
    <row r="1414" spans="1:70" ht="19.5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22"/>
      <c r="AT1414" s="122"/>
      <c r="AU1414" s="122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115"/>
      <c r="BG1414" s="115"/>
      <c r="BH1414" s="115"/>
      <c r="BI1414" s="115"/>
      <c r="BJ1414" s="17"/>
      <c r="BK1414" s="15"/>
      <c r="BO1414" s="117"/>
      <c r="BP1414" s="116"/>
      <c r="BQ1414" s="116"/>
      <c r="BR1414" s="116"/>
    </row>
    <row r="1415" spans="1:70" ht="19.5" x14ac:dyDescent="0.4">
      <c r="BJ1415" s="26"/>
      <c r="BK1415" s="105"/>
      <c r="BO1415" s="117"/>
      <c r="BP1415" s="116"/>
      <c r="BQ1415" s="116"/>
      <c r="BR1415" s="116"/>
    </row>
    <row r="1416" spans="1:70" ht="19.5" x14ac:dyDescent="0.4">
      <c r="AP1416" s="115"/>
      <c r="AQ1416" s="115"/>
      <c r="AR1416" s="115"/>
      <c r="AS1416" s="122"/>
      <c r="AT1416" s="122"/>
      <c r="AU1416" s="122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15"/>
      <c r="BF1416" s="115"/>
      <c r="BG1416" s="115"/>
      <c r="BH1416" s="115"/>
      <c r="BI1416" s="115"/>
      <c r="BJ1416" s="17"/>
      <c r="BK1416" s="15"/>
      <c r="BO1416" s="117"/>
      <c r="BP1416" s="116"/>
      <c r="BQ1416" s="116"/>
      <c r="BR1416" s="116"/>
    </row>
    <row r="1417" spans="1:70" ht="19.5" x14ac:dyDescent="0.4">
      <c r="AM1417" s="115"/>
      <c r="AN1417" s="115"/>
      <c r="AO1417" s="115"/>
      <c r="AP1417" s="115"/>
      <c r="AQ1417" s="115"/>
      <c r="AR1417" s="115"/>
      <c r="AS1417" s="122"/>
      <c r="AT1417" s="122"/>
      <c r="AU1417" s="122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115"/>
      <c r="BG1417" s="115"/>
      <c r="BH1417" s="115"/>
      <c r="BI1417" s="115"/>
      <c r="BJ1417" s="26"/>
      <c r="BK1417" s="15"/>
      <c r="BO1417" s="117"/>
      <c r="BP1417" s="116"/>
      <c r="BQ1417" s="116"/>
      <c r="BR1417" s="116"/>
    </row>
    <row r="1418" spans="1:70" ht="19.5" x14ac:dyDescent="0.4">
      <c r="AM1418" s="115"/>
      <c r="AN1418" s="115"/>
      <c r="AO1418" s="115"/>
      <c r="AP1418" s="115"/>
      <c r="AQ1418" s="115"/>
      <c r="AR1418" s="115"/>
      <c r="AS1418" s="122"/>
      <c r="AT1418" s="122"/>
      <c r="AU1418" s="122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15"/>
      <c r="BF1418" s="115"/>
      <c r="BG1418" s="115"/>
      <c r="BH1418" s="115"/>
      <c r="BI1418" s="115"/>
      <c r="BJ1418" s="17"/>
      <c r="BK1418" s="15"/>
      <c r="BO1418" s="117"/>
      <c r="BP1418" s="116"/>
      <c r="BQ1418" s="116"/>
      <c r="BR1418" s="116"/>
    </row>
    <row r="1419" spans="1:70" ht="19.5" x14ac:dyDescent="0.4"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22"/>
      <c r="AT1419" s="122"/>
      <c r="AU1419" s="122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115"/>
      <c r="BG1419" s="115"/>
      <c r="BH1419" s="115"/>
      <c r="BI1419" s="115"/>
      <c r="BJ1419" s="26"/>
      <c r="BK1419" s="15"/>
      <c r="BO1419" s="117"/>
      <c r="BP1419" s="116"/>
      <c r="BQ1419" s="116"/>
      <c r="BR1419" s="116"/>
    </row>
    <row r="1420" spans="1:70" ht="19.5" x14ac:dyDescent="0.4"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22"/>
      <c r="AT1420" s="122"/>
      <c r="AU1420" s="122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115"/>
      <c r="BG1420" s="115"/>
      <c r="BH1420" s="115"/>
      <c r="BI1420" s="115"/>
      <c r="BJ1420" s="17"/>
      <c r="BK1420" s="15"/>
      <c r="BO1420" s="117"/>
      <c r="BP1420" s="116"/>
      <c r="BQ1420" s="116"/>
      <c r="BR1420" s="116"/>
    </row>
    <row r="1421" spans="1:70" ht="19.5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22"/>
      <c r="AT1421" s="122"/>
      <c r="AU1421" s="122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15"/>
      <c r="BF1421" s="115"/>
      <c r="BG1421" s="115"/>
      <c r="BH1421" s="115"/>
      <c r="BI1421" s="115"/>
      <c r="BJ1421" s="26"/>
      <c r="BK1421" s="15"/>
      <c r="BO1421" s="117"/>
      <c r="BP1421" s="116"/>
      <c r="BQ1421" s="116"/>
      <c r="BR1421" s="116"/>
    </row>
    <row r="1422" spans="1:70" ht="19.5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22"/>
      <c r="AT1422" s="122"/>
      <c r="AU1422" s="122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15"/>
      <c r="BF1422" s="115"/>
      <c r="BG1422" s="115"/>
      <c r="BH1422" s="115"/>
      <c r="BI1422" s="115"/>
      <c r="BJ1422" s="26"/>
      <c r="BK1422" s="15"/>
      <c r="BO1422" s="117"/>
      <c r="BP1422" s="116"/>
      <c r="BQ1422" s="116"/>
      <c r="BR1422" s="116"/>
    </row>
    <row r="1423" spans="1:70" ht="19.5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22"/>
      <c r="AT1423" s="122"/>
      <c r="AU1423" s="122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15"/>
      <c r="BF1423" s="115"/>
      <c r="BG1423" s="115"/>
      <c r="BH1423" s="115"/>
      <c r="BI1423" s="115"/>
      <c r="BJ1423" s="17"/>
      <c r="BK1423" s="15"/>
      <c r="BO1423" s="117"/>
      <c r="BP1423" s="116"/>
      <c r="BQ1423" s="116"/>
      <c r="BR1423" s="116"/>
    </row>
    <row r="1424" spans="1:70" ht="19.5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22"/>
      <c r="AT1424" s="122"/>
      <c r="AU1424" s="122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15"/>
      <c r="BG1424" s="115"/>
      <c r="BH1424" s="115"/>
      <c r="BI1424" s="115"/>
      <c r="BJ1424" s="26"/>
      <c r="BK1424" s="15"/>
      <c r="BO1424" s="117"/>
      <c r="BP1424" s="116"/>
      <c r="BQ1424" s="116"/>
      <c r="BR1424" s="116"/>
    </row>
    <row r="1425" spans="1:70" ht="19.5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22"/>
      <c r="AT1425" s="122"/>
      <c r="AU1425" s="122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15"/>
      <c r="BG1425" s="115"/>
      <c r="BH1425" s="115"/>
      <c r="BI1425" s="115"/>
      <c r="BJ1425" s="17"/>
      <c r="BK1425" s="15"/>
      <c r="BO1425" s="117"/>
      <c r="BP1425" s="116"/>
      <c r="BQ1425" s="116"/>
      <c r="BR1425" s="116"/>
    </row>
    <row r="1426" spans="1:70" ht="19.5" x14ac:dyDescent="0.4">
      <c r="BJ1426" s="26"/>
      <c r="BK1426" s="15"/>
      <c r="BO1426" s="117"/>
      <c r="BP1426" s="116"/>
      <c r="BQ1426" s="116"/>
      <c r="BR1426" s="116"/>
    </row>
    <row r="1427" spans="1:70" ht="19.5" x14ac:dyDescent="0.4">
      <c r="AP1427" s="115"/>
      <c r="AQ1427" s="115"/>
      <c r="AR1427" s="115"/>
      <c r="AS1427" s="122"/>
      <c r="AT1427" s="122"/>
      <c r="AU1427" s="122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15"/>
      <c r="BG1427" s="115"/>
      <c r="BH1427" s="115"/>
      <c r="BI1427" s="115"/>
      <c r="BJ1427" s="17"/>
      <c r="BK1427" s="15"/>
      <c r="BO1427" s="117"/>
      <c r="BP1427" s="116"/>
      <c r="BQ1427" s="116"/>
      <c r="BR1427" s="116"/>
    </row>
    <row r="1428" spans="1:70" ht="19.5" x14ac:dyDescent="0.4">
      <c r="BJ1428" s="26"/>
      <c r="BK1428" s="15"/>
      <c r="BO1428" s="117"/>
      <c r="BP1428" s="116"/>
      <c r="BQ1428" s="116"/>
      <c r="BR1428" s="116"/>
    </row>
    <row r="1429" spans="1:70" ht="19.5" x14ac:dyDescent="0.4">
      <c r="AP1429" s="115"/>
      <c r="AQ1429" s="115"/>
      <c r="AR1429" s="115"/>
      <c r="AS1429" s="122"/>
      <c r="AT1429" s="122"/>
      <c r="AU1429" s="122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15"/>
      <c r="BG1429" s="115"/>
      <c r="BH1429" s="115"/>
      <c r="BI1429" s="115"/>
      <c r="BJ1429" s="17"/>
      <c r="BK1429" s="15"/>
      <c r="BO1429" s="117"/>
      <c r="BP1429" s="116"/>
      <c r="BQ1429" s="116"/>
      <c r="BR1429" s="116"/>
    </row>
    <row r="1430" spans="1:70" ht="19.5" x14ac:dyDescent="0.4">
      <c r="BJ1430" s="26"/>
      <c r="BK1430" s="15"/>
      <c r="BO1430" s="117"/>
      <c r="BP1430" s="116"/>
      <c r="BQ1430" s="116"/>
      <c r="BR1430" s="116"/>
    </row>
    <row r="1431" spans="1:70" ht="19.5" x14ac:dyDescent="0.4">
      <c r="AP1431" s="115"/>
      <c r="AQ1431" s="115"/>
      <c r="AR1431" s="115"/>
      <c r="AS1431" s="122"/>
      <c r="AT1431" s="122"/>
      <c r="AU1431" s="122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15"/>
      <c r="BG1431" s="115"/>
      <c r="BH1431" s="115"/>
      <c r="BI1431" s="115"/>
      <c r="BJ1431" s="17"/>
      <c r="BK1431" s="15"/>
      <c r="BO1431" s="117"/>
      <c r="BP1431" s="116"/>
      <c r="BQ1431" s="116"/>
      <c r="BR1431" s="116"/>
    </row>
    <row r="1432" spans="1:70" ht="19.5" x14ac:dyDescent="0.4"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22"/>
      <c r="AT1432" s="122"/>
      <c r="AU1432" s="122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115"/>
      <c r="BG1432" s="115"/>
      <c r="BH1432" s="115"/>
      <c r="BI1432" s="115"/>
      <c r="BJ1432" s="26"/>
      <c r="BK1432" s="15"/>
      <c r="BO1432" s="117"/>
      <c r="BP1432" s="116"/>
      <c r="BQ1432" s="116"/>
      <c r="BR1432" s="116"/>
    </row>
    <row r="1433" spans="1:70" ht="19.5" x14ac:dyDescent="0.4"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22"/>
      <c r="AT1433" s="122"/>
      <c r="AU1433" s="122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15"/>
      <c r="BG1433" s="115"/>
      <c r="BH1433" s="115"/>
      <c r="BI1433" s="115"/>
      <c r="BJ1433" s="17"/>
      <c r="BK1433" s="15"/>
      <c r="BO1433" s="117"/>
      <c r="BP1433" s="116"/>
      <c r="BQ1433" s="116"/>
      <c r="BR1433" s="116"/>
    </row>
    <row r="1434" spans="1:70" ht="19.5" x14ac:dyDescent="0.4"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22"/>
      <c r="AT1434" s="122"/>
      <c r="AU1434" s="122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15"/>
      <c r="BG1434" s="115"/>
      <c r="BH1434" s="115"/>
      <c r="BI1434" s="115"/>
      <c r="BJ1434" s="26"/>
      <c r="BK1434" s="15"/>
      <c r="BO1434" s="117"/>
      <c r="BP1434" s="116"/>
      <c r="BQ1434" s="116"/>
      <c r="BR1434" s="116"/>
    </row>
    <row r="1435" spans="1:70" ht="19.5" x14ac:dyDescent="0.4">
      <c r="BJ1435" s="26"/>
      <c r="BK1435" s="15"/>
      <c r="BO1435" s="117"/>
      <c r="BP1435" s="116"/>
      <c r="BQ1435" s="116"/>
      <c r="BR1435" s="116"/>
    </row>
    <row r="1436" spans="1:70" ht="19.5" x14ac:dyDescent="0.4">
      <c r="AP1436" s="115"/>
      <c r="AQ1436" s="115"/>
      <c r="AR1436" s="115"/>
      <c r="AS1436" s="122"/>
      <c r="AT1436" s="122"/>
      <c r="AU1436" s="122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15"/>
      <c r="BG1436" s="115"/>
      <c r="BH1436" s="115"/>
      <c r="BI1436" s="115"/>
      <c r="BJ1436" s="17"/>
      <c r="BK1436" s="15"/>
      <c r="BO1436" s="117"/>
      <c r="BP1436" s="116"/>
      <c r="BQ1436" s="116"/>
      <c r="BR1436" s="116"/>
    </row>
    <row r="1437" spans="1:70" ht="19.5" x14ac:dyDescent="0.4">
      <c r="AN1437" s="115"/>
      <c r="AO1437" s="115"/>
      <c r="AP1437" s="115"/>
      <c r="AQ1437" s="115"/>
      <c r="AR1437" s="115"/>
      <c r="AS1437" s="122"/>
      <c r="AT1437" s="122"/>
      <c r="AU1437" s="122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15"/>
      <c r="BG1437" s="115"/>
      <c r="BH1437" s="115"/>
      <c r="BI1437" s="115"/>
      <c r="BJ1437" s="26"/>
      <c r="BK1437" s="15"/>
      <c r="BO1437" s="117"/>
      <c r="BP1437" s="116"/>
      <c r="BQ1437" s="116"/>
      <c r="BR1437" s="116"/>
    </row>
    <row r="1438" spans="1:70" ht="19.5" x14ac:dyDescent="0.4">
      <c r="AN1438" s="115"/>
      <c r="AO1438" s="115"/>
      <c r="AP1438" s="115"/>
      <c r="AQ1438" s="115"/>
      <c r="AR1438" s="115"/>
      <c r="AS1438" s="122"/>
      <c r="AT1438" s="122"/>
      <c r="AU1438" s="122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115"/>
      <c r="BG1438" s="115"/>
      <c r="BH1438" s="115"/>
      <c r="BI1438" s="115"/>
      <c r="BJ1438" s="17"/>
      <c r="BK1438" s="13"/>
      <c r="BO1438" s="117"/>
      <c r="BP1438" s="116"/>
      <c r="BQ1438" s="116"/>
      <c r="BR1438" s="116"/>
    </row>
    <row r="1439" spans="1:70" ht="19.5" x14ac:dyDescent="0.4">
      <c r="AM1439" s="115"/>
      <c r="AN1439" s="115"/>
      <c r="AO1439" s="115"/>
      <c r="AP1439" s="115"/>
      <c r="AQ1439" s="115"/>
      <c r="AR1439" s="115"/>
      <c r="AS1439" s="122"/>
      <c r="AT1439" s="122"/>
      <c r="AU1439" s="122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15"/>
      <c r="BG1439" s="115"/>
      <c r="BH1439" s="115"/>
      <c r="BI1439" s="115"/>
      <c r="BJ1439" s="26"/>
      <c r="BK1439" s="13"/>
      <c r="BO1439" s="117"/>
      <c r="BP1439" s="116"/>
      <c r="BQ1439" s="116"/>
      <c r="BR1439" s="116"/>
    </row>
    <row r="1440" spans="1:70" ht="19.5" x14ac:dyDescent="0.4">
      <c r="AM1440" s="115"/>
      <c r="AN1440" s="115"/>
      <c r="AO1440" s="115"/>
      <c r="AP1440" s="115"/>
      <c r="AQ1440" s="115"/>
      <c r="AR1440" s="115"/>
      <c r="AS1440" s="122"/>
      <c r="AT1440" s="122"/>
      <c r="AU1440" s="122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115"/>
      <c r="BG1440" s="115"/>
      <c r="BH1440" s="115"/>
      <c r="BI1440" s="115"/>
      <c r="BJ1440" s="17"/>
      <c r="BK1440" s="13"/>
      <c r="BO1440" s="117"/>
      <c r="BP1440" s="116"/>
      <c r="BQ1440" s="116"/>
      <c r="BR1440" s="116"/>
    </row>
    <row r="1441" spans="1:70" ht="19.5" x14ac:dyDescent="0.4"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22"/>
      <c r="AT1441" s="122"/>
      <c r="AU1441" s="122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15"/>
      <c r="BF1441" s="115"/>
      <c r="BG1441" s="115"/>
      <c r="BH1441" s="115"/>
      <c r="BI1441" s="115"/>
      <c r="BJ1441" s="26"/>
      <c r="BK1441" s="15"/>
      <c r="BO1441" s="117"/>
      <c r="BP1441" s="116"/>
      <c r="BQ1441" s="116"/>
      <c r="BR1441" s="116"/>
    </row>
    <row r="1442" spans="1:70" ht="19.5" x14ac:dyDescent="0.4"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22"/>
      <c r="AT1442" s="122"/>
      <c r="AU1442" s="122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115"/>
      <c r="BG1442" s="115"/>
      <c r="BH1442" s="115"/>
      <c r="BI1442" s="115"/>
      <c r="BJ1442" s="17"/>
      <c r="BK1442" s="15"/>
      <c r="BO1442" s="117"/>
      <c r="BP1442" s="116"/>
      <c r="BQ1442" s="116"/>
      <c r="BR1442" s="116"/>
    </row>
    <row r="1443" spans="1:70" ht="19.5" x14ac:dyDescent="0.4"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22"/>
      <c r="AT1443" s="122"/>
      <c r="AU1443" s="122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115"/>
      <c r="BF1443" s="115"/>
      <c r="BG1443" s="115"/>
      <c r="BH1443" s="115"/>
      <c r="BI1443" s="115"/>
      <c r="BJ1443" s="26"/>
      <c r="BK1443" s="105"/>
      <c r="BO1443" s="117"/>
      <c r="BP1443" s="116"/>
      <c r="BQ1443" s="116"/>
      <c r="BR1443" s="116"/>
    </row>
    <row r="1444" spans="1:70" ht="19.5" x14ac:dyDescent="0.4"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22"/>
      <c r="AT1444" s="122"/>
      <c r="AU1444" s="122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15"/>
      <c r="BG1444" s="115"/>
      <c r="BH1444" s="115"/>
      <c r="BI1444" s="115"/>
      <c r="BJ1444" s="17"/>
      <c r="BK1444" s="15"/>
      <c r="BO1444" s="117"/>
      <c r="BP1444" s="116"/>
      <c r="BQ1444" s="116"/>
      <c r="BR1444" s="116"/>
    </row>
    <row r="1445" spans="1:70" ht="19.5" x14ac:dyDescent="0.4"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22"/>
      <c r="AT1445" s="122"/>
      <c r="AU1445" s="122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115"/>
      <c r="BG1445" s="115"/>
      <c r="BH1445" s="115"/>
      <c r="BI1445" s="115"/>
      <c r="BJ1445" s="26"/>
      <c r="BK1445" s="15"/>
      <c r="BO1445" s="117"/>
      <c r="BP1445" s="116"/>
      <c r="BQ1445" s="116"/>
      <c r="BR1445" s="116"/>
    </row>
    <row r="1446" spans="1:70" ht="19.5" x14ac:dyDescent="0.4"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22"/>
      <c r="AT1446" s="122"/>
      <c r="AU1446" s="122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15"/>
      <c r="BG1446" s="115"/>
      <c r="BH1446" s="115"/>
      <c r="BI1446" s="115"/>
      <c r="BJ1446" s="26"/>
      <c r="BK1446" s="15"/>
      <c r="BO1446" s="117"/>
      <c r="BP1446" s="116"/>
      <c r="BQ1446" s="116"/>
      <c r="BR1446" s="116"/>
    </row>
    <row r="1447" spans="1:70" ht="19.5" x14ac:dyDescent="0.4">
      <c r="BJ1447" s="26"/>
      <c r="BK1447" s="15"/>
      <c r="BO1447" s="117"/>
      <c r="BP1447" s="116"/>
      <c r="BQ1447" s="116"/>
      <c r="BR1447" s="116"/>
    </row>
    <row r="1448" spans="1:70" ht="19.5" x14ac:dyDescent="0.4">
      <c r="AO1448" s="115"/>
      <c r="AP1448" s="115"/>
      <c r="AQ1448" s="115"/>
      <c r="AR1448" s="115"/>
      <c r="AS1448" s="122"/>
      <c r="AT1448" s="122"/>
      <c r="AU1448" s="122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15"/>
      <c r="BF1448" s="115"/>
      <c r="BG1448" s="115"/>
      <c r="BH1448" s="115"/>
      <c r="BI1448" s="115"/>
      <c r="BJ1448" s="26"/>
      <c r="BK1448" s="15"/>
      <c r="BO1448" s="117"/>
      <c r="BP1448" s="116"/>
      <c r="BQ1448" s="116"/>
      <c r="BR1448" s="116"/>
    </row>
    <row r="1449" spans="1:70" ht="19.5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22"/>
      <c r="AT1449" s="122"/>
      <c r="AU1449" s="122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15"/>
      <c r="BG1449" s="115"/>
      <c r="BH1449" s="115"/>
      <c r="BI1449" s="115"/>
      <c r="BJ1449" s="26"/>
      <c r="BK1449" s="15"/>
      <c r="BO1449" s="117"/>
      <c r="BP1449" s="116"/>
      <c r="BQ1449" s="116"/>
      <c r="BR1449" s="116"/>
    </row>
    <row r="1450" spans="1:70" ht="19.5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22"/>
      <c r="AT1450" s="122"/>
      <c r="AU1450" s="122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15"/>
      <c r="BG1450" s="115"/>
      <c r="BH1450" s="115"/>
      <c r="BI1450" s="115"/>
      <c r="BJ1450" s="26"/>
      <c r="BK1450" s="15"/>
      <c r="BO1450" s="117"/>
      <c r="BP1450" s="116"/>
      <c r="BQ1450" s="116"/>
      <c r="BR1450" s="116"/>
    </row>
    <row r="1451" spans="1:70" ht="19.5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22"/>
      <c r="AT1451" s="122"/>
      <c r="AU1451" s="122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15"/>
      <c r="BG1451" s="115"/>
      <c r="BH1451" s="115"/>
      <c r="BI1451" s="115"/>
      <c r="BJ1451" s="17"/>
      <c r="BK1451" s="15"/>
      <c r="BO1451" s="117"/>
      <c r="BP1451" s="116"/>
      <c r="BQ1451" s="116"/>
      <c r="BR1451" s="116"/>
    </row>
    <row r="1452" spans="1:70" ht="19.5" x14ac:dyDescent="0.4">
      <c r="BJ1452" s="26"/>
      <c r="BK1452" s="15"/>
      <c r="BO1452" s="117"/>
      <c r="BP1452" s="116"/>
      <c r="BQ1452" s="116"/>
      <c r="BR1452" s="116"/>
    </row>
    <row r="1453" spans="1:70" ht="19.5" x14ac:dyDescent="0.4">
      <c r="AP1453" s="115"/>
      <c r="AQ1453" s="115"/>
      <c r="AR1453" s="115"/>
      <c r="AS1453" s="122"/>
      <c r="AT1453" s="122"/>
      <c r="AU1453" s="122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15"/>
      <c r="BG1453" s="115"/>
      <c r="BH1453" s="115"/>
      <c r="BI1453" s="115"/>
      <c r="BJ1453" s="17"/>
      <c r="BK1453" s="15"/>
      <c r="BO1453" s="117"/>
      <c r="BP1453" s="116"/>
      <c r="BQ1453" s="116"/>
      <c r="BR1453" s="116"/>
    </row>
    <row r="1454" spans="1:70" ht="19.5" x14ac:dyDescent="0.4">
      <c r="AO1454" s="115"/>
      <c r="AP1454" s="115"/>
      <c r="AQ1454" s="115"/>
      <c r="AR1454" s="115"/>
      <c r="AS1454" s="122"/>
      <c r="AT1454" s="122"/>
      <c r="AU1454" s="122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15"/>
      <c r="BG1454" s="115"/>
      <c r="BH1454" s="115"/>
      <c r="BI1454" s="115"/>
      <c r="BJ1454" s="26"/>
      <c r="BK1454" s="15"/>
      <c r="BO1454" s="117"/>
      <c r="BP1454" s="116"/>
      <c r="BQ1454" s="116"/>
      <c r="BR1454" s="116"/>
    </row>
    <row r="1455" spans="1:70" ht="19.5" x14ac:dyDescent="0.4"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22"/>
      <c r="AT1455" s="122"/>
      <c r="AU1455" s="122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15"/>
      <c r="BG1455" s="115"/>
      <c r="BH1455" s="115"/>
      <c r="BI1455" s="115"/>
      <c r="BJ1455" s="26"/>
      <c r="BK1455" s="15"/>
      <c r="BO1455" s="117"/>
      <c r="BP1455" s="116"/>
      <c r="BQ1455" s="116"/>
      <c r="BR1455" s="116"/>
    </row>
    <row r="1456" spans="1:70" ht="19.5" x14ac:dyDescent="0.4"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22"/>
      <c r="AT1456" s="122"/>
      <c r="AU1456" s="122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15"/>
      <c r="BG1456" s="115"/>
      <c r="BH1456" s="115"/>
      <c r="BI1456" s="115"/>
      <c r="BJ1456" s="26"/>
      <c r="BK1456" s="15"/>
      <c r="BO1456" s="117"/>
      <c r="BP1456" s="116"/>
      <c r="BQ1456" s="116"/>
      <c r="BR1456" s="116"/>
    </row>
    <row r="1457" spans="1:70" ht="19.5" x14ac:dyDescent="0.4"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22"/>
      <c r="AT1457" s="122"/>
      <c r="AU1457" s="122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115"/>
      <c r="BG1457" s="115"/>
      <c r="BH1457" s="115"/>
      <c r="BI1457" s="115"/>
      <c r="BJ1457" s="26"/>
      <c r="BK1457" s="15"/>
      <c r="BO1457" s="117"/>
      <c r="BP1457" s="116"/>
      <c r="BQ1457" s="116"/>
      <c r="BR1457" s="116"/>
    </row>
    <row r="1458" spans="1:70" ht="19.5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22"/>
      <c r="AT1458" s="122"/>
      <c r="AU1458" s="122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15"/>
      <c r="BG1458" s="115"/>
      <c r="BH1458" s="115"/>
      <c r="BI1458" s="115"/>
      <c r="BJ1458" s="26"/>
      <c r="BK1458" s="15"/>
      <c r="BO1458" s="117"/>
      <c r="BP1458" s="116"/>
      <c r="BQ1458" s="116"/>
      <c r="BR1458" s="116"/>
    </row>
    <row r="1459" spans="1:70" ht="19.5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22"/>
      <c r="AT1459" s="122"/>
      <c r="AU1459" s="122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15"/>
      <c r="BG1459" s="115"/>
      <c r="BH1459" s="115"/>
      <c r="BI1459" s="115"/>
      <c r="BJ1459" s="26"/>
      <c r="BK1459" s="15"/>
      <c r="BO1459" s="117"/>
      <c r="BP1459" s="116"/>
      <c r="BQ1459" s="116"/>
      <c r="BR1459" s="116"/>
    </row>
    <row r="1460" spans="1:70" ht="19.5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22"/>
      <c r="AT1460" s="122"/>
      <c r="AU1460" s="122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15"/>
      <c r="BG1460" s="115"/>
      <c r="BH1460" s="115"/>
      <c r="BI1460" s="115"/>
      <c r="BJ1460" s="17"/>
      <c r="BK1460" s="15"/>
      <c r="BO1460" s="117"/>
      <c r="BP1460" s="116"/>
      <c r="BQ1460" s="116"/>
      <c r="BR1460" s="116"/>
    </row>
    <row r="1461" spans="1:70" ht="19.5" x14ac:dyDescent="0.4">
      <c r="BJ1461" s="26"/>
      <c r="BK1461" s="15"/>
      <c r="BO1461" s="117"/>
      <c r="BP1461" s="116"/>
      <c r="BQ1461" s="116"/>
      <c r="BR1461" s="116"/>
    </row>
    <row r="1462" spans="1:70" ht="19.5" x14ac:dyDescent="0.4">
      <c r="AP1462" s="115"/>
      <c r="AQ1462" s="115"/>
      <c r="AR1462" s="115"/>
      <c r="AS1462" s="122"/>
      <c r="AT1462" s="122"/>
      <c r="AU1462" s="122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15"/>
      <c r="BG1462" s="115"/>
      <c r="BH1462" s="115"/>
      <c r="BI1462" s="115"/>
      <c r="BJ1462" s="17"/>
      <c r="BK1462" s="13"/>
      <c r="BO1462" s="117"/>
      <c r="BP1462" s="116"/>
      <c r="BQ1462" s="116"/>
      <c r="BR1462" s="116"/>
    </row>
    <row r="1463" spans="1:70" ht="19.5" x14ac:dyDescent="0.4">
      <c r="AP1463" s="115"/>
      <c r="AQ1463" s="115"/>
      <c r="AR1463" s="115"/>
      <c r="AS1463" s="122"/>
      <c r="AT1463" s="122"/>
      <c r="AU1463" s="122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15"/>
      <c r="BG1463" s="115"/>
      <c r="BH1463" s="115"/>
      <c r="BI1463" s="115"/>
      <c r="BJ1463" s="17"/>
      <c r="BK1463" s="13"/>
      <c r="BO1463" s="117"/>
      <c r="BP1463" s="116"/>
      <c r="BQ1463" s="116"/>
      <c r="BR1463" s="116"/>
    </row>
    <row r="1464" spans="1:70" ht="19.5" x14ac:dyDescent="0.4">
      <c r="BJ1464" s="26"/>
      <c r="BK1464" s="13"/>
      <c r="BO1464" s="117"/>
      <c r="BP1464" s="116"/>
      <c r="BQ1464" s="116"/>
      <c r="BR1464" s="116"/>
    </row>
    <row r="1465" spans="1:70" ht="19.5" x14ac:dyDescent="0.4">
      <c r="BJ1465" s="26"/>
      <c r="BK1465" s="13"/>
      <c r="BO1465" s="116"/>
      <c r="BP1465" s="116"/>
      <c r="BQ1465" s="116"/>
      <c r="BR1465" s="116"/>
    </row>
    <row r="1466" spans="1:70" ht="19.5" x14ac:dyDescent="0.4"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22"/>
      <c r="AT1466" s="122"/>
      <c r="AU1466" s="122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15"/>
      <c r="BF1466" s="115"/>
      <c r="BG1466" s="115"/>
      <c r="BH1466" s="115"/>
      <c r="BI1466" s="115"/>
      <c r="BJ1466" s="26"/>
      <c r="BK1466" s="13"/>
      <c r="BO1466" s="118"/>
      <c r="BP1466" s="118"/>
      <c r="BQ1466" s="118"/>
      <c r="BR1466" s="118"/>
    </row>
    <row r="1467" spans="1:70" ht="19.5" x14ac:dyDescent="0.4"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22"/>
      <c r="AT1467" s="122"/>
      <c r="AU1467" s="122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15"/>
      <c r="BG1467" s="115"/>
      <c r="BH1467" s="115"/>
      <c r="BI1467" s="115"/>
      <c r="BJ1467" s="26"/>
      <c r="BK1467" s="13"/>
      <c r="BO1467" s="118"/>
      <c r="BP1467" s="118"/>
      <c r="BQ1467" s="118"/>
      <c r="BR1467" s="118"/>
    </row>
    <row r="1468" spans="1:70" ht="19.5" x14ac:dyDescent="0.4"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22"/>
      <c r="AT1468" s="122"/>
      <c r="AU1468" s="122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115"/>
      <c r="BG1468" s="115"/>
      <c r="BH1468" s="115"/>
      <c r="BI1468" s="115"/>
      <c r="BJ1468" s="26"/>
      <c r="BK1468" s="13"/>
      <c r="BO1468" s="118"/>
      <c r="BP1468" s="118"/>
      <c r="BQ1468" s="118"/>
      <c r="BR1468" s="118"/>
    </row>
    <row r="1469" spans="1:70" ht="19.5" x14ac:dyDescent="0.4"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22"/>
      <c r="AT1469" s="122"/>
      <c r="AU1469" s="122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15"/>
      <c r="BG1469" s="115"/>
      <c r="BH1469" s="115"/>
      <c r="BI1469" s="115"/>
      <c r="BJ1469" s="26"/>
      <c r="BK1469" s="15"/>
      <c r="BO1469" s="118"/>
      <c r="BP1469" s="118"/>
      <c r="BQ1469" s="118"/>
      <c r="BR1469" s="118"/>
    </row>
    <row r="1470" spans="1:70" ht="19.5" x14ac:dyDescent="0.4"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22"/>
      <c r="AT1470" s="122"/>
      <c r="AU1470" s="122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15"/>
      <c r="BF1470" s="115"/>
      <c r="BG1470" s="115"/>
      <c r="BH1470" s="115"/>
      <c r="BI1470" s="115"/>
      <c r="BJ1470" s="26"/>
      <c r="BK1470" s="15"/>
      <c r="BO1470" s="118"/>
      <c r="BP1470" s="118"/>
      <c r="BQ1470" s="118"/>
      <c r="BR1470" s="118"/>
    </row>
    <row r="1471" spans="1:70" ht="19.5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22"/>
      <c r="AT1471" s="122"/>
      <c r="AU1471" s="122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15"/>
      <c r="BG1471" s="115"/>
      <c r="BH1471" s="115"/>
      <c r="BI1471" s="115"/>
      <c r="BJ1471" s="26"/>
      <c r="BK1471" s="15"/>
      <c r="BO1471" s="118"/>
      <c r="BP1471" s="118"/>
      <c r="BQ1471" s="118"/>
      <c r="BR1471" s="118"/>
    </row>
    <row r="1472" spans="1:70" ht="19.5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22"/>
      <c r="AT1472" s="122"/>
      <c r="AU1472" s="122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15"/>
      <c r="BG1472" s="115"/>
      <c r="BH1472" s="115"/>
      <c r="BI1472" s="115"/>
      <c r="BJ1472" s="26"/>
      <c r="BK1472" s="15"/>
      <c r="BO1472" s="118"/>
      <c r="BP1472" s="118"/>
      <c r="BQ1472" s="118"/>
      <c r="BR1472" s="118"/>
    </row>
    <row r="1473" spans="1:70" ht="20.25" customHeight="1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22"/>
      <c r="AT1473" s="122"/>
      <c r="AU1473" s="122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15"/>
      <c r="BG1473" s="115"/>
      <c r="BH1473" s="115"/>
      <c r="BI1473" s="115"/>
      <c r="BJ1473" s="26"/>
      <c r="BK1473" s="15"/>
      <c r="BO1473" s="118"/>
      <c r="BP1473" s="118"/>
      <c r="BQ1473" s="118"/>
      <c r="BR1473" s="118"/>
    </row>
    <row r="1474" spans="1:70" x14ac:dyDescent="0.4">
      <c r="BJ1474" s="26"/>
      <c r="BK1474" s="15"/>
    </row>
    <row r="1475" spans="1:70" x14ac:dyDescent="0.4">
      <c r="BJ1475" s="26"/>
      <c r="BK1475" s="13"/>
    </row>
    <row r="1476" spans="1:70" x14ac:dyDescent="0.4">
      <c r="AN1476" s="115"/>
      <c r="AO1476" s="115"/>
      <c r="AP1476" s="115"/>
      <c r="AQ1476" s="115"/>
      <c r="AR1476" s="115"/>
      <c r="AS1476" s="122"/>
      <c r="AT1476" s="122"/>
      <c r="AU1476" s="122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15"/>
      <c r="BG1476" s="115"/>
      <c r="BH1476" s="115"/>
      <c r="BI1476" s="115"/>
      <c r="BJ1476" s="26"/>
      <c r="BK1476" s="13"/>
    </row>
    <row r="1477" spans="1:70" x14ac:dyDescent="0.4">
      <c r="AN1477" s="115"/>
      <c r="AO1477" s="115"/>
      <c r="AP1477" s="115"/>
      <c r="AQ1477" s="115"/>
      <c r="AR1477" s="115"/>
      <c r="AS1477" s="122"/>
      <c r="AT1477" s="122"/>
      <c r="AU1477" s="122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15"/>
      <c r="BG1477" s="115"/>
      <c r="BH1477" s="115"/>
      <c r="BI1477" s="115"/>
      <c r="BJ1477" s="17"/>
      <c r="BK1477" s="13"/>
    </row>
    <row r="1478" spans="1:70" x14ac:dyDescent="0.4"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22"/>
      <c r="AT1478" s="122"/>
      <c r="AU1478" s="122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15"/>
      <c r="BF1478" s="115"/>
      <c r="BG1478" s="115"/>
      <c r="BH1478" s="115"/>
      <c r="BI1478" s="115"/>
      <c r="BJ1478" s="26"/>
      <c r="BK1478" s="13"/>
    </row>
    <row r="1479" spans="1:70" x14ac:dyDescent="0.4"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22"/>
      <c r="AT1479" s="122"/>
      <c r="AU1479" s="122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15"/>
      <c r="BF1479" s="115"/>
      <c r="BG1479" s="115"/>
      <c r="BH1479" s="115"/>
      <c r="BI1479" s="115"/>
      <c r="BJ1479" s="26"/>
      <c r="BK1479" s="13"/>
    </row>
    <row r="1480" spans="1:70" x14ac:dyDescent="0.4">
      <c r="BJ1480" s="26"/>
      <c r="BK1480" s="13"/>
    </row>
    <row r="1481" spans="1:70" x14ac:dyDescent="0.4"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22"/>
      <c r="AT1481" s="122"/>
      <c r="AU1481" s="122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15"/>
      <c r="BG1481" s="115"/>
      <c r="BH1481" s="115"/>
      <c r="BI1481" s="115"/>
      <c r="BJ1481" s="26"/>
      <c r="BK1481" s="13"/>
    </row>
    <row r="1482" spans="1:70" x14ac:dyDescent="0.4"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22"/>
      <c r="AT1482" s="122"/>
      <c r="AU1482" s="122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15"/>
      <c r="BG1482" s="115"/>
      <c r="BH1482" s="115"/>
      <c r="BI1482" s="115"/>
      <c r="BJ1482" s="26"/>
      <c r="BK1482" s="13"/>
    </row>
    <row r="1483" spans="1:70" x14ac:dyDescent="0.4">
      <c r="BJ1483" s="26"/>
      <c r="BK1483" s="13"/>
    </row>
    <row r="1484" spans="1:70" x14ac:dyDescent="0.4"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22"/>
      <c r="AT1484" s="122"/>
      <c r="AU1484" s="122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15"/>
      <c r="BG1484" s="115"/>
      <c r="BH1484" s="115"/>
      <c r="BI1484" s="115"/>
      <c r="BJ1484" s="26"/>
      <c r="BK1484" s="13"/>
    </row>
    <row r="1485" spans="1:70" x14ac:dyDescent="0.4">
      <c r="BJ1485" s="26"/>
      <c r="BK1485" s="13"/>
    </row>
    <row r="1486" spans="1:70" x14ac:dyDescent="0.4">
      <c r="AM1486" s="115"/>
      <c r="AN1486" s="115"/>
      <c r="AO1486" s="115"/>
      <c r="AP1486" s="115"/>
      <c r="AQ1486" s="115"/>
      <c r="AR1486" s="115"/>
      <c r="AS1486" s="122"/>
      <c r="AT1486" s="122"/>
      <c r="AU1486" s="122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15"/>
      <c r="BG1486" s="115"/>
      <c r="BH1486" s="115"/>
      <c r="BI1486" s="115"/>
      <c r="BJ1486" s="26"/>
      <c r="BK1486" s="13"/>
    </row>
    <row r="1487" spans="1:70" x14ac:dyDescent="0.4">
      <c r="BJ1487" s="26"/>
      <c r="BK1487" s="13"/>
    </row>
    <row r="1488" spans="1:70" x14ac:dyDescent="0.4"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22"/>
      <c r="AT1488" s="122"/>
      <c r="AU1488" s="122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15"/>
      <c r="BG1488" s="115"/>
      <c r="BH1488" s="115"/>
      <c r="BI1488" s="115"/>
      <c r="BJ1488" s="26"/>
      <c r="BK1488" s="15"/>
    </row>
    <row r="1489" spans="1:63" x14ac:dyDescent="0.4"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22"/>
      <c r="AT1489" s="122"/>
      <c r="AU1489" s="122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15"/>
      <c r="BG1489" s="115"/>
      <c r="BH1489" s="115"/>
      <c r="BI1489" s="115"/>
      <c r="BJ1489" s="26"/>
      <c r="BK1489" s="15"/>
    </row>
    <row r="1490" spans="1:63" x14ac:dyDescent="0.4"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22"/>
      <c r="AT1490" s="122"/>
      <c r="AU1490" s="122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15"/>
      <c r="BG1490" s="115"/>
      <c r="BH1490" s="115"/>
      <c r="BI1490" s="115"/>
      <c r="BJ1490" s="26"/>
      <c r="BK1490" s="15"/>
    </row>
    <row r="1491" spans="1:63" x14ac:dyDescent="0.4">
      <c r="BJ1491" s="26"/>
      <c r="BK1491" s="13"/>
    </row>
    <row r="1492" spans="1:63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22"/>
      <c r="AT1492" s="122"/>
      <c r="AU1492" s="122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15"/>
      <c r="BG1492" s="115"/>
      <c r="BH1492" s="115"/>
      <c r="BI1492" s="115"/>
      <c r="BJ1492" s="26"/>
      <c r="BK1492" s="15"/>
    </row>
    <row r="1493" spans="1:63" x14ac:dyDescent="0.4">
      <c r="BJ1493" s="26"/>
      <c r="BK1493" s="15"/>
    </row>
    <row r="1494" spans="1:63" x14ac:dyDescent="0.4">
      <c r="BJ1494" s="26"/>
      <c r="BK1494" s="15"/>
    </row>
    <row r="1495" spans="1:63" x14ac:dyDescent="0.4"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22"/>
      <c r="AT1495" s="122"/>
      <c r="AU1495" s="122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15"/>
      <c r="BG1495" s="115"/>
      <c r="BH1495" s="115"/>
      <c r="BI1495" s="115"/>
      <c r="BJ1495" s="26"/>
      <c r="BK1495" s="15"/>
    </row>
    <row r="1496" spans="1:63" x14ac:dyDescent="0.4"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22"/>
      <c r="AT1496" s="122"/>
      <c r="AU1496" s="122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15"/>
      <c r="BG1496" s="115"/>
      <c r="BH1496" s="115"/>
      <c r="BI1496" s="115"/>
      <c r="BJ1496" s="26"/>
      <c r="BK1496" s="15"/>
    </row>
    <row r="1497" spans="1:63" x14ac:dyDescent="0.4">
      <c r="BJ1497" s="26"/>
      <c r="BK1497" s="15"/>
    </row>
    <row r="1498" spans="1:63" x14ac:dyDescent="0.4">
      <c r="AL1498" s="115"/>
      <c r="AM1498" s="115"/>
      <c r="AN1498" s="115"/>
      <c r="AO1498" s="115"/>
      <c r="AP1498" s="115"/>
      <c r="AQ1498" s="115"/>
      <c r="AR1498" s="115"/>
      <c r="AS1498" s="122"/>
      <c r="AT1498" s="122"/>
      <c r="AU1498" s="122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15"/>
      <c r="BG1498" s="115"/>
      <c r="BH1498" s="115"/>
      <c r="BI1498" s="115"/>
      <c r="BJ1498" s="26"/>
      <c r="BK1498" s="15"/>
    </row>
    <row r="1499" spans="1:63" x14ac:dyDescent="0.4"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22"/>
      <c r="AT1499" s="122"/>
      <c r="AU1499" s="122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15"/>
      <c r="BG1499" s="115"/>
      <c r="BH1499" s="115"/>
      <c r="BI1499" s="115"/>
      <c r="BJ1499" s="26"/>
      <c r="BK1499" s="15"/>
    </row>
    <row r="1500" spans="1:63" x14ac:dyDescent="0.4"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22"/>
      <c r="AT1500" s="122"/>
      <c r="AU1500" s="122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15"/>
      <c r="BG1500" s="115"/>
      <c r="BH1500" s="115"/>
      <c r="BI1500" s="115"/>
      <c r="BJ1500" s="26"/>
      <c r="BK1500" s="15"/>
    </row>
    <row r="1501" spans="1:63" x14ac:dyDescent="0.4"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22"/>
      <c r="AT1501" s="122"/>
      <c r="AU1501" s="122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15"/>
      <c r="BG1501" s="115"/>
      <c r="BH1501" s="115"/>
      <c r="BI1501" s="115"/>
      <c r="BJ1501" s="26"/>
      <c r="BK1501" s="15"/>
    </row>
    <row r="1502" spans="1:63" x14ac:dyDescent="0.4"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22"/>
      <c r="AT1502" s="122"/>
      <c r="AU1502" s="122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15"/>
      <c r="BG1502" s="115"/>
      <c r="BH1502" s="115"/>
      <c r="BI1502" s="115"/>
      <c r="BJ1502" s="26"/>
      <c r="BK1502" s="15"/>
    </row>
    <row r="1503" spans="1:63" x14ac:dyDescent="0.4">
      <c r="BJ1503" s="26"/>
      <c r="BK1503" s="15"/>
    </row>
    <row r="1504" spans="1:63" x14ac:dyDescent="0.4">
      <c r="AO1504" s="115"/>
      <c r="AP1504" s="115"/>
      <c r="AQ1504" s="115"/>
      <c r="AR1504" s="115"/>
      <c r="AS1504" s="122"/>
      <c r="AT1504" s="122"/>
      <c r="AU1504" s="122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15"/>
      <c r="BG1504" s="115"/>
      <c r="BH1504" s="115"/>
      <c r="BI1504" s="115"/>
      <c r="BJ1504" s="17"/>
      <c r="BK1504" s="15"/>
    </row>
    <row r="1505" spans="1:63" x14ac:dyDescent="0.4">
      <c r="BJ1505" s="26"/>
      <c r="BK1505" s="15"/>
    </row>
    <row r="1506" spans="1:63" x14ac:dyDescent="0.4">
      <c r="AM1506" s="115"/>
      <c r="AN1506" s="115"/>
      <c r="AO1506" s="115"/>
      <c r="AP1506" s="115"/>
      <c r="AQ1506" s="115"/>
      <c r="AR1506" s="115"/>
      <c r="AS1506" s="122"/>
      <c r="AT1506" s="122"/>
      <c r="AU1506" s="122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15"/>
      <c r="BG1506" s="115"/>
      <c r="BH1506" s="115"/>
      <c r="BI1506" s="115"/>
      <c r="BJ1506" s="26"/>
      <c r="BK1506" s="15"/>
    </row>
    <row r="1507" spans="1:63" x14ac:dyDescent="0.4">
      <c r="BJ1507" s="26"/>
      <c r="BK1507" s="15"/>
    </row>
    <row r="1508" spans="1:63" x14ac:dyDescent="0.4">
      <c r="BJ1508" s="26"/>
      <c r="BK1508" s="15"/>
    </row>
    <row r="1509" spans="1:63" x14ac:dyDescent="0.4"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22"/>
      <c r="AT1509" s="122"/>
      <c r="AU1509" s="122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15"/>
      <c r="BG1509" s="115"/>
      <c r="BH1509" s="115"/>
      <c r="BI1509" s="115"/>
      <c r="BJ1509" s="26"/>
      <c r="BK1509" s="15"/>
    </row>
    <row r="1510" spans="1:63" x14ac:dyDescent="0.4"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22"/>
      <c r="AT1510" s="122"/>
      <c r="AU1510" s="122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15"/>
      <c r="BG1510" s="115"/>
      <c r="BH1510" s="115"/>
      <c r="BI1510" s="115"/>
      <c r="BJ1510" s="26"/>
      <c r="BK1510" s="15"/>
    </row>
    <row r="1511" spans="1:63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22"/>
      <c r="AT1511" s="122"/>
      <c r="AU1511" s="122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15"/>
      <c r="BG1511" s="115"/>
      <c r="BH1511" s="115"/>
      <c r="BI1511" s="115"/>
      <c r="BJ1511" s="26"/>
      <c r="BK1511" s="15"/>
    </row>
    <row r="1512" spans="1:63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22"/>
      <c r="AT1512" s="122"/>
      <c r="AU1512" s="122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15"/>
      <c r="BG1512" s="115"/>
      <c r="BH1512" s="115"/>
      <c r="BI1512" s="115"/>
      <c r="BJ1512" s="26"/>
      <c r="BK1512" s="15"/>
    </row>
    <row r="1513" spans="1:63" x14ac:dyDescent="0.4">
      <c r="BJ1513" s="26"/>
      <c r="BK1513" s="15"/>
    </row>
    <row r="1514" spans="1:63" x14ac:dyDescent="0.4">
      <c r="AO1514" s="115"/>
      <c r="AP1514" s="115"/>
      <c r="AQ1514" s="115"/>
      <c r="AR1514" s="115"/>
      <c r="AS1514" s="122"/>
      <c r="AT1514" s="122"/>
      <c r="AU1514" s="122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15"/>
      <c r="BG1514" s="115"/>
      <c r="BH1514" s="115"/>
      <c r="BI1514" s="115"/>
      <c r="BJ1514" s="17"/>
      <c r="BK1514" s="15"/>
    </row>
    <row r="1515" spans="1:63" x14ac:dyDescent="0.4">
      <c r="BJ1515" s="26"/>
      <c r="BK1515" s="15"/>
    </row>
    <row r="1516" spans="1:63" x14ac:dyDescent="0.4"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22"/>
      <c r="AT1516" s="122"/>
      <c r="AU1516" s="122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15"/>
      <c r="BG1516" s="115"/>
      <c r="BH1516" s="115"/>
      <c r="BI1516" s="115"/>
      <c r="BJ1516" s="26"/>
      <c r="BK1516" s="15"/>
    </row>
    <row r="1517" spans="1:63" x14ac:dyDescent="0.4"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22"/>
      <c r="AT1517" s="122"/>
      <c r="AU1517" s="122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15"/>
      <c r="BG1517" s="115"/>
      <c r="BH1517" s="115"/>
      <c r="BI1517" s="115"/>
      <c r="BJ1517" s="26"/>
      <c r="BK1517" s="15"/>
    </row>
    <row r="1518" spans="1:63" x14ac:dyDescent="0.4"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22"/>
      <c r="AT1518" s="122"/>
      <c r="AU1518" s="122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15"/>
      <c r="BG1518" s="115"/>
      <c r="BH1518" s="115"/>
      <c r="BI1518" s="115"/>
      <c r="BJ1518" s="17"/>
      <c r="BK1518" s="15"/>
    </row>
    <row r="1519" spans="1:63" x14ac:dyDescent="0.4">
      <c r="BJ1519" s="26"/>
      <c r="BK1519" s="15"/>
    </row>
    <row r="1520" spans="1:63" x14ac:dyDescent="0.4"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22"/>
      <c r="AT1520" s="122"/>
      <c r="AU1520" s="122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15"/>
      <c r="BG1520" s="115"/>
      <c r="BH1520" s="115"/>
      <c r="BI1520" s="115"/>
      <c r="BJ1520" s="26"/>
      <c r="BK1520" s="15"/>
    </row>
    <row r="1521" spans="3:63" x14ac:dyDescent="0.4"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22"/>
      <c r="AT1521" s="122"/>
      <c r="AU1521" s="122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15"/>
      <c r="BG1521" s="115"/>
      <c r="BH1521" s="115"/>
      <c r="BI1521" s="115"/>
      <c r="BJ1521" s="17"/>
      <c r="BK1521" s="15"/>
    </row>
    <row r="1522" spans="3:63" x14ac:dyDescent="0.4">
      <c r="BJ1522" s="26"/>
      <c r="BK1522" s="15"/>
    </row>
    <row r="1523" spans="3:63" x14ac:dyDescent="0.4">
      <c r="AO1523" s="115"/>
      <c r="AP1523" s="115"/>
      <c r="AQ1523" s="115"/>
      <c r="AR1523" s="115"/>
      <c r="AS1523" s="122"/>
      <c r="AT1523" s="122"/>
      <c r="AU1523" s="122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15"/>
      <c r="BG1523" s="115"/>
      <c r="BH1523" s="115"/>
      <c r="BI1523" s="115"/>
      <c r="BJ1523" s="17"/>
      <c r="BK1523" s="15"/>
    </row>
    <row r="1524" spans="3:63" x14ac:dyDescent="0.4"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22"/>
      <c r="AT1524" s="122"/>
      <c r="AU1524" s="122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15"/>
      <c r="BG1524" s="115"/>
      <c r="BH1524" s="115"/>
      <c r="BI1524" s="115"/>
      <c r="BJ1524" s="26"/>
      <c r="BK1524" s="15"/>
    </row>
    <row r="1525" spans="3:63" x14ac:dyDescent="0.4"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22"/>
      <c r="AT1525" s="122"/>
      <c r="AU1525" s="122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15"/>
      <c r="BG1525" s="115"/>
      <c r="BH1525" s="115"/>
      <c r="BI1525" s="115"/>
      <c r="BJ1525" s="17"/>
      <c r="BK1525" s="15"/>
    </row>
    <row r="1526" spans="3:63" x14ac:dyDescent="0.4">
      <c r="BJ1526" s="26"/>
      <c r="BK1526" s="15"/>
    </row>
    <row r="1527" spans="3:63" x14ac:dyDescent="0.4">
      <c r="BJ1527" s="26"/>
      <c r="BK1527" s="15"/>
    </row>
    <row r="1528" spans="3:63" x14ac:dyDescent="0.4">
      <c r="AN1528" s="115"/>
      <c r="AO1528" s="115"/>
      <c r="AP1528" s="115"/>
      <c r="AQ1528" s="115"/>
      <c r="AR1528" s="115"/>
      <c r="AS1528" s="122"/>
      <c r="AT1528" s="122"/>
      <c r="AU1528" s="122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15"/>
      <c r="BG1528" s="115"/>
      <c r="BH1528" s="115"/>
      <c r="BI1528" s="115"/>
      <c r="BJ1528" s="26"/>
      <c r="BK1528" s="15"/>
    </row>
    <row r="1529" spans="3:63" x14ac:dyDescent="0.4">
      <c r="AL1529" s="115"/>
      <c r="AM1529" s="115"/>
      <c r="AN1529" s="115"/>
      <c r="AO1529" s="115"/>
      <c r="AP1529" s="115"/>
      <c r="AQ1529" s="115"/>
      <c r="AR1529" s="115"/>
      <c r="AS1529" s="122"/>
      <c r="AT1529" s="122"/>
      <c r="AU1529" s="122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15"/>
      <c r="BG1529" s="115"/>
      <c r="BH1529" s="115"/>
      <c r="BI1529" s="115"/>
      <c r="BJ1529" s="26"/>
      <c r="BK1529" s="15"/>
    </row>
    <row r="1530" spans="3:63" x14ac:dyDescent="0.4">
      <c r="AL1530" s="115"/>
      <c r="AM1530" s="115"/>
      <c r="AN1530" s="115"/>
      <c r="AO1530" s="115"/>
      <c r="AP1530" s="115"/>
      <c r="AQ1530" s="115"/>
      <c r="AR1530" s="115"/>
      <c r="AS1530" s="122"/>
      <c r="AT1530" s="122"/>
      <c r="AU1530" s="122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15"/>
      <c r="BG1530" s="115"/>
      <c r="BH1530" s="115"/>
      <c r="BI1530" s="115"/>
      <c r="BJ1530" s="26"/>
      <c r="BK1530" s="15"/>
    </row>
    <row r="1531" spans="3:63" x14ac:dyDescent="0.4"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22"/>
      <c r="AT1531" s="122"/>
      <c r="AU1531" s="122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15"/>
      <c r="BG1531" s="115"/>
      <c r="BH1531" s="115"/>
      <c r="BI1531" s="115"/>
      <c r="BJ1531" s="26"/>
      <c r="BK1531" s="15"/>
    </row>
    <row r="1532" spans="3:63" x14ac:dyDescent="0.4"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22"/>
      <c r="AT1532" s="122"/>
      <c r="AU1532" s="122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15"/>
      <c r="BG1532" s="115"/>
      <c r="BH1532" s="115"/>
      <c r="BI1532" s="115"/>
      <c r="BJ1532" s="26"/>
      <c r="BK1532" s="15"/>
    </row>
    <row r="1533" spans="3:63" x14ac:dyDescent="0.4">
      <c r="BJ1533" s="26"/>
      <c r="BK1533" s="15"/>
    </row>
    <row r="1534" spans="3:63" x14ac:dyDescent="0.4">
      <c r="AN1534" s="115"/>
      <c r="AO1534" s="115"/>
      <c r="AP1534" s="115"/>
      <c r="AQ1534" s="115"/>
      <c r="AR1534" s="115"/>
      <c r="AS1534" s="122"/>
      <c r="AT1534" s="122"/>
      <c r="AU1534" s="122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15"/>
      <c r="BG1534" s="115"/>
      <c r="BH1534" s="115"/>
      <c r="BI1534" s="115"/>
      <c r="BJ1534" s="26"/>
      <c r="BK1534" s="15"/>
    </row>
    <row r="1535" spans="3:63" x14ac:dyDescent="0.4">
      <c r="BJ1535" s="26"/>
      <c r="BK1535" s="15"/>
    </row>
    <row r="1536" spans="3:63" x14ac:dyDescent="0.4">
      <c r="AO1536" s="115"/>
      <c r="AP1536" s="115"/>
      <c r="AQ1536" s="115"/>
      <c r="AR1536" s="115"/>
      <c r="AS1536" s="122"/>
      <c r="AT1536" s="122"/>
      <c r="AU1536" s="122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15"/>
      <c r="BG1536" s="115"/>
      <c r="BH1536" s="115"/>
      <c r="BI1536" s="115"/>
      <c r="BJ1536" s="17"/>
      <c r="BK1536" s="15"/>
    </row>
    <row r="1537" spans="3:63" x14ac:dyDescent="0.4">
      <c r="AN1537" s="115"/>
      <c r="AO1537" s="115"/>
      <c r="AP1537" s="115"/>
      <c r="AQ1537" s="115"/>
      <c r="AR1537" s="115"/>
      <c r="AS1537" s="122"/>
      <c r="AT1537" s="122"/>
      <c r="AU1537" s="122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15"/>
      <c r="BG1537" s="115"/>
      <c r="BH1537" s="115"/>
      <c r="BI1537" s="115"/>
      <c r="BJ1537" s="26"/>
      <c r="BK1537" s="15"/>
    </row>
    <row r="1538" spans="3:63" x14ac:dyDescent="0.4"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22"/>
      <c r="AT1538" s="122"/>
      <c r="AU1538" s="122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15"/>
      <c r="BG1538" s="115"/>
      <c r="BH1538" s="115"/>
      <c r="BI1538" s="115"/>
      <c r="BJ1538" s="26"/>
      <c r="BK1538" s="15"/>
    </row>
    <row r="1539" spans="3:63" x14ac:dyDescent="0.4"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22"/>
      <c r="AT1539" s="122"/>
      <c r="AU1539" s="122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15"/>
      <c r="BG1539" s="115"/>
      <c r="BH1539" s="115"/>
      <c r="BI1539" s="115"/>
      <c r="BJ1539" s="17"/>
      <c r="BK1539" s="15"/>
    </row>
    <row r="1540" spans="3:63" x14ac:dyDescent="0.4">
      <c r="BJ1540" s="26"/>
      <c r="BK1540" s="15"/>
    </row>
    <row r="1541" spans="3:63" x14ac:dyDescent="0.4">
      <c r="AO1541" s="115"/>
      <c r="AP1541" s="115"/>
      <c r="AQ1541" s="115"/>
      <c r="AR1541" s="115"/>
      <c r="AS1541" s="122"/>
      <c r="AT1541" s="122"/>
      <c r="AU1541" s="122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15"/>
      <c r="BG1541" s="115"/>
      <c r="BH1541" s="115"/>
      <c r="BI1541" s="115"/>
      <c r="BJ1541" s="17"/>
      <c r="BK1541" s="15"/>
    </row>
    <row r="1542" spans="3:63" x14ac:dyDescent="0.4">
      <c r="AN1542" s="115"/>
      <c r="AO1542" s="115"/>
      <c r="AP1542" s="115"/>
      <c r="AQ1542" s="115"/>
      <c r="AR1542" s="115"/>
      <c r="AS1542" s="122"/>
      <c r="AT1542" s="122"/>
      <c r="AU1542" s="122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15"/>
      <c r="BG1542" s="115"/>
      <c r="BH1542" s="115"/>
      <c r="BI1542" s="115"/>
      <c r="BJ1542" s="26"/>
      <c r="BK1542" s="15"/>
    </row>
    <row r="1543" spans="3:63" x14ac:dyDescent="0.4">
      <c r="AN1543" s="115"/>
      <c r="AO1543" s="115"/>
      <c r="AP1543" s="115"/>
      <c r="AQ1543" s="115"/>
      <c r="AR1543" s="115"/>
      <c r="AS1543" s="122"/>
      <c r="AT1543" s="122"/>
      <c r="AU1543" s="122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15"/>
      <c r="BG1543" s="115"/>
      <c r="BH1543" s="115"/>
      <c r="BI1543" s="115"/>
      <c r="BJ1543" s="17"/>
      <c r="BK1543" s="15"/>
    </row>
    <row r="1544" spans="3:63" x14ac:dyDescent="0.4">
      <c r="AN1544" s="115"/>
      <c r="AO1544" s="115"/>
      <c r="AP1544" s="115"/>
      <c r="AQ1544" s="115"/>
      <c r="AR1544" s="115"/>
      <c r="AS1544" s="122"/>
      <c r="AT1544" s="122"/>
      <c r="AU1544" s="122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15"/>
      <c r="BG1544" s="115"/>
      <c r="BH1544" s="115"/>
      <c r="BI1544" s="115"/>
      <c r="BJ1544" s="17"/>
      <c r="BK1544" s="15"/>
    </row>
    <row r="1545" spans="3:63" x14ac:dyDescent="0.4"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22"/>
      <c r="AT1545" s="122"/>
      <c r="AU1545" s="122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15"/>
      <c r="BG1545" s="115"/>
      <c r="BH1545" s="115"/>
      <c r="BI1545" s="115"/>
      <c r="BJ1545" s="26"/>
      <c r="BK1545" s="15"/>
    </row>
    <row r="1546" spans="3:63" x14ac:dyDescent="0.4"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22"/>
      <c r="AT1546" s="122"/>
      <c r="AU1546" s="122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15"/>
      <c r="BG1546" s="115"/>
      <c r="BH1546" s="115"/>
      <c r="BI1546" s="115"/>
      <c r="BJ1546" s="26"/>
      <c r="BK1546" s="15"/>
    </row>
    <row r="1547" spans="3:63" x14ac:dyDescent="0.4"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22"/>
      <c r="AT1547" s="122"/>
      <c r="AU1547" s="122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15"/>
      <c r="BG1547" s="115"/>
      <c r="BH1547" s="115"/>
      <c r="BI1547" s="115"/>
      <c r="BJ1547" s="26"/>
      <c r="BK1547" s="15"/>
    </row>
    <row r="1548" spans="3:63" x14ac:dyDescent="0.4"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22"/>
      <c r="AT1548" s="122"/>
      <c r="AU1548" s="122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26"/>
      <c r="BK1548" s="15"/>
    </row>
    <row r="1549" spans="3:63" x14ac:dyDescent="0.4"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22"/>
      <c r="AT1549" s="122"/>
      <c r="AU1549" s="122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26"/>
      <c r="BK1549" s="15"/>
    </row>
    <row r="1550" spans="3:63" x14ac:dyDescent="0.4"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22"/>
      <c r="AT1550" s="122"/>
      <c r="AU1550" s="122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7"/>
      <c r="BK1550" s="15"/>
    </row>
    <row r="1551" spans="3:63" x14ac:dyDescent="0.4">
      <c r="BJ1551" s="26"/>
      <c r="BK1551" s="15"/>
    </row>
    <row r="1552" spans="3:63" x14ac:dyDescent="0.4">
      <c r="AN1552" s="115"/>
      <c r="AO1552" s="115"/>
      <c r="AP1552" s="115"/>
      <c r="AQ1552" s="115"/>
      <c r="AR1552" s="115"/>
      <c r="AS1552" s="122"/>
      <c r="AT1552" s="122"/>
      <c r="AU1552" s="122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7"/>
      <c r="BK1552" s="13"/>
    </row>
    <row r="1553" spans="3:63" x14ac:dyDescent="0.4">
      <c r="AN1553" s="115"/>
      <c r="AO1553" s="115"/>
      <c r="AP1553" s="115"/>
      <c r="AQ1553" s="115"/>
      <c r="AR1553" s="115"/>
      <c r="AS1553" s="122"/>
      <c r="AT1553" s="122"/>
      <c r="AU1553" s="122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7"/>
      <c r="BK1553" s="13"/>
    </row>
    <row r="1554" spans="3:63" x14ac:dyDescent="0.4">
      <c r="AL1554" s="115"/>
      <c r="AM1554" s="115"/>
      <c r="AN1554" s="115"/>
      <c r="AO1554" s="115"/>
      <c r="AP1554" s="115"/>
      <c r="AQ1554" s="115"/>
      <c r="AR1554" s="115"/>
      <c r="AS1554" s="122"/>
      <c r="AT1554" s="122"/>
      <c r="AU1554" s="122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26"/>
      <c r="BK1554" s="13"/>
    </row>
    <row r="1555" spans="3:63" x14ac:dyDescent="0.4">
      <c r="AL1555" s="115"/>
      <c r="AM1555" s="115"/>
      <c r="AN1555" s="115"/>
      <c r="AO1555" s="115"/>
      <c r="AP1555" s="115"/>
      <c r="AQ1555" s="115"/>
      <c r="AR1555" s="115"/>
      <c r="AS1555" s="122"/>
      <c r="AT1555" s="122"/>
      <c r="AU1555" s="122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7"/>
      <c r="BK1555" s="13"/>
    </row>
    <row r="1556" spans="3:63" x14ac:dyDescent="0.4">
      <c r="BJ1556" s="26"/>
      <c r="BK1556" s="13"/>
    </row>
    <row r="1557" spans="3:63" x14ac:dyDescent="0.4">
      <c r="AM1557" s="115"/>
      <c r="AN1557" s="115"/>
      <c r="AO1557" s="115"/>
      <c r="AP1557" s="115"/>
      <c r="AQ1557" s="115"/>
      <c r="AR1557" s="115"/>
      <c r="AS1557" s="122"/>
      <c r="AT1557" s="122"/>
      <c r="AU1557" s="122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7"/>
      <c r="BK1557" s="13"/>
    </row>
    <row r="1558" spans="3:63" x14ac:dyDescent="0.4">
      <c r="BJ1558" s="26"/>
      <c r="BK1558" s="13"/>
    </row>
    <row r="1559" spans="3:63" x14ac:dyDescent="0.4">
      <c r="BJ1559" s="26"/>
      <c r="BK1559" s="13"/>
    </row>
    <row r="1560" spans="3:63" x14ac:dyDescent="0.4"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22"/>
      <c r="AT1560" s="122"/>
      <c r="AU1560" s="122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26"/>
      <c r="BK1560" s="13"/>
    </row>
    <row r="1561" spans="3:63" x14ac:dyDescent="0.4"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22"/>
      <c r="AT1561" s="122"/>
      <c r="AU1561" s="122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26"/>
      <c r="BK1561" s="13"/>
    </row>
    <row r="1562" spans="3:63" x14ac:dyDescent="0.4">
      <c r="BJ1562" s="26"/>
      <c r="BK1562" s="13"/>
    </row>
    <row r="1563" spans="3:63" x14ac:dyDescent="0.4">
      <c r="BJ1563" s="26"/>
      <c r="BK1563" s="13"/>
    </row>
    <row r="1564" spans="3:63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22"/>
      <c r="AT1564" s="122"/>
      <c r="AU1564" s="122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26"/>
      <c r="BK1564" s="13"/>
    </row>
    <row r="1565" spans="3:63" x14ac:dyDescent="0.4">
      <c r="BJ1565" s="26"/>
      <c r="BK1565" s="105"/>
    </row>
    <row r="1566" spans="3:63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22"/>
      <c r="AT1566" s="122"/>
      <c r="AU1566" s="122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26"/>
      <c r="BK1566" s="15"/>
    </row>
    <row r="1567" spans="3:63" x14ac:dyDescent="0.4"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22"/>
      <c r="AT1567" s="122"/>
      <c r="AU1567" s="122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7"/>
      <c r="BK1567" s="15"/>
    </row>
    <row r="1568" spans="3:63" x14ac:dyDescent="0.4">
      <c r="BJ1568" s="26"/>
      <c r="BK1568" s="15"/>
    </row>
    <row r="1569" spans="2:63" x14ac:dyDescent="0.4"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22"/>
      <c r="AT1569" s="122"/>
      <c r="AU1569" s="122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26"/>
      <c r="BK1569" s="15"/>
    </row>
    <row r="1570" spans="2:63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22"/>
      <c r="AT1570" s="122"/>
      <c r="AU1570" s="122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26"/>
      <c r="BK1570" s="15"/>
    </row>
    <row r="1571" spans="2:63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22"/>
      <c r="AT1571" s="122"/>
      <c r="AU1571" s="122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26"/>
      <c r="BK1571" s="13"/>
    </row>
    <row r="1572" spans="2:63" x14ac:dyDescent="0.4">
      <c r="BJ1572" s="26"/>
      <c r="BK1572" s="15"/>
    </row>
    <row r="1573" spans="2:63" x14ac:dyDescent="0.4"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22"/>
      <c r="AT1573" s="122"/>
      <c r="AU1573" s="122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26"/>
      <c r="BK1573" s="15"/>
    </row>
    <row r="1574" spans="2:63" x14ac:dyDescent="0.4"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22"/>
      <c r="AT1574" s="122"/>
      <c r="AU1574" s="122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26"/>
      <c r="BK1574" s="15"/>
    </row>
    <row r="1575" spans="2:63" x14ac:dyDescent="0.4"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22"/>
      <c r="AT1575" s="122"/>
      <c r="AU1575" s="122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26"/>
      <c r="BK1575" s="15"/>
    </row>
    <row r="1576" spans="2:63" x14ac:dyDescent="0.4"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22"/>
      <c r="AT1576" s="122"/>
      <c r="AU1576" s="122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26"/>
      <c r="BK1576" s="15"/>
    </row>
    <row r="1577" spans="2:63" x14ac:dyDescent="0.4"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22"/>
      <c r="AT1577" s="122"/>
      <c r="AU1577" s="122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26"/>
      <c r="BK1577" s="15"/>
    </row>
    <row r="1578" spans="2:63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22"/>
      <c r="AT1578" s="122"/>
      <c r="AU1578" s="122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26"/>
      <c r="BK1578" s="15"/>
    </row>
    <row r="1579" spans="2:63" ht="19.5" customHeight="1" x14ac:dyDescent="0.4"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22"/>
      <c r="AT1579" s="122"/>
      <c r="AU1579" s="122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26"/>
      <c r="BK1579" s="15"/>
    </row>
    <row r="1580" spans="2:63" ht="19.5" customHeight="1" x14ac:dyDescent="0.4"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22"/>
      <c r="AT1580" s="122"/>
      <c r="AU1580" s="122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26"/>
      <c r="BK1580" s="15"/>
    </row>
    <row r="1581" spans="2:63" x14ac:dyDescent="0.4">
      <c r="BJ1581" s="26"/>
      <c r="BK1581" s="15"/>
    </row>
    <row r="1582" spans="2:63" x14ac:dyDescent="0.4"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22"/>
      <c r="AT1582" s="122"/>
      <c r="AU1582" s="122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26"/>
      <c r="BK1582" s="15"/>
    </row>
    <row r="1583" spans="2:63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22"/>
      <c r="AT1583" s="122"/>
      <c r="AU1583" s="122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26"/>
      <c r="BK1583" s="15"/>
    </row>
    <row r="1584" spans="2:63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22"/>
      <c r="AT1584" s="122"/>
      <c r="AU1584" s="122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7"/>
      <c r="BK1584" s="15"/>
    </row>
    <row r="1585" spans="1:63" x14ac:dyDescent="0.4">
      <c r="BJ1585" s="26"/>
      <c r="BK1585" s="15"/>
    </row>
    <row r="1586" spans="1:63" x14ac:dyDescent="0.4">
      <c r="AM1586" s="115"/>
      <c r="AN1586" s="115"/>
      <c r="AO1586" s="115"/>
      <c r="AP1586" s="115"/>
      <c r="AQ1586" s="115"/>
      <c r="AR1586" s="115"/>
      <c r="AS1586" s="122"/>
      <c r="AT1586" s="122"/>
      <c r="AU1586" s="122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7"/>
      <c r="BK1586" s="15"/>
    </row>
    <row r="1587" spans="1:63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22"/>
      <c r="AT1587" s="122"/>
      <c r="AU1587" s="122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26"/>
      <c r="BK1587" s="15"/>
    </row>
    <row r="1588" spans="1:63" x14ac:dyDescent="0.4">
      <c r="BJ1588" s="26"/>
      <c r="BK1588" s="15"/>
    </row>
    <row r="1589" spans="1:63" x14ac:dyDescent="0.4">
      <c r="BJ1589" s="26"/>
      <c r="BK1589" s="15"/>
    </row>
    <row r="1590" spans="1:63" x14ac:dyDescent="0.4">
      <c r="AL1590" s="115"/>
      <c r="AM1590" s="115"/>
      <c r="AN1590" s="115"/>
      <c r="AO1590" s="115"/>
      <c r="AP1590" s="115"/>
      <c r="AQ1590" s="115"/>
      <c r="AR1590" s="115"/>
      <c r="AS1590" s="122"/>
      <c r="AT1590" s="122"/>
      <c r="AU1590" s="122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26"/>
      <c r="BK1590" s="15"/>
    </row>
    <row r="1591" spans="1:63" x14ac:dyDescent="0.4">
      <c r="BJ1591" s="26"/>
      <c r="BK1591" s="15"/>
    </row>
    <row r="1592" spans="1:63" x14ac:dyDescent="0.4">
      <c r="AM1592" s="115"/>
      <c r="AN1592" s="115"/>
      <c r="AO1592" s="115"/>
      <c r="AP1592" s="115"/>
      <c r="AQ1592" s="115"/>
      <c r="AR1592" s="115"/>
      <c r="AS1592" s="122"/>
      <c r="AT1592" s="122"/>
      <c r="AU1592" s="122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7"/>
      <c r="BK1592" s="15"/>
    </row>
    <row r="1593" spans="1:63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22"/>
      <c r="AT1593" s="122"/>
      <c r="AU1593" s="122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26"/>
      <c r="BK1593" s="15"/>
    </row>
    <row r="1594" spans="1:63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22"/>
      <c r="AT1594" s="122"/>
      <c r="AU1594" s="122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7"/>
      <c r="BK1594" s="13"/>
    </row>
    <row r="1595" spans="1:63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22"/>
      <c r="AT1595" s="122"/>
      <c r="AU1595" s="122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7"/>
      <c r="BK1595" s="13"/>
    </row>
    <row r="1596" spans="1:63" x14ac:dyDescent="0.4">
      <c r="BJ1596" s="26"/>
      <c r="BK1596" s="13"/>
    </row>
    <row r="1597" spans="1:63" x14ac:dyDescent="0.4"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22"/>
      <c r="AT1597" s="122"/>
      <c r="AU1597" s="122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26"/>
      <c r="BK1597" s="15"/>
    </row>
    <row r="1598" spans="1:63" x14ac:dyDescent="0.4"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22"/>
      <c r="AT1598" s="122"/>
      <c r="AU1598" s="122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26"/>
      <c r="BK1598" s="15"/>
    </row>
    <row r="1599" spans="1:63" x14ac:dyDescent="0.4">
      <c r="BJ1599" s="26"/>
      <c r="BK1599" s="15"/>
    </row>
    <row r="1600" spans="1:63" x14ac:dyDescent="0.4"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22"/>
      <c r="AT1600" s="122"/>
      <c r="AU1600" s="122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26"/>
      <c r="BK1600" s="15"/>
    </row>
    <row r="1601" spans="1:63" x14ac:dyDescent="0.4"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22"/>
      <c r="AT1601" s="122"/>
      <c r="AU1601" s="122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26"/>
      <c r="BK1601" s="15"/>
    </row>
    <row r="1602" spans="1:63" x14ac:dyDescent="0.4"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22"/>
      <c r="AT1602" s="122"/>
      <c r="AU1602" s="122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26"/>
      <c r="BK1602" s="15"/>
    </row>
    <row r="1603" spans="1:63" x14ac:dyDescent="0.4"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22"/>
      <c r="AT1603" s="122"/>
      <c r="AU1603" s="122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26"/>
      <c r="BK1603" s="15"/>
    </row>
    <row r="1604" spans="1:63" x14ac:dyDescent="0.4">
      <c r="BJ1604" s="26"/>
      <c r="BK1604" s="15"/>
    </row>
    <row r="1605" spans="1:63" x14ac:dyDescent="0.4"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22"/>
      <c r="AT1605" s="122"/>
      <c r="AU1605" s="122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26"/>
      <c r="BK1605" s="15"/>
    </row>
    <row r="1606" spans="1:63" x14ac:dyDescent="0.4">
      <c r="BJ1606" s="26"/>
      <c r="BK1606" s="15"/>
    </row>
    <row r="1607" spans="1:63" x14ac:dyDescent="0.4"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22"/>
      <c r="AT1607" s="122"/>
      <c r="AU1607" s="122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26"/>
      <c r="BK1607" s="15"/>
    </row>
    <row r="1608" spans="1:63" x14ac:dyDescent="0.4"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22"/>
      <c r="AT1608" s="122"/>
      <c r="AU1608" s="122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26"/>
      <c r="BK1608" s="15"/>
    </row>
    <row r="1609" spans="1:63" x14ac:dyDescent="0.4"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22"/>
      <c r="AT1609" s="122"/>
      <c r="AU1609" s="122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7"/>
      <c r="BK1609" s="15"/>
    </row>
    <row r="1610" spans="1:63" x14ac:dyDescent="0.4">
      <c r="BJ1610" s="26"/>
      <c r="BK1610" s="15"/>
    </row>
    <row r="1611" spans="1:63" x14ac:dyDescent="0.4">
      <c r="BJ1611" s="26"/>
      <c r="BK1611" s="15"/>
    </row>
    <row r="1612" spans="1:63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22"/>
      <c r="AT1612" s="122"/>
      <c r="AU1612" s="122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26"/>
      <c r="BK1612" s="15"/>
    </row>
    <row r="1613" spans="1:63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22"/>
      <c r="AT1613" s="122"/>
      <c r="AU1613" s="122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7"/>
      <c r="BK1613" s="15"/>
    </row>
    <row r="1614" spans="1:63" x14ac:dyDescent="0.4">
      <c r="BJ1614" s="26"/>
      <c r="BK1614" s="15"/>
    </row>
    <row r="1615" spans="1:63" ht="17.25" customHeight="1" x14ac:dyDescent="0.4"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22"/>
      <c r="AT1615" s="122"/>
      <c r="AU1615" s="122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26"/>
      <c r="BK1615" s="15"/>
    </row>
    <row r="1616" spans="1:63" x14ac:dyDescent="0.4">
      <c r="BJ1616" s="26"/>
      <c r="BK1616" s="15"/>
    </row>
    <row r="1617" spans="1:63" x14ac:dyDescent="0.4">
      <c r="AL1617" s="115"/>
      <c r="AM1617" s="115"/>
      <c r="AN1617" s="115"/>
      <c r="AO1617" s="115"/>
      <c r="AP1617" s="115"/>
      <c r="AQ1617" s="115"/>
      <c r="AR1617" s="115"/>
      <c r="AS1617" s="122"/>
      <c r="AT1617" s="122"/>
      <c r="AU1617" s="122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7"/>
      <c r="BK1617" s="15"/>
    </row>
    <row r="1618" spans="1:63" ht="16.5" customHeight="1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22"/>
      <c r="AT1618" s="122"/>
      <c r="AU1618" s="122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26"/>
      <c r="BK1618" s="15"/>
    </row>
    <row r="1619" spans="1:63" ht="22.5" customHeight="1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22"/>
      <c r="AT1619" s="122"/>
      <c r="AU1619" s="122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26"/>
      <c r="BK1619" s="15"/>
    </row>
    <row r="1620" spans="1:63" x14ac:dyDescent="0.4">
      <c r="BJ1620" s="26"/>
      <c r="BK1620" s="15"/>
    </row>
    <row r="1621" spans="1:63" x14ac:dyDescent="0.4">
      <c r="BJ1621" s="26"/>
      <c r="BK1621" s="105"/>
    </row>
    <row r="1622" spans="1:63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22"/>
      <c r="AT1622" s="122"/>
      <c r="AU1622" s="122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26"/>
      <c r="BK1622" s="15"/>
    </row>
    <row r="1623" spans="1:63" x14ac:dyDescent="0.4">
      <c r="BJ1623" s="26"/>
      <c r="BK1623" s="15"/>
    </row>
    <row r="1624" spans="1:63" x14ac:dyDescent="0.4">
      <c r="BJ1624" s="26"/>
      <c r="BK1624" s="15"/>
    </row>
    <row r="1625" spans="1:63" x14ac:dyDescent="0.4">
      <c r="BJ1625" s="26"/>
      <c r="BK1625" s="15"/>
    </row>
    <row r="1626" spans="1:63" x14ac:dyDescent="0.4">
      <c r="BJ1626" s="26"/>
      <c r="BK1626" s="15"/>
    </row>
    <row r="1627" spans="1:63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22"/>
      <c r="AT1627" s="122"/>
      <c r="AU1627" s="122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26"/>
      <c r="BK1627" s="15"/>
    </row>
    <row r="1628" spans="1:63" x14ac:dyDescent="0.4">
      <c r="BJ1628" s="26"/>
      <c r="BK1628" s="15"/>
    </row>
    <row r="1629" spans="1:63" x14ac:dyDescent="0.4">
      <c r="BJ1629" s="26"/>
      <c r="BK1629" s="15"/>
    </row>
    <row r="1630" spans="1:63" x14ac:dyDescent="0.4">
      <c r="BJ1630" s="26"/>
      <c r="BK1630" s="15"/>
    </row>
    <row r="1631" spans="1:63" x14ac:dyDescent="0.4">
      <c r="BJ1631" s="26"/>
      <c r="BK1631" s="15"/>
    </row>
    <row r="1632" spans="1:63" ht="18.75" customHeight="1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22"/>
      <c r="AT1632" s="122"/>
      <c r="AU1632" s="122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26"/>
      <c r="BK1632" s="15"/>
    </row>
    <row r="1633" spans="1:63" x14ac:dyDescent="0.4">
      <c r="BJ1633" s="26"/>
      <c r="BK1633" s="15"/>
    </row>
    <row r="1634" spans="1:63" x14ac:dyDescent="0.4">
      <c r="BJ1634" s="26"/>
      <c r="BK1634" s="15"/>
    </row>
    <row r="1635" spans="1:63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22"/>
      <c r="AT1635" s="122"/>
      <c r="AU1635" s="122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26"/>
      <c r="BK1635" s="15"/>
    </row>
    <row r="1636" spans="1:63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22"/>
      <c r="AT1636" s="122"/>
      <c r="AU1636" s="122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26"/>
      <c r="BK1636" s="15"/>
    </row>
    <row r="1637" spans="1:63" x14ac:dyDescent="0.4">
      <c r="BJ1637" s="26"/>
      <c r="BK1637" s="15"/>
    </row>
    <row r="1638" spans="1:63" x14ac:dyDescent="0.4">
      <c r="AL1638" s="115"/>
      <c r="AM1638" s="115"/>
      <c r="AN1638" s="115"/>
      <c r="AO1638" s="115"/>
      <c r="AP1638" s="115"/>
      <c r="AQ1638" s="115"/>
      <c r="AR1638" s="115"/>
      <c r="AS1638" s="122"/>
      <c r="AT1638" s="122"/>
      <c r="AU1638" s="122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7"/>
      <c r="BK1638" s="15"/>
    </row>
    <row r="1639" spans="1:63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22"/>
      <c r="AT1639" s="122"/>
      <c r="AU1639" s="122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26"/>
      <c r="BK1639" s="15"/>
    </row>
    <row r="1640" spans="1:63" x14ac:dyDescent="0.4">
      <c r="BJ1640" s="26"/>
      <c r="BK1640" s="15"/>
    </row>
    <row r="1641" spans="1:63" x14ac:dyDescent="0.4">
      <c r="AL1641" s="115"/>
      <c r="AM1641" s="115"/>
      <c r="AN1641" s="115"/>
      <c r="AO1641" s="115"/>
      <c r="AP1641" s="115"/>
      <c r="AQ1641" s="115"/>
      <c r="AR1641" s="115"/>
      <c r="AS1641" s="122"/>
      <c r="AT1641" s="122"/>
      <c r="AU1641" s="122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7"/>
      <c r="BK1641" s="15"/>
    </row>
    <row r="1642" spans="1:63" x14ac:dyDescent="0.4">
      <c r="BJ1642" s="26"/>
      <c r="BK1642" s="15"/>
    </row>
    <row r="1643" spans="1:63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22"/>
      <c r="AT1643" s="122"/>
      <c r="AU1643" s="122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26"/>
      <c r="BK1643" s="15"/>
    </row>
    <row r="1644" spans="1:63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22"/>
      <c r="AT1644" s="122"/>
      <c r="AU1644" s="122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26"/>
      <c r="BK1644" s="15"/>
    </row>
    <row r="1645" spans="1:63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22"/>
      <c r="AT1645" s="122"/>
      <c r="AU1645" s="122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26"/>
      <c r="BK1645" s="15"/>
    </row>
    <row r="1646" spans="1:63" x14ac:dyDescent="0.4">
      <c r="BJ1646" s="26"/>
      <c r="BK1646" s="15"/>
    </row>
    <row r="1647" spans="1:63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22"/>
      <c r="AT1647" s="122"/>
      <c r="AU1647" s="122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26"/>
      <c r="BK1647" s="15"/>
    </row>
    <row r="1648" spans="1:63" x14ac:dyDescent="0.4">
      <c r="BJ1648" s="26"/>
      <c r="BK1648" s="15"/>
    </row>
    <row r="1649" spans="1:63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22"/>
      <c r="AT1649" s="122"/>
      <c r="AU1649" s="122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26"/>
      <c r="BK1649" s="15"/>
    </row>
    <row r="1650" spans="1:63" x14ac:dyDescent="0.4">
      <c r="BJ1650" s="26"/>
      <c r="BK1650" s="15"/>
    </row>
    <row r="1651" spans="1:63" x14ac:dyDescent="0.4">
      <c r="BJ1651" s="26"/>
      <c r="BK1651" s="15"/>
    </row>
    <row r="1652" spans="1:63" x14ac:dyDescent="0.4">
      <c r="BJ1652" s="26"/>
      <c r="BK1652" s="15"/>
    </row>
    <row r="1653" spans="1:63" x14ac:dyDescent="0.4">
      <c r="BJ1653" s="26"/>
      <c r="BK1653" s="15"/>
    </row>
    <row r="1654" spans="1:63" x14ac:dyDescent="0.4">
      <c r="BJ1654" s="26"/>
      <c r="BK1654" s="15"/>
    </row>
    <row r="1655" spans="1:63" x14ac:dyDescent="0.4">
      <c r="BJ1655" s="26"/>
      <c r="BK1655" s="15"/>
    </row>
    <row r="1656" spans="1:63" x14ac:dyDescent="0.4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22"/>
      <c r="AT1656" s="122"/>
      <c r="AU1656" s="122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26"/>
      <c r="BK1656" s="15"/>
    </row>
    <row r="1657" spans="1:63" x14ac:dyDescent="0.4">
      <c r="BJ1657" s="26"/>
      <c r="BK1657" s="15"/>
    </row>
    <row r="1658" spans="1:63" x14ac:dyDescent="0.4">
      <c r="BJ1658" s="26"/>
      <c r="BK1658" s="15"/>
    </row>
    <row r="1659" spans="1:63" x14ac:dyDescent="0.4">
      <c r="BJ1659" s="26"/>
      <c r="BK1659" s="15"/>
    </row>
    <row r="1660" spans="1:63" x14ac:dyDescent="0.4">
      <c r="BJ1660" s="26"/>
      <c r="BK1660" s="15"/>
    </row>
    <row r="1661" spans="1:63" x14ac:dyDescent="0.4">
      <c r="BJ1661" s="26"/>
      <c r="BK1661" s="15"/>
    </row>
    <row r="1662" spans="1:63" x14ac:dyDescent="0.4">
      <c r="AL1662" s="115"/>
      <c r="AM1662" s="115"/>
      <c r="AN1662" s="115"/>
      <c r="AO1662" s="115"/>
      <c r="AP1662" s="115"/>
      <c r="AQ1662" s="115"/>
      <c r="AR1662" s="115"/>
      <c r="AS1662" s="122"/>
      <c r="AT1662" s="122"/>
      <c r="AU1662" s="122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7"/>
      <c r="BK1662" s="15"/>
    </row>
    <row r="1663" spans="1:63" x14ac:dyDescent="0.4">
      <c r="AL1663" s="115"/>
      <c r="AM1663" s="115"/>
      <c r="AN1663" s="115"/>
      <c r="AO1663" s="115"/>
      <c r="AP1663" s="115"/>
      <c r="AQ1663" s="115"/>
      <c r="AR1663" s="115"/>
      <c r="AS1663" s="122"/>
      <c r="AT1663" s="122"/>
      <c r="AU1663" s="122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7"/>
      <c r="BK1663" s="15"/>
    </row>
    <row r="1664" spans="1:63" x14ac:dyDescent="0.4">
      <c r="BJ1664" s="26"/>
      <c r="BK1664" s="15"/>
    </row>
    <row r="1665" spans="1:63" x14ac:dyDescent="0.4">
      <c r="BJ1665" s="26"/>
      <c r="BK1665" s="15"/>
    </row>
    <row r="1666" spans="1:63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22"/>
      <c r="AT1666" s="122"/>
      <c r="AU1666" s="122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26"/>
      <c r="BK1666" s="15"/>
    </row>
    <row r="1667" spans="1:63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22"/>
      <c r="AT1667" s="122"/>
      <c r="AU1667" s="122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26"/>
      <c r="BK1667" s="13"/>
    </row>
    <row r="1668" spans="1:63" x14ac:dyDescent="0.4">
      <c r="BJ1668" s="26"/>
      <c r="BK1668" s="15"/>
    </row>
    <row r="1669" spans="1:63" x14ac:dyDescent="0.4"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22"/>
      <c r="AT1669" s="122"/>
      <c r="AU1669" s="122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26"/>
      <c r="BK1669" s="15"/>
    </row>
    <row r="1670" spans="1:63" x14ac:dyDescent="0.4">
      <c r="BJ1670" s="26"/>
      <c r="BK1670" s="15"/>
    </row>
    <row r="1671" spans="1:63" x14ac:dyDescent="0.4">
      <c r="BJ1671" s="26"/>
      <c r="BK1671" s="15"/>
    </row>
    <row r="1672" spans="1:63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22"/>
      <c r="AT1672" s="122"/>
      <c r="AU1672" s="122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26"/>
      <c r="BK1672" s="15"/>
    </row>
    <row r="1673" spans="1:63" x14ac:dyDescent="0.4">
      <c r="BJ1673" s="26"/>
      <c r="BK1673" s="13"/>
    </row>
    <row r="1674" spans="1:63" x14ac:dyDescent="0.4">
      <c r="BJ1674" s="26"/>
      <c r="BK1674" s="13"/>
    </row>
    <row r="1675" spans="1:63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22"/>
      <c r="AT1675" s="122"/>
      <c r="AU1675" s="122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26"/>
      <c r="BK1675" s="13"/>
    </row>
    <row r="1676" spans="1:63" x14ac:dyDescent="0.4">
      <c r="BJ1676" s="26"/>
      <c r="BK1676" s="13"/>
    </row>
    <row r="1677" spans="1:63" x14ac:dyDescent="0.4">
      <c r="BJ1677" s="26"/>
      <c r="BK1677" s="13"/>
    </row>
    <row r="1678" spans="1:63" x14ac:dyDescent="0.4">
      <c r="BJ1678" s="26"/>
      <c r="BK1678" s="13"/>
    </row>
    <row r="1679" spans="1:63" x14ac:dyDescent="0.4">
      <c r="BJ1679" s="26"/>
      <c r="BK1679" s="13"/>
    </row>
    <row r="1680" spans="1:63" x14ac:dyDescent="0.4">
      <c r="BJ1680" s="26"/>
      <c r="BK1680" s="13"/>
    </row>
    <row r="1681" spans="1:63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22"/>
      <c r="AT1681" s="122"/>
      <c r="AU1681" s="122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26"/>
      <c r="BK1681" s="25"/>
    </row>
    <row r="1682" spans="1:63" x14ac:dyDescent="0.4">
      <c r="BJ1682" s="26"/>
      <c r="BK1682" s="13"/>
    </row>
    <row r="1683" spans="1:63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22"/>
      <c r="AT1683" s="122"/>
      <c r="AU1683" s="122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26"/>
      <c r="BK1683" s="13"/>
    </row>
    <row r="1684" spans="1:63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22"/>
      <c r="AT1684" s="122"/>
      <c r="AU1684" s="122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26"/>
      <c r="BK1684" s="13"/>
    </row>
    <row r="1685" spans="1:63" x14ac:dyDescent="0.4">
      <c r="BJ1685" s="26"/>
      <c r="BK1685" s="15"/>
    </row>
    <row r="1686" spans="1:63" x14ac:dyDescent="0.4">
      <c r="BJ1686" s="26"/>
      <c r="BK1686" s="15"/>
    </row>
    <row r="1687" spans="1:63" x14ac:dyDescent="0.4">
      <c r="BJ1687" s="26"/>
      <c r="BK1687" s="15"/>
    </row>
    <row r="1688" spans="1:63" x14ac:dyDescent="0.4">
      <c r="BJ1688" s="26"/>
      <c r="BK1688" s="13"/>
    </row>
    <row r="1689" spans="1:63" x14ac:dyDescent="0.4">
      <c r="BJ1689" s="26"/>
      <c r="BK1689" s="15"/>
    </row>
    <row r="1690" spans="1:63" x14ac:dyDescent="0.4"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22"/>
      <c r="AT1690" s="122"/>
      <c r="AU1690" s="122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7"/>
      <c r="BK1690" s="15"/>
    </row>
    <row r="1691" spans="1:63" x14ac:dyDescent="0.4">
      <c r="BJ1691" s="26"/>
      <c r="BK1691" s="15"/>
    </row>
    <row r="1692" spans="1:63" x14ac:dyDescent="0.4"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22"/>
      <c r="AT1692" s="122"/>
      <c r="AU1692" s="122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7"/>
      <c r="BK1692" s="15"/>
    </row>
    <row r="1693" spans="1:63" x14ac:dyDescent="0.4">
      <c r="BJ1693" s="26"/>
      <c r="BK1693" s="15"/>
    </row>
    <row r="1694" spans="1:63" x14ac:dyDescent="0.4">
      <c r="BJ1694" s="26"/>
      <c r="BK1694" s="15"/>
    </row>
    <row r="1695" spans="1:63" x14ac:dyDescent="0.4"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22"/>
      <c r="AT1695" s="122"/>
      <c r="AU1695" s="122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7"/>
      <c r="BK1695" s="15"/>
    </row>
    <row r="1696" spans="1:63" x14ac:dyDescent="0.4">
      <c r="BJ1696" s="26"/>
      <c r="BK1696" s="15"/>
    </row>
    <row r="1697" spans="2:63" x14ac:dyDescent="0.4">
      <c r="BJ1697" s="26"/>
      <c r="BK1697" s="15"/>
    </row>
    <row r="1698" spans="2:63" x14ac:dyDescent="0.4">
      <c r="BJ1698" s="26"/>
      <c r="BK1698" s="105"/>
    </row>
    <row r="1699" spans="2:63" x14ac:dyDescent="0.4">
      <c r="BJ1699" s="26"/>
      <c r="BK1699" s="15"/>
    </row>
    <row r="1700" spans="2:63" x14ac:dyDescent="0.4">
      <c r="BJ1700" s="26"/>
      <c r="BK1700" s="15"/>
    </row>
    <row r="1701" spans="2:63" x14ac:dyDescent="0.4">
      <c r="BJ1701" s="26"/>
      <c r="BK1701" s="15"/>
    </row>
    <row r="1702" spans="2:63" x14ac:dyDescent="0.4">
      <c r="BJ1702" s="26"/>
      <c r="BK1702" s="15"/>
    </row>
    <row r="1703" spans="2:63" x14ac:dyDescent="0.4">
      <c r="BJ1703" s="26"/>
      <c r="BK1703" s="15"/>
    </row>
    <row r="1704" spans="2:63" x14ac:dyDescent="0.4"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22"/>
      <c r="AT1704" s="122"/>
      <c r="AU1704" s="122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9"/>
      <c r="BK1704" s="119"/>
    </row>
    <row r="1705" spans="2:63" x14ac:dyDescent="0.4"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22"/>
      <c r="AT1705" s="122"/>
      <c r="AU1705" s="122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9"/>
      <c r="BK1705" s="119"/>
    </row>
  </sheetData>
  <sortState xmlns:xlrd2="http://schemas.microsoft.com/office/spreadsheetml/2017/richdata2" ref="K2:L147">
    <sortCondition ref="K2:K14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2025-09-22T07:28:49Z</cp:lastPrinted>
  <dcterms:created xsi:type="dcterms:W3CDTF">2020-05-08T06:29:04Z</dcterms:created>
  <dcterms:modified xsi:type="dcterms:W3CDTF">2025-09-24T00:51:41Z</dcterms:modified>
</cp:coreProperties>
</file>