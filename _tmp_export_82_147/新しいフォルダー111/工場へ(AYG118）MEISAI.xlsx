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866F9E41-EECF-431D-93F4-891A7A0565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25" i="3"/>
  <c r="C25" i="3"/>
  <c r="B25" i="3"/>
  <c r="J151" i="3"/>
  <c r="I151" i="3"/>
  <c r="J148" i="3"/>
  <c r="I148" i="3"/>
  <c r="J146" i="3"/>
  <c r="I146" i="3"/>
  <c r="J144" i="3"/>
  <c r="I144" i="3"/>
  <c r="J141" i="3"/>
  <c r="I141" i="3"/>
  <c r="J126" i="3"/>
  <c r="I126" i="3"/>
  <c r="J124" i="3"/>
  <c r="I124" i="3"/>
  <c r="J108" i="3"/>
  <c r="I108" i="3"/>
  <c r="J100" i="3"/>
  <c r="I100" i="3"/>
  <c r="J98" i="3"/>
  <c r="I98" i="3"/>
  <c r="J96" i="3"/>
  <c r="I96" i="3"/>
  <c r="J93" i="3"/>
  <c r="I93" i="3"/>
  <c r="J89" i="3"/>
  <c r="I89" i="3"/>
  <c r="J81" i="3"/>
  <c r="I81" i="3"/>
  <c r="J54" i="3"/>
  <c r="I54" i="3"/>
  <c r="J35" i="3"/>
  <c r="I35" i="3"/>
  <c r="J30" i="3"/>
  <c r="I30" i="3"/>
  <c r="J20" i="3"/>
  <c r="I20" i="3"/>
  <c r="J15" i="3"/>
  <c r="I15" i="3"/>
  <c r="J9" i="3"/>
  <c r="I9" i="3"/>
  <c r="J7" i="3"/>
  <c r="I7" i="3"/>
  <c r="J3" i="3"/>
  <c r="J152" i="3" s="1"/>
  <c r="I3" i="3"/>
  <c r="I152" i="3" s="1"/>
  <c r="A241" i="1"/>
  <c r="AK698" i="3"/>
  <c r="AI698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I980" i="3"/>
  <c r="BH980" i="3"/>
  <c r="BI975" i="3"/>
  <c r="BH975" i="3"/>
  <c r="BI973" i="3"/>
  <c r="BH973" i="3"/>
  <c r="BI959" i="3"/>
  <c r="BH959" i="3"/>
  <c r="BI941" i="3"/>
  <c r="BH941" i="3"/>
  <c r="BI930" i="3"/>
  <c r="BH930" i="3"/>
  <c r="BI896" i="3"/>
  <c r="BH896" i="3"/>
  <c r="BI883" i="3"/>
  <c r="BH883" i="3"/>
  <c r="BI845" i="3"/>
  <c r="BH845" i="3"/>
  <c r="BI836" i="3"/>
  <c r="BH836" i="3"/>
  <c r="BI822" i="3"/>
  <c r="BH822" i="3"/>
  <c r="BI789" i="3"/>
  <c r="BH789" i="3"/>
  <c r="BI736" i="3"/>
  <c r="BH736" i="3"/>
  <c r="BI724" i="3"/>
  <c r="BH724" i="3"/>
  <c r="BI701" i="3"/>
  <c r="BH701" i="3"/>
  <c r="BI686" i="3"/>
  <c r="BH686" i="3"/>
  <c r="BI662" i="3"/>
  <c r="BH662" i="3"/>
  <c r="BI644" i="3"/>
  <c r="BH644" i="3"/>
  <c r="BI624" i="3"/>
  <c r="BH624" i="3"/>
  <c r="BI610" i="3"/>
  <c r="BH610" i="3"/>
  <c r="BI601" i="3"/>
  <c r="BH601" i="3"/>
  <c r="BI527" i="3"/>
  <c r="BH527" i="3"/>
  <c r="B61" i="1"/>
  <c r="A151" i="1"/>
  <c r="AB43" i="1"/>
  <c r="BH981" i="3" l="1"/>
  <c r="BI981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<sst xmlns="http://schemas.openxmlformats.org/spreadsheetml/2006/main" count="2533" uniqueCount="357">
  <si>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</si>
  <si>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</si>
  <si>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</si>
  <si>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</si>
  <si>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</si>
  <si>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</si>
  <si>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</si>
  <si>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</si>
  <si>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</si>
  <si>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</si>
  <si>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</si>
  <si>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</si>
  <si>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</si>
  <si>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</si>
  <si>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</si>
  <si>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</si>
  <si>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</si>
  <si>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</si>
  <si>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</si>
  <si>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</si>
  <si>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</si>
  <si>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</si>
  <si>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</si>
  <si>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</si>
  <si>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</si>
  <si>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</si>
  <si>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</si>
  <si>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</si>
  <si>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</si>
  <si>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</si>
  <si>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</si>
  <si>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</si>
  <si>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</si>
  <si>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</si>
  <si>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</si>
  <si>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</si>
  <si>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</si>
  <si>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</si>
  <si>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</si>
  <si>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</si>
  <si>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</si>
  <si>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</si>
  <si>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</si>
  <si>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</si>
  <si>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</si>
  <si>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</si>
  <si>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</si>
  <si>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</si>
  <si>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</si>
  <si>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</si>
  <si>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</si>
  <si>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</si>
  <si>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</si>
  <si>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</si>
  <si>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</si>
  <si>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</si>
  <si>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</si>
  <si>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</si>
  <si>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</si>
  <si>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</si>
  <si>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</si>
  <si>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</si>
  <si>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</si>
  <si>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</si>
  <si>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</si>
  <si>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</si>
  <si>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</si>
  <si>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</si>
  <si>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</si>
  <si>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</si>
  <si>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</si>
  <si>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</si>
  <si>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</si>
  <si>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</si>
  <si>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</si>
  <si>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</si>
  <si>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</si>
  <si>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</si>
  <si>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</si>
  <si>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</si>
  <si>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</si>
  <si>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</si>
  <si>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</si>
  <si>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</si>
  <si>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</si>
  <si>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</si>
  <si>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</si>
  <si>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</si>
  <si>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</si>
  <si>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</si>
  <si>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</si>
  <si>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</si>
  <si>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</si>
  <si>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</si>
  <si>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</si>
  <si>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</si>
  <si>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</si>
  <si>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</si>
  <si>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</si>
  <si>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</si>
  <si>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</si>
  <si>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</si>
  <si>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</si>
  <si>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</si>
  <si>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</si>
  <si>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</si>
  <si>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</si>
  <si>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</si>
  <si>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</si>
  <si>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</si>
  <si>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</si>
  <si>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</si>
  <si>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</si>
  <si>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</si>
  <si>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</si>
  <si>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</si>
  <si>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</si>
  <si>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</si>
  <si>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</si>
  <si>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</si>
  <si>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</si>
  <si>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</si>
  <si>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</si>
  <si>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</si>
  <si>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</si>
  <si>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</si>
  <si>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</si>
  <si>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</si>
  <si>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</si>
  <si>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</si>
  <si>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</si>
  <si>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</si>
  <si>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</si>
  <si>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</si>
  <si>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</si>
  <si>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</si>
  <si>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</si>
  <si>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</si>
  <si>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</si>
  <si>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</si>
  <si>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</si>
  <si>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</si>
  <si>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</si>
  <si>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</si>
  <si>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</si>
  <si>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</si>
  <si>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</si>
  <si>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</si>
  <si>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</si>
  <si>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</si>
  <si>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</si>
  <si>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</si>
  <si>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</si>
  <si>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</si>
  <si>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</si>
  <si>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</si>
  <si>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</si>
  <si>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</si>
  <si>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</si>
  <si>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</si>
  <si>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</si>
  <si>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</si>
  <si>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</si>
  <si>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</si>
  <si>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</si>
  <si>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</si>
  <si>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</si>
  <si>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</si>
  <si>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</si>
  <si>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</si>
  <si>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</si>
  <si>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</si>
  <si>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</si>
  <si>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</si>
  <si>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</si>
  <si>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</si>
  <si>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</si>
  <si>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</si>
  <si>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</si>
  <si>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</si>
  <si>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</si>
  <si>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A700</t>
    <phoneticPr fontId="1"/>
  </si>
  <si>
    <t>AYG113</t>
    <phoneticPr fontId="1"/>
  </si>
  <si>
    <t>M078</t>
    <phoneticPr fontId="1"/>
  </si>
  <si>
    <t>A335</t>
    <phoneticPr fontId="1"/>
  </si>
  <si>
    <t>A545</t>
    <phoneticPr fontId="1"/>
  </si>
  <si>
    <t>M037</t>
    <phoneticPr fontId="1"/>
  </si>
  <si>
    <t>M079</t>
    <phoneticPr fontId="1"/>
  </si>
  <si>
    <t>E</t>
    <phoneticPr fontId="1"/>
  </si>
  <si>
    <t>A328</t>
    <phoneticPr fontId="1"/>
  </si>
  <si>
    <t>A523</t>
    <phoneticPr fontId="1"/>
  </si>
  <si>
    <t>A550</t>
    <phoneticPr fontId="1"/>
  </si>
  <si>
    <t>A501</t>
    <phoneticPr fontId="1"/>
  </si>
  <si>
    <t>A740</t>
    <phoneticPr fontId="1"/>
  </si>
  <si>
    <t>A330</t>
    <phoneticPr fontId="1"/>
  </si>
  <si>
    <t>M074</t>
    <phoneticPr fontId="1"/>
  </si>
  <si>
    <t>A318</t>
    <phoneticPr fontId="1"/>
  </si>
  <si>
    <t>A611</t>
    <phoneticPr fontId="1"/>
  </si>
  <si>
    <t>2025/9/16 個数</t>
  </si>
  <si>
    <t>2025/9/17 個数</t>
  </si>
  <si>
    <t>2025/9/20 個数</t>
  </si>
  <si>
    <t>2025/9/22 個数</t>
  </si>
  <si>
    <t>2025/9/23 個数</t>
  </si>
  <si>
    <t>2025/9/24 個数</t>
  </si>
  <si>
    <t>2025/9/26 個数</t>
  </si>
  <si>
    <t>2025/9/27 個数</t>
  </si>
  <si>
    <t>2025/9/28 個数</t>
  </si>
  <si>
    <t>2025/9/30 個数</t>
  </si>
  <si>
    <t>2025/10/6 個数</t>
  </si>
  <si>
    <t>2025/10/16 個数</t>
  </si>
  <si>
    <t>AYG118</t>
    <phoneticPr fontId="1"/>
  </si>
  <si>
    <t>07060069</t>
    <phoneticPr fontId="1"/>
  </si>
  <si>
    <t>A650</t>
    <phoneticPr fontId="1"/>
  </si>
  <si>
    <t>07080035</t>
    <phoneticPr fontId="1"/>
  </si>
  <si>
    <t>07080036</t>
    <phoneticPr fontId="1"/>
  </si>
  <si>
    <t>07080038</t>
    <phoneticPr fontId="1"/>
  </si>
  <si>
    <t>07080040</t>
    <phoneticPr fontId="1"/>
  </si>
  <si>
    <t>07080164</t>
    <phoneticPr fontId="1"/>
  </si>
  <si>
    <t>07080168</t>
    <phoneticPr fontId="1"/>
  </si>
  <si>
    <t>07080201</t>
    <phoneticPr fontId="1"/>
  </si>
  <si>
    <t>07080204</t>
    <phoneticPr fontId="1"/>
  </si>
  <si>
    <t>07080211</t>
    <phoneticPr fontId="1"/>
  </si>
  <si>
    <t>07080213</t>
    <phoneticPr fontId="1"/>
  </si>
  <si>
    <t>07080216</t>
    <phoneticPr fontId="1"/>
  </si>
  <si>
    <t>07080221</t>
    <phoneticPr fontId="1"/>
  </si>
  <si>
    <t>07080229</t>
    <phoneticPr fontId="1"/>
  </si>
  <si>
    <t>07080338</t>
    <phoneticPr fontId="1"/>
  </si>
  <si>
    <t>07080339</t>
    <phoneticPr fontId="1"/>
  </si>
  <si>
    <t>07080159</t>
    <phoneticPr fontId="1"/>
  </si>
  <si>
    <t>07080303</t>
    <phoneticPr fontId="1"/>
  </si>
  <si>
    <t>07080314</t>
    <phoneticPr fontId="1"/>
  </si>
  <si>
    <t>07080321</t>
    <phoneticPr fontId="1"/>
  </si>
  <si>
    <t>07080325</t>
    <phoneticPr fontId="1"/>
  </si>
  <si>
    <t>07080326</t>
    <phoneticPr fontId="1"/>
  </si>
  <si>
    <t>07080327</t>
    <phoneticPr fontId="1"/>
  </si>
  <si>
    <t>07080328</t>
    <phoneticPr fontId="1"/>
  </si>
  <si>
    <t>07080332</t>
    <phoneticPr fontId="1"/>
  </si>
  <si>
    <t>07080333</t>
    <phoneticPr fontId="1"/>
  </si>
  <si>
    <t>07080364</t>
    <phoneticPr fontId="1"/>
  </si>
  <si>
    <t>A997</t>
    <phoneticPr fontId="1"/>
  </si>
  <si>
    <t>07080365</t>
    <phoneticPr fontId="1"/>
  </si>
  <si>
    <t>07080366</t>
    <phoneticPr fontId="1"/>
  </si>
  <si>
    <t>07080367</t>
    <phoneticPr fontId="1"/>
  </si>
  <si>
    <t>07080368</t>
    <phoneticPr fontId="1"/>
  </si>
  <si>
    <t>07080195</t>
    <phoneticPr fontId="1"/>
  </si>
  <si>
    <t>07080196</t>
    <phoneticPr fontId="1"/>
  </si>
  <si>
    <t>07080197</t>
    <phoneticPr fontId="1"/>
  </si>
  <si>
    <t>07080218</t>
    <phoneticPr fontId="1"/>
  </si>
  <si>
    <t>07080317</t>
    <phoneticPr fontId="1"/>
  </si>
  <si>
    <t>07080352</t>
    <phoneticPr fontId="1"/>
  </si>
  <si>
    <t>07080359</t>
    <phoneticPr fontId="1"/>
  </si>
  <si>
    <t>07080360</t>
    <phoneticPr fontId="1"/>
  </si>
  <si>
    <t>A156</t>
    <phoneticPr fontId="1"/>
  </si>
  <si>
    <t>07080361</t>
    <phoneticPr fontId="1"/>
  </si>
  <si>
    <t>07080362</t>
    <phoneticPr fontId="1"/>
  </si>
  <si>
    <t>P</t>
    <phoneticPr fontId="1"/>
  </si>
  <si>
    <t>07080391</t>
    <phoneticPr fontId="1"/>
  </si>
  <si>
    <t>07080392</t>
    <phoneticPr fontId="1"/>
  </si>
  <si>
    <t>07080418</t>
    <phoneticPr fontId="1"/>
  </si>
  <si>
    <t>07080435</t>
    <phoneticPr fontId="1"/>
  </si>
  <si>
    <t>07080385</t>
    <phoneticPr fontId="1"/>
  </si>
  <si>
    <t>07080386</t>
  </si>
  <si>
    <t>07080387</t>
  </si>
  <si>
    <t>07080388</t>
  </si>
  <si>
    <t>07080343</t>
    <phoneticPr fontId="1"/>
  </si>
  <si>
    <t>07080344</t>
  </si>
  <si>
    <t>07080345</t>
  </si>
  <si>
    <t>07080346</t>
  </si>
  <si>
    <t>07080347</t>
  </si>
  <si>
    <t>07080348</t>
  </si>
  <si>
    <t>07080349</t>
  </si>
  <si>
    <t>A850</t>
    <phoneticPr fontId="1"/>
  </si>
  <si>
    <t>07080419</t>
    <phoneticPr fontId="1"/>
  </si>
  <si>
    <t>07080420</t>
    <phoneticPr fontId="1"/>
  </si>
  <si>
    <t>07080329</t>
    <phoneticPr fontId="1"/>
  </si>
  <si>
    <t>07080331</t>
    <phoneticPr fontId="1"/>
  </si>
  <si>
    <t>07080341</t>
    <phoneticPr fontId="1"/>
  </si>
  <si>
    <t>A657</t>
    <phoneticPr fontId="1"/>
  </si>
  <si>
    <t>A655</t>
    <phoneticPr fontId="1"/>
  </si>
  <si>
    <t>07080342</t>
    <phoneticPr fontId="1"/>
  </si>
  <si>
    <t>07080399</t>
    <phoneticPr fontId="1"/>
  </si>
  <si>
    <t>07080400</t>
  </si>
  <si>
    <t>07080401</t>
  </si>
  <si>
    <t>07080402</t>
  </si>
  <si>
    <t>07080403</t>
  </si>
  <si>
    <t>07080404</t>
  </si>
  <si>
    <t>07080405</t>
  </si>
  <si>
    <t>07080406</t>
  </si>
  <si>
    <t>07080407</t>
  </si>
  <si>
    <t>07080408</t>
  </si>
  <si>
    <t>07080409</t>
  </si>
  <si>
    <t>07080410</t>
  </si>
  <si>
    <t>07080275</t>
    <phoneticPr fontId="1"/>
  </si>
  <si>
    <t>07080277</t>
    <phoneticPr fontId="1"/>
  </si>
  <si>
    <t>07080278</t>
  </si>
  <si>
    <t>07080279</t>
  </si>
  <si>
    <t>07080357</t>
    <phoneticPr fontId="1"/>
  </si>
  <si>
    <t>07080358</t>
    <phoneticPr fontId="1"/>
  </si>
  <si>
    <t>07080384</t>
    <phoneticPr fontId="1"/>
  </si>
  <si>
    <t>07080421</t>
    <phoneticPr fontId="1"/>
  </si>
  <si>
    <t>07080422</t>
    <phoneticPr fontId="1"/>
  </si>
  <si>
    <t>07080438</t>
    <phoneticPr fontId="1"/>
  </si>
  <si>
    <t>07080440</t>
    <phoneticPr fontId="1"/>
  </si>
  <si>
    <t>07080441</t>
    <phoneticPr fontId="1"/>
  </si>
  <si>
    <t>07080443</t>
    <phoneticPr fontId="1"/>
  </si>
  <si>
    <t>07080459</t>
    <phoneticPr fontId="1"/>
  </si>
  <si>
    <t>07080293</t>
    <phoneticPr fontId="1"/>
  </si>
  <si>
    <t>A332</t>
    <phoneticPr fontId="1"/>
  </si>
  <si>
    <t>07070446</t>
    <phoneticPr fontId="1"/>
  </si>
  <si>
    <t>07070447</t>
    <phoneticPr fontId="1"/>
  </si>
  <si>
    <t>07080460</t>
    <phoneticPr fontId="1"/>
  </si>
  <si>
    <t>07080461</t>
    <phoneticPr fontId="1"/>
  </si>
  <si>
    <t>07080462</t>
    <phoneticPr fontId="1"/>
  </si>
  <si>
    <t>07080463</t>
    <phoneticPr fontId="1"/>
  </si>
  <si>
    <t>07080465</t>
    <phoneticPr fontId="1"/>
  </si>
  <si>
    <t>07080466</t>
    <phoneticPr fontId="1"/>
  </si>
  <si>
    <t>07080467</t>
    <phoneticPr fontId="1"/>
  </si>
  <si>
    <t>07080468</t>
    <phoneticPr fontId="1"/>
  </si>
  <si>
    <t>07070536</t>
    <phoneticPr fontId="1"/>
  </si>
  <si>
    <t>07080350</t>
    <phoneticPr fontId="1"/>
  </si>
  <si>
    <t>07080351</t>
    <phoneticPr fontId="1"/>
  </si>
  <si>
    <t>07080375</t>
    <phoneticPr fontId="1"/>
  </si>
  <si>
    <t>07080376</t>
  </si>
  <si>
    <t>07080377</t>
  </si>
  <si>
    <t>07080378</t>
  </si>
  <si>
    <t>07080379</t>
  </si>
  <si>
    <t>07080380</t>
  </si>
  <si>
    <t>07080381</t>
  </si>
  <si>
    <t>07080382</t>
  </si>
  <si>
    <t>07080383</t>
  </si>
  <si>
    <t>07080389</t>
    <phoneticPr fontId="1"/>
  </si>
  <si>
    <t>07080411</t>
    <phoneticPr fontId="1"/>
  </si>
  <si>
    <t>07080423</t>
    <phoneticPr fontId="1"/>
  </si>
  <si>
    <t>07060427</t>
    <phoneticPr fontId="1"/>
  </si>
  <si>
    <t>07080432</t>
    <phoneticPr fontId="1"/>
  </si>
  <si>
    <t>07080111</t>
    <phoneticPr fontId="1"/>
  </si>
  <si>
    <t>07080335</t>
    <phoneticPr fontId="1"/>
  </si>
  <si>
    <t>07080336</t>
    <phoneticPr fontId="1"/>
  </si>
  <si>
    <t>07080337</t>
    <phoneticPr fontId="1"/>
  </si>
  <si>
    <t>07080472</t>
    <phoneticPr fontId="1"/>
  </si>
  <si>
    <t>07080473</t>
    <phoneticPr fontId="1"/>
  </si>
  <si>
    <t>07080484</t>
    <phoneticPr fontId="1"/>
  </si>
  <si>
    <t>07090021</t>
    <phoneticPr fontId="1"/>
  </si>
  <si>
    <t>07090022</t>
    <phoneticPr fontId="1"/>
  </si>
  <si>
    <t>07090023</t>
    <phoneticPr fontId="1"/>
  </si>
  <si>
    <t>07090024</t>
    <phoneticPr fontId="1"/>
  </si>
  <si>
    <t>2025/9/29 個数</t>
  </si>
  <si>
    <t>2025/10/1 個数</t>
  </si>
  <si>
    <t>2025/10/2 個数</t>
  </si>
  <si>
    <t>2025/10/3 個数</t>
  </si>
  <si>
    <t>2025/10/5 個数</t>
  </si>
  <si>
    <t>2025/10/7 個数</t>
  </si>
  <si>
    <t>2025/10/8 個数</t>
  </si>
  <si>
    <t>2025/10/10 個数</t>
  </si>
  <si>
    <t>2025/10/13 個数</t>
  </si>
  <si>
    <t>2025/10/27 個数</t>
  </si>
  <si>
    <t>07080276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</si>
</sst>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4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182" zoomScale="106" zoomScaleNormal="106" workbookViewId="0">
      <selection activeCell="N197" sqref="N197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210</v>
      </c>
      <c r="B1" s="24">
        <v>45901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0" t="s">
        <v>105</v>
      </c>
      <c r="Y2" s="146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7">
        <v>1</v>
      </c>
      <c r="B3" s="137">
        <v>20</v>
      </c>
      <c r="C3" s="85" t="s">
        <v>211</v>
      </c>
      <c r="D3" s="109" t="s">
        <v>212</v>
      </c>
      <c r="E3" s="15" t="s">
        <v>38</v>
      </c>
      <c r="F3" s="14"/>
      <c r="G3" s="12" t="s">
        <v>180</v>
      </c>
      <c r="H3" s="13"/>
      <c r="I3" s="13"/>
      <c r="J3" s="13"/>
      <c r="K3" s="13"/>
      <c r="L3" s="13"/>
      <c r="M3" s="13">
        <v>1</v>
      </c>
      <c r="N3" s="13"/>
      <c r="O3" s="13"/>
      <c r="P3" s="13"/>
      <c r="Q3" s="13">
        <v>1</v>
      </c>
      <c r="R3" s="13"/>
      <c r="S3" s="13"/>
      <c r="T3" s="25">
        <v>45927</v>
      </c>
      <c r="U3" s="13" t="s">
        <v>147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8"/>
      <c r="B4" s="138"/>
      <c r="C4" s="85" t="s">
        <v>213</v>
      </c>
      <c r="D4" s="109" t="s">
        <v>212</v>
      </c>
      <c r="E4" s="15" t="s">
        <v>58</v>
      </c>
      <c r="F4" s="16"/>
      <c r="G4" s="12" t="s">
        <v>180</v>
      </c>
      <c r="H4" s="15"/>
      <c r="I4" s="13"/>
      <c r="J4" s="15"/>
      <c r="K4" s="15"/>
      <c r="L4" s="17"/>
      <c r="M4" s="17"/>
      <c r="N4" s="13"/>
      <c r="O4" s="17"/>
      <c r="P4" s="17"/>
      <c r="Q4" s="17"/>
      <c r="R4" s="17"/>
      <c r="S4" s="15"/>
      <c r="T4" s="25">
        <v>45927</v>
      </c>
      <c r="U4" s="13" t="s">
        <v>147</v>
      </c>
      <c r="V4">
        <v>2</v>
      </c>
      <c r="X4" s="51" t="s">
        <v>107</v>
      </c>
      <c r="Y4" s="52">
        <f>COUNTIF(U3:U27,"R")</f>
        <v>8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8"/>
      <c r="B5" s="138"/>
      <c r="C5" s="85" t="s">
        <v>214</v>
      </c>
      <c r="D5" s="109" t="s">
        <v>212</v>
      </c>
      <c r="E5" s="15" t="s">
        <v>38</v>
      </c>
      <c r="F5" s="16"/>
      <c r="G5" s="12" t="s">
        <v>180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45927</v>
      </c>
      <c r="U5" s="13" t="s">
        <v>146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8"/>
      <c r="B6" s="138"/>
      <c r="C6" s="85" t="s">
        <v>215</v>
      </c>
      <c r="D6" s="109" t="s">
        <v>212</v>
      </c>
      <c r="E6" s="15" t="s">
        <v>37</v>
      </c>
      <c r="F6" s="16"/>
      <c r="G6" s="12" t="s">
        <v>180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/>
      <c r="R6" s="17"/>
      <c r="S6" s="15"/>
      <c r="T6" s="25">
        <v>45927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8"/>
      <c r="B7" s="138"/>
      <c r="C7" s="85" t="s">
        <v>216</v>
      </c>
      <c r="D7" s="109" t="s">
        <v>212</v>
      </c>
      <c r="E7" s="15" t="s">
        <v>37</v>
      </c>
      <c r="F7" s="16"/>
      <c r="G7" s="12" t="s">
        <v>180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45927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8"/>
      <c r="B8" s="138"/>
      <c r="C8" s="85" t="s">
        <v>217</v>
      </c>
      <c r="D8" s="109" t="s">
        <v>195</v>
      </c>
      <c r="E8" s="15" t="s">
        <v>38</v>
      </c>
      <c r="F8" s="16"/>
      <c r="G8" s="12" t="s">
        <v>180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45928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8"/>
      <c r="B9" s="138"/>
      <c r="C9" s="85" t="s">
        <v>218</v>
      </c>
      <c r="D9" s="109" t="s">
        <v>195</v>
      </c>
      <c r="E9" s="15" t="s">
        <v>40</v>
      </c>
      <c r="F9" s="16"/>
      <c r="G9" s="12" t="s">
        <v>180</v>
      </c>
      <c r="H9" s="15"/>
      <c r="I9" s="13"/>
      <c r="J9" s="15"/>
      <c r="K9" s="15"/>
      <c r="L9" s="17"/>
      <c r="M9" s="17"/>
      <c r="N9" s="13"/>
      <c r="O9" s="17">
        <v>1</v>
      </c>
      <c r="P9" s="17">
        <v>1</v>
      </c>
      <c r="Q9" s="17"/>
      <c r="R9" s="17"/>
      <c r="S9" s="15"/>
      <c r="T9" s="25">
        <v>45927</v>
      </c>
      <c r="U9" s="13" t="s">
        <v>148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8"/>
      <c r="B10" s="138"/>
      <c r="C10" s="85" t="s">
        <v>219</v>
      </c>
      <c r="D10" s="109" t="s">
        <v>186</v>
      </c>
      <c r="E10" s="15" t="s">
        <v>37</v>
      </c>
      <c r="F10" s="16"/>
      <c r="G10" s="12" t="s">
        <v>180</v>
      </c>
      <c r="H10" s="15"/>
      <c r="I10" s="13"/>
      <c r="J10" s="15"/>
      <c r="K10" s="15"/>
      <c r="L10" s="17"/>
      <c r="M10" s="17">
        <v>1</v>
      </c>
      <c r="N10" s="13">
        <v>1</v>
      </c>
      <c r="O10" s="17"/>
      <c r="P10" s="17"/>
      <c r="Q10" s="17">
        <v>1</v>
      </c>
      <c r="R10" s="17"/>
      <c r="S10" s="15"/>
      <c r="T10" s="25">
        <v>45924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8"/>
      <c r="B11" s="138"/>
      <c r="C11" s="85" t="s">
        <v>220</v>
      </c>
      <c r="D11" s="109" t="s">
        <v>179</v>
      </c>
      <c r="E11" s="15" t="s">
        <v>75</v>
      </c>
      <c r="F11" s="16"/>
      <c r="G11" s="12" t="s">
        <v>180</v>
      </c>
      <c r="H11" s="15"/>
      <c r="I11" s="13"/>
      <c r="J11" s="15"/>
      <c r="K11" s="15"/>
      <c r="L11" s="17"/>
      <c r="M11" s="17"/>
      <c r="N11" s="13"/>
      <c r="O11" s="17"/>
      <c r="P11" s="17"/>
      <c r="Q11" s="17"/>
      <c r="R11" s="17"/>
      <c r="S11" s="15"/>
      <c r="T11" s="25">
        <v>45917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8"/>
      <c r="B12" s="138"/>
      <c r="C12" s="85" t="s">
        <v>221</v>
      </c>
      <c r="D12" s="109" t="s">
        <v>183</v>
      </c>
      <c r="E12" s="15" t="s">
        <v>37</v>
      </c>
      <c r="F12" s="16"/>
      <c r="G12" s="12" t="s">
        <v>180</v>
      </c>
      <c r="H12" s="15"/>
      <c r="I12" s="15"/>
      <c r="J12" s="15"/>
      <c r="K12" s="15"/>
      <c r="L12" s="17"/>
      <c r="M12" s="17">
        <v>1</v>
      </c>
      <c r="N12" s="17">
        <v>1</v>
      </c>
      <c r="O12" s="17"/>
      <c r="P12" s="17"/>
      <c r="Q12" s="17">
        <v>1</v>
      </c>
      <c r="R12" s="17"/>
      <c r="S12" s="15"/>
      <c r="T12" s="25">
        <v>45936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8"/>
      <c r="B13" s="138"/>
      <c r="C13" s="85" t="s">
        <v>222</v>
      </c>
      <c r="D13" s="109" t="s">
        <v>183</v>
      </c>
      <c r="E13" s="15" t="s">
        <v>37</v>
      </c>
      <c r="F13" s="16"/>
      <c r="G13" s="12" t="s">
        <v>180</v>
      </c>
      <c r="H13" s="15"/>
      <c r="I13" s="15"/>
      <c r="J13" s="15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45926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8"/>
      <c r="B14" s="138"/>
      <c r="C14" s="85" t="s">
        <v>223</v>
      </c>
      <c r="D14" s="109" t="s">
        <v>183</v>
      </c>
      <c r="E14" s="15" t="s">
        <v>37</v>
      </c>
      <c r="F14" s="16"/>
      <c r="G14" s="12" t="s">
        <v>180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45936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8"/>
      <c r="B15" s="138"/>
      <c r="C15" s="85" t="s">
        <v>224</v>
      </c>
      <c r="D15" s="109" t="s">
        <v>183</v>
      </c>
      <c r="E15" s="15" t="s">
        <v>40</v>
      </c>
      <c r="F15" s="16"/>
      <c r="G15" s="12" t="s">
        <v>180</v>
      </c>
      <c r="H15" s="15"/>
      <c r="I15" s="15"/>
      <c r="J15" s="15"/>
      <c r="K15" s="15"/>
      <c r="L15" s="17"/>
      <c r="M15" s="17"/>
      <c r="N15" s="17"/>
      <c r="O15" s="17">
        <v>1</v>
      </c>
      <c r="P15" s="17">
        <v>1</v>
      </c>
      <c r="Q15" s="17">
        <v>1</v>
      </c>
      <c r="R15" s="17"/>
      <c r="S15" s="15"/>
      <c r="T15" s="25">
        <v>45926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8"/>
      <c r="B16" s="138"/>
      <c r="C16" s="85" t="s">
        <v>225</v>
      </c>
      <c r="D16" s="109" t="s">
        <v>197</v>
      </c>
      <c r="E16" s="15" t="s">
        <v>36</v>
      </c>
      <c r="F16" s="16"/>
      <c r="G16" s="12" t="s">
        <v>180</v>
      </c>
      <c r="H16" s="15"/>
      <c r="I16" s="15"/>
      <c r="J16" s="15"/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45917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8"/>
      <c r="B17" s="138"/>
      <c r="C17" s="85" t="s">
        <v>226</v>
      </c>
      <c r="D17" s="106" t="s">
        <v>186</v>
      </c>
      <c r="E17" s="15" t="s">
        <v>37</v>
      </c>
      <c r="F17" s="16"/>
      <c r="G17" s="15" t="s">
        <v>180</v>
      </c>
      <c r="H17" s="15"/>
      <c r="I17" s="15"/>
      <c r="J17" s="15"/>
      <c r="K17" s="15"/>
      <c r="L17" s="17"/>
      <c r="M17" s="17">
        <v>1</v>
      </c>
      <c r="N17" s="17">
        <v>1</v>
      </c>
      <c r="O17" s="17"/>
      <c r="P17" s="17"/>
      <c r="Q17" s="17">
        <v>1</v>
      </c>
      <c r="R17" s="17"/>
      <c r="S17" s="15"/>
      <c r="T17" s="25">
        <v>45928</v>
      </c>
      <c r="U17" s="132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8"/>
      <c r="B18" s="138"/>
      <c r="C18" s="85" t="s">
        <v>227</v>
      </c>
      <c r="D18" s="110" t="s">
        <v>186</v>
      </c>
      <c r="E18" s="18" t="s">
        <v>40</v>
      </c>
      <c r="F18" s="16"/>
      <c r="G18" s="18" t="s">
        <v>180</v>
      </c>
      <c r="H18" s="15"/>
      <c r="I18" s="15"/>
      <c r="J18" s="18"/>
      <c r="K18" s="15"/>
      <c r="L18" s="19"/>
      <c r="M18" s="19"/>
      <c r="N18" s="19"/>
      <c r="O18" s="19">
        <v>1</v>
      </c>
      <c r="P18" s="19">
        <v>1</v>
      </c>
      <c r="Q18" s="19"/>
      <c r="R18" s="19">
        <v>1</v>
      </c>
      <c r="S18" s="15"/>
      <c r="T18" s="25">
        <v>45931</v>
      </c>
      <c r="U18" s="15" t="s">
        <v>148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8"/>
      <c r="B19" s="138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8"/>
      <c r="B20" s="138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8"/>
      <c r="B21" s="138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8"/>
      <c r="B22" s="138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8"/>
      <c r="B23" s="138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8"/>
      <c r="B24" s="138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8"/>
      <c r="B25" s="138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228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8"/>
      <c r="B26" s="138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9"/>
      <c r="B27" s="139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128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4</v>
      </c>
      <c r="K28" s="29">
        <f t="shared" si="0"/>
        <v>5</v>
      </c>
      <c r="L28" s="29">
        <f t="shared" si="0"/>
        <v>0</v>
      </c>
      <c r="M28" s="29">
        <f t="shared" si="0"/>
        <v>6</v>
      </c>
      <c r="N28" s="29">
        <f t="shared" si="0"/>
        <v>5</v>
      </c>
      <c r="O28" s="29">
        <f t="shared" si="0"/>
        <v>3</v>
      </c>
      <c r="P28" s="29">
        <f t="shared" si="0"/>
        <v>3</v>
      </c>
      <c r="Q28" s="29">
        <f t="shared" si="0"/>
        <v>6</v>
      </c>
      <c r="R28" s="29">
        <f t="shared" si="0"/>
        <v>1</v>
      </c>
      <c r="S28" s="29">
        <f t="shared" si="0"/>
        <v>0</v>
      </c>
      <c r="T28" s="29" t="s">
        <v>64</v>
      </c>
      <c r="U28" s="29">
        <f>COUNTIF(H3:H27,"M")</f>
        <v>0</v>
      </c>
      <c r="AA28" s="142" t="s">
        <v>104</v>
      </c>
      <c r="AB28" s="143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33</v>
      </c>
      <c r="T29" s="29"/>
      <c r="U29" s="29"/>
      <c r="X29" t="s">
        <v>136</v>
      </c>
      <c r="AA29" s="144"/>
      <c r="AB29" s="145"/>
      <c r="AC29" s="158">
        <f>SUM(AC28:AE28)</f>
        <v>0</v>
      </c>
      <c r="AD29" s="159"/>
      <c r="AE29" s="160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AYG118</v>
      </c>
      <c r="B31" s="24">
        <f>B1</f>
        <v>45901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0" t="s">
        <v>119</v>
      </c>
      <c r="Y32" s="146"/>
      <c r="AA32" s="153" t="s">
        <v>47</v>
      </c>
      <c r="AB32" s="154"/>
    </row>
    <row r="33" spans="1:29" ht="19.5" thickTop="1" x14ac:dyDescent="0.4">
      <c r="A33" s="147">
        <v>2</v>
      </c>
      <c r="B33" s="137">
        <v>17.8</v>
      </c>
      <c r="C33" s="85" t="s">
        <v>228</v>
      </c>
      <c r="D33" s="109" t="s">
        <v>187</v>
      </c>
      <c r="E33" s="15" t="s">
        <v>58</v>
      </c>
      <c r="F33" s="14"/>
      <c r="G33" s="12" t="s">
        <v>180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>
        <v>1</v>
      </c>
      <c r="T33" s="25">
        <v>45926</v>
      </c>
      <c r="U33" s="13" t="s">
        <v>146</v>
      </c>
      <c r="V33">
        <v>1</v>
      </c>
      <c r="X33" s="51" t="s">
        <v>106</v>
      </c>
      <c r="Y33" s="52">
        <f>COUNTIF(U33:U57,"K")</f>
        <v>3</v>
      </c>
      <c r="AA33" s="31" t="s">
        <v>46</v>
      </c>
      <c r="AB33" s="32">
        <f>J28+J178+J148+J118+J208+J238+J268+J298+J328+J358</f>
        <v>54</v>
      </c>
    </row>
    <row r="34" spans="1:29" x14ac:dyDescent="0.4">
      <c r="A34" s="148"/>
      <c r="B34" s="138"/>
      <c r="C34" s="85" t="s">
        <v>229</v>
      </c>
      <c r="D34" s="109" t="s">
        <v>189</v>
      </c>
      <c r="E34" s="15" t="s">
        <v>37</v>
      </c>
      <c r="F34" s="16"/>
      <c r="G34" s="12" t="s">
        <v>180</v>
      </c>
      <c r="H34" s="15"/>
      <c r="I34" s="13"/>
      <c r="J34" s="15"/>
      <c r="K34" s="15"/>
      <c r="L34" s="17"/>
      <c r="M34" s="17">
        <v>1</v>
      </c>
      <c r="N34" s="13">
        <v>1</v>
      </c>
      <c r="O34" s="17"/>
      <c r="P34" s="17"/>
      <c r="Q34" s="17"/>
      <c r="R34" s="17"/>
      <c r="S34" s="15"/>
      <c r="T34" s="25">
        <v>45927</v>
      </c>
      <c r="U34" s="13" t="s">
        <v>147</v>
      </c>
      <c r="V34">
        <v>2</v>
      </c>
      <c r="X34" s="51" t="s">
        <v>107</v>
      </c>
      <c r="Y34" s="52">
        <f>COUNTIF(U33:U57,"R")</f>
        <v>9</v>
      </c>
      <c r="AA34" s="31" t="s">
        <v>48</v>
      </c>
      <c r="AB34" s="32">
        <f>K28+K178+K148+K118+K208+K238+K268+K298+K328+K358</f>
        <v>19</v>
      </c>
    </row>
    <row r="35" spans="1:29" ht="19.5" thickBot="1" x14ac:dyDescent="0.45">
      <c r="A35" s="148"/>
      <c r="B35" s="138"/>
      <c r="C35" s="85" t="s">
        <v>230</v>
      </c>
      <c r="D35" s="109" t="s">
        <v>179</v>
      </c>
      <c r="E35" s="15" t="s">
        <v>37</v>
      </c>
      <c r="F35" s="16"/>
      <c r="G35" s="12" t="s">
        <v>180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>
        <v>1</v>
      </c>
      <c r="R35" s="17"/>
      <c r="S35" s="15"/>
      <c r="T35" s="25">
        <v>45920</v>
      </c>
      <c r="U35" s="13" t="s">
        <v>147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15</v>
      </c>
    </row>
    <row r="36" spans="1:29" x14ac:dyDescent="0.4">
      <c r="A36" s="148"/>
      <c r="B36" s="138"/>
      <c r="C36" s="85" t="s">
        <v>231</v>
      </c>
      <c r="D36" s="109" t="s">
        <v>193</v>
      </c>
      <c r="E36" s="15" t="s">
        <v>37</v>
      </c>
      <c r="F36" s="16"/>
      <c r="G36" s="12" t="s">
        <v>180</v>
      </c>
      <c r="H36" s="15"/>
      <c r="I36" s="13"/>
      <c r="J36" s="13">
        <v>1</v>
      </c>
      <c r="K36" s="15">
        <v>1</v>
      </c>
      <c r="L36" s="17"/>
      <c r="M36" s="17"/>
      <c r="N36" s="13"/>
      <c r="O36" s="17"/>
      <c r="P36" s="17"/>
      <c r="Q36" s="17"/>
      <c r="R36" s="17"/>
      <c r="S36" s="15"/>
      <c r="T36" s="25">
        <v>45924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48"/>
      <c r="B37" s="138"/>
      <c r="C37" s="85" t="s">
        <v>232</v>
      </c>
      <c r="D37" s="109" t="s">
        <v>190</v>
      </c>
      <c r="E37" s="15" t="s">
        <v>37</v>
      </c>
      <c r="F37" s="16"/>
      <c r="G37" s="12" t="s">
        <v>180</v>
      </c>
      <c r="H37" s="15"/>
      <c r="I37" s="13"/>
      <c r="J37" s="15"/>
      <c r="K37" s="15"/>
      <c r="L37" s="17"/>
      <c r="M37" s="17">
        <v>1</v>
      </c>
      <c r="N37" s="13">
        <v>1</v>
      </c>
      <c r="O37" s="17"/>
      <c r="P37" s="17"/>
      <c r="Q37" s="17">
        <v>1</v>
      </c>
      <c r="R37" s="17"/>
      <c r="S37" s="15"/>
      <c r="T37" s="25">
        <v>45927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20</v>
      </c>
    </row>
    <row r="38" spans="1:29" x14ac:dyDescent="0.4">
      <c r="A38" s="148"/>
      <c r="B38" s="138"/>
      <c r="C38" s="85" t="s">
        <v>233</v>
      </c>
      <c r="D38" s="109" t="s">
        <v>190</v>
      </c>
      <c r="E38" s="15" t="s">
        <v>37</v>
      </c>
      <c r="F38" s="16"/>
      <c r="G38" s="12" t="s">
        <v>180</v>
      </c>
      <c r="H38" s="13"/>
      <c r="I38" s="13"/>
      <c r="J38" s="15"/>
      <c r="K38" s="15"/>
      <c r="L38" s="17"/>
      <c r="M38" s="17">
        <v>1</v>
      </c>
      <c r="N38" s="13">
        <v>1</v>
      </c>
      <c r="O38" s="17"/>
      <c r="P38" s="17"/>
      <c r="Q38" s="17">
        <v>1</v>
      </c>
      <c r="R38" s="17"/>
      <c r="S38" s="15"/>
      <c r="T38" s="25">
        <v>45927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6</v>
      </c>
    </row>
    <row r="39" spans="1:29" x14ac:dyDescent="0.4">
      <c r="A39" s="148"/>
      <c r="B39" s="138"/>
      <c r="C39" s="85" t="s">
        <v>234</v>
      </c>
      <c r="D39" s="109" t="s">
        <v>185</v>
      </c>
      <c r="E39" s="15" t="s">
        <v>37</v>
      </c>
      <c r="F39" s="16"/>
      <c r="G39" s="12" t="s">
        <v>180</v>
      </c>
      <c r="H39" s="15"/>
      <c r="I39" s="13"/>
      <c r="J39" s="15"/>
      <c r="K39" s="15"/>
      <c r="L39" s="17"/>
      <c r="M39" s="17">
        <v>1</v>
      </c>
      <c r="N39" s="13">
        <v>1</v>
      </c>
      <c r="O39" s="17"/>
      <c r="P39" s="17"/>
      <c r="Q39" s="17"/>
      <c r="R39" s="17"/>
      <c r="S39" s="15"/>
      <c r="T39" s="25">
        <v>45943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8</v>
      </c>
    </row>
    <row r="40" spans="1:29" x14ac:dyDescent="0.4">
      <c r="A40" s="148"/>
      <c r="B40" s="138"/>
      <c r="C40" s="85" t="s">
        <v>235</v>
      </c>
      <c r="D40" s="109" t="s">
        <v>185</v>
      </c>
      <c r="E40" s="15" t="s">
        <v>74</v>
      </c>
      <c r="F40" s="16"/>
      <c r="G40" s="12" t="s">
        <v>180</v>
      </c>
      <c r="H40" s="15"/>
      <c r="I40" s="13"/>
      <c r="J40" s="15">
        <v>1</v>
      </c>
      <c r="K40" s="15">
        <v>1</v>
      </c>
      <c r="L40" s="17"/>
      <c r="M40" s="17"/>
      <c r="N40" s="13"/>
      <c r="O40" s="17"/>
      <c r="P40" s="17"/>
      <c r="Q40" s="17"/>
      <c r="R40" s="17"/>
      <c r="S40" s="15"/>
      <c r="T40" s="25">
        <v>45927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17</v>
      </c>
    </row>
    <row r="41" spans="1:29" x14ac:dyDescent="0.4">
      <c r="A41" s="148"/>
      <c r="B41" s="138"/>
      <c r="C41" s="85" t="s">
        <v>236</v>
      </c>
      <c r="D41" s="109">
        <v>1183</v>
      </c>
      <c r="E41" s="15" t="s">
        <v>40</v>
      </c>
      <c r="F41" s="16"/>
      <c r="G41" s="12" t="s">
        <v>180</v>
      </c>
      <c r="H41" s="15"/>
      <c r="I41" s="13"/>
      <c r="J41" s="15"/>
      <c r="K41" s="15"/>
      <c r="L41" s="17"/>
      <c r="M41" s="17"/>
      <c r="N41" s="13"/>
      <c r="O41" s="17">
        <v>1</v>
      </c>
      <c r="P41" s="17">
        <v>1</v>
      </c>
      <c r="Q41" s="17">
        <v>1</v>
      </c>
      <c r="R41" s="17">
        <v>1</v>
      </c>
      <c r="S41" s="15"/>
      <c r="T41" s="25">
        <v>45927</v>
      </c>
      <c r="U41" s="13" t="s">
        <v>148</v>
      </c>
      <c r="V41">
        <v>9</v>
      </c>
      <c r="AA41" s="31" t="s">
        <v>55</v>
      </c>
      <c r="AB41" s="32">
        <f>R28+R178+R148+R118+R208+R238+R268+R298+R328+R358</f>
        <v>2</v>
      </c>
      <c r="AC41" t="s">
        <v>123</v>
      </c>
    </row>
    <row r="42" spans="1:29" ht="19.5" thickBot="1" x14ac:dyDescent="0.45">
      <c r="A42" s="148"/>
      <c r="B42" s="138"/>
      <c r="C42" s="85" t="s">
        <v>237</v>
      </c>
      <c r="D42" s="109">
        <v>1183</v>
      </c>
      <c r="E42" s="15" t="s">
        <v>40</v>
      </c>
      <c r="F42" s="16"/>
      <c r="G42" s="12" t="s">
        <v>180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>
        <v>1</v>
      </c>
      <c r="R42" s="17">
        <v>1</v>
      </c>
      <c r="S42" s="15"/>
      <c r="T42" s="25">
        <v>45927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0</v>
      </c>
      <c r="AC42" s="73">
        <f>SUM(AB33:AB42)</f>
        <v>161</v>
      </c>
    </row>
    <row r="43" spans="1:29" ht="19.5" thickBot="1" x14ac:dyDescent="0.45">
      <c r="A43" s="148"/>
      <c r="B43" s="138"/>
      <c r="C43" s="85" t="s">
        <v>238</v>
      </c>
      <c r="D43" s="109" t="s">
        <v>239</v>
      </c>
      <c r="E43" s="15" t="s">
        <v>40</v>
      </c>
      <c r="F43" s="16"/>
      <c r="G43" s="12" t="s">
        <v>180</v>
      </c>
      <c r="H43" s="15"/>
      <c r="I43" s="15"/>
      <c r="J43" s="15"/>
      <c r="K43" s="15"/>
      <c r="L43" s="17"/>
      <c r="M43" s="17"/>
      <c r="N43" s="17"/>
      <c r="O43" s="17">
        <v>1</v>
      </c>
      <c r="P43" s="17">
        <v>1</v>
      </c>
      <c r="Q43" s="17"/>
      <c r="R43" s="17"/>
      <c r="S43" s="15"/>
      <c r="T43" s="25">
        <v>45928</v>
      </c>
      <c r="U43" s="13" t="s">
        <v>148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8"/>
      <c r="B44" s="138"/>
      <c r="C44" s="85" t="s">
        <v>240</v>
      </c>
      <c r="D44" s="109" t="s">
        <v>239</v>
      </c>
      <c r="E44" s="15" t="s">
        <v>36</v>
      </c>
      <c r="F44" s="16"/>
      <c r="G44" s="12" t="s">
        <v>180</v>
      </c>
      <c r="H44" s="15"/>
      <c r="I44" s="15"/>
      <c r="J44" s="15"/>
      <c r="K44" s="15"/>
      <c r="L44" s="17"/>
      <c r="M44" s="17">
        <v>1</v>
      </c>
      <c r="N44" s="17">
        <v>1</v>
      </c>
      <c r="O44" s="17"/>
      <c r="P44" s="17"/>
      <c r="Q44" s="17">
        <v>1</v>
      </c>
      <c r="R44" s="17"/>
      <c r="S44" s="15"/>
      <c r="T44" s="25">
        <v>45928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4</v>
      </c>
    </row>
    <row r="45" spans="1:29" x14ac:dyDescent="0.4">
      <c r="A45" s="148"/>
      <c r="B45" s="138"/>
      <c r="C45" s="85" t="s">
        <v>241</v>
      </c>
      <c r="D45" s="109" t="s">
        <v>239</v>
      </c>
      <c r="E45" s="15" t="s">
        <v>36</v>
      </c>
      <c r="F45" s="16"/>
      <c r="G45" s="12" t="s">
        <v>180</v>
      </c>
      <c r="H45" s="15"/>
      <c r="I45" s="15"/>
      <c r="J45" s="15"/>
      <c r="K45" s="15"/>
      <c r="L45" s="17"/>
      <c r="M45" s="17">
        <v>1</v>
      </c>
      <c r="N45" s="17">
        <v>1</v>
      </c>
      <c r="O45" s="17"/>
      <c r="P45" s="17"/>
      <c r="Q45" s="17">
        <v>1</v>
      </c>
      <c r="R45" s="17"/>
      <c r="S45" s="15"/>
      <c r="T45" s="25">
        <v>45928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8"/>
      <c r="B46" s="138"/>
      <c r="C46" s="85" t="s">
        <v>242</v>
      </c>
      <c r="D46" s="109" t="s">
        <v>239</v>
      </c>
      <c r="E46" s="15" t="s">
        <v>75</v>
      </c>
      <c r="F46" s="16"/>
      <c r="G46" s="12" t="s">
        <v>180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>
        <v>45928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8"/>
      <c r="B47" s="138"/>
      <c r="C47" s="85" t="s">
        <v>243</v>
      </c>
      <c r="D47" s="106" t="s">
        <v>239</v>
      </c>
      <c r="E47" s="15" t="s">
        <v>37</v>
      </c>
      <c r="F47" s="16"/>
      <c r="G47" s="15" t="s">
        <v>180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>
        <v>1</v>
      </c>
      <c r="R47" s="17"/>
      <c r="S47" s="15"/>
      <c r="T47" s="25">
        <v>45928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8"/>
      <c r="B48" s="138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8"/>
      <c r="B49" s="138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124</v>
      </c>
    </row>
    <row r="50" spans="1:28" ht="19.5" thickBot="1" x14ac:dyDescent="0.45">
      <c r="A50" s="148"/>
      <c r="B50" s="138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4</v>
      </c>
    </row>
    <row r="51" spans="1:28" ht="19.5" thickBot="1" x14ac:dyDescent="0.45">
      <c r="A51" s="148"/>
      <c r="B51" s="138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8"/>
      <c r="B52" s="138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5">
        <v>76</v>
      </c>
    </row>
    <row r="53" spans="1:28" ht="19.5" thickBot="1" x14ac:dyDescent="0.45">
      <c r="A53" s="148"/>
      <c r="B53" s="138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6"/>
    </row>
    <row r="54" spans="1:28" ht="19.5" thickBot="1" x14ac:dyDescent="0.45">
      <c r="A54" s="148"/>
      <c r="B54" s="138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8"/>
      <c r="B55" s="138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0" t="s">
        <v>73</v>
      </c>
      <c r="AB55" s="45"/>
    </row>
    <row r="56" spans="1:28" ht="19.5" thickBot="1" x14ac:dyDescent="0.45">
      <c r="A56" s="148"/>
      <c r="B56" s="138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1"/>
      <c r="AB56" s="46"/>
    </row>
    <row r="57" spans="1:28" ht="19.5" thickBot="1" x14ac:dyDescent="0.45">
      <c r="A57" s="149"/>
      <c r="B57" s="139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0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2</v>
      </c>
      <c r="K58" s="29">
        <f t="shared" si="1"/>
        <v>2</v>
      </c>
      <c r="L58" s="29">
        <f t="shared" si="1"/>
        <v>0</v>
      </c>
      <c r="M58" s="29">
        <f t="shared" si="1"/>
        <v>8</v>
      </c>
      <c r="N58" s="29">
        <f t="shared" si="1"/>
        <v>8</v>
      </c>
      <c r="O58" s="29">
        <f t="shared" si="1"/>
        <v>3</v>
      </c>
      <c r="P58" s="29">
        <f t="shared" si="1"/>
        <v>3</v>
      </c>
      <c r="Q58" s="29">
        <f t="shared" si="1"/>
        <v>8</v>
      </c>
      <c r="R58" s="29">
        <f t="shared" si="1"/>
        <v>2</v>
      </c>
      <c r="S58" s="29">
        <f t="shared" si="1"/>
        <v>1</v>
      </c>
      <c r="T58" s="29" t="s">
        <v>64</v>
      </c>
      <c r="U58" s="29">
        <f>COUNTIF(H33:H57,"M")</f>
        <v>0</v>
      </c>
      <c r="AA58" s="141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37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AYG118</v>
      </c>
      <c r="B61" s="24">
        <f>B1</f>
        <v>45901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0" t="s">
        <v>118</v>
      </c>
      <c r="Y62" s="146"/>
    </row>
    <row r="63" spans="1:28" ht="20.25" thickTop="1" thickBot="1" x14ac:dyDescent="0.45">
      <c r="A63" s="147">
        <v>3</v>
      </c>
      <c r="B63" s="150">
        <v>20.399999999999999</v>
      </c>
      <c r="C63" s="85" t="s">
        <v>244</v>
      </c>
      <c r="D63" s="109" t="s">
        <v>179</v>
      </c>
      <c r="E63" s="15" t="s">
        <v>36</v>
      </c>
      <c r="F63" s="14"/>
      <c r="G63" s="12" t="s">
        <v>180</v>
      </c>
      <c r="H63" s="13"/>
      <c r="I63" s="13"/>
      <c r="J63" s="13"/>
      <c r="K63" s="13"/>
      <c r="L63" s="13"/>
      <c r="M63" s="13">
        <v>1</v>
      </c>
      <c r="N63" s="13">
        <v>1</v>
      </c>
      <c r="O63" s="13"/>
      <c r="P63" s="13"/>
      <c r="Q63" s="13">
        <v>1</v>
      </c>
      <c r="R63" s="13"/>
      <c r="S63" s="13"/>
      <c r="T63" s="25">
        <v>45923</v>
      </c>
      <c r="U63" s="133" t="s">
        <v>147</v>
      </c>
      <c r="V63">
        <v>1</v>
      </c>
      <c r="X63" s="51" t="s">
        <v>106</v>
      </c>
      <c r="Y63" s="52">
        <f>COUNTIF(U63:U87,"K")</f>
        <v>5</v>
      </c>
      <c r="AA63" s="59" t="s">
        <v>120</v>
      </c>
      <c r="AB63" s="60" t="s">
        <v>121</v>
      </c>
    </row>
    <row r="64" spans="1:28" x14ac:dyDescent="0.4">
      <c r="A64" s="148"/>
      <c r="B64" s="151"/>
      <c r="C64" s="85" t="s">
        <v>245</v>
      </c>
      <c r="D64" s="109" t="s">
        <v>179</v>
      </c>
      <c r="E64" s="15" t="s">
        <v>39</v>
      </c>
      <c r="F64" s="16"/>
      <c r="G64" s="12" t="s">
        <v>180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45922</v>
      </c>
      <c r="U64" s="13" t="s">
        <v>142</v>
      </c>
      <c r="V64">
        <v>2</v>
      </c>
      <c r="X64" s="51" t="s">
        <v>107</v>
      </c>
      <c r="Y64" s="52">
        <f>COUNTIF(U63:U87,"R")</f>
        <v>4</v>
      </c>
      <c r="AA64" s="47" t="s">
        <v>81</v>
      </c>
      <c r="AB64" s="48" t="s">
        <v>60</v>
      </c>
    </row>
    <row r="65" spans="1:28" ht="19.5" thickBot="1" x14ac:dyDescent="0.45">
      <c r="A65" s="148"/>
      <c r="B65" s="151"/>
      <c r="C65" s="85" t="s">
        <v>246</v>
      </c>
      <c r="D65" s="109" t="s">
        <v>179</v>
      </c>
      <c r="E65" s="15" t="s">
        <v>133</v>
      </c>
      <c r="F65" s="16"/>
      <c r="G65" s="12" t="s">
        <v>180</v>
      </c>
      <c r="H65" s="15"/>
      <c r="I65" s="15"/>
      <c r="J65" s="13"/>
      <c r="K65" s="15"/>
      <c r="L65" s="13"/>
      <c r="M65" s="17"/>
      <c r="N65" s="17"/>
      <c r="O65" s="17">
        <v>1</v>
      </c>
      <c r="P65" s="17">
        <v>1</v>
      </c>
      <c r="Q65" s="17"/>
      <c r="R65" s="17">
        <v>1</v>
      </c>
      <c r="S65" s="15"/>
      <c r="T65" s="25">
        <v>45922</v>
      </c>
      <c r="U65" s="13" t="s">
        <v>148</v>
      </c>
      <c r="V65">
        <v>3</v>
      </c>
      <c r="X65" s="53" t="s">
        <v>108</v>
      </c>
      <c r="Y65" s="54">
        <f>COUNTIF(U63:U87,"J")</f>
        <v>5</v>
      </c>
      <c r="AA65" s="49" t="s">
        <v>82</v>
      </c>
      <c r="AB65" s="50" t="s">
        <v>39</v>
      </c>
    </row>
    <row r="66" spans="1:28" x14ac:dyDescent="0.4">
      <c r="A66" s="148"/>
      <c r="B66" s="151"/>
      <c r="C66" s="85" t="s">
        <v>247</v>
      </c>
      <c r="D66" s="109" t="s">
        <v>183</v>
      </c>
      <c r="E66" s="15" t="s">
        <v>38</v>
      </c>
      <c r="F66" s="16"/>
      <c r="G66" s="12" t="s">
        <v>180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45936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8"/>
      <c r="B67" s="151"/>
      <c r="C67" s="85" t="s">
        <v>248</v>
      </c>
      <c r="D67" s="109" t="s">
        <v>179</v>
      </c>
      <c r="E67" s="15" t="s">
        <v>37</v>
      </c>
      <c r="F67" s="16"/>
      <c r="G67" s="12" t="s">
        <v>180</v>
      </c>
      <c r="H67" s="15"/>
      <c r="I67" s="15"/>
      <c r="J67" s="13">
        <v>1</v>
      </c>
      <c r="K67" s="15">
        <v>1</v>
      </c>
      <c r="L67" s="13"/>
      <c r="M67" s="17"/>
      <c r="N67" s="17"/>
      <c r="O67" s="17"/>
      <c r="P67" s="17"/>
      <c r="Q67" s="17"/>
      <c r="R67" s="17"/>
      <c r="S67" s="15"/>
      <c r="T67" s="25">
        <v>45927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8"/>
      <c r="B68" s="151"/>
      <c r="C68" s="85" t="s">
        <v>249</v>
      </c>
      <c r="D68" s="109">
        <v>1183</v>
      </c>
      <c r="E68" s="15" t="s">
        <v>40</v>
      </c>
      <c r="F68" s="16"/>
      <c r="G68" s="12" t="s">
        <v>180</v>
      </c>
      <c r="H68" s="15"/>
      <c r="I68" s="15"/>
      <c r="J68" s="13"/>
      <c r="K68" s="15"/>
      <c r="L68" s="13"/>
      <c r="M68" s="17"/>
      <c r="N68" s="17"/>
      <c r="O68" s="17">
        <v>1</v>
      </c>
      <c r="P68" s="17">
        <v>1</v>
      </c>
      <c r="Q68" s="17">
        <v>1</v>
      </c>
      <c r="R68" s="17">
        <v>1</v>
      </c>
      <c r="S68" s="15"/>
      <c r="T68" s="25">
        <v>45928</v>
      </c>
      <c r="U68" s="13" t="s">
        <v>148</v>
      </c>
      <c r="V68">
        <v>6</v>
      </c>
      <c r="AA68" s="49" t="s">
        <v>85</v>
      </c>
      <c r="AB68" s="50" t="s">
        <v>43</v>
      </c>
    </row>
    <row r="69" spans="1:28" x14ac:dyDescent="0.4">
      <c r="A69" s="148"/>
      <c r="B69" s="151"/>
      <c r="C69" s="85" t="s">
        <v>250</v>
      </c>
      <c r="D69" s="109" t="s">
        <v>181</v>
      </c>
      <c r="E69" s="15" t="s">
        <v>39</v>
      </c>
      <c r="F69" s="16"/>
      <c r="G69" s="12" t="s">
        <v>180</v>
      </c>
      <c r="H69" s="15"/>
      <c r="I69" s="15"/>
      <c r="J69" s="13">
        <v>1</v>
      </c>
      <c r="K69" s="15"/>
      <c r="L69" s="13">
        <v>1</v>
      </c>
      <c r="M69" s="17"/>
      <c r="N69" s="17"/>
      <c r="O69" s="17"/>
      <c r="P69" s="17"/>
      <c r="Q69" s="17"/>
      <c r="R69" s="17"/>
      <c r="S69" s="15"/>
      <c r="T69" s="25">
        <v>45927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8"/>
      <c r="B70" s="151"/>
      <c r="C70" s="85" t="s">
        <v>251</v>
      </c>
      <c r="D70" s="109" t="s">
        <v>181</v>
      </c>
      <c r="E70" s="15" t="s">
        <v>39</v>
      </c>
      <c r="F70" s="16"/>
      <c r="G70" s="12" t="s">
        <v>180</v>
      </c>
      <c r="H70" s="15"/>
      <c r="I70" s="15"/>
      <c r="J70" s="13">
        <v>1</v>
      </c>
      <c r="K70" s="15"/>
      <c r="L70" s="13">
        <v>1</v>
      </c>
      <c r="M70" s="17"/>
      <c r="N70" s="17"/>
      <c r="O70" s="17"/>
      <c r="P70" s="17"/>
      <c r="Q70" s="17"/>
      <c r="R70" s="17"/>
      <c r="S70" s="15"/>
      <c r="T70" s="25">
        <v>45927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8"/>
      <c r="B71" s="151"/>
      <c r="C71" s="85" t="s">
        <v>253</v>
      </c>
      <c r="D71" s="109" t="s">
        <v>252</v>
      </c>
      <c r="E71" s="15" t="s">
        <v>38</v>
      </c>
      <c r="F71" s="16"/>
      <c r="G71" s="12" t="s">
        <v>180</v>
      </c>
      <c r="H71" s="15"/>
      <c r="I71" s="15"/>
      <c r="J71" s="13"/>
      <c r="K71" s="15"/>
      <c r="L71" s="13"/>
      <c r="M71" s="17">
        <v>1</v>
      </c>
      <c r="N71" s="17">
        <v>1</v>
      </c>
      <c r="O71" s="17"/>
      <c r="P71" s="17"/>
      <c r="Q71" s="17"/>
      <c r="R71" s="17"/>
      <c r="S71" s="15"/>
      <c r="T71" s="25">
        <v>45928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48"/>
      <c r="B72" s="151"/>
      <c r="C72" s="85" t="s">
        <v>254</v>
      </c>
      <c r="D72" s="109" t="s">
        <v>252</v>
      </c>
      <c r="E72" s="15" t="s">
        <v>40</v>
      </c>
      <c r="F72" s="16"/>
      <c r="G72" s="12" t="s">
        <v>255</v>
      </c>
      <c r="H72" s="15"/>
      <c r="I72" s="15"/>
      <c r="J72" s="13"/>
      <c r="K72" s="15"/>
      <c r="L72" s="13"/>
      <c r="M72" s="17"/>
      <c r="N72" s="17"/>
      <c r="O72" s="17">
        <v>1</v>
      </c>
      <c r="P72" s="17"/>
      <c r="Q72" s="17"/>
      <c r="R72" s="17">
        <v>1</v>
      </c>
      <c r="S72" s="15"/>
      <c r="T72" s="25">
        <v>45928</v>
      </c>
      <c r="U72" s="13" t="s">
        <v>148</v>
      </c>
      <c r="V72">
        <v>10</v>
      </c>
      <c r="AA72" s="49" t="s">
        <v>89</v>
      </c>
      <c r="AB72" s="50" t="s">
        <v>36</v>
      </c>
    </row>
    <row r="73" spans="1:28" x14ac:dyDescent="0.4">
      <c r="A73" s="148"/>
      <c r="B73" s="151"/>
      <c r="C73" s="85" t="s">
        <v>256</v>
      </c>
      <c r="D73" s="109" t="s">
        <v>179</v>
      </c>
      <c r="E73" s="15" t="s">
        <v>40</v>
      </c>
      <c r="F73" s="16"/>
      <c r="G73" s="15" t="s">
        <v>255</v>
      </c>
      <c r="H73" s="15"/>
      <c r="I73" s="15"/>
      <c r="J73" s="15"/>
      <c r="K73" s="15"/>
      <c r="L73" s="17"/>
      <c r="M73" s="17"/>
      <c r="N73" s="17"/>
      <c r="O73" s="17">
        <v>1</v>
      </c>
      <c r="P73" s="17">
        <v>1</v>
      </c>
      <c r="Q73" s="17">
        <v>1</v>
      </c>
      <c r="R73" s="17">
        <v>1</v>
      </c>
      <c r="S73" s="15"/>
      <c r="T73" s="25">
        <v>45928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48"/>
      <c r="B74" s="151"/>
      <c r="C74" s="85" t="s">
        <v>257</v>
      </c>
      <c r="D74" s="109" t="s">
        <v>179</v>
      </c>
      <c r="E74" s="15" t="s">
        <v>40</v>
      </c>
      <c r="F74" s="16"/>
      <c r="G74" s="15" t="s">
        <v>255</v>
      </c>
      <c r="H74" s="15"/>
      <c r="I74" s="15"/>
      <c r="J74" s="15"/>
      <c r="K74" s="15"/>
      <c r="L74" s="17"/>
      <c r="M74" s="17"/>
      <c r="N74" s="17"/>
      <c r="O74" s="17">
        <v>1</v>
      </c>
      <c r="P74" s="17">
        <v>1</v>
      </c>
      <c r="Q74" s="17">
        <v>1</v>
      </c>
      <c r="R74" s="17">
        <v>1</v>
      </c>
      <c r="S74" s="15"/>
      <c r="T74" s="25">
        <v>45928</v>
      </c>
      <c r="U74" s="15" t="s">
        <v>148</v>
      </c>
      <c r="V74">
        <v>12</v>
      </c>
      <c r="AA74" s="49" t="s">
        <v>91</v>
      </c>
      <c r="AB74" s="50" t="s">
        <v>75</v>
      </c>
    </row>
    <row r="75" spans="1:28" x14ac:dyDescent="0.4">
      <c r="A75" s="148"/>
      <c r="B75" s="151"/>
      <c r="C75" s="85" t="s">
        <v>258</v>
      </c>
      <c r="D75" s="109" t="s">
        <v>179</v>
      </c>
      <c r="E75" s="15" t="s">
        <v>36</v>
      </c>
      <c r="F75" s="16"/>
      <c r="G75" s="15" t="s">
        <v>180</v>
      </c>
      <c r="H75" s="15"/>
      <c r="I75" s="15"/>
      <c r="J75" s="15"/>
      <c r="K75" s="15"/>
      <c r="L75" s="17"/>
      <c r="M75" s="17">
        <v>1</v>
      </c>
      <c r="N75" s="17">
        <v>1</v>
      </c>
      <c r="O75" s="17"/>
      <c r="P75" s="17"/>
      <c r="Q75" s="17"/>
      <c r="R75" s="17"/>
      <c r="S75" s="15"/>
      <c r="T75" s="25">
        <v>45938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48"/>
      <c r="B76" s="151"/>
      <c r="C76" s="85" t="s">
        <v>259</v>
      </c>
      <c r="D76" s="109" t="s">
        <v>183</v>
      </c>
      <c r="E76" s="15" t="s">
        <v>38</v>
      </c>
      <c r="F76" s="16"/>
      <c r="G76" s="15" t="s">
        <v>180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45946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8"/>
      <c r="B77" s="151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8"/>
      <c r="B78" s="151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8"/>
      <c r="B79" s="151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8"/>
      <c r="B80" s="151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8"/>
      <c r="B81" s="151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8"/>
      <c r="B82" s="151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8"/>
      <c r="B83" s="151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8"/>
      <c r="B84" s="151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8"/>
      <c r="B85" s="151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8"/>
      <c r="B86" s="151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9"/>
      <c r="B87" s="152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14</v>
      </c>
      <c r="D88" s="112"/>
      <c r="E88" s="29"/>
      <c r="F88" s="29" t="s">
        <v>34</v>
      </c>
      <c r="G88" s="29">
        <f>COUNTIF(G63:G87,"S")</f>
        <v>11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4</v>
      </c>
      <c r="L88" s="29">
        <f t="shared" si="2"/>
        <v>2</v>
      </c>
      <c r="M88" s="29">
        <f t="shared" si="2"/>
        <v>3</v>
      </c>
      <c r="N88" s="29">
        <f t="shared" si="2"/>
        <v>3</v>
      </c>
      <c r="O88" s="29">
        <f t="shared" si="2"/>
        <v>5</v>
      </c>
      <c r="P88" s="29">
        <f t="shared" si="2"/>
        <v>4</v>
      </c>
      <c r="Q88" s="29">
        <f t="shared" si="2"/>
        <v>4</v>
      </c>
      <c r="R88" s="29">
        <f t="shared" si="2"/>
        <v>5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3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30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AYG118</v>
      </c>
      <c r="B91" s="24">
        <f>B1</f>
        <v>45901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0" t="s">
        <v>117</v>
      </c>
      <c r="Y92" s="146"/>
    </row>
    <row r="93" spans="1:28" ht="20.25" thickTop="1" thickBot="1" x14ac:dyDescent="0.45">
      <c r="A93" s="147">
        <v>4</v>
      </c>
      <c r="B93" s="137">
        <v>20.399999999999999</v>
      </c>
      <c r="C93" s="85" t="s">
        <v>260</v>
      </c>
      <c r="D93" s="109" t="s">
        <v>181</v>
      </c>
      <c r="E93" s="15" t="s">
        <v>59</v>
      </c>
      <c r="F93" s="14"/>
      <c r="G93" s="12" t="s">
        <v>180</v>
      </c>
      <c r="H93" s="13" t="s">
        <v>188</v>
      </c>
      <c r="I93" s="13"/>
      <c r="J93" s="13">
        <v>2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45930</v>
      </c>
      <c r="U93" s="13" t="s">
        <v>146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48"/>
      <c r="B94" s="138"/>
      <c r="C94" s="85" t="s">
        <v>261</v>
      </c>
      <c r="D94" s="109" t="s">
        <v>181</v>
      </c>
      <c r="E94" s="15" t="s">
        <v>59</v>
      </c>
      <c r="F94" s="16"/>
      <c r="G94" s="12" t="s">
        <v>180</v>
      </c>
      <c r="H94" s="15" t="s">
        <v>188</v>
      </c>
      <c r="I94" s="15"/>
      <c r="J94" s="15">
        <v>2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45930</v>
      </c>
      <c r="U94" s="13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48"/>
      <c r="B95" s="138"/>
      <c r="C95" s="85" t="s">
        <v>262</v>
      </c>
      <c r="D95" s="109" t="s">
        <v>181</v>
      </c>
      <c r="E95" s="15" t="s">
        <v>59</v>
      </c>
      <c r="F95" s="16"/>
      <c r="G95" s="12" t="s">
        <v>180</v>
      </c>
      <c r="H95" s="15" t="s">
        <v>188</v>
      </c>
      <c r="I95" s="15"/>
      <c r="J95" s="15">
        <v>2</v>
      </c>
      <c r="K95" s="15"/>
      <c r="L95" s="17"/>
      <c r="M95" s="17"/>
      <c r="N95" s="17"/>
      <c r="O95" s="17"/>
      <c r="P95" s="17"/>
      <c r="Q95" s="17"/>
      <c r="R95" s="17"/>
      <c r="S95" s="15"/>
      <c r="T95" s="25">
        <v>45935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8"/>
      <c r="B96" s="138"/>
      <c r="C96" s="85" t="s">
        <v>263</v>
      </c>
      <c r="D96" s="109" t="s">
        <v>181</v>
      </c>
      <c r="E96" s="15" t="s">
        <v>59</v>
      </c>
      <c r="F96" s="16"/>
      <c r="G96" s="12" t="s">
        <v>180</v>
      </c>
      <c r="H96" s="15" t="s">
        <v>188</v>
      </c>
      <c r="I96" s="15"/>
      <c r="J96" s="15">
        <v>2</v>
      </c>
      <c r="K96" s="15"/>
      <c r="L96" s="17"/>
      <c r="M96" s="17"/>
      <c r="N96" s="17"/>
      <c r="O96" s="17"/>
      <c r="P96" s="17"/>
      <c r="Q96" s="17"/>
      <c r="R96" s="17"/>
      <c r="S96" s="15"/>
      <c r="T96" s="25">
        <v>45935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8"/>
      <c r="B97" s="138"/>
      <c r="C97" s="85"/>
      <c r="D97" s="109"/>
      <c r="E97" s="15"/>
      <c r="F97" s="16"/>
      <c r="G97" s="12"/>
      <c r="H97" s="15"/>
      <c r="I97" s="15"/>
      <c r="J97" s="15"/>
      <c r="K97" s="15"/>
      <c r="L97" s="17"/>
      <c r="M97" s="17"/>
      <c r="N97" s="17"/>
      <c r="O97" s="17"/>
      <c r="P97" s="17"/>
      <c r="Q97" s="17"/>
      <c r="R97" s="17"/>
      <c r="S97" s="15"/>
      <c r="T97" s="25"/>
      <c r="U97" s="13"/>
      <c r="V97">
        <v>5</v>
      </c>
      <c r="AA97" s="49" t="s">
        <v>84</v>
      </c>
      <c r="AB97" s="50" t="s">
        <v>44</v>
      </c>
    </row>
    <row r="98" spans="1:28" x14ac:dyDescent="0.4">
      <c r="A98" s="148"/>
      <c r="B98" s="138"/>
      <c r="C98" s="85"/>
      <c r="D98" s="109"/>
      <c r="E98" s="15"/>
      <c r="F98" s="16"/>
      <c r="G98" s="12"/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/>
      <c r="T98" s="25"/>
      <c r="U98" s="13"/>
      <c r="V98">
        <v>6</v>
      </c>
      <c r="AA98" s="49" t="s">
        <v>85</v>
      </c>
      <c r="AB98" s="50" t="s">
        <v>43</v>
      </c>
    </row>
    <row r="99" spans="1:28" x14ac:dyDescent="0.4">
      <c r="A99" s="148"/>
      <c r="B99" s="138"/>
      <c r="C99" s="85"/>
      <c r="D99" s="109"/>
      <c r="E99" s="15"/>
      <c r="F99" s="16"/>
      <c r="G99" s="12"/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/>
      <c r="U99" s="13"/>
      <c r="V99">
        <v>7</v>
      </c>
      <c r="AA99" s="49" t="s">
        <v>86</v>
      </c>
      <c r="AB99" s="50" t="s">
        <v>45</v>
      </c>
    </row>
    <row r="100" spans="1:28" x14ac:dyDescent="0.4">
      <c r="A100" s="148"/>
      <c r="B100" s="138"/>
      <c r="C100" s="85"/>
      <c r="D100" s="109"/>
      <c r="E100" s="15"/>
      <c r="F100" s="16"/>
      <c r="G100" s="12"/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/>
      <c r="U100" s="15"/>
      <c r="V100">
        <v>8</v>
      </c>
      <c r="AA100" s="49" t="s">
        <v>87</v>
      </c>
      <c r="AB100" s="50" t="s">
        <v>37</v>
      </c>
    </row>
    <row r="101" spans="1:28" x14ac:dyDescent="0.4">
      <c r="A101" s="148"/>
      <c r="B101" s="138"/>
      <c r="C101" s="85"/>
      <c r="D101" s="109"/>
      <c r="E101" s="15"/>
      <c r="F101" s="16"/>
      <c r="G101" s="12"/>
      <c r="H101" s="15"/>
      <c r="I101" s="15"/>
      <c r="J101" s="15"/>
      <c r="K101" s="15"/>
      <c r="L101" s="17"/>
      <c r="M101" s="17"/>
      <c r="N101" s="17"/>
      <c r="O101" s="17"/>
      <c r="P101" s="17"/>
      <c r="Q101" s="17"/>
      <c r="R101" s="17"/>
      <c r="S101" s="15"/>
      <c r="T101" s="25"/>
      <c r="U101" s="15"/>
      <c r="V101">
        <v>9</v>
      </c>
      <c r="AA101" s="49" t="s">
        <v>88</v>
      </c>
      <c r="AB101" s="50" t="s">
        <v>74</v>
      </c>
    </row>
    <row r="102" spans="1:28" x14ac:dyDescent="0.4">
      <c r="A102" s="148"/>
      <c r="B102" s="138"/>
      <c r="C102" s="85"/>
      <c r="D102" s="109"/>
      <c r="E102" s="15"/>
      <c r="F102" s="16"/>
      <c r="G102" s="12"/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/>
      <c r="U102" s="15"/>
      <c r="V102">
        <v>10</v>
      </c>
      <c r="AA102" s="49" t="s">
        <v>89</v>
      </c>
      <c r="AB102" s="50" t="s">
        <v>36</v>
      </c>
    </row>
    <row r="103" spans="1:28" x14ac:dyDescent="0.4">
      <c r="A103" s="148"/>
      <c r="B103" s="138"/>
      <c r="C103" s="85"/>
      <c r="D103" s="109"/>
      <c r="E103" s="15"/>
      <c r="F103" s="16"/>
      <c r="G103" s="12"/>
      <c r="H103" s="15"/>
      <c r="I103" s="15"/>
      <c r="J103" s="15"/>
      <c r="K103" s="15"/>
      <c r="L103" s="17"/>
      <c r="M103" s="17"/>
      <c r="N103" s="17"/>
      <c r="O103" s="17"/>
      <c r="P103" s="17"/>
      <c r="Q103" s="17"/>
      <c r="R103" s="17"/>
      <c r="S103" s="15"/>
      <c r="T103" s="25"/>
      <c r="U103" s="15"/>
      <c r="V103">
        <v>11</v>
      </c>
      <c r="AA103" s="49" t="s">
        <v>90</v>
      </c>
      <c r="AB103" s="50" t="s">
        <v>58</v>
      </c>
    </row>
    <row r="104" spans="1:28" x14ac:dyDescent="0.4">
      <c r="A104" s="148"/>
      <c r="B104" s="138"/>
      <c r="C104" s="85"/>
      <c r="D104" s="109"/>
      <c r="E104" s="15"/>
      <c r="F104" s="16"/>
      <c r="G104" s="12"/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/>
      <c r="U104" s="15"/>
      <c r="V104">
        <v>12</v>
      </c>
      <c r="AA104" s="49" t="s">
        <v>91</v>
      </c>
      <c r="AB104" s="50" t="s">
        <v>75</v>
      </c>
    </row>
    <row r="105" spans="1:28" x14ac:dyDescent="0.4">
      <c r="A105" s="148"/>
      <c r="B105" s="138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32"/>
      <c r="V105">
        <v>13</v>
      </c>
      <c r="AA105" s="49" t="s">
        <v>92</v>
      </c>
      <c r="AB105" s="50" t="s">
        <v>40</v>
      </c>
    </row>
    <row r="106" spans="1:28" x14ac:dyDescent="0.4">
      <c r="A106" s="148"/>
      <c r="B106" s="138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48"/>
      <c r="B107" s="138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8"/>
      <c r="B108" s="138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8"/>
      <c r="B109" s="138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8"/>
      <c r="B110" s="138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8"/>
      <c r="B111" s="138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8"/>
      <c r="B112" s="138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8"/>
      <c r="B113" s="138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8"/>
      <c r="B114" s="138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8"/>
      <c r="B115" s="138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8"/>
      <c r="B116" s="138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9"/>
      <c r="B117" s="139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4</v>
      </c>
      <c r="D118" s="112"/>
      <c r="E118" s="29"/>
      <c r="F118" s="29" t="s">
        <v>34</v>
      </c>
      <c r="G118" s="29">
        <f>COUNTIF(G93:G117,"S")</f>
        <v>4</v>
      </c>
      <c r="H118" s="29">
        <f>COUNTIF(H93:H117,"E")</f>
        <v>4</v>
      </c>
      <c r="I118" s="29">
        <f>SUM(I93:I117)</f>
        <v>0</v>
      </c>
      <c r="J118" s="29">
        <f t="shared" ref="J118" si="3">SUM(J93:J117)</f>
        <v>8</v>
      </c>
      <c r="K118" s="29">
        <f t="shared" ref="K118" si="4">SUM(K93:K117)</f>
        <v>0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AYG118</v>
      </c>
      <c r="B121" s="24">
        <f>B1</f>
        <v>45901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0" t="s">
        <v>116</v>
      </c>
      <c r="Y122" s="146"/>
    </row>
    <row r="123" spans="1:28" ht="20.25" thickTop="1" thickBot="1" x14ac:dyDescent="0.45">
      <c r="A123" s="147">
        <v>5</v>
      </c>
      <c r="B123" s="137">
        <v>19.8</v>
      </c>
      <c r="C123" s="85" t="s">
        <v>264</v>
      </c>
      <c r="D123" s="109" t="s">
        <v>271</v>
      </c>
      <c r="E123" s="15" t="s">
        <v>38</v>
      </c>
      <c r="F123" s="14"/>
      <c r="G123" s="12" t="s">
        <v>180</v>
      </c>
      <c r="H123" s="13"/>
      <c r="I123" s="13"/>
      <c r="J123" s="13">
        <v>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45929</v>
      </c>
      <c r="U123" s="13" t="s">
        <v>146</v>
      </c>
      <c r="V123">
        <v>1</v>
      </c>
      <c r="X123" s="51" t="s">
        <v>106</v>
      </c>
      <c r="Y123" s="52">
        <f>COUNTIF(U123:U147,"K")</f>
        <v>9</v>
      </c>
      <c r="AA123" s="59" t="s">
        <v>120</v>
      </c>
      <c r="AB123" s="60" t="s">
        <v>121</v>
      </c>
    </row>
    <row r="124" spans="1:28" x14ac:dyDescent="0.4">
      <c r="A124" s="148"/>
      <c r="B124" s="138"/>
      <c r="C124" s="85" t="s">
        <v>265</v>
      </c>
      <c r="D124" s="109" t="s">
        <v>271</v>
      </c>
      <c r="E124" s="15" t="s">
        <v>38</v>
      </c>
      <c r="F124" s="16"/>
      <c r="G124" s="12" t="s">
        <v>180</v>
      </c>
      <c r="H124" s="15"/>
      <c r="I124" s="15"/>
      <c r="J124" s="15">
        <v>1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45929</v>
      </c>
      <c r="U124" s="13" t="s">
        <v>146</v>
      </c>
      <c r="V124">
        <v>2</v>
      </c>
      <c r="X124" s="51" t="s">
        <v>107</v>
      </c>
      <c r="Y124" s="52">
        <f>COUNTIF(U123:U147,"R")</f>
        <v>0</v>
      </c>
      <c r="AA124" s="47" t="s">
        <v>81</v>
      </c>
      <c r="AB124" s="48" t="s">
        <v>60</v>
      </c>
    </row>
    <row r="125" spans="1:28" ht="19.5" thickBot="1" x14ac:dyDescent="0.45">
      <c r="A125" s="148"/>
      <c r="B125" s="138"/>
      <c r="C125" s="85" t="s">
        <v>266</v>
      </c>
      <c r="D125" s="109" t="s">
        <v>271</v>
      </c>
      <c r="E125" s="15" t="s">
        <v>38</v>
      </c>
      <c r="F125" s="16"/>
      <c r="G125" s="12" t="s">
        <v>180</v>
      </c>
      <c r="H125" s="15"/>
      <c r="I125" s="15"/>
      <c r="J125" s="15">
        <v>1</v>
      </c>
      <c r="K125" s="15"/>
      <c r="L125" s="17"/>
      <c r="M125" s="17"/>
      <c r="N125" s="17"/>
      <c r="O125" s="17"/>
      <c r="P125" s="17"/>
      <c r="Q125" s="17"/>
      <c r="R125" s="17"/>
      <c r="S125" s="15"/>
      <c r="T125" s="25">
        <v>45929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8"/>
      <c r="B126" s="138"/>
      <c r="C126" s="85" t="s">
        <v>267</v>
      </c>
      <c r="D126" s="109" t="s">
        <v>271</v>
      </c>
      <c r="E126" s="15" t="s">
        <v>38</v>
      </c>
      <c r="F126" s="16"/>
      <c r="G126" s="12" t="s">
        <v>180</v>
      </c>
      <c r="H126" s="15"/>
      <c r="I126" s="15"/>
      <c r="J126" s="15">
        <v>1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45929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8"/>
      <c r="B127" s="138"/>
      <c r="C127" s="85" t="s">
        <v>268</v>
      </c>
      <c r="D127" s="109" t="s">
        <v>271</v>
      </c>
      <c r="E127" s="15" t="s">
        <v>38</v>
      </c>
      <c r="F127" s="16"/>
      <c r="G127" s="12" t="s">
        <v>180</v>
      </c>
      <c r="H127" s="15"/>
      <c r="I127" s="15"/>
      <c r="J127" s="15">
        <v>1</v>
      </c>
      <c r="K127" s="15"/>
      <c r="L127" s="17"/>
      <c r="M127" s="17"/>
      <c r="N127" s="17"/>
      <c r="O127" s="17"/>
      <c r="P127" s="17"/>
      <c r="Q127" s="17"/>
      <c r="R127" s="17"/>
      <c r="S127" s="15"/>
      <c r="T127" s="25">
        <v>45929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48"/>
      <c r="B128" s="138"/>
      <c r="C128" s="85" t="s">
        <v>269</v>
      </c>
      <c r="D128" s="109" t="s">
        <v>271</v>
      </c>
      <c r="E128" s="15" t="s">
        <v>38</v>
      </c>
      <c r="F128" s="16"/>
      <c r="G128" s="12" t="s">
        <v>180</v>
      </c>
      <c r="H128" s="13"/>
      <c r="I128" s="15"/>
      <c r="J128" s="15">
        <v>1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45929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8"/>
      <c r="B129" s="138"/>
      <c r="C129" s="85" t="s">
        <v>270</v>
      </c>
      <c r="D129" s="109" t="s">
        <v>271</v>
      </c>
      <c r="E129" s="15" t="s">
        <v>38</v>
      </c>
      <c r="F129" s="16"/>
      <c r="G129" s="12" t="s">
        <v>180</v>
      </c>
      <c r="H129" s="15"/>
      <c r="I129" s="15"/>
      <c r="J129" s="15">
        <v>1</v>
      </c>
      <c r="K129" s="15"/>
      <c r="L129" s="17"/>
      <c r="M129" s="17"/>
      <c r="N129" s="17"/>
      <c r="O129" s="17"/>
      <c r="P129" s="17"/>
      <c r="Q129" s="17"/>
      <c r="R129" s="17"/>
      <c r="S129" s="15"/>
      <c r="T129" s="25">
        <v>45929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8"/>
      <c r="B130" s="138"/>
      <c r="C130" s="85" t="s">
        <v>272</v>
      </c>
      <c r="D130" s="109" t="s">
        <v>181</v>
      </c>
      <c r="E130" s="15" t="s">
        <v>59</v>
      </c>
      <c r="F130" s="16"/>
      <c r="G130" s="12" t="s">
        <v>180</v>
      </c>
      <c r="H130" s="15"/>
      <c r="I130" s="15"/>
      <c r="J130" s="15">
        <v>2</v>
      </c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45935</v>
      </c>
      <c r="U130" s="15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8"/>
      <c r="B131" s="138"/>
      <c r="C131" s="85" t="s">
        <v>273</v>
      </c>
      <c r="D131" s="109" t="s">
        <v>181</v>
      </c>
      <c r="E131" s="15" t="s">
        <v>59</v>
      </c>
      <c r="F131" s="16"/>
      <c r="G131" s="12" t="s">
        <v>180</v>
      </c>
      <c r="H131" s="15"/>
      <c r="I131" s="15"/>
      <c r="J131" s="15">
        <v>2</v>
      </c>
      <c r="K131" s="15"/>
      <c r="L131" s="17"/>
      <c r="M131" s="17"/>
      <c r="N131" s="17"/>
      <c r="O131" s="17"/>
      <c r="P131" s="17"/>
      <c r="Q131" s="17"/>
      <c r="R131" s="17"/>
      <c r="S131" s="15"/>
      <c r="T131" s="25">
        <v>45935</v>
      </c>
      <c r="U131" s="15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8"/>
      <c r="B132" s="138"/>
      <c r="C132" s="85"/>
      <c r="D132" s="109"/>
      <c r="E132" s="15"/>
      <c r="F132" s="16"/>
      <c r="G132" s="12"/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/>
      <c r="U132" s="15"/>
      <c r="V132">
        <v>10</v>
      </c>
      <c r="AA132" s="49" t="s">
        <v>89</v>
      </c>
      <c r="AB132" s="50" t="s">
        <v>36</v>
      </c>
    </row>
    <row r="133" spans="1:28" x14ac:dyDescent="0.4">
      <c r="A133" s="148"/>
      <c r="B133" s="138"/>
      <c r="C133" s="85"/>
      <c r="D133" s="109"/>
      <c r="E133" s="15"/>
      <c r="F133" s="16"/>
      <c r="G133" s="12"/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/>
      <c r="T133" s="25"/>
      <c r="U133" s="15"/>
      <c r="V133">
        <v>11</v>
      </c>
      <c r="AA133" s="49" t="s">
        <v>90</v>
      </c>
      <c r="AB133" s="50" t="s">
        <v>58</v>
      </c>
    </row>
    <row r="134" spans="1:28" x14ac:dyDescent="0.4">
      <c r="A134" s="148"/>
      <c r="B134" s="138"/>
      <c r="C134" s="85"/>
      <c r="D134" s="109"/>
      <c r="E134" s="15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5"/>
      <c r="V134">
        <v>12</v>
      </c>
      <c r="AA134" s="49" t="s">
        <v>91</v>
      </c>
      <c r="AB134" s="50" t="s">
        <v>75</v>
      </c>
    </row>
    <row r="135" spans="1:28" x14ac:dyDescent="0.4">
      <c r="A135" s="148"/>
      <c r="B135" s="138"/>
      <c r="C135" s="85"/>
      <c r="D135" s="109"/>
      <c r="E135" s="15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2"/>
      <c r="V135">
        <v>13</v>
      </c>
      <c r="AA135" s="49" t="s">
        <v>92</v>
      </c>
      <c r="AB135" s="50" t="s">
        <v>40</v>
      </c>
    </row>
    <row r="136" spans="1:28" x14ac:dyDescent="0.4">
      <c r="A136" s="148"/>
      <c r="B136" s="138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5"/>
      <c r="V136">
        <v>14</v>
      </c>
      <c r="AA136" s="49" t="s">
        <v>93</v>
      </c>
      <c r="AB136" s="50" t="s">
        <v>57</v>
      </c>
    </row>
    <row r="137" spans="1:28" x14ac:dyDescent="0.4">
      <c r="A137" s="148"/>
      <c r="B137" s="138"/>
      <c r="C137" s="85"/>
      <c r="D137" s="109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5"/>
      <c r="V137">
        <v>15</v>
      </c>
      <c r="AA137" s="49" t="s">
        <v>94</v>
      </c>
      <c r="AB137" s="50" t="s">
        <v>41</v>
      </c>
    </row>
    <row r="138" spans="1:28" x14ac:dyDescent="0.4">
      <c r="A138" s="148"/>
      <c r="B138" s="138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8"/>
      <c r="B139" s="138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8"/>
      <c r="B140" s="138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8"/>
      <c r="B141" s="138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8"/>
      <c r="B142" s="138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8"/>
      <c r="B143" s="138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8"/>
      <c r="B144" s="138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8"/>
      <c r="B145" s="138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8"/>
      <c r="B146" s="138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9"/>
      <c r="B147" s="139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9</v>
      </c>
      <c r="D148" s="112"/>
      <c r="E148" s="29"/>
      <c r="F148" s="29" t="s">
        <v>34</v>
      </c>
      <c r="G148" s="29">
        <f>COUNTIF(G123:G147,"S")</f>
        <v>9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11</v>
      </c>
      <c r="K148" s="29">
        <f t="shared" ref="K148" si="14">SUM(K123:K147)</f>
        <v>0</v>
      </c>
      <c r="L148" s="29">
        <f t="shared" ref="L148" si="15">SUM(L123:L147)</f>
        <v>0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11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AYG118</v>
      </c>
      <c r="B151" s="24">
        <f>B1</f>
        <v>45901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0" t="s">
        <v>115</v>
      </c>
      <c r="Y152" s="146"/>
    </row>
    <row r="153" spans="1:28" ht="20.25" thickTop="1" thickBot="1" x14ac:dyDescent="0.45">
      <c r="A153" s="147">
        <v>6</v>
      </c>
      <c r="B153" s="150">
        <v>21.2</v>
      </c>
      <c r="C153" s="85" t="s">
        <v>274</v>
      </c>
      <c r="D153" s="109">
        <v>1183</v>
      </c>
      <c r="E153" s="13" t="s">
        <v>37</v>
      </c>
      <c r="F153" s="14"/>
      <c r="G153" s="12" t="s">
        <v>180</v>
      </c>
      <c r="H153" s="13"/>
      <c r="I153" s="13"/>
      <c r="J153" s="13"/>
      <c r="K153" s="13"/>
      <c r="L153" s="13"/>
      <c r="M153" s="13">
        <v>1</v>
      </c>
      <c r="N153" s="13">
        <v>1</v>
      </c>
      <c r="O153" s="13"/>
      <c r="P153" s="13"/>
      <c r="Q153" s="13">
        <v>1</v>
      </c>
      <c r="R153" s="13"/>
      <c r="S153" s="13"/>
      <c r="T153" s="26">
        <v>45957</v>
      </c>
      <c r="U153" s="13" t="s">
        <v>147</v>
      </c>
      <c r="V153">
        <v>1</v>
      </c>
      <c r="X153" s="51" t="s">
        <v>106</v>
      </c>
      <c r="Y153" s="52">
        <f>COUNTIF(U153:U177,"K")</f>
        <v>9</v>
      </c>
      <c r="AA153" s="59" t="s">
        <v>120</v>
      </c>
      <c r="AB153" s="60" t="s">
        <v>121</v>
      </c>
    </row>
    <row r="154" spans="1:28" x14ac:dyDescent="0.4">
      <c r="A154" s="148"/>
      <c r="B154" s="151"/>
      <c r="C154" s="85" t="s">
        <v>275</v>
      </c>
      <c r="D154" s="109">
        <v>1183</v>
      </c>
      <c r="E154" s="13" t="s">
        <v>58</v>
      </c>
      <c r="F154" s="16"/>
      <c r="G154" s="12" t="s">
        <v>180</v>
      </c>
      <c r="H154" s="15"/>
      <c r="I154" s="15"/>
      <c r="J154" s="15"/>
      <c r="K154" s="15"/>
      <c r="L154" s="17"/>
      <c r="M154" s="17"/>
      <c r="N154" s="17"/>
      <c r="O154" s="17"/>
      <c r="P154" s="17"/>
      <c r="Q154" s="17"/>
      <c r="R154" s="17"/>
      <c r="S154" s="15"/>
      <c r="T154" s="26">
        <v>45957</v>
      </c>
      <c r="U154" s="13" t="s">
        <v>147</v>
      </c>
      <c r="V154">
        <v>2</v>
      </c>
      <c r="X154" s="51" t="s">
        <v>107</v>
      </c>
      <c r="Y154" s="52">
        <f>COUNTIF(U153:U177,"R")</f>
        <v>6</v>
      </c>
      <c r="AA154" s="47" t="s">
        <v>81</v>
      </c>
      <c r="AB154" s="48" t="s">
        <v>60</v>
      </c>
    </row>
    <row r="155" spans="1:28" ht="19.5" thickBot="1" x14ac:dyDescent="0.45">
      <c r="A155" s="148"/>
      <c r="B155" s="151"/>
      <c r="C155" s="85" t="s">
        <v>276</v>
      </c>
      <c r="D155" s="109" t="s">
        <v>277</v>
      </c>
      <c r="E155" s="13" t="s">
        <v>58</v>
      </c>
      <c r="F155" s="16"/>
      <c r="G155" s="12" t="s">
        <v>180</v>
      </c>
      <c r="H155" s="13"/>
      <c r="I155" s="15"/>
      <c r="J155" s="13"/>
      <c r="K155" s="15"/>
      <c r="L155" s="13"/>
      <c r="M155" s="17"/>
      <c r="N155" s="17"/>
      <c r="O155" s="17"/>
      <c r="P155" s="17"/>
      <c r="Q155" s="17"/>
      <c r="R155" s="17"/>
      <c r="S155" s="15"/>
      <c r="T155" s="26">
        <v>45924</v>
      </c>
      <c r="U155" s="13" t="s">
        <v>147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8"/>
      <c r="B156" s="151"/>
      <c r="C156" s="85" t="s">
        <v>279</v>
      </c>
      <c r="D156" s="109" t="s">
        <v>278</v>
      </c>
      <c r="E156" s="13" t="s">
        <v>37</v>
      </c>
      <c r="F156" s="16"/>
      <c r="G156" s="12" t="s">
        <v>180</v>
      </c>
      <c r="H156" s="15"/>
      <c r="I156" s="15"/>
      <c r="J156" s="13">
        <v>1</v>
      </c>
      <c r="K156" s="15">
        <v>1</v>
      </c>
      <c r="L156" s="13"/>
      <c r="M156" s="17"/>
      <c r="N156" s="17"/>
      <c r="O156" s="17"/>
      <c r="P156" s="17"/>
      <c r="Q156" s="17"/>
      <c r="R156" s="17"/>
      <c r="S156" s="15"/>
      <c r="T156" s="26">
        <v>45924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48"/>
      <c r="B157" s="151"/>
      <c r="C157" s="85" t="s">
        <v>280</v>
      </c>
      <c r="D157" s="109" t="s">
        <v>184</v>
      </c>
      <c r="E157" s="13" t="s">
        <v>40</v>
      </c>
      <c r="F157" s="16"/>
      <c r="G157" s="12" t="s">
        <v>180</v>
      </c>
      <c r="H157" s="15"/>
      <c r="I157" s="15"/>
      <c r="J157" s="13"/>
      <c r="K157" s="15"/>
      <c r="L157" s="13"/>
      <c r="M157" s="17"/>
      <c r="N157" s="17"/>
      <c r="O157" s="17"/>
      <c r="P157" s="17">
        <v>2</v>
      </c>
      <c r="Q157" s="17"/>
      <c r="R157" s="17"/>
      <c r="S157" s="15"/>
      <c r="T157" s="26">
        <v>45928</v>
      </c>
      <c r="U157" s="13" t="s">
        <v>148</v>
      </c>
      <c r="V157">
        <v>5</v>
      </c>
      <c r="AA157" s="49" t="s">
        <v>84</v>
      </c>
      <c r="AB157" s="50" t="s">
        <v>44</v>
      </c>
    </row>
    <row r="158" spans="1:28" x14ac:dyDescent="0.4">
      <c r="A158" s="148"/>
      <c r="B158" s="151"/>
      <c r="C158" s="85" t="s">
        <v>281</v>
      </c>
      <c r="D158" s="109" t="s">
        <v>184</v>
      </c>
      <c r="E158" s="13" t="s">
        <v>57</v>
      </c>
      <c r="F158" s="16"/>
      <c r="G158" s="12" t="s">
        <v>180</v>
      </c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45928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48"/>
      <c r="B159" s="151"/>
      <c r="C159" s="85" t="s">
        <v>282</v>
      </c>
      <c r="D159" s="109" t="s">
        <v>184</v>
      </c>
      <c r="E159" s="13" t="s">
        <v>37</v>
      </c>
      <c r="F159" s="16"/>
      <c r="G159" s="12" t="s">
        <v>180</v>
      </c>
      <c r="H159" s="15"/>
      <c r="I159" s="15"/>
      <c r="J159" s="13"/>
      <c r="K159" s="15"/>
      <c r="L159" s="13"/>
      <c r="M159" s="17">
        <v>1</v>
      </c>
      <c r="N159" s="17">
        <v>1</v>
      </c>
      <c r="O159" s="17"/>
      <c r="P159" s="17"/>
      <c r="Q159" s="17"/>
      <c r="R159" s="17"/>
      <c r="S159" s="15"/>
      <c r="T159" s="26">
        <v>45928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8"/>
      <c r="B160" s="151"/>
      <c r="C160" s="85" t="s">
        <v>283</v>
      </c>
      <c r="D160" s="109" t="s">
        <v>184</v>
      </c>
      <c r="E160" s="13" t="s">
        <v>36</v>
      </c>
      <c r="F160" s="16"/>
      <c r="G160" s="12" t="s">
        <v>180</v>
      </c>
      <c r="H160" s="15"/>
      <c r="I160" s="15"/>
      <c r="J160" s="13">
        <v>1</v>
      </c>
      <c r="K160" s="15">
        <v>1</v>
      </c>
      <c r="L160" s="13"/>
      <c r="M160" s="17"/>
      <c r="N160" s="17"/>
      <c r="O160" s="17"/>
      <c r="P160" s="17"/>
      <c r="Q160" s="17"/>
      <c r="R160" s="17"/>
      <c r="S160" s="15"/>
      <c r="T160" s="26">
        <v>45928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8"/>
      <c r="B161" s="151"/>
      <c r="C161" s="85" t="s">
        <v>284</v>
      </c>
      <c r="D161" s="109" t="s">
        <v>184</v>
      </c>
      <c r="E161" s="13" t="s">
        <v>38</v>
      </c>
      <c r="F161" s="16"/>
      <c r="G161" s="12" t="s">
        <v>180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6">
        <v>45928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8"/>
      <c r="B162" s="151"/>
      <c r="C162" s="85" t="s">
        <v>285</v>
      </c>
      <c r="D162" s="109" t="s">
        <v>184</v>
      </c>
      <c r="E162" s="13" t="s">
        <v>38</v>
      </c>
      <c r="F162" s="106"/>
      <c r="G162" s="12" t="s">
        <v>180</v>
      </c>
      <c r="H162" s="15"/>
      <c r="I162" s="15"/>
      <c r="J162" s="13">
        <v>1</v>
      </c>
      <c r="K162" s="15">
        <v>1</v>
      </c>
      <c r="L162" s="13"/>
      <c r="M162" s="17"/>
      <c r="N162" s="17"/>
      <c r="O162" s="17"/>
      <c r="P162" s="17"/>
      <c r="Q162" s="17"/>
      <c r="R162" s="17"/>
      <c r="S162" s="15"/>
      <c r="T162" s="26">
        <v>45928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8"/>
      <c r="B163" s="151"/>
      <c r="C163" s="85" t="s">
        <v>286</v>
      </c>
      <c r="D163" s="109" t="s">
        <v>184</v>
      </c>
      <c r="E163" s="13" t="s">
        <v>37</v>
      </c>
      <c r="F163" s="16"/>
      <c r="G163" s="12" t="s">
        <v>180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6">
        <v>45928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8"/>
      <c r="B164" s="151"/>
      <c r="C164" s="85" t="s">
        <v>287</v>
      </c>
      <c r="D164" s="109" t="s">
        <v>184</v>
      </c>
      <c r="E164" s="13" t="s">
        <v>78</v>
      </c>
      <c r="F164" s="16"/>
      <c r="G164" s="12" t="s">
        <v>180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6">
        <v>45928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8"/>
      <c r="B165" s="151"/>
      <c r="C165" s="85" t="s">
        <v>288</v>
      </c>
      <c r="D165" s="109" t="s">
        <v>184</v>
      </c>
      <c r="E165" s="13" t="s">
        <v>39</v>
      </c>
      <c r="F165" s="16"/>
      <c r="G165" s="12" t="s">
        <v>180</v>
      </c>
      <c r="H165" s="15"/>
      <c r="I165" s="15"/>
      <c r="J165" s="15">
        <v>1</v>
      </c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6">
        <v>45928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8"/>
      <c r="B166" s="151"/>
      <c r="C166" s="85" t="s">
        <v>289</v>
      </c>
      <c r="D166" s="109" t="s">
        <v>184</v>
      </c>
      <c r="E166" s="13" t="s">
        <v>39</v>
      </c>
      <c r="F166" s="16"/>
      <c r="G166" s="12" t="s">
        <v>180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6">
        <v>45928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48"/>
      <c r="B167" s="151"/>
      <c r="C167" s="85" t="s">
        <v>290</v>
      </c>
      <c r="D167" s="109" t="s">
        <v>184</v>
      </c>
      <c r="E167" s="13" t="s">
        <v>38</v>
      </c>
      <c r="F167" s="16"/>
      <c r="G167" s="12" t="s">
        <v>180</v>
      </c>
      <c r="H167" s="15"/>
      <c r="I167" s="15"/>
      <c r="J167" s="15">
        <v>1</v>
      </c>
      <c r="K167" s="15"/>
      <c r="L167" s="17"/>
      <c r="M167" s="17"/>
      <c r="N167" s="17"/>
      <c r="O167" s="17"/>
      <c r="P167" s="17"/>
      <c r="Q167" s="17"/>
      <c r="R167" s="17"/>
      <c r="S167" s="15"/>
      <c r="T167" s="26">
        <v>45928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48"/>
      <c r="B168" s="151"/>
      <c r="C168" s="85" t="s">
        <v>291</v>
      </c>
      <c r="D168" s="106" t="s">
        <v>184</v>
      </c>
      <c r="E168" s="106" t="s">
        <v>36</v>
      </c>
      <c r="F168" s="16"/>
      <c r="G168" s="12" t="s">
        <v>180</v>
      </c>
      <c r="H168" s="15"/>
      <c r="I168" s="15"/>
      <c r="J168" s="18">
        <v>1</v>
      </c>
      <c r="K168" s="15">
        <v>1</v>
      </c>
      <c r="L168" s="19"/>
      <c r="M168" s="19"/>
      <c r="N168" s="19"/>
      <c r="O168" s="19"/>
      <c r="P168" s="19"/>
      <c r="Q168" s="19"/>
      <c r="R168" s="19"/>
      <c r="S168" s="15"/>
      <c r="T168" s="25">
        <v>45928</v>
      </c>
      <c r="U168" s="13" t="s">
        <v>146</v>
      </c>
      <c r="V168">
        <v>16</v>
      </c>
      <c r="AA168" s="49" t="s">
        <v>95</v>
      </c>
      <c r="AB168" s="50" t="s">
        <v>42</v>
      </c>
    </row>
    <row r="169" spans="1:28" x14ac:dyDescent="0.4">
      <c r="A169" s="148"/>
      <c r="B169" s="151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8"/>
      <c r="B170" s="151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8"/>
      <c r="B171" s="151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8"/>
      <c r="B172" s="151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8"/>
      <c r="B173" s="151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8"/>
      <c r="B174" s="151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8"/>
      <c r="B175" s="151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8"/>
      <c r="B176" s="151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9"/>
      <c r="B177" s="152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10</v>
      </c>
      <c r="K178" s="29">
        <f t="shared" ref="K178" si="24">SUM(K153:K177)</f>
        <v>9</v>
      </c>
      <c r="L178" s="29">
        <f t="shared" ref="L178" si="25">SUM(L153:L177)</f>
        <v>0</v>
      </c>
      <c r="M178" s="29">
        <f t="shared" ref="M178" si="26">SUM(M153:M177)</f>
        <v>2</v>
      </c>
      <c r="N178" s="29">
        <f t="shared" ref="N178" si="27">SUM(N153:N177)</f>
        <v>2</v>
      </c>
      <c r="O178" s="29">
        <f t="shared" ref="O178" si="28">SUM(O153:O177)</f>
        <v>0</v>
      </c>
      <c r="P178" s="29">
        <f t="shared" ref="P178" si="29">SUM(P153:P177)</f>
        <v>2</v>
      </c>
      <c r="Q178" s="29">
        <f t="shared" ref="Q178" si="30">SUM(Q153:Q177)</f>
        <v>1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26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182</v>
      </c>
      <c r="B181" s="24">
        <v>45841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0" t="s">
        <v>114</v>
      </c>
      <c r="Y182" s="146"/>
    </row>
    <row r="183" spans="1:28" ht="20.25" thickTop="1" thickBot="1" x14ac:dyDescent="0.45">
      <c r="A183" s="147">
        <v>7</v>
      </c>
      <c r="B183" s="150">
        <v>22.6</v>
      </c>
      <c r="C183" s="85" t="s">
        <v>292</v>
      </c>
      <c r="D183" s="110" t="s">
        <v>181</v>
      </c>
      <c r="E183" s="18" t="s">
        <v>60</v>
      </c>
      <c r="F183" s="16"/>
      <c r="G183" s="18" t="s">
        <v>180</v>
      </c>
      <c r="H183" s="15"/>
      <c r="I183" s="15"/>
      <c r="J183" s="18">
        <v>1</v>
      </c>
      <c r="K183" s="15"/>
      <c r="L183" s="19">
        <v>1</v>
      </c>
      <c r="M183" s="19"/>
      <c r="N183" s="19"/>
      <c r="O183" s="19"/>
      <c r="P183" s="19"/>
      <c r="Q183" s="19"/>
      <c r="R183" s="19"/>
      <c r="S183" s="15"/>
      <c r="T183" s="25">
        <v>45924</v>
      </c>
      <c r="U183" s="15" t="s">
        <v>146</v>
      </c>
      <c r="V183">
        <v>1</v>
      </c>
      <c r="X183" s="51" t="s">
        <v>106</v>
      </c>
      <c r="Y183" s="52">
        <f>COUNTIF(U183:U207,"K")</f>
        <v>10</v>
      </c>
      <c r="AA183" s="59" t="s">
        <v>120</v>
      </c>
      <c r="AB183" s="60" t="s">
        <v>121</v>
      </c>
    </row>
    <row r="184" spans="1:28" x14ac:dyDescent="0.4">
      <c r="A184" s="148"/>
      <c r="B184" s="151"/>
      <c r="C184" s="85" t="s">
        <v>356</v>
      </c>
      <c r="D184" s="110" t="s">
        <v>181</v>
      </c>
      <c r="E184" s="18" t="s">
        <v>60</v>
      </c>
      <c r="F184" s="16"/>
      <c r="G184" s="18" t="s">
        <v>180</v>
      </c>
      <c r="H184" s="15"/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5"/>
      <c r="T184" s="25">
        <v>45924</v>
      </c>
      <c r="U184" s="15" t="s">
        <v>146</v>
      </c>
      <c r="V184">
        <v>2</v>
      </c>
      <c r="X184" s="51" t="s">
        <v>107</v>
      </c>
      <c r="Y184" s="52">
        <f>COUNTIF(U183:U207,"R")</f>
        <v>5</v>
      </c>
      <c r="AA184" s="47" t="s">
        <v>81</v>
      </c>
      <c r="AB184" s="48" t="s">
        <v>60</v>
      </c>
    </row>
    <row r="185" spans="1:28" ht="19.5" thickBot="1" x14ac:dyDescent="0.45">
      <c r="A185" s="148"/>
      <c r="B185" s="151"/>
      <c r="C185" s="85" t="s">
        <v>293</v>
      </c>
      <c r="D185" s="110" t="s">
        <v>181</v>
      </c>
      <c r="E185" s="18" t="s">
        <v>60</v>
      </c>
      <c r="F185" s="16"/>
      <c r="G185" s="18" t="s">
        <v>180</v>
      </c>
      <c r="H185" s="15"/>
      <c r="I185" s="15"/>
      <c r="J185" s="18">
        <v>1</v>
      </c>
      <c r="K185" s="15"/>
      <c r="L185" s="19">
        <v>1</v>
      </c>
      <c r="M185" s="17"/>
      <c r="N185" s="17"/>
      <c r="O185" s="17"/>
      <c r="P185" s="17"/>
      <c r="Q185" s="17"/>
      <c r="R185" s="17"/>
      <c r="S185" s="15"/>
      <c r="T185" s="25">
        <v>45924</v>
      </c>
      <c r="U185" s="15" t="s">
        <v>146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8"/>
      <c r="B186" s="151"/>
      <c r="C186" s="85" t="s">
        <v>294</v>
      </c>
      <c r="D186" s="110" t="s">
        <v>181</v>
      </c>
      <c r="E186" s="18" t="s">
        <v>60</v>
      </c>
      <c r="F186" s="16"/>
      <c r="G186" s="18" t="s">
        <v>180</v>
      </c>
      <c r="H186" s="15"/>
      <c r="I186" s="15"/>
      <c r="J186" s="18">
        <v>1</v>
      </c>
      <c r="K186" s="15"/>
      <c r="L186" s="19">
        <v>1</v>
      </c>
      <c r="M186" s="17"/>
      <c r="N186" s="17"/>
      <c r="O186" s="17"/>
      <c r="P186" s="17"/>
      <c r="Q186" s="17"/>
      <c r="R186" s="17"/>
      <c r="S186" s="15"/>
      <c r="T186" s="25">
        <v>45924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8"/>
      <c r="B187" s="151"/>
      <c r="C187" s="85" t="s">
        <v>295</v>
      </c>
      <c r="D187" s="110" t="s">
        <v>181</v>
      </c>
      <c r="E187" s="18" t="s">
        <v>60</v>
      </c>
      <c r="F187" s="16"/>
      <c r="G187" s="18" t="s">
        <v>180</v>
      </c>
      <c r="H187" s="15"/>
      <c r="I187" s="15"/>
      <c r="J187" s="18">
        <v>1</v>
      </c>
      <c r="K187" s="15"/>
      <c r="L187" s="19">
        <v>1</v>
      </c>
      <c r="M187" s="17"/>
      <c r="N187" s="17"/>
      <c r="O187" s="17"/>
      <c r="P187" s="17"/>
      <c r="Q187" s="17"/>
      <c r="R187" s="17"/>
      <c r="S187" s="15"/>
      <c r="T187" s="25">
        <v>45924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8"/>
      <c r="B188" s="151"/>
      <c r="C188" s="85" t="s">
        <v>296</v>
      </c>
      <c r="D188" s="110" t="s">
        <v>181</v>
      </c>
      <c r="E188" s="18" t="s">
        <v>60</v>
      </c>
      <c r="F188" s="16"/>
      <c r="G188" s="18" t="s">
        <v>180</v>
      </c>
      <c r="H188" s="13"/>
      <c r="I188" s="15"/>
      <c r="J188" s="18"/>
      <c r="K188" s="15">
        <v>1</v>
      </c>
      <c r="L188" s="19"/>
      <c r="M188" s="17"/>
      <c r="N188" s="17"/>
      <c r="O188" s="17"/>
      <c r="P188" s="17"/>
      <c r="Q188" s="17"/>
      <c r="R188" s="17"/>
      <c r="S188" s="15"/>
      <c r="T188" s="25">
        <v>45938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8"/>
      <c r="B189" s="151"/>
      <c r="C189" s="85" t="s">
        <v>297</v>
      </c>
      <c r="D189" s="110" t="s">
        <v>181</v>
      </c>
      <c r="E189" s="18" t="s">
        <v>60</v>
      </c>
      <c r="F189" s="16"/>
      <c r="G189" s="18" t="s">
        <v>180</v>
      </c>
      <c r="H189" s="15"/>
      <c r="I189" s="15"/>
      <c r="J189" s="18"/>
      <c r="K189" s="15">
        <v>1</v>
      </c>
      <c r="L189" s="19"/>
      <c r="M189" s="17"/>
      <c r="N189" s="17"/>
      <c r="O189" s="17"/>
      <c r="P189" s="17"/>
      <c r="Q189" s="17"/>
      <c r="R189" s="17"/>
      <c r="S189" s="15"/>
      <c r="T189" s="25">
        <v>45938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8"/>
      <c r="B190" s="151"/>
      <c r="C190" s="85" t="s">
        <v>298</v>
      </c>
      <c r="D190" s="110" t="s">
        <v>181</v>
      </c>
      <c r="E190" s="18" t="s">
        <v>60</v>
      </c>
      <c r="F190" s="16"/>
      <c r="G190" s="18" t="s">
        <v>180</v>
      </c>
      <c r="H190" s="15"/>
      <c r="I190" s="15"/>
      <c r="J190" s="18"/>
      <c r="K190" s="15">
        <v>1</v>
      </c>
      <c r="L190" s="19"/>
      <c r="M190" s="17"/>
      <c r="N190" s="17"/>
      <c r="O190" s="17"/>
      <c r="P190" s="17"/>
      <c r="Q190" s="17"/>
      <c r="R190" s="17"/>
      <c r="S190" s="15"/>
      <c r="T190" s="25">
        <v>45938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48"/>
      <c r="B191" s="151"/>
      <c r="C191" s="85" t="s">
        <v>299</v>
      </c>
      <c r="D191" s="110" t="s">
        <v>185</v>
      </c>
      <c r="E191" s="18" t="s">
        <v>39</v>
      </c>
      <c r="F191" s="16"/>
      <c r="G191" s="18" t="s">
        <v>180</v>
      </c>
      <c r="H191" s="15"/>
      <c r="I191" s="15"/>
      <c r="J191" s="18">
        <v>1</v>
      </c>
      <c r="K191" s="15">
        <v>1</v>
      </c>
      <c r="L191" s="19"/>
      <c r="M191" s="17"/>
      <c r="N191" s="17"/>
      <c r="O191" s="17"/>
      <c r="P191" s="17"/>
      <c r="Q191" s="17"/>
      <c r="R191" s="17"/>
      <c r="S191" s="15"/>
      <c r="T191" s="25">
        <v>45931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8"/>
      <c r="B192" s="151"/>
      <c r="C192" s="85" t="s">
        <v>300</v>
      </c>
      <c r="D192" s="106" t="s">
        <v>185</v>
      </c>
      <c r="E192" s="13" t="s">
        <v>60</v>
      </c>
      <c r="F192" s="16"/>
      <c r="G192" s="18" t="s">
        <v>180</v>
      </c>
      <c r="H192" s="15"/>
      <c r="I192" s="15"/>
      <c r="J192" s="15">
        <v>1</v>
      </c>
      <c r="K192" s="15"/>
      <c r="L192" s="17">
        <v>1</v>
      </c>
      <c r="M192" s="17"/>
      <c r="N192" s="17"/>
      <c r="O192" s="17"/>
      <c r="P192" s="17"/>
      <c r="Q192" s="17"/>
      <c r="R192" s="17"/>
      <c r="S192" s="15"/>
      <c r="T192" s="25">
        <v>45938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8"/>
      <c r="B193" s="151"/>
      <c r="C193" s="85" t="s">
        <v>301</v>
      </c>
      <c r="D193" s="106" t="s">
        <v>179</v>
      </c>
      <c r="E193" s="13" t="s">
        <v>75</v>
      </c>
      <c r="F193" s="16"/>
      <c r="G193" s="18" t="s">
        <v>180</v>
      </c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/>
      <c r="T193" s="25">
        <v>45927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48"/>
      <c r="B194" s="151"/>
      <c r="C194" s="85" t="s">
        <v>302</v>
      </c>
      <c r="D194" s="106" t="s">
        <v>192</v>
      </c>
      <c r="E194" s="13" t="s">
        <v>37</v>
      </c>
      <c r="F194" s="16"/>
      <c r="G194" s="18" t="s">
        <v>180</v>
      </c>
      <c r="H194" s="15"/>
      <c r="I194" s="15"/>
      <c r="J194" s="15"/>
      <c r="K194" s="15"/>
      <c r="L194" s="17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45927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48"/>
      <c r="B195" s="151"/>
      <c r="C195" s="85" t="s">
        <v>303</v>
      </c>
      <c r="D195" s="106" t="s">
        <v>192</v>
      </c>
      <c r="E195" s="15" t="s">
        <v>36</v>
      </c>
      <c r="F195" s="16"/>
      <c r="G195" s="18" t="s">
        <v>180</v>
      </c>
      <c r="H195" s="15"/>
      <c r="I195" s="15"/>
      <c r="J195" s="15"/>
      <c r="K195" s="15"/>
      <c r="L195" s="17"/>
      <c r="M195" s="17">
        <v>1</v>
      </c>
      <c r="N195" s="17">
        <v>1</v>
      </c>
      <c r="O195" s="17"/>
      <c r="P195" s="17"/>
      <c r="Q195" s="17"/>
      <c r="R195" s="17"/>
      <c r="S195" s="15"/>
      <c r="T195" s="25">
        <v>45927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48"/>
      <c r="B196" s="151"/>
      <c r="C196" s="85" t="s">
        <v>304</v>
      </c>
      <c r="D196" s="106" t="s">
        <v>192</v>
      </c>
      <c r="E196" s="15" t="s">
        <v>36</v>
      </c>
      <c r="F196" s="16"/>
      <c r="G196" s="18" t="s">
        <v>180</v>
      </c>
      <c r="H196" s="15"/>
      <c r="I196" s="15"/>
      <c r="J196" s="15"/>
      <c r="K196" s="15"/>
      <c r="L196" s="17"/>
      <c r="M196" s="17">
        <v>1</v>
      </c>
      <c r="N196" s="17">
        <v>1</v>
      </c>
      <c r="O196" s="17"/>
      <c r="P196" s="17"/>
      <c r="Q196" s="17">
        <v>1</v>
      </c>
      <c r="R196" s="17"/>
      <c r="S196" s="15"/>
      <c r="T196" s="25">
        <v>45936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48"/>
      <c r="B197" s="151"/>
      <c r="C197" s="85" t="s">
        <v>305</v>
      </c>
      <c r="D197" s="106" t="s">
        <v>190</v>
      </c>
      <c r="E197" s="15" t="s">
        <v>37</v>
      </c>
      <c r="F197" s="16"/>
      <c r="G197" s="15" t="s">
        <v>180</v>
      </c>
      <c r="H197" s="15"/>
      <c r="I197" s="15"/>
      <c r="J197" s="15"/>
      <c r="K197" s="15"/>
      <c r="L197" s="17"/>
      <c r="M197" s="17">
        <v>1</v>
      </c>
      <c r="N197" s="17">
        <v>1</v>
      </c>
      <c r="O197" s="17"/>
      <c r="P197" s="17"/>
      <c r="Q197" s="17">
        <v>1</v>
      </c>
      <c r="R197" s="17"/>
      <c r="S197" s="15"/>
      <c r="T197" s="25">
        <v>45937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48"/>
      <c r="B198" s="151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8"/>
      <c r="B199" s="151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8"/>
      <c r="B200" s="151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8"/>
      <c r="B201" s="151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8"/>
      <c r="B202" s="151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8"/>
      <c r="B203" s="151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8"/>
      <c r="B204" s="151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8"/>
      <c r="B205" s="151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8"/>
      <c r="B206" s="151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9"/>
      <c r="B207" s="152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4</v>
      </c>
      <c r="L208" s="29">
        <f t="shared" ref="L208" si="35">SUM(L183:L207)</f>
        <v>6</v>
      </c>
      <c r="M208" s="29">
        <f t="shared" ref="M208" si="36">SUM(M183:M207)</f>
        <v>4</v>
      </c>
      <c r="N208" s="29">
        <f t="shared" ref="N208" si="37">SUM(N183:N207)</f>
        <v>4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3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28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AYG118</v>
      </c>
      <c r="B211" s="24">
        <f>B1</f>
        <v>45901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0" t="s">
        <v>113</v>
      </c>
      <c r="Y212" s="146"/>
    </row>
    <row r="213" spans="1:28" ht="20.25" thickTop="1" thickBot="1" x14ac:dyDescent="0.45">
      <c r="A213" s="147">
        <v>8</v>
      </c>
      <c r="B213" s="150">
        <v>20.6</v>
      </c>
      <c r="C213" s="85" t="s">
        <v>306</v>
      </c>
      <c r="D213" s="106" t="s">
        <v>194</v>
      </c>
      <c r="E213" s="15" t="s">
        <v>38</v>
      </c>
      <c r="F213" s="16"/>
      <c r="G213" s="15" t="s">
        <v>180</v>
      </c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45936</v>
      </c>
      <c r="U213" s="15" t="s">
        <v>146</v>
      </c>
      <c r="V213">
        <v>1</v>
      </c>
      <c r="X213" s="51" t="s">
        <v>106</v>
      </c>
      <c r="Y213" s="52">
        <f>COUNTIF(U213:U237,"K")</f>
        <v>11</v>
      </c>
      <c r="AA213" s="59" t="s">
        <v>120</v>
      </c>
      <c r="AB213" s="60" t="s">
        <v>121</v>
      </c>
    </row>
    <row r="214" spans="1:28" x14ac:dyDescent="0.4">
      <c r="A214" s="148"/>
      <c r="B214" s="151"/>
      <c r="C214" s="85" t="s">
        <v>308</v>
      </c>
      <c r="D214" s="106" t="s">
        <v>307</v>
      </c>
      <c r="E214" s="15" t="s">
        <v>38</v>
      </c>
      <c r="F214" s="16"/>
      <c r="G214" s="15" t="s">
        <v>180</v>
      </c>
      <c r="H214" s="15"/>
      <c r="I214" s="15"/>
      <c r="J214" s="15">
        <v>1</v>
      </c>
      <c r="K214" s="15"/>
      <c r="L214" s="19"/>
      <c r="M214" s="19"/>
      <c r="N214" s="19"/>
      <c r="O214" s="19"/>
      <c r="P214" s="19"/>
      <c r="Q214" s="19"/>
      <c r="R214" s="19"/>
      <c r="S214" s="15"/>
      <c r="T214" s="25">
        <v>45940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8"/>
      <c r="B215" s="151"/>
      <c r="C215" s="85" t="s">
        <v>309</v>
      </c>
      <c r="D215" s="106" t="s">
        <v>307</v>
      </c>
      <c r="E215" s="15" t="s">
        <v>40</v>
      </c>
      <c r="F215" s="16"/>
      <c r="G215" s="15" t="s">
        <v>180</v>
      </c>
      <c r="H215" s="15"/>
      <c r="I215" s="15"/>
      <c r="J215" s="18"/>
      <c r="K215" s="15"/>
      <c r="L215" s="19"/>
      <c r="M215" s="19"/>
      <c r="N215" s="19"/>
      <c r="O215" s="19">
        <v>1</v>
      </c>
      <c r="P215" s="19">
        <v>1</v>
      </c>
      <c r="Q215" s="19"/>
      <c r="R215" s="19">
        <v>1</v>
      </c>
      <c r="S215" s="15"/>
      <c r="T215" s="25">
        <v>45940</v>
      </c>
      <c r="U215" s="15" t="s">
        <v>148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48"/>
      <c r="B216" s="151"/>
      <c r="C216" s="85" t="s">
        <v>310</v>
      </c>
      <c r="D216" s="106" t="s">
        <v>194</v>
      </c>
      <c r="E216" s="15" t="s">
        <v>38</v>
      </c>
      <c r="F216" s="16"/>
      <c r="G216" s="15" t="s">
        <v>180</v>
      </c>
      <c r="H216" s="15"/>
      <c r="I216" s="15"/>
      <c r="J216" s="18">
        <v>1</v>
      </c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45936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8"/>
      <c r="B217" s="151"/>
      <c r="C217" s="85" t="s">
        <v>311</v>
      </c>
      <c r="D217" s="106" t="s">
        <v>194</v>
      </c>
      <c r="E217" s="15" t="s">
        <v>38</v>
      </c>
      <c r="F217" s="16"/>
      <c r="G217" s="15" t="s">
        <v>180</v>
      </c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>
        <v>45936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8"/>
      <c r="B218" s="151"/>
      <c r="C218" s="85" t="s">
        <v>312</v>
      </c>
      <c r="D218" s="106" t="s">
        <v>194</v>
      </c>
      <c r="E218" s="15" t="s">
        <v>38</v>
      </c>
      <c r="F218" s="16"/>
      <c r="G218" s="15" t="s">
        <v>180</v>
      </c>
      <c r="H218" s="15"/>
      <c r="I218" s="15"/>
      <c r="J218" s="18">
        <v>1</v>
      </c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45936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8"/>
      <c r="B219" s="151"/>
      <c r="C219" s="85" t="s">
        <v>313</v>
      </c>
      <c r="D219" s="106" t="s">
        <v>194</v>
      </c>
      <c r="E219" s="15" t="s">
        <v>38</v>
      </c>
      <c r="F219" s="17"/>
      <c r="G219" s="15" t="s">
        <v>180</v>
      </c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>
        <v>45936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8"/>
      <c r="B220" s="151"/>
      <c r="C220" s="85" t="s">
        <v>314</v>
      </c>
      <c r="D220" s="106" t="s">
        <v>194</v>
      </c>
      <c r="E220" s="15" t="s">
        <v>38</v>
      </c>
      <c r="F220" s="16"/>
      <c r="G220" s="15" t="s">
        <v>180</v>
      </c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>
        <v>45936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8"/>
      <c r="B221" s="151"/>
      <c r="C221" s="85" t="s">
        <v>315</v>
      </c>
      <c r="D221" s="106" t="s">
        <v>194</v>
      </c>
      <c r="E221" s="15" t="s">
        <v>38</v>
      </c>
      <c r="F221" s="16"/>
      <c r="G221" s="15" t="s">
        <v>180</v>
      </c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>
        <v>45936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8"/>
      <c r="B222" s="151"/>
      <c r="C222" s="85" t="s">
        <v>316</v>
      </c>
      <c r="D222" s="106" t="s">
        <v>194</v>
      </c>
      <c r="E222" s="15" t="s">
        <v>38</v>
      </c>
      <c r="F222" s="106"/>
      <c r="G222" s="15" t="s">
        <v>180</v>
      </c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>
        <v>45936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8"/>
      <c r="B223" s="151"/>
      <c r="C223" s="85" t="s">
        <v>317</v>
      </c>
      <c r="D223" s="106" t="s">
        <v>194</v>
      </c>
      <c r="E223" s="15" t="s">
        <v>38</v>
      </c>
      <c r="F223" s="16"/>
      <c r="G223" s="15" t="s">
        <v>180</v>
      </c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45936</v>
      </c>
      <c r="U223" s="13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8"/>
      <c r="B224" s="151"/>
      <c r="C224" s="85" t="s">
        <v>318</v>
      </c>
      <c r="D224" s="106" t="s">
        <v>187</v>
      </c>
      <c r="E224" s="15" t="s">
        <v>42</v>
      </c>
      <c r="F224" s="16"/>
      <c r="G224" s="15" t="s">
        <v>180</v>
      </c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45926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8"/>
      <c r="B225" s="151"/>
      <c r="C225" s="85"/>
      <c r="D225" s="106"/>
      <c r="E225" s="15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48"/>
      <c r="B226" s="151"/>
      <c r="C226" s="85"/>
      <c r="D226" s="106"/>
      <c r="E226" s="106"/>
      <c r="F226" s="16"/>
      <c r="G226" s="12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48"/>
      <c r="B227" s="151"/>
      <c r="C227" s="85"/>
      <c r="D227" s="106"/>
      <c r="E227" s="106"/>
      <c r="F227" s="16"/>
      <c r="G227" s="12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48"/>
      <c r="B228" s="151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8"/>
      <c r="B229" s="151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8"/>
      <c r="B230" s="151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8"/>
      <c r="B231" s="151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8"/>
      <c r="B232" s="151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8"/>
      <c r="B233" s="151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8"/>
      <c r="B234" s="151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8"/>
      <c r="B235" s="151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8"/>
      <c r="B236" s="151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9"/>
      <c r="B237" s="152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12</v>
      </c>
      <c r="D238" s="112"/>
      <c r="E238" s="29"/>
      <c r="F238" s="29" t="s">
        <v>34</v>
      </c>
      <c r="G238" s="29">
        <f>COUNTIF(G213:G237,"S")</f>
        <v>12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3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1</v>
      </c>
      <c r="P238" s="29">
        <f t="shared" ref="P238" si="49">SUM(P213:P237)</f>
        <v>1</v>
      </c>
      <c r="Q238" s="29">
        <f t="shared" ref="Q238" si="50">SUM(Q213:Q237)</f>
        <v>0</v>
      </c>
      <c r="R238" s="29">
        <f t="shared" ref="R238" si="51">SUM(R213:R237)</f>
        <v>1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6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AYG118</v>
      </c>
      <c r="B241" s="24">
        <f>B1</f>
        <v>45901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7" t="s">
        <v>112</v>
      </c>
      <c r="Y242" s="157"/>
    </row>
    <row r="243" spans="1:28" ht="20.25" thickTop="1" thickBot="1" x14ac:dyDescent="0.45">
      <c r="A243" s="147">
        <v>9</v>
      </c>
      <c r="B243" s="150">
        <v>24.4</v>
      </c>
      <c r="C243" s="85" t="s">
        <v>319</v>
      </c>
      <c r="D243" s="106" t="s">
        <v>179</v>
      </c>
      <c r="E243" s="106" t="s">
        <v>36</v>
      </c>
      <c r="F243" s="14"/>
      <c r="G243" s="12" t="s">
        <v>180</v>
      </c>
      <c r="H243" s="13"/>
      <c r="I243" s="13"/>
      <c r="J243" s="13"/>
      <c r="K243" s="13"/>
      <c r="L243" s="13"/>
      <c r="M243" s="13">
        <v>1</v>
      </c>
      <c r="N243" s="13">
        <v>1</v>
      </c>
      <c r="O243" s="13"/>
      <c r="P243" s="13"/>
      <c r="Q243" s="13">
        <v>1</v>
      </c>
      <c r="R243" s="13"/>
      <c r="S243" s="13"/>
      <c r="T243" s="25">
        <v>45930</v>
      </c>
      <c r="U243" s="13" t="s">
        <v>147</v>
      </c>
      <c r="V243">
        <v>1</v>
      </c>
      <c r="X243" t="s">
        <v>106</v>
      </c>
      <c r="Y243">
        <f>COUNTIF(U243:U267,"K")</f>
        <v>10</v>
      </c>
      <c r="AA243" s="59" t="s">
        <v>120</v>
      </c>
      <c r="AB243" s="60" t="s">
        <v>121</v>
      </c>
    </row>
    <row r="244" spans="1:28" x14ac:dyDescent="0.4">
      <c r="A244" s="148"/>
      <c r="B244" s="151"/>
      <c r="C244" s="85" t="s">
        <v>320</v>
      </c>
      <c r="D244" s="106" t="s">
        <v>179</v>
      </c>
      <c r="E244" s="106" t="s">
        <v>36</v>
      </c>
      <c r="F244" s="16"/>
      <c r="G244" s="12" t="s">
        <v>180</v>
      </c>
      <c r="H244" s="15"/>
      <c r="I244" s="15"/>
      <c r="J244" s="13"/>
      <c r="K244" s="15"/>
      <c r="L244" s="13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5">
        <v>45923</v>
      </c>
      <c r="U244" s="13" t="s">
        <v>147</v>
      </c>
      <c r="V244">
        <v>2</v>
      </c>
      <c r="X244" t="s">
        <v>107</v>
      </c>
      <c r="Y244">
        <f>COUNTIF(U243:U267,"R")</f>
        <v>6</v>
      </c>
      <c r="AA244" s="47" t="s">
        <v>81</v>
      </c>
      <c r="AB244" s="48" t="s">
        <v>60</v>
      </c>
    </row>
    <row r="245" spans="1:28" x14ac:dyDescent="0.4">
      <c r="A245" s="148"/>
      <c r="B245" s="151"/>
      <c r="C245" s="85" t="s">
        <v>321</v>
      </c>
      <c r="D245" s="106" t="s">
        <v>181</v>
      </c>
      <c r="E245" s="106" t="s">
        <v>60</v>
      </c>
      <c r="F245" s="16"/>
      <c r="G245" s="12" t="s">
        <v>180</v>
      </c>
      <c r="H245" s="13"/>
      <c r="I245" s="15"/>
      <c r="J245" s="13">
        <v>1</v>
      </c>
      <c r="K245" s="15"/>
      <c r="L245" s="13">
        <v>1</v>
      </c>
      <c r="M245" s="17"/>
      <c r="N245" s="17"/>
      <c r="O245" s="17"/>
      <c r="P245" s="17"/>
      <c r="Q245" s="17"/>
      <c r="R245" s="17"/>
      <c r="S245" s="15"/>
      <c r="T245" s="25">
        <v>45938</v>
      </c>
      <c r="U245" s="13" t="s">
        <v>146</v>
      </c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8"/>
      <c r="B246" s="151"/>
      <c r="C246" s="85" t="s">
        <v>322</v>
      </c>
      <c r="D246" s="106" t="s">
        <v>181</v>
      </c>
      <c r="E246" s="106" t="s">
        <v>60</v>
      </c>
      <c r="F246" s="16"/>
      <c r="G246" s="12" t="s">
        <v>180</v>
      </c>
      <c r="H246" s="15"/>
      <c r="I246" s="15"/>
      <c r="J246" s="13">
        <v>1</v>
      </c>
      <c r="K246" s="15"/>
      <c r="L246" s="13">
        <v>1</v>
      </c>
      <c r="M246" s="17"/>
      <c r="N246" s="17"/>
      <c r="O246" s="17"/>
      <c r="P246" s="17"/>
      <c r="Q246" s="17"/>
      <c r="R246" s="17"/>
      <c r="S246" s="15"/>
      <c r="T246" s="25">
        <v>45938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8"/>
      <c r="B247" s="151"/>
      <c r="C247" s="85" t="s">
        <v>323</v>
      </c>
      <c r="D247" s="106" t="s">
        <v>181</v>
      </c>
      <c r="E247" s="106" t="s">
        <v>60</v>
      </c>
      <c r="F247" s="16"/>
      <c r="G247" s="12" t="s">
        <v>180</v>
      </c>
      <c r="H247" s="15"/>
      <c r="I247" s="15"/>
      <c r="J247" s="13">
        <v>1</v>
      </c>
      <c r="K247" s="15"/>
      <c r="L247" s="13">
        <v>1</v>
      </c>
      <c r="M247" s="17"/>
      <c r="N247" s="17"/>
      <c r="O247" s="17"/>
      <c r="P247" s="17"/>
      <c r="Q247" s="17"/>
      <c r="R247" s="17"/>
      <c r="S247" s="15"/>
      <c r="T247" s="25">
        <v>45938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8"/>
      <c r="B248" s="151"/>
      <c r="C248" s="85" t="s">
        <v>324</v>
      </c>
      <c r="D248" s="106" t="s">
        <v>181</v>
      </c>
      <c r="E248" s="106" t="s">
        <v>60</v>
      </c>
      <c r="F248" s="16"/>
      <c r="G248" s="12" t="s">
        <v>180</v>
      </c>
      <c r="H248" s="13"/>
      <c r="I248" s="15"/>
      <c r="J248" s="13">
        <v>1</v>
      </c>
      <c r="K248" s="15"/>
      <c r="L248" s="13">
        <v>1</v>
      </c>
      <c r="M248" s="17"/>
      <c r="N248" s="17"/>
      <c r="O248" s="17"/>
      <c r="P248" s="17"/>
      <c r="Q248" s="17"/>
      <c r="R248" s="17"/>
      <c r="S248" s="15"/>
      <c r="T248" s="25">
        <v>45938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8"/>
      <c r="B249" s="151"/>
      <c r="C249" s="85" t="s">
        <v>325</v>
      </c>
      <c r="D249" s="106" t="s">
        <v>181</v>
      </c>
      <c r="E249" s="106" t="s">
        <v>60</v>
      </c>
      <c r="F249" s="16"/>
      <c r="G249" s="12" t="s">
        <v>180</v>
      </c>
      <c r="H249" s="15"/>
      <c r="I249" s="15"/>
      <c r="J249" s="13">
        <v>1</v>
      </c>
      <c r="K249" s="15"/>
      <c r="L249" s="13">
        <v>1</v>
      </c>
      <c r="M249" s="17"/>
      <c r="N249" s="17"/>
      <c r="O249" s="17"/>
      <c r="P249" s="17"/>
      <c r="Q249" s="17"/>
      <c r="R249" s="17"/>
      <c r="S249" s="15"/>
      <c r="T249" s="25">
        <v>45938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48"/>
      <c r="B250" s="151"/>
      <c r="C250" s="85" t="s">
        <v>326</v>
      </c>
      <c r="D250" s="106" t="s">
        <v>181</v>
      </c>
      <c r="E250" s="106" t="s">
        <v>60</v>
      </c>
      <c r="F250" s="16"/>
      <c r="G250" s="12" t="s">
        <v>180</v>
      </c>
      <c r="H250" s="15"/>
      <c r="I250" s="15"/>
      <c r="J250" s="13">
        <v>1</v>
      </c>
      <c r="K250" s="15"/>
      <c r="L250" s="13">
        <v>1</v>
      </c>
      <c r="M250" s="17"/>
      <c r="N250" s="17"/>
      <c r="O250" s="17"/>
      <c r="P250" s="17"/>
      <c r="Q250" s="17"/>
      <c r="R250" s="17"/>
      <c r="S250" s="15"/>
      <c r="T250" s="25">
        <v>45938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8"/>
      <c r="B251" s="151"/>
      <c r="C251" s="85" t="s">
        <v>327</v>
      </c>
      <c r="D251" s="106" t="s">
        <v>181</v>
      </c>
      <c r="E251" s="106" t="s">
        <v>60</v>
      </c>
      <c r="F251" s="16"/>
      <c r="G251" s="12" t="s">
        <v>180</v>
      </c>
      <c r="H251" s="15"/>
      <c r="I251" s="15"/>
      <c r="J251" s="13">
        <v>1</v>
      </c>
      <c r="K251" s="15"/>
      <c r="L251" s="13">
        <v>1</v>
      </c>
      <c r="M251" s="17"/>
      <c r="N251" s="17"/>
      <c r="O251" s="17"/>
      <c r="P251" s="17"/>
      <c r="Q251" s="17"/>
      <c r="R251" s="17"/>
      <c r="S251" s="15"/>
      <c r="T251" s="25">
        <v>45938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8"/>
      <c r="B252" s="151"/>
      <c r="C252" s="85" t="s">
        <v>328</v>
      </c>
      <c r="D252" s="106" t="s">
        <v>181</v>
      </c>
      <c r="E252" s="106" t="s">
        <v>60</v>
      </c>
      <c r="F252" s="106"/>
      <c r="G252" s="12" t="s">
        <v>180</v>
      </c>
      <c r="H252" s="15"/>
      <c r="I252" s="15"/>
      <c r="J252" s="13">
        <v>1</v>
      </c>
      <c r="K252" s="15"/>
      <c r="L252" s="13">
        <v>1</v>
      </c>
      <c r="M252" s="17"/>
      <c r="N252" s="17"/>
      <c r="O252" s="17"/>
      <c r="P252" s="17"/>
      <c r="Q252" s="17"/>
      <c r="R252" s="17"/>
      <c r="S252" s="15"/>
      <c r="T252" s="25">
        <v>45938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8"/>
      <c r="B253" s="151"/>
      <c r="C253" s="85" t="s">
        <v>329</v>
      </c>
      <c r="D253" s="106" t="s">
        <v>181</v>
      </c>
      <c r="E253" s="106" t="s">
        <v>60</v>
      </c>
      <c r="F253" s="16"/>
      <c r="G253" s="12" t="s">
        <v>180</v>
      </c>
      <c r="H253" s="15"/>
      <c r="I253" s="15"/>
      <c r="J253" s="15">
        <v>1</v>
      </c>
      <c r="K253" s="15"/>
      <c r="L253" s="17">
        <v>1</v>
      </c>
      <c r="M253" s="17"/>
      <c r="N253" s="17"/>
      <c r="O253" s="17"/>
      <c r="P253" s="17"/>
      <c r="Q253" s="17"/>
      <c r="R253" s="17"/>
      <c r="S253" s="15"/>
      <c r="T253" s="25">
        <v>45938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8"/>
      <c r="B254" s="151"/>
      <c r="C254" s="85" t="s">
        <v>330</v>
      </c>
      <c r="D254" s="106" t="s">
        <v>179</v>
      </c>
      <c r="E254" s="106" t="s">
        <v>42</v>
      </c>
      <c r="F254" s="16"/>
      <c r="G254" s="12" t="s">
        <v>180</v>
      </c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>
        <v>45928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48"/>
      <c r="B255" s="151"/>
      <c r="C255" s="85" t="s">
        <v>331</v>
      </c>
      <c r="D255" s="106" t="s">
        <v>185</v>
      </c>
      <c r="E255" s="106" t="s">
        <v>41</v>
      </c>
      <c r="F255" s="16"/>
      <c r="G255" s="12" t="s">
        <v>180</v>
      </c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>
        <v>45933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48"/>
      <c r="B256" s="151"/>
      <c r="C256" s="85" t="s">
        <v>332</v>
      </c>
      <c r="D256" s="106" t="s">
        <v>197</v>
      </c>
      <c r="E256" s="106" t="s">
        <v>39</v>
      </c>
      <c r="F256" s="16"/>
      <c r="G256" s="12" t="s">
        <v>180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5">
        <v>45917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48"/>
      <c r="B257" s="151"/>
      <c r="C257" s="85" t="s">
        <v>333</v>
      </c>
      <c r="D257" s="106" t="s">
        <v>212</v>
      </c>
      <c r="E257" s="106" t="s">
        <v>58</v>
      </c>
      <c r="F257" s="16"/>
      <c r="G257" s="12" t="s">
        <v>180</v>
      </c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>
        <v>45935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48"/>
      <c r="B258" s="151"/>
      <c r="C258" s="85" t="s">
        <v>334</v>
      </c>
      <c r="D258" s="106" t="s">
        <v>183</v>
      </c>
      <c r="E258" s="106" t="s">
        <v>36</v>
      </c>
      <c r="F258" s="16"/>
      <c r="G258" s="12" t="s">
        <v>180</v>
      </c>
      <c r="H258" s="15"/>
      <c r="I258" s="15"/>
      <c r="J258" s="18"/>
      <c r="K258" s="15"/>
      <c r="L258" s="19"/>
      <c r="M258" s="19">
        <v>1</v>
      </c>
      <c r="N258" s="19">
        <v>1</v>
      </c>
      <c r="O258" s="19"/>
      <c r="P258" s="19"/>
      <c r="Q258" s="19">
        <v>1</v>
      </c>
      <c r="R258" s="19"/>
      <c r="S258" s="15"/>
      <c r="T258" s="25">
        <v>45916</v>
      </c>
      <c r="U258" s="13" t="s">
        <v>147</v>
      </c>
      <c r="V258">
        <v>16</v>
      </c>
      <c r="AA258" s="49" t="s">
        <v>95</v>
      </c>
      <c r="AB258" s="50" t="s">
        <v>42</v>
      </c>
    </row>
    <row r="259" spans="1:28" x14ac:dyDescent="0.4">
      <c r="A259" s="148"/>
      <c r="B259" s="151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8"/>
      <c r="B260" s="151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8"/>
      <c r="B261" s="151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8"/>
      <c r="B262" s="151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8"/>
      <c r="B263" s="151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8"/>
      <c r="B264" s="151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8"/>
      <c r="B265" s="151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8"/>
      <c r="B266" s="151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9"/>
      <c r="B267" s="152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16</v>
      </c>
      <c r="D268" s="112"/>
      <c r="E268" s="29"/>
      <c r="F268" s="29" t="s">
        <v>34</v>
      </c>
      <c r="G268" s="29">
        <f>COUNTIF(G243:G267,"S")</f>
        <v>16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10</v>
      </c>
      <c r="K268" s="29">
        <f t="shared" ref="K268" si="54">SUM(K243:K267)</f>
        <v>1</v>
      </c>
      <c r="L268" s="29">
        <f t="shared" ref="L268" si="55">SUM(L243:L267)</f>
        <v>9</v>
      </c>
      <c r="M268" s="29">
        <f t="shared" ref="M268" si="56">SUM(M243:M267)</f>
        <v>3</v>
      </c>
      <c r="N268" s="29">
        <f t="shared" ref="N268" si="57">SUM(N243:N267)</f>
        <v>3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3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29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AYG118</v>
      </c>
      <c r="B271" s="24">
        <f>B1</f>
        <v>45901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0" t="s">
        <v>111</v>
      </c>
      <c r="Y272" s="146"/>
    </row>
    <row r="273" spans="1:28" ht="20.25" thickTop="1" thickBot="1" x14ac:dyDescent="0.45">
      <c r="A273" s="147">
        <v>10</v>
      </c>
      <c r="B273" s="150">
        <v>15</v>
      </c>
      <c r="C273" s="85" t="s">
        <v>335</v>
      </c>
      <c r="D273" s="109" t="s">
        <v>179</v>
      </c>
      <c r="E273" s="13" t="s">
        <v>37</v>
      </c>
      <c r="F273" s="14"/>
      <c r="G273" s="12" t="s">
        <v>180</v>
      </c>
      <c r="H273" s="13"/>
      <c r="I273" s="13"/>
      <c r="J273" s="13">
        <v>1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45928</v>
      </c>
      <c r="U273" s="13" t="s">
        <v>146</v>
      </c>
      <c r="V273">
        <v>1</v>
      </c>
      <c r="X273" s="51" t="s">
        <v>106</v>
      </c>
      <c r="Y273" s="52">
        <f>COUNTIF(U273:U297,"K")</f>
        <v>1</v>
      </c>
      <c r="AA273" s="59" t="s">
        <v>120</v>
      </c>
      <c r="AB273" s="60" t="s">
        <v>121</v>
      </c>
    </row>
    <row r="274" spans="1:28" x14ac:dyDescent="0.4">
      <c r="A274" s="148"/>
      <c r="B274" s="151"/>
      <c r="C274" s="85" t="s">
        <v>336</v>
      </c>
      <c r="D274" s="109" t="s">
        <v>186</v>
      </c>
      <c r="E274" s="13" t="s">
        <v>41</v>
      </c>
      <c r="F274" s="16"/>
      <c r="G274" s="12" t="s">
        <v>180</v>
      </c>
      <c r="H274" s="15"/>
      <c r="I274" s="15"/>
      <c r="J274" s="15"/>
      <c r="K274" s="15"/>
      <c r="L274" s="17"/>
      <c r="M274" s="17"/>
      <c r="N274" s="17">
        <v>1</v>
      </c>
      <c r="O274" s="17"/>
      <c r="P274" s="17"/>
      <c r="Q274" s="17">
        <v>1</v>
      </c>
      <c r="R274" s="17"/>
      <c r="S274" s="15"/>
      <c r="T274" s="26">
        <v>45922</v>
      </c>
      <c r="U274" s="13" t="s">
        <v>147</v>
      </c>
      <c r="V274">
        <v>2</v>
      </c>
      <c r="X274" s="51" t="s">
        <v>107</v>
      </c>
      <c r="Y274" s="52">
        <f>COUNTIF(U273:U297,"R")</f>
        <v>7</v>
      </c>
      <c r="AA274" s="47" t="s">
        <v>81</v>
      </c>
      <c r="AB274" s="48" t="s">
        <v>60</v>
      </c>
    </row>
    <row r="275" spans="1:28" ht="19.5" thickBot="1" x14ac:dyDescent="0.45">
      <c r="A275" s="148"/>
      <c r="B275" s="151"/>
      <c r="C275" s="85" t="s">
        <v>337</v>
      </c>
      <c r="D275" s="109" t="s">
        <v>186</v>
      </c>
      <c r="E275" s="13" t="s">
        <v>40</v>
      </c>
      <c r="F275" s="16"/>
      <c r="G275" s="12" t="s">
        <v>180</v>
      </c>
      <c r="H275" s="15"/>
      <c r="I275" s="15"/>
      <c r="J275" s="15"/>
      <c r="K275" s="15"/>
      <c r="L275" s="17"/>
      <c r="M275" s="17"/>
      <c r="N275" s="17"/>
      <c r="O275" s="17">
        <v>1</v>
      </c>
      <c r="P275" s="17">
        <v>1</v>
      </c>
      <c r="Q275" s="17"/>
      <c r="R275" s="17"/>
      <c r="S275" s="15"/>
      <c r="T275" s="26">
        <v>45922</v>
      </c>
      <c r="U275" s="13" t="s">
        <v>148</v>
      </c>
      <c r="V275">
        <v>3</v>
      </c>
      <c r="X275" s="53" t="s">
        <v>108</v>
      </c>
      <c r="Y275" s="54">
        <f>COUNTIF(U273:U297,"J")</f>
        <v>3</v>
      </c>
      <c r="AA275" s="49" t="s">
        <v>82</v>
      </c>
      <c r="AB275" s="50" t="s">
        <v>39</v>
      </c>
    </row>
    <row r="276" spans="1:28" x14ac:dyDescent="0.4">
      <c r="A276" s="148"/>
      <c r="B276" s="151"/>
      <c r="C276" s="85" t="s">
        <v>338</v>
      </c>
      <c r="D276" s="109" t="s">
        <v>186</v>
      </c>
      <c r="E276" s="13" t="s">
        <v>37</v>
      </c>
      <c r="F276" s="16"/>
      <c r="G276" s="12" t="s">
        <v>180</v>
      </c>
      <c r="H276" s="15"/>
      <c r="I276" s="15"/>
      <c r="J276" s="15"/>
      <c r="K276" s="15"/>
      <c r="L276" s="17"/>
      <c r="M276" s="17">
        <v>1</v>
      </c>
      <c r="N276" s="17">
        <v>1</v>
      </c>
      <c r="O276" s="17"/>
      <c r="P276" s="17"/>
      <c r="Q276" s="17">
        <v>1</v>
      </c>
      <c r="R276" s="17"/>
      <c r="S276" s="15"/>
      <c r="T276" s="26">
        <v>45922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48"/>
      <c r="B277" s="151"/>
      <c r="C277" s="85" t="s">
        <v>339</v>
      </c>
      <c r="D277" s="109" t="s">
        <v>239</v>
      </c>
      <c r="E277" s="13" t="s">
        <v>36</v>
      </c>
      <c r="F277" s="16"/>
      <c r="G277" s="12" t="s">
        <v>180</v>
      </c>
      <c r="H277" s="15"/>
      <c r="I277" s="15"/>
      <c r="J277" s="15"/>
      <c r="K277" s="15"/>
      <c r="L277" s="17"/>
      <c r="M277" s="17">
        <v>1</v>
      </c>
      <c r="N277" s="17">
        <v>1</v>
      </c>
      <c r="O277" s="17"/>
      <c r="P277" s="17"/>
      <c r="Q277" s="17">
        <v>1</v>
      </c>
      <c r="R277" s="17"/>
      <c r="S277" s="15"/>
      <c r="T277" s="26">
        <v>45935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48"/>
      <c r="B278" s="151"/>
      <c r="C278" s="85" t="s">
        <v>340</v>
      </c>
      <c r="D278" s="109" t="s">
        <v>239</v>
      </c>
      <c r="E278" s="13" t="s">
        <v>36</v>
      </c>
      <c r="F278" s="16"/>
      <c r="G278" s="12" t="s">
        <v>180</v>
      </c>
      <c r="H278" s="13"/>
      <c r="I278" s="15"/>
      <c r="J278" s="15"/>
      <c r="K278" s="15"/>
      <c r="L278" s="17"/>
      <c r="M278" s="17">
        <v>1</v>
      </c>
      <c r="N278" s="17">
        <v>1</v>
      </c>
      <c r="O278" s="17"/>
      <c r="P278" s="17"/>
      <c r="Q278" s="17">
        <v>1</v>
      </c>
      <c r="R278" s="17"/>
      <c r="S278" s="15"/>
      <c r="T278" s="26">
        <v>45935</v>
      </c>
      <c r="U278" s="13" t="s">
        <v>147</v>
      </c>
      <c r="V278">
        <v>6</v>
      </c>
      <c r="AA278" s="49" t="s">
        <v>85</v>
      </c>
      <c r="AB278" s="50" t="s">
        <v>43</v>
      </c>
    </row>
    <row r="279" spans="1:28" x14ac:dyDescent="0.4">
      <c r="A279" s="148"/>
      <c r="B279" s="151"/>
      <c r="C279" s="85" t="s">
        <v>341</v>
      </c>
      <c r="D279" s="109" t="s">
        <v>191</v>
      </c>
      <c r="E279" s="13" t="s">
        <v>40</v>
      </c>
      <c r="F279" s="16"/>
      <c r="G279" s="12" t="s">
        <v>180</v>
      </c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45932</v>
      </c>
      <c r="U279" s="13" t="s">
        <v>148</v>
      </c>
      <c r="V279">
        <v>7</v>
      </c>
      <c r="AA279" s="49" t="s">
        <v>86</v>
      </c>
      <c r="AB279" s="50" t="s">
        <v>45</v>
      </c>
    </row>
    <row r="280" spans="1:28" x14ac:dyDescent="0.4">
      <c r="A280" s="148"/>
      <c r="B280" s="151"/>
      <c r="C280" s="85" t="s">
        <v>342</v>
      </c>
      <c r="D280" s="109" t="s">
        <v>195</v>
      </c>
      <c r="E280" s="13" t="s">
        <v>40</v>
      </c>
      <c r="F280" s="16"/>
      <c r="G280" s="12" t="s">
        <v>255</v>
      </c>
      <c r="H280" s="15"/>
      <c r="I280" s="15"/>
      <c r="J280" s="15"/>
      <c r="K280" s="15"/>
      <c r="L280" s="17"/>
      <c r="M280" s="17"/>
      <c r="N280" s="17"/>
      <c r="O280" s="17">
        <v>1</v>
      </c>
      <c r="P280" s="17">
        <v>1</v>
      </c>
      <c r="Q280" s="17"/>
      <c r="R280" s="17"/>
      <c r="S280" s="15"/>
      <c r="T280" s="26">
        <v>45923</v>
      </c>
      <c r="U280" s="13" t="s">
        <v>148</v>
      </c>
      <c r="V280">
        <v>8</v>
      </c>
      <c r="AA280" s="49" t="s">
        <v>87</v>
      </c>
      <c r="AB280" s="50" t="s">
        <v>37</v>
      </c>
    </row>
    <row r="281" spans="1:28" x14ac:dyDescent="0.4">
      <c r="A281" s="148"/>
      <c r="B281" s="151"/>
      <c r="C281" s="85" t="s">
        <v>343</v>
      </c>
      <c r="D281" s="109" t="s">
        <v>189</v>
      </c>
      <c r="E281" s="13" t="s">
        <v>44</v>
      </c>
      <c r="F281" s="16"/>
      <c r="G281" s="12" t="s">
        <v>180</v>
      </c>
      <c r="H281" s="15"/>
      <c r="I281" s="15"/>
      <c r="J281" s="15"/>
      <c r="K281" s="15"/>
      <c r="L281" s="17"/>
      <c r="M281" s="17">
        <v>1</v>
      </c>
      <c r="N281" s="17">
        <v>1</v>
      </c>
      <c r="O281" s="17"/>
      <c r="P281" s="17"/>
      <c r="Q281" s="17"/>
      <c r="R281" s="17"/>
      <c r="S281" s="15"/>
      <c r="T281" s="26">
        <v>45936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48"/>
      <c r="B282" s="151"/>
      <c r="C282" s="85" t="s">
        <v>344</v>
      </c>
      <c r="D282" s="109" t="s">
        <v>189</v>
      </c>
      <c r="E282" s="13" t="s">
        <v>37</v>
      </c>
      <c r="F282" s="16"/>
      <c r="G282" s="12" t="s">
        <v>180</v>
      </c>
      <c r="H282" s="15"/>
      <c r="I282" s="15"/>
      <c r="J282" s="15"/>
      <c r="K282" s="15"/>
      <c r="L282" s="17"/>
      <c r="M282" s="17">
        <v>1</v>
      </c>
      <c r="N282" s="17">
        <v>1</v>
      </c>
      <c r="O282" s="17"/>
      <c r="P282" s="17"/>
      <c r="Q282" s="17"/>
      <c r="R282" s="17"/>
      <c r="S282" s="15"/>
      <c r="T282" s="26">
        <v>45936</v>
      </c>
      <c r="U282" s="13" t="s">
        <v>147</v>
      </c>
      <c r="V282">
        <v>10</v>
      </c>
      <c r="AA282" s="49" t="s">
        <v>89</v>
      </c>
      <c r="AB282" s="50" t="s">
        <v>36</v>
      </c>
    </row>
    <row r="283" spans="1:28" x14ac:dyDescent="0.4">
      <c r="A283" s="148"/>
      <c r="B283" s="151"/>
      <c r="C283" s="85" t="s">
        <v>345</v>
      </c>
      <c r="D283" s="109" t="s">
        <v>196</v>
      </c>
      <c r="E283" s="13" t="s">
        <v>37</v>
      </c>
      <c r="F283" s="16"/>
      <c r="G283" s="12" t="s">
        <v>180</v>
      </c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>
        <v>45923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48"/>
      <c r="B284" s="151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8"/>
      <c r="B285" s="151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8"/>
      <c r="B286" s="151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8"/>
      <c r="B287" s="151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8"/>
      <c r="B288" s="151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8"/>
      <c r="B289" s="151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8"/>
      <c r="B290" s="151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8"/>
      <c r="B291" s="151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8"/>
      <c r="B292" s="151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8"/>
      <c r="B293" s="151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8"/>
      <c r="B294" s="151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8"/>
      <c r="B295" s="151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8"/>
      <c r="B296" s="151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9"/>
      <c r="B297" s="152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11</v>
      </c>
      <c r="D298" s="112"/>
      <c r="E298" s="29"/>
      <c r="F298" s="29" t="s">
        <v>34</v>
      </c>
      <c r="G298" s="29">
        <f>COUNTIF(G273:G297,"S")</f>
        <v>10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1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5</v>
      </c>
      <c r="N298" s="29">
        <f t="shared" ref="N298" si="67">SUM(N273:N297)</f>
        <v>6</v>
      </c>
      <c r="O298" s="29">
        <f t="shared" ref="O298" si="68">SUM(O273:O297)</f>
        <v>2</v>
      </c>
      <c r="P298" s="29">
        <f t="shared" ref="P298" si="69">SUM(P273:P297)</f>
        <v>2</v>
      </c>
      <c r="Q298" s="29">
        <f t="shared" ref="Q298" si="70">SUM(Q273:Q297)</f>
        <v>4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1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AYG118</v>
      </c>
      <c r="B301" s="24">
        <f>B1</f>
        <v>45901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0" t="s">
        <v>110</v>
      </c>
      <c r="Y302" s="146"/>
    </row>
    <row r="303" spans="1:28" ht="20.25" thickTop="1" thickBot="1" x14ac:dyDescent="0.45">
      <c r="A303" s="147">
        <v>11</v>
      </c>
      <c r="B303" s="150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8"/>
      <c r="B304" s="151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8"/>
      <c r="B305" s="151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8"/>
      <c r="B306" s="151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8"/>
      <c r="B307" s="151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8"/>
      <c r="B308" s="151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8"/>
      <c r="B309" s="151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8"/>
      <c r="B310" s="151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8"/>
      <c r="B311" s="151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8"/>
      <c r="B312" s="151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8"/>
      <c r="B313" s="151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8"/>
      <c r="B314" s="151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8"/>
      <c r="B315" s="151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8"/>
      <c r="B316" s="151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8"/>
      <c r="B317" s="151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8"/>
      <c r="B318" s="151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8"/>
      <c r="B319" s="151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8"/>
      <c r="B320" s="151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8"/>
      <c r="B321" s="151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8"/>
      <c r="B322" s="151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8"/>
      <c r="B323" s="151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8"/>
      <c r="B324" s="151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8"/>
      <c r="B325" s="151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8"/>
      <c r="B326" s="151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9"/>
      <c r="B327" s="152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AYG118</v>
      </c>
      <c r="B331" s="24">
        <f>B151</f>
        <v>45901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0" t="s">
        <v>109</v>
      </c>
      <c r="Y332" s="146"/>
    </row>
    <row r="333" spans="1:28" ht="20.25" thickTop="1" thickBot="1" x14ac:dyDescent="0.45">
      <c r="A333" s="147">
        <v>12</v>
      </c>
      <c r="B333" s="150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8"/>
      <c r="B334" s="151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8"/>
      <c r="B335" s="151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8"/>
      <c r="B336" s="151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8"/>
      <c r="B337" s="151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8"/>
      <c r="B338" s="151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8"/>
      <c r="B339" s="151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8"/>
      <c r="B340" s="151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8"/>
      <c r="B341" s="151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8"/>
      <c r="B342" s="151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8"/>
      <c r="B343" s="151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8"/>
      <c r="B344" s="151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8"/>
      <c r="B345" s="151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8"/>
      <c r="B346" s="151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8"/>
      <c r="B347" s="151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8"/>
      <c r="B348" s="151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8"/>
      <c r="B349" s="151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8"/>
      <c r="B350" s="151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8"/>
      <c r="B351" s="151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8"/>
      <c r="B352" s="151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8"/>
      <c r="B353" s="151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8"/>
      <c r="B354" s="151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8"/>
      <c r="B355" s="151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8"/>
      <c r="B356" s="151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9"/>
      <c r="B357" s="152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0" t="s">
        <v>138</v>
      </c>
      <c r="Y362" s="146"/>
    </row>
    <row r="363" spans="1:28" ht="19.5" thickTop="1" x14ac:dyDescent="0.4">
      <c r="A363" s="147">
        <v>13</v>
      </c>
      <c r="B363" s="150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8"/>
      <c r="B364" s="151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8"/>
      <c r="B365" s="151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8"/>
      <c r="B366" s="151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8"/>
      <c r="B367" s="151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8"/>
      <c r="B368" s="151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8"/>
      <c r="B369" s="151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8"/>
      <c r="B370" s="151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8"/>
      <c r="B371" s="151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8"/>
      <c r="B372" s="151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8"/>
      <c r="B373" s="151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8"/>
      <c r="B374" s="151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8"/>
      <c r="B375" s="151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8"/>
      <c r="B376" s="151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8"/>
      <c r="B377" s="151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8"/>
      <c r="B378" s="151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8"/>
      <c r="B379" s="151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8"/>
      <c r="B380" s="151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8"/>
      <c r="B381" s="151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8"/>
      <c r="B382" s="151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8"/>
      <c r="B383" s="151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8"/>
      <c r="B384" s="151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8"/>
      <c r="B385" s="151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8"/>
      <c r="B386" s="151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9"/>
      <c r="B387" s="152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0" t="s">
        <v>139</v>
      </c>
      <c r="Y392" s="146"/>
    </row>
    <row r="393" spans="1:25" ht="19.5" thickTop="1" x14ac:dyDescent="0.4">
      <c r="A393" s="147">
        <v>14</v>
      </c>
      <c r="B393" s="150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8"/>
      <c r="B394" s="151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8"/>
      <c r="B395" s="151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8"/>
      <c r="B396" s="151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8"/>
      <c r="B397" s="151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8"/>
      <c r="B398" s="151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8"/>
      <c r="B399" s="151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8"/>
      <c r="B400" s="151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8"/>
      <c r="B401" s="151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8"/>
      <c r="B402" s="151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8"/>
      <c r="B403" s="151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8"/>
      <c r="B404" s="151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8"/>
      <c r="B405" s="151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8"/>
      <c r="B406" s="151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8"/>
      <c r="B407" s="151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8"/>
      <c r="B408" s="151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8"/>
      <c r="B409" s="151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8"/>
      <c r="B410" s="151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8"/>
      <c r="B411" s="151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8"/>
      <c r="B412" s="151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8"/>
      <c r="B413" s="151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8"/>
      <c r="B414" s="151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8"/>
      <c r="B415" s="151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8"/>
      <c r="B416" s="151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9"/>
      <c r="B417" s="152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0" t="s">
        <v>140</v>
      </c>
      <c r="Y422" s="146"/>
    </row>
    <row r="423" spans="1:25" ht="19.5" thickTop="1" x14ac:dyDescent="0.4">
      <c r="A423" s="147">
        <v>15</v>
      </c>
      <c r="B423" s="150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8"/>
      <c r="B424" s="151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8"/>
      <c r="B425" s="151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8"/>
      <c r="B426" s="151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8"/>
      <c r="B427" s="151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8"/>
      <c r="B428" s="151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8"/>
      <c r="B429" s="151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8"/>
      <c r="B430" s="151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8"/>
      <c r="B431" s="151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8"/>
      <c r="B432" s="151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8"/>
      <c r="B433" s="151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8"/>
      <c r="B434" s="151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8"/>
      <c r="B435" s="151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8"/>
      <c r="B436" s="151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8"/>
      <c r="B437" s="151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8"/>
      <c r="B438" s="151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8"/>
      <c r="B439" s="151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8"/>
      <c r="B440" s="151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8"/>
      <c r="B441" s="151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8"/>
      <c r="B442" s="151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8"/>
      <c r="B443" s="151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8"/>
      <c r="B444" s="151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8"/>
      <c r="B445" s="151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8"/>
      <c r="B446" s="151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9"/>
      <c r="B447" s="152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0" t="s">
        <v>105</v>
      </c>
      <c r="Y451" s="146"/>
    </row>
    <row r="452" spans="1:25" ht="19.5" thickTop="1" x14ac:dyDescent="0.4">
      <c r="A452" s="147">
        <v>16</v>
      </c>
      <c r="B452" s="137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8"/>
      <c r="B453" s="138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8"/>
      <c r="B454" s="138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8"/>
      <c r="B455" s="138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8"/>
      <c r="B456" s="138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8"/>
      <c r="B457" s="138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8"/>
      <c r="B458" s="138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8"/>
      <c r="B459" s="138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8"/>
      <c r="B460" s="138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8"/>
      <c r="B461" s="138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8"/>
      <c r="B462" s="138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8"/>
      <c r="B463" s="138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8"/>
      <c r="B464" s="138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8"/>
      <c r="B465" s="138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8"/>
      <c r="B466" s="138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8"/>
      <c r="B467" s="138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8"/>
      <c r="B468" s="138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8"/>
      <c r="B469" s="138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8"/>
      <c r="B470" s="138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8"/>
      <c r="B471" s="138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8"/>
      <c r="B472" s="138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8"/>
      <c r="B473" s="138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8"/>
      <c r="B474" s="138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8"/>
      <c r="B475" s="138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9"/>
      <c r="B476" s="139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1" t="s">
        <v>47</v>
      </c>
      <c r="C26" s="161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2"/>
      <c r="C27" s="162"/>
      <c r="D27" s="163">
        <f>SUM(D26:F26)</f>
        <v>116</v>
      </c>
      <c r="E27" s="163"/>
      <c r="F27" s="163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P1663"/>
  <sheetViews>
    <sheetView zoomScaleNormal="100" workbookViewId="0">
      <selection sqref="A1:D27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41" width="16.625" customWidth="1"/>
    <col min="42" max="42" width="11" customWidth="1"/>
    <col min="43" max="43" width="10.5" style="121" customWidth="1"/>
    <col min="44" max="44" width="10.25" style="121" customWidth="1"/>
    <col min="45" max="45" width="10.875" style="121" customWidth="1"/>
    <col min="46" max="59" width="16.625" customWidth="1"/>
    <col min="60" max="60" width="20.5" customWidth="1"/>
    <col min="65" max="65" width="12.375" customWidth="1"/>
    <col min="66" max="66" width="11.25" customWidth="1"/>
    <col min="67" max="67" width="10.5" customWidth="1"/>
    <col min="68" max="68" width="10.25" customWidth="1"/>
  </cols>
  <sheetData>
    <row r="1" spans="1:64" x14ac:dyDescent="0.4">
      <c r="A1" s="120" t="s">
        <v>210</v>
      </c>
      <c r="B1" s="121"/>
      <c r="C1" s="121"/>
      <c r="D1" s="121"/>
      <c r="I1" t="s">
        <v>143</v>
      </c>
      <c r="J1" t="s">
        <v>144</v>
      </c>
      <c r="AJ1" t="s">
        <v>143</v>
      </c>
      <c r="AK1" t="s">
        <v>144</v>
      </c>
      <c r="AP1" s="120"/>
      <c r="BH1" t="s">
        <v>143</v>
      </c>
      <c r="BI1" t="s">
        <v>144</v>
      </c>
    </row>
    <row r="2" spans="1:64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I2" s="25">
        <v>45916</v>
      </c>
      <c r="J2" s="13" t="s">
        <v>147</v>
      </c>
      <c r="Y2" s="127"/>
      <c r="Z2" s="29"/>
      <c r="AJ2" s="25">
        <v>45669</v>
      </c>
      <c r="AK2" s="13" t="s">
        <v>147</v>
      </c>
      <c r="AP2" s="116"/>
      <c r="AQ2" s="123"/>
      <c r="AR2" s="123"/>
      <c r="AS2" s="123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25">
        <v>45258</v>
      </c>
      <c r="BI2" s="13" t="s">
        <v>162</v>
      </c>
      <c r="BL2" s="114"/>
    </row>
    <row r="3" spans="1:64" ht="20.100000000000001" customHeight="1" x14ac:dyDescent="0.4">
      <c r="A3" s="117">
        <v>45916</v>
      </c>
      <c r="B3" s="123"/>
      <c r="C3" s="123">
        <v>1</v>
      </c>
      <c r="D3" s="123"/>
      <c r="H3" s="115" t="s">
        <v>198</v>
      </c>
      <c r="I3" s="13">
        <f>SUBTOTAL(3,I2:I2)</f>
        <v>1</v>
      </c>
      <c r="J3" s="13">
        <f>SUBTOTAL(3,J2:J2)</f>
        <v>1</v>
      </c>
      <c r="Y3" s="127"/>
      <c r="Z3" s="29"/>
      <c r="AJ3" s="25"/>
      <c r="AK3" s="13"/>
      <c r="AP3" s="116"/>
      <c r="AQ3" s="123"/>
      <c r="AR3" s="123"/>
      <c r="AS3" s="123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25"/>
      <c r="BI3" s="13"/>
      <c r="BL3" s="114"/>
    </row>
    <row r="4" spans="1:64" ht="20.100000000000001" customHeight="1" x14ac:dyDescent="0.4">
      <c r="A4" s="117">
        <v>45917</v>
      </c>
      <c r="B4" s="123">
        <v>2</v>
      </c>
      <c r="C4" s="123">
        <v>1</v>
      </c>
      <c r="D4" s="123"/>
      <c r="G4" s="115"/>
      <c r="H4" s="115"/>
      <c r="I4" s="25">
        <v>45917</v>
      </c>
      <c r="J4" s="13" t="s">
        <v>147</v>
      </c>
      <c r="Y4" s="127"/>
      <c r="Z4" s="29"/>
      <c r="AJ4" s="25"/>
      <c r="AK4" s="13"/>
      <c r="AP4" s="116"/>
      <c r="AQ4" s="123"/>
      <c r="AR4" s="123"/>
      <c r="AS4" s="123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25"/>
      <c r="BI4" s="13"/>
      <c r="BL4" s="114"/>
    </row>
    <row r="5" spans="1:64" ht="20.100000000000001" customHeight="1" x14ac:dyDescent="0.4">
      <c r="A5" s="117">
        <v>45920</v>
      </c>
      <c r="B5" s="123"/>
      <c r="C5" s="123">
        <v>1</v>
      </c>
      <c r="D5" s="123"/>
      <c r="I5" s="25">
        <v>45917</v>
      </c>
      <c r="J5" s="13" t="s">
        <v>146</v>
      </c>
      <c r="X5" s="115"/>
      <c r="Y5" s="29"/>
      <c r="Z5" s="29"/>
      <c r="AJ5" s="25"/>
      <c r="AK5" s="13"/>
      <c r="AP5" s="116"/>
      <c r="AQ5" s="123"/>
      <c r="AR5" s="123"/>
      <c r="AS5" s="123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25"/>
      <c r="BI5" s="13"/>
      <c r="BL5" s="114"/>
    </row>
    <row r="6" spans="1:64" ht="20.100000000000001" customHeight="1" x14ac:dyDescent="0.4">
      <c r="A6" s="117">
        <v>45922</v>
      </c>
      <c r="B6" s="123">
        <v>1</v>
      </c>
      <c r="C6" s="123">
        <v>2</v>
      </c>
      <c r="D6" s="123">
        <v>2</v>
      </c>
      <c r="G6" s="115"/>
      <c r="H6" s="115"/>
      <c r="I6" s="25">
        <v>45917</v>
      </c>
      <c r="J6" s="13" t="s">
        <v>146</v>
      </c>
      <c r="X6" s="115"/>
      <c r="Y6" s="29"/>
      <c r="Z6" s="29"/>
      <c r="AJ6" s="25"/>
      <c r="AK6" s="13"/>
      <c r="AP6" s="116"/>
      <c r="AQ6" s="123"/>
      <c r="AR6" s="123"/>
      <c r="AS6" s="123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25"/>
      <c r="BI6" s="13"/>
      <c r="BL6" s="114"/>
    </row>
    <row r="7" spans="1:64" ht="20.100000000000001" customHeight="1" x14ac:dyDescent="0.4">
      <c r="A7" s="117">
        <v>45923</v>
      </c>
      <c r="B7" s="123"/>
      <c r="C7" s="123">
        <v>3</v>
      </c>
      <c r="D7" s="123">
        <v>1</v>
      </c>
      <c r="G7" s="115"/>
      <c r="H7" s="115" t="s">
        <v>199</v>
      </c>
      <c r="I7" s="13">
        <f>SUBTOTAL(3,I4:I6)</f>
        <v>3</v>
      </c>
      <c r="J7" s="13">
        <f>SUBTOTAL(3,J4:J6)</f>
        <v>3</v>
      </c>
      <c r="X7" s="115"/>
      <c r="Y7" s="29"/>
      <c r="Z7" s="29"/>
      <c r="AJ7" s="25"/>
      <c r="AK7" s="13"/>
      <c r="AP7" s="116"/>
      <c r="AQ7" s="123"/>
      <c r="AR7" s="123"/>
      <c r="AS7" s="123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25"/>
      <c r="BI7" s="13"/>
      <c r="BL7" s="114"/>
    </row>
    <row r="8" spans="1:64" ht="20.100000000000001" customHeight="1" x14ac:dyDescent="0.4">
      <c r="A8" s="117">
        <v>45924</v>
      </c>
      <c r="B8" s="123">
        <v>6</v>
      </c>
      <c r="C8" s="123">
        <v>3</v>
      </c>
      <c r="D8" s="123"/>
      <c r="I8" s="25">
        <v>45920</v>
      </c>
      <c r="J8" s="13" t="s">
        <v>147</v>
      </c>
      <c r="V8" s="115"/>
      <c r="W8" s="115"/>
      <c r="X8" s="115"/>
      <c r="Y8" s="127"/>
      <c r="Z8" s="29"/>
      <c r="AJ8" s="25"/>
      <c r="AK8" s="13"/>
      <c r="AP8" s="116"/>
      <c r="AQ8" s="123"/>
      <c r="AR8" s="123"/>
      <c r="AS8" s="123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25"/>
      <c r="BI8" s="13"/>
      <c r="BL8" s="114"/>
    </row>
    <row r="9" spans="1:64" ht="20.100000000000001" customHeight="1" x14ac:dyDescent="0.4">
      <c r="A9" s="117">
        <v>45926</v>
      </c>
      <c r="B9" s="123">
        <v>2</v>
      </c>
      <c r="C9" s="123">
        <v>1</v>
      </c>
      <c r="D9" s="123">
        <v>1</v>
      </c>
      <c r="H9" s="115" t="s">
        <v>200</v>
      </c>
      <c r="I9" s="13">
        <f>SUBTOTAL(3,I8:I8)</f>
        <v>1</v>
      </c>
      <c r="J9" s="13">
        <f>SUBTOTAL(3,J8:J8)</f>
        <v>1</v>
      </c>
      <c r="V9" s="115"/>
      <c r="W9" s="115"/>
      <c r="X9" s="115"/>
      <c r="Y9" s="127"/>
      <c r="Z9" s="29"/>
      <c r="AJ9" s="25"/>
      <c r="AK9" s="13"/>
      <c r="AP9" s="116"/>
      <c r="AQ9" s="123"/>
      <c r="AR9" s="123"/>
      <c r="AS9" s="123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25"/>
      <c r="BI9" s="13"/>
      <c r="BL9" s="114"/>
    </row>
    <row r="10" spans="1:64" ht="20.100000000000001" customHeight="1" x14ac:dyDescent="0.4">
      <c r="A10" s="117">
        <v>45927</v>
      </c>
      <c r="B10" s="123">
        <v>6</v>
      </c>
      <c r="C10" s="123">
        <v>9</v>
      </c>
      <c r="D10" s="123">
        <v>3</v>
      </c>
      <c r="I10" s="25">
        <v>45922</v>
      </c>
      <c r="J10" s="13" t="s">
        <v>142</v>
      </c>
      <c r="V10" s="115"/>
      <c r="W10" s="115"/>
      <c r="X10" s="115"/>
      <c r="Y10" s="29"/>
      <c r="Z10" s="29"/>
      <c r="AJ10" s="25"/>
      <c r="AK10" s="13"/>
      <c r="AP10" s="116"/>
      <c r="AQ10" s="123"/>
      <c r="AR10" s="123"/>
      <c r="AS10" s="123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25"/>
      <c r="BI10" s="13"/>
      <c r="BL10" s="114"/>
    </row>
    <row r="11" spans="1:64" ht="20.100000000000001" customHeight="1" x14ac:dyDescent="0.4">
      <c r="A11" s="117">
        <v>45928</v>
      </c>
      <c r="B11" s="123">
        <v>11</v>
      </c>
      <c r="C11" s="123">
        <v>9</v>
      </c>
      <c r="D11" s="123">
        <v>6</v>
      </c>
      <c r="I11" s="25">
        <v>45922</v>
      </c>
      <c r="J11" s="13" t="s">
        <v>148</v>
      </c>
      <c r="U11" s="115"/>
      <c r="V11" s="115"/>
      <c r="W11" s="115"/>
      <c r="X11" s="115"/>
      <c r="Y11" s="127"/>
      <c r="Z11" s="29"/>
      <c r="AJ11" s="25"/>
      <c r="AK11" s="13"/>
      <c r="AP11" s="116"/>
      <c r="AQ11" s="123"/>
      <c r="AR11" s="123"/>
      <c r="AS11" s="123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25"/>
      <c r="BI11" s="13"/>
      <c r="BL11" s="114"/>
    </row>
    <row r="12" spans="1:64" ht="20.100000000000001" customHeight="1" x14ac:dyDescent="0.4">
      <c r="A12" s="117">
        <v>45929</v>
      </c>
      <c r="B12" s="123">
        <v>7</v>
      </c>
      <c r="C12" s="123"/>
      <c r="D12" s="123"/>
      <c r="G12" s="115"/>
      <c r="H12" s="115"/>
      <c r="I12" s="25">
        <v>45922</v>
      </c>
      <c r="J12" s="13" t="s">
        <v>147</v>
      </c>
      <c r="U12" s="115"/>
      <c r="V12" s="115"/>
      <c r="W12" s="115"/>
      <c r="X12" s="115"/>
      <c r="Y12" s="127"/>
      <c r="Z12" s="29"/>
      <c r="AJ12" s="25"/>
      <c r="AK12" s="13"/>
      <c r="AP12" s="116"/>
      <c r="AQ12" s="123"/>
      <c r="AR12" s="123"/>
      <c r="AS12" s="123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25"/>
      <c r="BI12" s="13"/>
      <c r="BL12" s="114"/>
    </row>
    <row r="13" spans="1:64" ht="20.100000000000001" customHeight="1" x14ac:dyDescent="0.4">
      <c r="A13" s="117">
        <v>45930</v>
      </c>
      <c r="B13" s="123">
        <v>2</v>
      </c>
      <c r="C13" s="123">
        <v>1</v>
      </c>
      <c r="D13" s="123"/>
      <c r="I13" s="25">
        <v>45922</v>
      </c>
      <c r="J13" s="13" t="s">
        <v>148</v>
      </c>
      <c r="U13" s="115"/>
      <c r="V13" s="115"/>
      <c r="W13" s="115"/>
      <c r="X13" s="115"/>
      <c r="Y13" s="29"/>
      <c r="Z13" s="29"/>
      <c r="AJ13" s="25"/>
      <c r="AK13" s="13"/>
      <c r="AP13" s="116"/>
      <c r="AQ13" s="123"/>
      <c r="AR13" s="123"/>
      <c r="AS13" s="123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25"/>
      <c r="BI13" s="13"/>
      <c r="BL13" s="114"/>
    </row>
    <row r="14" spans="1:64" ht="20.100000000000001" customHeight="1" x14ac:dyDescent="0.4">
      <c r="A14" s="117">
        <v>45931</v>
      </c>
      <c r="B14" s="123">
        <v>1</v>
      </c>
      <c r="C14" s="123"/>
      <c r="D14" s="123">
        <v>1</v>
      </c>
      <c r="G14" s="115"/>
      <c r="H14" s="115"/>
      <c r="I14" s="25">
        <v>45922</v>
      </c>
      <c r="J14" s="13" t="s">
        <v>147</v>
      </c>
      <c r="U14" s="115"/>
      <c r="V14" s="115"/>
      <c r="W14" s="115"/>
      <c r="X14" s="115"/>
      <c r="Y14" s="29"/>
      <c r="Z14" s="29"/>
      <c r="AJ14" s="25"/>
      <c r="AK14" s="13"/>
      <c r="AP14" s="116"/>
      <c r="AQ14" s="123"/>
      <c r="AR14" s="123"/>
      <c r="AS14" s="123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25"/>
      <c r="BI14" s="13"/>
      <c r="BL14" s="114"/>
    </row>
    <row r="15" spans="1:64" ht="20.100000000000001" customHeight="1" x14ac:dyDescent="0.4">
      <c r="A15" s="117">
        <v>45932</v>
      </c>
      <c r="B15" s="123"/>
      <c r="C15" s="123"/>
      <c r="D15" s="123">
        <v>1</v>
      </c>
      <c r="G15" s="115"/>
      <c r="H15" s="115" t="s">
        <v>201</v>
      </c>
      <c r="I15" s="13">
        <f>SUBTOTAL(3,I10:I14)</f>
        <v>5</v>
      </c>
      <c r="J15" s="13">
        <f>SUBTOTAL(3,J10:J14)</f>
        <v>5</v>
      </c>
      <c r="U15" s="115"/>
      <c r="V15" s="115"/>
      <c r="W15" s="115"/>
      <c r="X15" s="115"/>
      <c r="Y15" s="29"/>
      <c r="Z15" s="29"/>
      <c r="AJ15" s="25"/>
      <c r="AK15" s="13"/>
      <c r="AP15" s="116"/>
      <c r="AQ15" s="123"/>
      <c r="AR15" s="123"/>
      <c r="AS15" s="123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25"/>
      <c r="BI15" s="13"/>
      <c r="BL15" s="114"/>
    </row>
    <row r="16" spans="1:64" ht="20.100000000000001" customHeight="1" x14ac:dyDescent="0.4">
      <c r="A16" s="117">
        <v>45933</v>
      </c>
      <c r="B16" s="123"/>
      <c r="C16" s="123">
        <v>1</v>
      </c>
      <c r="D16" s="123"/>
      <c r="I16" s="25">
        <v>45923</v>
      </c>
      <c r="J16" s="133" t="s">
        <v>147</v>
      </c>
      <c r="U16" s="115"/>
      <c r="V16" s="115"/>
      <c r="W16" s="115"/>
      <c r="X16" s="115"/>
      <c r="Y16" s="127"/>
      <c r="Z16" s="29"/>
      <c r="AJ16" s="25"/>
      <c r="AK16" s="13"/>
      <c r="AP16" s="116"/>
      <c r="AQ16" s="123"/>
      <c r="AR16" s="123"/>
      <c r="AS16" s="123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25"/>
      <c r="BI16" s="13"/>
      <c r="BL16" s="114"/>
    </row>
    <row r="17" spans="1:64" ht="20.100000000000001" customHeight="1" x14ac:dyDescent="0.4">
      <c r="A17" s="117">
        <v>45935</v>
      </c>
      <c r="B17" s="123">
        <v>4</v>
      </c>
      <c r="C17" s="123">
        <v>3</v>
      </c>
      <c r="D17" s="123"/>
      <c r="G17" s="115"/>
      <c r="H17" s="115"/>
      <c r="I17" s="25">
        <v>45923</v>
      </c>
      <c r="J17" s="13" t="s">
        <v>147</v>
      </c>
      <c r="U17" s="115"/>
      <c r="V17" s="115"/>
      <c r="W17" s="115"/>
      <c r="X17" s="115"/>
      <c r="Y17" s="127"/>
      <c r="Z17" s="29"/>
      <c r="AJ17" s="25"/>
      <c r="AK17" s="13"/>
      <c r="AP17" s="116"/>
      <c r="AQ17" s="123"/>
      <c r="AR17" s="123"/>
      <c r="AS17" s="123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25"/>
      <c r="BI17" s="13"/>
      <c r="BL17" s="114"/>
    </row>
    <row r="18" spans="1:64" ht="20.100000000000001" customHeight="1" x14ac:dyDescent="0.4">
      <c r="A18" s="117">
        <v>45936</v>
      </c>
      <c r="B18" s="123">
        <v>11</v>
      </c>
      <c r="C18" s="123">
        <v>4</v>
      </c>
      <c r="D18" s="123"/>
      <c r="I18" s="25">
        <v>45923</v>
      </c>
      <c r="J18" s="13" t="s">
        <v>148</v>
      </c>
      <c r="U18" s="115"/>
      <c r="V18" s="115"/>
      <c r="W18" s="115"/>
      <c r="X18" s="115"/>
      <c r="Y18" s="29"/>
      <c r="Z18" s="29"/>
      <c r="AJ18" s="25"/>
      <c r="AK18" s="13"/>
      <c r="AP18" s="116"/>
      <c r="AQ18" s="123"/>
      <c r="AR18" s="123"/>
      <c r="AS18" s="123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25"/>
      <c r="BI18" s="13"/>
      <c r="BL18" s="114"/>
    </row>
    <row r="19" spans="1:64" ht="20.100000000000001" customHeight="1" x14ac:dyDescent="0.4">
      <c r="A19" s="117">
        <v>45937</v>
      </c>
      <c r="B19" s="123"/>
      <c r="C19" s="123">
        <v>1</v>
      </c>
      <c r="D19" s="123"/>
      <c r="I19" s="25">
        <v>45923</v>
      </c>
      <c r="J19" s="13" t="s">
        <v>147</v>
      </c>
      <c r="T19" s="115"/>
      <c r="U19" s="115"/>
      <c r="V19" s="115"/>
      <c r="W19" s="115"/>
      <c r="X19" s="115"/>
      <c r="Y19" s="127"/>
      <c r="Z19" s="29"/>
      <c r="AJ19" s="25"/>
      <c r="AK19" s="13"/>
      <c r="AP19" s="116"/>
      <c r="AQ19" s="123"/>
      <c r="AR19" s="123"/>
      <c r="AS19" s="123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25"/>
      <c r="BI19" s="13"/>
      <c r="BL19" s="114"/>
    </row>
    <row r="20" spans="1:64" ht="20.100000000000001" customHeight="1" x14ac:dyDescent="0.4">
      <c r="A20" s="117">
        <v>45938</v>
      </c>
      <c r="B20" s="123">
        <v>13</v>
      </c>
      <c r="C20" s="123">
        <v>1</v>
      </c>
      <c r="D20" s="123"/>
      <c r="H20" s="115" t="s">
        <v>202</v>
      </c>
      <c r="I20" s="13">
        <f>SUBTOTAL(3,I16:I19)</f>
        <v>4</v>
      </c>
      <c r="J20" s="13">
        <f>SUBTOTAL(3,J16:J19)</f>
        <v>4</v>
      </c>
      <c r="T20" s="115"/>
      <c r="U20" s="115"/>
      <c r="V20" s="115"/>
      <c r="W20" s="115"/>
      <c r="X20" s="115"/>
      <c r="Y20" s="127"/>
      <c r="Z20" s="29"/>
      <c r="AJ20" s="25"/>
      <c r="AK20" s="13"/>
      <c r="AP20" s="116"/>
      <c r="AQ20" s="123"/>
      <c r="AR20" s="123"/>
      <c r="AS20" s="123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25"/>
      <c r="BI20" s="13"/>
      <c r="BL20" s="114"/>
    </row>
    <row r="21" spans="1:64" ht="20.100000000000001" customHeight="1" x14ac:dyDescent="0.4">
      <c r="A21" s="117">
        <v>45940</v>
      </c>
      <c r="B21" s="123">
        <v>1</v>
      </c>
      <c r="C21" s="123"/>
      <c r="D21" s="123">
        <v>1</v>
      </c>
      <c r="G21" s="115"/>
      <c r="H21" s="115"/>
      <c r="I21" s="25">
        <v>45924</v>
      </c>
      <c r="J21" s="15" t="s">
        <v>147</v>
      </c>
      <c r="T21" s="115"/>
      <c r="U21" s="115"/>
      <c r="V21" s="115"/>
      <c r="W21" s="115"/>
      <c r="X21" s="115"/>
      <c r="Y21" s="127"/>
      <c r="Z21" s="29"/>
      <c r="AJ21" s="25"/>
      <c r="AK21" s="13"/>
      <c r="AP21" s="116"/>
      <c r="AQ21" s="123"/>
      <c r="AR21" s="123"/>
      <c r="AS21" s="123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25"/>
      <c r="BI21" s="13"/>
      <c r="BL21" s="114"/>
    </row>
    <row r="22" spans="1:64" ht="20.100000000000001" customHeight="1" x14ac:dyDescent="0.4">
      <c r="A22" s="117">
        <v>45943</v>
      </c>
      <c r="B22" s="123"/>
      <c r="C22" s="123">
        <v>1</v>
      </c>
      <c r="D22" s="123"/>
      <c r="I22" s="25">
        <v>45924</v>
      </c>
      <c r="J22" s="15" t="s">
        <v>146</v>
      </c>
      <c r="T22" s="115"/>
      <c r="U22" s="115"/>
      <c r="V22" s="115"/>
      <c r="W22" s="115"/>
      <c r="X22" s="115"/>
      <c r="Y22" s="29"/>
      <c r="Z22" s="29"/>
      <c r="AJ22" s="25"/>
      <c r="AK22" s="13"/>
      <c r="AP22" s="116"/>
      <c r="AQ22" s="123"/>
      <c r="AR22" s="123"/>
      <c r="AS22" s="123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25"/>
      <c r="BI22" s="13"/>
      <c r="BL22" s="114"/>
    </row>
    <row r="23" spans="1:64" ht="20.100000000000001" customHeight="1" x14ac:dyDescent="0.4">
      <c r="A23" s="117">
        <v>45946</v>
      </c>
      <c r="B23" s="123"/>
      <c r="C23" s="123">
        <v>1</v>
      </c>
      <c r="D23" s="123"/>
      <c r="G23" s="115"/>
      <c r="H23" s="115"/>
      <c r="I23" s="25">
        <v>45924</v>
      </c>
      <c r="J23" s="13" t="s">
        <v>147</v>
      </c>
      <c r="T23" s="115"/>
      <c r="U23" s="115"/>
      <c r="V23" s="115"/>
      <c r="W23" s="115"/>
      <c r="X23" s="115"/>
      <c r="Y23" s="29"/>
      <c r="Z23" s="29"/>
      <c r="AJ23" s="25"/>
      <c r="AK23" s="13"/>
      <c r="AP23" s="116"/>
      <c r="AQ23" s="123"/>
      <c r="AR23" s="123"/>
      <c r="AS23" s="123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25"/>
      <c r="BI23" s="13"/>
      <c r="BL23" s="114"/>
    </row>
    <row r="24" spans="1:64" ht="20.100000000000001" customHeight="1" x14ac:dyDescent="0.4">
      <c r="A24" s="117">
        <v>45957</v>
      </c>
      <c r="B24" s="123"/>
      <c r="C24" s="123">
        <v>2</v>
      </c>
      <c r="D24" s="123"/>
      <c r="I24" s="25">
        <v>45924</v>
      </c>
      <c r="J24" s="13" t="s">
        <v>147</v>
      </c>
      <c r="T24" s="115"/>
      <c r="U24" s="115"/>
      <c r="V24" s="115"/>
      <c r="W24" s="115"/>
      <c r="X24" s="115"/>
      <c r="Y24" s="127"/>
      <c r="Z24" s="29"/>
      <c r="AJ24" s="25"/>
      <c r="AK24" s="13"/>
      <c r="AP24" s="116"/>
      <c r="AQ24" s="123"/>
      <c r="AR24" s="123"/>
      <c r="AS24" s="123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25"/>
      <c r="BI24" s="13"/>
      <c r="BL24" s="114"/>
    </row>
    <row r="25" spans="1:64" ht="20.100000000000001" customHeight="1" x14ac:dyDescent="0.4">
      <c r="A25" s="117"/>
      <c r="B25" s="123">
        <f>SUM(B3:B24)</f>
        <v>67</v>
      </c>
      <c r="C25" s="123">
        <f>SUM(C3:C24)</f>
        <v>45</v>
      </c>
      <c r="D25" s="123">
        <f>SUM(D3:D24)</f>
        <v>16</v>
      </c>
      <c r="I25" s="25">
        <v>45924</v>
      </c>
      <c r="J25" s="13" t="s">
        <v>146</v>
      </c>
      <c r="S25" s="115"/>
      <c r="T25" s="115"/>
      <c r="U25" s="115"/>
      <c r="V25" s="115"/>
      <c r="W25" s="115"/>
      <c r="X25" s="115"/>
      <c r="Y25" s="127"/>
      <c r="Z25" s="29"/>
      <c r="AJ25" s="25"/>
      <c r="AK25" s="13"/>
      <c r="AP25" s="116"/>
      <c r="AQ25" s="123"/>
      <c r="AR25" s="123"/>
      <c r="AS25" s="123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25"/>
      <c r="BI25" s="13"/>
      <c r="BL25" s="114"/>
    </row>
    <row r="26" spans="1:64" ht="20.100000000000001" customHeight="1" x14ac:dyDescent="0.4">
      <c r="A26" s="117"/>
      <c r="B26" s="123"/>
      <c r="C26" s="123"/>
      <c r="D26" s="123">
        <f>SUM(B25:D25)</f>
        <v>128</v>
      </c>
      <c r="I26" s="25">
        <v>45924</v>
      </c>
      <c r="J26" s="13" t="s">
        <v>146</v>
      </c>
      <c r="S26" s="115"/>
      <c r="T26" s="115"/>
      <c r="U26" s="115"/>
      <c r="V26" s="115"/>
      <c r="W26" s="115"/>
      <c r="X26" s="115"/>
      <c r="Y26" s="29"/>
      <c r="Z26" s="29"/>
      <c r="AJ26" s="25"/>
      <c r="AK26" s="13"/>
      <c r="AP26" s="116"/>
      <c r="AQ26" s="123"/>
      <c r="AR26" s="123"/>
      <c r="AS26" s="123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25"/>
      <c r="BI26" s="13"/>
      <c r="BL26" s="114"/>
    </row>
    <row r="27" spans="1:64" ht="20.100000000000001" customHeight="1" x14ac:dyDescent="0.4">
      <c r="A27" s="117"/>
      <c r="B27" s="123"/>
      <c r="C27" s="123"/>
      <c r="D27" s="123"/>
      <c r="I27" s="25">
        <v>45924</v>
      </c>
      <c r="J27" s="13" t="s">
        <v>146</v>
      </c>
      <c r="S27" s="115"/>
      <c r="T27" s="115"/>
      <c r="U27" s="115"/>
      <c r="V27" s="115"/>
      <c r="W27" s="115"/>
      <c r="X27" s="115"/>
      <c r="Y27" s="127"/>
      <c r="Z27" s="29"/>
      <c r="AJ27" s="25"/>
      <c r="AK27" s="13"/>
      <c r="AP27" s="116"/>
      <c r="AQ27" s="123"/>
      <c r="AR27" s="123"/>
      <c r="AS27" s="123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25"/>
      <c r="BI27" s="13"/>
      <c r="BL27" s="114"/>
    </row>
    <row r="28" spans="1:64" ht="20.100000000000001" customHeight="1" x14ac:dyDescent="0.4">
      <c r="A28" s="117"/>
      <c r="B28" s="123"/>
      <c r="C28" s="123"/>
      <c r="D28" s="123"/>
      <c r="I28" s="25">
        <v>45924</v>
      </c>
      <c r="J28" s="13" t="s">
        <v>146</v>
      </c>
      <c r="S28" s="115"/>
      <c r="T28" s="115"/>
      <c r="U28" s="115"/>
      <c r="V28" s="115"/>
      <c r="W28" s="115"/>
      <c r="X28" s="115"/>
      <c r="Y28" s="127"/>
      <c r="Z28" s="29"/>
      <c r="AJ28" s="25"/>
      <c r="AK28" s="13"/>
      <c r="AP28" s="116"/>
      <c r="AQ28" s="123"/>
      <c r="AR28" s="123"/>
      <c r="AS28" s="123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25"/>
      <c r="BI28" s="13"/>
      <c r="BL28" s="114"/>
    </row>
    <row r="29" spans="1:64" ht="20.100000000000001" customHeight="1" x14ac:dyDescent="0.4">
      <c r="A29" s="117"/>
      <c r="B29" s="123"/>
      <c r="C29" s="123"/>
      <c r="D29" s="123"/>
      <c r="G29" s="115"/>
      <c r="H29" s="115"/>
      <c r="I29" s="25">
        <v>45924</v>
      </c>
      <c r="J29" s="13" t="s">
        <v>146</v>
      </c>
      <c r="S29" s="115"/>
      <c r="T29" s="115"/>
      <c r="U29" s="115"/>
      <c r="V29" s="115"/>
      <c r="W29" s="115"/>
      <c r="X29" s="115"/>
      <c r="Y29" s="127"/>
      <c r="Z29" s="29"/>
      <c r="AJ29" s="25"/>
      <c r="AK29" s="13"/>
      <c r="AP29" s="116"/>
      <c r="AQ29" s="123"/>
      <c r="AR29" s="123"/>
      <c r="AS29" s="123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25"/>
      <c r="BI29" s="13"/>
      <c r="BL29" s="114"/>
    </row>
    <row r="30" spans="1:64" ht="20.100000000000001" customHeight="1" x14ac:dyDescent="0.4">
      <c r="A30" s="117"/>
      <c r="B30" s="123"/>
      <c r="C30" s="123"/>
      <c r="D30" s="123"/>
      <c r="G30" s="115"/>
      <c r="H30" s="115" t="s">
        <v>203</v>
      </c>
      <c r="I30" s="13">
        <f>SUBTOTAL(3,I21:I29)</f>
        <v>9</v>
      </c>
      <c r="J30" s="13">
        <f>SUBTOTAL(3,J21:J29)</f>
        <v>9</v>
      </c>
      <c r="S30" s="115"/>
      <c r="T30" s="115"/>
      <c r="U30" s="115"/>
      <c r="V30" s="115"/>
      <c r="W30" s="115"/>
      <c r="X30" s="115"/>
      <c r="Y30" s="127"/>
      <c r="Z30" s="29"/>
      <c r="AJ30" s="25"/>
      <c r="AK30" s="13"/>
      <c r="AP30" s="116"/>
      <c r="AQ30" s="123"/>
      <c r="AR30" s="123"/>
      <c r="AS30" s="123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25"/>
      <c r="BI30" s="13"/>
      <c r="BL30" s="114"/>
    </row>
    <row r="31" spans="1:64" ht="20.100000000000001" customHeight="1" x14ac:dyDescent="0.4">
      <c r="A31" s="117"/>
      <c r="B31" s="123"/>
      <c r="C31" s="123"/>
      <c r="D31" s="123"/>
      <c r="I31" s="25">
        <v>45926</v>
      </c>
      <c r="J31" s="13" t="s">
        <v>147</v>
      </c>
      <c r="S31" s="115"/>
      <c r="T31" s="115"/>
      <c r="U31" s="115"/>
      <c r="V31" s="115"/>
      <c r="W31" s="115"/>
      <c r="X31" s="115"/>
      <c r="Y31" s="127"/>
      <c r="Z31" s="29"/>
      <c r="AJ31" s="25"/>
      <c r="AK31" s="13"/>
      <c r="AP31" s="116"/>
      <c r="AQ31" s="123"/>
      <c r="AR31" s="123"/>
      <c r="AS31" s="123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25"/>
      <c r="BI31" s="13"/>
      <c r="BL31" s="114"/>
    </row>
    <row r="32" spans="1:64" ht="20.100000000000001" customHeight="1" x14ac:dyDescent="0.4">
      <c r="A32" s="117"/>
      <c r="B32" s="123"/>
      <c r="C32" s="123"/>
      <c r="D32" s="123"/>
      <c r="I32" s="25">
        <v>45926</v>
      </c>
      <c r="J32" s="13" t="s">
        <v>148</v>
      </c>
      <c r="S32" s="115"/>
      <c r="T32" s="115"/>
      <c r="U32" s="115"/>
      <c r="V32" s="115"/>
      <c r="W32" s="115"/>
      <c r="X32" s="115"/>
      <c r="Y32" s="29"/>
      <c r="Z32" s="29"/>
      <c r="AJ32" s="25"/>
      <c r="AK32" s="13"/>
      <c r="AP32" s="116"/>
      <c r="AQ32" s="123"/>
      <c r="AR32" s="123"/>
      <c r="AS32" s="123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25"/>
      <c r="BI32" s="13"/>
      <c r="BL32" s="114"/>
    </row>
    <row r="33" spans="1:64" ht="20.100000000000001" customHeight="1" x14ac:dyDescent="0.4">
      <c r="A33" s="117"/>
      <c r="B33" s="123"/>
      <c r="C33" s="123"/>
      <c r="D33" s="123"/>
      <c r="I33" s="25">
        <v>45926</v>
      </c>
      <c r="J33" s="13" t="s">
        <v>146</v>
      </c>
      <c r="S33" s="115"/>
      <c r="T33" s="115"/>
      <c r="U33" s="115"/>
      <c r="V33" s="115"/>
      <c r="W33" s="115"/>
      <c r="X33" s="115"/>
      <c r="Y33" s="127"/>
      <c r="Z33" s="29"/>
      <c r="AJ33" s="25"/>
      <c r="AK33" s="13"/>
      <c r="AP33" s="116"/>
      <c r="AQ33" s="123"/>
      <c r="AR33" s="123"/>
      <c r="AS33" s="123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25"/>
      <c r="BI33" s="13"/>
      <c r="BL33" s="114"/>
    </row>
    <row r="34" spans="1:64" ht="20.100000000000001" customHeight="1" x14ac:dyDescent="0.4">
      <c r="A34" s="117"/>
      <c r="B34" s="123"/>
      <c r="C34" s="123"/>
      <c r="D34" s="123"/>
      <c r="I34" s="25">
        <v>45926</v>
      </c>
      <c r="J34" s="13" t="s">
        <v>146</v>
      </c>
      <c r="S34" s="115"/>
      <c r="T34" s="115"/>
      <c r="U34" s="115"/>
      <c r="V34" s="115"/>
      <c r="W34" s="115"/>
      <c r="X34" s="115"/>
      <c r="Y34" s="29"/>
      <c r="Z34" s="29"/>
      <c r="AJ34" s="25"/>
      <c r="AK34" s="13"/>
      <c r="AP34" s="116"/>
      <c r="AQ34" s="123"/>
      <c r="AR34" s="123"/>
      <c r="AS34" s="123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25"/>
      <c r="BI34" s="13"/>
      <c r="BL34" s="114"/>
    </row>
    <row r="35" spans="1:64" ht="20.100000000000001" customHeight="1" x14ac:dyDescent="0.4">
      <c r="A35" s="117"/>
      <c r="B35" s="123"/>
      <c r="C35" s="123"/>
      <c r="D35" s="123"/>
      <c r="H35" s="115" t="s">
        <v>204</v>
      </c>
      <c r="I35" s="13">
        <f>SUBTOTAL(3,I31:I34)</f>
        <v>4</v>
      </c>
      <c r="J35" s="13">
        <f>SUBTOTAL(3,J31:J34)</f>
        <v>4</v>
      </c>
      <c r="S35" s="115"/>
      <c r="T35" s="115"/>
      <c r="U35" s="115"/>
      <c r="V35" s="115"/>
      <c r="W35" s="115"/>
      <c r="X35" s="115"/>
      <c r="Y35" s="29"/>
      <c r="Z35" s="29"/>
      <c r="AJ35" s="25"/>
      <c r="AK35" s="13"/>
      <c r="AP35" s="116"/>
      <c r="AQ35" s="123"/>
      <c r="AR35" s="123"/>
      <c r="AS35" s="123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25"/>
      <c r="BI35" s="13"/>
      <c r="BL35" s="114"/>
    </row>
    <row r="36" spans="1:64" ht="20.100000000000001" customHeight="1" x14ac:dyDescent="0.4">
      <c r="A36" s="117"/>
      <c r="B36" s="123"/>
      <c r="C36" s="123"/>
      <c r="D36" s="123"/>
      <c r="I36" s="25">
        <v>45927</v>
      </c>
      <c r="J36" s="13" t="s">
        <v>147</v>
      </c>
      <c r="S36" s="115"/>
      <c r="T36" s="115"/>
      <c r="U36" s="115"/>
      <c r="V36" s="115"/>
      <c r="W36" s="115"/>
      <c r="X36" s="115"/>
      <c r="Y36" s="127"/>
      <c r="Z36" s="29"/>
      <c r="AJ36" s="25"/>
      <c r="AK36" s="13"/>
      <c r="AP36" s="116"/>
      <c r="AQ36" s="123"/>
      <c r="AR36" s="123"/>
      <c r="AS36" s="123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25"/>
      <c r="BI36" s="13"/>
      <c r="BL36" s="114"/>
    </row>
    <row r="37" spans="1:64" ht="20.100000000000001" customHeight="1" x14ac:dyDescent="0.4">
      <c r="A37" s="117"/>
      <c r="B37" s="123"/>
      <c r="C37" s="123"/>
      <c r="D37" s="123"/>
      <c r="G37" s="115"/>
      <c r="H37" s="115"/>
      <c r="I37" s="25">
        <v>45927</v>
      </c>
      <c r="J37" s="13" t="s">
        <v>147</v>
      </c>
      <c r="S37" s="115"/>
      <c r="T37" s="115"/>
      <c r="U37" s="115"/>
      <c r="V37" s="115"/>
      <c r="W37" s="115"/>
      <c r="X37" s="115"/>
      <c r="Y37" s="127"/>
      <c r="Z37" s="29"/>
      <c r="AJ37" s="25"/>
      <c r="AK37" s="13"/>
      <c r="AP37" s="116"/>
      <c r="AQ37" s="123"/>
      <c r="AR37" s="123"/>
      <c r="AS37" s="123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25"/>
      <c r="BI37" s="13"/>
      <c r="BL37" s="114"/>
    </row>
    <row r="38" spans="1:64" ht="20.100000000000001" customHeight="1" x14ac:dyDescent="0.4">
      <c r="A38" s="117"/>
      <c r="B38" s="123"/>
      <c r="C38" s="123"/>
      <c r="D38" s="123"/>
      <c r="I38" s="25">
        <v>45927</v>
      </c>
      <c r="J38" s="13" t="s">
        <v>146</v>
      </c>
      <c r="S38" s="115"/>
      <c r="T38" s="115"/>
      <c r="U38" s="115"/>
      <c r="V38" s="115"/>
      <c r="W38" s="115"/>
      <c r="X38" s="115"/>
      <c r="Y38" s="127"/>
      <c r="Z38" s="29"/>
      <c r="AJ38" s="25"/>
      <c r="AK38" s="13"/>
      <c r="AP38" s="116"/>
      <c r="AQ38" s="123"/>
      <c r="AR38" s="123"/>
      <c r="AS38" s="123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25"/>
      <c r="BI38" s="13"/>
      <c r="BL38" s="114"/>
    </row>
    <row r="39" spans="1:64" ht="20.100000000000001" customHeight="1" x14ac:dyDescent="0.4">
      <c r="A39" s="117"/>
      <c r="B39" s="123"/>
      <c r="C39" s="123"/>
      <c r="D39" s="123"/>
      <c r="I39" s="25">
        <v>45927</v>
      </c>
      <c r="J39" s="15" t="s">
        <v>147</v>
      </c>
      <c r="S39" s="115"/>
      <c r="T39" s="115"/>
      <c r="U39" s="115"/>
      <c r="V39" s="115"/>
      <c r="W39" s="115"/>
      <c r="X39" s="115"/>
      <c r="Y39" s="29"/>
      <c r="Z39" s="29"/>
      <c r="AJ39" s="25"/>
      <c r="AK39" s="13"/>
      <c r="AP39" s="116"/>
      <c r="AQ39" s="123"/>
      <c r="AR39" s="123"/>
      <c r="AS39" s="123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25"/>
      <c r="BI39" s="13"/>
      <c r="BL39" s="114"/>
    </row>
    <row r="40" spans="1:64" ht="20.100000000000001" customHeight="1" x14ac:dyDescent="0.4">
      <c r="A40" s="117"/>
      <c r="B40" s="123"/>
      <c r="C40" s="123"/>
      <c r="D40" s="123"/>
      <c r="I40" s="25">
        <v>45927</v>
      </c>
      <c r="J40" s="13" t="s">
        <v>146</v>
      </c>
      <c r="R40" s="115"/>
      <c r="S40" s="115"/>
      <c r="T40" s="115"/>
      <c r="U40" s="115"/>
      <c r="V40" s="115"/>
      <c r="W40" s="115"/>
      <c r="X40" s="115"/>
      <c r="Y40" s="127"/>
      <c r="Z40" s="29"/>
      <c r="AJ40" s="25"/>
      <c r="AK40" s="13"/>
      <c r="AP40" s="116"/>
      <c r="AQ40" s="123"/>
      <c r="AR40" s="123"/>
      <c r="AS40" s="123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25"/>
      <c r="BI40" s="13"/>
      <c r="BL40" s="114"/>
    </row>
    <row r="41" spans="1:64" ht="20.100000000000001" customHeight="1" x14ac:dyDescent="0.4">
      <c r="A41" s="117"/>
      <c r="B41" s="123"/>
      <c r="C41" s="123"/>
      <c r="D41" s="123"/>
      <c r="I41" s="25">
        <v>45927</v>
      </c>
      <c r="J41" s="13" t="s">
        <v>148</v>
      </c>
      <c r="R41" s="115"/>
      <c r="S41" s="115"/>
      <c r="T41" s="115"/>
      <c r="U41" s="115"/>
      <c r="V41" s="115"/>
      <c r="W41" s="115"/>
      <c r="X41" s="115"/>
      <c r="Y41" s="127"/>
      <c r="Z41" s="134"/>
      <c r="AJ41" s="25"/>
      <c r="AK41" s="13"/>
      <c r="AP41" s="116"/>
      <c r="AQ41" s="123"/>
      <c r="AR41" s="123"/>
      <c r="AS41" s="123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25"/>
      <c r="BI41" s="13"/>
      <c r="BL41" s="114"/>
    </row>
    <row r="42" spans="1:64" ht="20.100000000000001" customHeight="1" x14ac:dyDescent="0.4">
      <c r="A42" s="117"/>
      <c r="B42" s="123"/>
      <c r="C42" s="123"/>
      <c r="D42" s="123"/>
      <c r="I42" s="25">
        <v>45927</v>
      </c>
      <c r="J42" s="13" t="s">
        <v>147</v>
      </c>
      <c r="P42" s="115"/>
      <c r="Q42" s="115"/>
      <c r="R42" s="115"/>
      <c r="S42" s="115"/>
      <c r="T42" s="115"/>
      <c r="U42" s="115"/>
      <c r="V42" s="115"/>
      <c r="W42" s="115"/>
      <c r="X42" s="115"/>
      <c r="Y42" s="127"/>
      <c r="Z42" s="29"/>
      <c r="AJ42" s="25"/>
      <c r="AK42" s="13"/>
      <c r="AP42" s="116"/>
      <c r="AQ42" s="123"/>
      <c r="AR42" s="123"/>
      <c r="AS42" s="123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25"/>
      <c r="BI42" s="13"/>
      <c r="BL42" s="114"/>
    </row>
    <row r="43" spans="1:64" ht="20.100000000000001" customHeight="1" x14ac:dyDescent="0.4">
      <c r="A43" s="117"/>
      <c r="B43" s="123"/>
      <c r="C43" s="123"/>
      <c r="D43" s="123"/>
      <c r="I43" s="25">
        <v>45927</v>
      </c>
      <c r="J43" s="13" t="s">
        <v>147</v>
      </c>
      <c r="P43" s="115"/>
      <c r="Q43" s="115"/>
      <c r="R43" s="115"/>
      <c r="S43" s="115"/>
      <c r="T43" s="115"/>
      <c r="U43" s="115"/>
      <c r="V43" s="115"/>
      <c r="W43" s="115"/>
      <c r="X43" s="115"/>
      <c r="Y43" s="127"/>
      <c r="Z43" s="29"/>
      <c r="AJ43" s="25"/>
      <c r="AK43" s="13"/>
      <c r="AP43" s="116"/>
      <c r="AQ43" s="123"/>
      <c r="AR43" s="123"/>
      <c r="AS43" s="123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25"/>
      <c r="BI43" s="13"/>
      <c r="BL43" s="114"/>
    </row>
    <row r="44" spans="1:64" ht="20.100000000000001" customHeight="1" x14ac:dyDescent="0.4">
      <c r="A44" s="117"/>
      <c r="B44" s="123"/>
      <c r="C44" s="123"/>
      <c r="D44" s="123"/>
      <c r="I44" s="25">
        <v>45927</v>
      </c>
      <c r="J44" s="13" t="s">
        <v>147</v>
      </c>
      <c r="P44" s="115"/>
      <c r="Q44" s="115"/>
      <c r="R44" s="115"/>
      <c r="S44" s="115"/>
      <c r="T44" s="115"/>
      <c r="U44" s="115"/>
      <c r="V44" s="115"/>
      <c r="W44" s="115"/>
      <c r="X44" s="115"/>
      <c r="Y44" s="127"/>
      <c r="Z44" s="29"/>
      <c r="AJ44" s="25"/>
      <c r="AK44" s="13"/>
      <c r="AP44" s="116"/>
      <c r="AQ44" s="123"/>
      <c r="AR44" s="123"/>
      <c r="AS44" s="123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25"/>
      <c r="BI44" s="13"/>
      <c r="BL44" s="114"/>
    </row>
    <row r="45" spans="1:64" ht="20.100000000000001" customHeight="1" x14ac:dyDescent="0.4">
      <c r="A45" s="117"/>
      <c r="B45" s="123"/>
      <c r="C45" s="123"/>
      <c r="D45" s="123"/>
      <c r="I45" s="25">
        <v>45927</v>
      </c>
      <c r="J45" s="13" t="s">
        <v>146</v>
      </c>
      <c r="P45" s="115"/>
      <c r="Q45" s="115"/>
      <c r="R45" s="115"/>
      <c r="S45" s="115"/>
      <c r="T45" s="115"/>
      <c r="U45" s="115"/>
      <c r="V45" s="115"/>
      <c r="W45" s="115"/>
      <c r="X45" s="115"/>
      <c r="Y45" s="29"/>
      <c r="Z45" s="29"/>
      <c r="AJ45" s="25"/>
      <c r="AK45" s="13"/>
      <c r="AP45" s="116"/>
      <c r="AQ45" s="123"/>
      <c r="AR45" s="123"/>
      <c r="AS45" s="123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25"/>
      <c r="BI45" s="13"/>
      <c r="BL45" s="114"/>
    </row>
    <row r="46" spans="1:64" ht="20.100000000000001" customHeight="1" x14ac:dyDescent="0.4">
      <c r="A46" s="117"/>
      <c r="B46" s="123"/>
      <c r="C46" s="123"/>
      <c r="D46" s="123"/>
      <c r="I46" s="25">
        <v>45927</v>
      </c>
      <c r="J46" s="13" t="s">
        <v>148</v>
      </c>
      <c r="P46" s="115"/>
      <c r="Q46" s="115"/>
      <c r="R46" s="115"/>
      <c r="S46" s="115"/>
      <c r="T46" s="115"/>
      <c r="U46" s="115"/>
      <c r="V46" s="115"/>
      <c r="W46" s="115"/>
      <c r="X46" s="115"/>
      <c r="Y46" s="127"/>
      <c r="Z46" s="29"/>
      <c r="AJ46" s="25"/>
      <c r="AK46" s="13"/>
      <c r="AP46" s="116"/>
      <c r="AQ46" s="123"/>
      <c r="AR46" s="123"/>
      <c r="AS46" s="123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25"/>
      <c r="BI46" s="13"/>
      <c r="BL46" s="114"/>
    </row>
    <row r="47" spans="1:64" ht="20.100000000000001" customHeight="1" x14ac:dyDescent="0.4">
      <c r="A47" s="117"/>
      <c r="B47" s="123"/>
      <c r="C47" s="123"/>
      <c r="D47" s="123"/>
      <c r="I47" s="25">
        <v>45927</v>
      </c>
      <c r="J47" s="13" t="s">
        <v>148</v>
      </c>
      <c r="P47" s="115"/>
      <c r="Q47" s="115"/>
      <c r="R47" s="115"/>
      <c r="S47" s="115"/>
      <c r="T47" s="115"/>
      <c r="U47" s="115"/>
      <c r="V47" s="115"/>
      <c r="W47" s="115"/>
      <c r="X47" s="115"/>
      <c r="Y47" s="127"/>
      <c r="Z47" s="29"/>
      <c r="AJ47" s="25"/>
      <c r="AK47" s="13"/>
      <c r="AP47" s="116"/>
      <c r="AQ47" s="123"/>
      <c r="AR47" s="123"/>
      <c r="AS47" s="123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25"/>
      <c r="BI47" s="13"/>
      <c r="BL47" s="114"/>
    </row>
    <row r="48" spans="1:64" ht="20.100000000000001" customHeight="1" x14ac:dyDescent="0.4">
      <c r="A48" s="117"/>
      <c r="B48" s="123"/>
      <c r="C48" s="123"/>
      <c r="D48" s="123"/>
      <c r="I48" s="25">
        <v>45927</v>
      </c>
      <c r="J48" s="13" t="s">
        <v>146</v>
      </c>
      <c r="P48" s="115"/>
      <c r="Q48" s="115"/>
      <c r="R48" s="115"/>
      <c r="S48" s="115"/>
      <c r="T48" s="115"/>
      <c r="U48" s="115"/>
      <c r="V48" s="115"/>
      <c r="W48" s="115"/>
      <c r="X48" s="115"/>
      <c r="Y48" s="127"/>
      <c r="Z48" s="29"/>
      <c r="AJ48" s="25"/>
      <c r="AK48" s="13"/>
      <c r="AP48" s="116"/>
      <c r="AQ48" s="123"/>
      <c r="AR48" s="123"/>
      <c r="AS48" s="123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25"/>
      <c r="BI48" s="13"/>
      <c r="BL48" s="114"/>
    </row>
    <row r="49" spans="1:64" ht="20.100000000000001" customHeight="1" x14ac:dyDescent="0.4">
      <c r="A49" s="117"/>
      <c r="B49" s="123"/>
      <c r="C49" s="123"/>
      <c r="D49" s="123"/>
      <c r="I49" s="25">
        <v>45927</v>
      </c>
      <c r="J49" s="13" t="s">
        <v>146</v>
      </c>
      <c r="P49" s="115"/>
      <c r="Q49" s="115"/>
      <c r="R49" s="115"/>
      <c r="S49" s="115"/>
      <c r="T49" s="115"/>
      <c r="U49" s="115"/>
      <c r="V49" s="115"/>
      <c r="W49" s="115"/>
      <c r="X49" s="115"/>
      <c r="Y49" s="127"/>
      <c r="Z49" s="29"/>
      <c r="AJ49" s="25"/>
      <c r="AK49" s="13"/>
      <c r="AP49" s="116"/>
      <c r="AQ49" s="123"/>
      <c r="AR49" s="123"/>
      <c r="AS49" s="123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25"/>
      <c r="BI49" s="13"/>
      <c r="BL49" s="114"/>
    </row>
    <row r="50" spans="1:64" ht="20.100000000000001" customHeight="1" x14ac:dyDescent="0.4">
      <c r="A50" s="117"/>
      <c r="B50" s="123"/>
      <c r="C50" s="123"/>
      <c r="D50" s="123"/>
      <c r="I50" s="25">
        <v>45927</v>
      </c>
      <c r="J50" s="15" t="s">
        <v>146</v>
      </c>
      <c r="P50" s="115"/>
      <c r="Q50" s="115"/>
      <c r="R50" s="115"/>
      <c r="S50" s="115"/>
      <c r="T50" s="115"/>
      <c r="U50" s="115"/>
      <c r="V50" s="115"/>
      <c r="W50" s="115"/>
      <c r="X50" s="115"/>
      <c r="Y50" s="127"/>
      <c r="Z50" s="29"/>
      <c r="AJ50" s="25"/>
      <c r="AK50" s="13"/>
      <c r="AP50" s="116"/>
      <c r="AQ50" s="123"/>
      <c r="AR50" s="123"/>
      <c r="AS50" s="123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25"/>
      <c r="BI50" s="13"/>
      <c r="BL50" s="114"/>
    </row>
    <row r="51" spans="1:64" ht="20.100000000000001" customHeight="1" x14ac:dyDescent="0.4">
      <c r="A51" s="117"/>
      <c r="B51" s="123"/>
      <c r="C51" s="123"/>
      <c r="D51" s="123"/>
      <c r="I51" s="25">
        <v>45927</v>
      </c>
      <c r="J51" s="15" t="s">
        <v>147</v>
      </c>
      <c r="P51" s="115"/>
      <c r="Q51" s="115"/>
      <c r="R51" s="115"/>
      <c r="S51" s="115"/>
      <c r="T51" s="115"/>
      <c r="U51" s="115"/>
      <c r="V51" s="115"/>
      <c r="W51" s="115"/>
      <c r="X51" s="115"/>
      <c r="Y51" s="127"/>
      <c r="Z51" s="29"/>
      <c r="AJ51" s="25"/>
      <c r="AK51" s="13"/>
      <c r="AP51" s="116"/>
      <c r="AQ51" s="123"/>
      <c r="AR51" s="123"/>
      <c r="AS51" s="123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25"/>
      <c r="BI51" s="13"/>
      <c r="BL51" s="114"/>
    </row>
    <row r="52" spans="1:64" ht="20.100000000000001" customHeight="1" x14ac:dyDescent="0.4">
      <c r="A52" s="117"/>
      <c r="B52" s="123"/>
      <c r="C52" s="123"/>
      <c r="D52" s="123"/>
      <c r="I52" s="25">
        <v>45927</v>
      </c>
      <c r="J52" s="15" t="s">
        <v>147</v>
      </c>
      <c r="P52" s="115"/>
      <c r="Q52" s="115"/>
      <c r="R52" s="115"/>
      <c r="S52" s="115"/>
      <c r="T52" s="115"/>
      <c r="U52" s="115"/>
      <c r="V52" s="115"/>
      <c r="W52" s="115"/>
      <c r="X52" s="115"/>
      <c r="Y52" s="127"/>
      <c r="Z52" s="29"/>
      <c r="AJ52" s="25"/>
      <c r="AK52" s="13"/>
      <c r="AP52" s="116"/>
      <c r="AQ52" s="123"/>
      <c r="AR52" s="123"/>
      <c r="AS52" s="123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25"/>
      <c r="BI52" s="13"/>
      <c r="BL52" s="114"/>
    </row>
    <row r="53" spans="1:64" ht="20.100000000000001" customHeight="1" x14ac:dyDescent="0.4">
      <c r="A53" s="117"/>
      <c r="B53" s="123"/>
      <c r="C53" s="123"/>
      <c r="D53" s="123"/>
      <c r="I53" s="25">
        <v>45927</v>
      </c>
      <c r="J53" s="15" t="s">
        <v>147</v>
      </c>
      <c r="P53" s="115"/>
      <c r="Q53" s="115"/>
      <c r="R53" s="115"/>
      <c r="S53" s="115"/>
      <c r="T53" s="115"/>
      <c r="U53" s="115"/>
      <c r="V53" s="115"/>
      <c r="W53" s="115"/>
      <c r="X53" s="115"/>
      <c r="Y53" s="127"/>
      <c r="Z53" s="29"/>
      <c r="AJ53" s="25"/>
      <c r="AK53" s="13"/>
      <c r="AP53" s="116"/>
      <c r="AQ53" s="123"/>
      <c r="AR53" s="123"/>
      <c r="AS53" s="123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25"/>
      <c r="BI53" s="13"/>
      <c r="BL53" s="114"/>
    </row>
    <row r="54" spans="1:64" ht="20.100000000000001" customHeight="1" x14ac:dyDescent="0.4">
      <c r="A54" s="117"/>
      <c r="B54" s="123"/>
      <c r="C54" s="123"/>
      <c r="D54" s="123"/>
      <c r="H54" s="115" t="s">
        <v>205</v>
      </c>
      <c r="I54" s="13">
        <f>SUBTOTAL(3,I36:I53)</f>
        <v>18</v>
      </c>
      <c r="J54" s="13">
        <f>SUBTOTAL(3,J36:J53)</f>
        <v>18</v>
      </c>
      <c r="P54" s="115"/>
      <c r="Q54" s="115"/>
      <c r="R54" s="115"/>
      <c r="S54" s="115"/>
      <c r="T54" s="115"/>
      <c r="U54" s="115"/>
      <c r="V54" s="115"/>
      <c r="W54" s="115"/>
      <c r="X54" s="115"/>
      <c r="Y54" s="127"/>
      <c r="Z54" s="29"/>
      <c r="AJ54" s="25"/>
      <c r="AK54" s="13"/>
      <c r="AP54" s="116"/>
      <c r="AQ54" s="123"/>
      <c r="AR54" s="123"/>
      <c r="AS54" s="123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25"/>
      <c r="BI54" s="13"/>
      <c r="BL54" s="114"/>
    </row>
    <row r="55" spans="1:64" ht="20.100000000000001" customHeight="1" x14ac:dyDescent="0.4">
      <c r="A55" s="117"/>
      <c r="B55" s="123"/>
      <c r="C55" s="123"/>
      <c r="D55" s="123"/>
      <c r="I55" s="25">
        <v>45928</v>
      </c>
      <c r="J55" s="13" t="s">
        <v>146</v>
      </c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27"/>
      <c r="Z55" s="29"/>
      <c r="AJ55" s="25"/>
      <c r="AK55" s="13"/>
      <c r="AP55" s="116"/>
      <c r="AQ55" s="123"/>
      <c r="AR55" s="123"/>
      <c r="AS55" s="123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25"/>
      <c r="BI55" s="13"/>
      <c r="BL55" s="114"/>
    </row>
    <row r="56" spans="1:64" ht="20.100000000000001" customHeight="1" x14ac:dyDescent="0.4">
      <c r="A56" s="117"/>
      <c r="B56" s="123"/>
      <c r="C56" s="123"/>
      <c r="D56" s="123"/>
      <c r="I56" s="25">
        <v>45928</v>
      </c>
      <c r="J56" s="133" t="s">
        <v>147</v>
      </c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27"/>
      <c r="Z56" s="29"/>
      <c r="AJ56" s="25"/>
      <c r="AK56" s="13"/>
      <c r="AP56" s="116"/>
      <c r="AQ56" s="123"/>
      <c r="AR56" s="123"/>
      <c r="AS56" s="123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25"/>
      <c r="BI56" s="13"/>
      <c r="BL56" s="114"/>
    </row>
    <row r="57" spans="1:64" ht="20.100000000000001" customHeight="1" x14ac:dyDescent="0.4">
      <c r="A57" s="117"/>
      <c r="B57" s="123"/>
      <c r="C57" s="123"/>
      <c r="D57" s="123"/>
      <c r="I57" s="25">
        <v>45928</v>
      </c>
      <c r="J57" s="13" t="s">
        <v>148</v>
      </c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29"/>
      <c r="Z57" s="29"/>
      <c r="AJ57" s="25"/>
      <c r="AK57" s="13"/>
      <c r="AP57" s="116"/>
      <c r="AQ57" s="123"/>
      <c r="AR57" s="123"/>
      <c r="AS57" s="123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25"/>
      <c r="BI57" s="13"/>
      <c r="BL57" s="114"/>
    </row>
    <row r="58" spans="1:64" ht="20.100000000000001" customHeight="1" x14ac:dyDescent="0.4">
      <c r="A58" s="117"/>
      <c r="B58" s="123"/>
      <c r="C58" s="123"/>
      <c r="D58" s="123"/>
      <c r="I58" s="25">
        <v>45928</v>
      </c>
      <c r="J58" s="15" t="s">
        <v>147</v>
      </c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27"/>
      <c r="Z58" s="29"/>
      <c r="AJ58" s="25"/>
      <c r="AK58" s="13"/>
      <c r="AP58" s="116"/>
      <c r="AQ58" s="123"/>
      <c r="AR58" s="123"/>
      <c r="AS58" s="123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25"/>
      <c r="BI58" s="13"/>
      <c r="BL58" s="114"/>
    </row>
    <row r="59" spans="1:64" ht="20.100000000000001" customHeight="1" x14ac:dyDescent="0.4">
      <c r="A59" s="117"/>
      <c r="B59" s="123"/>
      <c r="C59" s="123"/>
      <c r="D59" s="123"/>
      <c r="I59" s="25">
        <v>45928</v>
      </c>
      <c r="J59" s="13" t="s">
        <v>147</v>
      </c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27"/>
      <c r="Z59" s="29"/>
      <c r="AJ59" s="25"/>
      <c r="AK59" s="13"/>
      <c r="AP59" s="116"/>
      <c r="AQ59" s="123"/>
      <c r="AR59" s="123"/>
      <c r="AS59" s="123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25"/>
      <c r="BI59" s="13"/>
      <c r="BL59" s="114"/>
    </row>
    <row r="60" spans="1:64" ht="20.100000000000001" customHeight="1" x14ac:dyDescent="0.4">
      <c r="A60" s="117"/>
      <c r="B60" s="123"/>
      <c r="C60" s="123"/>
      <c r="D60" s="123"/>
      <c r="I60" s="25">
        <v>45928</v>
      </c>
      <c r="J60" s="13" t="s">
        <v>147</v>
      </c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29"/>
      <c r="Z60" s="29"/>
      <c r="AJ60" s="25"/>
      <c r="AK60" s="13"/>
      <c r="AP60" s="116"/>
      <c r="AQ60" s="123"/>
      <c r="AR60" s="123"/>
      <c r="AS60" s="123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25"/>
      <c r="BI60" s="13"/>
      <c r="BL60" s="114"/>
    </row>
    <row r="61" spans="1:64" ht="20.100000000000001" customHeight="1" x14ac:dyDescent="0.4">
      <c r="A61" s="117"/>
      <c r="B61" s="123"/>
      <c r="C61" s="123"/>
      <c r="D61" s="123"/>
      <c r="I61" s="25">
        <v>45928</v>
      </c>
      <c r="J61" s="13" t="s">
        <v>147</v>
      </c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27"/>
      <c r="Z61" s="29"/>
      <c r="AJ61" s="25"/>
      <c r="AK61" s="13"/>
      <c r="AP61" s="116"/>
      <c r="AQ61" s="123"/>
      <c r="AR61" s="123"/>
      <c r="AS61" s="123"/>
      <c r="AX61" s="115"/>
      <c r="AY61" s="115"/>
      <c r="AZ61" s="115"/>
      <c r="BA61" s="115"/>
      <c r="BB61" s="115"/>
      <c r="BC61" s="115"/>
      <c r="BD61" s="115"/>
      <c r="BE61" s="115"/>
      <c r="BF61" s="115"/>
      <c r="BG61" s="115"/>
      <c r="BH61" s="25"/>
      <c r="BI61" s="13"/>
      <c r="BL61" s="114"/>
    </row>
    <row r="62" spans="1:64" ht="20.100000000000001" customHeight="1" x14ac:dyDescent="0.4">
      <c r="A62" s="117"/>
      <c r="B62" s="123"/>
      <c r="C62" s="123"/>
      <c r="D62" s="123"/>
      <c r="I62" s="25">
        <v>45928</v>
      </c>
      <c r="J62" s="13" t="s">
        <v>148</v>
      </c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27"/>
      <c r="Z62" s="29"/>
      <c r="AJ62" s="25"/>
      <c r="AK62" s="13"/>
      <c r="AP62" s="116"/>
      <c r="AQ62" s="123"/>
      <c r="AR62" s="123"/>
      <c r="AS62" s="123"/>
      <c r="AX62" s="115"/>
      <c r="AY62" s="115"/>
      <c r="AZ62" s="115"/>
      <c r="BA62" s="115"/>
      <c r="BB62" s="115"/>
      <c r="BC62" s="115"/>
      <c r="BD62" s="115"/>
      <c r="BE62" s="115"/>
      <c r="BF62" s="115"/>
      <c r="BG62" s="115"/>
      <c r="BH62" s="25"/>
      <c r="BI62" s="13"/>
      <c r="BL62" s="114"/>
    </row>
    <row r="63" spans="1:64" ht="20.100000000000001" customHeight="1" x14ac:dyDescent="0.4">
      <c r="A63" s="117"/>
      <c r="B63" s="123"/>
      <c r="C63" s="123"/>
      <c r="D63" s="123"/>
      <c r="F63" s="117"/>
      <c r="G63" s="135"/>
      <c r="H63" s="135"/>
      <c r="I63" s="25">
        <v>45928</v>
      </c>
      <c r="J63" s="13" t="s">
        <v>147</v>
      </c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27"/>
      <c r="Z63" s="29"/>
      <c r="AJ63" s="25"/>
      <c r="AK63" s="13"/>
      <c r="AP63" s="116"/>
      <c r="AQ63" s="123"/>
      <c r="AR63" s="123"/>
      <c r="AS63" s="123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25"/>
      <c r="BI63" s="13"/>
      <c r="BL63" s="114"/>
    </row>
    <row r="64" spans="1:64" ht="20.100000000000001" customHeight="1" x14ac:dyDescent="0.4">
      <c r="A64" s="117"/>
      <c r="B64" s="123"/>
      <c r="C64" s="123"/>
      <c r="D64" s="123"/>
      <c r="F64" s="117"/>
      <c r="G64" s="135"/>
      <c r="H64" s="135"/>
      <c r="I64" s="25">
        <v>45928</v>
      </c>
      <c r="J64" s="13" t="s">
        <v>148</v>
      </c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29"/>
      <c r="Z64" s="29"/>
      <c r="AJ64" s="25"/>
      <c r="AK64" s="13"/>
      <c r="AP64" s="116"/>
      <c r="AQ64" s="123"/>
      <c r="AR64" s="123"/>
      <c r="AS64" s="123"/>
      <c r="AX64" s="115"/>
      <c r="AY64" s="115"/>
      <c r="AZ64" s="115"/>
      <c r="BA64" s="115"/>
      <c r="BB64" s="115"/>
      <c r="BC64" s="115"/>
      <c r="BD64" s="115"/>
      <c r="BE64" s="115"/>
      <c r="BF64" s="115"/>
      <c r="BG64" s="115"/>
      <c r="BH64" s="25"/>
      <c r="BI64" s="13"/>
      <c r="BL64" s="114"/>
    </row>
    <row r="65" spans="1:64" ht="20.100000000000001" customHeight="1" x14ac:dyDescent="0.4">
      <c r="A65" s="117"/>
      <c r="B65" s="123"/>
      <c r="C65" s="123"/>
      <c r="D65" s="123"/>
      <c r="F65" s="117"/>
      <c r="G65" s="135"/>
      <c r="H65" s="135"/>
      <c r="I65" s="25">
        <v>45928</v>
      </c>
      <c r="J65" s="13" t="s">
        <v>148</v>
      </c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27"/>
      <c r="Z65" s="29"/>
      <c r="AJ65" s="25"/>
      <c r="AK65" s="13"/>
      <c r="AP65" s="116"/>
      <c r="AQ65" s="123"/>
      <c r="AR65" s="123"/>
      <c r="AS65" s="123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25"/>
      <c r="BI65" s="13"/>
      <c r="BL65" s="114"/>
    </row>
    <row r="66" spans="1:64" ht="20.100000000000001" customHeight="1" x14ac:dyDescent="0.4">
      <c r="A66" s="117"/>
      <c r="B66" s="123"/>
      <c r="C66" s="123"/>
      <c r="D66" s="123"/>
      <c r="F66" s="117"/>
      <c r="G66" s="135"/>
      <c r="H66" s="135"/>
      <c r="I66" s="25">
        <v>45928</v>
      </c>
      <c r="J66" s="15" t="s">
        <v>148</v>
      </c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29"/>
      <c r="Z66" s="29"/>
      <c r="AJ66" s="25"/>
      <c r="AK66" s="13"/>
      <c r="AP66" s="116"/>
      <c r="AQ66" s="123"/>
      <c r="AR66" s="123"/>
      <c r="AS66" s="123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25"/>
      <c r="BI66" s="13"/>
      <c r="BL66" s="114"/>
    </row>
    <row r="67" spans="1:64" ht="20.100000000000001" customHeight="1" x14ac:dyDescent="0.4">
      <c r="A67" s="117"/>
      <c r="B67" s="123"/>
      <c r="C67" s="123"/>
      <c r="D67" s="123"/>
      <c r="F67" s="117"/>
      <c r="G67" s="135"/>
      <c r="H67" s="135"/>
      <c r="I67" s="25">
        <v>45928</v>
      </c>
      <c r="J67" s="15" t="s">
        <v>148</v>
      </c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27"/>
      <c r="Z67" s="29"/>
      <c r="AJ67" s="25"/>
      <c r="AK67" s="13"/>
      <c r="AP67" s="116"/>
      <c r="AQ67" s="123"/>
      <c r="AR67" s="123"/>
      <c r="AS67" s="123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25"/>
      <c r="BI67" s="13"/>
      <c r="BL67" s="114"/>
    </row>
    <row r="68" spans="1:64" ht="20.100000000000001" customHeight="1" x14ac:dyDescent="0.4">
      <c r="A68" s="117"/>
      <c r="B68" s="123"/>
      <c r="C68" s="123"/>
      <c r="D68" s="123"/>
      <c r="F68" s="117"/>
      <c r="G68" s="135"/>
      <c r="H68" s="136"/>
      <c r="I68" s="26">
        <v>45928</v>
      </c>
      <c r="J68" s="13" t="s">
        <v>147</v>
      </c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27"/>
      <c r="Z68" s="29"/>
      <c r="AJ68" s="25"/>
      <c r="AK68" s="13"/>
      <c r="AP68" s="116"/>
      <c r="AQ68" s="123"/>
      <c r="AR68" s="123"/>
      <c r="AS68" s="123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25"/>
      <c r="BI68" s="13"/>
      <c r="BL68" s="114"/>
    </row>
    <row r="69" spans="1:64" ht="20.100000000000001" customHeight="1" x14ac:dyDescent="0.4">
      <c r="A69" s="117"/>
      <c r="B69" s="123"/>
      <c r="C69" s="123"/>
      <c r="D69" s="123"/>
      <c r="F69" s="117"/>
      <c r="G69" s="135"/>
      <c r="H69" s="136"/>
      <c r="I69" s="26">
        <v>45928</v>
      </c>
      <c r="J69" s="13" t="s">
        <v>147</v>
      </c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27"/>
      <c r="Z69" s="29"/>
      <c r="AJ69" s="25"/>
      <c r="AK69" s="13"/>
      <c r="AP69" s="116"/>
      <c r="AQ69" s="123"/>
      <c r="AR69" s="123"/>
      <c r="AS69" s="123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25"/>
      <c r="BI69" s="13"/>
      <c r="BL69" s="114"/>
    </row>
    <row r="70" spans="1:64" ht="20.100000000000001" customHeight="1" x14ac:dyDescent="0.4">
      <c r="A70" s="117"/>
      <c r="B70" s="123"/>
      <c r="C70" s="123"/>
      <c r="D70" s="123"/>
      <c r="F70" s="117"/>
      <c r="G70" s="135"/>
      <c r="H70" s="136"/>
      <c r="I70" s="26">
        <v>45928</v>
      </c>
      <c r="J70" s="13" t="s">
        <v>146</v>
      </c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27"/>
      <c r="Z70" s="29"/>
      <c r="AJ70" s="25"/>
      <c r="AK70" s="13"/>
      <c r="AP70" s="116"/>
      <c r="AQ70" s="123"/>
      <c r="AR70" s="123"/>
      <c r="AS70" s="123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25"/>
      <c r="BI70" s="13"/>
      <c r="BL70" s="114"/>
    </row>
    <row r="71" spans="1:64" ht="20.100000000000001" customHeight="1" x14ac:dyDescent="0.4">
      <c r="A71" s="117"/>
      <c r="B71" s="123"/>
      <c r="C71" s="123"/>
      <c r="D71" s="123"/>
      <c r="F71" s="117"/>
      <c r="G71" s="135"/>
      <c r="H71" s="136"/>
      <c r="I71" s="26">
        <v>45928</v>
      </c>
      <c r="J71" s="13" t="s">
        <v>146</v>
      </c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27"/>
      <c r="Z71" s="29"/>
      <c r="AJ71" s="25"/>
      <c r="AK71" s="13"/>
      <c r="AP71" s="116"/>
      <c r="AQ71" s="123"/>
      <c r="AR71" s="123"/>
      <c r="AS71" s="123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25"/>
      <c r="BI71" s="13"/>
      <c r="BL71" s="114"/>
    </row>
    <row r="72" spans="1:64" ht="20.100000000000001" customHeight="1" x14ac:dyDescent="0.4">
      <c r="A72" s="117"/>
      <c r="B72" s="123"/>
      <c r="C72" s="123"/>
      <c r="D72" s="123"/>
      <c r="F72" s="117"/>
      <c r="G72" s="135"/>
      <c r="H72" s="136"/>
      <c r="I72" s="26">
        <v>45928</v>
      </c>
      <c r="J72" s="13" t="s">
        <v>146</v>
      </c>
      <c r="Y72" s="127"/>
      <c r="Z72" s="29"/>
      <c r="AJ72" s="25"/>
      <c r="AK72" s="13"/>
      <c r="AP72" s="116"/>
      <c r="AQ72" s="123"/>
      <c r="AR72" s="123"/>
      <c r="AS72" s="123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25"/>
      <c r="BI72" s="13"/>
      <c r="BL72" s="114"/>
    </row>
    <row r="73" spans="1:64" ht="20.100000000000001" customHeight="1" x14ac:dyDescent="0.4">
      <c r="A73" s="117"/>
      <c r="B73" s="123"/>
      <c r="C73" s="123"/>
      <c r="D73" s="123"/>
      <c r="F73" s="117"/>
      <c r="G73" s="135"/>
      <c r="H73" s="136"/>
      <c r="I73" s="26">
        <v>45928</v>
      </c>
      <c r="J73" s="13" t="s">
        <v>146</v>
      </c>
      <c r="U73" s="115"/>
      <c r="V73" s="115"/>
      <c r="W73" s="115"/>
      <c r="X73" s="115"/>
      <c r="Y73" s="127"/>
      <c r="Z73" s="29"/>
      <c r="AJ73" s="25"/>
      <c r="AK73" s="13"/>
      <c r="AP73" s="116"/>
      <c r="AQ73" s="123"/>
      <c r="AR73" s="123"/>
      <c r="AS73" s="123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25"/>
      <c r="BI73" s="13"/>
      <c r="BL73" s="114"/>
    </row>
    <row r="74" spans="1:64" ht="20.100000000000001" customHeight="1" x14ac:dyDescent="0.4">
      <c r="A74" s="117"/>
      <c r="B74" s="123"/>
      <c r="C74" s="123"/>
      <c r="D74" s="123"/>
      <c r="F74" s="117"/>
      <c r="G74" s="135"/>
      <c r="H74" s="136"/>
      <c r="I74" s="26">
        <v>45928</v>
      </c>
      <c r="J74" s="13" t="s">
        <v>146</v>
      </c>
      <c r="U74" s="115"/>
      <c r="V74" s="115"/>
      <c r="W74" s="115"/>
      <c r="X74" s="115"/>
      <c r="Y74" s="127"/>
      <c r="Z74" s="29"/>
      <c r="AJ74" s="25"/>
      <c r="AK74" s="13"/>
      <c r="AP74" s="116"/>
      <c r="AQ74" s="123"/>
      <c r="AR74" s="123"/>
      <c r="AS74" s="123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25"/>
      <c r="BI74" s="13"/>
      <c r="BL74" s="114"/>
    </row>
    <row r="75" spans="1:64" ht="20.100000000000001" customHeight="1" x14ac:dyDescent="0.4">
      <c r="A75" s="117"/>
      <c r="B75" s="123"/>
      <c r="C75" s="123"/>
      <c r="D75" s="123"/>
      <c r="F75" s="117"/>
      <c r="G75" s="135"/>
      <c r="H75" s="136"/>
      <c r="I75" s="26">
        <v>45928</v>
      </c>
      <c r="J75" s="13" t="s">
        <v>146</v>
      </c>
      <c r="Q75" s="115"/>
      <c r="R75" s="115"/>
      <c r="S75" s="115"/>
      <c r="T75" s="115"/>
      <c r="U75" s="115"/>
      <c r="V75" s="115"/>
      <c r="W75" s="115"/>
      <c r="X75" s="115"/>
      <c r="Y75" s="127"/>
      <c r="Z75" s="29"/>
      <c r="AJ75" s="25"/>
      <c r="AK75" s="13"/>
      <c r="AP75" s="116"/>
      <c r="AQ75" s="123"/>
      <c r="AR75" s="123"/>
      <c r="AS75" s="123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25"/>
      <c r="BI75" s="13"/>
      <c r="BL75" s="114"/>
    </row>
    <row r="76" spans="1:64" ht="20.100000000000001" customHeight="1" x14ac:dyDescent="0.4">
      <c r="A76" s="117"/>
      <c r="B76" s="123"/>
      <c r="C76" s="123"/>
      <c r="D76" s="123"/>
      <c r="F76" s="117"/>
      <c r="G76" s="135"/>
      <c r="H76" s="136"/>
      <c r="I76" s="26">
        <v>45928</v>
      </c>
      <c r="J76" s="13" t="s">
        <v>146</v>
      </c>
      <c r="Q76" s="115"/>
      <c r="R76" s="115"/>
      <c r="S76" s="115"/>
      <c r="T76" s="115"/>
      <c r="U76" s="115"/>
      <c r="V76" s="115"/>
      <c r="W76" s="115"/>
      <c r="X76" s="115"/>
      <c r="Y76" s="29"/>
      <c r="Z76" s="29"/>
      <c r="AJ76" s="25"/>
      <c r="AK76" s="13"/>
      <c r="AP76" s="116"/>
      <c r="AQ76" s="123"/>
      <c r="AR76" s="123"/>
      <c r="AS76" s="123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25"/>
      <c r="BI76" s="13"/>
      <c r="BL76" s="114"/>
    </row>
    <row r="77" spans="1:64" ht="20.100000000000001" customHeight="1" x14ac:dyDescent="0.4">
      <c r="A77" s="117"/>
      <c r="B77" s="123"/>
      <c r="C77" s="123"/>
      <c r="D77" s="123"/>
      <c r="F77" s="117"/>
      <c r="G77" s="135"/>
      <c r="H77" s="136"/>
      <c r="I77" s="26">
        <v>45928</v>
      </c>
      <c r="J77" s="13" t="s">
        <v>146</v>
      </c>
      <c r="Q77" s="115"/>
      <c r="R77" s="115"/>
      <c r="S77" s="115"/>
      <c r="T77" s="115"/>
      <c r="U77" s="115"/>
      <c r="V77" s="115"/>
      <c r="W77" s="115"/>
      <c r="X77" s="115"/>
      <c r="Y77" s="127"/>
      <c r="Z77" s="29"/>
      <c r="AJ77" s="25"/>
      <c r="AK77" s="13"/>
      <c r="AP77" s="116"/>
      <c r="AQ77" s="123"/>
      <c r="AR77" s="123"/>
      <c r="AS77" s="123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25"/>
      <c r="BI77" s="13"/>
      <c r="BL77" s="114"/>
    </row>
    <row r="78" spans="1:64" ht="20.100000000000001" customHeight="1" x14ac:dyDescent="0.4">
      <c r="A78" s="117"/>
      <c r="B78" s="123"/>
      <c r="C78" s="123"/>
      <c r="D78" s="123"/>
      <c r="I78" s="26">
        <v>45928</v>
      </c>
      <c r="J78" s="13" t="s">
        <v>146</v>
      </c>
      <c r="P78" s="115"/>
      <c r="Q78" s="115"/>
      <c r="R78" s="115"/>
      <c r="S78" s="115"/>
      <c r="T78" s="115"/>
      <c r="U78" s="115"/>
      <c r="V78" s="115"/>
      <c r="W78" s="115"/>
      <c r="X78" s="115"/>
      <c r="Y78" s="127"/>
      <c r="Z78" s="29"/>
      <c r="AJ78" s="25"/>
      <c r="AK78" s="13"/>
      <c r="AP78" s="116"/>
      <c r="AQ78" s="123"/>
      <c r="AR78" s="123"/>
      <c r="AS78" s="123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25"/>
      <c r="BI78" s="13"/>
      <c r="BL78" s="114"/>
    </row>
    <row r="79" spans="1:64" ht="20.100000000000001" customHeight="1" x14ac:dyDescent="0.4">
      <c r="A79" s="117"/>
      <c r="B79" s="123"/>
      <c r="C79" s="123"/>
      <c r="D79" s="123"/>
      <c r="I79" s="26">
        <v>45928</v>
      </c>
      <c r="J79" s="13" t="s">
        <v>147</v>
      </c>
      <c r="P79" s="115"/>
      <c r="Q79" s="115"/>
      <c r="R79" s="115"/>
      <c r="S79" s="115"/>
      <c r="T79" s="115"/>
      <c r="U79" s="115"/>
      <c r="V79" s="115"/>
      <c r="W79" s="115"/>
      <c r="X79" s="115"/>
      <c r="Y79" s="127"/>
      <c r="Z79" s="29"/>
      <c r="AJ79" s="25"/>
      <c r="AK79" s="13"/>
      <c r="AP79" s="116"/>
      <c r="AQ79" s="123"/>
      <c r="AR79" s="123"/>
      <c r="AS79" s="123"/>
      <c r="AX79" s="115"/>
      <c r="AY79" s="115"/>
      <c r="AZ79" s="115"/>
      <c r="BA79" s="115"/>
      <c r="BB79" s="115"/>
      <c r="BC79" s="115"/>
      <c r="BD79" s="115"/>
      <c r="BE79" s="115"/>
      <c r="BF79" s="115"/>
      <c r="BG79" s="115"/>
      <c r="BH79" s="25"/>
      <c r="BI79" s="13"/>
      <c r="BL79" s="114"/>
    </row>
    <row r="80" spans="1:64" ht="20.100000000000001" customHeight="1" x14ac:dyDescent="0.4">
      <c r="A80" s="117"/>
      <c r="B80" s="123"/>
      <c r="C80" s="123"/>
      <c r="D80" s="123"/>
      <c r="I80" s="26">
        <v>45928</v>
      </c>
      <c r="J80" s="13" t="s">
        <v>146</v>
      </c>
      <c r="P80" s="115"/>
      <c r="Q80" s="115"/>
      <c r="R80" s="115"/>
      <c r="S80" s="115"/>
      <c r="T80" s="115"/>
      <c r="U80" s="115"/>
      <c r="V80" s="115"/>
      <c r="W80" s="115"/>
      <c r="X80" s="115"/>
      <c r="Y80" s="127"/>
      <c r="Z80" s="134"/>
      <c r="AJ80" s="25"/>
      <c r="AK80" s="13"/>
      <c r="AP80" s="116"/>
      <c r="AQ80" s="123"/>
      <c r="AR80" s="123"/>
      <c r="AS80" s="123"/>
      <c r="AX80" s="115"/>
      <c r="AY80" s="115"/>
      <c r="AZ80" s="115"/>
      <c r="BA80" s="115"/>
      <c r="BB80" s="115"/>
      <c r="BC80" s="115"/>
      <c r="BD80" s="115"/>
      <c r="BE80" s="115"/>
      <c r="BF80" s="115"/>
      <c r="BG80" s="115"/>
      <c r="BH80" s="25"/>
      <c r="BI80" s="13"/>
      <c r="BL80" s="114"/>
    </row>
    <row r="81" spans="1:64" ht="20.100000000000001" customHeight="1" x14ac:dyDescent="0.4">
      <c r="A81" s="117"/>
      <c r="B81" s="123"/>
      <c r="C81" s="123"/>
      <c r="D81" s="123"/>
      <c r="H81" s="115" t="s">
        <v>206</v>
      </c>
      <c r="I81" s="17">
        <f>SUBTOTAL(3,I55:I80)</f>
        <v>26</v>
      </c>
      <c r="J81" s="13">
        <f>SUBTOTAL(3,J55:J80)</f>
        <v>26</v>
      </c>
      <c r="P81" s="115"/>
      <c r="Q81" s="115"/>
      <c r="R81" s="115"/>
      <c r="S81" s="115"/>
      <c r="T81" s="115"/>
      <c r="U81" s="115"/>
      <c r="V81" s="115"/>
      <c r="W81" s="115"/>
      <c r="X81" s="115"/>
      <c r="Y81" s="127"/>
      <c r="Z81" s="134"/>
      <c r="AJ81" s="25"/>
      <c r="AK81" s="13"/>
      <c r="AP81" s="116"/>
      <c r="AQ81" s="123"/>
      <c r="AR81" s="123"/>
      <c r="AS81" s="123"/>
      <c r="AX81" s="115"/>
      <c r="AY81" s="115"/>
      <c r="AZ81" s="115"/>
      <c r="BA81" s="115"/>
      <c r="BB81" s="115"/>
      <c r="BC81" s="115"/>
      <c r="BD81" s="115"/>
      <c r="BE81" s="115"/>
      <c r="BF81" s="115"/>
      <c r="BG81" s="115"/>
      <c r="BH81" s="25"/>
      <c r="BI81" s="13"/>
      <c r="BL81" s="114"/>
    </row>
    <row r="82" spans="1:64" ht="20.100000000000001" customHeight="1" x14ac:dyDescent="0.4">
      <c r="A82" s="117"/>
      <c r="B82" s="123"/>
      <c r="C82" s="123"/>
      <c r="D82" s="123"/>
      <c r="I82" s="26">
        <v>45929</v>
      </c>
      <c r="J82" s="13" t="s">
        <v>146</v>
      </c>
      <c r="P82" s="115"/>
      <c r="Q82" s="115"/>
      <c r="R82" s="115"/>
      <c r="S82" s="115"/>
      <c r="T82" s="115"/>
      <c r="U82" s="115"/>
      <c r="V82" s="115"/>
      <c r="W82" s="115"/>
      <c r="X82" s="115"/>
      <c r="Y82" s="127"/>
      <c r="Z82" s="29"/>
      <c r="AJ82" s="25"/>
      <c r="AK82" s="13"/>
      <c r="AP82" s="116"/>
      <c r="AQ82" s="123"/>
      <c r="AR82" s="123"/>
      <c r="AS82" s="123"/>
      <c r="AX82" s="115"/>
      <c r="AY82" s="115"/>
      <c r="AZ82" s="115"/>
      <c r="BA82" s="115"/>
      <c r="BB82" s="115"/>
      <c r="BC82" s="115"/>
      <c r="BD82" s="115"/>
      <c r="BE82" s="115"/>
      <c r="BF82" s="115"/>
      <c r="BG82" s="115"/>
      <c r="BH82" s="25"/>
      <c r="BI82" s="13"/>
      <c r="BL82" s="114"/>
    </row>
    <row r="83" spans="1:64" ht="20.100000000000001" customHeight="1" x14ac:dyDescent="0.4">
      <c r="A83" s="117"/>
      <c r="B83" s="123"/>
      <c r="C83" s="123"/>
      <c r="D83" s="123"/>
      <c r="I83" s="26">
        <v>45929</v>
      </c>
      <c r="J83" s="13" t="s">
        <v>146</v>
      </c>
      <c r="P83" s="115"/>
      <c r="Q83" s="115"/>
      <c r="R83" s="115"/>
      <c r="S83" s="115"/>
      <c r="T83" s="115"/>
      <c r="U83" s="115"/>
      <c r="V83" s="115"/>
      <c r="W83" s="115"/>
      <c r="X83" s="115"/>
      <c r="Y83" s="29"/>
      <c r="Z83" s="29"/>
      <c r="AJ83" s="25"/>
      <c r="AK83" s="13"/>
      <c r="AP83" s="116"/>
      <c r="AQ83" s="123"/>
      <c r="AR83" s="123"/>
      <c r="AS83" s="123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25"/>
      <c r="BI83" s="13"/>
      <c r="BL83" s="114"/>
    </row>
    <row r="84" spans="1:64" ht="20.100000000000001" customHeight="1" x14ac:dyDescent="0.4">
      <c r="A84" s="117"/>
      <c r="B84" s="123"/>
      <c r="C84" s="123"/>
      <c r="D84" s="123"/>
      <c r="I84" s="25">
        <v>45929</v>
      </c>
      <c r="J84" s="13" t="s">
        <v>146</v>
      </c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27"/>
      <c r="Z84" s="29"/>
      <c r="AJ84" s="25"/>
      <c r="AK84" s="13"/>
      <c r="AP84" s="116"/>
      <c r="AQ84" s="123"/>
      <c r="AR84" s="123"/>
      <c r="AS84" s="123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25"/>
      <c r="BI84" s="13"/>
      <c r="BL84" s="114"/>
    </row>
    <row r="85" spans="1:64" ht="20.100000000000001" customHeight="1" x14ac:dyDescent="0.4">
      <c r="A85" s="117"/>
      <c r="B85" s="123"/>
      <c r="C85" s="123"/>
      <c r="D85" s="123"/>
      <c r="I85" s="25">
        <v>45929</v>
      </c>
      <c r="J85" s="15" t="s">
        <v>146</v>
      </c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27"/>
      <c r="Z85" s="29"/>
      <c r="AJ85" s="25"/>
      <c r="AK85" s="13"/>
      <c r="AP85" s="116"/>
      <c r="AQ85" s="123"/>
      <c r="AR85" s="123"/>
      <c r="AS85" s="123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25"/>
      <c r="BI85" s="13"/>
      <c r="BL85" s="114"/>
    </row>
    <row r="86" spans="1:64" ht="20.100000000000001" customHeight="1" x14ac:dyDescent="0.4">
      <c r="A86" s="117"/>
      <c r="B86" s="123"/>
      <c r="C86" s="123"/>
      <c r="D86" s="123"/>
      <c r="I86" s="25">
        <v>45929</v>
      </c>
      <c r="J86" s="15" t="s">
        <v>146</v>
      </c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27"/>
      <c r="Z86" s="29"/>
      <c r="AJ86" s="25"/>
      <c r="AK86" s="13"/>
      <c r="AP86" s="116"/>
      <c r="AQ86" s="123"/>
      <c r="AR86" s="123"/>
      <c r="AS86" s="123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25"/>
      <c r="BI86" s="13"/>
      <c r="BL86" s="114"/>
    </row>
    <row r="87" spans="1:64" ht="20.100000000000001" customHeight="1" x14ac:dyDescent="0.4">
      <c r="A87" s="117"/>
      <c r="B87" s="123"/>
      <c r="C87" s="123"/>
      <c r="D87" s="123"/>
      <c r="I87" s="25">
        <v>45929</v>
      </c>
      <c r="J87" s="15" t="s">
        <v>146</v>
      </c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27"/>
      <c r="Z87" s="29"/>
      <c r="AJ87" s="25"/>
      <c r="AK87" s="13"/>
      <c r="AP87" s="116"/>
      <c r="AQ87" s="123"/>
      <c r="AR87" s="123"/>
      <c r="AS87" s="123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25"/>
      <c r="BI87" s="13"/>
      <c r="BL87" s="114"/>
    </row>
    <row r="88" spans="1:64" ht="20.100000000000001" customHeight="1" x14ac:dyDescent="0.4">
      <c r="A88" s="117"/>
      <c r="B88" s="123"/>
      <c r="C88" s="123"/>
      <c r="D88" s="123"/>
      <c r="I88" s="25">
        <v>45929</v>
      </c>
      <c r="J88" s="15" t="s">
        <v>146</v>
      </c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27"/>
      <c r="Z88" s="29"/>
      <c r="AJ88" s="25"/>
      <c r="AK88" s="13"/>
      <c r="AP88" s="116"/>
      <c r="AQ88" s="123"/>
      <c r="AR88" s="123"/>
      <c r="AS88" s="123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25"/>
      <c r="BI88" s="13"/>
      <c r="BL88" s="114"/>
    </row>
    <row r="89" spans="1:64" ht="20.100000000000001" customHeight="1" x14ac:dyDescent="0.4">
      <c r="A89" s="117"/>
      <c r="B89" s="123"/>
      <c r="C89" s="123"/>
      <c r="D89" s="123"/>
      <c r="H89" s="115" t="s">
        <v>346</v>
      </c>
      <c r="I89" s="13">
        <f>SUBTOTAL(3,I82:I88)</f>
        <v>7</v>
      </c>
      <c r="J89" s="15">
        <f>SUBTOTAL(3,J82:J88)</f>
        <v>7</v>
      </c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27"/>
      <c r="Z89" s="29"/>
      <c r="AJ89" s="25"/>
      <c r="AK89" s="13"/>
      <c r="AP89" s="116"/>
      <c r="AQ89" s="123"/>
      <c r="AR89" s="123"/>
      <c r="AS89" s="123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25"/>
      <c r="BI89" s="13"/>
      <c r="BL89" s="114"/>
    </row>
    <row r="90" spans="1:64" ht="20.100000000000001" customHeight="1" x14ac:dyDescent="0.4">
      <c r="A90" s="117"/>
      <c r="B90" s="123"/>
      <c r="C90" s="123"/>
      <c r="D90" s="123"/>
      <c r="I90" s="25">
        <v>45930</v>
      </c>
      <c r="J90" s="15" t="s">
        <v>146</v>
      </c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29"/>
      <c r="Z90" s="29"/>
      <c r="AJ90" s="25"/>
      <c r="AK90" s="13"/>
      <c r="AP90" s="116"/>
      <c r="AQ90" s="123"/>
      <c r="AR90" s="123"/>
      <c r="AS90" s="123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25"/>
      <c r="BI90" s="13"/>
      <c r="BL90" s="114"/>
    </row>
    <row r="91" spans="1:64" ht="20.100000000000001" customHeight="1" x14ac:dyDescent="0.4">
      <c r="A91" s="117"/>
      <c r="B91" s="123"/>
      <c r="C91" s="123"/>
      <c r="D91" s="123"/>
      <c r="I91" s="25">
        <v>45930</v>
      </c>
      <c r="J91" s="15" t="s">
        <v>146</v>
      </c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27"/>
      <c r="Z91" s="29"/>
      <c r="AJ91" s="25"/>
      <c r="AK91" s="13"/>
      <c r="AP91" s="116"/>
      <c r="AQ91" s="123"/>
      <c r="AR91" s="123"/>
      <c r="AS91" s="123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25"/>
      <c r="BI91" s="13"/>
      <c r="BL91" s="114"/>
    </row>
    <row r="92" spans="1:64" ht="20.100000000000001" customHeight="1" x14ac:dyDescent="0.4">
      <c r="A92" s="117"/>
      <c r="B92" s="123"/>
      <c r="C92" s="123"/>
      <c r="D92" s="123"/>
      <c r="I92" s="25">
        <v>45930</v>
      </c>
      <c r="J92" s="15" t="s">
        <v>147</v>
      </c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27"/>
      <c r="Z92" s="29"/>
      <c r="AJ92" s="25"/>
      <c r="AK92" s="13"/>
      <c r="AP92" s="116"/>
      <c r="AQ92" s="123"/>
      <c r="AR92" s="123"/>
      <c r="AS92" s="123"/>
      <c r="AX92" s="115"/>
      <c r="AY92" s="115"/>
      <c r="AZ92" s="115"/>
      <c r="BA92" s="115"/>
      <c r="BB92" s="115"/>
      <c r="BC92" s="115"/>
      <c r="BD92" s="115"/>
      <c r="BE92" s="115"/>
      <c r="BF92" s="115"/>
      <c r="BG92" s="115"/>
      <c r="BH92" s="25"/>
      <c r="BI92" s="13"/>
      <c r="BL92" s="114"/>
    </row>
    <row r="93" spans="1:64" ht="20.100000000000001" customHeight="1" x14ac:dyDescent="0.4">
      <c r="A93" s="117"/>
      <c r="B93" s="123"/>
      <c r="C93" s="123"/>
      <c r="D93" s="123"/>
      <c r="H93" s="115" t="s">
        <v>207</v>
      </c>
      <c r="I93" s="13">
        <f>SUBTOTAL(3,I90:I92)</f>
        <v>3</v>
      </c>
      <c r="J93" s="15">
        <f>SUBTOTAL(3,J90:J92)</f>
        <v>3</v>
      </c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27"/>
      <c r="Z93" s="29"/>
      <c r="AJ93" s="25"/>
      <c r="AK93" s="13"/>
      <c r="AP93" s="116"/>
      <c r="AQ93" s="123"/>
      <c r="AR93" s="123"/>
      <c r="AS93" s="123"/>
      <c r="AX93" s="115"/>
      <c r="AY93" s="115"/>
      <c r="AZ93" s="115"/>
      <c r="BA93" s="115"/>
      <c r="BB93" s="115"/>
      <c r="BC93" s="115"/>
      <c r="BD93" s="115"/>
      <c r="BE93" s="115"/>
      <c r="BF93" s="115"/>
      <c r="BG93" s="115"/>
      <c r="BH93" s="25"/>
      <c r="BI93" s="13"/>
      <c r="BL93" s="114"/>
    </row>
    <row r="94" spans="1:64" ht="20.100000000000001" customHeight="1" x14ac:dyDescent="0.4">
      <c r="A94" s="117"/>
      <c r="B94" s="123"/>
      <c r="C94" s="123"/>
      <c r="D94" s="123"/>
      <c r="I94" s="25">
        <v>45931</v>
      </c>
      <c r="J94" s="15" t="s">
        <v>148</v>
      </c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27"/>
      <c r="Z94" s="29"/>
      <c r="AJ94" s="25"/>
      <c r="AK94" s="13"/>
      <c r="AP94" s="116"/>
      <c r="AQ94" s="123"/>
      <c r="AR94" s="123"/>
      <c r="AS94" s="123"/>
      <c r="AX94" s="115"/>
      <c r="AY94" s="115"/>
      <c r="AZ94" s="115"/>
      <c r="BA94" s="115"/>
      <c r="BB94" s="115"/>
      <c r="BC94" s="115"/>
      <c r="BD94" s="115"/>
      <c r="BE94" s="115"/>
      <c r="BF94" s="115"/>
      <c r="BG94" s="115"/>
      <c r="BH94" s="25"/>
      <c r="BI94" s="13"/>
      <c r="BL94" s="114"/>
    </row>
    <row r="95" spans="1:64" ht="20.100000000000001" customHeight="1" x14ac:dyDescent="0.4">
      <c r="A95" s="117"/>
      <c r="B95" s="123"/>
      <c r="C95" s="123"/>
      <c r="D95" s="123"/>
      <c r="I95" s="25">
        <v>45931</v>
      </c>
      <c r="J95" s="15" t="s">
        <v>146</v>
      </c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27"/>
      <c r="Z95" s="29"/>
      <c r="AJ95" s="25"/>
      <c r="AK95" s="13"/>
      <c r="AP95" s="116"/>
      <c r="AQ95" s="123"/>
      <c r="AR95" s="123"/>
      <c r="AS95" s="123"/>
      <c r="AX95" s="115"/>
      <c r="AY95" s="115"/>
      <c r="AZ95" s="115"/>
      <c r="BA95" s="115"/>
      <c r="BB95" s="115"/>
      <c r="BC95" s="115"/>
      <c r="BD95" s="115"/>
      <c r="BE95" s="115"/>
      <c r="BF95" s="115"/>
      <c r="BG95" s="115"/>
      <c r="BH95" s="25"/>
      <c r="BI95" s="13"/>
      <c r="BL95" s="114"/>
    </row>
    <row r="96" spans="1:64" ht="20.100000000000001" customHeight="1" x14ac:dyDescent="0.4">
      <c r="A96" s="117"/>
      <c r="B96" s="123"/>
      <c r="C96" s="123"/>
      <c r="D96" s="123"/>
      <c r="H96" s="115" t="s">
        <v>347</v>
      </c>
      <c r="I96" s="13">
        <f>SUBTOTAL(3,I94:I95)</f>
        <v>2</v>
      </c>
      <c r="J96" s="15">
        <f>SUBTOTAL(3,J94:J95)</f>
        <v>2</v>
      </c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27"/>
      <c r="Z96" s="29"/>
      <c r="AJ96" s="25"/>
      <c r="AK96" s="13"/>
      <c r="AP96" s="116"/>
      <c r="AQ96" s="123"/>
      <c r="AR96" s="123"/>
      <c r="AS96" s="123"/>
      <c r="AX96" s="115"/>
      <c r="AY96" s="115"/>
      <c r="AZ96" s="115"/>
      <c r="BA96" s="115"/>
      <c r="BB96" s="115"/>
      <c r="BC96" s="115"/>
      <c r="BD96" s="115"/>
      <c r="BE96" s="115"/>
      <c r="BF96" s="115"/>
      <c r="BG96" s="115"/>
      <c r="BH96" s="25"/>
      <c r="BI96" s="13"/>
      <c r="BL96" s="114"/>
    </row>
    <row r="97" spans="1:64" ht="20.100000000000001" customHeight="1" x14ac:dyDescent="0.4">
      <c r="A97" s="117"/>
      <c r="B97" s="123"/>
      <c r="C97" s="123"/>
      <c r="D97" s="123"/>
      <c r="I97" s="25">
        <v>45932</v>
      </c>
      <c r="J97" s="15" t="s">
        <v>148</v>
      </c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27"/>
      <c r="Z97" s="29"/>
      <c r="AJ97" s="25"/>
      <c r="AK97" s="13"/>
      <c r="AP97" s="116"/>
      <c r="AQ97" s="123"/>
      <c r="AR97" s="123"/>
      <c r="AS97" s="123"/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  <c r="BH97" s="25"/>
      <c r="BI97" s="13"/>
      <c r="BL97" s="114"/>
    </row>
    <row r="98" spans="1:64" ht="20.100000000000001" customHeight="1" x14ac:dyDescent="0.4">
      <c r="A98" s="117"/>
      <c r="B98" s="123"/>
      <c r="C98" s="123"/>
      <c r="D98" s="123"/>
      <c r="H98" s="115" t="s">
        <v>348</v>
      </c>
      <c r="I98" s="13">
        <f>SUBTOTAL(3,I97:I97)</f>
        <v>1</v>
      </c>
      <c r="J98" s="15">
        <f>SUBTOTAL(3,J97:J97)</f>
        <v>1</v>
      </c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27"/>
      <c r="Z98" s="29"/>
      <c r="AJ98" s="25"/>
      <c r="AK98" s="13"/>
      <c r="AP98" s="116"/>
      <c r="AQ98" s="123"/>
      <c r="AR98" s="123"/>
      <c r="AS98" s="123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25"/>
      <c r="BI98" s="13"/>
      <c r="BL98" s="114"/>
    </row>
    <row r="99" spans="1:64" ht="20.100000000000001" customHeight="1" x14ac:dyDescent="0.4">
      <c r="A99" s="117"/>
      <c r="B99" s="123"/>
      <c r="C99" s="123"/>
      <c r="D99" s="123"/>
      <c r="I99" s="25">
        <v>45933</v>
      </c>
      <c r="J99" s="15" t="s">
        <v>147</v>
      </c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27"/>
      <c r="Z99" s="29"/>
      <c r="AJ99" s="25"/>
      <c r="AK99" s="13"/>
      <c r="AP99" s="116"/>
      <c r="AQ99" s="123"/>
      <c r="AR99" s="123"/>
      <c r="AS99" s="123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25"/>
      <c r="BI99" s="13"/>
      <c r="BL99" s="114"/>
    </row>
    <row r="100" spans="1:64" ht="20.100000000000001" customHeight="1" x14ac:dyDescent="0.4">
      <c r="A100" s="117"/>
      <c r="B100" s="123"/>
      <c r="C100" s="123"/>
      <c r="D100" s="123"/>
      <c r="H100" s="115" t="s">
        <v>349</v>
      </c>
      <c r="I100" s="13">
        <f>SUBTOTAL(3,I99:I99)</f>
        <v>1</v>
      </c>
      <c r="J100" s="15">
        <f>SUBTOTAL(3,J99:J99)</f>
        <v>1</v>
      </c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27"/>
      <c r="Z100" s="29"/>
      <c r="AJ100" s="25"/>
      <c r="AK100" s="13"/>
      <c r="AP100" s="116"/>
      <c r="AQ100" s="123"/>
      <c r="AR100" s="123"/>
      <c r="AS100" s="123"/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25"/>
      <c r="BI100" s="13"/>
      <c r="BL100" s="114"/>
    </row>
    <row r="101" spans="1:64" ht="20.100000000000001" customHeight="1" x14ac:dyDescent="0.4">
      <c r="A101" s="117"/>
      <c r="B101" s="123"/>
      <c r="C101" s="123"/>
      <c r="D101" s="123"/>
      <c r="G101" s="115"/>
      <c r="H101" s="115"/>
      <c r="I101" s="25">
        <v>45935</v>
      </c>
      <c r="J101" s="15" t="s">
        <v>146</v>
      </c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27"/>
      <c r="Z101" s="29"/>
      <c r="AJ101" s="25"/>
      <c r="AK101" s="13"/>
      <c r="AP101" s="116"/>
      <c r="AQ101" s="123"/>
      <c r="AR101" s="123"/>
      <c r="AS101" s="123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25"/>
      <c r="BI101" s="13"/>
      <c r="BL101" s="114"/>
    </row>
    <row r="102" spans="1:64" ht="20.100000000000001" customHeight="1" x14ac:dyDescent="0.4">
      <c r="A102" s="117"/>
      <c r="B102" s="123"/>
      <c r="C102" s="123"/>
      <c r="D102" s="123"/>
      <c r="I102" s="25">
        <v>45935</v>
      </c>
      <c r="J102" s="15" t="s">
        <v>146</v>
      </c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27"/>
      <c r="Z102" s="29"/>
      <c r="AJ102" s="25"/>
      <c r="AK102" s="13"/>
      <c r="AP102" s="116"/>
      <c r="AQ102" s="123"/>
      <c r="AR102" s="123"/>
      <c r="AS102" s="123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115"/>
      <c r="BH102" s="25"/>
      <c r="BI102" s="13"/>
      <c r="BL102" s="114"/>
    </row>
    <row r="103" spans="1:64" ht="20.100000000000001" customHeight="1" x14ac:dyDescent="0.4">
      <c r="A103" s="117"/>
      <c r="B103" s="123"/>
      <c r="C103" s="123"/>
      <c r="D103" s="123"/>
      <c r="I103" s="25">
        <v>45935</v>
      </c>
      <c r="J103" s="15" t="s">
        <v>146</v>
      </c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29"/>
      <c r="Z103" s="29"/>
      <c r="AJ103" s="25"/>
      <c r="AK103" s="13"/>
      <c r="AP103" s="116"/>
      <c r="AQ103" s="123"/>
      <c r="AR103" s="123"/>
      <c r="AS103" s="123"/>
      <c r="AX103" s="115"/>
      <c r="AY103" s="115"/>
      <c r="AZ103" s="115"/>
      <c r="BA103" s="115"/>
      <c r="BB103" s="115"/>
      <c r="BC103" s="115"/>
      <c r="BD103" s="115"/>
      <c r="BE103" s="115"/>
      <c r="BF103" s="115"/>
      <c r="BG103" s="115"/>
      <c r="BH103" s="25"/>
      <c r="BI103" s="13"/>
      <c r="BL103" s="114"/>
    </row>
    <row r="104" spans="1:64" ht="20.100000000000001" customHeight="1" x14ac:dyDescent="0.4">
      <c r="A104" s="117"/>
      <c r="B104" s="123"/>
      <c r="C104" s="123"/>
      <c r="D104" s="123"/>
      <c r="I104" s="25">
        <v>45935</v>
      </c>
      <c r="J104" s="15" t="s">
        <v>146</v>
      </c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27"/>
      <c r="Z104" s="29"/>
      <c r="AJ104" s="25"/>
      <c r="AK104" s="13"/>
      <c r="AP104" s="116"/>
      <c r="AQ104" s="123"/>
      <c r="AR104" s="123"/>
      <c r="AS104" s="123"/>
      <c r="AX104" s="115"/>
      <c r="AY104" s="115"/>
      <c r="AZ104" s="115"/>
      <c r="BA104" s="115"/>
      <c r="BB104" s="115"/>
      <c r="BC104" s="115"/>
      <c r="BD104" s="115"/>
      <c r="BE104" s="115"/>
      <c r="BF104" s="115"/>
      <c r="BG104" s="115"/>
      <c r="BH104" s="25"/>
      <c r="BI104" s="13"/>
      <c r="BL104" s="114"/>
    </row>
    <row r="105" spans="1:64" ht="20.100000000000001" customHeight="1" x14ac:dyDescent="0.4">
      <c r="A105" s="117"/>
      <c r="B105" s="123"/>
      <c r="C105" s="123"/>
      <c r="D105" s="123"/>
      <c r="I105" s="25">
        <v>45935</v>
      </c>
      <c r="J105" s="15" t="s">
        <v>147</v>
      </c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27"/>
      <c r="Z105" s="29"/>
      <c r="AJ105" s="25"/>
      <c r="AK105" s="13"/>
      <c r="AP105" s="116"/>
      <c r="AQ105" s="123"/>
      <c r="AR105" s="123"/>
      <c r="AS105" s="123"/>
      <c r="AX105" s="115"/>
      <c r="AY105" s="115"/>
      <c r="AZ105" s="115"/>
      <c r="BA105" s="115"/>
      <c r="BB105" s="115"/>
      <c r="BC105" s="115"/>
      <c r="BD105" s="115"/>
      <c r="BE105" s="115"/>
      <c r="BF105" s="115"/>
      <c r="BG105" s="115"/>
      <c r="BH105" s="25"/>
      <c r="BI105" s="13"/>
      <c r="BL105" s="114"/>
    </row>
    <row r="106" spans="1:64" ht="20.100000000000001" customHeight="1" x14ac:dyDescent="0.4">
      <c r="A106" s="117"/>
      <c r="B106" s="123"/>
      <c r="C106" s="123"/>
      <c r="D106" s="123"/>
      <c r="I106" s="25">
        <v>45935</v>
      </c>
      <c r="J106" s="15" t="s">
        <v>147</v>
      </c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27"/>
      <c r="Z106" s="29"/>
      <c r="AJ106" s="25"/>
      <c r="AK106" s="13"/>
      <c r="AP106" s="116"/>
      <c r="AQ106" s="123"/>
      <c r="AR106" s="123"/>
      <c r="AS106" s="123"/>
      <c r="AX106" s="115"/>
      <c r="AY106" s="115"/>
      <c r="AZ106" s="115"/>
      <c r="BA106" s="115"/>
      <c r="BB106" s="115"/>
      <c r="BC106" s="115"/>
      <c r="BD106" s="115"/>
      <c r="BE106" s="115"/>
      <c r="BF106" s="115"/>
      <c r="BG106" s="115"/>
      <c r="BH106" s="25"/>
      <c r="BI106" s="13"/>
      <c r="BL106" s="114"/>
    </row>
    <row r="107" spans="1:64" ht="20.100000000000001" customHeight="1" x14ac:dyDescent="0.4">
      <c r="A107" s="117"/>
      <c r="B107" s="123"/>
      <c r="C107" s="123"/>
      <c r="D107" s="123"/>
      <c r="I107" s="25">
        <v>45935</v>
      </c>
      <c r="J107" s="15" t="s">
        <v>147</v>
      </c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27"/>
      <c r="Z107" s="29"/>
      <c r="AJ107" s="25"/>
      <c r="AK107" s="13"/>
      <c r="AP107" s="116"/>
      <c r="AQ107" s="123"/>
      <c r="AR107" s="123"/>
      <c r="AS107" s="123"/>
      <c r="AX107" s="115"/>
      <c r="AY107" s="115"/>
      <c r="AZ107" s="115"/>
      <c r="BA107" s="115"/>
      <c r="BB107" s="115"/>
      <c r="BC107" s="115"/>
      <c r="BD107" s="115"/>
      <c r="BE107" s="115"/>
      <c r="BF107" s="115"/>
      <c r="BG107" s="115"/>
      <c r="BH107" s="25"/>
      <c r="BI107" s="13"/>
      <c r="BL107" s="114"/>
    </row>
    <row r="108" spans="1:64" ht="20.100000000000001" customHeight="1" x14ac:dyDescent="0.4">
      <c r="A108" s="117"/>
      <c r="B108" s="123"/>
      <c r="C108" s="123"/>
      <c r="D108" s="123"/>
      <c r="H108" s="115" t="s">
        <v>350</v>
      </c>
      <c r="I108" s="13">
        <f>SUBTOTAL(3,I101:I107)</f>
        <v>7</v>
      </c>
      <c r="J108" s="15">
        <f>SUBTOTAL(3,J101:J107)</f>
        <v>7</v>
      </c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27"/>
      <c r="Z108" s="29"/>
      <c r="AJ108" s="25"/>
      <c r="AK108" s="13"/>
      <c r="AP108" s="116"/>
      <c r="AQ108" s="123"/>
      <c r="AR108" s="123"/>
      <c r="AS108" s="123"/>
      <c r="AX108" s="115"/>
      <c r="AY108" s="115"/>
      <c r="AZ108" s="115"/>
      <c r="BA108" s="115"/>
      <c r="BB108" s="115"/>
      <c r="BC108" s="115"/>
      <c r="BD108" s="115"/>
      <c r="BE108" s="115"/>
      <c r="BF108" s="115"/>
      <c r="BG108" s="115"/>
      <c r="BH108" s="25"/>
      <c r="BI108" s="13"/>
      <c r="BL108" s="114"/>
    </row>
    <row r="109" spans="1:64" ht="20.100000000000001" customHeight="1" x14ac:dyDescent="0.4">
      <c r="A109" s="117"/>
      <c r="B109" s="123"/>
      <c r="C109" s="123"/>
      <c r="D109" s="123"/>
      <c r="I109" s="25">
        <v>45936</v>
      </c>
      <c r="J109" s="15" t="s">
        <v>147</v>
      </c>
      <c r="Y109" s="127"/>
      <c r="Z109" s="29"/>
      <c r="AJ109" s="25"/>
      <c r="AK109" s="13"/>
      <c r="AP109" s="116"/>
      <c r="AQ109" s="123"/>
      <c r="AR109" s="123"/>
      <c r="AS109" s="123"/>
      <c r="AX109" s="115"/>
      <c r="AY109" s="115"/>
      <c r="AZ109" s="115"/>
      <c r="BA109" s="115"/>
      <c r="BB109" s="115"/>
      <c r="BC109" s="115"/>
      <c r="BD109" s="115"/>
      <c r="BE109" s="115"/>
      <c r="BF109" s="115"/>
      <c r="BG109" s="115"/>
      <c r="BH109" s="25"/>
      <c r="BI109" s="13"/>
      <c r="BL109" s="114"/>
    </row>
    <row r="110" spans="1:64" ht="20.100000000000001" customHeight="1" x14ac:dyDescent="0.4">
      <c r="A110" s="117"/>
      <c r="B110" s="123"/>
      <c r="C110" s="123"/>
      <c r="D110" s="123"/>
      <c r="I110" s="25">
        <v>45936</v>
      </c>
      <c r="J110" s="15" t="s">
        <v>146</v>
      </c>
      <c r="W110" s="115"/>
      <c r="X110" s="115"/>
      <c r="Y110" s="127"/>
      <c r="Z110" s="29"/>
      <c r="AJ110" s="25"/>
      <c r="AK110" s="13"/>
      <c r="AP110" s="116"/>
      <c r="AQ110" s="123"/>
      <c r="AR110" s="123"/>
      <c r="AS110" s="123"/>
      <c r="AX110" s="115"/>
      <c r="AY110" s="115"/>
      <c r="AZ110" s="115"/>
      <c r="BA110" s="115"/>
      <c r="BB110" s="115"/>
      <c r="BC110" s="115"/>
      <c r="BD110" s="115"/>
      <c r="BE110" s="115"/>
      <c r="BF110" s="115"/>
      <c r="BG110" s="115"/>
      <c r="BH110" s="25"/>
      <c r="BI110" s="13"/>
      <c r="BL110" s="114"/>
    </row>
    <row r="111" spans="1:64" ht="20.100000000000001" customHeight="1" x14ac:dyDescent="0.4">
      <c r="A111" s="117"/>
      <c r="B111" s="123"/>
      <c r="C111" s="123"/>
      <c r="D111" s="123"/>
      <c r="I111" s="25">
        <v>45936</v>
      </c>
      <c r="J111" s="15" t="s">
        <v>146</v>
      </c>
      <c r="R111" s="115"/>
      <c r="S111" s="115"/>
      <c r="T111" s="115"/>
      <c r="U111" s="115"/>
      <c r="V111" s="115"/>
      <c r="W111" s="115"/>
      <c r="X111" s="115"/>
      <c r="Y111" s="127"/>
      <c r="Z111" s="29"/>
      <c r="AJ111" s="25"/>
      <c r="AK111" s="13"/>
      <c r="AP111" s="116"/>
      <c r="AQ111" s="123"/>
      <c r="AR111" s="123"/>
      <c r="AS111" s="123"/>
      <c r="AX111" s="115"/>
      <c r="AY111" s="115"/>
      <c r="AZ111" s="115"/>
      <c r="BA111" s="115"/>
      <c r="BB111" s="115"/>
      <c r="BC111" s="115"/>
      <c r="BD111" s="115"/>
      <c r="BE111" s="115"/>
      <c r="BF111" s="115"/>
      <c r="BG111" s="115"/>
      <c r="BH111" s="25"/>
      <c r="BI111" s="13"/>
      <c r="BL111" s="114"/>
    </row>
    <row r="112" spans="1:64" ht="20.100000000000001" customHeight="1" x14ac:dyDescent="0.4">
      <c r="A112" s="117"/>
      <c r="B112" s="123"/>
      <c r="C112" s="123"/>
      <c r="D112" s="123"/>
      <c r="I112" s="25">
        <v>45936</v>
      </c>
      <c r="J112" s="15" t="s">
        <v>147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27"/>
      <c r="Z112" s="29"/>
      <c r="AJ112" s="25"/>
      <c r="AK112" s="13"/>
      <c r="AP112" s="116"/>
      <c r="AQ112" s="123"/>
      <c r="AR112" s="123"/>
      <c r="AS112" s="123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25"/>
      <c r="BI112" s="13"/>
      <c r="BL112" s="114"/>
    </row>
    <row r="113" spans="1:64" ht="20.100000000000001" customHeight="1" x14ac:dyDescent="0.4">
      <c r="A113" s="117"/>
      <c r="B113" s="123"/>
      <c r="C113" s="123"/>
      <c r="D113" s="123"/>
      <c r="I113" s="25">
        <v>45936</v>
      </c>
      <c r="J113" s="15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27"/>
      <c r="Z113" s="29"/>
      <c r="AJ113" s="25"/>
      <c r="AK113" s="13"/>
      <c r="AP113" s="116"/>
      <c r="AQ113" s="123"/>
      <c r="AR113" s="123"/>
      <c r="AS113" s="123"/>
      <c r="AX113" s="115"/>
      <c r="AY113" s="115"/>
      <c r="AZ113" s="115"/>
      <c r="BA113" s="115"/>
      <c r="BB113" s="115"/>
      <c r="BC113" s="115"/>
      <c r="BD113" s="115"/>
      <c r="BE113" s="115"/>
      <c r="BF113" s="115"/>
      <c r="BG113" s="115"/>
      <c r="BH113" s="25"/>
      <c r="BI113" s="13"/>
      <c r="BL113" s="114"/>
    </row>
    <row r="114" spans="1:64" ht="20.100000000000001" customHeight="1" x14ac:dyDescent="0.4">
      <c r="A114" s="117"/>
      <c r="B114" s="123"/>
      <c r="C114" s="123"/>
      <c r="D114" s="123"/>
      <c r="I114" s="25">
        <v>45936</v>
      </c>
      <c r="J114" s="15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27"/>
      <c r="Z114" s="29"/>
      <c r="AJ114" s="25"/>
      <c r="AK114" s="13"/>
      <c r="AP114" s="116"/>
      <c r="AQ114" s="123"/>
      <c r="AR114" s="123"/>
      <c r="AS114" s="123"/>
      <c r="AX114" s="115"/>
      <c r="AY114" s="115"/>
      <c r="AZ114" s="115"/>
      <c r="BA114" s="115"/>
      <c r="BB114" s="115"/>
      <c r="BC114" s="115"/>
      <c r="BD114" s="115"/>
      <c r="BE114" s="115"/>
      <c r="BF114" s="115"/>
      <c r="BG114" s="115"/>
      <c r="BH114" s="25"/>
      <c r="BI114" s="13"/>
      <c r="BL114" s="114"/>
    </row>
    <row r="115" spans="1:64" ht="20.100000000000001" customHeight="1" x14ac:dyDescent="0.4">
      <c r="A115" s="117"/>
      <c r="B115" s="123"/>
      <c r="C115" s="123"/>
      <c r="D115" s="123"/>
      <c r="I115" s="25">
        <v>45936</v>
      </c>
      <c r="J115" s="15" t="s">
        <v>146</v>
      </c>
      <c r="P115" s="115"/>
      <c r="Q115" s="115"/>
      <c r="R115" s="115"/>
      <c r="S115" s="115"/>
      <c r="T115" s="115"/>
      <c r="U115" s="115"/>
      <c r="V115" s="115"/>
      <c r="W115" s="115"/>
      <c r="X115" s="115"/>
      <c r="Y115" s="127"/>
      <c r="Z115" s="29"/>
      <c r="AJ115" s="25"/>
      <c r="AK115" s="13"/>
      <c r="AP115" s="116"/>
      <c r="AQ115" s="123"/>
      <c r="AR115" s="123"/>
      <c r="AS115" s="123"/>
      <c r="AX115" s="115"/>
      <c r="AY115" s="115"/>
      <c r="AZ115" s="115"/>
      <c r="BA115" s="115"/>
      <c r="BB115" s="115"/>
      <c r="BC115" s="115"/>
      <c r="BD115" s="115"/>
      <c r="BE115" s="115"/>
      <c r="BF115" s="115"/>
      <c r="BG115" s="115"/>
      <c r="BH115" s="25"/>
      <c r="BI115" s="13"/>
      <c r="BL115" s="114"/>
    </row>
    <row r="116" spans="1:64" ht="20.100000000000001" customHeight="1" x14ac:dyDescent="0.4">
      <c r="A116" s="117"/>
      <c r="B116" s="123"/>
      <c r="C116" s="123"/>
      <c r="D116" s="123"/>
      <c r="I116" s="25">
        <v>45936</v>
      </c>
      <c r="J116" s="13" t="s">
        <v>146</v>
      </c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27"/>
      <c r="Z116" s="29"/>
      <c r="AJ116" s="25"/>
      <c r="AK116" s="13"/>
      <c r="AP116" s="116"/>
      <c r="AQ116" s="123"/>
      <c r="AR116" s="123"/>
      <c r="AS116" s="123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25"/>
      <c r="BI116" s="13"/>
      <c r="BL116" s="114"/>
    </row>
    <row r="117" spans="1:64" ht="20.100000000000001" customHeight="1" x14ac:dyDescent="0.4">
      <c r="A117" s="117"/>
      <c r="B117" s="123"/>
      <c r="C117" s="123"/>
      <c r="D117" s="123"/>
      <c r="I117" s="25">
        <v>45936</v>
      </c>
      <c r="J117" s="13" t="s">
        <v>146</v>
      </c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29"/>
      <c r="Z117" s="29"/>
      <c r="AJ117" s="25"/>
      <c r="AK117" s="13"/>
      <c r="AP117" s="116"/>
      <c r="AQ117" s="123"/>
      <c r="AR117" s="123"/>
      <c r="AS117" s="123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25"/>
      <c r="BI117" s="13"/>
      <c r="BL117" s="114"/>
    </row>
    <row r="118" spans="1:64" ht="20.100000000000001" customHeight="1" x14ac:dyDescent="0.4">
      <c r="A118" s="117"/>
      <c r="B118" s="123"/>
      <c r="C118" s="123"/>
      <c r="D118" s="123"/>
      <c r="I118" s="25">
        <v>45936</v>
      </c>
      <c r="J118" s="13" t="s">
        <v>146</v>
      </c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27"/>
      <c r="Z118" s="29"/>
      <c r="AJ118" s="25"/>
      <c r="AK118" s="13"/>
      <c r="AP118" s="116"/>
      <c r="AQ118" s="123"/>
      <c r="AR118" s="123"/>
      <c r="AS118" s="123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25"/>
      <c r="BI118" s="13"/>
      <c r="BL118" s="114"/>
    </row>
    <row r="119" spans="1:64" ht="20.100000000000001" customHeight="1" x14ac:dyDescent="0.4">
      <c r="A119" s="117"/>
      <c r="B119" s="123"/>
      <c r="C119" s="123"/>
      <c r="D119" s="123"/>
      <c r="I119" s="25">
        <v>45936</v>
      </c>
      <c r="J119" s="13" t="s">
        <v>146</v>
      </c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29"/>
      <c r="Z119" s="29"/>
      <c r="AJ119" s="25"/>
      <c r="AK119" s="13"/>
      <c r="AP119" s="116"/>
      <c r="AQ119" s="123"/>
      <c r="AR119" s="123"/>
      <c r="AS119" s="123"/>
      <c r="AX119" s="115"/>
      <c r="AY119" s="115"/>
      <c r="AZ119" s="115"/>
      <c r="BA119" s="115"/>
      <c r="BB119" s="115"/>
      <c r="BC119" s="115"/>
      <c r="BD119" s="115"/>
      <c r="BE119" s="115"/>
      <c r="BF119" s="115"/>
      <c r="BG119" s="115"/>
      <c r="BH119" s="25"/>
      <c r="BI119" s="13"/>
      <c r="BL119" s="114"/>
    </row>
    <row r="120" spans="1:64" ht="20.100000000000001" customHeight="1" x14ac:dyDescent="0.4">
      <c r="A120" s="117"/>
      <c r="B120" s="123"/>
      <c r="C120" s="123"/>
      <c r="D120" s="123"/>
      <c r="I120" s="25">
        <v>45936</v>
      </c>
      <c r="J120" s="13" t="s">
        <v>146</v>
      </c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27"/>
      <c r="Z120" s="29"/>
      <c r="AJ120" s="25"/>
      <c r="AK120" s="13"/>
      <c r="AP120" s="116"/>
      <c r="AQ120" s="123"/>
      <c r="AR120" s="123"/>
      <c r="AS120" s="123"/>
      <c r="AX120" s="115"/>
      <c r="AY120" s="115"/>
      <c r="AZ120" s="115"/>
      <c r="BA120" s="115"/>
      <c r="BB120" s="115"/>
      <c r="BC120" s="115"/>
      <c r="BD120" s="115"/>
      <c r="BE120" s="115"/>
      <c r="BF120" s="115"/>
      <c r="BG120" s="115"/>
      <c r="BH120" s="25"/>
      <c r="BI120" s="13"/>
      <c r="BL120" s="114"/>
    </row>
    <row r="121" spans="1:64" ht="20.100000000000001" customHeight="1" x14ac:dyDescent="0.4">
      <c r="A121" s="117"/>
      <c r="B121" s="123"/>
      <c r="C121" s="123"/>
      <c r="D121" s="123"/>
      <c r="I121" s="25">
        <v>45936</v>
      </c>
      <c r="J121" s="13" t="s">
        <v>146</v>
      </c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29"/>
      <c r="Z121" s="29"/>
      <c r="AJ121" s="25"/>
      <c r="AK121" s="13"/>
      <c r="AP121" s="116"/>
      <c r="AQ121" s="123"/>
      <c r="AR121" s="123"/>
      <c r="AS121" s="123"/>
      <c r="AX121" s="115"/>
      <c r="AY121" s="115"/>
      <c r="AZ121" s="115"/>
      <c r="BA121" s="115"/>
      <c r="BB121" s="115"/>
      <c r="BC121" s="115"/>
      <c r="BD121" s="115"/>
      <c r="BE121" s="115"/>
      <c r="BF121" s="115"/>
      <c r="BG121" s="115"/>
      <c r="BH121" s="25"/>
      <c r="BI121" s="13"/>
      <c r="BL121" s="114"/>
    </row>
    <row r="122" spans="1:64" ht="20.100000000000001" customHeight="1" x14ac:dyDescent="0.4">
      <c r="A122" s="117"/>
      <c r="B122" s="123"/>
      <c r="C122" s="123"/>
      <c r="D122" s="123"/>
      <c r="I122" s="25">
        <v>45936</v>
      </c>
      <c r="J122" s="13" t="s">
        <v>147</v>
      </c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27"/>
      <c r="Z122" s="29"/>
      <c r="AJ122" s="25"/>
      <c r="AK122" s="13"/>
      <c r="AP122" s="116"/>
      <c r="AQ122" s="123"/>
      <c r="AR122" s="123"/>
      <c r="AS122" s="123"/>
      <c r="AX122" s="115"/>
      <c r="AY122" s="115"/>
      <c r="AZ122" s="115"/>
      <c r="BA122" s="115"/>
      <c r="BB122" s="115"/>
      <c r="BC122" s="115"/>
      <c r="BD122" s="115"/>
      <c r="BE122" s="115"/>
      <c r="BF122" s="115"/>
      <c r="BG122" s="115"/>
      <c r="BH122" s="25"/>
      <c r="BI122" s="13"/>
      <c r="BL122" s="114"/>
    </row>
    <row r="123" spans="1:64" ht="20.100000000000001" customHeight="1" x14ac:dyDescent="0.4">
      <c r="A123" s="117"/>
      <c r="B123" s="123"/>
      <c r="C123" s="123"/>
      <c r="D123" s="123"/>
      <c r="I123" s="25">
        <v>45936</v>
      </c>
      <c r="J123" s="13" t="s">
        <v>147</v>
      </c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29"/>
      <c r="Z123" s="29"/>
      <c r="AJ123" s="25"/>
      <c r="AK123" s="13"/>
      <c r="AP123" s="116"/>
      <c r="AQ123" s="123"/>
      <c r="AR123" s="123"/>
      <c r="AS123" s="123"/>
      <c r="AX123" s="115"/>
      <c r="AY123" s="115"/>
      <c r="AZ123" s="115"/>
      <c r="BA123" s="115"/>
      <c r="BB123" s="115"/>
      <c r="BC123" s="115"/>
      <c r="BD123" s="115"/>
      <c r="BE123" s="115"/>
      <c r="BF123" s="115"/>
      <c r="BG123" s="115"/>
      <c r="BH123" s="25"/>
      <c r="BI123" s="13"/>
      <c r="BL123" s="114"/>
    </row>
    <row r="124" spans="1:64" ht="20.100000000000001" customHeight="1" x14ac:dyDescent="0.4">
      <c r="A124" s="117"/>
      <c r="B124" s="123"/>
      <c r="C124" s="123"/>
      <c r="D124" s="123"/>
      <c r="H124" s="115" t="s">
        <v>208</v>
      </c>
      <c r="I124" s="13">
        <f>SUBTOTAL(3,I109:I123)</f>
        <v>15</v>
      </c>
      <c r="J124" s="13">
        <f>SUBTOTAL(3,J109:J123)</f>
        <v>15</v>
      </c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29"/>
      <c r="Z124" s="29"/>
      <c r="AJ124" s="25"/>
      <c r="AK124" s="13"/>
      <c r="AP124" s="116"/>
      <c r="AQ124" s="123"/>
      <c r="AR124" s="123"/>
      <c r="AS124" s="123"/>
      <c r="AX124" s="115"/>
      <c r="AY124" s="115"/>
      <c r="AZ124" s="115"/>
      <c r="BA124" s="115"/>
      <c r="BB124" s="115"/>
      <c r="BC124" s="115"/>
      <c r="BD124" s="115"/>
      <c r="BE124" s="115"/>
      <c r="BF124" s="115"/>
      <c r="BG124" s="115"/>
      <c r="BH124" s="25"/>
      <c r="BI124" s="13"/>
      <c r="BL124" s="114"/>
    </row>
    <row r="125" spans="1:64" ht="20.100000000000001" customHeight="1" x14ac:dyDescent="0.4">
      <c r="A125" s="117"/>
      <c r="B125" s="123"/>
      <c r="C125" s="123"/>
      <c r="D125" s="123"/>
      <c r="I125" s="25">
        <v>45937</v>
      </c>
      <c r="J125" s="13" t="s">
        <v>147</v>
      </c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27"/>
      <c r="Z125" s="29"/>
      <c r="AJ125" s="25"/>
      <c r="AK125" s="13"/>
      <c r="AP125" s="116"/>
      <c r="AQ125" s="123"/>
      <c r="AR125" s="123"/>
      <c r="AS125" s="123"/>
      <c r="AX125" s="115"/>
      <c r="AY125" s="115"/>
      <c r="AZ125" s="115"/>
      <c r="BA125" s="115"/>
      <c r="BB125" s="115"/>
      <c r="BC125" s="115"/>
      <c r="BD125" s="115"/>
      <c r="BE125" s="115"/>
      <c r="BF125" s="115"/>
      <c r="BG125" s="115"/>
      <c r="BH125" s="25"/>
      <c r="BI125" s="13"/>
      <c r="BL125" s="114"/>
    </row>
    <row r="126" spans="1:64" ht="20.100000000000001" customHeight="1" x14ac:dyDescent="0.4">
      <c r="A126" s="117"/>
      <c r="B126" s="123"/>
      <c r="C126" s="123"/>
      <c r="D126" s="123"/>
      <c r="H126" s="115" t="s">
        <v>351</v>
      </c>
      <c r="I126" s="13">
        <f>SUBTOTAL(3,I125:I125)</f>
        <v>1</v>
      </c>
      <c r="J126" s="13">
        <f>SUBTOTAL(3,J125:J125)</f>
        <v>1</v>
      </c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27"/>
      <c r="Z126" s="29"/>
      <c r="AJ126" s="25"/>
      <c r="AK126" s="13"/>
      <c r="AP126" s="116"/>
      <c r="AQ126" s="123"/>
      <c r="AR126" s="123"/>
      <c r="AS126" s="123"/>
      <c r="AX126" s="115"/>
      <c r="AY126" s="115"/>
      <c r="AZ126" s="115"/>
      <c r="BA126" s="115"/>
      <c r="BB126" s="115"/>
      <c r="BC126" s="115"/>
      <c r="BD126" s="115"/>
      <c r="BE126" s="115"/>
      <c r="BF126" s="115"/>
      <c r="BG126" s="115"/>
      <c r="BH126" s="25"/>
      <c r="BI126" s="13"/>
      <c r="BL126" s="114"/>
    </row>
    <row r="127" spans="1:64" ht="20.100000000000001" customHeight="1" x14ac:dyDescent="0.4">
      <c r="A127" s="117"/>
      <c r="B127" s="123"/>
      <c r="C127" s="123"/>
      <c r="D127" s="123"/>
      <c r="I127" s="25">
        <v>45938</v>
      </c>
      <c r="J127" s="13" t="s">
        <v>147</v>
      </c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27"/>
      <c r="Z127" s="29"/>
      <c r="AJ127" s="25"/>
      <c r="AK127" s="13"/>
      <c r="AP127" s="116"/>
      <c r="AQ127" s="123"/>
      <c r="AR127" s="123"/>
      <c r="AS127" s="123"/>
      <c r="AX127" s="115"/>
      <c r="AY127" s="115"/>
      <c r="AZ127" s="115"/>
      <c r="BA127" s="115"/>
      <c r="BB127" s="115"/>
      <c r="BC127" s="115"/>
      <c r="BD127" s="115"/>
      <c r="BE127" s="115"/>
      <c r="BF127" s="115"/>
      <c r="BG127" s="115"/>
      <c r="BH127" s="25"/>
      <c r="BI127" s="13"/>
      <c r="BL127" s="114"/>
    </row>
    <row r="128" spans="1:64" ht="20.100000000000001" customHeight="1" x14ac:dyDescent="0.4">
      <c r="A128" s="117"/>
      <c r="B128" s="123"/>
      <c r="C128" s="123"/>
      <c r="D128" s="123"/>
      <c r="I128" s="25">
        <v>45938</v>
      </c>
      <c r="J128" s="13" t="s">
        <v>146</v>
      </c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29"/>
      <c r="Z128" s="29"/>
      <c r="AJ128" s="25"/>
      <c r="AK128" s="13"/>
      <c r="AP128" s="116"/>
      <c r="AQ128" s="123"/>
      <c r="AR128" s="123"/>
      <c r="AS128" s="123"/>
      <c r="AX128" s="115"/>
      <c r="AY128" s="115"/>
      <c r="AZ128" s="115"/>
      <c r="BA128" s="115"/>
      <c r="BB128" s="115"/>
      <c r="BC128" s="115"/>
      <c r="BD128" s="115"/>
      <c r="BE128" s="115"/>
      <c r="BF128" s="115"/>
      <c r="BG128" s="115"/>
      <c r="BH128" s="25"/>
      <c r="BI128" s="13"/>
      <c r="BL128" s="114"/>
    </row>
    <row r="129" spans="1:64" ht="20.100000000000001" customHeight="1" x14ac:dyDescent="0.4">
      <c r="A129" s="117"/>
      <c r="B129" s="123"/>
      <c r="C129" s="123"/>
      <c r="D129" s="123"/>
      <c r="I129" s="25">
        <v>45938</v>
      </c>
      <c r="J129" s="13" t="s">
        <v>146</v>
      </c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27"/>
      <c r="Z129" s="29"/>
      <c r="AJ129" s="25"/>
      <c r="AK129" s="13"/>
      <c r="AP129" s="116"/>
      <c r="AQ129" s="123"/>
      <c r="AR129" s="123"/>
      <c r="AS129" s="123"/>
      <c r="AX129" s="115"/>
      <c r="AY129" s="115"/>
      <c r="AZ129" s="115"/>
      <c r="BA129" s="115"/>
      <c r="BB129" s="115"/>
      <c r="BC129" s="115"/>
      <c r="BD129" s="115"/>
      <c r="BE129" s="115"/>
      <c r="BF129" s="115"/>
      <c r="BG129" s="115"/>
      <c r="BH129" s="25"/>
      <c r="BI129" s="13"/>
      <c r="BL129" s="114"/>
    </row>
    <row r="130" spans="1:64" ht="20.100000000000001" customHeight="1" x14ac:dyDescent="0.4">
      <c r="A130" s="117"/>
      <c r="B130" s="123"/>
      <c r="C130" s="123"/>
      <c r="D130" s="123"/>
      <c r="I130" s="25">
        <v>45938</v>
      </c>
      <c r="J130" s="13" t="s">
        <v>146</v>
      </c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27"/>
      <c r="Z130" s="29"/>
      <c r="AJ130" s="25"/>
      <c r="AK130" s="13"/>
      <c r="AP130" s="116"/>
      <c r="AQ130" s="123"/>
      <c r="AR130" s="123"/>
      <c r="AS130" s="123"/>
      <c r="AX130" s="115"/>
      <c r="AY130" s="115"/>
      <c r="AZ130" s="115"/>
      <c r="BA130" s="115"/>
      <c r="BB130" s="115"/>
      <c r="BC130" s="115"/>
      <c r="BD130" s="115"/>
      <c r="BE130" s="115"/>
      <c r="BF130" s="115"/>
      <c r="BG130" s="115"/>
      <c r="BH130" s="25"/>
      <c r="BI130" s="13"/>
      <c r="BL130" s="114"/>
    </row>
    <row r="131" spans="1:64" ht="20.100000000000001" customHeight="1" x14ac:dyDescent="0.4">
      <c r="A131" s="117"/>
      <c r="B131" s="123"/>
      <c r="C131" s="123"/>
      <c r="D131" s="123"/>
      <c r="I131" s="25">
        <v>45938</v>
      </c>
      <c r="J131" s="13" t="s">
        <v>146</v>
      </c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29"/>
      <c r="Z131" s="29"/>
      <c r="AJ131" s="25"/>
      <c r="AK131" s="13"/>
      <c r="AP131" s="116"/>
      <c r="AQ131" s="123"/>
      <c r="AR131" s="123"/>
      <c r="AS131" s="123"/>
      <c r="AX131" s="115"/>
      <c r="AY131" s="115"/>
      <c r="AZ131" s="115"/>
      <c r="BA131" s="115"/>
      <c r="BB131" s="115"/>
      <c r="BC131" s="115"/>
      <c r="BD131" s="115"/>
      <c r="BE131" s="115"/>
      <c r="BF131" s="115"/>
      <c r="BG131" s="115"/>
      <c r="BH131" s="25"/>
      <c r="BI131" s="13"/>
      <c r="BL131" s="114"/>
    </row>
    <row r="132" spans="1:64" ht="20.100000000000001" customHeight="1" x14ac:dyDescent="0.4">
      <c r="A132" s="117"/>
      <c r="B132" s="123"/>
      <c r="C132" s="123"/>
      <c r="D132" s="123"/>
      <c r="I132" s="25">
        <v>45938</v>
      </c>
      <c r="J132" s="13" t="s">
        <v>146</v>
      </c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27"/>
      <c r="Z132" s="29"/>
      <c r="AJ132" s="25"/>
      <c r="AK132" s="13"/>
      <c r="AP132" s="116"/>
      <c r="AQ132" s="123"/>
      <c r="AR132" s="123"/>
      <c r="AS132" s="123"/>
      <c r="AX132" s="115"/>
      <c r="AY132" s="115"/>
      <c r="AZ132" s="115"/>
      <c r="BA132" s="115"/>
      <c r="BB132" s="115"/>
      <c r="BC132" s="115"/>
      <c r="BD132" s="115"/>
      <c r="BE132" s="115"/>
      <c r="BF132" s="115"/>
      <c r="BG132" s="115"/>
      <c r="BH132" s="25"/>
      <c r="BI132" s="13"/>
      <c r="BL132" s="114"/>
    </row>
    <row r="133" spans="1:64" ht="20.100000000000001" customHeight="1" x14ac:dyDescent="0.4">
      <c r="A133" s="117"/>
      <c r="B133" s="123"/>
      <c r="C133" s="123"/>
      <c r="D133" s="123"/>
      <c r="I133" s="25">
        <v>45938</v>
      </c>
      <c r="J133" s="13" t="s">
        <v>146</v>
      </c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27"/>
      <c r="Z133" s="29"/>
      <c r="AJ133" s="25"/>
      <c r="AK133" s="13"/>
      <c r="AP133" s="116"/>
      <c r="AQ133" s="123"/>
      <c r="AR133" s="123"/>
      <c r="AS133" s="123"/>
      <c r="AX133" s="115"/>
      <c r="AY133" s="115"/>
      <c r="AZ133" s="115"/>
      <c r="BA133" s="115"/>
      <c r="BB133" s="115"/>
      <c r="BC133" s="115"/>
      <c r="BD133" s="115"/>
      <c r="BE133" s="115"/>
      <c r="BF133" s="115"/>
      <c r="BG133" s="115"/>
      <c r="BH133" s="25"/>
      <c r="BI133" s="13"/>
      <c r="BL133" s="114"/>
    </row>
    <row r="134" spans="1:64" ht="20.100000000000001" customHeight="1" x14ac:dyDescent="0.4">
      <c r="A134" s="117"/>
      <c r="B134" s="123"/>
      <c r="C134" s="123"/>
      <c r="D134" s="123"/>
      <c r="I134" s="25">
        <v>45938</v>
      </c>
      <c r="J134" s="13" t="s">
        <v>146</v>
      </c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27"/>
      <c r="Z134" s="29"/>
      <c r="AJ134" s="25"/>
      <c r="AK134" s="13"/>
      <c r="AP134" s="116"/>
      <c r="AQ134" s="123"/>
      <c r="AR134" s="123"/>
      <c r="AS134" s="123"/>
      <c r="AX134" s="115"/>
      <c r="AY134" s="115"/>
      <c r="AZ134" s="115"/>
      <c r="BA134" s="115"/>
      <c r="BB134" s="115"/>
      <c r="BC134" s="115"/>
      <c r="BD134" s="115"/>
      <c r="BE134" s="115"/>
      <c r="BF134" s="115"/>
      <c r="BG134" s="115"/>
      <c r="BH134" s="25"/>
      <c r="BI134" s="13"/>
      <c r="BL134" s="114"/>
    </row>
    <row r="135" spans="1:64" ht="20.100000000000001" customHeight="1" x14ac:dyDescent="0.4">
      <c r="A135" s="117"/>
      <c r="B135" s="123"/>
      <c r="C135" s="123"/>
      <c r="D135" s="123"/>
      <c r="I135" s="25">
        <v>45938</v>
      </c>
      <c r="J135" s="133" t="s">
        <v>146</v>
      </c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29"/>
      <c r="Z135" s="29"/>
      <c r="AJ135" s="25"/>
      <c r="AK135" s="13"/>
      <c r="AP135" s="116"/>
      <c r="AQ135" s="123"/>
      <c r="AR135" s="123"/>
      <c r="AS135" s="123"/>
      <c r="AX135" s="115"/>
      <c r="AY135" s="115"/>
      <c r="AZ135" s="115"/>
      <c r="BA135" s="115"/>
      <c r="BB135" s="115"/>
      <c r="BC135" s="115"/>
      <c r="BD135" s="115"/>
      <c r="BE135" s="115"/>
      <c r="BF135" s="115"/>
      <c r="BG135" s="115"/>
      <c r="BH135" s="25"/>
      <c r="BI135" s="13"/>
      <c r="BL135" s="114"/>
    </row>
    <row r="136" spans="1:64" ht="20.100000000000001" customHeight="1" x14ac:dyDescent="0.4">
      <c r="A136" s="117"/>
      <c r="B136" s="123"/>
      <c r="C136" s="123"/>
      <c r="D136" s="123"/>
      <c r="G136" s="115"/>
      <c r="H136" s="115"/>
      <c r="I136" s="26">
        <v>45938</v>
      </c>
      <c r="J136" s="13" t="s">
        <v>146</v>
      </c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29"/>
      <c r="Z136" s="29"/>
      <c r="AJ136" s="25"/>
      <c r="AK136" s="13"/>
      <c r="AP136" s="116"/>
      <c r="AQ136" s="123"/>
      <c r="AR136" s="123"/>
      <c r="AS136" s="123"/>
      <c r="AX136" s="115"/>
      <c r="AY136" s="115"/>
      <c r="AZ136" s="115"/>
      <c r="BA136" s="115"/>
      <c r="BB136" s="115"/>
      <c r="BC136" s="115"/>
      <c r="BD136" s="115"/>
      <c r="BE136" s="115"/>
      <c r="BF136" s="115"/>
      <c r="BG136" s="115"/>
      <c r="BH136" s="25"/>
      <c r="BI136" s="13"/>
      <c r="BL136" s="114"/>
    </row>
    <row r="137" spans="1:64" ht="20.100000000000001" customHeight="1" x14ac:dyDescent="0.4">
      <c r="A137" s="117"/>
      <c r="B137" s="123"/>
      <c r="C137" s="123"/>
      <c r="D137" s="123"/>
      <c r="I137" s="26">
        <v>45938</v>
      </c>
      <c r="J137" s="13" t="s">
        <v>146</v>
      </c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27"/>
      <c r="Z137" s="29"/>
      <c r="AJ137" s="25"/>
      <c r="AK137" s="13"/>
      <c r="AP137" s="116"/>
      <c r="AQ137" s="123"/>
      <c r="AR137" s="123"/>
      <c r="AS137" s="123"/>
      <c r="AX137" s="115"/>
      <c r="AY137" s="115"/>
      <c r="AZ137" s="115"/>
      <c r="BA137" s="115"/>
      <c r="BB137" s="115"/>
      <c r="BC137" s="115"/>
      <c r="BD137" s="115"/>
      <c r="BE137" s="115"/>
      <c r="BF137" s="115"/>
      <c r="BG137" s="115"/>
      <c r="BH137" s="25"/>
      <c r="BI137" s="13"/>
      <c r="BL137" s="114"/>
    </row>
    <row r="138" spans="1:64" ht="20.100000000000001" customHeight="1" x14ac:dyDescent="0.4">
      <c r="A138" s="117"/>
      <c r="B138" s="123"/>
      <c r="C138" s="123"/>
      <c r="D138" s="123"/>
      <c r="I138" s="26">
        <v>45938</v>
      </c>
      <c r="J138" s="13" t="s">
        <v>146</v>
      </c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29"/>
      <c r="Z138" s="29"/>
      <c r="AJ138" s="25"/>
      <c r="AK138" s="13"/>
      <c r="AP138" s="116"/>
      <c r="AQ138" s="123"/>
      <c r="AR138" s="123"/>
      <c r="AS138" s="123"/>
      <c r="AX138" s="115"/>
      <c r="AY138" s="115"/>
      <c r="AZ138" s="115"/>
      <c r="BA138" s="115"/>
      <c r="BB138" s="115"/>
      <c r="BC138" s="115"/>
      <c r="BD138" s="115"/>
      <c r="BE138" s="115"/>
      <c r="BF138" s="115"/>
      <c r="BG138" s="115"/>
      <c r="BH138" s="25"/>
      <c r="BI138" s="13"/>
      <c r="BL138" s="114"/>
    </row>
    <row r="139" spans="1:64" ht="20.100000000000001" customHeight="1" x14ac:dyDescent="0.4">
      <c r="A139" s="117"/>
      <c r="B139" s="123"/>
      <c r="C139" s="123"/>
      <c r="D139" s="123"/>
      <c r="G139" s="115"/>
      <c r="H139" s="115"/>
      <c r="I139" s="26">
        <v>45938</v>
      </c>
      <c r="J139" s="13" t="s">
        <v>146</v>
      </c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29"/>
      <c r="Z139" s="29"/>
      <c r="AJ139" s="25"/>
      <c r="AK139" s="13"/>
      <c r="AP139" s="116"/>
      <c r="AQ139" s="123"/>
      <c r="AR139" s="123"/>
      <c r="AS139" s="123"/>
      <c r="AX139" s="115"/>
      <c r="AY139" s="115"/>
      <c r="AZ139" s="115"/>
      <c r="BA139" s="115"/>
      <c r="BB139" s="115"/>
      <c r="BC139" s="115"/>
      <c r="BD139" s="115"/>
      <c r="BE139" s="115"/>
      <c r="BF139" s="115"/>
      <c r="BG139" s="115"/>
      <c r="BH139" s="25"/>
      <c r="BI139" s="13"/>
      <c r="BL139" s="114"/>
    </row>
    <row r="140" spans="1:64" ht="20.100000000000001" customHeight="1" x14ac:dyDescent="0.4">
      <c r="A140" s="117"/>
      <c r="B140" s="123"/>
      <c r="C140" s="123"/>
      <c r="D140" s="123"/>
      <c r="I140" s="26">
        <v>45938</v>
      </c>
      <c r="J140" s="13" t="s">
        <v>146</v>
      </c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27"/>
      <c r="Z140" s="29"/>
      <c r="AJ140" s="25"/>
      <c r="AK140" s="13"/>
      <c r="AP140" s="116"/>
      <c r="AQ140" s="123"/>
      <c r="AR140" s="123"/>
      <c r="AS140" s="123"/>
      <c r="AX140" s="115"/>
      <c r="AY140" s="115"/>
      <c r="AZ140" s="115"/>
      <c r="BA140" s="115"/>
      <c r="BB140" s="115"/>
      <c r="BC140" s="115"/>
      <c r="BD140" s="115"/>
      <c r="BE140" s="115"/>
      <c r="BF140" s="115"/>
      <c r="BG140" s="115"/>
      <c r="BH140" s="25"/>
      <c r="BI140" s="13"/>
      <c r="BL140" s="114"/>
    </row>
    <row r="141" spans="1:64" ht="20.100000000000001" customHeight="1" x14ac:dyDescent="0.4">
      <c r="A141" s="117"/>
      <c r="B141" s="123"/>
      <c r="C141" s="123"/>
      <c r="D141" s="123"/>
      <c r="H141" s="115" t="s">
        <v>352</v>
      </c>
      <c r="I141" s="17">
        <f>SUBTOTAL(3,I127:I140)</f>
        <v>14</v>
      </c>
      <c r="J141" s="13">
        <f>SUBTOTAL(3,J127:J140)</f>
        <v>14</v>
      </c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27"/>
      <c r="Z141" s="29"/>
      <c r="AJ141" s="25"/>
      <c r="AK141" s="13"/>
      <c r="AP141" s="116"/>
      <c r="AQ141" s="123"/>
      <c r="AR141" s="123"/>
      <c r="AS141" s="123"/>
      <c r="AX141" s="115"/>
      <c r="AY141" s="115"/>
      <c r="AZ141" s="115"/>
      <c r="BA141" s="115"/>
      <c r="BB141" s="115"/>
      <c r="BC141" s="115"/>
      <c r="BD141" s="115"/>
      <c r="BE141" s="115"/>
      <c r="BF141" s="115"/>
      <c r="BG141" s="115"/>
      <c r="BH141" s="25"/>
      <c r="BI141" s="13"/>
      <c r="BL141" s="114"/>
    </row>
    <row r="142" spans="1:64" ht="20.100000000000001" customHeight="1" x14ac:dyDescent="0.4">
      <c r="A142" s="117"/>
      <c r="B142" s="123"/>
      <c r="C142" s="123"/>
      <c r="D142" s="123"/>
      <c r="I142" s="26">
        <v>45940</v>
      </c>
      <c r="J142" s="13" t="s">
        <v>146</v>
      </c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29"/>
      <c r="Z142" s="29"/>
      <c r="AJ142" s="25"/>
      <c r="AK142" s="13"/>
      <c r="AP142" s="116"/>
      <c r="AQ142" s="123"/>
      <c r="AR142" s="123"/>
      <c r="AS142" s="123"/>
      <c r="AX142" s="115"/>
      <c r="AY142" s="115"/>
      <c r="AZ142" s="115"/>
      <c r="BA142" s="115"/>
      <c r="BB142" s="115"/>
      <c r="BC142" s="115"/>
      <c r="BD142" s="115"/>
      <c r="BE142" s="115"/>
      <c r="BF142" s="115"/>
      <c r="BG142" s="115"/>
      <c r="BH142" s="25"/>
      <c r="BI142" s="13"/>
      <c r="BL142" s="114"/>
    </row>
    <row r="143" spans="1:64" ht="20.100000000000001" customHeight="1" x14ac:dyDescent="0.4">
      <c r="A143" s="117"/>
      <c r="B143" s="123"/>
      <c r="C143" s="123"/>
      <c r="D143" s="123"/>
      <c r="I143" s="26">
        <v>45940</v>
      </c>
      <c r="J143" s="13" t="s">
        <v>148</v>
      </c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27"/>
      <c r="Z143" s="29"/>
      <c r="AJ143" s="25"/>
      <c r="AK143" s="13"/>
      <c r="AP143" s="116"/>
      <c r="AQ143" s="123"/>
      <c r="AR143" s="123"/>
      <c r="AS143" s="123"/>
      <c r="AX143" s="115"/>
      <c r="AY143" s="115"/>
      <c r="AZ143" s="115"/>
      <c r="BA143" s="115"/>
      <c r="BB143" s="115"/>
      <c r="BC143" s="115"/>
      <c r="BD143" s="115"/>
      <c r="BE143" s="115"/>
      <c r="BF143" s="115"/>
      <c r="BG143" s="115"/>
      <c r="BH143" s="25"/>
      <c r="BI143" s="13"/>
      <c r="BL143" s="114"/>
    </row>
    <row r="144" spans="1:64" ht="20.100000000000001" customHeight="1" x14ac:dyDescent="0.4">
      <c r="A144" s="117"/>
      <c r="B144" s="123"/>
      <c r="C144" s="123"/>
      <c r="D144" s="123"/>
      <c r="H144" s="115" t="s">
        <v>353</v>
      </c>
      <c r="I144" s="17">
        <f>SUBTOTAL(3,I142:I143)</f>
        <v>2</v>
      </c>
      <c r="J144" s="13">
        <f>SUBTOTAL(3,J142:J143)</f>
        <v>2</v>
      </c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27"/>
      <c r="Z144" s="29"/>
      <c r="AJ144" s="25"/>
      <c r="AK144" s="13"/>
      <c r="AP144" s="116"/>
      <c r="AQ144" s="123"/>
      <c r="AR144" s="123"/>
      <c r="AS144" s="123"/>
      <c r="AX144" s="115"/>
      <c r="AY144" s="115"/>
      <c r="AZ144" s="115"/>
      <c r="BA144" s="115"/>
      <c r="BB144" s="115"/>
      <c r="BC144" s="115"/>
      <c r="BD144" s="115"/>
      <c r="BE144" s="115"/>
      <c r="BF144" s="115"/>
      <c r="BG144" s="115"/>
      <c r="BH144" s="25"/>
      <c r="BI144" s="13"/>
      <c r="BL144" s="114"/>
    </row>
    <row r="145" spans="1:64" ht="20.100000000000001" customHeight="1" x14ac:dyDescent="0.4">
      <c r="A145" s="117"/>
      <c r="B145" s="123"/>
      <c r="C145" s="123"/>
      <c r="D145" s="123"/>
      <c r="G145" s="115"/>
      <c r="H145" s="115"/>
      <c r="I145" s="26">
        <v>45943</v>
      </c>
      <c r="J145" s="13" t="s">
        <v>147</v>
      </c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27"/>
      <c r="Z145" s="29"/>
      <c r="AJ145" s="25"/>
      <c r="AK145" s="13"/>
      <c r="AP145" s="116"/>
      <c r="AQ145" s="123"/>
      <c r="AR145" s="123"/>
      <c r="AS145" s="123"/>
      <c r="AX145" s="115"/>
      <c r="AY145" s="115"/>
      <c r="AZ145" s="115"/>
      <c r="BA145" s="115"/>
      <c r="BB145" s="115"/>
      <c r="BC145" s="115"/>
      <c r="BD145" s="115"/>
      <c r="BE145" s="115"/>
      <c r="BF145" s="115"/>
      <c r="BG145" s="115"/>
      <c r="BH145" s="25"/>
      <c r="BI145" s="13"/>
      <c r="BL145" s="114"/>
    </row>
    <row r="146" spans="1:64" ht="20.100000000000001" customHeight="1" x14ac:dyDescent="0.4">
      <c r="A146" s="117"/>
      <c r="B146" s="123"/>
      <c r="C146" s="123"/>
      <c r="D146" s="123"/>
      <c r="G146" s="115"/>
      <c r="H146" s="115" t="s">
        <v>354</v>
      </c>
      <c r="I146" s="17">
        <f>SUBTOTAL(3,I145:I145)</f>
        <v>1</v>
      </c>
      <c r="J146" s="13">
        <f>SUBTOTAL(3,J145:J145)</f>
        <v>1</v>
      </c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27"/>
      <c r="Z146" s="29"/>
      <c r="AJ146" s="25"/>
      <c r="AK146" s="13"/>
      <c r="AP146" s="116"/>
      <c r="AQ146" s="123"/>
      <c r="AR146" s="123"/>
      <c r="AS146" s="123"/>
      <c r="AX146" s="115"/>
      <c r="AY146" s="115"/>
      <c r="AZ146" s="115"/>
      <c r="BA146" s="115"/>
      <c r="BB146" s="115"/>
      <c r="BC146" s="115"/>
      <c r="BD146" s="115"/>
      <c r="BE146" s="115"/>
      <c r="BF146" s="115"/>
      <c r="BG146" s="115"/>
      <c r="BH146" s="25"/>
      <c r="BI146" s="13"/>
      <c r="BL146" s="114"/>
    </row>
    <row r="147" spans="1:64" ht="20.100000000000001" customHeight="1" x14ac:dyDescent="0.4">
      <c r="A147" s="117"/>
      <c r="B147" s="123"/>
      <c r="C147" s="123"/>
      <c r="D147" s="123"/>
      <c r="I147" s="26">
        <v>45946</v>
      </c>
      <c r="J147" s="13" t="s">
        <v>147</v>
      </c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29"/>
      <c r="Z147" s="29"/>
      <c r="AJ147" s="25"/>
      <c r="AK147" s="13"/>
      <c r="AP147" s="116"/>
      <c r="AQ147" s="123"/>
      <c r="AR147" s="123"/>
      <c r="AS147" s="123"/>
      <c r="AX147" s="115"/>
      <c r="AY147" s="115"/>
      <c r="AZ147" s="115"/>
      <c r="BA147" s="115"/>
      <c r="BB147" s="115"/>
      <c r="BC147" s="115"/>
      <c r="BD147" s="115"/>
      <c r="BE147" s="115"/>
      <c r="BF147" s="115"/>
      <c r="BG147" s="115"/>
      <c r="BH147" s="25"/>
      <c r="BI147" s="13"/>
      <c r="BL147" s="114"/>
    </row>
    <row r="148" spans="1:64" ht="20.100000000000001" customHeight="1" x14ac:dyDescent="0.4">
      <c r="A148" s="117"/>
      <c r="B148" s="123"/>
      <c r="C148" s="123"/>
      <c r="D148" s="123"/>
      <c r="H148" s="115" t="s">
        <v>209</v>
      </c>
      <c r="I148" s="17">
        <f>SUBTOTAL(3,I147:I147)</f>
        <v>1</v>
      </c>
      <c r="J148" s="13">
        <f>SUBTOTAL(3,J147:J147)</f>
        <v>1</v>
      </c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29"/>
      <c r="Z148" s="29"/>
      <c r="AJ148" s="25"/>
      <c r="AK148" s="13"/>
      <c r="AP148" s="116"/>
      <c r="AQ148" s="123"/>
      <c r="AR148" s="123"/>
      <c r="AS148" s="123"/>
      <c r="AX148" s="115"/>
      <c r="AY148" s="115"/>
      <c r="AZ148" s="115"/>
      <c r="BA148" s="115"/>
      <c r="BB148" s="115"/>
      <c r="BC148" s="115"/>
      <c r="BD148" s="115"/>
      <c r="BE148" s="115"/>
      <c r="BF148" s="115"/>
      <c r="BG148" s="115"/>
      <c r="BH148" s="25"/>
      <c r="BI148" s="13"/>
      <c r="BL148" s="114"/>
    </row>
    <row r="149" spans="1:64" ht="20.100000000000001" customHeight="1" x14ac:dyDescent="0.4">
      <c r="A149" s="117"/>
      <c r="B149" s="123"/>
      <c r="C149" s="123"/>
      <c r="D149" s="123"/>
      <c r="I149" s="26">
        <v>45957</v>
      </c>
      <c r="J149" s="13" t="s">
        <v>147</v>
      </c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29"/>
      <c r="Z149" s="29"/>
      <c r="AJ149" s="25"/>
      <c r="AK149" s="13"/>
      <c r="AP149" s="116"/>
      <c r="AQ149" s="123"/>
      <c r="AR149" s="123"/>
      <c r="AS149" s="123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 s="115"/>
      <c r="BH149" s="25"/>
      <c r="BI149" s="13"/>
      <c r="BL149" s="114"/>
    </row>
    <row r="150" spans="1:64" ht="20.100000000000001" customHeight="1" x14ac:dyDescent="0.4">
      <c r="A150" s="117"/>
      <c r="B150" s="123"/>
      <c r="C150" s="123"/>
      <c r="D150" s="123"/>
      <c r="I150" s="26">
        <v>45957</v>
      </c>
      <c r="J150" s="13" t="s">
        <v>147</v>
      </c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27"/>
      <c r="Z150" s="29"/>
      <c r="AJ150" s="25"/>
      <c r="AK150" s="13"/>
      <c r="AP150" s="116"/>
      <c r="AQ150" s="123"/>
      <c r="AR150" s="123"/>
      <c r="AS150" s="123"/>
      <c r="AX150" s="115"/>
      <c r="AY150" s="115"/>
      <c r="AZ150" s="115"/>
      <c r="BA150" s="115"/>
      <c r="BB150" s="115"/>
      <c r="BC150" s="115"/>
      <c r="BD150" s="115"/>
      <c r="BE150" s="115"/>
      <c r="BF150" s="115"/>
      <c r="BG150" s="115"/>
      <c r="BH150" s="25"/>
      <c r="BI150" s="13"/>
      <c r="BL150" s="114"/>
    </row>
    <row r="151" spans="1:64" ht="20.100000000000001" customHeight="1" x14ac:dyDescent="0.4">
      <c r="A151" s="117"/>
      <c r="B151" s="123"/>
      <c r="C151" s="123"/>
      <c r="D151" s="123"/>
      <c r="H151" s="115" t="s">
        <v>355</v>
      </c>
      <c r="I151" s="20">
        <f>SUBTOTAL(3,I149:I150)</f>
        <v>2</v>
      </c>
      <c r="J151" s="13">
        <f>SUBTOTAL(3,J149:J150)</f>
        <v>2</v>
      </c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27"/>
      <c r="Z151" s="29"/>
      <c r="AJ151" s="25"/>
      <c r="AK151" s="13"/>
      <c r="AP151" s="116"/>
      <c r="AQ151" s="123"/>
      <c r="AR151" s="123"/>
      <c r="AS151" s="123"/>
      <c r="AX151" s="115"/>
      <c r="AY151" s="115"/>
      <c r="AZ151" s="115"/>
      <c r="BA151" s="115"/>
      <c r="BB151" s="115"/>
      <c r="BC151" s="115"/>
      <c r="BD151" s="115"/>
      <c r="BE151" s="115"/>
      <c r="BF151" s="115"/>
      <c r="BG151" s="115"/>
      <c r="BH151" s="25"/>
      <c r="BI151" s="13"/>
      <c r="BL151" s="114"/>
    </row>
    <row r="152" spans="1:64" ht="20.100000000000001" customHeight="1" x14ac:dyDescent="0.4">
      <c r="A152" s="117"/>
      <c r="B152" s="123"/>
      <c r="C152" s="123"/>
      <c r="D152" s="123"/>
      <c r="H152" s="115" t="s">
        <v>145</v>
      </c>
      <c r="I152" s="20">
        <f>SUBTOTAL(3,I2:I150)</f>
        <v>128</v>
      </c>
      <c r="J152" s="13">
        <f>SUBTOTAL(3,J2:J150)</f>
        <v>128</v>
      </c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27"/>
      <c r="Z152" s="29"/>
      <c r="AJ152" s="25"/>
      <c r="AK152" s="13"/>
      <c r="AP152" s="116"/>
      <c r="AQ152" s="123"/>
      <c r="AR152" s="123"/>
      <c r="AS152" s="123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25"/>
      <c r="BI152" s="13"/>
      <c r="BL152" s="114"/>
    </row>
    <row r="153" spans="1:64" ht="20.100000000000001" customHeight="1" x14ac:dyDescent="0.4">
      <c r="A153" s="117"/>
      <c r="B153" s="123"/>
      <c r="C153" s="123"/>
      <c r="D153" s="123"/>
      <c r="I153" s="25"/>
      <c r="J153" s="13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27"/>
      <c r="Z153" s="29"/>
      <c r="AJ153" s="25"/>
      <c r="AK153" s="13"/>
      <c r="AP153" s="116"/>
      <c r="AQ153" s="123"/>
      <c r="AR153" s="123"/>
      <c r="AS153" s="123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25"/>
      <c r="BI153" s="13"/>
      <c r="BL153" s="114"/>
    </row>
    <row r="154" spans="1:64" ht="20.100000000000001" customHeight="1" x14ac:dyDescent="0.4">
      <c r="A154" s="117"/>
      <c r="B154" s="123"/>
      <c r="C154" s="123"/>
      <c r="D154" s="123"/>
      <c r="G154" s="115"/>
      <c r="H154" s="115"/>
      <c r="I154" s="13"/>
      <c r="J154" s="13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27"/>
      <c r="Z154" s="29"/>
      <c r="AJ154" s="25"/>
      <c r="AK154" s="13"/>
      <c r="AP154" s="116"/>
      <c r="AQ154" s="123"/>
      <c r="AR154" s="123"/>
      <c r="AS154" s="123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25"/>
      <c r="BI154" s="13"/>
      <c r="BL154" s="114"/>
    </row>
    <row r="155" spans="1:64" ht="20.100000000000001" customHeight="1" x14ac:dyDescent="0.4">
      <c r="A155" s="117"/>
      <c r="B155" s="123"/>
      <c r="C155" s="123"/>
      <c r="D155" s="123"/>
      <c r="I155" s="25"/>
      <c r="J155" s="13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27"/>
      <c r="Z155" s="29"/>
      <c r="AJ155" s="25"/>
      <c r="AK155" s="13"/>
      <c r="AP155" s="116"/>
      <c r="AQ155" s="123"/>
      <c r="AR155" s="123"/>
      <c r="AS155" s="123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25"/>
      <c r="BI155" s="13"/>
      <c r="BL155" s="114"/>
    </row>
    <row r="156" spans="1:64" ht="20.100000000000001" customHeight="1" x14ac:dyDescent="0.4">
      <c r="A156" s="117"/>
      <c r="B156" s="123"/>
      <c r="C156" s="123"/>
      <c r="D156" s="123"/>
      <c r="I156" s="26"/>
      <c r="J156" s="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27"/>
      <c r="Z156" s="29"/>
      <c r="AJ156" s="25"/>
      <c r="AK156" s="13"/>
      <c r="AP156" s="116"/>
      <c r="AQ156" s="123"/>
      <c r="AR156" s="123"/>
      <c r="AS156" s="123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25"/>
      <c r="BI156" s="13"/>
      <c r="BL156" s="114"/>
    </row>
    <row r="157" spans="1:64" ht="20.100000000000001" customHeight="1" x14ac:dyDescent="0.4">
      <c r="A157" s="117"/>
      <c r="B157" s="123"/>
      <c r="C157" s="123"/>
      <c r="D157" s="123"/>
      <c r="F157" s="125"/>
      <c r="G157" s="125"/>
      <c r="H157" s="125"/>
      <c r="I157" s="25"/>
      <c r="J157" s="13"/>
      <c r="Y157" s="127"/>
      <c r="Z157" s="29"/>
      <c r="AJ157" s="25"/>
      <c r="AK157" s="13"/>
      <c r="AP157" s="116"/>
      <c r="AQ157" s="123"/>
      <c r="AR157" s="123"/>
      <c r="AS157" s="123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25"/>
      <c r="BI157" s="13"/>
      <c r="BL157" s="114"/>
    </row>
    <row r="158" spans="1:64" ht="20.100000000000001" customHeight="1" x14ac:dyDescent="0.4">
      <c r="A158" s="117"/>
      <c r="B158" s="123"/>
      <c r="C158" s="123"/>
      <c r="D158" s="123"/>
      <c r="F158" s="125"/>
      <c r="G158" s="125"/>
      <c r="H158" s="125"/>
      <c r="I158" s="25"/>
      <c r="J158" s="13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27"/>
      <c r="Z158" s="29"/>
      <c r="AJ158" s="25"/>
      <c r="AK158" s="13"/>
      <c r="AP158" s="116"/>
      <c r="AQ158" s="123"/>
      <c r="AR158" s="123"/>
      <c r="AS158" s="123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25"/>
      <c r="BI158" s="13"/>
      <c r="BL158" s="114"/>
    </row>
    <row r="159" spans="1:64" ht="20.100000000000001" customHeight="1" x14ac:dyDescent="0.4">
      <c r="A159" s="117"/>
      <c r="B159" s="123"/>
      <c r="C159" s="123"/>
      <c r="D159" s="123"/>
      <c r="F159" s="125"/>
      <c r="G159" s="125"/>
      <c r="H159" s="125"/>
      <c r="I159" s="25"/>
      <c r="J159" s="13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29"/>
      <c r="Z159" s="29"/>
      <c r="AJ159" s="25"/>
      <c r="AK159" s="13"/>
      <c r="AP159" s="116"/>
      <c r="AQ159" s="123"/>
      <c r="AR159" s="123"/>
      <c r="AS159" s="123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25"/>
      <c r="BI159" s="13"/>
      <c r="BL159" s="114"/>
    </row>
    <row r="160" spans="1:64" ht="20.100000000000001" customHeight="1" x14ac:dyDescent="0.4">
      <c r="A160" s="117"/>
      <c r="B160" s="123"/>
      <c r="C160" s="123"/>
      <c r="D160" s="123"/>
      <c r="F160" s="125"/>
      <c r="G160" s="125"/>
      <c r="H160" s="125"/>
      <c r="I160" s="25"/>
      <c r="J160" s="13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27"/>
      <c r="Z160" s="29"/>
      <c r="AJ160" s="25"/>
      <c r="AK160" s="13"/>
      <c r="AP160" s="116"/>
      <c r="AQ160" s="123"/>
      <c r="AR160" s="123"/>
      <c r="AS160" s="123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25"/>
      <c r="BI160" s="13"/>
      <c r="BL160" s="114"/>
    </row>
    <row r="161" spans="1:64" ht="20.100000000000001" customHeight="1" x14ac:dyDescent="0.4">
      <c r="A161" s="117"/>
      <c r="B161" s="123"/>
      <c r="C161" s="123"/>
      <c r="D161" s="123"/>
      <c r="F161" s="125"/>
      <c r="G161" s="125"/>
      <c r="H161" s="125"/>
      <c r="I161" s="26"/>
      <c r="J161" s="13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27"/>
      <c r="Z161" s="29"/>
      <c r="AJ161" s="25"/>
      <c r="AK161" s="13"/>
      <c r="AP161" s="116"/>
      <c r="AQ161" s="123"/>
      <c r="AR161" s="123"/>
      <c r="AS161" s="123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25"/>
      <c r="BI161" s="13"/>
      <c r="BL161" s="114"/>
    </row>
    <row r="162" spans="1:64" ht="20.100000000000001" customHeight="1" x14ac:dyDescent="0.4">
      <c r="A162" s="117"/>
      <c r="B162" s="123"/>
      <c r="C162" s="123"/>
      <c r="D162" s="123"/>
      <c r="F162" s="125"/>
      <c r="G162" s="125"/>
      <c r="H162" s="125"/>
      <c r="I162" s="26"/>
      <c r="J162" s="13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27"/>
      <c r="Z162" s="29"/>
      <c r="AJ162" s="25"/>
      <c r="AK162" s="13"/>
      <c r="AP162" s="116"/>
      <c r="AQ162" s="123"/>
      <c r="AR162" s="123"/>
      <c r="AS162" s="123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25"/>
      <c r="BI162" s="13"/>
      <c r="BL162" s="114"/>
    </row>
    <row r="163" spans="1:64" ht="20.100000000000001" customHeight="1" x14ac:dyDescent="0.4">
      <c r="A163" s="117"/>
      <c r="B163" s="123"/>
      <c r="C163" s="123"/>
      <c r="D163" s="123"/>
      <c r="F163" s="125"/>
      <c r="G163" s="125"/>
      <c r="H163" s="125"/>
      <c r="I163" s="17"/>
      <c r="J163" s="13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27"/>
      <c r="Z163" s="29"/>
      <c r="AJ163" s="25"/>
      <c r="AK163" s="13"/>
      <c r="AP163" s="116"/>
      <c r="AQ163" s="123"/>
      <c r="AR163" s="123"/>
      <c r="AS163" s="123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25"/>
      <c r="BI163" s="13"/>
      <c r="BL163" s="114"/>
    </row>
    <row r="164" spans="1:64" ht="20.100000000000001" customHeight="1" x14ac:dyDescent="0.4">
      <c r="A164" s="117"/>
      <c r="B164" s="123"/>
      <c r="C164" s="123"/>
      <c r="D164" s="123"/>
      <c r="F164" s="125"/>
      <c r="G164" s="125"/>
      <c r="H164" s="125"/>
      <c r="I164" s="26"/>
      <c r="J164" s="13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27"/>
      <c r="Z164" s="29"/>
      <c r="AJ164" s="25"/>
      <c r="AK164" s="13"/>
      <c r="AP164" s="116"/>
      <c r="AQ164" s="123"/>
      <c r="AR164" s="123"/>
      <c r="AS164" s="123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25"/>
      <c r="BI164" s="13"/>
      <c r="BL164" s="114"/>
    </row>
    <row r="165" spans="1:64" ht="20.100000000000001" customHeight="1" x14ac:dyDescent="0.4">
      <c r="A165" s="117"/>
      <c r="B165" s="123"/>
      <c r="C165" s="123"/>
      <c r="D165" s="123"/>
      <c r="F165" s="125"/>
      <c r="G165" s="125"/>
      <c r="H165" s="125"/>
      <c r="I165" s="26"/>
      <c r="J165" s="13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27"/>
      <c r="Z165" s="29"/>
      <c r="AJ165" s="25"/>
      <c r="AK165" s="13"/>
      <c r="AP165" s="116"/>
      <c r="AQ165" s="123"/>
      <c r="AR165" s="123"/>
      <c r="AS165" s="123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25"/>
      <c r="BI165" s="13"/>
      <c r="BL165" s="114"/>
    </row>
    <row r="166" spans="1:64" ht="20.100000000000001" customHeight="1" x14ac:dyDescent="0.4">
      <c r="A166" s="117"/>
      <c r="B166" s="123"/>
      <c r="C166" s="123"/>
      <c r="D166" s="123"/>
      <c r="F166" s="125"/>
      <c r="G166" s="125"/>
      <c r="H166" s="125"/>
      <c r="I166" s="17"/>
      <c r="J166" s="13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27"/>
      <c r="Z166" s="29"/>
      <c r="AJ166" s="25"/>
      <c r="AK166" s="13"/>
      <c r="AP166" s="116"/>
      <c r="AQ166" s="123"/>
      <c r="AR166" s="123"/>
      <c r="AS166" s="123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25"/>
      <c r="BI166" s="13"/>
      <c r="BL166" s="114"/>
    </row>
    <row r="167" spans="1:64" ht="20.100000000000001" customHeight="1" x14ac:dyDescent="0.4">
      <c r="A167" s="117"/>
      <c r="B167" s="123"/>
      <c r="C167" s="123"/>
      <c r="D167" s="123"/>
      <c r="F167" s="125"/>
      <c r="G167" s="125"/>
      <c r="H167" s="125"/>
      <c r="I167" s="26"/>
      <c r="J167" s="13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27"/>
      <c r="Z167" s="134"/>
      <c r="AJ167" s="25"/>
      <c r="AK167" s="13"/>
      <c r="AP167" s="116"/>
      <c r="AQ167" s="123"/>
      <c r="AR167" s="123"/>
      <c r="AS167" s="123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25"/>
      <c r="BI167" s="13"/>
      <c r="BL167" s="114"/>
    </row>
    <row r="168" spans="1:64" ht="20.100000000000001" customHeight="1" x14ac:dyDescent="0.4">
      <c r="A168" s="117"/>
      <c r="B168" s="123"/>
      <c r="C168" s="123"/>
      <c r="D168" s="123"/>
      <c r="F168" s="125"/>
      <c r="G168" s="125"/>
      <c r="H168" s="125"/>
      <c r="I168" s="26"/>
      <c r="J168" s="13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27"/>
      <c r="Z168" s="29"/>
      <c r="AJ168" s="25"/>
      <c r="AK168" s="13"/>
      <c r="AP168" s="116"/>
      <c r="AQ168" s="123"/>
      <c r="AR168" s="123"/>
      <c r="AS168" s="123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25"/>
      <c r="BI168" s="13"/>
      <c r="BL168" s="114"/>
    </row>
    <row r="169" spans="1:64" ht="20.100000000000001" customHeight="1" x14ac:dyDescent="0.4">
      <c r="A169" s="117"/>
      <c r="B169" s="123"/>
      <c r="C169" s="123"/>
      <c r="D169" s="123"/>
      <c r="F169" s="125"/>
      <c r="G169" s="125"/>
      <c r="H169" s="125"/>
      <c r="I169" s="26"/>
      <c r="J169" s="13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27"/>
      <c r="Z169" s="29"/>
      <c r="AJ169" s="25"/>
      <c r="AK169" s="13"/>
      <c r="AP169" s="116"/>
      <c r="AQ169" s="123"/>
      <c r="AR169" s="123"/>
      <c r="AS169" s="123"/>
      <c r="AX169" s="115"/>
      <c r="AY169" s="115"/>
      <c r="AZ169" s="115"/>
      <c r="BA169" s="115"/>
      <c r="BB169" s="115"/>
      <c r="BC169" s="115"/>
      <c r="BD169" s="115"/>
      <c r="BE169" s="115"/>
      <c r="BF169" s="115"/>
      <c r="BG169" s="115"/>
      <c r="BH169" s="25"/>
      <c r="BI169" s="13"/>
      <c r="BL169" s="114"/>
    </row>
    <row r="170" spans="1:64" ht="20.100000000000001" customHeight="1" x14ac:dyDescent="0.4">
      <c r="A170" s="117"/>
      <c r="B170" s="123"/>
      <c r="C170" s="123"/>
      <c r="D170" s="123"/>
      <c r="F170" s="125"/>
      <c r="G170" s="125"/>
      <c r="H170" s="125"/>
      <c r="I170" s="26"/>
      <c r="J170" s="13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27"/>
      <c r="Z170" s="29"/>
      <c r="AJ170" s="25"/>
      <c r="AK170" s="13"/>
      <c r="AP170" s="116"/>
      <c r="AQ170" s="123"/>
      <c r="AR170" s="123"/>
      <c r="AS170" s="123"/>
      <c r="AX170" s="115"/>
      <c r="AY170" s="115"/>
      <c r="AZ170" s="115"/>
      <c r="BA170" s="115"/>
      <c r="BB170" s="115"/>
      <c r="BC170" s="115"/>
      <c r="BD170" s="115"/>
      <c r="BE170" s="115"/>
      <c r="BF170" s="115"/>
      <c r="BG170" s="115"/>
      <c r="BH170" s="25"/>
      <c r="BI170" s="13"/>
      <c r="BL170" s="114"/>
    </row>
    <row r="171" spans="1:64" ht="20.100000000000001" customHeight="1" x14ac:dyDescent="0.4">
      <c r="A171" s="117"/>
      <c r="B171" s="123"/>
      <c r="C171" s="123"/>
      <c r="D171" s="123"/>
      <c r="F171" s="125"/>
      <c r="G171" s="125"/>
      <c r="H171" s="125"/>
      <c r="I171" s="26"/>
      <c r="J171" s="13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27"/>
      <c r="Z171" s="29"/>
      <c r="AJ171" s="25"/>
      <c r="AK171" s="13"/>
      <c r="AP171" s="116"/>
      <c r="AQ171" s="123"/>
      <c r="AR171" s="123"/>
      <c r="AS171" s="123"/>
      <c r="AX171" s="115"/>
      <c r="AY171" s="115"/>
      <c r="AZ171" s="115"/>
      <c r="BA171" s="115"/>
      <c r="BB171" s="115"/>
      <c r="BC171" s="115"/>
      <c r="BD171" s="115"/>
      <c r="BE171" s="115"/>
      <c r="BF171" s="115"/>
      <c r="BG171" s="115"/>
      <c r="BH171" s="25"/>
      <c r="BI171" s="13"/>
      <c r="BL171" s="114"/>
    </row>
    <row r="172" spans="1:64" ht="20.100000000000001" customHeight="1" x14ac:dyDescent="0.4">
      <c r="A172" s="117"/>
      <c r="B172" s="123"/>
      <c r="C172" s="123"/>
      <c r="D172" s="123"/>
      <c r="F172" s="125"/>
      <c r="G172" s="125"/>
      <c r="H172" s="125"/>
      <c r="I172" s="26"/>
      <c r="J172" s="13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27"/>
      <c r="Z172" s="29"/>
      <c r="AJ172" s="25"/>
      <c r="AK172" s="13"/>
      <c r="AP172" s="116"/>
      <c r="AQ172" s="123"/>
      <c r="AR172" s="123"/>
      <c r="AS172" s="123"/>
      <c r="AX172" s="115"/>
      <c r="AY172" s="115"/>
      <c r="AZ172" s="115"/>
      <c r="BA172" s="115"/>
      <c r="BB172" s="115"/>
      <c r="BC172" s="115"/>
      <c r="BD172" s="115"/>
      <c r="BE172" s="115"/>
      <c r="BF172" s="115"/>
      <c r="BG172" s="115"/>
      <c r="BH172" s="25"/>
      <c r="BI172" s="13"/>
      <c r="BL172" s="114"/>
    </row>
    <row r="173" spans="1:64" ht="20.100000000000001" customHeight="1" x14ac:dyDescent="0.4">
      <c r="A173" s="117"/>
      <c r="B173" s="123"/>
      <c r="C173" s="123"/>
      <c r="D173" s="123"/>
      <c r="F173" s="125"/>
      <c r="G173" s="125"/>
      <c r="H173" s="125"/>
      <c r="I173" s="26"/>
      <c r="J173" s="13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27"/>
      <c r="Z173" s="29"/>
      <c r="AJ173" s="25"/>
      <c r="AK173" s="13"/>
      <c r="AP173" s="116"/>
      <c r="AQ173" s="123"/>
      <c r="AR173" s="123"/>
      <c r="AS173" s="123"/>
      <c r="AX173" s="115"/>
      <c r="AY173" s="115"/>
      <c r="AZ173" s="115"/>
      <c r="BA173" s="115"/>
      <c r="BB173" s="115"/>
      <c r="BC173" s="115"/>
      <c r="BD173" s="115"/>
      <c r="BE173" s="115"/>
      <c r="BF173" s="115"/>
      <c r="BG173" s="115"/>
      <c r="BH173" s="25"/>
      <c r="BI173" s="13"/>
      <c r="BL173" s="114"/>
    </row>
    <row r="174" spans="1:64" ht="20.100000000000001" customHeight="1" x14ac:dyDescent="0.4">
      <c r="A174" s="117"/>
      <c r="B174" s="123"/>
      <c r="C174" s="123"/>
      <c r="D174" s="123"/>
      <c r="F174" s="125"/>
      <c r="G174" s="125"/>
      <c r="H174" s="125"/>
      <c r="I174" s="17"/>
      <c r="J174" s="13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27"/>
      <c r="Z174" s="29"/>
      <c r="AJ174" s="25"/>
      <c r="AK174" s="13"/>
      <c r="AP174" s="116"/>
      <c r="AQ174" s="123"/>
      <c r="AR174" s="123"/>
      <c r="AS174" s="123"/>
      <c r="AX174" s="115"/>
      <c r="AY174" s="115"/>
      <c r="AZ174" s="115"/>
      <c r="BA174" s="115"/>
      <c r="BB174" s="115"/>
      <c r="BC174" s="115"/>
      <c r="BD174" s="115"/>
      <c r="BE174" s="115"/>
      <c r="BF174" s="115"/>
      <c r="BG174" s="115"/>
      <c r="BH174" s="25"/>
      <c r="BI174" s="13"/>
      <c r="BL174" s="114"/>
    </row>
    <row r="175" spans="1:64" ht="20.100000000000001" customHeight="1" x14ac:dyDescent="0.4">
      <c r="A175" s="117"/>
      <c r="B175" s="123"/>
      <c r="C175" s="123"/>
      <c r="D175" s="123"/>
      <c r="F175" s="125"/>
      <c r="G175" s="125"/>
      <c r="H175" s="125"/>
      <c r="I175" s="26"/>
      <c r="J175" s="13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27"/>
      <c r="Z175" s="29"/>
      <c r="AJ175" s="25"/>
      <c r="AK175" s="13"/>
      <c r="AP175" s="116"/>
      <c r="AQ175" s="123"/>
      <c r="AR175" s="123"/>
      <c r="AS175" s="123"/>
      <c r="AX175" s="115"/>
      <c r="AY175" s="115"/>
      <c r="AZ175" s="115"/>
      <c r="BA175" s="115"/>
      <c r="BB175" s="115"/>
      <c r="BC175" s="115"/>
      <c r="BD175" s="115"/>
      <c r="BE175" s="115"/>
      <c r="BF175" s="115"/>
      <c r="BG175" s="115"/>
      <c r="BH175" s="25"/>
      <c r="BI175" s="13"/>
      <c r="BL175" s="114"/>
    </row>
    <row r="176" spans="1:64" ht="20.100000000000001" customHeight="1" x14ac:dyDescent="0.4">
      <c r="A176" s="117"/>
      <c r="B176" s="123"/>
      <c r="C176" s="123"/>
      <c r="D176" s="123"/>
      <c r="F176" s="125"/>
      <c r="G176" s="125"/>
      <c r="H176" s="125"/>
      <c r="I176" s="26"/>
      <c r="J176" s="13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27"/>
      <c r="Z176" s="29"/>
      <c r="AJ176" s="25"/>
      <c r="AK176" s="13"/>
      <c r="AP176" s="116"/>
      <c r="AQ176" s="123"/>
      <c r="AR176" s="123"/>
      <c r="AS176" s="123"/>
      <c r="AX176" s="115"/>
      <c r="AY176" s="115"/>
      <c r="AZ176" s="115"/>
      <c r="BA176" s="115"/>
      <c r="BB176" s="115"/>
      <c r="BC176" s="115"/>
      <c r="BD176" s="115"/>
      <c r="BE176" s="115"/>
      <c r="BF176" s="115"/>
      <c r="BG176" s="115"/>
      <c r="BH176" s="25"/>
      <c r="BI176" s="13"/>
      <c r="BL176" s="114"/>
    </row>
    <row r="177" spans="1:64" ht="20.100000000000001" customHeight="1" x14ac:dyDescent="0.4">
      <c r="A177" s="117"/>
      <c r="B177" s="123"/>
      <c r="C177" s="123"/>
      <c r="D177" s="123"/>
      <c r="F177" s="125"/>
      <c r="G177" s="125"/>
      <c r="H177" s="125"/>
      <c r="I177" s="17"/>
      <c r="J177" s="13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27"/>
      <c r="Z177" s="29"/>
      <c r="AJ177" s="25"/>
      <c r="AK177" s="13"/>
      <c r="AP177" s="116"/>
      <c r="AQ177" s="123"/>
      <c r="AR177" s="123"/>
      <c r="AS177" s="123"/>
      <c r="AX177" s="115"/>
      <c r="AY177" s="115"/>
      <c r="AZ177" s="115"/>
      <c r="BA177" s="115"/>
      <c r="BB177" s="115"/>
      <c r="BC177" s="115"/>
      <c r="BD177" s="115"/>
      <c r="BE177" s="115"/>
      <c r="BF177" s="115"/>
      <c r="BG177" s="115"/>
      <c r="BH177" s="25"/>
      <c r="BI177" s="13"/>
      <c r="BL177" s="114"/>
    </row>
    <row r="178" spans="1:64" ht="20.100000000000001" customHeight="1" x14ac:dyDescent="0.4">
      <c r="A178" s="117"/>
      <c r="B178" s="123"/>
      <c r="C178" s="123"/>
      <c r="D178" s="123"/>
      <c r="F178" s="125"/>
      <c r="G178" s="125"/>
      <c r="H178" s="125"/>
      <c r="I178" s="26"/>
      <c r="J178" s="13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27"/>
      <c r="Z178" s="134"/>
      <c r="AJ178" s="25"/>
      <c r="AK178" s="13"/>
      <c r="AP178" s="116"/>
      <c r="AQ178" s="123"/>
      <c r="AR178" s="123"/>
      <c r="AS178" s="123"/>
      <c r="AX178" s="115"/>
      <c r="AY178" s="115"/>
      <c r="AZ178" s="115"/>
      <c r="BA178" s="115"/>
      <c r="BB178" s="115"/>
      <c r="BC178" s="115"/>
      <c r="BD178" s="115"/>
      <c r="BE178" s="115"/>
      <c r="BF178" s="115"/>
      <c r="BG178" s="115"/>
      <c r="BH178" s="25"/>
      <c r="BI178" s="13"/>
      <c r="BL178" s="114"/>
    </row>
    <row r="179" spans="1:64" ht="20.100000000000001" customHeight="1" x14ac:dyDescent="0.4">
      <c r="A179" s="117"/>
      <c r="B179" s="123"/>
      <c r="C179" s="123"/>
      <c r="D179" s="123"/>
      <c r="F179" s="125"/>
      <c r="G179" s="125"/>
      <c r="H179" s="125"/>
      <c r="I179" s="26"/>
      <c r="J179" s="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27"/>
      <c r="Z179" s="29"/>
      <c r="AJ179" s="25"/>
      <c r="AK179" s="13"/>
      <c r="AP179" s="116"/>
      <c r="AQ179" s="123"/>
      <c r="AR179" s="123"/>
      <c r="AS179" s="123"/>
      <c r="AX179" s="115"/>
      <c r="AY179" s="115"/>
      <c r="AZ179" s="115"/>
      <c r="BA179" s="115"/>
      <c r="BB179" s="115"/>
      <c r="BC179" s="115"/>
      <c r="BD179" s="115"/>
      <c r="BE179" s="115"/>
      <c r="BF179" s="115"/>
      <c r="BG179" s="115"/>
      <c r="BH179" s="25"/>
      <c r="BI179" s="13"/>
      <c r="BL179" s="114"/>
    </row>
    <row r="180" spans="1:64" ht="20.100000000000001" customHeight="1" x14ac:dyDescent="0.4">
      <c r="A180" s="117"/>
      <c r="B180" s="123"/>
      <c r="C180" s="123"/>
      <c r="D180" s="123"/>
      <c r="F180" s="125"/>
      <c r="G180" s="125"/>
      <c r="H180" s="125"/>
      <c r="I180" s="26"/>
      <c r="J180" s="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27"/>
      <c r="Z180" s="29"/>
      <c r="AJ180" s="25"/>
      <c r="AK180" s="13"/>
      <c r="AP180" s="116"/>
      <c r="AQ180" s="123"/>
      <c r="AR180" s="123"/>
      <c r="AS180" s="123"/>
      <c r="AX180" s="115"/>
      <c r="AY180" s="115"/>
      <c r="AZ180" s="115"/>
      <c r="BA180" s="115"/>
      <c r="BB180" s="115"/>
      <c r="BC180" s="115"/>
      <c r="BD180" s="115"/>
      <c r="BE180" s="115"/>
      <c r="BF180" s="115"/>
      <c r="BG180" s="115"/>
      <c r="BH180" s="25"/>
      <c r="BI180" s="13"/>
      <c r="BL180" s="114"/>
    </row>
    <row r="181" spans="1:64" ht="20.100000000000001" customHeight="1" x14ac:dyDescent="0.4">
      <c r="A181" s="117"/>
      <c r="B181" s="123"/>
      <c r="C181" s="123"/>
      <c r="D181" s="123"/>
      <c r="F181" s="125"/>
      <c r="G181" s="125"/>
      <c r="H181" s="125"/>
      <c r="I181" s="26"/>
      <c r="J181" s="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27"/>
      <c r="Z181" s="29"/>
      <c r="AJ181" s="25"/>
      <c r="AK181" s="13"/>
      <c r="AP181" s="116"/>
      <c r="AQ181" s="123"/>
      <c r="AR181" s="123"/>
      <c r="AS181" s="123"/>
      <c r="AX181" s="115"/>
      <c r="AY181" s="115"/>
      <c r="AZ181" s="115"/>
      <c r="BA181" s="115"/>
      <c r="BB181" s="115"/>
      <c r="BC181" s="115"/>
      <c r="BD181" s="115"/>
      <c r="BE181" s="115"/>
      <c r="BF181" s="115"/>
      <c r="BG181" s="115"/>
      <c r="BH181" s="25"/>
      <c r="BI181" s="13"/>
      <c r="BL181" s="114"/>
    </row>
    <row r="182" spans="1:64" ht="20.100000000000001" customHeight="1" x14ac:dyDescent="0.4">
      <c r="A182" s="117"/>
      <c r="B182" s="123"/>
      <c r="C182" s="123"/>
      <c r="D182" s="123"/>
      <c r="F182" s="125"/>
      <c r="G182" s="125"/>
      <c r="H182" s="125"/>
      <c r="I182" s="26"/>
      <c r="J182" s="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29"/>
      <c r="Z182" s="29"/>
      <c r="AJ182" s="25"/>
      <c r="AK182" s="13"/>
      <c r="AP182" s="116"/>
      <c r="AQ182" s="123"/>
      <c r="AR182" s="123"/>
      <c r="AS182" s="123"/>
      <c r="AX182" s="115"/>
      <c r="AY182" s="115"/>
      <c r="AZ182" s="115"/>
      <c r="BA182" s="115"/>
      <c r="BB182" s="115"/>
      <c r="BC182" s="115"/>
      <c r="BD182" s="115"/>
      <c r="BE182" s="115"/>
      <c r="BF182" s="115"/>
      <c r="BG182" s="115"/>
      <c r="BH182" s="25"/>
      <c r="BI182" s="13"/>
      <c r="BL182" s="114"/>
    </row>
    <row r="183" spans="1:64" ht="20.100000000000001" customHeight="1" x14ac:dyDescent="0.4">
      <c r="A183" s="117"/>
      <c r="B183" s="123"/>
      <c r="C183" s="123"/>
      <c r="D183" s="123"/>
      <c r="F183" s="125"/>
      <c r="G183" s="125"/>
      <c r="H183" s="125"/>
      <c r="I183" s="26"/>
      <c r="J183" s="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27"/>
      <c r="Z183" s="29"/>
      <c r="AJ183" s="25"/>
      <c r="AK183" s="13"/>
      <c r="AP183" s="116"/>
      <c r="AQ183" s="123"/>
      <c r="AR183" s="123"/>
      <c r="AS183" s="123"/>
      <c r="AX183" s="115"/>
      <c r="AY183" s="115"/>
      <c r="AZ183" s="115"/>
      <c r="BA183" s="115"/>
      <c r="BB183" s="115"/>
      <c r="BC183" s="115"/>
      <c r="BD183" s="115"/>
      <c r="BE183" s="115"/>
      <c r="BF183" s="115"/>
      <c r="BG183" s="115"/>
      <c r="BH183" s="25"/>
      <c r="BI183" s="13"/>
      <c r="BL183" s="114"/>
    </row>
    <row r="184" spans="1:64" ht="20.100000000000001" customHeight="1" x14ac:dyDescent="0.4">
      <c r="A184" s="117"/>
      <c r="B184" s="123"/>
      <c r="C184" s="123"/>
      <c r="D184" s="123"/>
      <c r="F184" s="125"/>
      <c r="G184" s="125"/>
      <c r="H184" s="125"/>
      <c r="I184" s="26"/>
      <c r="J184" s="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27"/>
      <c r="Z184" s="29"/>
      <c r="AJ184" s="25"/>
      <c r="AK184" s="13"/>
      <c r="AP184" s="116"/>
      <c r="AQ184" s="123"/>
      <c r="AR184" s="123"/>
      <c r="AS184" s="123"/>
      <c r="AX184" s="115"/>
      <c r="AY184" s="115"/>
      <c r="AZ184" s="115"/>
      <c r="BA184" s="115"/>
      <c r="BB184" s="115"/>
      <c r="BC184" s="115"/>
      <c r="BD184" s="115"/>
      <c r="BE184" s="115"/>
      <c r="BF184" s="115"/>
      <c r="BG184" s="115"/>
      <c r="BH184" s="25"/>
      <c r="BI184" s="13"/>
      <c r="BL184" s="114"/>
    </row>
    <row r="185" spans="1:64" ht="20.100000000000001" customHeight="1" x14ac:dyDescent="0.4">
      <c r="A185" s="117"/>
      <c r="B185" s="123"/>
      <c r="C185" s="123"/>
      <c r="D185" s="123"/>
      <c r="F185" s="125"/>
      <c r="G185" s="125"/>
      <c r="H185" s="125"/>
      <c r="I185" s="26"/>
      <c r="J185" s="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27"/>
      <c r="Z185" s="29"/>
      <c r="AJ185" s="25"/>
      <c r="AK185" s="13"/>
      <c r="AP185" s="116"/>
      <c r="AQ185" s="123"/>
      <c r="AR185" s="123"/>
      <c r="AS185" s="123"/>
      <c r="AX185" s="115"/>
      <c r="AY185" s="115"/>
      <c r="AZ185" s="115"/>
      <c r="BA185" s="115"/>
      <c r="BB185" s="115"/>
      <c r="BC185" s="115"/>
      <c r="BD185" s="115"/>
      <c r="BE185" s="115"/>
      <c r="BF185" s="115"/>
      <c r="BG185" s="115"/>
      <c r="BH185" s="25"/>
      <c r="BI185" s="13"/>
      <c r="BL185" s="114"/>
    </row>
    <row r="186" spans="1:64" ht="20.100000000000001" customHeight="1" x14ac:dyDescent="0.4">
      <c r="A186" s="117"/>
      <c r="B186" s="123"/>
      <c r="C186" s="123"/>
      <c r="D186" s="123"/>
      <c r="F186" s="125"/>
      <c r="G186" s="125"/>
      <c r="H186" s="125"/>
      <c r="I186" s="26"/>
      <c r="J186" s="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27"/>
      <c r="Z186" s="29"/>
      <c r="AJ186" s="25"/>
      <c r="AK186" s="13"/>
      <c r="AP186" s="116"/>
      <c r="AQ186" s="123"/>
      <c r="AR186" s="123"/>
      <c r="AS186" s="123"/>
      <c r="AX186" s="115"/>
      <c r="AY186" s="115"/>
      <c r="AZ186" s="115"/>
      <c r="BA186" s="115"/>
      <c r="BB186" s="115"/>
      <c r="BC186" s="115"/>
      <c r="BD186" s="115"/>
      <c r="BE186" s="115"/>
      <c r="BF186" s="115"/>
      <c r="BG186" s="115"/>
      <c r="BH186" s="25"/>
      <c r="BI186" s="13"/>
      <c r="BL186" s="114"/>
    </row>
    <row r="187" spans="1:64" ht="20.100000000000001" customHeight="1" x14ac:dyDescent="0.4">
      <c r="A187" s="117"/>
      <c r="B187" s="123"/>
      <c r="C187" s="123"/>
      <c r="D187" s="123"/>
      <c r="F187" s="125"/>
      <c r="G187" s="125"/>
      <c r="H187" s="125"/>
      <c r="I187" s="26"/>
      <c r="J187" s="13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29"/>
      <c r="Z187" s="29"/>
      <c r="AJ187" s="25"/>
      <c r="AK187" s="13"/>
      <c r="AP187" s="116"/>
      <c r="AQ187" s="123"/>
      <c r="AR187" s="123"/>
      <c r="AS187" s="123"/>
      <c r="AX187" s="115"/>
      <c r="AY187" s="115"/>
      <c r="AZ187" s="115"/>
      <c r="BA187" s="115"/>
      <c r="BB187" s="115"/>
      <c r="BC187" s="115"/>
      <c r="BD187" s="115"/>
      <c r="BE187" s="115"/>
      <c r="BF187" s="115"/>
      <c r="BG187" s="115"/>
      <c r="BH187" s="25"/>
      <c r="BI187" s="13"/>
      <c r="BL187" s="114"/>
    </row>
    <row r="188" spans="1:64" ht="20.100000000000001" customHeight="1" x14ac:dyDescent="0.4">
      <c r="A188" s="117"/>
      <c r="B188" s="123"/>
      <c r="C188" s="123"/>
      <c r="D188" s="123"/>
      <c r="F188" s="125"/>
      <c r="G188" s="125"/>
      <c r="H188" s="125"/>
      <c r="I188" s="26"/>
      <c r="J188" s="13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27"/>
      <c r="Z188" s="29"/>
      <c r="AJ188" s="25"/>
      <c r="AK188" s="13"/>
      <c r="AP188" s="116"/>
      <c r="AQ188" s="123"/>
      <c r="AR188" s="123"/>
      <c r="AS188" s="123"/>
      <c r="AX188" s="115"/>
      <c r="AY188" s="115"/>
      <c r="AZ188" s="115"/>
      <c r="BA188" s="115"/>
      <c r="BB188" s="115"/>
      <c r="BC188" s="115"/>
      <c r="BD188" s="115"/>
      <c r="BE188" s="115"/>
      <c r="BF188" s="115"/>
      <c r="BG188" s="115"/>
      <c r="BH188" s="25"/>
      <c r="BI188" s="13"/>
      <c r="BL188" s="114"/>
    </row>
    <row r="189" spans="1:64" ht="20.100000000000001" customHeight="1" x14ac:dyDescent="0.4">
      <c r="A189" s="117"/>
      <c r="B189" s="123"/>
      <c r="C189" s="123"/>
      <c r="D189" s="123"/>
      <c r="F189" s="125"/>
      <c r="G189" s="125"/>
      <c r="H189" s="125"/>
      <c r="I189" s="26"/>
      <c r="J189" s="13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27"/>
      <c r="Z189" s="29"/>
      <c r="AJ189" s="25"/>
      <c r="AK189" s="13"/>
      <c r="AP189" s="116"/>
      <c r="AQ189" s="123"/>
      <c r="AR189" s="123"/>
      <c r="AS189" s="123"/>
      <c r="AX189" s="115"/>
      <c r="AY189" s="115"/>
      <c r="AZ189" s="115"/>
      <c r="BA189" s="115"/>
      <c r="BB189" s="115"/>
      <c r="BC189" s="115"/>
      <c r="BD189" s="115"/>
      <c r="BE189" s="115"/>
      <c r="BF189" s="115"/>
      <c r="BG189" s="115"/>
      <c r="BH189" s="25"/>
      <c r="BI189" s="13"/>
      <c r="BL189" s="114"/>
    </row>
    <row r="190" spans="1:64" ht="20.100000000000001" customHeight="1" x14ac:dyDescent="0.4">
      <c r="A190" s="117"/>
      <c r="B190" s="123"/>
      <c r="C190" s="123"/>
      <c r="D190" s="123"/>
      <c r="F190" s="125"/>
      <c r="G190" s="125"/>
      <c r="H190" s="125"/>
      <c r="I190" s="26"/>
      <c r="J190" s="13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27"/>
      <c r="Z190" s="29"/>
      <c r="AJ190" s="25"/>
      <c r="AK190" s="13"/>
      <c r="AP190" s="116"/>
      <c r="AQ190" s="123"/>
      <c r="AR190" s="123"/>
      <c r="AS190" s="123"/>
      <c r="AX190" s="115"/>
      <c r="AY190" s="115"/>
      <c r="AZ190" s="115"/>
      <c r="BA190" s="115"/>
      <c r="BB190" s="115"/>
      <c r="BC190" s="115"/>
      <c r="BD190" s="115"/>
      <c r="BE190" s="115"/>
      <c r="BF190" s="115"/>
      <c r="BG190" s="115"/>
      <c r="BH190" s="25"/>
      <c r="BI190" s="13"/>
      <c r="BL190" s="114"/>
    </row>
    <row r="191" spans="1:64" ht="20.100000000000001" customHeight="1" x14ac:dyDescent="0.4">
      <c r="A191" s="117"/>
      <c r="B191" s="123"/>
      <c r="C191" s="123"/>
      <c r="D191" s="123"/>
      <c r="F191" s="125"/>
      <c r="G191" s="125"/>
      <c r="H191" s="125"/>
      <c r="I191" s="26"/>
      <c r="J191" s="13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27"/>
      <c r="Z191" s="29"/>
      <c r="AJ191" s="25"/>
      <c r="AK191" s="13"/>
      <c r="AP191" s="116"/>
      <c r="AQ191" s="123"/>
      <c r="AR191" s="123"/>
      <c r="AS191" s="123"/>
      <c r="AX191" s="115"/>
      <c r="AY191" s="115"/>
      <c r="AZ191" s="115"/>
      <c r="BA191" s="115"/>
      <c r="BB191" s="115"/>
      <c r="BC191" s="115"/>
      <c r="BD191" s="115"/>
      <c r="BE191" s="115"/>
      <c r="BF191" s="115"/>
      <c r="BG191" s="115"/>
      <c r="BH191" s="25"/>
      <c r="BI191" s="13"/>
      <c r="BL191" s="114"/>
    </row>
    <row r="192" spans="1:64" ht="20.100000000000001" customHeight="1" x14ac:dyDescent="0.4">
      <c r="A192" s="117"/>
      <c r="B192" s="123"/>
      <c r="C192" s="123"/>
      <c r="D192" s="123"/>
      <c r="F192" s="125"/>
      <c r="G192" s="125"/>
      <c r="H192" s="125"/>
      <c r="I192" s="17"/>
      <c r="J192" s="13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27"/>
      <c r="Z192" s="29"/>
      <c r="AJ192" s="25"/>
      <c r="AK192" s="13"/>
      <c r="AP192" s="116"/>
      <c r="AQ192" s="123"/>
      <c r="AR192" s="123"/>
      <c r="AS192" s="123"/>
      <c r="AX192" s="115"/>
      <c r="AY192" s="115"/>
      <c r="AZ192" s="115"/>
      <c r="BA192" s="115"/>
      <c r="BB192" s="115"/>
      <c r="BC192" s="115"/>
      <c r="BD192" s="115"/>
      <c r="BE192" s="115"/>
      <c r="BF192" s="115"/>
      <c r="BG192" s="115"/>
      <c r="BH192" s="25"/>
      <c r="BI192" s="13"/>
      <c r="BL192" s="114"/>
    </row>
    <row r="193" spans="1:64" ht="20.100000000000001" customHeight="1" x14ac:dyDescent="0.4">
      <c r="A193" s="117"/>
      <c r="B193" s="123"/>
      <c r="C193" s="123"/>
      <c r="D193" s="123"/>
      <c r="F193" s="125"/>
      <c r="G193" s="125"/>
      <c r="H193" s="125"/>
      <c r="I193" s="26"/>
      <c r="J193" s="13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27"/>
      <c r="Z193" s="29"/>
      <c r="AJ193" s="25"/>
      <c r="AK193" s="13"/>
      <c r="AP193" s="116"/>
      <c r="AQ193" s="123"/>
      <c r="AR193" s="123"/>
      <c r="AS193" s="123"/>
      <c r="AX193" s="115"/>
      <c r="AY193" s="115"/>
      <c r="AZ193" s="115"/>
      <c r="BA193" s="115"/>
      <c r="BB193" s="115"/>
      <c r="BC193" s="115"/>
      <c r="BD193" s="115"/>
      <c r="BE193" s="115"/>
      <c r="BF193" s="115"/>
      <c r="BG193" s="115"/>
      <c r="BH193" s="25"/>
      <c r="BI193" s="13"/>
      <c r="BL193" s="114"/>
    </row>
    <row r="194" spans="1:64" ht="20.100000000000001" customHeight="1" x14ac:dyDescent="0.4">
      <c r="A194" s="117"/>
      <c r="B194" s="123"/>
      <c r="C194" s="123"/>
      <c r="D194" s="123"/>
      <c r="F194" s="125"/>
      <c r="G194" s="125"/>
      <c r="H194" s="125"/>
      <c r="I194" s="26"/>
      <c r="J194" s="13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27"/>
      <c r="Z194" s="29"/>
      <c r="AJ194" s="25"/>
      <c r="AK194" s="13"/>
      <c r="AP194" s="116"/>
      <c r="AQ194" s="123"/>
      <c r="AR194" s="123"/>
      <c r="AS194" s="123"/>
      <c r="AX194" s="115"/>
      <c r="AY194" s="115"/>
      <c r="AZ194" s="115"/>
      <c r="BA194" s="115"/>
      <c r="BB194" s="115"/>
      <c r="BC194" s="115"/>
      <c r="BD194" s="115"/>
      <c r="BE194" s="115"/>
      <c r="BF194" s="115"/>
      <c r="BG194" s="115"/>
      <c r="BH194" s="25"/>
      <c r="BI194" s="13"/>
      <c r="BL194" s="114"/>
    </row>
    <row r="195" spans="1:64" ht="20.100000000000001" customHeight="1" x14ac:dyDescent="0.4">
      <c r="A195" s="117"/>
      <c r="B195" s="123"/>
      <c r="C195" s="123"/>
      <c r="D195" s="123"/>
      <c r="F195" s="125"/>
      <c r="G195" s="125"/>
      <c r="H195" s="125"/>
      <c r="I195" s="26"/>
      <c r="J195" s="13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29"/>
      <c r="Z195" s="29"/>
      <c r="AJ195" s="25"/>
      <c r="AK195" s="13"/>
      <c r="AP195" s="116"/>
      <c r="AQ195" s="123"/>
      <c r="AR195" s="123"/>
      <c r="AS195" s="123"/>
      <c r="AX195" s="115"/>
      <c r="AY195" s="115"/>
      <c r="AZ195" s="115"/>
      <c r="BA195" s="115"/>
      <c r="BB195" s="115"/>
      <c r="BC195" s="115"/>
      <c r="BD195" s="115"/>
      <c r="BE195" s="115"/>
      <c r="BF195" s="115"/>
      <c r="BG195" s="115"/>
      <c r="BH195" s="25"/>
      <c r="BI195" s="13"/>
      <c r="BL195" s="114"/>
    </row>
    <row r="196" spans="1:64" ht="20.100000000000001" customHeight="1" x14ac:dyDescent="0.4">
      <c r="A196" s="117"/>
      <c r="B196" s="123"/>
      <c r="C196" s="123"/>
      <c r="D196" s="123"/>
      <c r="F196" s="125"/>
      <c r="G196" s="125"/>
      <c r="H196" s="125"/>
      <c r="I196" s="26"/>
      <c r="J196" s="13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27"/>
      <c r="Z196" s="29"/>
      <c r="AJ196" s="25"/>
      <c r="AK196" s="13"/>
      <c r="AP196" s="116"/>
      <c r="AQ196" s="123"/>
      <c r="AR196" s="123"/>
      <c r="AS196" s="123"/>
      <c r="AX196" s="115"/>
      <c r="AY196" s="115"/>
      <c r="AZ196" s="115"/>
      <c r="BA196" s="115"/>
      <c r="BB196" s="115"/>
      <c r="BC196" s="115"/>
      <c r="BD196" s="115"/>
      <c r="BE196" s="115"/>
      <c r="BF196" s="115"/>
      <c r="BG196" s="115"/>
      <c r="BH196" s="25"/>
      <c r="BI196" s="13"/>
      <c r="BL196" s="114"/>
    </row>
    <row r="197" spans="1:64" ht="20.100000000000001" customHeight="1" x14ac:dyDescent="0.4">
      <c r="A197" s="117"/>
      <c r="B197" s="123"/>
      <c r="C197" s="123"/>
      <c r="D197" s="123"/>
      <c r="F197" s="125"/>
      <c r="G197" s="125"/>
      <c r="H197" s="125"/>
      <c r="I197" s="26"/>
      <c r="J197" s="13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27"/>
      <c r="Z197" s="29"/>
      <c r="AJ197" s="25"/>
      <c r="AK197" s="13"/>
      <c r="AP197" s="116"/>
      <c r="AQ197" s="123"/>
      <c r="AR197" s="123"/>
      <c r="AS197" s="123"/>
      <c r="AX197" s="115"/>
      <c r="AY197" s="115"/>
      <c r="AZ197" s="115"/>
      <c r="BA197" s="115"/>
      <c r="BB197" s="115"/>
      <c r="BC197" s="115"/>
      <c r="BD197" s="115"/>
      <c r="BE197" s="115"/>
      <c r="BF197" s="115"/>
      <c r="BG197" s="115"/>
      <c r="BH197" s="25"/>
      <c r="BI197" s="13"/>
      <c r="BL197" s="114"/>
    </row>
    <row r="198" spans="1:64" ht="20.100000000000001" customHeight="1" x14ac:dyDescent="0.4">
      <c r="A198" s="117"/>
      <c r="B198" s="123"/>
      <c r="C198" s="123"/>
      <c r="D198" s="123"/>
      <c r="F198" s="125"/>
      <c r="G198" s="125"/>
      <c r="H198" s="125"/>
      <c r="I198" s="26"/>
      <c r="J198" s="13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27"/>
      <c r="Z198" s="29"/>
      <c r="AJ198" s="25"/>
      <c r="AK198" s="13"/>
      <c r="AP198" s="116"/>
      <c r="AQ198" s="123"/>
      <c r="AR198" s="123"/>
      <c r="AS198" s="123"/>
      <c r="AX198" s="115"/>
      <c r="AY198" s="115"/>
      <c r="AZ198" s="115"/>
      <c r="BA198" s="115"/>
      <c r="BB198" s="115"/>
      <c r="BC198" s="115"/>
      <c r="BD198" s="115"/>
      <c r="BE198" s="115"/>
      <c r="BF198" s="115"/>
      <c r="BG198" s="115"/>
      <c r="BH198" s="25"/>
      <c r="BI198" s="13"/>
      <c r="BL198" s="114"/>
    </row>
    <row r="199" spans="1:64" ht="20.100000000000001" customHeight="1" x14ac:dyDescent="0.4">
      <c r="A199" s="117"/>
      <c r="B199" s="123"/>
      <c r="C199" s="123"/>
      <c r="D199" s="123"/>
      <c r="F199" s="125"/>
      <c r="G199" s="125"/>
      <c r="H199" s="125"/>
      <c r="I199" s="17"/>
      <c r="J199" s="13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27"/>
      <c r="Z199" s="29"/>
      <c r="AJ199" s="25"/>
      <c r="AK199" s="13"/>
      <c r="AP199" s="116"/>
      <c r="AQ199" s="123"/>
      <c r="AR199" s="123"/>
      <c r="AS199" s="123"/>
      <c r="AX199" s="115"/>
      <c r="AY199" s="115"/>
      <c r="AZ199" s="115"/>
      <c r="BA199" s="115"/>
      <c r="BB199" s="115"/>
      <c r="BC199" s="115"/>
      <c r="BD199" s="115"/>
      <c r="BE199" s="115"/>
      <c r="BF199" s="115"/>
      <c r="BG199" s="115"/>
      <c r="BH199" s="25"/>
      <c r="BI199" s="13"/>
      <c r="BL199" s="114"/>
    </row>
    <row r="200" spans="1:64" ht="20.100000000000001" customHeight="1" x14ac:dyDescent="0.4">
      <c r="A200" s="117"/>
      <c r="B200" s="123"/>
      <c r="C200" s="123"/>
      <c r="D200" s="123"/>
      <c r="F200" s="125"/>
      <c r="G200" s="125"/>
      <c r="H200" s="125"/>
      <c r="I200" s="26"/>
      <c r="J200" s="13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29"/>
      <c r="Z200" s="29"/>
      <c r="AJ200" s="25"/>
      <c r="AK200" s="13"/>
      <c r="AP200" s="116"/>
      <c r="AQ200" s="123"/>
      <c r="AR200" s="123"/>
      <c r="AS200" s="123"/>
      <c r="AX200" s="115"/>
      <c r="AY200" s="115"/>
      <c r="AZ200" s="115"/>
      <c r="BA200" s="115"/>
      <c r="BB200" s="115"/>
      <c r="BC200" s="115"/>
      <c r="BD200" s="115"/>
      <c r="BE200" s="115"/>
      <c r="BF200" s="115"/>
      <c r="BG200" s="115"/>
      <c r="BH200" s="25"/>
      <c r="BI200" s="13"/>
      <c r="BL200" s="114"/>
    </row>
    <row r="201" spans="1:64" ht="20.100000000000001" customHeight="1" x14ac:dyDescent="0.4">
      <c r="A201" s="117"/>
      <c r="B201" s="123"/>
      <c r="C201" s="123"/>
      <c r="D201" s="123"/>
      <c r="F201" s="125"/>
      <c r="G201" s="125"/>
      <c r="H201" s="125"/>
      <c r="I201" s="17"/>
      <c r="J201" s="13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29"/>
      <c r="Z201" s="29"/>
      <c r="AJ201" s="25"/>
      <c r="AK201" s="13"/>
      <c r="AP201" s="116"/>
      <c r="AQ201" s="123"/>
      <c r="AR201" s="123"/>
      <c r="AS201" s="123"/>
      <c r="AX201" s="115"/>
      <c r="AY201" s="115"/>
      <c r="AZ201" s="115"/>
      <c r="BA201" s="115"/>
      <c r="BB201" s="115"/>
      <c r="BC201" s="115"/>
      <c r="BD201" s="115"/>
      <c r="BE201" s="115"/>
      <c r="BF201" s="115"/>
      <c r="BG201" s="115"/>
      <c r="BH201" s="25"/>
      <c r="BI201" s="13"/>
      <c r="BL201" s="114"/>
    </row>
    <row r="202" spans="1:64" ht="20.100000000000001" customHeight="1" x14ac:dyDescent="0.4">
      <c r="A202" s="117"/>
      <c r="B202" s="123"/>
      <c r="C202" s="123"/>
      <c r="D202" s="123"/>
      <c r="F202" s="125"/>
      <c r="G202" s="125"/>
      <c r="H202" s="125"/>
      <c r="I202" s="26"/>
      <c r="J202" s="13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27"/>
      <c r="Z202" s="29"/>
      <c r="AJ202" s="25"/>
      <c r="AK202" s="13"/>
      <c r="AP202" s="116"/>
      <c r="AQ202" s="123"/>
      <c r="AR202" s="123"/>
      <c r="AS202" s="123"/>
      <c r="AX202" s="115"/>
      <c r="AY202" s="115"/>
      <c r="AZ202" s="115"/>
      <c r="BA202" s="115"/>
      <c r="BB202" s="115"/>
      <c r="BC202" s="115"/>
      <c r="BD202" s="115"/>
      <c r="BE202" s="115"/>
      <c r="BF202" s="115"/>
      <c r="BG202" s="115"/>
      <c r="BH202" s="25"/>
      <c r="BI202" s="13"/>
      <c r="BL202" s="114"/>
    </row>
    <row r="203" spans="1:64" ht="20.100000000000001" customHeight="1" x14ac:dyDescent="0.4">
      <c r="A203" s="117"/>
      <c r="B203" s="123"/>
      <c r="C203" s="123"/>
      <c r="D203" s="123"/>
      <c r="F203" s="125"/>
      <c r="G203" s="125"/>
      <c r="H203" s="125"/>
      <c r="I203" s="17"/>
      <c r="J203" s="13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27"/>
      <c r="Z203" s="29"/>
      <c r="AJ203" s="25"/>
      <c r="AK203" s="13"/>
      <c r="AP203" s="116"/>
      <c r="AQ203" s="123"/>
      <c r="AR203" s="123"/>
      <c r="AS203" s="123"/>
      <c r="AX203" s="115"/>
      <c r="AY203" s="115"/>
      <c r="AZ203" s="115"/>
      <c r="BA203" s="115"/>
      <c r="BB203" s="115"/>
      <c r="BC203" s="115"/>
      <c r="BD203" s="115"/>
      <c r="BE203" s="115"/>
      <c r="BF203" s="115"/>
      <c r="BG203" s="115"/>
      <c r="BH203" s="25"/>
      <c r="BI203" s="13"/>
      <c r="BL203" s="114"/>
    </row>
    <row r="204" spans="1:64" ht="20.100000000000001" customHeight="1" x14ac:dyDescent="0.4">
      <c r="A204" s="117"/>
      <c r="B204" s="123"/>
      <c r="C204" s="123"/>
      <c r="D204" s="123"/>
      <c r="F204" s="125"/>
      <c r="G204" s="125"/>
      <c r="H204" s="125"/>
      <c r="I204" s="26"/>
      <c r="J204" s="13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27"/>
      <c r="Z204" s="29"/>
      <c r="AJ204" s="25"/>
      <c r="AK204" s="13"/>
      <c r="AP204" s="116"/>
      <c r="AQ204" s="123"/>
      <c r="AR204" s="123"/>
      <c r="AS204" s="123"/>
      <c r="AX204" s="115"/>
      <c r="AY204" s="115"/>
      <c r="AZ204" s="115"/>
      <c r="BA204" s="115"/>
      <c r="BB204" s="115"/>
      <c r="BC204" s="115"/>
      <c r="BD204" s="115"/>
      <c r="BE204" s="115"/>
      <c r="BF204" s="115"/>
      <c r="BG204" s="115"/>
      <c r="BH204" s="25"/>
      <c r="BI204" s="13"/>
      <c r="BL204" s="114"/>
    </row>
    <row r="205" spans="1:64" ht="20.100000000000001" customHeight="1" x14ac:dyDescent="0.4">
      <c r="A205" s="117"/>
      <c r="B205" s="123"/>
      <c r="C205" s="123"/>
      <c r="D205" s="123"/>
      <c r="F205" s="125"/>
      <c r="G205" s="125"/>
      <c r="H205" s="125"/>
      <c r="I205" s="17"/>
      <c r="J205" s="13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27"/>
      <c r="Z205" s="29"/>
      <c r="AJ205" s="25"/>
      <c r="AK205" s="13"/>
      <c r="AP205" s="116"/>
      <c r="AQ205" s="123"/>
      <c r="AR205" s="123"/>
      <c r="AS205" s="123"/>
      <c r="AX205" s="115"/>
      <c r="AY205" s="115"/>
      <c r="AZ205" s="115"/>
      <c r="BA205" s="115"/>
      <c r="BB205" s="115"/>
      <c r="BC205" s="115"/>
      <c r="BD205" s="115"/>
      <c r="BE205" s="115"/>
      <c r="BF205" s="115"/>
      <c r="BG205" s="115"/>
      <c r="BH205" s="25"/>
      <c r="BI205" s="13"/>
      <c r="BL205" s="114"/>
    </row>
    <row r="206" spans="1:64" ht="20.100000000000001" customHeight="1" x14ac:dyDescent="0.4">
      <c r="A206" s="117"/>
      <c r="B206" s="123"/>
      <c r="C206" s="123"/>
      <c r="D206" s="123"/>
      <c r="F206" s="125"/>
      <c r="G206" s="125"/>
      <c r="H206" s="125"/>
      <c r="I206" s="26"/>
      <c r="J206" s="13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27"/>
      <c r="Z206" s="29"/>
      <c r="AJ206" s="25"/>
      <c r="AK206" s="13"/>
      <c r="AP206" s="116"/>
      <c r="AQ206" s="123"/>
      <c r="AR206" s="123"/>
      <c r="AS206" s="123"/>
      <c r="AX206" s="115"/>
      <c r="AY206" s="115"/>
      <c r="AZ206" s="115"/>
      <c r="BA206" s="115"/>
      <c r="BB206" s="115"/>
      <c r="BC206" s="115"/>
      <c r="BD206" s="115"/>
      <c r="BE206" s="115"/>
      <c r="BF206" s="115"/>
      <c r="BG206" s="115"/>
      <c r="BH206" s="25"/>
      <c r="BI206" s="13"/>
      <c r="BL206" s="114"/>
    </row>
    <row r="207" spans="1:64" ht="20.100000000000001" customHeight="1" x14ac:dyDescent="0.4">
      <c r="A207" s="117"/>
      <c r="B207" s="123"/>
      <c r="C207" s="123"/>
      <c r="D207" s="123"/>
      <c r="F207" s="125"/>
      <c r="G207" s="125"/>
      <c r="H207" s="125"/>
      <c r="I207" s="26"/>
      <c r="J207" s="133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29"/>
      <c r="Z207" s="29"/>
      <c r="AJ207" s="25"/>
      <c r="AK207" s="13"/>
      <c r="AP207" s="116"/>
      <c r="AQ207" s="123"/>
      <c r="AR207" s="123"/>
      <c r="AS207" s="123"/>
      <c r="AX207" s="115"/>
      <c r="AY207" s="115"/>
      <c r="AZ207" s="115"/>
      <c r="BA207" s="115"/>
      <c r="BB207" s="115"/>
      <c r="BC207" s="115"/>
      <c r="BD207" s="115"/>
      <c r="BE207" s="115"/>
      <c r="BF207" s="115"/>
      <c r="BG207" s="115"/>
      <c r="BH207" s="25"/>
      <c r="BI207" s="13"/>
      <c r="BL207" s="114"/>
    </row>
    <row r="208" spans="1:64" ht="20.100000000000001" customHeight="1" x14ac:dyDescent="0.4">
      <c r="A208" s="117"/>
      <c r="B208" s="123"/>
      <c r="C208" s="123"/>
      <c r="D208" s="123"/>
      <c r="F208" s="125"/>
      <c r="G208" s="125"/>
      <c r="H208" s="125"/>
      <c r="I208" s="17"/>
      <c r="J208" s="13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29"/>
      <c r="Z208" s="29"/>
      <c r="AJ208" s="25"/>
      <c r="AK208" s="13"/>
      <c r="AP208" s="116"/>
      <c r="AQ208" s="123"/>
      <c r="AR208" s="123"/>
      <c r="AS208" s="123"/>
      <c r="AX208" s="115"/>
      <c r="AY208" s="115"/>
      <c r="AZ208" s="115"/>
      <c r="BA208" s="115"/>
      <c r="BB208" s="115"/>
      <c r="BC208" s="115"/>
      <c r="BD208" s="115"/>
      <c r="BE208" s="115"/>
      <c r="BF208" s="115"/>
      <c r="BG208" s="115"/>
      <c r="BH208" s="25"/>
      <c r="BI208" s="13"/>
      <c r="BL208" s="114"/>
    </row>
    <row r="209" spans="1:64" ht="20.100000000000001" customHeight="1" x14ac:dyDescent="0.4">
      <c r="A209" s="117"/>
      <c r="B209" s="123"/>
      <c r="C209" s="123"/>
      <c r="D209" s="123"/>
      <c r="F209" s="125"/>
      <c r="G209" s="125"/>
      <c r="H209" s="125"/>
      <c r="I209" s="26"/>
      <c r="J209" s="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27"/>
      <c r="Z209" s="29"/>
      <c r="AJ209" s="25"/>
      <c r="AK209" s="13"/>
      <c r="AP209" s="116"/>
      <c r="AQ209" s="123"/>
      <c r="AR209" s="123"/>
      <c r="AS209" s="123"/>
      <c r="AX209" s="115"/>
      <c r="AY209" s="115"/>
      <c r="AZ209" s="115"/>
      <c r="BA209" s="115"/>
      <c r="BB209" s="115"/>
      <c r="BC209" s="115"/>
      <c r="BD209" s="115"/>
      <c r="BE209" s="115"/>
      <c r="BF209" s="115"/>
      <c r="BG209" s="115"/>
      <c r="BH209" s="25"/>
      <c r="BI209" s="13"/>
      <c r="BL209" s="114"/>
    </row>
    <row r="210" spans="1:64" ht="20.100000000000001" customHeight="1" x14ac:dyDescent="0.4">
      <c r="A210" s="117"/>
      <c r="B210" s="123"/>
      <c r="C210" s="123"/>
      <c r="D210" s="123"/>
      <c r="F210" s="125"/>
      <c r="G210" s="125"/>
      <c r="H210" s="125"/>
      <c r="I210" s="119"/>
      <c r="J210" s="119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27"/>
      <c r="Z210" s="29"/>
      <c r="AJ210" s="25"/>
      <c r="AK210" s="13"/>
      <c r="AP210" s="116"/>
      <c r="AQ210" s="123"/>
      <c r="AR210" s="123"/>
      <c r="AS210" s="123"/>
      <c r="AX210" s="115"/>
      <c r="AY210" s="115"/>
      <c r="AZ210" s="115"/>
      <c r="BA210" s="115"/>
      <c r="BB210" s="115"/>
      <c r="BC210" s="115"/>
      <c r="BD210" s="115"/>
      <c r="BE210" s="115"/>
      <c r="BF210" s="115"/>
      <c r="BG210" s="115"/>
      <c r="BH210" s="25"/>
      <c r="BI210" s="13"/>
      <c r="BL210" s="114"/>
    </row>
    <row r="211" spans="1:64" ht="20.100000000000001" customHeight="1" x14ac:dyDescent="0.4">
      <c r="A211" s="117"/>
      <c r="B211" s="123"/>
      <c r="C211" s="123"/>
      <c r="D211" s="123"/>
      <c r="F211" s="125"/>
      <c r="G211" s="125"/>
      <c r="H211" s="125"/>
      <c r="I211" s="119"/>
      <c r="J211" s="119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27"/>
      <c r="Z211" s="29"/>
      <c r="AJ211" s="25"/>
      <c r="AK211" s="13"/>
      <c r="AP211" s="116"/>
      <c r="AQ211" s="123"/>
      <c r="AR211" s="123"/>
      <c r="AS211" s="123"/>
      <c r="AX211" s="115"/>
      <c r="AY211" s="115"/>
      <c r="AZ211" s="115"/>
      <c r="BA211" s="115"/>
      <c r="BB211" s="115"/>
      <c r="BC211" s="115"/>
      <c r="BD211" s="115"/>
      <c r="BE211" s="115"/>
      <c r="BF211" s="115"/>
      <c r="BG211" s="115"/>
      <c r="BH211" s="25"/>
      <c r="BI211" s="13"/>
      <c r="BL211" s="114"/>
    </row>
    <row r="212" spans="1:64" ht="20.100000000000001" customHeight="1" x14ac:dyDescent="0.4">
      <c r="A212" s="117"/>
      <c r="B212" s="123"/>
      <c r="C212" s="123"/>
      <c r="D212" s="123"/>
      <c r="F212" s="125"/>
      <c r="G212" s="125"/>
      <c r="H212" s="12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27"/>
      <c r="Z212" s="29"/>
      <c r="AJ212" s="25"/>
      <c r="AK212" s="13"/>
      <c r="AP212" s="116"/>
      <c r="AQ212" s="123"/>
      <c r="AR212" s="123"/>
      <c r="AS212" s="123"/>
      <c r="AX212" s="115"/>
      <c r="AY212" s="115"/>
      <c r="AZ212" s="115"/>
      <c r="BA212" s="115"/>
      <c r="BB212" s="115"/>
      <c r="BC212" s="115"/>
      <c r="BD212" s="115"/>
      <c r="BE212" s="115"/>
      <c r="BF212" s="115"/>
      <c r="BG212" s="115"/>
      <c r="BH212" s="25"/>
      <c r="BI212" s="13"/>
      <c r="BL212" s="114"/>
    </row>
    <row r="213" spans="1:64" ht="20.100000000000001" customHeight="1" x14ac:dyDescent="0.4">
      <c r="A213" s="117"/>
      <c r="B213" s="123"/>
      <c r="C213" s="123"/>
      <c r="D213" s="123"/>
      <c r="F213" s="125"/>
      <c r="G213" s="125"/>
      <c r="H213" s="12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27"/>
      <c r="Z213" s="29"/>
      <c r="AJ213" s="25"/>
      <c r="AK213" s="13"/>
      <c r="AP213" s="116"/>
      <c r="AQ213" s="123"/>
      <c r="AR213" s="123"/>
      <c r="AS213" s="123"/>
      <c r="AX213" s="115"/>
      <c r="AY213" s="115"/>
      <c r="AZ213" s="115"/>
      <c r="BA213" s="115"/>
      <c r="BB213" s="115"/>
      <c r="BC213" s="115"/>
      <c r="BD213" s="115"/>
      <c r="BE213" s="115"/>
      <c r="BF213" s="115"/>
      <c r="BG213" s="115"/>
      <c r="BH213" s="25"/>
      <c r="BI213" s="13"/>
      <c r="BL213" s="114"/>
    </row>
    <row r="214" spans="1:64" ht="20.100000000000001" customHeight="1" x14ac:dyDescent="0.4">
      <c r="A214" s="117"/>
      <c r="B214" s="123"/>
      <c r="C214" s="123"/>
      <c r="D214" s="123"/>
      <c r="F214" s="125"/>
      <c r="G214" s="125"/>
      <c r="H214" s="12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27"/>
      <c r="Z214" s="29"/>
      <c r="AJ214" s="25"/>
      <c r="AK214" s="13"/>
      <c r="AP214" s="116"/>
      <c r="AQ214" s="123"/>
      <c r="AR214" s="123"/>
      <c r="AS214" s="123"/>
      <c r="AX214" s="115"/>
      <c r="AY214" s="115"/>
      <c r="AZ214" s="115"/>
      <c r="BA214" s="115"/>
      <c r="BB214" s="115"/>
      <c r="BC214" s="115"/>
      <c r="BD214" s="115"/>
      <c r="BE214" s="115"/>
      <c r="BF214" s="115"/>
      <c r="BG214" s="115"/>
      <c r="BH214" s="25"/>
      <c r="BI214" s="13"/>
      <c r="BL214" s="114"/>
    </row>
    <row r="215" spans="1:64" ht="20.100000000000001" customHeight="1" x14ac:dyDescent="0.4">
      <c r="A215" s="117"/>
      <c r="B215" s="123"/>
      <c r="C215" s="123"/>
      <c r="D215" s="123"/>
      <c r="F215" s="125"/>
      <c r="G215" s="125"/>
      <c r="H215" s="12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29"/>
      <c r="Z215" s="29"/>
      <c r="AJ215" s="25"/>
      <c r="AK215" s="13"/>
      <c r="AP215" s="116"/>
      <c r="AQ215" s="123"/>
      <c r="AR215" s="123"/>
      <c r="AS215" s="123"/>
      <c r="AX215" s="115"/>
      <c r="AY215" s="115"/>
      <c r="AZ215" s="115"/>
      <c r="BA215" s="115"/>
      <c r="BB215" s="115"/>
      <c r="BC215" s="115"/>
      <c r="BD215" s="115"/>
      <c r="BE215" s="115"/>
      <c r="BF215" s="115"/>
      <c r="BG215" s="115"/>
      <c r="BH215" s="25"/>
      <c r="BI215" s="13"/>
      <c r="BL215" s="114"/>
    </row>
    <row r="216" spans="1:64" ht="20.100000000000001" customHeight="1" x14ac:dyDescent="0.4">
      <c r="A216" s="117"/>
      <c r="B216" s="123"/>
      <c r="C216" s="123"/>
      <c r="D216" s="123"/>
      <c r="F216" s="125"/>
      <c r="G216" s="125"/>
      <c r="H216" s="125"/>
      <c r="Y216" s="127"/>
      <c r="Z216" s="29"/>
      <c r="AF216" s="115"/>
      <c r="AG216" s="115"/>
      <c r="AH216" s="115"/>
      <c r="AI216" s="115"/>
      <c r="AJ216" s="25">
        <v>45669</v>
      </c>
      <c r="AK216" s="13" t="s">
        <v>147</v>
      </c>
      <c r="AP216" s="116"/>
      <c r="AQ216" s="123"/>
      <c r="AR216" s="123"/>
      <c r="AS216" s="123"/>
      <c r="AX216" s="115"/>
      <c r="AY216" s="115"/>
      <c r="AZ216" s="115"/>
      <c r="BA216" s="115"/>
      <c r="BB216" s="115"/>
      <c r="BC216" s="115"/>
      <c r="BD216" s="115"/>
      <c r="BE216" s="115"/>
      <c r="BF216" s="115"/>
      <c r="BG216" s="115"/>
      <c r="BH216" s="25"/>
      <c r="BI216" s="13"/>
      <c r="BL216" s="114"/>
    </row>
    <row r="217" spans="1:64" ht="20.100000000000001" customHeight="1" x14ac:dyDescent="0.4">
      <c r="A217" s="117"/>
      <c r="B217" s="123"/>
      <c r="C217" s="123"/>
      <c r="D217" s="123"/>
      <c r="F217" s="125"/>
      <c r="G217" s="125"/>
      <c r="H217" s="125"/>
      <c r="W217" s="115"/>
      <c r="X217" s="115"/>
      <c r="Y217" s="29"/>
      <c r="Z217" s="29"/>
      <c r="AF217" s="115"/>
      <c r="AG217" s="115"/>
      <c r="AH217" s="115"/>
      <c r="AI217" s="115"/>
      <c r="AJ217" s="25"/>
      <c r="AK217" s="13"/>
      <c r="AP217" s="116"/>
      <c r="AQ217" s="123"/>
      <c r="AR217" s="123"/>
      <c r="AS217" s="123"/>
      <c r="AX217" s="115"/>
      <c r="AY217" s="115"/>
      <c r="AZ217" s="115"/>
      <c r="BA217" s="115"/>
      <c r="BB217" s="115"/>
      <c r="BC217" s="115"/>
      <c r="BD217" s="115"/>
      <c r="BE217" s="115"/>
      <c r="BF217" s="115"/>
      <c r="BG217" s="115"/>
      <c r="BH217" s="25"/>
      <c r="BI217" s="13"/>
      <c r="BL217" s="114"/>
    </row>
    <row r="218" spans="1:64" ht="20.100000000000001" customHeight="1" x14ac:dyDescent="0.4">
      <c r="A218" s="117"/>
      <c r="B218" s="123"/>
      <c r="C218" s="123"/>
      <c r="D218" s="123"/>
      <c r="F218" s="125"/>
      <c r="G218" s="125"/>
      <c r="H218" s="125"/>
      <c r="P218" s="115"/>
      <c r="Q218" s="115"/>
      <c r="R218" s="115"/>
      <c r="S218" s="115"/>
      <c r="T218" s="115"/>
      <c r="U218" s="115"/>
      <c r="V218" s="115"/>
      <c r="W218" s="115"/>
      <c r="X218" s="115"/>
      <c r="Y218" s="127"/>
      <c r="Z218" s="29"/>
      <c r="AF218" s="115"/>
      <c r="AG218" s="115"/>
      <c r="AH218" s="115"/>
      <c r="AI218" s="115"/>
      <c r="AJ218" s="25"/>
      <c r="AK218" s="13"/>
      <c r="AP218" s="116"/>
      <c r="AQ218" s="123"/>
      <c r="AR218" s="123"/>
      <c r="AS218" s="123"/>
      <c r="AX218" s="115"/>
      <c r="AY218" s="115"/>
      <c r="AZ218" s="115"/>
      <c r="BA218" s="115"/>
      <c r="BB218" s="115"/>
      <c r="BC218" s="115"/>
      <c r="BD218" s="115"/>
      <c r="BE218" s="115"/>
      <c r="BF218" s="115"/>
      <c r="BG218" s="115"/>
      <c r="BH218" s="25"/>
      <c r="BI218" s="13"/>
      <c r="BL218" s="114"/>
    </row>
    <row r="219" spans="1:64" ht="20.100000000000001" customHeight="1" x14ac:dyDescent="0.4">
      <c r="A219" s="117"/>
      <c r="B219" s="123"/>
      <c r="C219" s="123"/>
      <c r="D219" s="123"/>
      <c r="F219" s="125"/>
      <c r="G219" s="125"/>
      <c r="H219" s="125"/>
      <c r="Y219" s="127"/>
      <c r="Z219" s="29"/>
      <c r="AF219" s="115"/>
      <c r="AG219" s="115"/>
      <c r="AH219" s="115"/>
      <c r="AI219" s="115"/>
      <c r="AJ219" s="25"/>
      <c r="AK219" s="13"/>
      <c r="AP219" s="116"/>
      <c r="AQ219" s="123"/>
      <c r="AR219" s="123"/>
      <c r="AS219" s="123"/>
      <c r="AX219" s="115"/>
      <c r="AY219" s="115"/>
      <c r="AZ219" s="115"/>
      <c r="BA219" s="115"/>
      <c r="BB219" s="115"/>
      <c r="BC219" s="115"/>
      <c r="BD219" s="115"/>
      <c r="BE219" s="115"/>
      <c r="BF219" s="115"/>
      <c r="BG219" s="115"/>
      <c r="BH219" s="25"/>
      <c r="BI219" s="13"/>
      <c r="BL219" s="114"/>
    </row>
    <row r="220" spans="1:64" ht="20.100000000000001" customHeight="1" x14ac:dyDescent="0.4">
      <c r="A220" s="117"/>
      <c r="B220" s="123"/>
      <c r="C220" s="123"/>
      <c r="D220" s="123"/>
      <c r="F220" s="125"/>
      <c r="G220" s="125"/>
      <c r="H220" s="125"/>
      <c r="W220" s="115"/>
      <c r="X220" s="115"/>
      <c r="Y220" s="29"/>
      <c r="Z220" s="29"/>
      <c r="AF220" s="115"/>
      <c r="AG220" s="115"/>
      <c r="AH220" s="115"/>
      <c r="AI220" s="115"/>
      <c r="AJ220" s="25"/>
      <c r="AK220" s="13"/>
      <c r="AP220" s="116"/>
      <c r="AQ220" s="123"/>
      <c r="AR220" s="123"/>
      <c r="AS220" s="123"/>
      <c r="AX220" s="115"/>
      <c r="AY220" s="115"/>
      <c r="AZ220" s="115"/>
      <c r="BA220" s="115"/>
      <c r="BB220" s="115"/>
      <c r="BC220" s="115"/>
      <c r="BD220" s="115"/>
      <c r="BE220" s="115"/>
      <c r="BF220" s="115"/>
      <c r="BG220" s="115"/>
      <c r="BH220" s="25"/>
      <c r="BI220" s="13"/>
      <c r="BL220" s="114"/>
    </row>
    <row r="221" spans="1:64" ht="20.100000000000001" customHeight="1" x14ac:dyDescent="0.4">
      <c r="A221" s="117"/>
      <c r="B221" s="123"/>
      <c r="C221" s="123"/>
      <c r="D221" s="123"/>
      <c r="F221" s="125"/>
      <c r="G221" s="125"/>
      <c r="H221" s="12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27"/>
      <c r="Z221" s="29"/>
      <c r="AF221" s="115"/>
      <c r="AG221" s="115"/>
      <c r="AH221" s="115"/>
      <c r="AI221" s="115"/>
      <c r="AJ221" s="25"/>
      <c r="AK221" s="13"/>
      <c r="AP221" s="116"/>
      <c r="AQ221" s="123"/>
      <c r="AR221" s="123"/>
      <c r="AS221" s="123"/>
      <c r="AX221" s="115"/>
      <c r="AY221" s="115"/>
      <c r="AZ221" s="115"/>
      <c r="BA221" s="115"/>
      <c r="BB221" s="115"/>
      <c r="BC221" s="115"/>
      <c r="BD221" s="115"/>
      <c r="BE221" s="115"/>
      <c r="BF221" s="115"/>
      <c r="BG221" s="115"/>
      <c r="BH221" s="25"/>
      <c r="BI221" s="13"/>
      <c r="BL221" s="114"/>
    </row>
    <row r="222" spans="1:64" ht="20.100000000000001" customHeight="1" x14ac:dyDescent="0.4">
      <c r="A222" s="117"/>
      <c r="B222" s="123"/>
      <c r="C222" s="123"/>
      <c r="D222" s="123"/>
      <c r="F222" s="125"/>
      <c r="G222" s="125"/>
      <c r="H222" s="12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27"/>
      <c r="Z222" s="29"/>
      <c r="AF222" s="115"/>
      <c r="AG222" s="115"/>
      <c r="AH222" s="115"/>
      <c r="AI222" s="115"/>
      <c r="AJ222" s="25"/>
      <c r="AK222" s="13"/>
      <c r="AP222" s="116"/>
      <c r="AQ222" s="123"/>
      <c r="AR222" s="123"/>
      <c r="AS222" s="123"/>
      <c r="AX222" s="115"/>
      <c r="AY222" s="115"/>
      <c r="AZ222" s="115"/>
      <c r="BA222" s="115"/>
      <c r="BB222" s="115"/>
      <c r="BC222" s="115"/>
      <c r="BD222" s="115"/>
      <c r="BE222" s="115"/>
      <c r="BF222" s="115"/>
      <c r="BG222" s="115"/>
      <c r="BH222" s="25"/>
      <c r="BI222" s="13"/>
      <c r="BL222" s="114"/>
    </row>
    <row r="223" spans="1:64" ht="20.100000000000001" customHeight="1" x14ac:dyDescent="0.4">
      <c r="A223" s="117"/>
      <c r="B223" s="123"/>
      <c r="C223" s="123"/>
      <c r="D223" s="123"/>
      <c r="F223" s="125"/>
      <c r="G223" s="125"/>
      <c r="H223" s="12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27"/>
      <c r="Z223" s="29"/>
      <c r="AF223" s="115"/>
      <c r="AG223" s="115"/>
      <c r="AH223" s="115"/>
      <c r="AI223" s="115"/>
      <c r="AJ223" s="25"/>
      <c r="AK223" s="13"/>
      <c r="AP223" s="116"/>
      <c r="AQ223" s="123"/>
      <c r="AR223" s="123"/>
      <c r="AS223" s="123"/>
      <c r="AX223" s="115"/>
      <c r="AY223" s="115"/>
      <c r="AZ223" s="115"/>
      <c r="BA223" s="115"/>
      <c r="BB223" s="115"/>
      <c r="BC223" s="115"/>
      <c r="BD223" s="115"/>
      <c r="BE223" s="115"/>
      <c r="BF223" s="115"/>
      <c r="BG223" s="115"/>
      <c r="BH223" s="25"/>
      <c r="BI223" s="13"/>
      <c r="BL223" s="114"/>
    </row>
    <row r="224" spans="1:64" ht="20.100000000000001" customHeight="1" x14ac:dyDescent="0.4">
      <c r="A224" s="117"/>
      <c r="B224" s="123"/>
      <c r="C224" s="123"/>
      <c r="D224" s="123"/>
      <c r="F224" s="125"/>
      <c r="G224" s="125"/>
      <c r="H224" s="12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27"/>
      <c r="Z224" s="29"/>
      <c r="AF224" s="115"/>
      <c r="AG224" s="115"/>
      <c r="AH224" s="115"/>
      <c r="AI224" s="115"/>
      <c r="AJ224" s="25"/>
      <c r="AK224" s="13"/>
      <c r="AP224" s="116"/>
      <c r="AQ224" s="123"/>
      <c r="AR224" s="123"/>
      <c r="AS224" s="123"/>
      <c r="AX224" s="115"/>
      <c r="AY224" s="115"/>
      <c r="AZ224" s="115"/>
      <c r="BA224" s="115"/>
      <c r="BB224" s="115"/>
      <c r="BC224" s="115"/>
      <c r="BD224" s="115"/>
      <c r="BE224" s="115"/>
      <c r="BF224" s="115"/>
      <c r="BG224" s="115"/>
      <c r="BH224" s="25"/>
      <c r="BI224" s="13"/>
      <c r="BL224" s="114"/>
    </row>
    <row r="225" spans="1:64" ht="20.100000000000001" customHeight="1" x14ac:dyDescent="0.4">
      <c r="A225" s="117"/>
      <c r="B225" s="123"/>
      <c r="C225" s="123"/>
      <c r="D225" s="123"/>
      <c r="F225" s="125"/>
      <c r="G225" s="125"/>
      <c r="H225" s="12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27"/>
      <c r="Z225" s="29"/>
      <c r="AF225" s="115"/>
      <c r="AG225" s="115"/>
      <c r="AH225" s="115"/>
      <c r="AI225" s="115"/>
      <c r="AJ225" s="25"/>
      <c r="AK225" s="13"/>
      <c r="AP225" s="116"/>
      <c r="AQ225" s="123"/>
      <c r="AR225" s="123"/>
      <c r="AS225" s="123"/>
      <c r="AX225" s="115"/>
      <c r="AY225" s="115"/>
      <c r="AZ225" s="115"/>
      <c r="BA225" s="115"/>
      <c r="BB225" s="115"/>
      <c r="BC225" s="115"/>
      <c r="BD225" s="115"/>
      <c r="BE225" s="115"/>
      <c r="BF225" s="115"/>
      <c r="BG225" s="115"/>
      <c r="BH225" s="25"/>
      <c r="BI225" s="13"/>
      <c r="BL225" s="114"/>
    </row>
    <row r="226" spans="1:64" ht="20.100000000000001" customHeight="1" x14ac:dyDescent="0.4">
      <c r="A226" s="117"/>
      <c r="B226" s="123"/>
      <c r="C226" s="123"/>
      <c r="D226" s="123"/>
      <c r="F226" s="125"/>
      <c r="G226" s="125"/>
      <c r="H226" s="12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29"/>
      <c r="Z226" s="29"/>
      <c r="AF226" s="115"/>
      <c r="AG226" s="115"/>
      <c r="AH226" s="115"/>
      <c r="AI226" s="115"/>
      <c r="AJ226" s="25"/>
      <c r="AK226" s="13"/>
      <c r="AP226" s="116"/>
      <c r="AQ226" s="123"/>
      <c r="AR226" s="123"/>
      <c r="AS226" s="123"/>
      <c r="AX226" s="115"/>
      <c r="AY226" s="115"/>
      <c r="AZ226" s="115"/>
      <c r="BA226" s="115"/>
      <c r="BB226" s="115"/>
      <c r="BC226" s="115"/>
      <c r="BD226" s="115"/>
      <c r="BE226" s="115"/>
      <c r="BF226" s="115"/>
      <c r="BG226" s="115"/>
      <c r="BH226" s="25"/>
      <c r="BI226" s="13"/>
      <c r="BL226" s="114"/>
    </row>
    <row r="227" spans="1:64" ht="20.100000000000001" customHeight="1" x14ac:dyDescent="0.4">
      <c r="A227" s="117"/>
      <c r="B227" s="123"/>
      <c r="C227" s="123"/>
      <c r="D227" s="123"/>
      <c r="F227" s="125"/>
      <c r="G227" s="125"/>
      <c r="H227" s="12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27"/>
      <c r="Z227" s="29"/>
      <c r="AF227" s="115"/>
      <c r="AG227" s="115"/>
      <c r="AH227" s="115"/>
      <c r="AI227" s="115"/>
      <c r="AJ227" s="25"/>
      <c r="AK227" s="13"/>
      <c r="AP227" s="116"/>
      <c r="AQ227" s="123"/>
      <c r="AR227" s="123"/>
      <c r="AS227" s="123"/>
      <c r="AX227" s="115"/>
      <c r="AY227" s="115"/>
      <c r="AZ227" s="115"/>
      <c r="BA227" s="115"/>
      <c r="BB227" s="115"/>
      <c r="BC227" s="115"/>
      <c r="BD227" s="115"/>
      <c r="BE227" s="115"/>
      <c r="BF227" s="115"/>
      <c r="BG227" s="115"/>
      <c r="BH227" s="25"/>
      <c r="BI227" s="13"/>
      <c r="BL227" s="114"/>
    </row>
    <row r="228" spans="1:64" ht="20.100000000000001" customHeight="1" x14ac:dyDescent="0.4">
      <c r="A228" s="117"/>
      <c r="B228" s="123"/>
      <c r="C228" s="123"/>
      <c r="D228" s="123"/>
      <c r="F228" s="125"/>
      <c r="G228" s="125"/>
      <c r="H228" s="12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27"/>
      <c r="Z228" s="29"/>
      <c r="AF228" s="115"/>
      <c r="AG228" s="115"/>
      <c r="AH228" s="115"/>
      <c r="AI228" s="115"/>
      <c r="AJ228" s="25"/>
      <c r="AK228" s="13"/>
      <c r="AP228" s="116"/>
      <c r="AQ228" s="123"/>
      <c r="AR228" s="123"/>
      <c r="AS228" s="123"/>
      <c r="AX228" s="115"/>
      <c r="AY228" s="115"/>
      <c r="AZ228" s="115"/>
      <c r="BA228" s="115"/>
      <c r="BB228" s="115"/>
      <c r="BC228" s="115"/>
      <c r="BD228" s="115"/>
      <c r="BE228" s="115"/>
      <c r="BF228" s="115"/>
      <c r="BG228" s="115"/>
      <c r="BH228" s="25"/>
      <c r="BI228" s="13"/>
      <c r="BL228" s="114"/>
    </row>
    <row r="229" spans="1:64" ht="20.100000000000001" customHeight="1" x14ac:dyDescent="0.4">
      <c r="A229" s="117"/>
      <c r="B229" s="123"/>
      <c r="C229" s="123"/>
      <c r="D229" s="123"/>
      <c r="F229" s="125"/>
      <c r="G229" s="125"/>
      <c r="H229" s="12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27"/>
      <c r="Z229" s="29"/>
      <c r="AF229" s="115"/>
      <c r="AG229" s="115"/>
      <c r="AH229" s="115"/>
      <c r="AI229" s="115"/>
      <c r="AJ229" s="25"/>
      <c r="AK229" s="13"/>
      <c r="AP229" s="116"/>
      <c r="AQ229" s="123"/>
      <c r="AR229" s="123"/>
      <c r="AS229" s="123"/>
      <c r="AX229" s="115"/>
      <c r="AY229" s="115"/>
      <c r="AZ229" s="115"/>
      <c r="BA229" s="115"/>
      <c r="BB229" s="115"/>
      <c r="BC229" s="115"/>
      <c r="BD229" s="115"/>
      <c r="BE229" s="115"/>
      <c r="BF229" s="115"/>
      <c r="BG229" s="115"/>
      <c r="BH229" s="25"/>
      <c r="BI229" s="13"/>
      <c r="BL229" s="114"/>
    </row>
    <row r="230" spans="1:64" ht="20.100000000000001" customHeight="1" x14ac:dyDescent="0.4">
      <c r="A230" s="117"/>
      <c r="B230" s="123"/>
      <c r="C230" s="123"/>
      <c r="D230" s="123"/>
      <c r="F230" s="125"/>
      <c r="G230" s="125"/>
      <c r="H230" s="12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27"/>
      <c r="Z230" s="29"/>
      <c r="AF230" s="115"/>
      <c r="AG230" s="115"/>
      <c r="AH230" s="115"/>
      <c r="AI230" s="115"/>
      <c r="AJ230" s="25"/>
      <c r="AK230" s="13"/>
      <c r="AP230" s="116"/>
      <c r="AQ230" s="123"/>
      <c r="AR230" s="123"/>
      <c r="AS230" s="123"/>
      <c r="AX230" s="115"/>
      <c r="AY230" s="115"/>
      <c r="AZ230" s="115"/>
      <c r="BA230" s="115"/>
      <c r="BB230" s="115"/>
      <c r="BC230" s="115"/>
      <c r="BD230" s="115"/>
      <c r="BE230" s="115"/>
      <c r="BF230" s="115"/>
      <c r="BG230" s="115"/>
      <c r="BH230" s="25"/>
      <c r="BI230" s="13"/>
      <c r="BL230" s="114"/>
    </row>
    <row r="231" spans="1:64" ht="20.100000000000001" customHeight="1" x14ac:dyDescent="0.4">
      <c r="A231" s="117"/>
      <c r="B231" s="123"/>
      <c r="C231" s="123"/>
      <c r="D231" s="123"/>
      <c r="F231" s="125"/>
      <c r="G231" s="125"/>
      <c r="H231" s="12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27"/>
      <c r="Z231" s="29"/>
      <c r="AF231" s="115"/>
      <c r="AG231" s="115"/>
      <c r="AH231" s="115"/>
      <c r="AI231" s="115"/>
      <c r="AJ231" s="25"/>
      <c r="AK231" s="13"/>
      <c r="AP231" s="116"/>
      <c r="AQ231" s="123"/>
      <c r="AR231" s="123"/>
      <c r="AS231" s="123"/>
      <c r="AX231" s="115"/>
      <c r="AY231" s="115"/>
      <c r="AZ231" s="115"/>
      <c r="BA231" s="115"/>
      <c r="BB231" s="115"/>
      <c r="BC231" s="115"/>
      <c r="BD231" s="115"/>
      <c r="BE231" s="115"/>
      <c r="BF231" s="115"/>
      <c r="BG231" s="115"/>
      <c r="BH231" s="25"/>
      <c r="BI231" s="13"/>
      <c r="BL231" s="114"/>
    </row>
    <row r="232" spans="1:64" ht="20.100000000000001" customHeight="1" x14ac:dyDescent="0.4">
      <c r="A232" s="117"/>
      <c r="B232" s="123"/>
      <c r="C232" s="123"/>
      <c r="D232" s="123"/>
      <c r="F232" s="125"/>
      <c r="G232" s="125"/>
      <c r="H232" s="12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27"/>
      <c r="Z232" s="29"/>
      <c r="AF232" s="115"/>
      <c r="AG232" s="115"/>
      <c r="AH232" s="115"/>
      <c r="AI232" s="115"/>
      <c r="AJ232" s="25"/>
      <c r="AK232" s="13"/>
      <c r="AP232" s="116"/>
      <c r="AQ232" s="123"/>
      <c r="AR232" s="123"/>
      <c r="AS232" s="123"/>
      <c r="AX232" s="115"/>
      <c r="AY232" s="115"/>
      <c r="AZ232" s="115"/>
      <c r="BA232" s="115"/>
      <c r="BB232" s="115"/>
      <c r="BC232" s="115"/>
      <c r="BD232" s="115"/>
      <c r="BE232" s="115"/>
      <c r="BF232" s="115"/>
      <c r="BG232" s="115"/>
      <c r="BH232" s="25"/>
      <c r="BI232" s="13"/>
      <c r="BL232" s="114"/>
    </row>
    <row r="233" spans="1:64" ht="20.100000000000001" customHeight="1" x14ac:dyDescent="0.4">
      <c r="A233" s="117"/>
      <c r="B233" s="123"/>
      <c r="C233" s="123"/>
      <c r="D233" s="123"/>
      <c r="F233" s="125"/>
      <c r="G233" s="125"/>
      <c r="H233" s="12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27"/>
      <c r="Z233" s="29"/>
      <c r="AF233" s="115"/>
      <c r="AG233" s="115"/>
      <c r="AH233" s="115"/>
      <c r="AI233" s="115"/>
      <c r="AJ233" s="25"/>
      <c r="AK233" s="13"/>
      <c r="AP233" s="116"/>
      <c r="AQ233" s="123"/>
      <c r="AR233" s="123"/>
      <c r="AS233" s="123"/>
      <c r="AX233" s="115"/>
      <c r="AY233" s="115"/>
      <c r="AZ233" s="115"/>
      <c r="BA233" s="115"/>
      <c r="BB233" s="115"/>
      <c r="BC233" s="115"/>
      <c r="BD233" s="115"/>
      <c r="BE233" s="115"/>
      <c r="BF233" s="115"/>
      <c r="BG233" s="115"/>
      <c r="BH233" s="25"/>
      <c r="BI233" s="13"/>
      <c r="BL233" s="114"/>
    </row>
    <row r="234" spans="1:64" ht="20.100000000000001" customHeight="1" x14ac:dyDescent="0.4">
      <c r="A234" s="117"/>
      <c r="B234" s="123"/>
      <c r="C234" s="123"/>
      <c r="D234" s="123"/>
      <c r="F234" s="125"/>
      <c r="G234" s="125"/>
      <c r="H234" s="12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27"/>
      <c r="Z234" s="29"/>
      <c r="AF234" s="115"/>
      <c r="AG234" s="115"/>
      <c r="AH234" s="115"/>
      <c r="AI234" s="115"/>
      <c r="AJ234" s="25"/>
      <c r="AK234" s="13"/>
      <c r="AP234" s="116"/>
      <c r="AQ234" s="123"/>
      <c r="AR234" s="123"/>
      <c r="AS234" s="123"/>
      <c r="AX234" s="115"/>
      <c r="AY234" s="115"/>
      <c r="AZ234" s="115"/>
      <c r="BA234" s="115"/>
      <c r="BB234" s="115"/>
      <c r="BC234" s="115"/>
      <c r="BD234" s="115"/>
      <c r="BE234" s="115"/>
      <c r="BF234" s="115"/>
      <c r="BG234" s="115"/>
      <c r="BH234" s="25"/>
      <c r="BI234" s="13"/>
      <c r="BL234" s="114"/>
    </row>
    <row r="235" spans="1:64" ht="20.100000000000001" customHeight="1" x14ac:dyDescent="0.4">
      <c r="A235" s="117"/>
      <c r="B235" s="123"/>
      <c r="C235" s="123"/>
      <c r="D235" s="123"/>
      <c r="F235" s="125"/>
      <c r="G235" s="125"/>
      <c r="H235" s="12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27"/>
      <c r="Z235" s="29"/>
      <c r="AF235" s="115"/>
      <c r="AG235" s="115"/>
      <c r="AH235" s="115"/>
      <c r="AI235" s="115"/>
      <c r="AJ235" s="25"/>
      <c r="AK235" s="13"/>
      <c r="AP235" s="116"/>
      <c r="AQ235" s="123"/>
      <c r="AR235" s="123"/>
      <c r="AS235" s="123"/>
      <c r="AX235" s="115"/>
      <c r="AY235" s="115"/>
      <c r="AZ235" s="115"/>
      <c r="BA235" s="115"/>
      <c r="BB235" s="115"/>
      <c r="BC235" s="115"/>
      <c r="BD235" s="115"/>
      <c r="BE235" s="115"/>
      <c r="BF235" s="115"/>
      <c r="BG235" s="115"/>
      <c r="BH235" s="25"/>
      <c r="BI235" s="13"/>
      <c r="BL235" s="114"/>
    </row>
    <row r="236" spans="1:64" ht="20.100000000000001" customHeight="1" x14ac:dyDescent="0.4">
      <c r="A236" s="117"/>
      <c r="B236" s="123"/>
      <c r="C236" s="123"/>
      <c r="D236" s="123"/>
      <c r="F236" s="125"/>
      <c r="G236" s="125"/>
      <c r="H236" s="12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27"/>
      <c r="Z236" s="29"/>
      <c r="AF236" s="115"/>
      <c r="AG236" s="115"/>
      <c r="AH236" s="115"/>
      <c r="AI236" s="115"/>
      <c r="AJ236" s="25"/>
      <c r="AK236" s="13"/>
      <c r="AP236" s="116"/>
      <c r="AQ236" s="123"/>
      <c r="AR236" s="123"/>
      <c r="AS236" s="123"/>
      <c r="AX236" s="115"/>
      <c r="AY236" s="115"/>
      <c r="AZ236" s="115"/>
      <c r="BA236" s="115"/>
      <c r="BB236" s="115"/>
      <c r="BC236" s="115"/>
      <c r="BD236" s="115"/>
      <c r="BE236" s="115"/>
      <c r="BF236" s="115"/>
      <c r="BG236" s="115"/>
      <c r="BH236" s="25"/>
      <c r="BI236" s="13"/>
      <c r="BL236" s="114"/>
    </row>
    <row r="237" spans="1:64" ht="20.100000000000001" customHeight="1" x14ac:dyDescent="0.4">
      <c r="A237" s="117"/>
      <c r="B237" s="123"/>
      <c r="C237" s="123"/>
      <c r="D237" s="123"/>
      <c r="F237" s="125"/>
      <c r="G237" s="125"/>
      <c r="H237" s="12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27"/>
      <c r="Z237" s="29"/>
      <c r="AF237" s="115"/>
      <c r="AG237" s="115"/>
      <c r="AH237" s="115"/>
      <c r="AI237" s="115"/>
      <c r="AJ237" s="25"/>
      <c r="AK237" s="13"/>
      <c r="AP237" s="116"/>
      <c r="AQ237" s="123"/>
      <c r="AR237" s="123"/>
      <c r="AS237" s="123"/>
      <c r="AX237" s="115"/>
      <c r="AY237" s="115"/>
      <c r="AZ237" s="115"/>
      <c r="BA237" s="115"/>
      <c r="BB237" s="115"/>
      <c r="BC237" s="115"/>
      <c r="BD237" s="115"/>
      <c r="BE237" s="115"/>
      <c r="BF237" s="115"/>
      <c r="BG237" s="115"/>
      <c r="BH237" s="25"/>
      <c r="BI237" s="13"/>
      <c r="BL237" s="114"/>
    </row>
    <row r="238" spans="1:64" ht="20.100000000000001" customHeight="1" x14ac:dyDescent="0.4">
      <c r="A238" s="117"/>
      <c r="B238" s="123"/>
      <c r="C238" s="123"/>
      <c r="D238" s="123"/>
      <c r="F238" s="125"/>
      <c r="G238" s="125"/>
      <c r="H238" s="12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29"/>
      <c r="Z238" s="29"/>
      <c r="AF238" s="115"/>
      <c r="AG238" s="115"/>
      <c r="AH238" s="115"/>
      <c r="AI238" s="115"/>
      <c r="AJ238" s="25"/>
      <c r="AK238" s="13"/>
      <c r="AP238" s="116"/>
      <c r="AQ238" s="123"/>
      <c r="AR238" s="123"/>
      <c r="AS238" s="123"/>
      <c r="AX238" s="115"/>
      <c r="AY238" s="115"/>
      <c r="AZ238" s="115"/>
      <c r="BA238" s="115"/>
      <c r="BB238" s="115"/>
      <c r="BC238" s="115"/>
      <c r="BD238" s="115"/>
      <c r="BE238" s="115"/>
      <c r="BF238" s="115"/>
      <c r="BG238" s="115"/>
      <c r="BH238" s="25"/>
      <c r="BI238" s="13"/>
      <c r="BL238" s="114"/>
    </row>
    <row r="239" spans="1:64" ht="20.100000000000001" customHeight="1" x14ac:dyDescent="0.4">
      <c r="A239" s="117"/>
      <c r="B239" s="123"/>
      <c r="C239" s="123"/>
      <c r="D239" s="123"/>
      <c r="F239" s="125"/>
      <c r="G239" s="125"/>
      <c r="H239" s="12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27"/>
      <c r="Z239" s="29"/>
      <c r="AF239" s="115"/>
      <c r="AG239" s="115"/>
      <c r="AH239" s="115"/>
      <c r="AI239" s="115"/>
      <c r="AJ239" s="25"/>
      <c r="AK239" s="13"/>
      <c r="AP239" s="116"/>
      <c r="AQ239" s="123"/>
      <c r="AR239" s="123"/>
      <c r="AS239" s="123"/>
      <c r="AX239" s="115"/>
      <c r="AY239" s="115"/>
      <c r="AZ239" s="115"/>
      <c r="BA239" s="115"/>
      <c r="BB239" s="115"/>
      <c r="BC239" s="115"/>
      <c r="BD239" s="115"/>
      <c r="BE239" s="115"/>
      <c r="BF239" s="115"/>
      <c r="BG239" s="115"/>
      <c r="BH239" s="25"/>
      <c r="BI239" s="13"/>
      <c r="BL239" s="114"/>
    </row>
    <row r="240" spans="1:64" ht="20.100000000000001" customHeight="1" x14ac:dyDescent="0.4">
      <c r="A240" s="117"/>
      <c r="B240" s="123"/>
      <c r="C240" s="123"/>
      <c r="D240" s="123"/>
      <c r="F240" s="125"/>
      <c r="G240" s="125"/>
      <c r="H240" s="12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27"/>
      <c r="Z240" s="29"/>
      <c r="AF240" s="115"/>
      <c r="AG240" s="115"/>
      <c r="AH240" s="115"/>
      <c r="AI240" s="115"/>
      <c r="AJ240" s="25"/>
      <c r="AK240" s="13"/>
      <c r="AP240" s="116"/>
      <c r="AQ240" s="123"/>
      <c r="AR240" s="123"/>
      <c r="AS240" s="123"/>
      <c r="AX240" s="115"/>
      <c r="AY240" s="115"/>
      <c r="AZ240" s="115"/>
      <c r="BA240" s="115"/>
      <c r="BB240" s="115"/>
      <c r="BC240" s="115"/>
      <c r="BD240" s="115"/>
      <c r="BE240" s="115"/>
      <c r="BF240" s="115"/>
      <c r="BG240" s="115"/>
      <c r="BH240" s="25"/>
      <c r="BI240" s="13"/>
      <c r="BL240" s="114"/>
    </row>
    <row r="241" spans="1:64" ht="20.100000000000001" customHeight="1" x14ac:dyDescent="0.4">
      <c r="A241" s="117"/>
      <c r="B241" s="123"/>
      <c r="C241" s="123"/>
      <c r="D241" s="123"/>
      <c r="F241" s="125"/>
      <c r="G241" s="125"/>
      <c r="H241" s="12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29"/>
      <c r="Z241" s="29"/>
      <c r="AF241" s="115"/>
      <c r="AG241" s="115"/>
      <c r="AH241" s="115"/>
      <c r="AI241" s="115"/>
      <c r="AJ241" s="25"/>
      <c r="AK241" s="13"/>
      <c r="AP241" s="116"/>
      <c r="AQ241" s="123"/>
      <c r="AR241" s="123"/>
      <c r="AS241" s="123"/>
      <c r="AX241" s="115"/>
      <c r="AY241" s="115"/>
      <c r="AZ241" s="115"/>
      <c r="BA241" s="115"/>
      <c r="BB241" s="115"/>
      <c r="BC241" s="115"/>
      <c r="BD241" s="115"/>
      <c r="BE241" s="115"/>
      <c r="BF241" s="115"/>
      <c r="BG241" s="115"/>
      <c r="BH241" s="25"/>
      <c r="BI241" s="13"/>
      <c r="BL241" s="114"/>
    </row>
    <row r="242" spans="1:64" ht="20.100000000000001" customHeight="1" x14ac:dyDescent="0.4">
      <c r="A242" s="117"/>
      <c r="B242" s="123"/>
      <c r="C242" s="123"/>
      <c r="D242" s="123"/>
      <c r="F242" s="125"/>
      <c r="G242" s="125"/>
      <c r="H242" s="12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27"/>
      <c r="Z242" s="29"/>
      <c r="AF242" s="115"/>
      <c r="AG242" s="115"/>
      <c r="AH242" s="115"/>
      <c r="AI242" s="115"/>
      <c r="AJ242" s="25"/>
      <c r="AK242" s="13"/>
      <c r="AP242" s="116"/>
      <c r="AQ242" s="123"/>
      <c r="AR242" s="123"/>
      <c r="AS242" s="123"/>
      <c r="AX242" s="115"/>
      <c r="AY242" s="115"/>
      <c r="AZ242" s="115"/>
      <c r="BA242" s="115"/>
      <c r="BB242" s="115"/>
      <c r="BC242" s="115"/>
      <c r="BD242" s="115"/>
      <c r="BE242" s="115"/>
      <c r="BF242" s="115"/>
      <c r="BG242" s="115"/>
      <c r="BH242" s="25"/>
      <c r="BI242" s="13"/>
      <c r="BL242" s="114"/>
    </row>
    <row r="243" spans="1:64" ht="20.100000000000001" customHeight="1" x14ac:dyDescent="0.4">
      <c r="A243" s="117"/>
      <c r="B243" s="123"/>
      <c r="C243" s="123"/>
      <c r="D243" s="123"/>
      <c r="F243" s="125"/>
      <c r="G243" s="125"/>
      <c r="H243" s="12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27"/>
      <c r="Z243" s="29"/>
      <c r="AF243" s="115"/>
      <c r="AG243" s="115"/>
      <c r="AH243" s="115"/>
      <c r="AI243" s="115"/>
      <c r="AJ243" s="25"/>
      <c r="AK243" s="13"/>
      <c r="AP243" s="116"/>
      <c r="AQ243" s="123"/>
      <c r="AR243" s="123"/>
      <c r="AS243" s="123"/>
      <c r="AX243" s="115"/>
      <c r="AY243" s="115"/>
      <c r="AZ243" s="115"/>
      <c r="BA243" s="115"/>
      <c r="BB243" s="115"/>
      <c r="BC243" s="115"/>
      <c r="BD243" s="115"/>
      <c r="BE243" s="115"/>
      <c r="BF243" s="115"/>
      <c r="BG243" s="115"/>
      <c r="BH243" s="25"/>
      <c r="BI243" s="13"/>
      <c r="BL243" s="114"/>
    </row>
    <row r="244" spans="1:64" ht="20.100000000000001" customHeight="1" x14ac:dyDescent="0.4">
      <c r="A244" s="117"/>
      <c r="B244" s="123"/>
      <c r="C244" s="123"/>
      <c r="D244" s="123"/>
      <c r="F244" s="125"/>
      <c r="G244" s="125"/>
      <c r="H244" s="125"/>
      <c r="Y244" s="127"/>
      <c r="Z244" s="29"/>
      <c r="AF244" s="115"/>
      <c r="AG244" s="115"/>
      <c r="AH244" s="115"/>
      <c r="AI244" s="115"/>
      <c r="AJ244" s="25">
        <v>45671</v>
      </c>
      <c r="AK244" s="13" t="s">
        <v>146</v>
      </c>
      <c r="AP244" s="116"/>
      <c r="AQ244" s="123"/>
      <c r="AR244" s="123"/>
      <c r="AS244" s="123"/>
      <c r="AX244" s="115"/>
      <c r="AY244" s="115"/>
      <c r="AZ244" s="115"/>
      <c r="BA244" s="115"/>
      <c r="BB244" s="115"/>
      <c r="BC244" s="115"/>
      <c r="BD244" s="115"/>
      <c r="BE244" s="115"/>
      <c r="BF244" s="115"/>
      <c r="BG244" s="115"/>
      <c r="BH244" s="25"/>
      <c r="BI244" s="13"/>
      <c r="BL244" s="114"/>
    </row>
    <row r="245" spans="1:64" ht="20.100000000000001" customHeight="1" x14ac:dyDescent="0.4">
      <c r="A245" s="117"/>
      <c r="B245" s="123"/>
      <c r="C245" s="123"/>
      <c r="D245" s="123"/>
      <c r="F245" s="125"/>
      <c r="G245" s="125"/>
      <c r="H245" s="12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27"/>
      <c r="Z245" s="29"/>
      <c r="AF245" s="115"/>
      <c r="AG245" s="115"/>
      <c r="AH245" s="115"/>
      <c r="AI245" s="115"/>
      <c r="AJ245" s="25"/>
      <c r="AK245" s="13"/>
      <c r="AP245" s="116"/>
      <c r="AQ245" s="123"/>
      <c r="AR245" s="123"/>
      <c r="AS245" s="123"/>
      <c r="AX245" s="115"/>
      <c r="AY245" s="115"/>
      <c r="AZ245" s="115"/>
      <c r="BA245" s="115"/>
      <c r="BB245" s="115"/>
      <c r="BC245" s="115"/>
      <c r="BD245" s="115"/>
      <c r="BE245" s="115"/>
      <c r="BF245" s="115"/>
      <c r="BG245" s="115"/>
      <c r="BH245" s="25"/>
      <c r="BI245" s="13"/>
      <c r="BL245" s="114"/>
    </row>
    <row r="246" spans="1:64" ht="20.100000000000001" customHeight="1" x14ac:dyDescent="0.4">
      <c r="A246" s="117"/>
      <c r="B246" s="123"/>
      <c r="C246" s="123"/>
      <c r="D246" s="123"/>
      <c r="F246" s="125"/>
      <c r="G246" s="125"/>
      <c r="H246" s="12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29"/>
      <c r="Z246" s="29"/>
      <c r="AF246" s="115"/>
      <c r="AG246" s="115"/>
      <c r="AH246" s="115"/>
      <c r="AI246" s="115"/>
      <c r="AJ246" s="25"/>
      <c r="AK246" s="13"/>
      <c r="AP246" s="116"/>
      <c r="AQ246" s="123"/>
      <c r="AR246" s="123"/>
      <c r="AS246" s="123"/>
      <c r="AX246" s="115"/>
      <c r="AY246" s="115"/>
      <c r="AZ246" s="115"/>
      <c r="BA246" s="115"/>
      <c r="BB246" s="115"/>
      <c r="BC246" s="115"/>
      <c r="BD246" s="115"/>
      <c r="BE246" s="115"/>
      <c r="BF246" s="115"/>
      <c r="BG246" s="115"/>
      <c r="BH246" s="25"/>
      <c r="BI246" s="13"/>
      <c r="BL246" s="114"/>
    </row>
    <row r="247" spans="1:64" ht="20.100000000000001" customHeight="1" x14ac:dyDescent="0.4">
      <c r="A247" s="117"/>
      <c r="B247" s="123"/>
      <c r="C247" s="123"/>
      <c r="D247" s="123"/>
      <c r="F247" s="125"/>
      <c r="G247" s="125"/>
      <c r="H247" s="12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27"/>
      <c r="Z247" s="29"/>
      <c r="AF247" s="115"/>
      <c r="AG247" s="115"/>
      <c r="AH247" s="115"/>
      <c r="AI247" s="115"/>
      <c r="AJ247" s="25"/>
      <c r="AK247" s="13"/>
      <c r="AP247" s="116"/>
      <c r="AQ247" s="123"/>
      <c r="AR247" s="123"/>
      <c r="AS247" s="123"/>
      <c r="AX247" s="115"/>
      <c r="AY247" s="115"/>
      <c r="AZ247" s="115"/>
      <c r="BA247" s="115"/>
      <c r="BB247" s="115"/>
      <c r="BC247" s="115"/>
      <c r="BD247" s="115"/>
      <c r="BE247" s="115"/>
      <c r="BF247" s="115"/>
      <c r="BG247" s="115"/>
      <c r="BH247" s="25"/>
      <c r="BI247" s="13"/>
      <c r="BL247" s="114"/>
    </row>
    <row r="248" spans="1:64" ht="20.100000000000001" customHeight="1" x14ac:dyDescent="0.4">
      <c r="A248" s="117"/>
      <c r="B248" s="123"/>
      <c r="C248" s="123"/>
      <c r="D248" s="123"/>
      <c r="F248" s="125"/>
      <c r="G248" s="125"/>
      <c r="H248" s="12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29"/>
      <c r="Z248" s="29"/>
      <c r="AF248" s="115"/>
      <c r="AG248" s="115"/>
      <c r="AH248" s="115"/>
      <c r="AI248" s="115"/>
      <c r="AJ248" s="25"/>
      <c r="AK248" s="13"/>
      <c r="AP248" s="116"/>
      <c r="AQ248" s="123"/>
      <c r="AR248" s="123"/>
      <c r="AS248" s="123"/>
      <c r="AX248" s="115"/>
      <c r="AY248" s="115"/>
      <c r="AZ248" s="115"/>
      <c r="BA248" s="115"/>
      <c r="BB248" s="115"/>
      <c r="BC248" s="115"/>
      <c r="BD248" s="115"/>
      <c r="BE248" s="115"/>
      <c r="BF248" s="115"/>
      <c r="BG248" s="115"/>
      <c r="BH248" s="25"/>
      <c r="BI248" s="13"/>
      <c r="BL248" s="114"/>
    </row>
    <row r="249" spans="1:64" ht="20.100000000000001" customHeight="1" x14ac:dyDescent="0.4">
      <c r="A249" s="117"/>
      <c r="B249" s="123"/>
      <c r="C249" s="123"/>
      <c r="D249" s="123"/>
      <c r="F249" s="125"/>
      <c r="G249" s="125"/>
      <c r="H249" s="125"/>
      <c r="Y249" s="127"/>
      <c r="Z249" s="29"/>
      <c r="AD249" s="115"/>
      <c r="AE249" s="115"/>
      <c r="AF249" s="115"/>
      <c r="AG249" s="115"/>
      <c r="AH249" s="115"/>
      <c r="AI249" s="115"/>
      <c r="AJ249" s="25">
        <v>45671</v>
      </c>
      <c r="AK249" s="13" t="s">
        <v>148</v>
      </c>
      <c r="AP249" s="116"/>
      <c r="AQ249" s="123"/>
      <c r="AR249" s="123"/>
      <c r="AS249" s="123"/>
      <c r="AX249" s="115"/>
      <c r="AY249" s="115"/>
      <c r="AZ249" s="115"/>
      <c r="BA249" s="115"/>
      <c r="BB249" s="115"/>
      <c r="BC249" s="115"/>
      <c r="BD249" s="115"/>
      <c r="BE249" s="115"/>
      <c r="BF249" s="115"/>
      <c r="BG249" s="115"/>
      <c r="BH249" s="25"/>
      <c r="BI249" s="13"/>
      <c r="BL249" s="114"/>
    </row>
    <row r="250" spans="1:64" ht="20.100000000000001" customHeight="1" x14ac:dyDescent="0.4">
      <c r="A250" s="117"/>
      <c r="B250" s="123"/>
      <c r="C250" s="123"/>
      <c r="D250" s="123"/>
      <c r="F250" s="125"/>
      <c r="G250" s="125"/>
      <c r="H250" s="125"/>
      <c r="W250" s="115"/>
      <c r="X250" s="115"/>
      <c r="Y250" s="29"/>
      <c r="Z250" s="29"/>
      <c r="AD250" s="115"/>
      <c r="AE250" s="115"/>
      <c r="AF250" s="115"/>
      <c r="AG250" s="115"/>
      <c r="AH250" s="115"/>
      <c r="AI250" s="115"/>
      <c r="AJ250" s="25"/>
      <c r="AK250" s="13"/>
      <c r="AP250" s="116"/>
      <c r="AQ250" s="123"/>
      <c r="AR250" s="123"/>
      <c r="AS250" s="123"/>
      <c r="AX250" s="115"/>
      <c r="AY250" s="115"/>
      <c r="AZ250" s="115"/>
      <c r="BA250" s="115"/>
      <c r="BB250" s="115"/>
      <c r="BC250" s="115"/>
      <c r="BD250" s="115"/>
      <c r="BE250" s="115"/>
      <c r="BF250" s="115"/>
      <c r="BG250" s="115"/>
      <c r="BH250" s="25"/>
      <c r="BI250" s="13"/>
      <c r="BL250" s="114"/>
    </row>
    <row r="251" spans="1:64" ht="20.100000000000001" customHeight="1" x14ac:dyDescent="0.4">
      <c r="A251" s="117"/>
      <c r="B251" s="123"/>
      <c r="C251" s="123"/>
      <c r="D251" s="123"/>
      <c r="F251" s="125"/>
      <c r="G251" s="125"/>
      <c r="H251" s="125"/>
      <c r="S251" s="115"/>
      <c r="T251" s="115"/>
      <c r="U251" s="115"/>
      <c r="V251" s="115"/>
      <c r="W251" s="115"/>
      <c r="X251" s="115"/>
      <c r="Y251" s="127"/>
      <c r="Z251" s="29"/>
      <c r="AD251" s="115"/>
      <c r="AE251" s="115"/>
      <c r="AF251" s="115"/>
      <c r="AG251" s="115"/>
      <c r="AH251" s="115"/>
      <c r="AI251" s="115"/>
      <c r="AJ251" s="25"/>
      <c r="AK251" s="13"/>
      <c r="AP251" s="116"/>
      <c r="AQ251" s="123"/>
      <c r="AR251" s="123"/>
      <c r="AS251" s="123"/>
      <c r="AX251" s="115"/>
      <c r="AY251" s="115"/>
      <c r="AZ251" s="115"/>
      <c r="BA251" s="115"/>
      <c r="BB251" s="115"/>
      <c r="BC251" s="115"/>
      <c r="BD251" s="115"/>
      <c r="BE251" s="115"/>
      <c r="BF251" s="115"/>
      <c r="BG251" s="115"/>
      <c r="BH251" s="25"/>
      <c r="BI251" s="13"/>
      <c r="BL251" s="114"/>
    </row>
    <row r="252" spans="1:64" ht="20.100000000000001" customHeight="1" x14ac:dyDescent="0.4">
      <c r="A252" s="117"/>
      <c r="B252" s="123"/>
      <c r="C252" s="123"/>
      <c r="D252" s="123"/>
      <c r="F252" s="125"/>
      <c r="G252" s="125"/>
      <c r="H252" s="125"/>
      <c r="S252" s="115"/>
      <c r="T252" s="115"/>
      <c r="U252" s="115"/>
      <c r="V252" s="115"/>
      <c r="W252" s="115"/>
      <c r="X252" s="115"/>
      <c r="Y252" s="29"/>
      <c r="Z252" s="29"/>
      <c r="AD252" s="115"/>
      <c r="AE252" s="115"/>
      <c r="AF252" s="115"/>
      <c r="AG252" s="115"/>
      <c r="AH252" s="115"/>
      <c r="AI252" s="115"/>
      <c r="AJ252" s="25"/>
      <c r="AK252" s="13"/>
      <c r="AP252" s="116"/>
      <c r="AQ252" s="123"/>
      <c r="AR252" s="123"/>
      <c r="AS252" s="123"/>
      <c r="AX252" s="115"/>
      <c r="AY252" s="115"/>
      <c r="AZ252" s="115"/>
      <c r="BA252" s="115"/>
      <c r="BB252" s="115"/>
      <c r="BC252" s="115"/>
      <c r="BD252" s="115"/>
      <c r="BE252" s="115"/>
      <c r="BF252" s="115"/>
      <c r="BG252" s="115"/>
      <c r="BH252" s="25"/>
      <c r="BI252" s="13"/>
      <c r="BL252" s="114"/>
    </row>
    <row r="253" spans="1:64" ht="20.100000000000001" customHeight="1" x14ac:dyDescent="0.4">
      <c r="A253" s="117"/>
      <c r="B253" s="123"/>
      <c r="C253" s="123"/>
      <c r="D253" s="123"/>
      <c r="F253" s="125"/>
      <c r="G253" s="125"/>
      <c r="H253" s="125"/>
      <c r="S253" s="115"/>
      <c r="T253" s="115"/>
      <c r="U253" s="115"/>
      <c r="V253" s="115"/>
      <c r="W253" s="115"/>
      <c r="X253" s="115"/>
      <c r="Y253" s="29"/>
      <c r="Z253" s="29"/>
      <c r="AD253" s="115"/>
      <c r="AE253" s="115"/>
      <c r="AF253" s="115"/>
      <c r="AG253" s="115"/>
      <c r="AH253" s="115"/>
      <c r="AI253" s="115"/>
      <c r="AJ253" s="25"/>
      <c r="AK253" s="13"/>
      <c r="AP253" s="116"/>
      <c r="AQ253" s="123"/>
      <c r="AR253" s="123"/>
      <c r="AS253" s="123"/>
      <c r="AX253" s="115"/>
      <c r="AY253" s="115"/>
      <c r="AZ253" s="115"/>
      <c r="BA253" s="115"/>
      <c r="BB253" s="115"/>
      <c r="BC253" s="115"/>
      <c r="BD253" s="115"/>
      <c r="BE253" s="115"/>
      <c r="BF253" s="115"/>
      <c r="BG253" s="115"/>
      <c r="BH253" s="25"/>
      <c r="BI253" s="13"/>
      <c r="BL253" s="114"/>
    </row>
    <row r="254" spans="1:64" ht="20.100000000000001" customHeight="1" x14ac:dyDescent="0.4">
      <c r="A254" s="117"/>
      <c r="B254" s="123"/>
      <c r="C254" s="123"/>
      <c r="D254" s="123"/>
      <c r="F254" s="125"/>
      <c r="G254" s="125"/>
      <c r="H254" s="125"/>
      <c r="R254" s="115"/>
      <c r="S254" s="115"/>
      <c r="T254" s="115"/>
      <c r="U254" s="115"/>
      <c r="V254" s="115"/>
      <c r="W254" s="115"/>
      <c r="X254" s="115"/>
      <c r="Y254" s="127"/>
      <c r="Z254" s="29"/>
      <c r="AD254" s="115"/>
      <c r="AE254" s="115"/>
      <c r="AF254" s="115"/>
      <c r="AG254" s="115"/>
      <c r="AH254" s="115"/>
      <c r="AI254" s="115"/>
      <c r="AJ254" s="25"/>
      <c r="AK254" s="13"/>
      <c r="AP254" s="116"/>
      <c r="AQ254" s="123"/>
      <c r="AR254" s="123"/>
      <c r="AS254" s="123"/>
      <c r="AX254" s="115"/>
      <c r="AY254" s="115"/>
      <c r="AZ254" s="115"/>
      <c r="BA254" s="115"/>
      <c r="BB254" s="115"/>
      <c r="BC254" s="115"/>
      <c r="BD254" s="115"/>
      <c r="BE254" s="115"/>
      <c r="BF254" s="115"/>
      <c r="BG254" s="115"/>
      <c r="BH254" s="25"/>
      <c r="BI254" s="13"/>
      <c r="BL254" s="114"/>
    </row>
    <row r="255" spans="1:64" ht="20.100000000000001" customHeight="1" x14ac:dyDescent="0.4">
      <c r="A255" s="117"/>
      <c r="B255" s="123"/>
      <c r="C255" s="123"/>
      <c r="D255" s="123"/>
      <c r="F255" s="125"/>
      <c r="G255" s="125"/>
      <c r="H255" s="125"/>
      <c r="R255" s="115"/>
      <c r="S255" s="115"/>
      <c r="T255" s="115"/>
      <c r="U255" s="115"/>
      <c r="V255" s="115"/>
      <c r="W255" s="115"/>
      <c r="X255" s="115"/>
      <c r="Y255" s="127"/>
      <c r="Z255" s="29"/>
      <c r="AD255" s="115"/>
      <c r="AE255" s="115"/>
      <c r="AF255" s="115"/>
      <c r="AG255" s="115"/>
      <c r="AH255" s="115"/>
      <c r="AI255" s="115"/>
      <c r="AJ255" s="25"/>
      <c r="AK255" s="13"/>
      <c r="AP255" s="116"/>
      <c r="AQ255" s="123"/>
      <c r="AR255" s="123"/>
      <c r="AS255" s="123"/>
      <c r="AX255" s="115"/>
      <c r="AY255" s="115"/>
      <c r="AZ255" s="115"/>
      <c r="BA255" s="115"/>
      <c r="BB255" s="115"/>
      <c r="BC255" s="115"/>
      <c r="BD255" s="115"/>
      <c r="BE255" s="115"/>
      <c r="BF255" s="115"/>
      <c r="BG255" s="115"/>
      <c r="BH255" s="25"/>
      <c r="BI255" s="13"/>
      <c r="BL255" s="114"/>
    </row>
    <row r="256" spans="1:64" ht="20.100000000000001" customHeight="1" x14ac:dyDescent="0.4">
      <c r="A256" s="117"/>
      <c r="B256" s="123"/>
      <c r="C256" s="123"/>
      <c r="D256" s="123"/>
      <c r="F256" s="125"/>
      <c r="G256" s="125"/>
      <c r="H256" s="125"/>
      <c r="R256" s="115"/>
      <c r="S256" s="115"/>
      <c r="T256" s="115"/>
      <c r="U256" s="115"/>
      <c r="V256" s="115"/>
      <c r="W256" s="115"/>
      <c r="X256" s="115"/>
      <c r="Y256" s="127"/>
      <c r="Z256" s="29"/>
      <c r="AD256" s="115"/>
      <c r="AE256" s="115"/>
      <c r="AF256" s="115"/>
      <c r="AG256" s="115"/>
      <c r="AH256" s="115"/>
      <c r="AI256" s="115"/>
      <c r="AJ256" s="25"/>
      <c r="AK256" s="13"/>
      <c r="AP256" s="116"/>
      <c r="AQ256" s="123"/>
      <c r="AR256" s="123"/>
      <c r="AS256" s="123"/>
      <c r="AX256" s="115"/>
      <c r="AY256" s="115"/>
      <c r="AZ256" s="115"/>
      <c r="BA256" s="115"/>
      <c r="BB256" s="115"/>
      <c r="BC256" s="115"/>
      <c r="BD256" s="115"/>
      <c r="BE256" s="115"/>
      <c r="BF256" s="115"/>
      <c r="BG256" s="115"/>
      <c r="BH256" s="25"/>
      <c r="BI256" s="13"/>
      <c r="BL256" s="114"/>
    </row>
    <row r="257" spans="1:64" ht="20.100000000000001" customHeight="1" x14ac:dyDescent="0.4">
      <c r="A257" s="117"/>
      <c r="B257" s="123"/>
      <c r="C257" s="123"/>
      <c r="D257" s="123"/>
      <c r="Y257" s="127"/>
      <c r="Z257" s="29"/>
      <c r="AD257" s="115"/>
      <c r="AE257" s="115"/>
      <c r="AF257" s="115"/>
      <c r="AG257" s="115"/>
      <c r="AH257" s="115"/>
      <c r="AI257" s="115"/>
      <c r="AJ257" s="25"/>
      <c r="AK257" s="13"/>
      <c r="AP257" s="116"/>
      <c r="AQ257" s="123"/>
      <c r="AR257" s="123"/>
      <c r="AS257" s="123"/>
      <c r="AX257" s="115"/>
      <c r="AY257" s="115"/>
      <c r="AZ257" s="115"/>
      <c r="BA257" s="115"/>
      <c r="BB257" s="115"/>
      <c r="BC257" s="115"/>
      <c r="BD257" s="115"/>
      <c r="BE257" s="115"/>
      <c r="BF257" s="115"/>
      <c r="BG257" s="115"/>
      <c r="BH257" s="25"/>
      <c r="BI257" s="13"/>
      <c r="BL257" s="114"/>
    </row>
    <row r="258" spans="1:64" ht="20.100000000000001" customHeight="1" x14ac:dyDescent="0.4">
      <c r="A258" s="117"/>
      <c r="B258" s="123"/>
      <c r="C258" s="123"/>
      <c r="D258" s="123"/>
      <c r="P258" s="115"/>
      <c r="Q258" s="115"/>
      <c r="R258" s="115"/>
      <c r="S258" s="115"/>
      <c r="T258" s="115"/>
      <c r="U258" s="115"/>
      <c r="V258" s="115"/>
      <c r="W258" s="115"/>
      <c r="X258" s="115"/>
      <c r="Y258" s="127"/>
      <c r="Z258" s="29"/>
      <c r="AD258" s="115"/>
      <c r="AE258" s="115"/>
      <c r="AF258" s="115"/>
      <c r="AG258" s="115"/>
      <c r="AH258" s="115"/>
      <c r="AI258" s="115"/>
      <c r="AJ258" s="25"/>
      <c r="AK258" s="13"/>
      <c r="AP258" s="116"/>
      <c r="AQ258" s="123"/>
      <c r="AR258" s="123"/>
      <c r="AS258" s="123"/>
      <c r="AX258" s="115"/>
      <c r="AY258" s="115"/>
      <c r="AZ258" s="115"/>
      <c r="BA258" s="115"/>
      <c r="BB258" s="115"/>
      <c r="BC258" s="115"/>
      <c r="BD258" s="115"/>
      <c r="BE258" s="115"/>
      <c r="BF258" s="115"/>
      <c r="BG258" s="115"/>
      <c r="BH258" s="25"/>
      <c r="BI258" s="13"/>
      <c r="BL258" s="114"/>
    </row>
    <row r="259" spans="1:64" ht="20.100000000000001" customHeight="1" x14ac:dyDescent="0.4">
      <c r="A259" s="117"/>
      <c r="B259" s="123"/>
      <c r="C259" s="123"/>
      <c r="D259" s="123"/>
      <c r="P259" s="115"/>
      <c r="Q259" s="115"/>
      <c r="R259" s="115"/>
      <c r="S259" s="115"/>
      <c r="T259" s="115"/>
      <c r="U259" s="115"/>
      <c r="V259" s="115"/>
      <c r="W259" s="115"/>
      <c r="X259" s="115"/>
      <c r="Y259" s="127"/>
      <c r="Z259" s="29"/>
      <c r="AD259" s="115"/>
      <c r="AE259" s="115"/>
      <c r="AF259" s="115"/>
      <c r="AG259" s="115"/>
      <c r="AH259" s="115"/>
      <c r="AI259" s="115"/>
      <c r="AJ259" s="25"/>
      <c r="AK259" s="13"/>
      <c r="AP259" s="116"/>
      <c r="AQ259" s="123"/>
      <c r="AR259" s="123"/>
      <c r="AS259" s="123"/>
      <c r="AX259" s="115"/>
      <c r="AY259" s="115"/>
      <c r="AZ259" s="115"/>
      <c r="BA259" s="115"/>
      <c r="BB259" s="115"/>
      <c r="BC259" s="115"/>
      <c r="BD259" s="115"/>
      <c r="BE259" s="115"/>
      <c r="BF259" s="115"/>
      <c r="BG259" s="115"/>
      <c r="BH259" s="25"/>
      <c r="BI259" s="13"/>
      <c r="BL259" s="114"/>
    </row>
    <row r="260" spans="1:64" ht="20.100000000000001" customHeight="1" x14ac:dyDescent="0.4">
      <c r="A260" s="117"/>
      <c r="B260" s="123"/>
      <c r="C260" s="123"/>
      <c r="D260" s="123"/>
      <c r="P260" s="115"/>
      <c r="Q260" s="115"/>
      <c r="R260" s="115"/>
      <c r="S260" s="115"/>
      <c r="T260" s="115"/>
      <c r="U260" s="115"/>
      <c r="V260" s="115"/>
      <c r="W260" s="115"/>
      <c r="X260" s="115"/>
      <c r="Y260" s="127"/>
      <c r="Z260" s="29"/>
      <c r="AD260" s="115"/>
      <c r="AE260" s="115"/>
      <c r="AF260" s="115"/>
      <c r="AG260" s="115"/>
      <c r="AH260" s="115"/>
      <c r="AI260" s="115"/>
      <c r="AJ260" s="25"/>
      <c r="AK260" s="13"/>
      <c r="AP260" s="116"/>
      <c r="AQ260" s="123"/>
      <c r="AR260" s="123"/>
      <c r="AS260" s="123"/>
      <c r="AX260" s="115"/>
      <c r="AY260" s="115"/>
      <c r="AZ260" s="115"/>
      <c r="BA260" s="115"/>
      <c r="BB260" s="115"/>
      <c r="BC260" s="115"/>
      <c r="BD260" s="115"/>
      <c r="BE260" s="115"/>
      <c r="BF260" s="115"/>
      <c r="BG260" s="115"/>
      <c r="BH260" s="25"/>
      <c r="BI260" s="13"/>
      <c r="BL260" s="114"/>
    </row>
    <row r="261" spans="1:64" ht="20.100000000000001" customHeight="1" x14ac:dyDescent="0.4">
      <c r="A261" s="117"/>
      <c r="B261" s="123"/>
      <c r="C261" s="123"/>
      <c r="D261" s="123"/>
      <c r="P261" s="115"/>
      <c r="Q261" s="115"/>
      <c r="R261" s="115"/>
      <c r="S261" s="115"/>
      <c r="T261" s="115"/>
      <c r="U261" s="115"/>
      <c r="V261" s="115"/>
      <c r="W261" s="115"/>
      <c r="X261" s="115"/>
      <c r="Y261" s="29"/>
      <c r="Z261" s="29"/>
      <c r="AD261" s="115"/>
      <c r="AE261" s="115"/>
      <c r="AF261" s="115"/>
      <c r="AG261" s="115"/>
      <c r="AH261" s="115"/>
      <c r="AI261" s="115"/>
      <c r="AJ261" s="25"/>
      <c r="AK261" s="13"/>
      <c r="AP261" s="116"/>
      <c r="AQ261" s="123"/>
      <c r="AR261" s="123"/>
      <c r="AS261" s="123"/>
      <c r="AX261" s="115"/>
      <c r="AY261" s="115"/>
      <c r="AZ261" s="115"/>
      <c r="BA261" s="115"/>
      <c r="BB261" s="115"/>
      <c r="BC261" s="115"/>
      <c r="BD261" s="115"/>
      <c r="BE261" s="115"/>
      <c r="BF261" s="115"/>
      <c r="BG261" s="115"/>
      <c r="BH261" s="25"/>
      <c r="BI261" s="13"/>
      <c r="BL261" s="114"/>
    </row>
    <row r="262" spans="1:64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27"/>
      <c r="Z262" s="29"/>
      <c r="AD262" s="115"/>
      <c r="AE262" s="115"/>
      <c r="AF262" s="115"/>
      <c r="AG262" s="115"/>
      <c r="AH262" s="115"/>
      <c r="AI262" s="115"/>
      <c r="AJ262" s="25"/>
      <c r="AK262" s="13"/>
      <c r="AP262" s="116"/>
      <c r="AQ262" s="123"/>
      <c r="AR262" s="123"/>
      <c r="AS262" s="123"/>
      <c r="AX262" s="115"/>
      <c r="AY262" s="115"/>
      <c r="AZ262" s="115"/>
      <c r="BA262" s="115"/>
      <c r="BB262" s="115"/>
      <c r="BC262" s="115"/>
      <c r="BD262" s="115"/>
      <c r="BE262" s="115"/>
      <c r="BF262" s="115"/>
      <c r="BG262" s="115"/>
      <c r="BH262" s="25"/>
      <c r="BI262" s="13"/>
      <c r="BL262" s="114"/>
    </row>
    <row r="263" spans="1:64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27"/>
      <c r="Z263" s="29"/>
      <c r="AD263" s="115"/>
      <c r="AE263" s="115"/>
      <c r="AF263" s="115"/>
      <c r="AG263" s="115"/>
      <c r="AH263" s="115"/>
      <c r="AI263" s="115"/>
      <c r="AJ263" s="25"/>
      <c r="AK263" s="13"/>
      <c r="AP263" s="116"/>
      <c r="AQ263" s="123"/>
      <c r="AR263" s="123"/>
      <c r="AS263" s="123"/>
      <c r="AX263" s="115"/>
      <c r="AY263" s="115"/>
      <c r="AZ263" s="115"/>
      <c r="BA263" s="115"/>
      <c r="BB263" s="115"/>
      <c r="BC263" s="115"/>
      <c r="BD263" s="115"/>
      <c r="BE263" s="115"/>
      <c r="BF263" s="115"/>
      <c r="BG263" s="115"/>
      <c r="BH263" s="25"/>
      <c r="BI263" s="13"/>
      <c r="BL263" s="114"/>
    </row>
    <row r="264" spans="1:64" ht="20.100000000000001" customHeight="1" x14ac:dyDescent="0.4">
      <c r="A264" s="117"/>
      <c r="B264" s="123"/>
      <c r="C264" s="123"/>
      <c r="D264" s="123"/>
      <c r="Y264" s="127"/>
      <c r="Z264" s="29"/>
      <c r="AD264" s="115"/>
      <c r="AE264" s="115"/>
      <c r="AF264" s="115"/>
      <c r="AG264" s="115"/>
      <c r="AH264" s="115"/>
      <c r="AI264" s="115"/>
      <c r="AJ264" s="25"/>
      <c r="AK264" s="13"/>
      <c r="AP264" s="116"/>
      <c r="AQ264" s="123"/>
      <c r="AR264" s="123"/>
      <c r="AS264" s="123"/>
      <c r="AX264" s="115"/>
      <c r="AY264" s="115"/>
      <c r="AZ264" s="115"/>
      <c r="BA264" s="115"/>
      <c r="BB264" s="115"/>
      <c r="BC264" s="115"/>
      <c r="BD264" s="115"/>
      <c r="BE264" s="115"/>
      <c r="BF264" s="115"/>
      <c r="BG264" s="115"/>
      <c r="BH264" s="25"/>
      <c r="BI264" s="13"/>
      <c r="BL264" s="114"/>
    </row>
    <row r="265" spans="1:64" ht="20.100000000000001" customHeight="1" x14ac:dyDescent="0.4">
      <c r="A265" s="117"/>
      <c r="B265" s="123"/>
      <c r="C265" s="123"/>
      <c r="D265" s="123"/>
      <c r="U265" s="115"/>
      <c r="V265" s="115"/>
      <c r="W265" s="115"/>
      <c r="X265" s="115"/>
      <c r="Y265" s="127"/>
      <c r="Z265" s="29"/>
      <c r="AD265" s="115"/>
      <c r="AE265" s="115"/>
      <c r="AF265" s="115"/>
      <c r="AG265" s="115"/>
      <c r="AH265" s="115"/>
      <c r="AI265" s="115"/>
      <c r="AJ265" s="25"/>
      <c r="AK265" s="13"/>
      <c r="AP265" s="116"/>
      <c r="AQ265" s="123"/>
      <c r="AR265" s="123"/>
      <c r="AS265" s="123"/>
      <c r="AX265" s="115"/>
      <c r="AY265" s="115"/>
      <c r="AZ265" s="115"/>
      <c r="BA265" s="115"/>
      <c r="BB265" s="115"/>
      <c r="BC265" s="115"/>
      <c r="BD265" s="115"/>
      <c r="BE265" s="115"/>
      <c r="BF265" s="115"/>
      <c r="BG265" s="115"/>
      <c r="BH265" s="25"/>
      <c r="BI265" s="13"/>
      <c r="BL265" s="114"/>
    </row>
    <row r="266" spans="1:64" ht="20.100000000000001" customHeight="1" x14ac:dyDescent="0.4">
      <c r="A266" s="117"/>
      <c r="B266" s="123"/>
      <c r="C266" s="123"/>
      <c r="D266" s="123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27"/>
      <c r="Z266" s="29"/>
      <c r="AD266" s="115"/>
      <c r="AE266" s="115"/>
      <c r="AF266" s="115"/>
      <c r="AG266" s="115"/>
      <c r="AH266" s="115"/>
      <c r="AI266" s="115"/>
      <c r="AJ266" s="25"/>
      <c r="AK266" s="13"/>
      <c r="AP266" s="116"/>
      <c r="AQ266" s="123"/>
      <c r="AR266" s="123"/>
      <c r="AS266" s="123"/>
      <c r="AX266" s="115"/>
      <c r="AY266" s="115"/>
      <c r="AZ266" s="115"/>
      <c r="BA266" s="115"/>
      <c r="BB266" s="115"/>
      <c r="BC266" s="115"/>
      <c r="BD266" s="115"/>
      <c r="BE266" s="115"/>
      <c r="BF266" s="115"/>
      <c r="BG266" s="115"/>
      <c r="BH266" s="25"/>
      <c r="BI266" s="13"/>
      <c r="BL266" s="114"/>
    </row>
    <row r="267" spans="1:64" ht="20.100000000000001" customHeight="1" x14ac:dyDescent="0.4">
      <c r="A267" s="117"/>
      <c r="B267" s="123"/>
      <c r="C267" s="123"/>
      <c r="D267" s="123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27"/>
      <c r="Z267" s="29"/>
      <c r="AD267" s="115"/>
      <c r="AE267" s="115"/>
      <c r="AF267" s="115"/>
      <c r="AG267" s="115"/>
      <c r="AH267" s="115"/>
      <c r="AI267" s="115"/>
      <c r="AJ267" s="25"/>
      <c r="AK267" s="13"/>
      <c r="AP267" s="116"/>
      <c r="AQ267" s="123"/>
      <c r="AR267" s="123"/>
      <c r="AS267" s="123"/>
      <c r="AX267" s="115"/>
      <c r="AY267" s="115"/>
      <c r="AZ267" s="115"/>
      <c r="BA267" s="115"/>
      <c r="BB267" s="115"/>
      <c r="BC267" s="115"/>
      <c r="BD267" s="115"/>
      <c r="BE267" s="115"/>
      <c r="BF267" s="115"/>
      <c r="BG267" s="115"/>
      <c r="BH267" s="25"/>
      <c r="BI267" s="13"/>
      <c r="BL267" s="114"/>
    </row>
    <row r="268" spans="1:64" ht="20.100000000000001" customHeight="1" x14ac:dyDescent="0.4">
      <c r="A268" s="117"/>
      <c r="B268" s="123"/>
      <c r="C268" s="123"/>
      <c r="D268" s="123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27"/>
      <c r="Z268" s="29"/>
      <c r="AD268" s="115"/>
      <c r="AE268" s="115"/>
      <c r="AF268" s="115"/>
      <c r="AG268" s="115"/>
      <c r="AH268" s="115"/>
      <c r="AI268" s="115"/>
      <c r="AJ268" s="25"/>
      <c r="AK268" s="13"/>
      <c r="AP268" s="116"/>
      <c r="AQ268" s="123"/>
      <c r="AR268" s="123"/>
      <c r="AS268" s="123"/>
      <c r="AX268" s="115"/>
      <c r="AY268" s="115"/>
      <c r="AZ268" s="115"/>
      <c r="BA268" s="115"/>
      <c r="BB268" s="115"/>
      <c r="BC268" s="115"/>
      <c r="BD268" s="115"/>
      <c r="BE268" s="115"/>
      <c r="BF268" s="115"/>
      <c r="BG268" s="115"/>
      <c r="BH268" s="25"/>
      <c r="BI268" s="13"/>
      <c r="BL268" s="114"/>
    </row>
    <row r="269" spans="1:64" ht="20.100000000000001" customHeight="1" x14ac:dyDescent="0.4">
      <c r="A269" s="117"/>
      <c r="B269" s="123"/>
      <c r="C269" s="123"/>
      <c r="D269" s="123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27"/>
      <c r="Z269" s="29"/>
      <c r="AD269" s="115"/>
      <c r="AE269" s="115"/>
      <c r="AF269" s="115"/>
      <c r="AG269" s="115"/>
      <c r="AH269" s="115"/>
      <c r="AI269" s="115"/>
      <c r="AJ269" s="25"/>
      <c r="AK269" s="13"/>
      <c r="AP269" s="116"/>
      <c r="AQ269" s="123"/>
      <c r="AR269" s="123"/>
      <c r="AS269" s="123"/>
      <c r="AX269" s="115"/>
      <c r="AY269" s="115"/>
      <c r="AZ269" s="115"/>
      <c r="BA269" s="115"/>
      <c r="BB269" s="115"/>
      <c r="BC269" s="115"/>
      <c r="BD269" s="115"/>
      <c r="BE269" s="115"/>
      <c r="BF269" s="115"/>
      <c r="BG269" s="115"/>
      <c r="BH269" s="25"/>
      <c r="BI269" s="13"/>
      <c r="BL269" s="114"/>
    </row>
    <row r="270" spans="1:64" ht="20.100000000000001" customHeight="1" x14ac:dyDescent="0.4">
      <c r="A270" s="117"/>
      <c r="B270" s="123"/>
      <c r="C270" s="123"/>
      <c r="D270" s="123"/>
      <c r="Y270" s="127"/>
      <c r="Z270" s="29"/>
      <c r="AD270" s="115"/>
      <c r="AE270" s="115"/>
      <c r="AF270" s="115"/>
      <c r="AG270" s="115"/>
      <c r="AH270" s="115"/>
      <c r="AI270" s="115"/>
      <c r="AJ270" s="25"/>
      <c r="AK270" s="13"/>
      <c r="AP270" s="116"/>
      <c r="AQ270" s="123"/>
      <c r="AR270" s="123"/>
      <c r="AS270" s="123"/>
      <c r="AX270" s="115"/>
      <c r="AY270" s="115"/>
      <c r="AZ270" s="115"/>
      <c r="BA270" s="115"/>
      <c r="BB270" s="115"/>
      <c r="BC270" s="115"/>
      <c r="BD270" s="115"/>
      <c r="BE270" s="115"/>
      <c r="BF270" s="115"/>
      <c r="BG270" s="115"/>
      <c r="BH270" s="25"/>
      <c r="BI270" s="13"/>
      <c r="BL270" s="114"/>
    </row>
    <row r="271" spans="1:64" ht="20.100000000000001" customHeight="1" x14ac:dyDescent="0.4">
      <c r="A271" s="117"/>
      <c r="B271" s="123"/>
      <c r="C271" s="123"/>
      <c r="D271" s="123"/>
      <c r="U271" s="115"/>
      <c r="V271" s="115"/>
      <c r="W271" s="115"/>
      <c r="X271" s="115"/>
      <c r="Y271" s="127"/>
      <c r="Z271" s="29"/>
      <c r="AD271" s="115"/>
      <c r="AE271" s="115"/>
      <c r="AF271" s="115"/>
      <c r="AG271" s="115"/>
      <c r="AH271" s="115"/>
      <c r="AI271" s="115"/>
      <c r="AJ271" s="25"/>
      <c r="AK271" s="13"/>
      <c r="AP271" s="116"/>
      <c r="AQ271" s="123"/>
      <c r="AR271" s="123"/>
      <c r="AS271" s="123"/>
      <c r="AX271" s="115"/>
      <c r="AY271" s="115"/>
      <c r="AZ271" s="115"/>
      <c r="BA271" s="115"/>
      <c r="BB271" s="115"/>
      <c r="BC271" s="115"/>
      <c r="BD271" s="115"/>
      <c r="BE271" s="115"/>
      <c r="BF271" s="115"/>
      <c r="BG271" s="115"/>
      <c r="BH271" s="25"/>
      <c r="BI271" s="13"/>
      <c r="BL271" s="114"/>
    </row>
    <row r="272" spans="1:64" ht="20.100000000000001" customHeight="1" x14ac:dyDescent="0.4">
      <c r="A272" s="117"/>
      <c r="B272" s="123"/>
      <c r="C272" s="123"/>
      <c r="D272" s="123"/>
      <c r="U272" s="115"/>
      <c r="V272" s="115"/>
      <c r="W272" s="115"/>
      <c r="X272" s="115"/>
      <c r="Y272" s="29"/>
      <c r="Z272" s="29"/>
      <c r="AD272" s="115"/>
      <c r="AE272" s="115"/>
      <c r="AF272" s="115"/>
      <c r="AG272" s="115"/>
      <c r="AH272" s="115"/>
      <c r="AI272" s="115"/>
      <c r="AJ272" s="25"/>
      <c r="AK272" s="13"/>
      <c r="AP272" s="116"/>
      <c r="AQ272" s="123"/>
      <c r="AR272" s="123"/>
      <c r="AS272" s="123"/>
      <c r="AX272" s="115"/>
      <c r="AY272" s="115"/>
      <c r="AZ272" s="115"/>
      <c r="BA272" s="115"/>
      <c r="BB272" s="115"/>
      <c r="BC272" s="115"/>
      <c r="BD272" s="115"/>
      <c r="BE272" s="115"/>
      <c r="BF272" s="115"/>
      <c r="BG272" s="115"/>
      <c r="BH272" s="25"/>
      <c r="BI272" s="13"/>
      <c r="BL272" s="114"/>
    </row>
    <row r="273" spans="1:64" ht="20.100000000000001" customHeight="1" x14ac:dyDescent="0.4">
      <c r="A273" s="117"/>
      <c r="B273" s="123"/>
      <c r="C273" s="123"/>
      <c r="D273" s="123"/>
      <c r="U273" s="115"/>
      <c r="V273" s="115"/>
      <c r="W273" s="115"/>
      <c r="X273" s="115"/>
      <c r="Y273" s="127"/>
      <c r="Z273" s="29"/>
      <c r="AD273" s="115"/>
      <c r="AE273" s="115"/>
      <c r="AF273" s="115"/>
      <c r="AG273" s="115"/>
      <c r="AH273" s="115"/>
      <c r="AI273" s="115"/>
      <c r="AJ273" s="25"/>
      <c r="AK273" s="13"/>
      <c r="AP273" s="116"/>
      <c r="AQ273" s="123"/>
      <c r="AR273" s="123"/>
      <c r="AS273" s="123"/>
      <c r="AX273" s="115"/>
      <c r="AY273" s="115"/>
      <c r="AZ273" s="115"/>
      <c r="BA273" s="115"/>
      <c r="BB273" s="115"/>
      <c r="BC273" s="115"/>
      <c r="BD273" s="115"/>
      <c r="BE273" s="115"/>
      <c r="BF273" s="115"/>
      <c r="BG273" s="115"/>
      <c r="BH273" s="25"/>
      <c r="BI273" s="13"/>
      <c r="BL273" s="114"/>
    </row>
    <row r="274" spans="1:64" ht="20.100000000000001" customHeight="1" x14ac:dyDescent="0.4">
      <c r="A274" s="117"/>
      <c r="B274" s="123"/>
      <c r="C274" s="123"/>
      <c r="D274" s="123"/>
      <c r="U274" s="115"/>
      <c r="V274" s="115"/>
      <c r="W274" s="115"/>
      <c r="X274" s="115"/>
      <c r="Y274" s="29"/>
      <c r="Z274" s="29"/>
      <c r="AD274" s="115"/>
      <c r="AE274" s="115"/>
      <c r="AF274" s="115"/>
      <c r="AG274" s="115"/>
      <c r="AH274" s="115"/>
      <c r="AI274" s="115"/>
      <c r="AJ274" s="25"/>
      <c r="AK274" s="13"/>
      <c r="AP274" s="116"/>
      <c r="AQ274" s="123"/>
      <c r="AR274" s="123"/>
      <c r="AS274" s="123"/>
      <c r="AX274" s="115"/>
      <c r="AY274" s="115"/>
      <c r="AZ274" s="115"/>
      <c r="BA274" s="115"/>
      <c r="BB274" s="115"/>
      <c r="BC274" s="115"/>
      <c r="BD274" s="115"/>
      <c r="BE274" s="115"/>
      <c r="BF274" s="115"/>
      <c r="BG274" s="115"/>
      <c r="BH274" s="25"/>
      <c r="BI274" s="13"/>
      <c r="BL274" s="114"/>
    </row>
    <row r="275" spans="1:64" ht="20.100000000000001" customHeight="1" x14ac:dyDescent="0.4">
      <c r="A275" s="117"/>
      <c r="B275" s="123"/>
      <c r="C275" s="123"/>
      <c r="D275" s="123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27"/>
      <c r="Z275" s="29"/>
      <c r="AD275" s="115"/>
      <c r="AE275" s="115"/>
      <c r="AF275" s="115"/>
      <c r="AG275" s="115"/>
      <c r="AH275" s="115"/>
      <c r="AI275" s="115"/>
      <c r="AJ275" s="25"/>
      <c r="AK275" s="13"/>
      <c r="AP275" s="116"/>
      <c r="AQ275" s="123"/>
      <c r="AR275" s="123"/>
      <c r="AS275" s="123"/>
      <c r="AX275" s="115"/>
      <c r="AY275" s="115"/>
      <c r="AZ275" s="115"/>
      <c r="BA275" s="115"/>
      <c r="BB275" s="115"/>
      <c r="BC275" s="115"/>
      <c r="BD275" s="115"/>
      <c r="BE275" s="115"/>
      <c r="BF275" s="115"/>
      <c r="BG275" s="115"/>
      <c r="BH275" s="25"/>
      <c r="BI275" s="13"/>
      <c r="BL275" s="114"/>
    </row>
    <row r="276" spans="1:64" ht="20.100000000000001" customHeight="1" x14ac:dyDescent="0.4">
      <c r="A276" s="117"/>
      <c r="B276" s="123"/>
      <c r="C276" s="123"/>
      <c r="D276" s="123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27"/>
      <c r="Z276" s="29"/>
      <c r="AD276" s="115"/>
      <c r="AE276" s="115"/>
      <c r="AF276" s="115"/>
      <c r="AG276" s="115"/>
      <c r="AH276" s="115"/>
      <c r="AI276" s="115"/>
      <c r="AJ276" s="25"/>
      <c r="AK276" s="13"/>
      <c r="AP276" s="116"/>
      <c r="AQ276" s="123"/>
      <c r="AR276" s="123"/>
      <c r="AS276" s="123"/>
      <c r="AX276" s="115"/>
      <c r="AY276" s="115"/>
      <c r="AZ276" s="115"/>
      <c r="BA276" s="115"/>
      <c r="BB276" s="115"/>
      <c r="BC276" s="115"/>
      <c r="BD276" s="115"/>
      <c r="BE276" s="115"/>
      <c r="BF276" s="115"/>
      <c r="BG276" s="115"/>
      <c r="BH276" s="25"/>
      <c r="BI276" s="13"/>
      <c r="BL276" s="114"/>
    </row>
    <row r="277" spans="1:64" ht="20.100000000000001" customHeight="1" x14ac:dyDescent="0.4">
      <c r="A277" s="117"/>
      <c r="B277" s="123"/>
      <c r="C277" s="123"/>
      <c r="D277" s="123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27"/>
      <c r="Z277" s="29"/>
      <c r="AD277" s="115"/>
      <c r="AE277" s="115"/>
      <c r="AF277" s="115"/>
      <c r="AG277" s="115"/>
      <c r="AH277" s="115"/>
      <c r="AI277" s="115"/>
      <c r="AJ277" s="25"/>
      <c r="AK277" s="13"/>
      <c r="AP277" s="116"/>
      <c r="AQ277" s="123"/>
      <c r="AR277" s="123"/>
      <c r="AS277" s="123"/>
      <c r="AX277" s="115"/>
      <c r="AY277" s="115"/>
      <c r="AZ277" s="115"/>
      <c r="BA277" s="115"/>
      <c r="BB277" s="115"/>
      <c r="BC277" s="115"/>
      <c r="BD277" s="115"/>
      <c r="BE277" s="115"/>
      <c r="BF277" s="115"/>
      <c r="BG277" s="115"/>
      <c r="BH277" s="25"/>
      <c r="BI277" s="13"/>
      <c r="BL277" s="114"/>
    </row>
    <row r="278" spans="1:64" ht="20.100000000000001" customHeight="1" x14ac:dyDescent="0.4">
      <c r="A278" s="117"/>
      <c r="B278" s="123"/>
      <c r="C278" s="123"/>
      <c r="D278" s="123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27"/>
      <c r="Z278" s="29"/>
      <c r="AD278" s="115"/>
      <c r="AE278" s="115"/>
      <c r="AF278" s="115"/>
      <c r="AG278" s="115"/>
      <c r="AH278" s="115"/>
      <c r="AI278" s="115"/>
      <c r="AJ278" s="25"/>
      <c r="AK278" s="13"/>
      <c r="AP278" s="116"/>
      <c r="AQ278" s="123"/>
      <c r="AR278" s="123"/>
      <c r="AS278" s="123"/>
      <c r="AX278" s="115"/>
      <c r="AY278" s="115"/>
      <c r="AZ278" s="115"/>
      <c r="BA278" s="115"/>
      <c r="BB278" s="115"/>
      <c r="BC278" s="115"/>
      <c r="BD278" s="115"/>
      <c r="BE278" s="115"/>
      <c r="BF278" s="115"/>
      <c r="BG278" s="115"/>
      <c r="BH278" s="25"/>
      <c r="BI278" s="13"/>
      <c r="BL278" s="114"/>
    </row>
    <row r="279" spans="1:64" ht="20.100000000000001" customHeight="1" x14ac:dyDescent="0.4">
      <c r="A279" s="117"/>
      <c r="B279" s="123"/>
      <c r="C279" s="123"/>
      <c r="D279" s="123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29"/>
      <c r="Z279" s="29"/>
      <c r="AD279" s="115"/>
      <c r="AE279" s="115"/>
      <c r="AF279" s="115"/>
      <c r="AG279" s="115"/>
      <c r="AH279" s="115"/>
      <c r="AI279" s="115"/>
      <c r="AJ279" s="25"/>
      <c r="AK279" s="13"/>
      <c r="AP279" s="116"/>
      <c r="AQ279" s="123"/>
      <c r="AR279" s="123"/>
      <c r="AS279" s="123"/>
      <c r="AX279" s="115"/>
      <c r="AY279" s="115"/>
      <c r="AZ279" s="115"/>
      <c r="BA279" s="115"/>
      <c r="BB279" s="115"/>
      <c r="BC279" s="115"/>
      <c r="BD279" s="115"/>
      <c r="BE279" s="115"/>
      <c r="BF279" s="115"/>
      <c r="BG279" s="115"/>
      <c r="BH279" s="25"/>
      <c r="BI279" s="13"/>
      <c r="BL279" s="114"/>
    </row>
    <row r="280" spans="1:64" ht="20.100000000000001" customHeight="1" x14ac:dyDescent="0.4">
      <c r="A280" s="117"/>
      <c r="B280" s="123"/>
      <c r="C280" s="123"/>
      <c r="D280" s="123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27"/>
      <c r="Z280" s="29"/>
      <c r="AD280" s="115"/>
      <c r="AE280" s="115"/>
      <c r="AF280" s="115"/>
      <c r="AG280" s="115"/>
      <c r="AH280" s="115"/>
      <c r="AI280" s="115"/>
      <c r="AJ280" s="25"/>
      <c r="AK280" s="13"/>
      <c r="AP280" s="116"/>
      <c r="AQ280" s="123"/>
      <c r="AR280" s="123"/>
      <c r="AS280" s="123"/>
      <c r="AX280" s="115"/>
      <c r="AY280" s="115"/>
      <c r="AZ280" s="115"/>
      <c r="BA280" s="115"/>
      <c r="BB280" s="115"/>
      <c r="BC280" s="115"/>
      <c r="BD280" s="115"/>
      <c r="BE280" s="115"/>
      <c r="BF280" s="115"/>
      <c r="BG280" s="115"/>
      <c r="BH280" s="25"/>
      <c r="BI280" s="13"/>
      <c r="BL280" s="114"/>
    </row>
    <row r="281" spans="1:64" ht="20.100000000000001" customHeight="1" x14ac:dyDescent="0.4">
      <c r="A281" s="117"/>
      <c r="B281" s="123"/>
      <c r="C281" s="123"/>
      <c r="D281" s="123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27"/>
      <c r="Z281" s="29"/>
      <c r="AD281" s="115"/>
      <c r="AE281" s="115"/>
      <c r="AF281" s="115"/>
      <c r="AG281" s="115"/>
      <c r="AH281" s="115"/>
      <c r="AI281" s="115"/>
      <c r="AJ281" s="25"/>
      <c r="AK281" s="13"/>
      <c r="AP281" s="116"/>
      <c r="AQ281" s="123"/>
      <c r="AR281" s="123"/>
      <c r="AS281" s="123"/>
      <c r="AX281" s="115"/>
      <c r="AY281" s="115"/>
      <c r="AZ281" s="115"/>
      <c r="BA281" s="115"/>
      <c r="BB281" s="115"/>
      <c r="BC281" s="115"/>
      <c r="BD281" s="115"/>
      <c r="BE281" s="115"/>
      <c r="BF281" s="115"/>
      <c r="BG281" s="115"/>
      <c r="BH281" s="25"/>
      <c r="BI281" s="13"/>
      <c r="BL281" s="114"/>
    </row>
    <row r="282" spans="1:64" ht="20.100000000000001" customHeight="1" x14ac:dyDescent="0.4">
      <c r="A282" s="117"/>
      <c r="B282" s="123"/>
      <c r="C282" s="123"/>
      <c r="D282" s="123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29"/>
      <c r="Z282" s="29"/>
      <c r="AD282" s="115"/>
      <c r="AE282" s="115"/>
      <c r="AF282" s="115"/>
      <c r="AG282" s="115"/>
      <c r="AH282" s="115"/>
      <c r="AI282" s="115"/>
      <c r="AJ282" s="25"/>
      <c r="AK282" s="13"/>
      <c r="AP282" s="116"/>
      <c r="AQ282" s="123"/>
      <c r="AR282" s="123"/>
      <c r="AS282" s="123"/>
      <c r="AX282" s="115"/>
      <c r="AY282" s="115"/>
      <c r="AZ282" s="115"/>
      <c r="BA282" s="115"/>
      <c r="BB282" s="115"/>
      <c r="BC282" s="115"/>
      <c r="BD282" s="115"/>
      <c r="BE282" s="115"/>
      <c r="BF282" s="115"/>
      <c r="BG282" s="115"/>
      <c r="BH282" s="25"/>
      <c r="BI282" s="13"/>
      <c r="BL282" s="114"/>
    </row>
    <row r="283" spans="1:64" ht="20.100000000000001" customHeight="1" x14ac:dyDescent="0.4">
      <c r="A283" s="117"/>
      <c r="B283" s="123"/>
      <c r="C283" s="123"/>
      <c r="D283" s="123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27"/>
      <c r="Z283" s="29"/>
      <c r="AD283" s="115"/>
      <c r="AE283" s="115"/>
      <c r="AF283" s="115"/>
      <c r="AG283" s="115"/>
      <c r="AH283" s="115"/>
      <c r="AI283" s="115"/>
      <c r="AJ283" s="25"/>
      <c r="AK283" s="13"/>
      <c r="AP283" s="116"/>
      <c r="AQ283" s="123"/>
      <c r="AR283" s="123"/>
      <c r="AS283" s="123"/>
      <c r="AX283" s="115"/>
      <c r="AY283" s="115"/>
      <c r="AZ283" s="115"/>
      <c r="BA283" s="115"/>
      <c r="BB283" s="115"/>
      <c r="BC283" s="115"/>
      <c r="BD283" s="115"/>
      <c r="BE283" s="115"/>
      <c r="BF283" s="115"/>
      <c r="BG283" s="115"/>
      <c r="BH283" s="25"/>
      <c r="BI283" s="13"/>
      <c r="BL283" s="114"/>
    </row>
    <row r="284" spans="1:64" ht="20.100000000000001" customHeight="1" x14ac:dyDescent="0.4">
      <c r="A284" s="117"/>
      <c r="B284" s="123"/>
      <c r="C284" s="123"/>
      <c r="D284" s="123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29"/>
      <c r="Z284" s="29"/>
      <c r="AD284" s="115"/>
      <c r="AE284" s="115"/>
      <c r="AF284" s="115"/>
      <c r="AG284" s="115"/>
      <c r="AH284" s="115"/>
      <c r="AI284" s="115"/>
      <c r="AJ284" s="25"/>
      <c r="AK284" s="13"/>
      <c r="AP284" s="116"/>
      <c r="AQ284" s="123"/>
      <c r="AR284" s="123"/>
      <c r="AS284" s="123"/>
      <c r="AX284" s="115"/>
      <c r="AY284" s="115"/>
      <c r="AZ284" s="115"/>
      <c r="BA284" s="115"/>
      <c r="BB284" s="115"/>
      <c r="BC284" s="115"/>
      <c r="BD284" s="115"/>
      <c r="BE284" s="115"/>
      <c r="BF284" s="115"/>
      <c r="BG284" s="115"/>
      <c r="BH284" s="25"/>
      <c r="BI284" s="13"/>
      <c r="BL284" s="114"/>
    </row>
    <row r="285" spans="1:64" ht="20.100000000000001" customHeight="1" x14ac:dyDescent="0.4">
      <c r="A285" s="117"/>
      <c r="B285" s="123"/>
      <c r="C285" s="123"/>
      <c r="D285" s="123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29"/>
      <c r="Z285" s="29"/>
      <c r="AD285" s="115"/>
      <c r="AE285" s="115"/>
      <c r="AF285" s="115"/>
      <c r="AG285" s="115"/>
      <c r="AH285" s="115"/>
      <c r="AI285" s="115"/>
      <c r="AJ285" s="25"/>
      <c r="AK285" s="13"/>
      <c r="AP285" s="116"/>
      <c r="AQ285" s="123"/>
      <c r="AR285" s="123"/>
      <c r="AS285" s="123"/>
      <c r="AX285" s="115"/>
      <c r="AY285" s="115"/>
      <c r="AZ285" s="115"/>
      <c r="BA285" s="115"/>
      <c r="BB285" s="115"/>
      <c r="BC285" s="115"/>
      <c r="BD285" s="115"/>
      <c r="BE285" s="115"/>
      <c r="BF285" s="115"/>
      <c r="BG285" s="115"/>
      <c r="BH285" s="25"/>
      <c r="BI285" s="13"/>
      <c r="BL285" s="114"/>
    </row>
    <row r="286" spans="1:64" ht="20.100000000000001" customHeight="1" x14ac:dyDescent="0.4">
      <c r="A286" s="117"/>
      <c r="B286" s="123"/>
      <c r="C286" s="123"/>
      <c r="D286" s="123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27"/>
      <c r="Z286" s="29"/>
      <c r="AD286" s="115"/>
      <c r="AE286" s="115"/>
      <c r="AF286" s="115"/>
      <c r="AG286" s="115"/>
      <c r="AH286" s="115"/>
      <c r="AI286" s="115"/>
      <c r="AJ286" s="25"/>
      <c r="AK286" s="13"/>
      <c r="AP286" s="116"/>
      <c r="AQ286" s="123"/>
      <c r="AR286" s="123"/>
      <c r="AS286" s="123"/>
      <c r="AX286" s="115"/>
      <c r="AY286" s="115"/>
      <c r="AZ286" s="115"/>
      <c r="BA286" s="115"/>
      <c r="BB286" s="115"/>
      <c r="BC286" s="115"/>
      <c r="BD286" s="115"/>
      <c r="BE286" s="115"/>
      <c r="BF286" s="115"/>
      <c r="BG286" s="115"/>
      <c r="BH286" s="25"/>
      <c r="BI286" s="13"/>
      <c r="BL286" s="114"/>
    </row>
    <row r="287" spans="1:64" ht="20.100000000000001" customHeight="1" x14ac:dyDescent="0.4">
      <c r="A287" s="117"/>
      <c r="B287" s="123"/>
      <c r="C287" s="123"/>
      <c r="D287" s="123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29"/>
      <c r="Z287" s="29"/>
      <c r="AD287" s="115"/>
      <c r="AE287" s="115"/>
      <c r="AF287" s="115"/>
      <c r="AG287" s="115"/>
      <c r="AH287" s="115"/>
      <c r="AI287" s="115"/>
      <c r="AJ287" s="25"/>
      <c r="AK287" s="13"/>
      <c r="AP287" s="116"/>
      <c r="AQ287" s="123"/>
      <c r="AR287" s="123"/>
      <c r="AS287" s="123"/>
      <c r="AX287" s="115"/>
      <c r="AY287" s="115"/>
      <c r="AZ287" s="115"/>
      <c r="BA287" s="115"/>
      <c r="BB287" s="115"/>
      <c r="BC287" s="115"/>
      <c r="BD287" s="115"/>
      <c r="BE287" s="115"/>
      <c r="BF287" s="115"/>
      <c r="BG287" s="115"/>
      <c r="BH287" s="25"/>
      <c r="BI287" s="13"/>
      <c r="BL287" s="114"/>
    </row>
    <row r="288" spans="1:64" ht="20.100000000000001" customHeight="1" x14ac:dyDescent="0.4">
      <c r="A288" s="117"/>
      <c r="B288" s="123"/>
      <c r="C288" s="123"/>
      <c r="D288" s="123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27"/>
      <c r="Z288" s="29"/>
      <c r="AD288" s="115"/>
      <c r="AE288" s="115"/>
      <c r="AF288" s="115"/>
      <c r="AG288" s="115"/>
      <c r="AH288" s="115"/>
      <c r="AI288" s="115"/>
      <c r="AJ288" s="25"/>
      <c r="AK288" s="13"/>
      <c r="AP288" s="116"/>
      <c r="AQ288" s="123"/>
      <c r="AR288" s="123"/>
      <c r="AS288" s="123"/>
      <c r="AX288" s="115"/>
      <c r="AY288" s="115"/>
      <c r="AZ288" s="115"/>
      <c r="BA288" s="115"/>
      <c r="BB288" s="115"/>
      <c r="BC288" s="115"/>
      <c r="BD288" s="115"/>
      <c r="BE288" s="115"/>
      <c r="BF288" s="115"/>
      <c r="BG288" s="115"/>
      <c r="BH288" s="25"/>
      <c r="BI288" s="13"/>
      <c r="BL288" s="114"/>
    </row>
    <row r="289" spans="1:64" ht="20.100000000000001" customHeight="1" x14ac:dyDescent="0.4">
      <c r="A289" s="117"/>
      <c r="B289" s="123"/>
      <c r="C289" s="123"/>
      <c r="D289" s="123"/>
      <c r="Y289" s="127"/>
      <c r="Z289" s="127"/>
      <c r="AD289" s="115"/>
      <c r="AE289" s="115"/>
      <c r="AF289" s="115"/>
      <c r="AG289" s="115"/>
      <c r="AH289" s="115"/>
      <c r="AI289" s="115"/>
      <c r="AJ289" s="25">
        <v>45672</v>
      </c>
      <c r="AK289" s="13" t="s">
        <v>146</v>
      </c>
      <c r="AP289" s="116"/>
      <c r="AQ289" s="123"/>
      <c r="AR289" s="123"/>
      <c r="AS289" s="123"/>
      <c r="AX289" s="115"/>
      <c r="AY289" s="115"/>
      <c r="AZ289" s="115"/>
      <c r="BA289" s="115"/>
      <c r="BB289" s="115"/>
      <c r="BC289" s="115"/>
      <c r="BD289" s="115"/>
      <c r="BE289" s="115"/>
      <c r="BF289" s="115"/>
      <c r="BG289" s="115"/>
      <c r="BH289" s="25"/>
      <c r="BI289" s="13"/>
      <c r="BL289" s="114"/>
    </row>
    <row r="290" spans="1:64" ht="20.100000000000001" customHeight="1" x14ac:dyDescent="0.4">
      <c r="A290" s="117"/>
      <c r="B290" s="123"/>
      <c r="C290" s="123"/>
      <c r="D290" s="123"/>
      <c r="T290" s="115"/>
      <c r="U290" s="115"/>
      <c r="V290" s="115"/>
      <c r="W290" s="115"/>
      <c r="X290" s="115"/>
      <c r="Y290" s="29"/>
      <c r="Z290" s="29"/>
      <c r="AD290" s="115"/>
      <c r="AE290" s="115"/>
      <c r="AF290" s="115"/>
      <c r="AG290" s="115"/>
      <c r="AH290" s="115"/>
      <c r="AI290" s="115"/>
      <c r="AJ290" s="25"/>
      <c r="AK290" s="13"/>
      <c r="AP290" s="116"/>
      <c r="AQ290" s="123"/>
      <c r="AR290" s="123"/>
      <c r="AS290" s="123"/>
      <c r="AX290" s="115"/>
      <c r="AY290" s="115"/>
      <c r="AZ290" s="115"/>
      <c r="BA290" s="115"/>
      <c r="BB290" s="115"/>
      <c r="BC290" s="115"/>
      <c r="BD290" s="115"/>
      <c r="BE290" s="115"/>
      <c r="BF290" s="115"/>
      <c r="BG290" s="115"/>
      <c r="BH290" s="25"/>
      <c r="BI290" s="13"/>
      <c r="BL290" s="114"/>
    </row>
    <row r="291" spans="1:64" ht="20.100000000000001" customHeight="1" x14ac:dyDescent="0.4">
      <c r="A291" s="117"/>
      <c r="B291" s="123"/>
      <c r="C291" s="123"/>
      <c r="D291" s="123"/>
      <c r="Q291" s="115"/>
      <c r="R291" s="115"/>
      <c r="S291" s="115"/>
      <c r="T291" s="115"/>
      <c r="U291" s="115"/>
      <c r="V291" s="115"/>
      <c r="W291" s="115"/>
      <c r="X291" s="115"/>
      <c r="Y291" s="127"/>
      <c r="Z291" s="29"/>
      <c r="AD291" s="115"/>
      <c r="AE291" s="115"/>
      <c r="AF291" s="115"/>
      <c r="AG291" s="115"/>
      <c r="AH291" s="115"/>
      <c r="AI291" s="115"/>
      <c r="AJ291" s="25"/>
      <c r="AK291" s="13"/>
      <c r="AP291" s="116"/>
      <c r="AQ291" s="123"/>
      <c r="AR291" s="123"/>
      <c r="AS291" s="123"/>
      <c r="AX291" s="115"/>
      <c r="AY291" s="115"/>
      <c r="AZ291" s="115"/>
      <c r="BA291" s="115"/>
      <c r="BB291" s="115"/>
      <c r="BC291" s="115"/>
      <c r="BD291" s="115"/>
      <c r="BE291" s="115"/>
      <c r="BF291" s="115"/>
      <c r="BG291" s="115"/>
      <c r="BH291" s="25"/>
      <c r="BI291" s="13"/>
      <c r="BL291" s="114"/>
    </row>
    <row r="292" spans="1:64" ht="20.100000000000001" customHeight="1" x14ac:dyDescent="0.4">
      <c r="A292" s="117"/>
      <c r="B292" s="123"/>
      <c r="C292" s="123"/>
      <c r="D292" s="123"/>
      <c r="Q292" s="115"/>
      <c r="R292" s="115"/>
      <c r="S292" s="115"/>
      <c r="T292" s="115"/>
      <c r="U292" s="115"/>
      <c r="V292" s="115"/>
      <c r="W292" s="115"/>
      <c r="X292" s="115"/>
      <c r="Y292" s="29"/>
      <c r="Z292" s="29"/>
      <c r="AD292" s="115"/>
      <c r="AE292" s="115"/>
      <c r="AF292" s="115"/>
      <c r="AG292" s="115"/>
      <c r="AH292" s="115"/>
      <c r="AI292" s="115"/>
      <c r="AJ292" s="25"/>
      <c r="AK292" s="13"/>
      <c r="AP292" s="116"/>
      <c r="AQ292" s="123"/>
      <c r="AR292" s="123"/>
      <c r="AS292" s="123"/>
      <c r="AX292" s="115"/>
      <c r="AY292" s="115"/>
      <c r="AZ292" s="115"/>
      <c r="BA292" s="115"/>
      <c r="BB292" s="115"/>
      <c r="BC292" s="115"/>
      <c r="BD292" s="115"/>
      <c r="BE292" s="115"/>
      <c r="BF292" s="115"/>
      <c r="BG292" s="115"/>
      <c r="BH292" s="25"/>
      <c r="BI292" s="13"/>
      <c r="BL292" s="114"/>
    </row>
    <row r="293" spans="1:64" ht="20.100000000000001" customHeight="1" x14ac:dyDescent="0.4">
      <c r="A293" s="117"/>
      <c r="B293" s="123"/>
      <c r="C293" s="123"/>
      <c r="D293" s="123"/>
      <c r="P293" s="115"/>
      <c r="Q293" s="115"/>
      <c r="R293" s="115"/>
      <c r="S293" s="115"/>
      <c r="T293" s="115"/>
      <c r="U293" s="115"/>
      <c r="V293" s="115"/>
      <c r="W293" s="115"/>
      <c r="X293" s="115"/>
      <c r="Y293" s="127"/>
      <c r="Z293" s="29"/>
      <c r="AD293" s="115"/>
      <c r="AE293" s="115"/>
      <c r="AF293" s="115"/>
      <c r="AG293" s="115"/>
      <c r="AH293" s="115"/>
      <c r="AI293" s="115"/>
      <c r="AJ293" s="25"/>
      <c r="AK293" s="13"/>
      <c r="AP293" s="116"/>
      <c r="AQ293" s="123"/>
      <c r="AR293" s="123"/>
      <c r="AS293" s="123"/>
      <c r="AX293" s="115"/>
      <c r="AY293" s="115"/>
      <c r="AZ293" s="115"/>
      <c r="BA293" s="115"/>
      <c r="BB293" s="115"/>
      <c r="BC293" s="115"/>
      <c r="BD293" s="115"/>
      <c r="BE293" s="115"/>
      <c r="BF293" s="115"/>
      <c r="BG293" s="115"/>
      <c r="BH293" s="25"/>
      <c r="BI293" s="13"/>
      <c r="BL293" s="114"/>
    </row>
    <row r="294" spans="1:64" ht="20.100000000000001" customHeight="1" x14ac:dyDescent="0.4">
      <c r="A294" s="117"/>
      <c r="B294" s="123"/>
      <c r="C294" s="123"/>
      <c r="D294" s="123"/>
      <c r="Y294" s="127"/>
      <c r="Z294" s="29"/>
      <c r="AD294" s="115"/>
      <c r="AE294" s="115"/>
      <c r="AF294" s="115"/>
      <c r="AG294" s="115"/>
      <c r="AH294" s="115"/>
      <c r="AI294" s="115"/>
      <c r="AJ294" s="25">
        <v>45672</v>
      </c>
      <c r="AK294" s="13" t="s">
        <v>146</v>
      </c>
      <c r="AP294" s="116"/>
      <c r="AQ294" s="123"/>
      <c r="AR294" s="123"/>
      <c r="AS294" s="123"/>
      <c r="AX294" s="115"/>
      <c r="AY294" s="115"/>
      <c r="AZ294" s="115"/>
      <c r="BA294" s="115"/>
      <c r="BB294" s="115"/>
      <c r="BC294" s="115"/>
      <c r="BD294" s="115"/>
      <c r="BE294" s="115"/>
      <c r="BF294" s="115"/>
      <c r="BG294" s="115"/>
      <c r="BH294" s="25"/>
      <c r="BI294" s="13"/>
      <c r="BL294" s="114"/>
    </row>
    <row r="295" spans="1:64" ht="20.100000000000001" customHeight="1" x14ac:dyDescent="0.4">
      <c r="A295" s="117"/>
      <c r="B295" s="123"/>
      <c r="C295" s="123"/>
      <c r="D295" s="123"/>
      <c r="Y295" s="127"/>
      <c r="Z295" s="29"/>
      <c r="AD295" s="115"/>
      <c r="AE295" s="115"/>
      <c r="AF295" s="115"/>
      <c r="AG295" s="115"/>
      <c r="AH295" s="115"/>
      <c r="AI295" s="115"/>
      <c r="AJ295" s="25"/>
      <c r="AK295" s="13"/>
      <c r="AP295" s="116"/>
      <c r="AQ295" s="123"/>
      <c r="AR295" s="123"/>
      <c r="AS295" s="123"/>
      <c r="AX295" s="115"/>
      <c r="AY295" s="115"/>
      <c r="AZ295" s="115"/>
      <c r="BA295" s="115"/>
      <c r="BB295" s="115"/>
      <c r="BC295" s="115"/>
      <c r="BD295" s="115"/>
      <c r="BE295" s="115"/>
      <c r="BF295" s="115"/>
      <c r="BG295" s="115"/>
      <c r="BH295" s="25"/>
      <c r="BI295" s="13"/>
      <c r="BL295" s="114"/>
    </row>
    <row r="296" spans="1:64" ht="20.100000000000001" customHeight="1" x14ac:dyDescent="0.4">
      <c r="A296" s="117"/>
      <c r="B296" s="123"/>
      <c r="C296" s="123"/>
      <c r="D296" s="123"/>
      <c r="T296" s="115"/>
      <c r="U296" s="115"/>
      <c r="V296" s="115"/>
      <c r="W296" s="115"/>
      <c r="X296" s="115"/>
      <c r="Y296" s="29"/>
      <c r="Z296" s="29"/>
      <c r="AD296" s="115"/>
      <c r="AE296" s="115"/>
      <c r="AF296" s="115"/>
      <c r="AG296" s="115"/>
      <c r="AH296" s="115"/>
      <c r="AI296" s="115"/>
      <c r="AJ296" s="25"/>
      <c r="AK296" s="13"/>
      <c r="AP296" s="116"/>
      <c r="AQ296" s="123"/>
      <c r="AR296" s="123"/>
      <c r="AS296" s="123"/>
      <c r="AX296" s="115"/>
      <c r="AY296" s="115"/>
      <c r="AZ296" s="115"/>
      <c r="BA296" s="115"/>
      <c r="BB296" s="115"/>
      <c r="BC296" s="115"/>
      <c r="BD296" s="115"/>
      <c r="BE296" s="115"/>
      <c r="BF296" s="115"/>
      <c r="BG296" s="115"/>
      <c r="BH296" s="25"/>
      <c r="BI296" s="13"/>
      <c r="BL296" s="114"/>
    </row>
    <row r="297" spans="1:64" ht="20.100000000000001" customHeight="1" x14ac:dyDescent="0.4">
      <c r="A297" s="117"/>
      <c r="B297" s="123"/>
      <c r="C297" s="123"/>
      <c r="D297" s="123"/>
      <c r="Y297" s="127"/>
      <c r="Z297" s="29"/>
      <c r="AD297" s="115"/>
      <c r="AE297" s="115"/>
      <c r="AF297" s="115"/>
      <c r="AG297" s="115"/>
      <c r="AH297" s="115"/>
      <c r="AI297" s="115"/>
      <c r="AJ297" s="25">
        <v>45672</v>
      </c>
      <c r="AK297" s="25" t="s">
        <v>147</v>
      </c>
      <c r="AP297" s="116"/>
      <c r="AQ297" s="123"/>
      <c r="AR297" s="123"/>
      <c r="AS297" s="123"/>
      <c r="AX297" s="115"/>
      <c r="AY297" s="115"/>
      <c r="AZ297" s="115"/>
      <c r="BA297" s="115"/>
      <c r="BB297" s="115"/>
      <c r="BC297" s="115"/>
      <c r="BD297" s="115"/>
      <c r="BE297" s="115"/>
      <c r="BF297" s="115"/>
      <c r="BG297" s="115"/>
      <c r="BH297" s="25"/>
      <c r="BI297" s="13"/>
      <c r="BL297" s="114"/>
    </row>
    <row r="298" spans="1:64" ht="20.100000000000001" customHeight="1" x14ac:dyDescent="0.4">
      <c r="A298" s="117"/>
      <c r="B298" s="123"/>
      <c r="C298" s="123"/>
      <c r="D298" s="123"/>
      <c r="Y298" s="127"/>
      <c r="Z298" s="29"/>
      <c r="AD298" s="115"/>
      <c r="AE298" s="115"/>
      <c r="AF298" s="115"/>
      <c r="AG298" s="115"/>
      <c r="AH298" s="115"/>
      <c r="AI298" s="115"/>
      <c r="AJ298" s="25"/>
      <c r="AK298" s="25"/>
      <c r="AP298" s="116"/>
      <c r="AQ298" s="123"/>
      <c r="AR298" s="123"/>
      <c r="AS298" s="123"/>
      <c r="AX298" s="115"/>
      <c r="AY298" s="115"/>
      <c r="AZ298" s="115"/>
      <c r="BA298" s="115"/>
      <c r="BB298" s="115"/>
      <c r="BC298" s="115"/>
      <c r="BD298" s="115"/>
      <c r="BE298" s="115"/>
      <c r="BF298" s="115"/>
      <c r="BG298" s="115"/>
      <c r="BH298" s="25"/>
      <c r="BI298" s="13"/>
      <c r="BL298" s="114"/>
    </row>
    <row r="299" spans="1:64" ht="20.100000000000001" customHeight="1" x14ac:dyDescent="0.4">
      <c r="A299" s="117"/>
      <c r="B299" s="123"/>
      <c r="C299" s="123"/>
      <c r="D299" s="123"/>
      <c r="T299" s="115"/>
      <c r="U299" s="115"/>
      <c r="V299" s="115"/>
      <c r="W299" s="115"/>
      <c r="X299" s="115"/>
      <c r="Y299" s="29"/>
      <c r="Z299" s="29"/>
      <c r="AD299" s="115"/>
      <c r="AE299" s="115"/>
      <c r="AF299" s="115"/>
      <c r="AG299" s="115"/>
      <c r="AH299" s="115"/>
      <c r="AI299" s="115"/>
      <c r="AJ299" s="25"/>
      <c r="AK299" s="25"/>
      <c r="AP299" s="116"/>
      <c r="AQ299" s="123"/>
      <c r="AR299" s="123"/>
      <c r="AS299" s="123"/>
      <c r="AX299" s="115"/>
      <c r="AY299" s="115"/>
      <c r="AZ299" s="115"/>
      <c r="BA299" s="115"/>
      <c r="BB299" s="115"/>
      <c r="BC299" s="115"/>
      <c r="BD299" s="115"/>
      <c r="BE299" s="115"/>
      <c r="BF299" s="115"/>
      <c r="BG299" s="115"/>
      <c r="BH299" s="25"/>
      <c r="BI299" s="13"/>
      <c r="BL299" s="114"/>
    </row>
    <row r="300" spans="1:64" ht="20.100000000000001" customHeight="1" x14ac:dyDescent="0.4">
      <c r="A300" s="117"/>
      <c r="B300" s="123"/>
      <c r="C300" s="123"/>
      <c r="D300" s="123"/>
      <c r="T300" s="115"/>
      <c r="U300" s="115"/>
      <c r="V300" s="115"/>
      <c r="W300" s="115"/>
      <c r="X300" s="115"/>
      <c r="Y300" s="29"/>
      <c r="Z300" s="29"/>
      <c r="AD300" s="115"/>
      <c r="AE300" s="115"/>
      <c r="AF300" s="115"/>
      <c r="AG300" s="115"/>
      <c r="AH300" s="115"/>
      <c r="AI300" s="115"/>
      <c r="AJ300" s="25"/>
      <c r="AK300" s="25"/>
      <c r="AP300" s="116"/>
      <c r="AQ300" s="123"/>
      <c r="AR300" s="123"/>
      <c r="AS300" s="123"/>
      <c r="AX300" s="115"/>
      <c r="AY300" s="115"/>
      <c r="AZ300" s="115"/>
      <c r="BA300" s="115"/>
      <c r="BB300" s="115"/>
      <c r="BC300" s="115"/>
      <c r="BD300" s="115"/>
      <c r="BE300" s="115"/>
      <c r="BF300" s="115"/>
      <c r="BG300" s="115"/>
      <c r="BH300" s="25"/>
      <c r="BI300" s="13"/>
      <c r="BL300" s="114"/>
    </row>
    <row r="301" spans="1:64" ht="20.100000000000001" customHeight="1" x14ac:dyDescent="0.4">
      <c r="A301" s="117"/>
      <c r="B301" s="123"/>
      <c r="C301" s="123"/>
      <c r="D301" s="123"/>
      <c r="Q301" s="115"/>
      <c r="R301" s="115"/>
      <c r="S301" s="115"/>
      <c r="T301" s="115"/>
      <c r="U301" s="115"/>
      <c r="V301" s="115"/>
      <c r="W301" s="115"/>
      <c r="X301" s="115"/>
      <c r="Y301" s="127"/>
      <c r="Z301" s="29"/>
      <c r="AD301" s="115"/>
      <c r="AE301" s="115"/>
      <c r="AF301" s="115"/>
      <c r="AG301" s="115"/>
      <c r="AH301" s="115"/>
      <c r="AI301" s="115"/>
      <c r="AJ301" s="25"/>
      <c r="AK301" s="25"/>
      <c r="AP301" s="116"/>
      <c r="AQ301" s="123"/>
      <c r="AR301" s="123"/>
      <c r="AS301" s="123"/>
      <c r="AX301" s="115"/>
      <c r="AY301" s="115"/>
      <c r="AZ301" s="115"/>
      <c r="BA301" s="115"/>
      <c r="BB301" s="115"/>
      <c r="BC301" s="115"/>
      <c r="BD301" s="115"/>
      <c r="BE301" s="115"/>
      <c r="BF301" s="115"/>
      <c r="BG301" s="115"/>
      <c r="BH301" s="25"/>
      <c r="BI301" s="13"/>
      <c r="BL301" s="114"/>
    </row>
    <row r="302" spans="1:64" ht="20.100000000000001" customHeight="1" x14ac:dyDescent="0.4">
      <c r="A302" s="117"/>
      <c r="B302" s="123"/>
      <c r="C302" s="123"/>
      <c r="D302" s="123"/>
      <c r="Q302" s="115"/>
      <c r="R302" s="115"/>
      <c r="S302" s="115"/>
      <c r="T302" s="115"/>
      <c r="U302" s="115"/>
      <c r="V302" s="115"/>
      <c r="W302" s="115"/>
      <c r="X302" s="115"/>
      <c r="Y302" s="29"/>
      <c r="Z302" s="29"/>
      <c r="AD302" s="115"/>
      <c r="AE302" s="115"/>
      <c r="AF302" s="115"/>
      <c r="AG302" s="115"/>
      <c r="AH302" s="115"/>
      <c r="AI302" s="115"/>
      <c r="AJ302" s="25"/>
      <c r="AK302" s="25"/>
      <c r="AP302" s="116"/>
      <c r="AQ302" s="123"/>
      <c r="AR302" s="123"/>
      <c r="AS302" s="123"/>
      <c r="AX302" s="115"/>
      <c r="AY302" s="115"/>
      <c r="AZ302" s="115"/>
      <c r="BA302" s="115"/>
      <c r="BB302" s="115"/>
      <c r="BC302" s="115"/>
      <c r="BD302" s="115"/>
      <c r="BE302" s="115"/>
      <c r="BF302" s="115"/>
      <c r="BG302" s="115"/>
      <c r="BH302" s="25"/>
      <c r="BI302" s="13"/>
      <c r="BL302" s="114"/>
    </row>
    <row r="303" spans="1:64" ht="20.100000000000001" customHeight="1" x14ac:dyDescent="0.4">
      <c r="A303" s="117"/>
      <c r="B303" s="123"/>
      <c r="C303" s="123"/>
      <c r="D303" s="123"/>
      <c r="P303" s="115"/>
      <c r="Q303" s="115"/>
      <c r="R303" s="115"/>
      <c r="S303" s="115"/>
      <c r="T303" s="115"/>
      <c r="U303" s="115"/>
      <c r="V303" s="115"/>
      <c r="W303" s="115"/>
      <c r="X303" s="115"/>
      <c r="Y303" s="127"/>
      <c r="Z303" s="29"/>
      <c r="AD303" s="115"/>
      <c r="AE303" s="115"/>
      <c r="AF303" s="115"/>
      <c r="AG303" s="115"/>
      <c r="AH303" s="115"/>
      <c r="AI303" s="115"/>
      <c r="AJ303" s="25"/>
      <c r="AK303" s="25"/>
      <c r="AP303" s="116"/>
      <c r="AQ303" s="123"/>
      <c r="AR303" s="123"/>
      <c r="AS303" s="123"/>
      <c r="AX303" s="115"/>
      <c r="AY303" s="115"/>
      <c r="AZ303" s="115"/>
      <c r="BA303" s="115"/>
      <c r="BB303" s="115"/>
      <c r="BC303" s="115"/>
      <c r="BD303" s="115"/>
      <c r="BE303" s="115"/>
      <c r="BF303" s="115"/>
      <c r="BG303" s="115"/>
      <c r="BH303" s="25"/>
      <c r="BI303" s="13"/>
      <c r="BL303" s="114"/>
    </row>
    <row r="304" spans="1:64" ht="20.100000000000001" customHeight="1" x14ac:dyDescent="0.4">
      <c r="A304" s="117"/>
      <c r="B304" s="123"/>
      <c r="C304" s="123"/>
      <c r="D304" s="123"/>
      <c r="Y304" s="127"/>
      <c r="Z304" s="29"/>
      <c r="AD304" s="115"/>
      <c r="AE304" s="115"/>
      <c r="AF304" s="115"/>
      <c r="AG304" s="115"/>
      <c r="AH304" s="115"/>
      <c r="AI304" s="115"/>
      <c r="AJ304" s="25">
        <v>45673</v>
      </c>
      <c r="AK304" s="13" t="s">
        <v>147</v>
      </c>
      <c r="AP304" s="116"/>
      <c r="AQ304" s="123"/>
      <c r="AR304" s="123"/>
      <c r="AS304" s="123"/>
      <c r="AX304" s="115"/>
      <c r="AY304" s="115"/>
      <c r="AZ304" s="115"/>
      <c r="BA304" s="115"/>
      <c r="BB304" s="115"/>
      <c r="BC304" s="115"/>
      <c r="BD304" s="115"/>
      <c r="BE304" s="115"/>
      <c r="BF304" s="115"/>
      <c r="BG304" s="115"/>
      <c r="BH304" s="25"/>
      <c r="BI304" s="13"/>
      <c r="BL304" s="114"/>
    </row>
    <row r="305" spans="1:64" ht="20.100000000000001" customHeight="1" x14ac:dyDescent="0.4">
      <c r="A305" s="117"/>
      <c r="B305" s="123"/>
      <c r="C305" s="123"/>
      <c r="D305" s="123"/>
      <c r="R305" s="115"/>
      <c r="S305" s="115"/>
      <c r="T305" s="115"/>
      <c r="U305" s="115"/>
      <c r="V305" s="115"/>
      <c r="W305" s="115"/>
      <c r="X305" s="115"/>
      <c r="Y305" s="127"/>
      <c r="Z305" s="29"/>
      <c r="AD305" s="115"/>
      <c r="AE305" s="115"/>
      <c r="AF305" s="115"/>
      <c r="AG305" s="115"/>
      <c r="AH305" s="115"/>
      <c r="AI305" s="115"/>
      <c r="AJ305" s="25"/>
      <c r="AK305" s="13"/>
      <c r="AP305" s="116"/>
      <c r="AQ305" s="123"/>
      <c r="AR305" s="123"/>
      <c r="AS305" s="123"/>
      <c r="AX305" s="115"/>
      <c r="AY305" s="115"/>
      <c r="AZ305" s="115"/>
      <c r="BA305" s="115"/>
      <c r="BB305" s="115"/>
      <c r="BC305" s="115"/>
      <c r="BD305" s="115"/>
      <c r="BE305" s="115"/>
      <c r="BF305" s="115"/>
      <c r="BG305" s="115"/>
      <c r="BH305" s="25"/>
      <c r="BI305" s="13"/>
      <c r="BL305" s="114"/>
    </row>
    <row r="306" spans="1:64" ht="20.100000000000001" customHeight="1" x14ac:dyDescent="0.4">
      <c r="A306" s="117"/>
      <c r="B306" s="123"/>
      <c r="C306" s="123"/>
      <c r="D306" s="123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27"/>
      <c r="Z306" s="29"/>
      <c r="AD306" s="115"/>
      <c r="AE306" s="115"/>
      <c r="AF306" s="115"/>
      <c r="AG306" s="115"/>
      <c r="AH306" s="115"/>
      <c r="AI306" s="115"/>
      <c r="AJ306" s="25"/>
      <c r="AK306" s="13"/>
      <c r="AP306" s="116"/>
      <c r="AQ306" s="123"/>
      <c r="AR306" s="123"/>
      <c r="AS306" s="123"/>
      <c r="AX306" s="115"/>
      <c r="AY306" s="115"/>
      <c r="AZ306" s="115"/>
      <c r="BA306" s="115"/>
      <c r="BB306" s="115"/>
      <c r="BC306" s="115"/>
      <c r="BD306" s="115"/>
      <c r="BE306" s="115"/>
      <c r="BF306" s="115"/>
      <c r="BG306" s="115"/>
      <c r="BH306" s="25"/>
      <c r="BI306" s="13"/>
      <c r="BL306" s="114"/>
    </row>
    <row r="307" spans="1:64" ht="20.100000000000001" customHeight="1" x14ac:dyDescent="0.4">
      <c r="A307" s="117"/>
      <c r="B307" s="123"/>
      <c r="C307" s="123"/>
      <c r="D307" s="123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29"/>
      <c r="Z307" s="29"/>
      <c r="AD307" s="115"/>
      <c r="AE307" s="115"/>
      <c r="AF307" s="115"/>
      <c r="AG307" s="115"/>
      <c r="AH307" s="115"/>
      <c r="AI307" s="115"/>
      <c r="AJ307" s="25"/>
      <c r="AK307" s="13"/>
      <c r="AP307" s="116"/>
      <c r="AQ307" s="123"/>
      <c r="AR307" s="123"/>
      <c r="AS307" s="123"/>
      <c r="AX307" s="115"/>
      <c r="AY307" s="115"/>
      <c r="AZ307" s="115"/>
      <c r="BA307" s="115"/>
      <c r="BB307" s="115"/>
      <c r="BC307" s="115"/>
      <c r="BD307" s="115"/>
      <c r="BE307" s="115"/>
      <c r="BF307" s="115"/>
      <c r="BG307" s="115"/>
      <c r="BH307" s="25"/>
      <c r="BI307" s="13"/>
      <c r="BL307" s="114"/>
    </row>
    <row r="308" spans="1:64" ht="20.100000000000001" customHeight="1" x14ac:dyDescent="0.4">
      <c r="A308" s="117"/>
      <c r="B308" s="123"/>
      <c r="C308" s="123"/>
      <c r="D308" s="123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27"/>
      <c r="Z308" s="29"/>
      <c r="AD308" s="115"/>
      <c r="AE308" s="115"/>
      <c r="AF308" s="115"/>
      <c r="AG308" s="115"/>
      <c r="AH308" s="115"/>
      <c r="AI308" s="115"/>
      <c r="AJ308" s="25"/>
      <c r="AK308" s="13"/>
      <c r="AP308" s="116"/>
      <c r="AQ308" s="123"/>
      <c r="AR308" s="123"/>
      <c r="AS308" s="123"/>
      <c r="AX308" s="115"/>
      <c r="AY308" s="115"/>
      <c r="AZ308" s="115"/>
      <c r="BA308" s="115"/>
      <c r="BB308" s="115"/>
      <c r="BC308" s="115"/>
      <c r="BD308" s="115"/>
      <c r="BE308" s="115"/>
      <c r="BF308" s="115"/>
      <c r="BG308" s="115"/>
      <c r="BH308" s="25"/>
      <c r="BI308" s="13"/>
      <c r="BL308" s="114"/>
    </row>
    <row r="309" spans="1:64" ht="20.100000000000001" customHeight="1" x14ac:dyDescent="0.4">
      <c r="A309" s="117"/>
      <c r="B309" s="123"/>
      <c r="C309" s="123"/>
      <c r="D309" s="123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29"/>
      <c r="Z309" s="29"/>
      <c r="AD309" s="115"/>
      <c r="AE309" s="115"/>
      <c r="AF309" s="115"/>
      <c r="AG309" s="115"/>
      <c r="AH309" s="115"/>
      <c r="AI309" s="115"/>
      <c r="AJ309" s="25"/>
      <c r="AK309" s="13"/>
      <c r="AP309" s="116"/>
      <c r="AQ309" s="123"/>
      <c r="AR309" s="123"/>
      <c r="AS309" s="123"/>
      <c r="AX309" s="115"/>
      <c r="AY309" s="115"/>
      <c r="AZ309" s="115"/>
      <c r="BA309" s="115"/>
      <c r="BB309" s="115"/>
      <c r="BC309" s="115"/>
      <c r="BD309" s="115"/>
      <c r="BE309" s="115"/>
      <c r="BF309" s="115"/>
      <c r="BG309" s="115"/>
      <c r="BH309" s="25"/>
      <c r="BI309" s="13"/>
      <c r="BL309" s="114"/>
    </row>
    <row r="310" spans="1:64" ht="20.100000000000001" customHeight="1" x14ac:dyDescent="0.4">
      <c r="A310" s="117"/>
      <c r="B310" s="123"/>
      <c r="C310" s="123"/>
      <c r="D310" s="123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27"/>
      <c r="Z310" s="29"/>
      <c r="AD310" s="115"/>
      <c r="AE310" s="115"/>
      <c r="AF310" s="115"/>
      <c r="AG310" s="115"/>
      <c r="AH310" s="115"/>
      <c r="AI310" s="115"/>
      <c r="AJ310" s="25"/>
      <c r="AK310" s="13"/>
      <c r="AP310" s="116"/>
      <c r="AQ310" s="123"/>
      <c r="AR310" s="123"/>
      <c r="AS310" s="123"/>
      <c r="AX310" s="115"/>
      <c r="AY310" s="115"/>
      <c r="AZ310" s="115"/>
      <c r="BA310" s="115"/>
      <c r="BB310" s="115"/>
      <c r="BC310" s="115"/>
      <c r="BD310" s="115"/>
      <c r="BE310" s="115"/>
      <c r="BF310" s="115"/>
      <c r="BG310" s="115"/>
      <c r="BH310" s="25"/>
      <c r="BI310" s="13"/>
      <c r="BL310" s="114"/>
    </row>
    <row r="311" spans="1:64" ht="20.100000000000001" customHeight="1" x14ac:dyDescent="0.4">
      <c r="A311" s="117"/>
      <c r="B311" s="123"/>
      <c r="C311" s="123"/>
      <c r="D311" s="123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29"/>
      <c r="Z311" s="29"/>
      <c r="AD311" s="115"/>
      <c r="AE311" s="115"/>
      <c r="AF311" s="115"/>
      <c r="AG311" s="115"/>
      <c r="AH311" s="115"/>
      <c r="AI311" s="115"/>
      <c r="AJ311" s="25"/>
      <c r="AK311" s="13"/>
      <c r="AP311" s="116"/>
      <c r="AQ311" s="123"/>
      <c r="AR311" s="123"/>
      <c r="AS311" s="123"/>
      <c r="AX311" s="115"/>
      <c r="AY311" s="115"/>
      <c r="AZ311" s="115"/>
      <c r="BA311" s="115"/>
      <c r="BB311" s="115"/>
      <c r="BC311" s="115"/>
      <c r="BD311" s="115"/>
      <c r="BE311" s="115"/>
      <c r="BF311" s="115"/>
      <c r="BG311" s="115"/>
      <c r="BH311" s="25"/>
      <c r="BI311" s="13"/>
      <c r="BL311" s="114"/>
    </row>
    <row r="312" spans="1:64" ht="20.100000000000001" customHeight="1" x14ac:dyDescent="0.4">
      <c r="A312" s="117"/>
      <c r="B312" s="123"/>
      <c r="C312" s="123"/>
      <c r="D312" s="123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27"/>
      <c r="Z312" s="127"/>
      <c r="AD312" s="115"/>
      <c r="AE312" s="115"/>
      <c r="AF312" s="115"/>
      <c r="AG312" s="115"/>
      <c r="AH312" s="115"/>
      <c r="AI312" s="115"/>
      <c r="AJ312" s="25"/>
      <c r="AK312" s="13"/>
      <c r="AP312" s="116"/>
      <c r="AQ312" s="123"/>
      <c r="AR312" s="123"/>
      <c r="AS312" s="123"/>
      <c r="AX312" s="115"/>
      <c r="AY312" s="115"/>
      <c r="AZ312" s="115"/>
      <c r="BA312" s="115"/>
      <c r="BB312" s="115"/>
      <c r="BC312" s="115"/>
      <c r="BD312" s="115"/>
      <c r="BE312" s="115"/>
      <c r="BF312" s="115"/>
      <c r="BG312" s="115"/>
      <c r="BH312" s="25"/>
      <c r="BI312" s="13"/>
      <c r="BL312" s="114"/>
    </row>
    <row r="313" spans="1:64" ht="20.100000000000001" customHeight="1" x14ac:dyDescent="0.4">
      <c r="A313" s="117"/>
      <c r="B313" s="123"/>
      <c r="C313" s="123"/>
      <c r="D313" s="123"/>
      <c r="Y313" s="127"/>
      <c r="Z313" s="127"/>
      <c r="AD313" s="115"/>
      <c r="AE313" s="115"/>
      <c r="AF313" s="115"/>
      <c r="AG313" s="115"/>
      <c r="AH313" s="115"/>
      <c r="AI313" s="115"/>
      <c r="AJ313" s="25">
        <v>45673</v>
      </c>
      <c r="AK313" s="13" t="s">
        <v>147</v>
      </c>
      <c r="AP313" s="116"/>
      <c r="AQ313" s="123"/>
      <c r="AR313" s="123"/>
      <c r="AS313" s="123"/>
      <c r="AX313" s="115"/>
      <c r="AY313" s="115"/>
      <c r="AZ313" s="115"/>
      <c r="BA313" s="115"/>
      <c r="BB313" s="115"/>
      <c r="BC313" s="115"/>
      <c r="BD313" s="115"/>
      <c r="BE313" s="115"/>
      <c r="BF313" s="115"/>
      <c r="BG313" s="115"/>
      <c r="BH313" s="25"/>
      <c r="BI313" s="13"/>
      <c r="BL313" s="114"/>
    </row>
    <row r="314" spans="1:64" ht="20.100000000000001" customHeight="1" x14ac:dyDescent="0.4">
      <c r="A314" s="117"/>
      <c r="B314" s="123"/>
      <c r="C314" s="123"/>
      <c r="D314" s="123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27"/>
      <c r="Z314" s="29"/>
      <c r="AD314" s="115"/>
      <c r="AE314" s="115"/>
      <c r="AF314" s="115"/>
      <c r="AG314" s="115"/>
      <c r="AH314" s="115"/>
      <c r="AI314" s="115"/>
      <c r="AJ314" s="25"/>
      <c r="AK314" s="13"/>
      <c r="AP314" s="116"/>
      <c r="AQ314" s="123"/>
      <c r="AR314" s="123"/>
      <c r="AS314" s="123"/>
      <c r="AX314" s="115"/>
      <c r="AY314" s="115"/>
      <c r="AZ314" s="115"/>
      <c r="BA314" s="115"/>
      <c r="BB314" s="115"/>
      <c r="BC314" s="115"/>
      <c r="BD314" s="115"/>
      <c r="BE314" s="115"/>
      <c r="BF314" s="115"/>
      <c r="BG314" s="115"/>
      <c r="BH314" s="25"/>
      <c r="BI314" s="13"/>
      <c r="BL314" s="114"/>
    </row>
    <row r="315" spans="1:64" ht="20.100000000000001" customHeight="1" x14ac:dyDescent="0.4">
      <c r="A315" s="117"/>
      <c r="B315" s="123"/>
      <c r="C315" s="123"/>
      <c r="D315" s="123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27"/>
      <c r="Z315" s="29"/>
      <c r="AD315" s="115"/>
      <c r="AE315" s="115"/>
      <c r="AF315" s="115"/>
      <c r="AG315" s="115"/>
      <c r="AH315" s="115"/>
      <c r="AI315" s="115"/>
      <c r="AJ315" s="25"/>
      <c r="AK315" s="13"/>
      <c r="AP315" s="116"/>
      <c r="AQ315" s="123"/>
      <c r="AR315" s="123"/>
      <c r="AS315" s="123"/>
      <c r="AX315" s="115"/>
      <c r="AY315" s="115"/>
      <c r="AZ315" s="115"/>
      <c r="BA315" s="115"/>
      <c r="BB315" s="115"/>
      <c r="BC315" s="115"/>
      <c r="BD315" s="115"/>
      <c r="BE315" s="115"/>
      <c r="BF315" s="115"/>
      <c r="BG315" s="115"/>
      <c r="BH315" s="25"/>
      <c r="BI315" s="13"/>
      <c r="BL315" s="114"/>
    </row>
    <row r="316" spans="1:64" ht="20.100000000000001" customHeight="1" x14ac:dyDescent="0.4">
      <c r="A316" s="117"/>
      <c r="B316" s="123"/>
      <c r="C316" s="123"/>
      <c r="D316" s="123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27"/>
      <c r="Z316" s="29"/>
      <c r="AD316" s="115"/>
      <c r="AE316" s="115"/>
      <c r="AF316" s="115"/>
      <c r="AG316" s="115"/>
      <c r="AH316" s="115"/>
      <c r="AI316" s="115"/>
      <c r="AJ316" s="25"/>
      <c r="AK316" s="13"/>
      <c r="AP316" s="116"/>
      <c r="AQ316" s="123"/>
      <c r="AR316" s="123"/>
      <c r="AS316" s="123"/>
      <c r="AX316" s="115"/>
      <c r="AY316" s="115"/>
      <c r="AZ316" s="115"/>
      <c r="BA316" s="115"/>
      <c r="BB316" s="115"/>
      <c r="BC316" s="115"/>
      <c r="BD316" s="115"/>
      <c r="BE316" s="115"/>
      <c r="BF316" s="115"/>
      <c r="BG316" s="115"/>
      <c r="BH316" s="25"/>
      <c r="BI316" s="13"/>
      <c r="BL316" s="114"/>
    </row>
    <row r="317" spans="1:64" ht="20.100000000000001" customHeight="1" x14ac:dyDescent="0.4">
      <c r="A317" s="117"/>
      <c r="B317" s="123"/>
      <c r="C317" s="123"/>
      <c r="D317" s="123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27"/>
      <c r="Z317" s="29"/>
      <c r="AD317" s="115"/>
      <c r="AE317" s="115"/>
      <c r="AF317" s="115"/>
      <c r="AG317" s="115"/>
      <c r="AH317" s="115"/>
      <c r="AI317" s="115"/>
      <c r="AJ317" s="25"/>
      <c r="AK317" s="13"/>
      <c r="AP317" s="116"/>
      <c r="AQ317" s="123"/>
      <c r="AR317" s="123"/>
      <c r="AS317" s="123"/>
      <c r="AX317" s="115"/>
      <c r="AY317" s="115"/>
      <c r="AZ317" s="115"/>
      <c r="BA317" s="115"/>
      <c r="BB317" s="115"/>
      <c r="BC317" s="115"/>
      <c r="BD317" s="115"/>
      <c r="BE317" s="115"/>
      <c r="BF317" s="115"/>
      <c r="BG317" s="115"/>
      <c r="BH317" s="25"/>
      <c r="BI317" s="13"/>
      <c r="BL317" s="114"/>
    </row>
    <row r="318" spans="1:64" ht="20.100000000000001" customHeight="1" x14ac:dyDescent="0.4">
      <c r="A318" s="117"/>
      <c r="B318" s="123"/>
      <c r="C318" s="123"/>
      <c r="D318" s="123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29"/>
      <c r="Z318" s="29"/>
      <c r="AD318" s="115"/>
      <c r="AE318" s="115"/>
      <c r="AF318" s="115"/>
      <c r="AG318" s="115"/>
      <c r="AH318" s="115"/>
      <c r="AI318" s="115"/>
      <c r="AJ318" s="25"/>
      <c r="AK318" s="13"/>
      <c r="AP318" s="116"/>
      <c r="AQ318" s="123"/>
      <c r="AR318" s="123"/>
      <c r="AS318" s="123"/>
      <c r="AX318" s="115"/>
      <c r="AY318" s="115"/>
      <c r="AZ318" s="115"/>
      <c r="BA318" s="115"/>
      <c r="BB318" s="115"/>
      <c r="BC318" s="115"/>
      <c r="BD318" s="115"/>
      <c r="BE318" s="115"/>
      <c r="BF318" s="115"/>
      <c r="BG318" s="115"/>
      <c r="BH318" s="25"/>
      <c r="BI318" s="13"/>
      <c r="BL318" s="114"/>
    </row>
    <row r="319" spans="1:64" ht="20.100000000000001" customHeight="1" x14ac:dyDescent="0.4">
      <c r="A319" s="117"/>
      <c r="B319" s="123"/>
      <c r="C319" s="123"/>
      <c r="D319" s="123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29"/>
      <c r="Z319" s="29"/>
      <c r="AD319" s="115"/>
      <c r="AE319" s="115"/>
      <c r="AF319" s="115"/>
      <c r="AG319" s="115"/>
      <c r="AH319" s="115"/>
      <c r="AI319" s="115"/>
      <c r="AJ319" s="25"/>
      <c r="AK319" s="13"/>
      <c r="AP319" s="116"/>
      <c r="AQ319" s="123"/>
      <c r="AR319" s="123"/>
      <c r="AS319" s="123"/>
      <c r="AX319" s="115"/>
      <c r="AY319" s="115"/>
      <c r="AZ319" s="115"/>
      <c r="BA319" s="115"/>
      <c r="BB319" s="115"/>
      <c r="BC319" s="115"/>
      <c r="BD319" s="115"/>
      <c r="BE319" s="115"/>
      <c r="BF319" s="115"/>
      <c r="BG319" s="115"/>
      <c r="BH319" s="25"/>
      <c r="BI319" s="13"/>
      <c r="BL319" s="114"/>
    </row>
    <row r="320" spans="1:64" ht="20.100000000000001" customHeight="1" x14ac:dyDescent="0.4">
      <c r="A320" s="117"/>
      <c r="B320" s="123"/>
      <c r="C320" s="123"/>
      <c r="D320" s="123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27"/>
      <c r="Z320" s="29"/>
      <c r="AD320" s="115"/>
      <c r="AE320" s="115"/>
      <c r="AF320" s="115"/>
      <c r="AG320" s="115"/>
      <c r="AH320" s="115"/>
      <c r="AI320" s="115"/>
      <c r="AJ320" s="25"/>
      <c r="AK320" s="13"/>
      <c r="AP320" s="116"/>
      <c r="AQ320" s="123"/>
      <c r="AR320" s="123"/>
      <c r="AS320" s="123"/>
      <c r="AX320" s="115"/>
      <c r="AY320" s="115"/>
      <c r="AZ320" s="115"/>
      <c r="BA320" s="115"/>
      <c r="BB320" s="115"/>
      <c r="BC320" s="115"/>
      <c r="BD320" s="115"/>
      <c r="BE320" s="115"/>
      <c r="BF320" s="115"/>
      <c r="BG320" s="115"/>
      <c r="BH320" s="25"/>
      <c r="BI320" s="13"/>
      <c r="BL320" s="114"/>
    </row>
    <row r="321" spans="1:64" ht="20.100000000000001" customHeight="1" x14ac:dyDescent="0.4">
      <c r="A321" s="117"/>
      <c r="B321" s="123"/>
      <c r="C321" s="123"/>
      <c r="D321" s="123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27"/>
      <c r="Z321" s="29"/>
      <c r="AD321" s="115"/>
      <c r="AE321" s="115"/>
      <c r="AF321" s="115"/>
      <c r="AG321" s="115"/>
      <c r="AH321" s="115"/>
      <c r="AI321" s="115"/>
      <c r="AJ321" s="25"/>
      <c r="AK321" s="13"/>
      <c r="AP321" s="116"/>
      <c r="AQ321" s="123"/>
      <c r="AR321" s="123"/>
      <c r="AS321" s="123"/>
      <c r="AX321" s="115"/>
      <c r="AY321" s="115"/>
      <c r="AZ321" s="115"/>
      <c r="BA321" s="115"/>
      <c r="BB321" s="115"/>
      <c r="BC321" s="115"/>
      <c r="BD321" s="115"/>
      <c r="BE321" s="115"/>
      <c r="BF321" s="115"/>
      <c r="BG321" s="115"/>
      <c r="BH321" s="25"/>
      <c r="BI321" s="13"/>
      <c r="BL321" s="114"/>
    </row>
    <row r="322" spans="1:64" ht="20.100000000000001" customHeight="1" x14ac:dyDescent="0.4">
      <c r="A322" s="117"/>
      <c r="B322" s="123"/>
      <c r="C322" s="123"/>
      <c r="D322" s="123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27"/>
      <c r="Z322" s="29"/>
      <c r="AD322" s="115"/>
      <c r="AE322" s="115"/>
      <c r="AF322" s="115"/>
      <c r="AG322" s="115"/>
      <c r="AH322" s="115"/>
      <c r="AI322" s="115"/>
      <c r="AJ322" s="25"/>
      <c r="AK322" s="13"/>
      <c r="AP322" s="116"/>
      <c r="AQ322" s="123"/>
      <c r="AR322" s="123"/>
      <c r="AS322" s="123"/>
      <c r="AX322" s="115"/>
      <c r="AY322" s="115"/>
      <c r="AZ322" s="115"/>
      <c r="BA322" s="115"/>
      <c r="BB322" s="115"/>
      <c r="BC322" s="115"/>
      <c r="BD322" s="115"/>
      <c r="BE322" s="115"/>
      <c r="BF322" s="115"/>
      <c r="BG322" s="115"/>
      <c r="BH322" s="25"/>
      <c r="BI322" s="13"/>
      <c r="BL322" s="114"/>
    </row>
    <row r="323" spans="1:64" ht="20.100000000000001" customHeight="1" x14ac:dyDescent="0.4">
      <c r="A323" s="117"/>
      <c r="B323" s="123"/>
      <c r="C323" s="123"/>
      <c r="D323" s="123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27"/>
      <c r="Z323" s="29"/>
      <c r="AD323" s="115"/>
      <c r="AE323" s="115"/>
      <c r="AF323" s="115"/>
      <c r="AG323" s="115"/>
      <c r="AH323" s="115"/>
      <c r="AI323" s="115"/>
      <c r="AJ323" s="25"/>
      <c r="AK323" s="13"/>
      <c r="AP323" s="116"/>
      <c r="AQ323" s="123"/>
      <c r="AR323" s="123"/>
      <c r="AS323" s="123"/>
      <c r="AX323" s="115"/>
      <c r="AY323" s="115"/>
      <c r="AZ323" s="115"/>
      <c r="BA323" s="115"/>
      <c r="BB323" s="115"/>
      <c r="BC323" s="115"/>
      <c r="BD323" s="115"/>
      <c r="BE323" s="115"/>
      <c r="BF323" s="115"/>
      <c r="BG323" s="115"/>
      <c r="BH323" s="25"/>
      <c r="BI323" s="13"/>
      <c r="BL323" s="114"/>
    </row>
    <row r="324" spans="1:64" ht="20.100000000000001" customHeight="1" x14ac:dyDescent="0.4">
      <c r="A324" s="117"/>
      <c r="B324" s="123"/>
      <c r="C324" s="123"/>
      <c r="D324" s="123"/>
      <c r="Y324" s="127"/>
      <c r="Z324" s="29"/>
      <c r="AB324" s="115"/>
      <c r="AC324" s="115"/>
      <c r="AD324" s="115"/>
      <c r="AE324" s="115"/>
      <c r="AF324" s="115"/>
      <c r="AG324" s="115"/>
      <c r="AH324" s="115"/>
      <c r="AI324" s="115"/>
      <c r="AJ324" s="25">
        <v>45673</v>
      </c>
      <c r="AK324" s="13" t="s">
        <v>148</v>
      </c>
      <c r="AP324" s="116"/>
      <c r="AQ324" s="123"/>
      <c r="AR324" s="123"/>
      <c r="AS324" s="123"/>
      <c r="AX324" s="115"/>
      <c r="AY324" s="115"/>
      <c r="AZ324" s="115"/>
      <c r="BA324" s="115"/>
      <c r="BB324" s="115"/>
      <c r="BC324" s="115"/>
      <c r="BD324" s="115"/>
      <c r="BE324" s="115"/>
      <c r="BF324" s="115"/>
      <c r="BG324" s="115"/>
      <c r="BH324" s="25"/>
      <c r="BI324" s="13"/>
      <c r="BL324" s="114"/>
    </row>
    <row r="325" spans="1:64" ht="20.100000000000001" customHeight="1" x14ac:dyDescent="0.4">
      <c r="A325" s="117"/>
      <c r="B325" s="123"/>
      <c r="C325" s="123"/>
      <c r="D325" s="123"/>
      <c r="R325" s="115"/>
      <c r="S325" s="115"/>
      <c r="T325" s="115"/>
      <c r="U325" s="115"/>
      <c r="V325" s="115"/>
      <c r="W325" s="115"/>
      <c r="X325" s="115"/>
      <c r="Y325" s="29"/>
      <c r="Z325" s="29"/>
      <c r="AB325" s="115"/>
      <c r="AC325" s="115"/>
      <c r="AD325" s="115"/>
      <c r="AE325" s="115"/>
      <c r="AF325" s="115"/>
      <c r="AG325" s="115"/>
      <c r="AH325" s="115"/>
      <c r="AI325" s="115"/>
      <c r="AJ325" s="25"/>
      <c r="AK325" s="13"/>
      <c r="AP325" s="116"/>
      <c r="AQ325" s="123"/>
      <c r="AR325" s="123"/>
      <c r="AS325" s="123"/>
      <c r="AX325" s="115"/>
      <c r="AY325" s="115"/>
      <c r="AZ325" s="115"/>
      <c r="BA325" s="115"/>
      <c r="BB325" s="115"/>
      <c r="BC325" s="115"/>
      <c r="BD325" s="115"/>
      <c r="BE325" s="115"/>
      <c r="BF325" s="115"/>
      <c r="BG325" s="115"/>
      <c r="BH325" s="25"/>
      <c r="BI325" s="13"/>
      <c r="BL325" s="114"/>
    </row>
    <row r="326" spans="1:64" ht="20.100000000000001" customHeight="1" x14ac:dyDescent="0.4">
      <c r="A326" s="117"/>
      <c r="B326" s="123"/>
      <c r="C326" s="123"/>
      <c r="D326" s="123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27"/>
      <c r="Z326" s="29"/>
      <c r="AB326" s="115"/>
      <c r="AC326" s="115"/>
      <c r="AD326" s="115"/>
      <c r="AE326" s="115"/>
      <c r="AF326" s="115"/>
      <c r="AG326" s="115"/>
      <c r="AH326" s="115"/>
      <c r="AI326" s="115"/>
      <c r="AJ326" s="25"/>
      <c r="AK326" s="13"/>
      <c r="AP326" s="116"/>
      <c r="AQ326" s="123"/>
      <c r="AR326" s="123"/>
      <c r="AS326" s="123"/>
      <c r="AX326" s="115"/>
      <c r="AY326" s="115"/>
      <c r="AZ326" s="115"/>
      <c r="BA326" s="115"/>
      <c r="BB326" s="115"/>
      <c r="BC326" s="115"/>
      <c r="BD326" s="115"/>
      <c r="BE326" s="115"/>
      <c r="BF326" s="115"/>
      <c r="BG326" s="115"/>
      <c r="BH326" s="25"/>
      <c r="BI326" s="13"/>
      <c r="BL326" s="114"/>
    </row>
    <row r="327" spans="1:64" ht="20.100000000000001" customHeight="1" x14ac:dyDescent="0.4">
      <c r="A327" s="117"/>
      <c r="B327" s="123"/>
      <c r="C327" s="123"/>
      <c r="D327" s="123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27"/>
      <c r="Z327" s="29"/>
      <c r="AB327" s="115"/>
      <c r="AC327" s="115"/>
      <c r="AD327" s="115"/>
      <c r="AE327" s="115"/>
      <c r="AF327" s="115"/>
      <c r="AG327" s="115"/>
      <c r="AH327" s="115"/>
      <c r="AI327" s="115"/>
      <c r="AJ327" s="25"/>
      <c r="AK327" s="13"/>
      <c r="AP327" s="116"/>
      <c r="AQ327" s="123"/>
      <c r="AR327" s="123"/>
      <c r="AS327" s="123"/>
      <c r="AX327" s="115"/>
      <c r="AY327" s="115"/>
      <c r="AZ327" s="115"/>
      <c r="BA327" s="115"/>
      <c r="BB327" s="115"/>
      <c r="BC327" s="115"/>
      <c r="BD327" s="115"/>
      <c r="BE327" s="115"/>
      <c r="BF327" s="115"/>
      <c r="BG327" s="115"/>
      <c r="BH327" s="25"/>
      <c r="BI327" s="13"/>
      <c r="BL327" s="114"/>
    </row>
    <row r="328" spans="1:64" ht="20.100000000000001" customHeight="1" x14ac:dyDescent="0.4">
      <c r="A328" s="117"/>
      <c r="B328" s="123"/>
      <c r="C328" s="123"/>
      <c r="D328" s="123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27"/>
      <c r="Z328" s="29"/>
      <c r="AB328" s="115"/>
      <c r="AC328" s="115"/>
      <c r="AD328" s="115"/>
      <c r="AE328" s="115"/>
      <c r="AF328" s="115"/>
      <c r="AG328" s="115"/>
      <c r="AH328" s="115"/>
      <c r="AI328" s="115"/>
      <c r="AJ328" s="25"/>
      <c r="AK328" s="13"/>
      <c r="AP328" s="116"/>
      <c r="AQ328" s="123"/>
      <c r="AR328" s="123"/>
      <c r="AS328" s="123"/>
      <c r="AX328" s="115"/>
      <c r="AY328" s="115"/>
      <c r="AZ328" s="115"/>
      <c r="BA328" s="115"/>
      <c r="BB328" s="115"/>
      <c r="BC328" s="115"/>
      <c r="BD328" s="115"/>
      <c r="BE328" s="115"/>
      <c r="BF328" s="115"/>
      <c r="BG328" s="115"/>
      <c r="BH328" s="25"/>
      <c r="BI328" s="13"/>
      <c r="BL328" s="114"/>
    </row>
    <row r="329" spans="1:64" ht="20.100000000000001" customHeight="1" x14ac:dyDescent="0.4">
      <c r="A329" s="117"/>
      <c r="B329" s="123"/>
      <c r="C329" s="123"/>
      <c r="D329" s="123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27"/>
      <c r="Z329" s="29"/>
      <c r="AB329" s="115"/>
      <c r="AC329" s="115"/>
      <c r="AD329" s="115"/>
      <c r="AE329" s="115"/>
      <c r="AF329" s="115"/>
      <c r="AG329" s="115"/>
      <c r="AH329" s="115"/>
      <c r="AI329" s="115"/>
      <c r="AJ329" s="25"/>
      <c r="AK329" s="13"/>
      <c r="AP329" s="116"/>
      <c r="AQ329" s="123"/>
      <c r="AR329" s="123"/>
      <c r="AS329" s="123"/>
      <c r="AX329" s="115"/>
      <c r="AY329" s="115"/>
      <c r="AZ329" s="115"/>
      <c r="BA329" s="115"/>
      <c r="BB329" s="115"/>
      <c r="BC329" s="115"/>
      <c r="BD329" s="115"/>
      <c r="BE329" s="115"/>
      <c r="BF329" s="115"/>
      <c r="BG329" s="115"/>
      <c r="BH329" s="25"/>
      <c r="BI329" s="13"/>
      <c r="BL329" s="114"/>
    </row>
    <row r="330" spans="1:64" ht="20.100000000000001" customHeight="1" x14ac:dyDescent="0.4">
      <c r="A330" s="117"/>
      <c r="B330" s="123"/>
      <c r="C330" s="123"/>
      <c r="D330" s="123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29"/>
      <c r="Z330" s="29"/>
      <c r="AB330" s="115"/>
      <c r="AC330" s="115"/>
      <c r="AD330" s="115"/>
      <c r="AE330" s="115"/>
      <c r="AF330" s="115"/>
      <c r="AG330" s="115"/>
      <c r="AH330" s="115"/>
      <c r="AI330" s="115"/>
      <c r="AJ330" s="25"/>
      <c r="AK330" s="13"/>
      <c r="AP330" s="116"/>
      <c r="AQ330" s="123"/>
      <c r="AR330" s="123"/>
      <c r="AS330" s="123"/>
      <c r="AX330" s="115"/>
      <c r="AY330" s="115"/>
      <c r="AZ330" s="115"/>
      <c r="BA330" s="115"/>
      <c r="BB330" s="115"/>
      <c r="BC330" s="115"/>
      <c r="BD330" s="115"/>
      <c r="BE330" s="115"/>
      <c r="BF330" s="115"/>
      <c r="BG330" s="115"/>
      <c r="BH330" s="25"/>
      <c r="BI330" s="13"/>
      <c r="BL330" s="114"/>
    </row>
    <row r="331" spans="1:64" ht="20.100000000000001" customHeight="1" x14ac:dyDescent="0.4">
      <c r="A331" s="117"/>
      <c r="B331" s="123"/>
      <c r="C331" s="123"/>
      <c r="D331" s="123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27"/>
      <c r="Z331" s="29"/>
      <c r="AB331" s="115"/>
      <c r="AC331" s="115"/>
      <c r="AD331" s="115"/>
      <c r="AE331" s="115"/>
      <c r="AF331" s="115"/>
      <c r="AG331" s="115"/>
      <c r="AH331" s="115"/>
      <c r="AI331" s="115"/>
      <c r="AJ331" s="25"/>
      <c r="AK331" s="13"/>
      <c r="AP331" s="116"/>
      <c r="AQ331" s="123"/>
      <c r="AR331" s="123"/>
      <c r="AS331" s="123"/>
      <c r="AX331" s="115"/>
      <c r="AY331" s="115"/>
      <c r="AZ331" s="115"/>
      <c r="BA331" s="115"/>
      <c r="BB331" s="115"/>
      <c r="BC331" s="115"/>
      <c r="BD331" s="115"/>
      <c r="BE331" s="115"/>
      <c r="BF331" s="115"/>
      <c r="BG331" s="115"/>
      <c r="BH331" s="25"/>
      <c r="BI331" s="13"/>
      <c r="BL331" s="114"/>
    </row>
    <row r="332" spans="1:64" ht="20.100000000000001" customHeight="1" x14ac:dyDescent="0.4">
      <c r="A332" s="117"/>
      <c r="B332" s="123"/>
      <c r="C332" s="123"/>
      <c r="D332" s="123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27"/>
      <c r="Z332" s="29"/>
      <c r="AB332" s="115"/>
      <c r="AC332" s="115"/>
      <c r="AD332" s="115"/>
      <c r="AE332" s="115"/>
      <c r="AF332" s="115"/>
      <c r="AG332" s="115"/>
      <c r="AH332" s="115"/>
      <c r="AI332" s="115"/>
      <c r="AJ332" s="25"/>
      <c r="AK332" s="13"/>
      <c r="AP332" s="116"/>
      <c r="AQ332" s="123"/>
      <c r="AR332" s="123"/>
      <c r="AS332" s="123"/>
      <c r="AX332" s="115"/>
      <c r="AY332" s="115"/>
      <c r="AZ332" s="115"/>
      <c r="BA332" s="115"/>
      <c r="BB332" s="115"/>
      <c r="BC332" s="115"/>
      <c r="BD332" s="115"/>
      <c r="BE332" s="115"/>
      <c r="BF332" s="115"/>
      <c r="BG332" s="115"/>
      <c r="BH332" s="25"/>
      <c r="BI332" s="13"/>
      <c r="BL332" s="114"/>
    </row>
    <row r="333" spans="1:64" ht="20.100000000000001" customHeight="1" x14ac:dyDescent="0.4">
      <c r="A333" s="117"/>
      <c r="B333" s="123"/>
      <c r="C333" s="123"/>
      <c r="D333" s="123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27"/>
      <c r="Z333" s="29"/>
      <c r="AB333" s="115"/>
      <c r="AC333" s="115"/>
      <c r="AD333" s="115"/>
      <c r="AE333" s="115"/>
      <c r="AF333" s="115"/>
      <c r="AG333" s="115"/>
      <c r="AH333" s="115"/>
      <c r="AI333" s="115"/>
      <c r="AJ333" s="25"/>
      <c r="AK333" s="13"/>
      <c r="AP333" s="116"/>
      <c r="AQ333" s="123"/>
      <c r="AR333" s="123"/>
      <c r="AS333" s="123"/>
      <c r="AX333" s="115"/>
      <c r="AY333" s="115"/>
      <c r="AZ333" s="115"/>
      <c r="BA333" s="115"/>
      <c r="BB333" s="115"/>
      <c r="BC333" s="115"/>
      <c r="BD333" s="115"/>
      <c r="BE333" s="115"/>
      <c r="BF333" s="115"/>
      <c r="BG333" s="115"/>
      <c r="BH333" s="25"/>
      <c r="BI333" s="13"/>
      <c r="BL333" s="114"/>
    </row>
    <row r="334" spans="1:64" ht="20.100000000000001" customHeight="1" x14ac:dyDescent="0.4">
      <c r="A334" s="117"/>
      <c r="B334" s="123"/>
      <c r="C334" s="123"/>
      <c r="D334" s="123"/>
      <c r="Y334" s="127"/>
      <c r="Z334" s="29"/>
      <c r="AB334" s="115"/>
      <c r="AC334" s="115"/>
      <c r="AD334" s="115"/>
      <c r="AE334" s="115"/>
      <c r="AF334" s="115"/>
      <c r="AG334" s="115"/>
      <c r="AH334" s="115"/>
      <c r="AI334" s="115"/>
      <c r="AJ334" s="25">
        <v>45673</v>
      </c>
      <c r="AK334" s="13" t="s">
        <v>147</v>
      </c>
      <c r="AP334" s="116"/>
      <c r="AQ334" s="123"/>
      <c r="AR334" s="123"/>
      <c r="AS334" s="123"/>
      <c r="AX334" s="115"/>
      <c r="AY334" s="115"/>
      <c r="AZ334" s="115"/>
      <c r="BA334" s="115"/>
      <c r="BB334" s="115"/>
      <c r="BC334" s="115"/>
      <c r="BD334" s="115"/>
      <c r="BE334" s="115"/>
      <c r="BF334" s="115"/>
      <c r="BG334" s="115"/>
      <c r="BH334" s="25"/>
      <c r="BI334" s="13"/>
      <c r="BL334" s="114"/>
    </row>
    <row r="335" spans="1:64" ht="20.100000000000001" customHeight="1" x14ac:dyDescent="0.4">
      <c r="A335" s="117"/>
      <c r="B335" s="123"/>
      <c r="C335" s="123"/>
      <c r="D335" s="123"/>
      <c r="R335" s="115"/>
      <c r="S335" s="115"/>
      <c r="T335" s="115"/>
      <c r="U335" s="115"/>
      <c r="V335" s="115"/>
      <c r="W335" s="115"/>
      <c r="X335" s="115"/>
      <c r="Y335" s="29"/>
      <c r="Z335" s="29"/>
      <c r="AB335" s="115"/>
      <c r="AC335" s="115"/>
      <c r="AD335" s="115"/>
      <c r="AE335" s="115"/>
      <c r="AF335" s="115"/>
      <c r="AG335" s="115"/>
      <c r="AH335" s="115"/>
      <c r="AI335" s="115"/>
      <c r="AJ335" s="25"/>
      <c r="AK335" s="13"/>
      <c r="AP335" s="116"/>
      <c r="AQ335" s="123"/>
      <c r="AR335" s="123"/>
      <c r="AS335" s="123"/>
      <c r="AX335" s="115"/>
      <c r="AY335" s="115"/>
      <c r="AZ335" s="115"/>
      <c r="BA335" s="115"/>
      <c r="BB335" s="115"/>
      <c r="BC335" s="115"/>
      <c r="BD335" s="115"/>
      <c r="BE335" s="115"/>
      <c r="BF335" s="115"/>
      <c r="BG335" s="115"/>
      <c r="BH335" s="25"/>
      <c r="BI335" s="13"/>
      <c r="BL335" s="114"/>
    </row>
    <row r="336" spans="1:64" ht="20.100000000000001" customHeight="1" x14ac:dyDescent="0.4">
      <c r="A336" s="117"/>
      <c r="B336" s="123"/>
      <c r="C336" s="123"/>
      <c r="D336" s="123"/>
      <c r="Y336" s="127"/>
      <c r="Z336" s="29"/>
      <c r="AB336" s="115"/>
      <c r="AC336" s="115"/>
      <c r="AD336" s="115"/>
      <c r="AE336" s="115"/>
      <c r="AF336" s="115"/>
      <c r="AG336" s="115"/>
      <c r="AH336" s="115"/>
      <c r="AI336" s="115"/>
      <c r="AJ336" s="25"/>
      <c r="AK336" s="13"/>
      <c r="AP336" s="116"/>
      <c r="AQ336" s="123"/>
      <c r="AR336" s="123"/>
      <c r="AS336" s="123"/>
      <c r="AX336" s="115"/>
      <c r="AY336" s="115"/>
      <c r="AZ336" s="115"/>
      <c r="BA336" s="115"/>
      <c r="BB336" s="115"/>
      <c r="BC336" s="115"/>
      <c r="BD336" s="115"/>
      <c r="BE336" s="115"/>
      <c r="BF336" s="115"/>
      <c r="BG336" s="115"/>
      <c r="BH336" s="25"/>
      <c r="BI336" s="13"/>
      <c r="BL336" s="114"/>
    </row>
    <row r="337" spans="1:64" ht="20.100000000000001" customHeight="1" x14ac:dyDescent="0.4">
      <c r="A337" s="117"/>
      <c r="B337" s="123"/>
      <c r="C337" s="123"/>
      <c r="D337" s="123"/>
      <c r="R337" s="115"/>
      <c r="S337" s="115"/>
      <c r="T337" s="115"/>
      <c r="U337" s="115"/>
      <c r="V337" s="115"/>
      <c r="W337" s="115"/>
      <c r="X337" s="115"/>
      <c r="Y337" s="29"/>
      <c r="Z337" s="29"/>
      <c r="AB337" s="115"/>
      <c r="AC337" s="115"/>
      <c r="AD337" s="115"/>
      <c r="AE337" s="115"/>
      <c r="AF337" s="115"/>
      <c r="AG337" s="115"/>
      <c r="AH337" s="115"/>
      <c r="AI337" s="115"/>
      <c r="AJ337" s="25"/>
      <c r="AK337" s="13"/>
      <c r="AP337" s="116"/>
      <c r="AQ337" s="123"/>
      <c r="AR337" s="123"/>
      <c r="AS337" s="123"/>
      <c r="AX337" s="115"/>
      <c r="AY337" s="115"/>
      <c r="AZ337" s="115"/>
      <c r="BA337" s="115"/>
      <c r="BB337" s="115"/>
      <c r="BC337" s="115"/>
      <c r="BD337" s="115"/>
      <c r="BE337" s="115"/>
      <c r="BF337" s="115"/>
      <c r="BG337" s="115"/>
      <c r="BH337" s="25"/>
      <c r="BI337" s="13"/>
      <c r="BL337" s="114"/>
    </row>
    <row r="338" spans="1:64" ht="20.100000000000001" customHeight="1" x14ac:dyDescent="0.4">
      <c r="A338" s="117"/>
      <c r="B338" s="123"/>
      <c r="C338" s="123"/>
      <c r="D338" s="123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27"/>
      <c r="Z338" s="29"/>
      <c r="AB338" s="115"/>
      <c r="AC338" s="115"/>
      <c r="AD338" s="115"/>
      <c r="AE338" s="115"/>
      <c r="AF338" s="115"/>
      <c r="AG338" s="115"/>
      <c r="AH338" s="115"/>
      <c r="AI338" s="115"/>
      <c r="AJ338" s="25"/>
      <c r="AK338" s="13"/>
      <c r="AP338" s="116"/>
      <c r="AQ338" s="123"/>
      <c r="AR338" s="123"/>
      <c r="AS338" s="123"/>
      <c r="AX338" s="115"/>
      <c r="AY338" s="115"/>
      <c r="AZ338" s="115"/>
      <c r="BA338" s="115"/>
      <c r="BB338" s="115"/>
      <c r="BC338" s="115"/>
      <c r="BD338" s="115"/>
      <c r="BE338" s="115"/>
      <c r="BF338" s="115"/>
      <c r="BG338" s="115"/>
      <c r="BH338" s="25"/>
      <c r="BI338" s="13"/>
      <c r="BL338" s="114"/>
    </row>
    <row r="339" spans="1:64" ht="20.100000000000001" customHeight="1" x14ac:dyDescent="0.4">
      <c r="A339" s="117"/>
      <c r="B339" s="123"/>
      <c r="C339" s="123"/>
      <c r="D339" s="123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29"/>
      <c r="Z339" s="29"/>
      <c r="AB339" s="115"/>
      <c r="AC339" s="115"/>
      <c r="AD339" s="115"/>
      <c r="AE339" s="115"/>
      <c r="AF339" s="115"/>
      <c r="AG339" s="115"/>
      <c r="AH339" s="115"/>
      <c r="AI339" s="115"/>
      <c r="AJ339" s="25"/>
      <c r="AK339" s="13"/>
      <c r="AP339" s="116"/>
      <c r="AQ339" s="123"/>
      <c r="AR339" s="123"/>
      <c r="AS339" s="123"/>
      <c r="AX339" s="115"/>
      <c r="AY339" s="115"/>
      <c r="AZ339" s="115"/>
      <c r="BA339" s="115"/>
      <c r="BB339" s="115"/>
      <c r="BC339" s="115"/>
      <c r="BD339" s="115"/>
      <c r="BE339" s="115"/>
      <c r="BF339" s="115"/>
      <c r="BG339" s="115"/>
      <c r="BH339" s="25"/>
      <c r="BI339" s="13"/>
      <c r="BL339" s="114"/>
    </row>
    <row r="340" spans="1:64" ht="20.100000000000001" customHeight="1" x14ac:dyDescent="0.4">
      <c r="A340" s="117"/>
      <c r="B340" s="123"/>
      <c r="C340" s="123"/>
      <c r="D340" s="123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29"/>
      <c r="Z340" s="29"/>
      <c r="AB340" s="115"/>
      <c r="AC340" s="115"/>
      <c r="AD340" s="115"/>
      <c r="AE340" s="115"/>
      <c r="AF340" s="115"/>
      <c r="AG340" s="115"/>
      <c r="AH340" s="115"/>
      <c r="AI340" s="115"/>
      <c r="AJ340" s="25"/>
      <c r="AK340" s="13"/>
      <c r="AP340" s="116"/>
      <c r="AQ340" s="123"/>
      <c r="AR340" s="123"/>
      <c r="AS340" s="123"/>
      <c r="AX340" s="115"/>
      <c r="AY340" s="115"/>
      <c r="AZ340" s="115"/>
      <c r="BA340" s="115"/>
      <c r="BB340" s="115"/>
      <c r="BC340" s="115"/>
      <c r="BD340" s="115"/>
      <c r="BE340" s="115"/>
      <c r="BF340" s="115"/>
      <c r="BG340" s="115"/>
      <c r="BH340" s="25"/>
      <c r="BI340" s="13"/>
      <c r="BL340" s="114"/>
    </row>
    <row r="341" spans="1:64" ht="20.100000000000001" customHeight="1" x14ac:dyDescent="0.4">
      <c r="A341" s="117"/>
      <c r="B341" s="123"/>
      <c r="C341" s="123"/>
      <c r="D341" s="123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29"/>
      <c r="Z341" s="29"/>
      <c r="AB341" s="115"/>
      <c r="AC341" s="115"/>
      <c r="AD341" s="115"/>
      <c r="AE341" s="115"/>
      <c r="AF341" s="115"/>
      <c r="AG341" s="115"/>
      <c r="AH341" s="115"/>
      <c r="AI341" s="115"/>
      <c r="AJ341" s="25"/>
      <c r="AK341" s="13"/>
      <c r="AP341" s="116"/>
      <c r="AQ341" s="123"/>
      <c r="AR341" s="123"/>
      <c r="AS341" s="123"/>
      <c r="AX341" s="115"/>
      <c r="AY341" s="115"/>
      <c r="AZ341" s="115"/>
      <c r="BA341" s="115"/>
      <c r="BB341" s="115"/>
      <c r="BC341" s="115"/>
      <c r="BD341" s="115"/>
      <c r="BE341" s="115"/>
      <c r="BF341" s="115"/>
      <c r="BG341" s="115"/>
      <c r="BH341" s="25"/>
      <c r="BI341" s="13"/>
      <c r="BL341" s="114"/>
    </row>
    <row r="342" spans="1:64" ht="20.100000000000001" customHeight="1" x14ac:dyDescent="0.4">
      <c r="A342" s="117"/>
      <c r="B342" s="123"/>
      <c r="C342" s="123"/>
      <c r="D342" s="123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27"/>
      <c r="Z342" s="29"/>
      <c r="AB342" s="115"/>
      <c r="AC342" s="115"/>
      <c r="AD342" s="115"/>
      <c r="AE342" s="115"/>
      <c r="AF342" s="115"/>
      <c r="AG342" s="115"/>
      <c r="AH342" s="115"/>
      <c r="AI342" s="115"/>
      <c r="AJ342" s="25"/>
      <c r="AK342" s="13"/>
      <c r="AP342" s="116"/>
      <c r="AQ342" s="123"/>
      <c r="AR342" s="123"/>
      <c r="AS342" s="123"/>
      <c r="AX342" s="115"/>
      <c r="AY342" s="115"/>
      <c r="AZ342" s="115"/>
      <c r="BA342" s="115"/>
      <c r="BB342" s="115"/>
      <c r="BC342" s="115"/>
      <c r="BD342" s="115"/>
      <c r="BE342" s="115"/>
      <c r="BF342" s="115"/>
      <c r="BG342" s="115"/>
      <c r="BH342" s="25"/>
      <c r="BI342" s="13"/>
      <c r="BL342" s="114"/>
    </row>
    <row r="343" spans="1:64" ht="20.100000000000001" customHeight="1" x14ac:dyDescent="0.4">
      <c r="A343" s="117"/>
      <c r="B343" s="123"/>
      <c r="C343" s="123"/>
      <c r="D343" s="123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29"/>
      <c r="Z343" s="29"/>
      <c r="AB343" s="115"/>
      <c r="AC343" s="115"/>
      <c r="AD343" s="115"/>
      <c r="AE343" s="115"/>
      <c r="AF343" s="115"/>
      <c r="AG343" s="115"/>
      <c r="AH343" s="115"/>
      <c r="AI343" s="115"/>
      <c r="AJ343" s="25"/>
      <c r="AK343" s="13"/>
      <c r="AP343" s="116"/>
      <c r="AQ343" s="123"/>
      <c r="AR343" s="123"/>
      <c r="AS343" s="123"/>
      <c r="AX343" s="115"/>
      <c r="AY343" s="115"/>
      <c r="AZ343" s="115"/>
      <c r="BA343" s="115"/>
      <c r="BB343" s="115"/>
      <c r="BC343" s="115"/>
      <c r="BD343" s="115"/>
      <c r="BE343" s="115"/>
      <c r="BF343" s="115"/>
      <c r="BG343" s="115"/>
      <c r="BH343" s="25"/>
      <c r="BI343" s="13"/>
      <c r="BL343" s="114"/>
    </row>
    <row r="344" spans="1:64" ht="20.100000000000001" customHeight="1" x14ac:dyDescent="0.4">
      <c r="A344" s="117"/>
      <c r="B344" s="123"/>
      <c r="C344" s="123"/>
      <c r="D344" s="123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27"/>
      <c r="Z344" s="29"/>
      <c r="AB344" s="115"/>
      <c r="AC344" s="115"/>
      <c r="AD344" s="115"/>
      <c r="AE344" s="115"/>
      <c r="AF344" s="115"/>
      <c r="AG344" s="115"/>
      <c r="AH344" s="115"/>
      <c r="AI344" s="115"/>
      <c r="AJ344" s="25"/>
      <c r="AK344" s="13"/>
      <c r="AP344" s="116"/>
      <c r="AQ344" s="123"/>
      <c r="AR344" s="123"/>
      <c r="AS344" s="123"/>
      <c r="AX344" s="115"/>
      <c r="AY344" s="115"/>
      <c r="AZ344" s="115"/>
      <c r="BA344" s="115"/>
      <c r="BB344" s="115"/>
      <c r="BC344" s="115"/>
      <c r="BD344" s="115"/>
      <c r="BE344" s="115"/>
      <c r="BF344" s="115"/>
      <c r="BG344" s="115"/>
      <c r="BH344" s="25"/>
      <c r="BI344" s="13"/>
      <c r="BL344" s="114"/>
    </row>
    <row r="345" spans="1:64" ht="20.100000000000001" customHeight="1" x14ac:dyDescent="0.4">
      <c r="A345" s="117"/>
      <c r="B345" s="123"/>
      <c r="C345" s="123"/>
      <c r="D345" s="123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27"/>
      <c r="Z345" s="29"/>
      <c r="AB345" s="115"/>
      <c r="AC345" s="115"/>
      <c r="AD345" s="115"/>
      <c r="AE345" s="115"/>
      <c r="AF345" s="115"/>
      <c r="AG345" s="115"/>
      <c r="AH345" s="115"/>
      <c r="AI345" s="115"/>
      <c r="AJ345" s="25"/>
      <c r="AK345" s="13"/>
      <c r="AP345" s="116"/>
      <c r="AQ345" s="123"/>
      <c r="AR345" s="123"/>
      <c r="AS345" s="123"/>
      <c r="AX345" s="115"/>
      <c r="AY345" s="115"/>
      <c r="AZ345" s="115"/>
      <c r="BA345" s="115"/>
      <c r="BB345" s="115"/>
      <c r="BC345" s="115"/>
      <c r="BD345" s="115"/>
      <c r="BE345" s="115"/>
      <c r="BF345" s="115"/>
      <c r="BG345" s="115"/>
      <c r="BH345" s="25"/>
      <c r="BI345" s="13"/>
      <c r="BL345" s="114"/>
    </row>
    <row r="346" spans="1:64" ht="20.100000000000001" customHeight="1" x14ac:dyDescent="0.4">
      <c r="A346" s="117"/>
      <c r="B346" s="123"/>
      <c r="C346" s="123"/>
      <c r="D346" s="123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27"/>
      <c r="Z346" s="29"/>
      <c r="AB346" s="115"/>
      <c r="AC346" s="115"/>
      <c r="AD346" s="115"/>
      <c r="AE346" s="115"/>
      <c r="AF346" s="115"/>
      <c r="AG346" s="115"/>
      <c r="AH346" s="115"/>
      <c r="AI346" s="115"/>
      <c r="AJ346" s="25"/>
      <c r="AK346" s="13"/>
      <c r="AP346" s="116"/>
      <c r="AQ346" s="123"/>
      <c r="AR346" s="123"/>
      <c r="AS346" s="123"/>
      <c r="AX346" s="115"/>
      <c r="AY346" s="115"/>
      <c r="AZ346" s="115"/>
      <c r="BA346" s="115"/>
      <c r="BB346" s="115"/>
      <c r="BC346" s="115"/>
      <c r="BD346" s="115"/>
      <c r="BE346" s="115"/>
      <c r="BF346" s="115"/>
      <c r="BG346" s="115"/>
      <c r="BH346" s="25"/>
      <c r="BI346" s="13"/>
      <c r="BL346" s="114"/>
    </row>
    <row r="347" spans="1:64" ht="20.100000000000001" customHeight="1" x14ac:dyDescent="0.4">
      <c r="A347" s="117"/>
      <c r="B347" s="123"/>
      <c r="C347" s="123"/>
      <c r="D347" s="123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27"/>
      <c r="Z347" s="29"/>
      <c r="AB347" s="115"/>
      <c r="AC347" s="115"/>
      <c r="AD347" s="115"/>
      <c r="AE347" s="115"/>
      <c r="AF347" s="115"/>
      <c r="AG347" s="115"/>
      <c r="AH347" s="115"/>
      <c r="AI347" s="115"/>
      <c r="AJ347" s="25"/>
      <c r="AK347" s="13"/>
      <c r="AP347" s="116"/>
      <c r="AQ347" s="123"/>
      <c r="AR347" s="123"/>
      <c r="AS347" s="123"/>
      <c r="AX347" s="115"/>
      <c r="AY347" s="115"/>
      <c r="AZ347" s="115"/>
      <c r="BA347" s="115"/>
      <c r="BB347" s="115"/>
      <c r="BC347" s="115"/>
      <c r="BD347" s="115"/>
      <c r="BE347" s="115"/>
      <c r="BF347" s="115"/>
      <c r="BG347" s="115"/>
      <c r="BH347" s="25"/>
      <c r="BI347" s="13"/>
      <c r="BL347" s="114"/>
    </row>
    <row r="348" spans="1:64" ht="20.100000000000001" customHeight="1" x14ac:dyDescent="0.4">
      <c r="A348" s="117"/>
      <c r="B348" s="123"/>
      <c r="C348" s="123"/>
      <c r="D348" s="123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27"/>
      <c r="Z348" s="29"/>
      <c r="AB348" s="115"/>
      <c r="AC348" s="115"/>
      <c r="AD348" s="115"/>
      <c r="AE348" s="115"/>
      <c r="AF348" s="115"/>
      <c r="AG348" s="115"/>
      <c r="AH348" s="115"/>
      <c r="AI348" s="115"/>
      <c r="AJ348" s="25"/>
      <c r="AK348" s="13"/>
      <c r="AP348" s="116"/>
      <c r="AQ348" s="123"/>
      <c r="AR348" s="123"/>
      <c r="AS348" s="123"/>
      <c r="AX348" s="115"/>
      <c r="AY348" s="115"/>
      <c r="AZ348" s="115"/>
      <c r="BA348" s="115"/>
      <c r="BB348" s="115"/>
      <c r="BC348" s="115"/>
      <c r="BD348" s="115"/>
      <c r="BE348" s="115"/>
      <c r="BF348" s="115"/>
      <c r="BG348" s="115"/>
      <c r="BH348" s="25"/>
      <c r="BI348" s="13"/>
      <c r="BL348" s="114"/>
    </row>
    <row r="349" spans="1:64" ht="20.100000000000001" customHeight="1" x14ac:dyDescent="0.4">
      <c r="A349" s="117"/>
      <c r="B349" s="123"/>
      <c r="C349" s="123"/>
      <c r="D349" s="123"/>
      <c r="Y349" s="127"/>
      <c r="Z349" s="29"/>
      <c r="AB349" s="115"/>
      <c r="AC349" s="115"/>
      <c r="AD349" s="115"/>
      <c r="AE349" s="115"/>
      <c r="AF349" s="115"/>
      <c r="AG349" s="115"/>
      <c r="AH349" s="115"/>
      <c r="AI349" s="115"/>
      <c r="AJ349" s="25">
        <v>45673</v>
      </c>
      <c r="AK349" s="13" t="s">
        <v>147</v>
      </c>
      <c r="AP349" s="116"/>
      <c r="AQ349" s="123"/>
      <c r="AR349" s="123"/>
      <c r="AS349" s="123"/>
      <c r="AX349" s="115"/>
      <c r="AY349" s="115"/>
      <c r="AZ349" s="115"/>
      <c r="BA349" s="115"/>
      <c r="BB349" s="115"/>
      <c r="BC349" s="115"/>
      <c r="BD349" s="115"/>
      <c r="BE349" s="115"/>
      <c r="BF349" s="115"/>
      <c r="BG349" s="115"/>
      <c r="BH349" s="25"/>
      <c r="BI349" s="13"/>
      <c r="BL349" s="114"/>
    </row>
    <row r="350" spans="1:64" ht="20.100000000000001" customHeight="1" x14ac:dyDescent="0.4">
      <c r="A350" s="117"/>
      <c r="B350" s="123"/>
      <c r="C350" s="123"/>
      <c r="D350" s="123"/>
      <c r="Y350" s="127"/>
      <c r="Z350" s="29"/>
      <c r="AB350" s="115"/>
      <c r="AC350" s="115"/>
      <c r="AD350" s="115"/>
      <c r="AE350" s="115"/>
      <c r="AF350" s="115"/>
      <c r="AG350" s="115"/>
      <c r="AH350" s="115"/>
      <c r="AI350" s="115"/>
      <c r="AJ350" s="25">
        <v>45673</v>
      </c>
      <c r="AK350" s="13" t="s">
        <v>147</v>
      </c>
      <c r="AP350" s="116"/>
      <c r="AQ350" s="123"/>
      <c r="AR350" s="123"/>
      <c r="AS350" s="123"/>
      <c r="AX350" s="115"/>
      <c r="AY350" s="115"/>
      <c r="AZ350" s="115"/>
      <c r="BA350" s="115"/>
      <c r="BB350" s="115"/>
      <c r="BC350" s="115"/>
      <c r="BD350" s="115"/>
      <c r="BE350" s="115"/>
      <c r="BF350" s="115"/>
      <c r="BG350" s="115"/>
      <c r="BH350" s="25"/>
      <c r="BI350" s="13"/>
      <c r="BL350" s="114"/>
    </row>
    <row r="351" spans="1:64" ht="20.100000000000001" customHeight="1" x14ac:dyDescent="0.4">
      <c r="A351" s="117"/>
      <c r="B351" s="123"/>
      <c r="C351" s="123"/>
      <c r="D351" s="123"/>
      <c r="Y351" s="127"/>
      <c r="Z351" s="29"/>
      <c r="AB351" s="115"/>
      <c r="AC351" s="115"/>
      <c r="AD351" s="115"/>
      <c r="AE351" s="115"/>
      <c r="AF351" s="115"/>
      <c r="AG351" s="115"/>
      <c r="AH351" s="115"/>
      <c r="AI351" s="115"/>
      <c r="AJ351" s="25">
        <v>45675</v>
      </c>
      <c r="AK351" s="13" t="s">
        <v>147</v>
      </c>
      <c r="AP351" s="116"/>
      <c r="AQ351" s="123"/>
      <c r="AR351" s="123"/>
      <c r="AS351" s="123"/>
      <c r="AX351" s="115"/>
      <c r="AY351" s="115"/>
      <c r="AZ351" s="115"/>
      <c r="BA351" s="115"/>
      <c r="BB351" s="115"/>
      <c r="BC351" s="115"/>
      <c r="BD351" s="115"/>
      <c r="BE351" s="115"/>
      <c r="BF351" s="115"/>
      <c r="BG351" s="115"/>
      <c r="BH351" s="25"/>
      <c r="BI351" s="13"/>
      <c r="BL351" s="114"/>
    </row>
    <row r="352" spans="1:64" ht="20.100000000000001" customHeight="1" x14ac:dyDescent="0.4">
      <c r="A352" s="117"/>
      <c r="B352" s="123"/>
      <c r="C352" s="123"/>
      <c r="D352" s="123"/>
      <c r="Y352" s="127"/>
      <c r="Z352" s="29"/>
      <c r="AB352" s="115"/>
      <c r="AC352" s="115"/>
      <c r="AD352" s="115"/>
      <c r="AE352" s="115"/>
      <c r="AF352" s="115"/>
      <c r="AG352" s="115"/>
      <c r="AH352" s="115"/>
      <c r="AI352" s="115"/>
      <c r="AJ352" s="25"/>
      <c r="AK352" s="13"/>
      <c r="AP352" s="116"/>
      <c r="AQ352" s="123"/>
      <c r="AR352" s="123"/>
      <c r="AS352" s="123"/>
      <c r="AX352" s="115"/>
      <c r="AY352" s="115"/>
      <c r="AZ352" s="115"/>
      <c r="BA352" s="115"/>
      <c r="BB352" s="115"/>
      <c r="BC352" s="115"/>
      <c r="BD352" s="115"/>
      <c r="BE352" s="115"/>
      <c r="BF352" s="115"/>
      <c r="BG352" s="115"/>
      <c r="BH352" s="25"/>
      <c r="BI352" s="13"/>
      <c r="BL352" s="114"/>
    </row>
    <row r="353" spans="1:64" ht="20.100000000000001" customHeight="1" x14ac:dyDescent="0.4">
      <c r="A353" s="117"/>
      <c r="B353" s="123"/>
      <c r="C353" s="123"/>
      <c r="D353" s="123"/>
      <c r="P353" s="115"/>
      <c r="Q353" s="115"/>
      <c r="R353" s="115"/>
      <c r="S353" s="115"/>
      <c r="T353" s="115"/>
      <c r="U353" s="115"/>
      <c r="V353" s="115"/>
      <c r="W353" s="115"/>
      <c r="X353" s="115"/>
      <c r="Y353" s="127"/>
      <c r="Z353" s="29"/>
      <c r="AB353" s="115"/>
      <c r="AC353" s="115"/>
      <c r="AD353" s="115"/>
      <c r="AE353" s="115"/>
      <c r="AF353" s="115"/>
      <c r="AG353" s="115"/>
      <c r="AH353" s="115"/>
      <c r="AI353" s="115"/>
      <c r="AJ353" s="25"/>
      <c r="AK353" s="13"/>
      <c r="AP353" s="116"/>
      <c r="AQ353" s="123"/>
      <c r="AR353" s="123"/>
      <c r="AS353" s="123"/>
      <c r="AX353" s="115"/>
      <c r="AY353" s="115"/>
      <c r="AZ353" s="115"/>
      <c r="BA353" s="115"/>
      <c r="BB353" s="115"/>
      <c r="BC353" s="115"/>
      <c r="BD353" s="115"/>
      <c r="BE353" s="115"/>
      <c r="BF353" s="115"/>
      <c r="BG353" s="115"/>
      <c r="BH353" s="25"/>
      <c r="BI353" s="13"/>
      <c r="BL353" s="114"/>
    </row>
    <row r="354" spans="1:64" ht="20.100000000000001" customHeight="1" x14ac:dyDescent="0.4">
      <c r="A354" s="117"/>
      <c r="B354" s="123"/>
      <c r="C354" s="123"/>
      <c r="D354" s="123"/>
      <c r="Y354" s="127"/>
      <c r="Z354" s="29"/>
      <c r="AB354" s="115"/>
      <c r="AC354" s="115"/>
      <c r="AD354" s="115"/>
      <c r="AE354" s="115"/>
      <c r="AF354" s="115"/>
      <c r="AG354" s="115"/>
      <c r="AH354" s="115"/>
      <c r="AI354" s="115"/>
      <c r="AJ354" s="25">
        <v>45675</v>
      </c>
      <c r="AK354" s="15" t="s">
        <v>147</v>
      </c>
      <c r="AP354" s="116"/>
      <c r="AQ354" s="123"/>
      <c r="AR354" s="123"/>
      <c r="AS354" s="123"/>
      <c r="AX354" s="115"/>
      <c r="AY354" s="115"/>
      <c r="AZ354" s="115"/>
      <c r="BA354" s="115"/>
      <c r="BB354" s="115"/>
      <c r="BC354" s="115"/>
      <c r="BD354" s="115"/>
      <c r="BE354" s="115"/>
      <c r="BF354" s="115"/>
      <c r="BG354" s="115"/>
      <c r="BH354" s="25"/>
      <c r="BI354" s="13"/>
      <c r="BL354" s="114"/>
    </row>
    <row r="355" spans="1:64" ht="20.100000000000001" customHeight="1" x14ac:dyDescent="0.4">
      <c r="A355" s="117"/>
      <c r="B355" s="123"/>
      <c r="C355" s="123"/>
      <c r="D355" s="123"/>
      <c r="Y355" s="127"/>
      <c r="Z355" s="29"/>
      <c r="AB355" s="115"/>
      <c r="AC355" s="115"/>
      <c r="AD355" s="115"/>
      <c r="AE355" s="115"/>
      <c r="AF355" s="115"/>
      <c r="AG355" s="115"/>
      <c r="AH355" s="115"/>
      <c r="AI355" s="115"/>
      <c r="AJ355" s="25"/>
      <c r="AK355" s="13"/>
      <c r="AP355" s="116"/>
      <c r="AQ355" s="123"/>
      <c r="AR355" s="123"/>
      <c r="AS355" s="123"/>
      <c r="AX355" s="115"/>
      <c r="AY355" s="115"/>
      <c r="AZ355" s="115"/>
      <c r="BA355" s="115"/>
      <c r="BB355" s="115"/>
      <c r="BC355" s="115"/>
      <c r="BD355" s="115"/>
      <c r="BE355" s="115"/>
      <c r="BF355" s="115"/>
      <c r="BG355" s="115"/>
      <c r="BH355" s="25"/>
      <c r="BI355" s="13"/>
      <c r="BL355" s="114"/>
    </row>
    <row r="356" spans="1:64" ht="20.100000000000001" customHeight="1" x14ac:dyDescent="0.4">
      <c r="A356" s="117"/>
      <c r="B356" s="123"/>
      <c r="C356" s="123"/>
      <c r="D356" s="123"/>
      <c r="Y356" s="127"/>
      <c r="Z356" s="29"/>
      <c r="AB356" s="115"/>
      <c r="AC356" s="115"/>
      <c r="AD356" s="115"/>
      <c r="AE356" s="115"/>
      <c r="AF356" s="115"/>
      <c r="AG356" s="115"/>
      <c r="AH356" s="115"/>
      <c r="AI356" s="115"/>
      <c r="AJ356" s="25">
        <v>45675</v>
      </c>
      <c r="AK356" s="13" t="s">
        <v>147</v>
      </c>
      <c r="AP356" s="116"/>
      <c r="AQ356" s="123"/>
      <c r="AR356" s="123"/>
      <c r="AS356" s="123"/>
      <c r="AX356" s="115"/>
      <c r="AY356" s="115"/>
      <c r="AZ356" s="115"/>
      <c r="BA356" s="115"/>
      <c r="BB356" s="115"/>
      <c r="BC356" s="115"/>
      <c r="BD356" s="115"/>
      <c r="BE356" s="115"/>
      <c r="BF356" s="115"/>
      <c r="BG356" s="115"/>
      <c r="BH356" s="25"/>
      <c r="BI356" s="13"/>
      <c r="BL356" s="114"/>
    </row>
    <row r="357" spans="1:64" ht="20.100000000000001" customHeight="1" x14ac:dyDescent="0.4">
      <c r="A357" s="117"/>
      <c r="B357" s="123"/>
      <c r="C357" s="123"/>
      <c r="D357" s="123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27"/>
      <c r="Z357" s="29"/>
      <c r="AB357" s="115"/>
      <c r="AC357" s="115"/>
      <c r="AD357" s="115"/>
      <c r="AE357" s="115"/>
      <c r="AF357" s="115"/>
      <c r="AG357" s="115"/>
      <c r="AH357" s="115"/>
      <c r="AI357" s="115"/>
      <c r="AJ357" s="25"/>
      <c r="AK357" s="13"/>
      <c r="AP357" s="116"/>
      <c r="AQ357" s="123"/>
      <c r="AR357" s="123"/>
      <c r="AS357" s="123"/>
      <c r="AX357" s="115"/>
      <c r="AY357" s="115"/>
      <c r="AZ357" s="115"/>
      <c r="BA357" s="115"/>
      <c r="BB357" s="115"/>
      <c r="BC357" s="115"/>
      <c r="BD357" s="115"/>
      <c r="BE357" s="115"/>
      <c r="BF357" s="115"/>
      <c r="BG357" s="115"/>
      <c r="BH357" s="25"/>
      <c r="BI357" s="13"/>
      <c r="BL357" s="114"/>
    </row>
    <row r="358" spans="1:64" ht="20.100000000000001" customHeight="1" x14ac:dyDescent="0.4">
      <c r="A358" s="117"/>
      <c r="B358" s="123"/>
      <c r="C358" s="123"/>
      <c r="D358" s="123"/>
      <c r="Y358" s="127"/>
      <c r="Z358" s="29"/>
      <c r="AB358" s="115"/>
      <c r="AC358" s="115"/>
      <c r="AD358" s="115"/>
      <c r="AE358" s="115"/>
      <c r="AF358" s="115"/>
      <c r="AG358" s="115"/>
      <c r="AH358" s="115"/>
      <c r="AI358" s="115"/>
      <c r="AJ358" s="25"/>
      <c r="AK358" s="13"/>
      <c r="AP358" s="116"/>
      <c r="AQ358" s="123"/>
      <c r="AR358" s="123"/>
      <c r="AS358" s="123"/>
      <c r="AX358" s="115"/>
      <c r="AY358" s="115"/>
      <c r="AZ358" s="115"/>
      <c r="BA358" s="115"/>
      <c r="BB358" s="115"/>
      <c r="BC358" s="115"/>
      <c r="BD358" s="115"/>
      <c r="BE358" s="115"/>
      <c r="BF358" s="115"/>
      <c r="BG358" s="115"/>
      <c r="BH358" s="25"/>
      <c r="BI358" s="13"/>
      <c r="BL358" s="114"/>
    </row>
    <row r="359" spans="1:64" ht="20.100000000000001" customHeight="1" x14ac:dyDescent="0.4">
      <c r="A359" s="117"/>
      <c r="B359" s="123"/>
      <c r="C359" s="123"/>
      <c r="D359" s="123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27"/>
      <c r="Z359" s="29"/>
      <c r="AB359" s="115"/>
      <c r="AC359" s="115"/>
      <c r="AD359" s="115"/>
      <c r="AE359" s="115"/>
      <c r="AF359" s="115"/>
      <c r="AG359" s="115"/>
      <c r="AH359" s="115"/>
      <c r="AI359" s="115"/>
      <c r="AJ359" s="25"/>
      <c r="AK359" s="13"/>
      <c r="AP359" s="116"/>
      <c r="AQ359" s="123"/>
      <c r="AR359" s="123"/>
      <c r="AS359" s="123"/>
      <c r="AX359" s="115"/>
      <c r="AY359" s="115"/>
      <c r="AZ359" s="115"/>
      <c r="BA359" s="115"/>
      <c r="BB359" s="115"/>
      <c r="BC359" s="115"/>
      <c r="BD359" s="115"/>
      <c r="BE359" s="115"/>
      <c r="BF359" s="115"/>
      <c r="BG359" s="115"/>
      <c r="BH359" s="25"/>
      <c r="BI359" s="13"/>
      <c r="BL359" s="114"/>
    </row>
    <row r="360" spans="1:64" ht="20.100000000000001" customHeight="1" x14ac:dyDescent="0.4">
      <c r="A360" s="117"/>
      <c r="B360" s="123"/>
      <c r="C360" s="123"/>
      <c r="D360" s="123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29"/>
      <c r="Z360" s="29"/>
      <c r="AB360" s="115"/>
      <c r="AC360" s="115"/>
      <c r="AD360" s="115"/>
      <c r="AE360" s="115"/>
      <c r="AF360" s="115"/>
      <c r="AG360" s="115"/>
      <c r="AH360" s="115"/>
      <c r="AI360" s="115"/>
      <c r="AJ360" s="25"/>
      <c r="AK360" s="13"/>
      <c r="AP360" s="116"/>
      <c r="AQ360" s="123"/>
      <c r="AR360" s="123"/>
      <c r="AS360" s="123"/>
      <c r="AX360" s="115"/>
      <c r="AY360" s="115"/>
      <c r="AZ360" s="115"/>
      <c r="BA360" s="115"/>
      <c r="BB360" s="115"/>
      <c r="BC360" s="115"/>
      <c r="BD360" s="115"/>
      <c r="BE360" s="115"/>
      <c r="BF360" s="115"/>
      <c r="BG360" s="115"/>
      <c r="BH360" s="25"/>
      <c r="BI360" s="13"/>
      <c r="BL360" s="114"/>
    </row>
    <row r="361" spans="1:64" ht="20.100000000000001" customHeight="1" x14ac:dyDescent="0.4">
      <c r="A361" s="117"/>
      <c r="B361" s="123"/>
      <c r="C361" s="123"/>
      <c r="D361" s="123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27"/>
      <c r="Z361" s="127"/>
      <c r="AB361" s="115"/>
      <c r="AC361" s="115"/>
      <c r="AD361" s="115"/>
      <c r="AE361" s="115"/>
      <c r="AF361" s="115"/>
      <c r="AG361" s="115"/>
      <c r="AH361" s="115"/>
      <c r="AI361" s="115"/>
      <c r="AJ361" s="25"/>
      <c r="AK361" s="13"/>
      <c r="AP361" s="116"/>
      <c r="AQ361" s="123"/>
      <c r="AR361" s="123"/>
      <c r="AS361" s="123"/>
      <c r="AX361" s="115"/>
      <c r="AY361" s="115"/>
      <c r="AZ361" s="115"/>
      <c r="BA361" s="115"/>
      <c r="BB361" s="115"/>
      <c r="BC361" s="115"/>
      <c r="BD361" s="115"/>
      <c r="BE361" s="115"/>
      <c r="BF361" s="115"/>
      <c r="BG361" s="115"/>
      <c r="BH361" s="25"/>
      <c r="BI361" s="13"/>
      <c r="BL361" s="114"/>
    </row>
    <row r="362" spans="1:64" ht="20.100000000000001" customHeight="1" x14ac:dyDescent="0.4">
      <c r="A362" s="117"/>
      <c r="B362" s="123"/>
      <c r="C362" s="123"/>
      <c r="D362" s="123"/>
      <c r="Y362" s="127"/>
      <c r="Z362" s="127"/>
      <c r="AB362" s="115"/>
      <c r="AC362" s="115"/>
      <c r="AD362" s="115"/>
      <c r="AE362" s="115"/>
      <c r="AF362" s="115"/>
      <c r="AG362" s="115"/>
      <c r="AH362" s="115"/>
      <c r="AI362" s="115"/>
      <c r="AJ362" s="25"/>
      <c r="AK362" s="13"/>
      <c r="AP362" s="116"/>
      <c r="AQ362" s="123"/>
      <c r="AR362" s="123"/>
      <c r="AS362" s="123"/>
      <c r="AX362" s="115"/>
      <c r="AY362" s="115"/>
      <c r="AZ362" s="115"/>
      <c r="BA362" s="115"/>
      <c r="BB362" s="115"/>
      <c r="BC362" s="115"/>
      <c r="BD362" s="115"/>
      <c r="BE362" s="115"/>
      <c r="BF362" s="115"/>
      <c r="BG362" s="115"/>
      <c r="BH362" s="25"/>
      <c r="BI362" s="13"/>
      <c r="BL362" s="114"/>
    </row>
    <row r="363" spans="1:64" ht="20.100000000000001" customHeight="1" x14ac:dyDescent="0.4">
      <c r="A363" s="117"/>
      <c r="B363" s="123"/>
      <c r="C363" s="123"/>
      <c r="D363" s="123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27"/>
      <c r="Z363" s="127"/>
      <c r="AB363" s="115"/>
      <c r="AC363" s="115"/>
      <c r="AD363" s="115"/>
      <c r="AE363" s="115"/>
      <c r="AF363" s="115"/>
      <c r="AG363" s="115"/>
      <c r="AH363" s="115"/>
      <c r="AI363" s="115"/>
      <c r="AJ363" s="25"/>
      <c r="AK363" s="13"/>
      <c r="AP363" s="116"/>
      <c r="AQ363" s="123"/>
      <c r="AR363" s="123"/>
      <c r="AS363" s="123"/>
      <c r="AX363" s="115"/>
      <c r="AY363" s="115"/>
      <c r="AZ363" s="115"/>
      <c r="BA363" s="115"/>
      <c r="BB363" s="115"/>
      <c r="BC363" s="115"/>
      <c r="BD363" s="115"/>
      <c r="BE363" s="115"/>
      <c r="BF363" s="115"/>
      <c r="BG363" s="115"/>
      <c r="BH363" s="25"/>
      <c r="BI363" s="13"/>
      <c r="BL363" s="114"/>
    </row>
    <row r="364" spans="1:64" ht="20.100000000000001" customHeight="1" x14ac:dyDescent="0.4">
      <c r="A364" s="117"/>
      <c r="B364" s="123"/>
      <c r="C364" s="123"/>
      <c r="D364" s="123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27"/>
      <c r="Z364" s="29"/>
      <c r="AB364" s="115"/>
      <c r="AC364" s="115"/>
      <c r="AD364" s="115"/>
      <c r="AE364" s="115"/>
      <c r="AF364" s="115"/>
      <c r="AG364" s="115"/>
      <c r="AH364" s="115"/>
      <c r="AI364" s="115"/>
      <c r="AJ364" s="25"/>
      <c r="AK364" s="13"/>
      <c r="AP364" s="116"/>
      <c r="AQ364" s="123"/>
      <c r="AR364" s="123"/>
      <c r="AS364" s="123"/>
      <c r="AX364" s="115"/>
      <c r="AY364" s="115"/>
      <c r="AZ364" s="115"/>
      <c r="BA364" s="115"/>
      <c r="BB364" s="115"/>
      <c r="BC364" s="115"/>
      <c r="BD364" s="115"/>
      <c r="BE364" s="115"/>
      <c r="BF364" s="115"/>
      <c r="BG364" s="115"/>
      <c r="BH364" s="25"/>
      <c r="BI364" s="13"/>
      <c r="BL364" s="114"/>
    </row>
    <row r="365" spans="1:64" ht="20.100000000000001" customHeight="1" x14ac:dyDescent="0.4">
      <c r="A365" s="117"/>
      <c r="B365" s="123"/>
      <c r="C365" s="123"/>
      <c r="D365" s="123"/>
      <c r="Y365" s="127"/>
      <c r="Z365" s="29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25">
        <v>45675</v>
      </c>
      <c r="AK365" s="13" t="s">
        <v>146</v>
      </c>
      <c r="AP365" s="116"/>
      <c r="AQ365" s="123"/>
      <c r="AR365" s="123"/>
      <c r="AS365" s="123"/>
      <c r="AX365" s="115"/>
      <c r="AY365" s="115"/>
      <c r="AZ365" s="115"/>
      <c r="BA365" s="115"/>
      <c r="BB365" s="115"/>
      <c r="BC365" s="115"/>
      <c r="BD365" s="115"/>
      <c r="BE365" s="115"/>
      <c r="BF365" s="115"/>
      <c r="BG365" s="115"/>
      <c r="BH365" s="25"/>
      <c r="BI365" s="13"/>
      <c r="BL365" s="114"/>
    </row>
    <row r="366" spans="1:64" ht="20.100000000000001" customHeight="1" x14ac:dyDescent="0.4">
      <c r="A366" s="117"/>
      <c r="B366" s="123"/>
      <c r="C366" s="123"/>
      <c r="D366" s="123"/>
      <c r="Q366" s="115"/>
      <c r="R366" s="115"/>
      <c r="S366" s="115"/>
      <c r="T366" s="115"/>
      <c r="U366" s="115"/>
      <c r="V366" s="115"/>
      <c r="W366" s="115"/>
      <c r="X366" s="115"/>
      <c r="Y366" s="29"/>
      <c r="Z366" s="29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25"/>
      <c r="AK366" s="13"/>
      <c r="AP366" s="116"/>
      <c r="AQ366" s="123"/>
      <c r="AR366" s="123"/>
      <c r="AS366" s="123"/>
      <c r="AX366" s="115"/>
      <c r="AY366" s="115"/>
      <c r="AZ366" s="115"/>
      <c r="BA366" s="115"/>
      <c r="BB366" s="115"/>
      <c r="BC366" s="115"/>
      <c r="BD366" s="115"/>
      <c r="BE366" s="115"/>
      <c r="BF366" s="115"/>
      <c r="BG366" s="115"/>
      <c r="BH366" s="25"/>
      <c r="BI366" s="13"/>
      <c r="BL366" s="114"/>
    </row>
    <row r="367" spans="1:64" ht="20.100000000000001" customHeight="1" x14ac:dyDescent="0.4">
      <c r="A367" s="117"/>
      <c r="B367" s="123"/>
      <c r="C367" s="123"/>
      <c r="D367" s="123"/>
      <c r="Y367" s="127"/>
      <c r="Z367" s="29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25">
        <v>45676</v>
      </c>
      <c r="AK367" s="13" t="s">
        <v>148</v>
      </c>
      <c r="AP367" s="116"/>
      <c r="AQ367" s="123"/>
      <c r="AR367" s="123"/>
      <c r="AS367" s="123"/>
      <c r="AX367" s="115"/>
      <c r="AY367" s="115"/>
      <c r="AZ367" s="115"/>
      <c r="BA367" s="115"/>
      <c r="BB367" s="115"/>
      <c r="BC367" s="115"/>
      <c r="BD367" s="115"/>
      <c r="BE367" s="115"/>
      <c r="BF367" s="115"/>
      <c r="BG367" s="115"/>
      <c r="BH367" s="25"/>
      <c r="BI367" s="13"/>
      <c r="BL367" s="114"/>
    </row>
    <row r="368" spans="1:64" ht="20.100000000000001" customHeight="1" x14ac:dyDescent="0.4">
      <c r="A368" s="117"/>
      <c r="B368" s="123"/>
      <c r="C368" s="123"/>
      <c r="D368" s="123"/>
      <c r="Q368" s="115"/>
      <c r="R368" s="115"/>
      <c r="S368" s="115"/>
      <c r="T368" s="115"/>
      <c r="U368" s="115"/>
      <c r="V368" s="115"/>
      <c r="W368" s="115"/>
      <c r="X368" s="115"/>
      <c r="Y368" s="29"/>
      <c r="Z368" s="29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25"/>
      <c r="AK368" s="13"/>
      <c r="AP368" s="116"/>
      <c r="AQ368" s="123"/>
      <c r="AR368" s="123"/>
      <c r="AS368" s="123"/>
      <c r="AX368" s="115"/>
      <c r="AY368" s="115"/>
      <c r="AZ368" s="115"/>
      <c r="BA368" s="115"/>
      <c r="BB368" s="115"/>
      <c r="BC368" s="115"/>
      <c r="BD368" s="115"/>
      <c r="BE368" s="115"/>
      <c r="BF368" s="115"/>
      <c r="BG368" s="115"/>
      <c r="BH368" s="25"/>
      <c r="BI368" s="13"/>
      <c r="BL368" s="114"/>
    </row>
    <row r="369" spans="1:64" ht="20.100000000000001" customHeight="1" x14ac:dyDescent="0.4">
      <c r="A369" s="117"/>
      <c r="B369" s="123"/>
      <c r="C369" s="123"/>
      <c r="D369" s="123"/>
      <c r="P369" s="115"/>
      <c r="Q369" s="115"/>
      <c r="R369" s="115"/>
      <c r="S369" s="115"/>
      <c r="T369" s="115"/>
      <c r="U369" s="115"/>
      <c r="V369" s="115"/>
      <c r="W369" s="115"/>
      <c r="X369" s="115"/>
      <c r="Y369" s="127"/>
      <c r="Z369" s="29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25"/>
      <c r="AK369" s="13"/>
      <c r="AP369" s="116"/>
      <c r="AQ369" s="123"/>
      <c r="AR369" s="123"/>
      <c r="AS369" s="123"/>
      <c r="AX369" s="115"/>
      <c r="AY369" s="115"/>
      <c r="AZ369" s="115"/>
      <c r="BA369" s="115"/>
      <c r="BB369" s="115"/>
      <c r="BC369" s="115"/>
      <c r="BD369" s="115"/>
      <c r="BE369" s="115"/>
      <c r="BF369" s="115"/>
      <c r="BG369" s="115"/>
      <c r="BH369" s="25"/>
      <c r="BI369" s="13"/>
      <c r="BL369" s="114"/>
    </row>
    <row r="370" spans="1:64" ht="20.100000000000001" customHeight="1" x14ac:dyDescent="0.4">
      <c r="A370" s="117"/>
      <c r="B370" s="123"/>
      <c r="C370" s="123"/>
      <c r="D370" s="123"/>
      <c r="P370" s="115"/>
      <c r="Q370" s="115"/>
      <c r="R370" s="115"/>
      <c r="S370" s="115"/>
      <c r="T370" s="115"/>
      <c r="U370" s="115"/>
      <c r="V370" s="115"/>
      <c r="W370" s="115"/>
      <c r="X370" s="115"/>
      <c r="Y370" s="29"/>
      <c r="Z370" s="29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25"/>
      <c r="AK370" s="13"/>
      <c r="AP370" s="116"/>
      <c r="AQ370" s="123"/>
      <c r="AR370" s="123"/>
      <c r="AS370" s="123"/>
      <c r="AX370" s="115"/>
      <c r="AY370" s="115"/>
      <c r="AZ370" s="115"/>
      <c r="BA370" s="115"/>
      <c r="BB370" s="115"/>
      <c r="BC370" s="115"/>
      <c r="BD370" s="115"/>
      <c r="BE370" s="115"/>
      <c r="BF370" s="115"/>
      <c r="BG370" s="115"/>
      <c r="BH370" s="25"/>
      <c r="BI370" s="13"/>
      <c r="BL370" s="114"/>
    </row>
    <row r="371" spans="1:64" ht="20.100000000000001" customHeight="1" x14ac:dyDescent="0.4">
      <c r="A371" s="117"/>
      <c r="B371" s="123"/>
      <c r="C371" s="123"/>
      <c r="D371" s="123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27"/>
      <c r="Z371" s="29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25"/>
      <c r="AK371" s="13"/>
      <c r="AP371" s="116"/>
      <c r="AQ371" s="123"/>
      <c r="AR371" s="123"/>
      <c r="AS371" s="123"/>
      <c r="AX371" s="115"/>
      <c r="AY371" s="115"/>
      <c r="AZ371" s="115"/>
      <c r="BA371" s="115"/>
      <c r="BB371" s="115"/>
      <c r="BC371" s="115"/>
      <c r="BD371" s="115"/>
      <c r="BE371" s="115"/>
      <c r="BF371" s="115"/>
      <c r="BG371" s="115"/>
      <c r="BH371" s="25"/>
      <c r="BI371" s="13"/>
      <c r="BL371" s="114"/>
    </row>
    <row r="372" spans="1:64" ht="20.100000000000001" customHeight="1" x14ac:dyDescent="0.4">
      <c r="A372" s="117"/>
      <c r="B372" s="123"/>
      <c r="C372" s="123"/>
      <c r="D372" s="123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27"/>
      <c r="Z372" s="29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25"/>
      <c r="AK372" s="13"/>
      <c r="AP372" s="116"/>
      <c r="AQ372" s="123"/>
      <c r="AR372" s="123"/>
      <c r="AS372" s="123"/>
      <c r="AX372" s="115"/>
      <c r="AY372" s="115"/>
      <c r="AZ372" s="115"/>
      <c r="BA372" s="115"/>
      <c r="BB372" s="115"/>
      <c r="BC372" s="115"/>
      <c r="BD372" s="115"/>
      <c r="BE372" s="115"/>
      <c r="BF372" s="115"/>
      <c r="BG372" s="115"/>
      <c r="BH372" s="25"/>
      <c r="BI372" s="13"/>
      <c r="BL372" s="114"/>
    </row>
    <row r="373" spans="1:64" ht="20.100000000000001" customHeight="1" x14ac:dyDescent="0.4">
      <c r="A373" s="117"/>
      <c r="B373" s="123"/>
      <c r="C373" s="123"/>
      <c r="D373" s="123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27"/>
      <c r="Z373" s="29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25"/>
      <c r="AK373" s="13"/>
      <c r="AP373" s="116"/>
      <c r="AQ373" s="123"/>
      <c r="AR373" s="123"/>
      <c r="AS373" s="123"/>
      <c r="AX373" s="115"/>
      <c r="AY373" s="115"/>
      <c r="AZ373" s="115"/>
      <c r="BA373" s="115"/>
      <c r="BB373" s="115"/>
      <c r="BC373" s="115"/>
      <c r="BD373" s="115"/>
      <c r="BE373" s="115"/>
      <c r="BF373" s="115"/>
      <c r="BG373" s="115"/>
      <c r="BH373" s="25"/>
      <c r="BI373" s="13"/>
      <c r="BL373" s="114"/>
    </row>
    <row r="374" spans="1:64" ht="20.100000000000001" customHeight="1" x14ac:dyDescent="0.4">
      <c r="A374" s="117"/>
      <c r="B374" s="123"/>
      <c r="C374" s="123"/>
      <c r="D374" s="123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27"/>
      <c r="Z374" s="29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25"/>
      <c r="AK374" s="13"/>
      <c r="AP374" s="116"/>
      <c r="AQ374" s="123"/>
      <c r="AR374" s="123"/>
      <c r="AS374" s="123"/>
      <c r="AX374" s="115"/>
      <c r="AY374" s="115"/>
      <c r="AZ374" s="115"/>
      <c r="BA374" s="115"/>
      <c r="BB374" s="115"/>
      <c r="BC374" s="115"/>
      <c r="BD374" s="115"/>
      <c r="BE374" s="115"/>
      <c r="BF374" s="115"/>
      <c r="BG374" s="115"/>
      <c r="BH374" s="25"/>
      <c r="BI374" s="13"/>
      <c r="BL374" s="114"/>
    </row>
    <row r="375" spans="1:64" ht="20.100000000000001" customHeight="1" x14ac:dyDescent="0.4">
      <c r="A375" s="117"/>
      <c r="B375" s="123"/>
      <c r="C375" s="123"/>
      <c r="D375" s="123"/>
      <c r="Y375" s="127"/>
      <c r="Z375" s="29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25">
        <v>45677</v>
      </c>
      <c r="AK375" s="13" t="s">
        <v>146</v>
      </c>
      <c r="AP375" s="116"/>
      <c r="AQ375" s="123"/>
      <c r="AR375" s="123"/>
      <c r="AS375" s="123"/>
      <c r="AX375" s="115"/>
      <c r="AY375" s="115"/>
      <c r="AZ375" s="115"/>
      <c r="BA375" s="115"/>
      <c r="BB375" s="115"/>
      <c r="BC375" s="115"/>
      <c r="BD375" s="115"/>
      <c r="BE375" s="115"/>
      <c r="BF375" s="115"/>
      <c r="BG375" s="115"/>
      <c r="BH375" s="25"/>
      <c r="BI375" s="13"/>
      <c r="BL375" s="114"/>
    </row>
    <row r="376" spans="1:64" ht="20.100000000000001" customHeight="1" x14ac:dyDescent="0.4">
      <c r="A376" s="117"/>
      <c r="B376" s="123"/>
      <c r="C376" s="123"/>
      <c r="D376" s="123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27"/>
      <c r="Z376" s="29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25"/>
      <c r="AK376" s="13"/>
      <c r="AP376" s="116"/>
      <c r="AQ376" s="123"/>
      <c r="AR376" s="123"/>
      <c r="AS376" s="123"/>
      <c r="AX376" s="115"/>
      <c r="AY376" s="115"/>
      <c r="AZ376" s="115"/>
      <c r="BA376" s="115"/>
      <c r="BB376" s="115"/>
      <c r="BC376" s="115"/>
      <c r="BD376" s="115"/>
      <c r="BE376" s="115"/>
      <c r="BF376" s="115"/>
      <c r="BG376" s="115"/>
      <c r="BH376" s="25"/>
      <c r="BI376" s="13"/>
      <c r="BL376" s="114"/>
    </row>
    <row r="377" spans="1:64" ht="20.100000000000001" customHeight="1" x14ac:dyDescent="0.4">
      <c r="A377" s="117"/>
      <c r="B377" s="123"/>
      <c r="C377" s="123"/>
      <c r="D377" s="123"/>
      <c r="Y377" s="127"/>
      <c r="Z377" s="29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25"/>
      <c r="AK377" s="13"/>
      <c r="AP377" s="116"/>
      <c r="AQ377" s="123"/>
      <c r="AR377" s="123"/>
      <c r="AS377" s="123"/>
      <c r="AX377" s="115"/>
      <c r="AY377" s="115"/>
      <c r="AZ377" s="115"/>
      <c r="BA377" s="115"/>
      <c r="BB377" s="115"/>
      <c r="BC377" s="115"/>
      <c r="BD377" s="115"/>
      <c r="BE377" s="115"/>
      <c r="BF377" s="115"/>
      <c r="BG377" s="115"/>
      <c r="BH377" s="25"/>
      <c r="BI377" s="13"/>
      <c r="BL377" s="114"/>
    </row>
    <row r="378" spans="1:64" ht="20.100000000000001" customHeight="1" x14ac:dyDescent="0.4">
      <c r="A378" s="117"/>
      <c r="B378" s="123"/>
      <c r="C378" s="123"/>
      <c r="D378" s="123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27"/>
      <c r="Z378" s="29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25"/>
      <c r="AK378" s="13"/>
      <c r="AP378" s="116"/>
      <c r="AQ378" s="123"/>
      <c r="AR378" s="123"/>
      <c r="AS378" s="123"/>
      <c r="AX378" s="115"/>
      <c r="AY378" s="115"/>
      <c r="AZ378" s="115"/>
      <c r="BA378" s="115"/>
      <c r="BB378" s="115"/>
      <c r="BC378" s="115"/>
      <c r="BD378" s="115"/>
      <c r="BE378" s="115"/>
      <c r="BF378" s="115"/>
      <c r="BG378" s="115"/>
      <c r="BH378" s="25"/>
      <c r="BI378" s="13"/>
      <c r="BL378" s="114"/>
    </row>
    <row r="379" spans="1:64" ht="20.100000000000001" customHeight="1" x14ac:dyDescent="0.4">
      <c r="A379" s="117"/>
      <c r="B379" s="123"/>
      <c r="C379" s="123"/>
      <c r="D379" s="123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27"/>
      <c r="Z379" s="29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25"/>
      <c r="AK379" s="13"/>
      <c r="AP379" s="116"/>
      <c r="AQ379" s="123"/>
      <c r="AR379" s="123"/>
      <c r="AS379" s="123"/>
      <c r="AX379" s="115"/>
      <c r="AY379" s="115"/>
      <c r="AZ379" s="115"/>
      <c r="BA379" s="115"/>
      <c r="BB379" s="115"/>
      <c r="BC379" s="115"/>
      <c r="BD379" s="115"/>
      <c r="BE379" s="115"/>
      <c r="BF379" s="115"/>
      <c r="BG379" s="115"/>
      <c r="BH379" s="25"/>
      <c r="BI379" s="13"/>
      <c r="BL379" s="114"/>
    </row>
    <row r="380" spans="1:64" ht="20.100000000000001" customHeight="1" x14ac:dyDescent="0.4">
      <c r="A380" s="117"/>
      <c r="B380" s="123"/>
      <c r="C380" s="123"/>
      <c r="D380" s="123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27"/>
      <c r="Z380" s="29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25"/>
      <c r="AK380" s="13"/>
      <c r="AP380" s="116"/>
      <c r="AQ380" s="123"/>
      <c r="AR380" s="123"/>
      <c r="AS380" s="123"/>
      <c r="AX380" s="115"/>
      <c r="AY380" s="115"/>
      <c r="AZ380" s="115"/>
      <c r="BA380" s="115"/>
      <c r="BB380" s="115"/>
      <c r="BC380" s="115"/>
      <c r="BD380" s="115"/>
      <c r="BE380" s="115"/>
      <c r="BF380" s="115"/>
      <c r="BG380" s="115"/>
      <c r="BH380" s="25"/>
      <c r="BI380" s="13"/>
      <c r="BL380" s="114"/>
    </row>
    <row r="381" spans="1:64" ht="20.100000000000001" customHeight="1" x14ac:dyDescent="0.4">
      <c r="A381" s="117"/>
      <c r="B381" s="123"/>
      <c r="C381" s="123"/>
      <c r="D381" s="123"/>
      <c r="Y381" s="127"/>
      <c r="Z381" s="29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25">
        <v>45677</v>
      </c>
      <c r="AK381" s="13" t="s">
        <v>146</v>
      </c>
      <c r="AP381" s="116"/>
      <c r="AQ381" s="123"/>
      <c r="AR381" s="123"/>
      <c r="AS381" s="123"/>
      <c r="AX381" s="115"/>
      <c r="AY381" s="115"/>
      <c r="AZ381" s="115"/>
      <c r="BA381" s="115"/>
      <c r="BB381" s="115"/>
      <c r="BC381" s="115"/>
      <c r="BD381" s="115"/>
      <c r="BE381" s="115"/>
      <c r="BF381" s="115"/>
      <c r="BG381" s="115"/>
      <c r="BH381" s="25"/>
      <c r="BI381" s="13"/>
      <c r="BL381" s="114"/>
    </row>
    <row r="382" spans="1:64" ht="20.100000000000001" customHeight="1" x14ac:dyDescent="0.4">
      <c r="A382" s="117"/>
      <c r="B382" s="123"/>
      <c r="C382" s="123"/>
      <c r="D382" s="123"/>
      <c r="P382" s="115"/>
      <c r="Q382" s="115"/>
      <c r="R382" s="115"/>
      <c r="S382" s="115"/>
      <c r="T382" s="115"/>
      <c r="U382" s="115"/>
      <c r="V382" s="115"/>
      <c r="W382" s="115"/>
      <c r="X382" s="115"/>
      <c r="Y382" s="127"/>
      <c r="Z382" s="29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25"/>
      <c r="AK382" s="13"/>
      <c r="AP382" s="116"/>
      <c r="AQ382" s="123"/>
      <c r="AR382" s="123"/>
      <c r="AS382" s="123"/>
      <c r="AX382" s="115"/>
      <c r="AY382" s="115"/>
      <c r="AZ382" s="115"/>
      <c r="BA382" s="115"/>
      <c r="BB382" s="115"/>
      <c r="BC382" s="115"/>
      <c r="BD382" s="115"/>
      <c r="BE382" s="115"/>
      <c r="BF382" s="115"/>
      <c r="BG382" s="115"/>
      <c r="BH382" s="25"/>
      <c r="BI382" s="13"/>
      <c r="BL382" s="114"/>
    </row>
    <row r="383" spans="1:64" ht="20.100000000000001" customHeight="1" x14ac:dyDescent="0.4">
      <c r="A383" s="117"/>
      <c r="B383" s="123"/>
      <c r="C383" s="123"/>
      <c r="D383" s="123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27"/>
      <c r="Z383" s="29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25"/>
      <c r="AK383" s="13"/>
      <c r="AP383" s="116"/>
      <c r="AQ383" s="123"/>
      <c r="AR383" s="123"/>
      <c r="AS383" s="123"/>
      <c r="AX383" s="115"/>
      <c r="AY383" s="115"/>
      <c r="AZ383" s="115"/>
      <c r="BA383" s="115"/>
      <c r="BB383" s="115"/>
      <c r="BC383" s="115"/>
      <c r="BD383" s="115"/>
      <c r="BE383" s="115"/>
      <c r="BF383" s="115"/>
      <c r="BG383" s="115"/>
      <c r="BH383" s="25"/>
      <c r="BI383" s="13"/>
      <c r="BL383" s="114"/>
    </row>
    <row r="384" spans="1:64" ht="20.100000000000001" customHeight="1" x14ac:dyDescent="0.4">
      <c r="A384" s="117"/>
      <c r="B384" s="123"/>
      <c r="C384" s="123"/>
      <c r="D384" s="123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29"/>
      <c r="Z384" s="29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25"/>
      <c r="AK384" s="13"/>
      <c r="AP384" s="116"/>
      <c r="AQ384" s="123"/>
      <c r="AR384" s="123"/>
      <c r="AS384" s="123"/>
      <c r="AX384" s="115"/>
      <c r="AY384" s="115"/>
      <c r="AZ384" s="115"/>
      <c r="BA384" s="115"/>
      <c r="BB384" s="115"/>
      <c r="BC384" s="115"/>
      <c r="BD384" s="115"/>
      <c r="BE384" s="115"/>
      <c r="BF384" s="115"/>
      <c r="BG384" s="115"/>
      <c r="BH384" s="25"/>
      <c r="BI384" s="13"/>
      <c r="BL384" s="114"/>
    </row>
    <row r="385" spans="1:64" ht="20.100000000000001" customHeight="1" x14ac:dyDescent="0.4">
      <c r="A385" s="117"/>
      <c r="B385" s="123"/>
      <c r="C385" s="123"/>
      <c r="D385" s="123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27"/>
      <c r="Z385" s="29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25"/>
      <c r="AK385" s="13"/>
      <c r="AP385" s="116"/>
      <c r="AQ385" s="123"/>
      <c r="AR385" s="123"/>
      <c r="AS385" s="123"/>
      <c r="AX385" s="115"/>
      <c r="AY385" s="115"/>
      <c r="AZ385" s="115"/>
      <c r="BA385" s="115"/>
      <c r="BB385" s="115"/>
      <c r="BC385" s="115"/>
      <c r="BD385" s="115"/>
      <c r="BE385" s="115"/>
      <c r="BF385" s="115"/>
      <c r="BG385" s="115"/>
      <c r="BH385" s="25"/>
      <c r="BI385" s="13"/>
      <c r="BL385" s="114"/>
    </row>
    <row r="386" spans="1:64" ht="20.100000000000001" customHeight="1" x14ac:dyDescent="0.4">
      <c r="A386" s="117"/>
      <c r="B386" s="123"/>
      <c r="C386" s="123"/>
      <c r="D386" s="123"/>
      <c r="Y386" s="127"/>
      <c r="Z386" s="29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25">
        <v>45677</v>
      </c>
      <c r="AK386" s="13" t="s">
        <v>148</v>
      </c>
      <c r="AP386" s="116"/>
      <c r="AQ386" s="123"/>
      <c r="AR386" s="123"/>
      <c r="AS386" s="123"/>
      <c r="AX386" s="115"/>
      <c r="AY386" s="115"/>
      <c r="AZ386" s="115"/>
      <c r="BA386" s="115"/>
      <c r="BB386" s="115"/>
      <c r="BC386" s="115"/>
      <c r="BD386" s="115"/>
      <c r="BE386" s="115"/>
      <c r="BF386" s="115"/>
      <c r="BG386" s="115"/>
      <c r="BH386" s="25"/>
      <c r="BI386" s="13"/>
      <c r="BL386" s="114"/>
    </row>
    <row r="387" spans="1:64" ht="19.5" x14ac:dyDescent="0.4">
      <c r="A387" s="117"/>
      <c r="B387" s="123"/>
      <c r="C387" s="123"/>
      <c r="D387" s="123"/>
      <c r="Y387" s="127"/>
      <c r="Z387" s="29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25"/>
      <c r="AK387" s="13"/>
      <c r="AP387" s="116"/>
      <c r="AQ387" s="123"/>
      <c r="AR387" s="123"/>
      <c r="AS387" s="123"/>
      <c r="AX387" s="115"/>
      <c r="AY387" s="115"/>
      <c r="AZ387" s="115"/>
      <c r="BA387" s="115"/>
      <c r="BB387" s="115"/>
      <c r="BC387" s="115"/>
      <c r="BD387" s="115"/>
      <c r="BE387" s="115"/>
      <c r="BF387" s="115"/>
      <c r="BG387" s="115"/>
      <c r="BH387" s="25"/>
      <c r="BI387" s="13"/>
      <c r="BL387" s="114"/>
    </row>
    <row r="388" spans="1:64" ht="19.5" x14ac:dyDescent="0.4">
      <c r="A388" s="117"/>
      <c r="B388" s="123"/>
      <c r="C388" s="123"/>
      <c r="D388" s="123"/>
      <c r="Q388" s="115"/>
      <c r="R388" s="115"/>
      <c r="S388" s="115"/>
      <c r="T388" s="115"/>
      <c r="U388" s="115"/>
      <c r="V388" s="115"/>
      <c r="W388" s="115"/>
      <c r="X388" s="115"/>
      <c r="Y388" s="29"/>
      <c r="Z388" s="29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25"/>
      <c r="AK388" s="13"/>
      <c r="AP388" s="116"/>
      <c r="AQ388" s="123"/>
      <c r="AR388" s="123"/>
      <c r="AS388" s="123"/>
      <c r="AX388" s="115"/>
      <c r="AY388" s="115"/>
      <c r="AZ388" s="115"/>
      <c r="BA388" s="115"/>
      <c r="BB388" s="115"/>
      <c r="BC388" s="115"/>
      <c r="BD388" s="115"/>
      <c r="BE388" s="115"/>
      <c r="BF388" s="115"/>
      <c r="BG388" s="115"/>
      <c r="BH388" s="25"/>
      <c r="BI388" s="13"/>
      <c r="BL388" s="114"/>
    </row>
    <row r="389" spans="1:64" ht="19.5" x14ac:dyDescent="0.4">
      <c r="A389" s="117"/>
      <c r="B389" s="123"/>
      <c r="C389" s="123"/>
      <c r="D389" s="123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27"/>
      <c r="Z389" s="29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25"/>
      <c r="AK389" s="13"/>
      <c r="AP389" s="116"/>
      <c r="AQ389" s="123"/>
      <c r="AR389" s="123"/>
      <c r="AS389" s="123"/>
      <c r="AX389" s="115"/>
      <c r="AY389" s="115"/>
      <c r="AZ389" s="115"/>
      <c r="BA389" s="115"/>
      <c r="BB389" s="115"/>
      <c r="BC389" s="115"/>
      <c r="BD389" s="115"/>
      <c r="BE389" s="115"/>
      <c r="BF389" s="115"/>
      <c r="BG389" s="115"/>
      <c r="BH389" s="25"/>
      <c r="BI389" s="13"/>
      <c r="BL389" s="114"/>
    </row>
    <row r="390" spans="1:64" ht="19.5" x14ac:dyDescent="0.4">
      <c r="A390" s="117"/>
      <c r="B390" s="123"/>
      <c r="C390" s="123"/>
      <c r="D390" s="123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29"/>
      <c r="Z390" s="29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25"/>
      <c r="AK390" s="13"/>
      <c r="AP390" s="116"/>
      <c r="AQ390" s="123"/>
      <c r="AR390" s="123"/>
      <c r="AS390" s="123"/>
      <c r="AX390" s="115"/>
      <c r="AY390" s="115"/>
      <c r="AZ390" s="115"/>
      <c r="BA390" s="115"/>
      <c r="BB390" s="115"/>
      <c r="BC390" s="115"/>
      <c r="BD390" s="115"/>
      <c r="BE390" s="115"/>
      <c r="BF390" s="115"/>
      <c r="BG390" s="115"/>
      <c r="BH390" s="25"/>
      <c r="BI390" s="13"/>
      <c r="BL390" s="114"/>
    </row>
    <row r="391" spans="1:64" ht="19.5" x14ac:dyDescent="0.4">
      <c r="A391" s="117"/>
      <c r="B391" s="123"/>
      <c r="C391" s="123"/>
      <c r="D391" s="123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27"/>
      <c r="Z391" s="29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25"/>
      <c r="AK391" s="13"/>
      <c r="AP391" s="116"/>
      <c r="AQ391" s="123"/>
      <c r="AR391" s="123"/>
      <c r="AS391" s="123"/>
      <c r="AX391" s="115"/>
      <c r="AY391" s="115"/>
      <c r="AZ391" s="115"/>
      <c r="BA391" s="115"/>
      <c r="BB391" s="115"/>
      <c r="BC391" s="115"/>
      <c r="BD391" s="115"/>
      <c r="BE391" s="115"/>
      <c r="BF391" s="115"/>
      <c r="BG391" s="115"/>
      <c r="BH391" s="25"/>
      <c r="BI391" s="13"/>
      <c r="BL391" s="114"/>
    </row>
    <row r="392" spans="1:64" ht="19.5" x14ac:dyDescent="0.4">
      <c r="A392" s="117"/>
      <c r="B392" s="123"/>
      <c r="C392" s="123"/>
      <c r="D392" s="123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29"/>
      <c r="Z392" s="29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25"/>
      <c r="AK392" s="13"/>
      <c r="AP392" s="116"/>
      <c r="AQ392" s="123"/>
      <c r="AR392" s="123"/>
      <c r="AS392" s="123"/>
      <c r="AX392" s="115"/>
      <c r="AY392" s="115"/>
      <c r="AZ392" s="115"/>
      <c r="BA392" s="115"/>
      <c r="BB392" s="115"/>
      <c r="BC392" s="115"/>
      <c r="BD392" s="115"/>
      <c r="BE392" s="115"/>
      <c r="BF392" s="115"/>
      <c r="BG392" s="115"/>
      <c r="BH392" s="25"/>
      <c r="BI392" s="13"/>
      <c r="BL392" s="114"/>
    </row>
    <row r="393" spans="1:64" ht="19.5" x14ac:dyDescent="0.4">
      <c r="A393" s="117"/>
      <c r="B393" s="123"/>
      <c r="C393" s="123"/>
      <c r="D393" s="123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27"/>
      <c r="Z393" s="29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25"/>
      <c r="AK393" s="13"/>
      <c r="AP393" s="116"/>
      <c r="AQ393" s="123"/>
      <c r="AR393" s="123"/>
      <c r="AS393" s="123"/>
      <c r="AX393" s="115"/>
      <c r="AY393" s="115"/>
      <c r="AZ393" s="115"/>
      <c r="BA393" s="115"/>
      <c r="BB393" s="115"/>
      <c r="BC393" s="115"/>
      <c r="BD393" s="115"/>
      <c r="BE393" s="115"/>
      <c r="BF393" s="115"/>
      <c r="BG393" s="115"/>
      <c r="BH393" s="25"/>
      <c r="BI393" s="13"/>
      <c r="BL393" s="114"/>
    </row>
    <row r="394" spans="1:64" ht="19.5" x14ac:dyDescent="0.4">
      <c r="A394" s="117"/>
      <c r="B394" s="123"/>
      <c r="C394" s="123"/>
      <c r="D394" s="123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27"/>
      <c r="Z394" s="29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25"/>
      <c r="AK394" s="13"/>
      <c r="AP394" s="116"/>
      <c r="AQ394" s="123"/>
      <c r="AR394" s="123"/>
      <c r="AS394" s="123"/>
      <c r="AX394" s="115"/>
      <c r="AY394" s="115"/>
      <c r="AZ394" s="115"/>
      <c r="BA394" s="115"/>
      <c r="BB394" s="115"/>
      <c r="BC394" s="115"/>
      <c r="BD394" s="115"/>
      <c r="BE394" s="115"/>
      <c r="BF394" s="115"/>
      <c r="BG394" s="115"/>
      <c r="BH394" s="25"/>
      <c r="BI394" s="13"/>
      <c r="BL394" s="114"/>
    </row>
    <row r="395" spans="1:64" ht="19.5" x14ac:dyDescent="0.4">
      <c r="A395" s="117"/>
      <c r="B395" s="123"/>
      <c r="C395" s="123"/>
      <c r="D395" s="123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27"/>
      <c r="Z395" s="29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25"/>
      <c r="AK395" s="13"/>
      <c r="AP395" s="116"/>
      <c r="AQ395" s="123"/>
      <c r="AR395" s="123"/>
      <c r="AS395" s="123"/>
      <c r="AX395" s="115"/>
      <c r="AY395" s="115"/>
      <c r="AZ395" s="115"/>
      <c r="BA395" s="115"/>
      <c r="BB395" s="115"/>
      <c r="BC395" s="115"/>
      <c r="BD395" s="115"/>
      <c r="BE395" s="115"/>
      <c r="BF395" s="115"/>
      <c r="BG395" s="115"/>
      <c r="BH395" s="25"/>
      <c r="BI395" s="13"/>
      <c r="BL395" s="114"/>
    </row>
    <row r="396" spans="1:64" ht="19.5" x14ac:dyDescent="0.4">
      <c r="A396" s="117"/>
      <c r="B396" s="123"/>
      <c r="C396" s="123"/>
      <c r="D396" s="123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29"/>
      <c r="Z396" s="29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25"/>
      <c r="AK396" s="13"/>
      <c r="AP396" s="116"/>
      <c r="AQ396" s="123"/>
      <c r="AR396" s="123"/>
      <c r="AS396" s="123"/>
      <c r="AX396" s="115"/>
      <c r="AY396" s="115"/>
      <c r="AZ396" s="115"/>
      <c r="BA396" s="115"/>
      <c r="BB396" s="115"/>
      <c r="BC396" s="115"/>
      <c r="BD396" s="115"/>
      <c r="BE396" s="115"/>
      <c r="BF396" s="115"/>
      <c r="BG396" s="115"/>
      <c r="BH396" s="25"/>
      <c r="BI396" s="13"/>
      <c r="BL396" s="114"/>
    </row>
    <row r="397" spans="1:64" ht="19.5" x14ac:dyDescent="0.4">
      <c r="A397" s="117"/>
      <c r="B397" s="123"/>
      <c r="C397" s="123"/>
      <c r="D397" s="123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27"/>
      <c r="Z397" s="29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25"/>
      <c r="AK397" s="13"/>
      <c r="AP397" s="116"/>
      <c r="AQ397" s="123"/>
      <c r="AR397" s="123"/>
      <c r="AS397" s="123"/>
      <c r="AX397" s="115"/>
      <c r="AY397" s="115"/>
      <c r="AZ397" s="115"/>
      <c r="BA397" s="115"/>
      <c r="BB397" s="115"/>
      <c r="BC397" s="115"/>
      <c r="BD397" s="115"/>
      <c r="BE397" s="115"/>
      <c r="BF397" s="115"/>
      <c r="BG397" s="115"/>
      <c r="BH397" s="25"/>
      <c r="BI397" s="13"/>
      <c r="BL397" s="114"/>
    </row>
    <row r="398" spans="1:64" ht="19.5" x14ac:dyDescent="0.4">
      <c r="A398" s="117"/>
      <c r="B398" s="123"/>
      <c r="C398" s="123"/>
      <c r="D398" s="123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29"/>
      <c r="Z398" s="29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25"/>
      <c r="AK398" s="13"/>
      <c r="AP398" s="116"/>
      <c r="AQ398" s="123"/>
      <c r="AR398" s="123"/>
      <c r="AS398" s="123"/>
      <c r="AX398" s="115"/>
      <c r="AY398" s="115"/>
      <c r="AZ398" s="115"/>
      <c r="BA398" s="115"/>
      <c r="BB398" s="115"/>
      <c r="BC398" s="115"/>
      <c r="BD398" s="115"/>
      <c r="BE398" s="115"/>
      <c r="BF398" s="115"/>
      <c r="BG398" s="115"/>
      <c r="BH398" s="25"/>
      <c r="BI398" s="13"/>
      <c r="BL398" s="114"/>
    </row>
    <row r="399" spans="1:64" ht="19.5" x14ac:dyDescent="0.4">
      <c r="A399" s="117"/>
      <c r="B399" s="123"/>
      <c r="C399" s="123"/>
      <c r="D399" s="123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27"/>
      <c r="Z399" s="29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25"/>
      <c r="AK399" s="13"/>
      <c r="AP399" s="116"/>
      <c r="AQ399" s="123"/>
      <c r="AR399" s="123"/>
      <c r="AS399" s="123"/>
      <c r="AX399" s="115"/>
      <c r="AY399" s="115"/>
      <c r="AZ399" s="115"/>
      <c r="BA399" s="115"/>
      <c r="BB399" s="115"/>
      <c r="BC399" s="115"/>
      <c r="BD399" s="115"/>
      <c r="BE399" s="115"/>
      <c r="BF399" s="115"/>
      <c r="BG399" s="115"/>
      <c r="BH399" s="25"/>
      <c r="BI399" s="13"/>
      <c r="BL399" s="114"/>
    </row>
    <row r="400" spans="1:64" ht="19.5" x14ac:dyDescent="0.4">
      <c r="A400" s="117"/>
      <c r="B400" s="123"/>
      <c r="C400" s="123"/>
      <c r="D400" s="123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29"/>
      <c r="Z400" s="29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25"/>
      <c r="AK400" s="13"/>
      <c r="AP400" s="116"/>
      <c r="AQ400" s="123"/>
      <c r="AR400" s="123"/>
      <c r="AS400" s="123"/>
      <c r="AX400" s="115"/>
      <c r="AY400" s="115"/>
      <c r="AZ400" s="115"/>
      <c r="BA400" s="115"/>
      <c r="BB400" s="115"/>
      <c r="BC400" s="115"/>
      <c r="BD400" s="115"/>
      <c r="BE400" s="115"/>
      <c r="BF400" s="115"/>
      <c r="BG400" s="115"/>
      <c r="BH400" s="25"/>
      <c r="BI400" s="13"/>
      <c r="BL400" s="114"/>
    </row>
    <row r="401" spans="1:64" ht="19.5" x14ac:dyDescent="0.4">
      <c r="A401" s="117"/>
      <c r="B401" s="123"/>
      <c r="C401" s="123"/>
      <c r="D401" s="123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29"/>
      <c r="Z401" s="29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25"/>
      <c r="AK401" s="13"/>
      <c r="AP401" s="116"/>
      <c r="AQ401" s="123"/>
      <c r="AR401" s="123"/>
      <c r="AS401" s="123"/>
      <c r="AX401" s="115"/>
      <c r="AY401" s="115"/>
      <c r="AZ401" s="115"/>
      <c r="BA401" s="115"/>
      <c r="BB401" s="115"/>
      <c r="BC401" s="115"/>
      <c r="BD401" s="115"/>
      <c r="BE401" s="115"/>
      <c r="BF401" s="115"/>
      <c r="BG401" s="115"/>
      <c r="BH401" s="25"/>
      <c r="BI401" s="13"/>
      <c r="BL401" s="114"/>
    </row>
    <row r="402" spans="1:64" ht="19.5" x14ac:dyDescent="0.4">
      <c r="A402" s="117"/>
      <c r="B402" s="123"/>
      <c r="C402" s="123"/>
      <c r="D402" s="123"/>
      <c r="Y402" s="127"/>
      <c r="Z402" s="29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25">
        <v>45677</v>
      </c>
      <c r="AK402" s="13" t="s">
        <v>146</v>
      </c>
      <c r="AP402" s="116"/>
      <c r="AQ402" s="123"/>
      <c r="AR402" s="123"/>
      <c r="AS402" s="123"/>
      <c r="AX402" s="115"/>
      <c r="AY402" s="115"/>
      <c r="AZ402" s="115"/>
      <c r="BA402" s="115"/>
      <c r="BB402" s="115"/>
      <c r="BC402" s="115"/>
      <c r="BD402" s="115"/>
      <c r="BE402" s="115"/>
      <c r="BF402" s="115"/>
      <c r="BG402" s="115"/>
      <c r="BH402" s="25"/>
      <c r="BI402" s="13"/>
      <c r="BL402" s="114"/>
    </row>
    <row r="403" spans="1:64" ht="19.5" x14ac:dyDescent="0.4">
      <c r="A403" s="117"/>
      <c r="B403" s="123"/>
      <c r="C403" s="123"/>
      <c r="D403" s="123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27"/>
      <c r="Z403" s="29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25"/>
      <c r="AK403" s="13"/>
      <c r="AP403" s="116"/>
      <c r="AQ403" s="123"/>
      <c r="AR403" s="123"/>
      <c r="AS403" s="123"/>
      <c r="AX403" s="115"/>
      <c r="AY403" s="115"/>
      <c r="AZ403" s="115"/>
      <c r="BA403" s="115"/>
      <c r="BB403" s="115"/>
      <c r="BC403" s="115"/>
      <c r="BD403" s="115"/>
      <c r="BE403" s="115"/>
      <c r="BF403" s="115"/>
      <c r="BG403" s="115"/>
      <c r="BH403" s="25"/>
      <c r="BI403" s="13"/>
      <c r="BL403" s="114"/>
    </row>
    <row r="404" spans="1:64" ht="19.5" x14ac:dyDescent="0.4">
      <c r="A404" s="117"/>
      <c r="B404" s="123"/>
      <c r="C404" s="123"/>
      <c r="D404" s="123"/>
      <c r="Y404" s="127"/>
      <c r="Z404" s="29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25"/>
      <c r="AK404" s="13"/>
      <c r="AP404" s="116"/>
      <c r="AQ404" s="123"/>
      <c r="AR404" s="123"/>
      <c r="AS404" s="123"/>
      <c r="AX404" s="115"/>
      <c r="AY404" s="115"/>
      <c r="AZ404" s="115"/>
      <c r="BA404" s="115"/>
      <c r="BB404" s="115"/>
      <c r="BC404" s="115"/>
      <c r="BD404" s="115"/>
      <c r="BE404" s="115"/>
      <c r="BF404" s="115"/>
      <c r="BG404" s="115"/>
      <c r="BH404" s="25"/>
      <c r="BI404" s="13"/>
      <c r="BL404" s="114"/>
    </row>
    <row r="405" spans="1:64" ht="19.5" x14ac:dyDescent="0.4">
      <c r="A405" s="117"/>
      <c r="B405" s="123"/>
      <c r="C405" s="123"/>
      <c r="D405" s="123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27"/>
      <c r="Z405" s="29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25"/>
      <c r="AK405" s="13"/>
      <c r="AP405" s="116"/>
      <c r="AQ405" s="123"/>
      <c r="AR405" s="123"/>
      <c r="AS405" s="123"/>
      <c r="AX405" s="115"/>
      <c r="AY405" s="115"/>
      <c r="AZ405" s="115"/>
      <c r="BA405" s="115"/>
      <c r="BB405" s="115"/>
      <c r="BC405" s="115"/>
      <c r="BD405" s="115"/>
      <c r="BE405" s="115"/>
      <c r="BF405" s="115"/>
      <c r="BG405" s="115"/>
      <c r="BH405" s="25"/>
      <c r="BI405" s="13"/>
      <c r="BL405" s="114"/>
    </row>
    <row r="406" spans="1:64" ht="19.5" x14ac:dyDescent="0.4">
      <c r="A406" s="117"/>
      <c r="B406" s="123"/>
      <c r="C406" s="123"/>
      <c r="D406" s="123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27"/>
      <c r="Z406" s="29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25"/>
      <c r="AK406" s="13"/>
      <c r="AP406" s="116"/>
      <c r="AQ406" s="123"/>
      <c r="AR406" s="123"/>
      <c r="AS406" s="123"/>
      <c r="AX406" s="115"/>
      <c r="AY406" s="115"/>
      <c r="AZ406" s="115"/>
      <c r="BA406" s="115"/>
      <c r="BB406" s="115"/>
      <c r="BC406" s="115"/>
      <c r="BD406" s="115"/>
      <c r="BE406" s="115"/>
      <c r="BF406" s="115"/>
      <c r="BG406" s="115"/>
      <c r="BH406" s="25"/>
      <c r="BI406" s="13"/>
      <c r="BL406" s="114"/>
    </row>
    <row r="407" spans="1:64" ht="19.5" x14ac:dyDescent="0.4">
      <c r="A407" s="117"/>
      <c r="B407" s="123"/>
      <c r="C407" s="123"/>
      <c r="D407" s="123"/>
      <c r="Y407" s="127"/>
      <c r="Z407" s="29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25"/>
      <c r="AK407" s="13"/>
      <c r="AP407" s="116"/>
      <c r="AQ407" s="123"/>
      <c r="AR407" s="123"/>
      <c r="AS407" s="123"/>
      <c r="AX407" s="115"/>
      <c r="AY407" s="115"/>
      <c r="AZ407" s="115"/>
      <c r="BA407" s="115"/>
      <c r="BB407" s="115"/>
      <c r="BC407" s="115"/>
      <c r="BD407" s="115"/>
      <c r="BE407" s="115"/>
      <c r="BF407" s="115"/>
      <c r="BG407" s="115"/>
      <c r="BH407" s="25"/>
      <c r="BI407" s="13"/>
      <c r="BL407" s="114"/>
    </row>
    <row r="408" spans="1:64" ht="19.5" x14ac:dyDescent="0.4">
      <c r="A408" s="117"/>
      <c r="B408" s="123"/>
      <c r="C408" s="123"/>
      <c r="D408" s="123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27"/>
      <c r="Z408" s="29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25"/>
      <c r="AK408" s="13"/>
      <c r="AP408" s="116"/>
      <c r="AQ408" s="123"/>
      <c r="AR408" s="123"/>
      <c r="AS408" s="123"/>
      <c r="AX408" s="115"/>
      <c r="AY408" s="115"/>
      <c r="AZ408" s="115"/>
      <c r="BA408" s="115"/>
      <c r="BB408" s="115"/>
      <c r="BC408" s="115"/>
      <c r="BD408" s="115"/>
      <c r="BE408" s="115"/>
      <c r="BF408" s="115"/>
      <c r="BG408" s="115"/>
      <c r="BH408" s="25"/>
      <c r="BI408" s="13"/>
      <c r="BL408" s="114"/>
    </row>
    <row r="409" spans="1:64" ht="19.5" x14ac:dyDescent="0.4">
      <c r="A409" s="117"/>
      <c r="B409" s="123"/>
      <c r="C409" s="123"/>
      <c r="D409" s="123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27"/>
      <c r="Z409" s="29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25"/>
      <c r="AK409" s="13"/>
      <c r="AP409" s="116"/>
      <c r="AQ409" s="123"/>
      <c r="AR409" s="123"/>
      <c r="AS409" s="123"/>
      <c r="AX409" s="115"/>
      <c r="AY409" s="115"/>
      <c r="AZ409" s="115"/>
      <c r="BA409" s="115"/>
      <c r="BB409" s="115"/>
      <c r="BC409" s="115"/>
      <c r="BD409" s="115"/>
      <c r="BE409" s="115"/>
      <c r="BF409" s="115"/>
      <c r="BG409" s="115"/>
      <c r="BH409" s="25"/>
      <c r="BI409" s="13"/>
      <c r="BL409" s="114"/>
    </row>
    <row r="410" spans="1:64" ht="19.5" x14ac:dyDescent="0.4">
      <c r="A410" s="117"/>
      <c r="B410" s="123"/>
      <c r="C410" s="123"/>
      <c r="D410" s="123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27"/>
      <c r="Z410" s="29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25"/>
      <c r="AK410" s="13"/>
      <c r="AP410" s="116"/>
      <c r="AQ410" s="123"/>
      <c r="AR410" s="123"/>
      <c r="AS410" s="123"/>
      <c r="AX410" s="115"/>
      <c r="AY410" s="115"/>
      <c r="AZ410" s="115"/>
      <c r="BA410" s="115"/>
      <c r="BB410" s="115"/>
      <c r="BC410" s="115"/>
      <c r="BD410" s="115"/>
      <c r="BE410" s="115"/>
      <c r="BF410" s="115"/>
      <c r="BG410" s="115"/>
      <c r="BH410" s="25"/>
      <c r="BI410" s="13"/>
      <c r="BL410" s="114"/>
    </row>
    <row r="411" spans="1:64" ht="19.5" x14ac:dyDescent="0.4">
      <c r="A411" s="117"/>
      <c r="B411" s="123"/>
      <c r="C411" s="123"/>
      <c r="D411" s="123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29"/>
      <c r="Z411" s="29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25"/>
      <c r="AK411" s="13"/>
      <c r="AP411" s="116"/>
      <c r="AQ411" s="123"/>
      <c r="AR411" s="123"/>
      <c r="AS411" s="123"/>
      <c r="AX411" s="115"/>
      <c r="AY411" s="115"/>
      <c r="AZ411" s="115"/>
      <c r="BA411" s="115"/>
      <c r="BB411" s="115"/>
      <c r="BC411" s="115"/>
      <c r="BD411" s="115"/>
      <c r="BE411" s="115"/>
      <c r="BF411" s="115"/>
      <c r="BG411" s="115"/>
      <c r="BH411" s="25"/>
      <c r="BI411" s="13"/>
      <c r="BL411" s="114"/>
    </row>
    <row r="412" spans="1:64" ht="19.5" x14ac:dyDescent="0.4">
      <c r="A412" s="117"/>
      <c r="B412" s="123"/>
      <c r="C412" s="123"/>
      <c r="D412" s="123"/>
      <c r="Y412" s="127"/>
      <c r="Z412" s="29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25">
        <v>45677</v>
      </c>
      <c r="AK412" s="13" t="s">
        <v>147</v>
      </c>
      <c r="AP412" s="116"/>
      <c r="AQ412" s="123"/>
      <c r="AR412" s="123"/>
      <c r="AS412" s="123"/>
      <c r="AX412" s="115"/>
      <c r="AY412" s="115"/>
      <c r="AZ412" s="115"/>
      <c r="BA412" s="115"/>
      <c r="BB412" s="115"/>
      <c r="BC412" s="115"/>
      <c r="BD412" s="115"/>
      <c r="BE412" s="115"/>
      <c r="BF412" s="115"/>
      <c r="BG412" s="115"/>
      <c r="BH412" s="25"/>
      <c r="BI412" s="13"/>
      <c r="BL412" s="114"/>
    </row>
    <row r="413" spans="1:64" ht="19.5" x14ac:dyDescent="0.4">
      <c r="A413" s="117"/>
      <c r="B413" s="123"/>
      <c r="C413" s="123"/>
      <c r="D413" s="123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27"/>
      <c r="Z413" s="29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25"/>
      <c r="AK413" s="13"/>
      <c r="AP413" s="116"/>
      <c r="AQ413" s="123"/>
      <c r="AR413" s="123"/>
      <c r="AS413" s="123"/>
      <c r="AX413" s="115"/>
      <c r="AY413" s="115"/>
      <c r="AZ413" s="115"/>
      <c r="BA413" s="115"/>
      <c r="BB413" s="115"/>
      <c r="BC413" s="115"/>
      <c r="BD413" s="115"/>
      <c r="BE413" s="115"/>
      <c r="BF413" s="115"/>
      <c r="BG413" s="115"/>
      <c r="BH413" s="25"/>
      <c r="BI413" s="13"/>
      <c r="BL413" s="114"/>
    </row>
    <row r="414" spans="1:64" ht="19.5" x14ac:dyDescent="0.4">
      <c r="A414" s="117"/>
      <c r="B414" s="123"/>
      <c r="C414" s="123"/>
      <c r="D414" s="123"/>
      <c r="Y414" s="127"/>
      <c r="Z414" s="29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25">
        <v>45677</v>
      </c>
      <c r="AK414" s="25" t="s">
        <v>147</v>
      </c>
      <c r="AP414" s="116"/>
      <c r="AQ414" s="123"/>
      <c r="AR414" s="123"/>
      <c r="AS414" s="123"/>
      <c r="AX414" s="115"/>
      <c r="AY414" s="115"/>
      <c r="AZ414" s="115"/>
      <c r="BA414" s="115"/>
      <c r="BB414" s="115"/>
      <c r="BC414" s="115"/>
      <c r="BD414" s="115"/>
      <c r="BE414" s="115"/>
      <c r="BF414" s="115"/>
      <c r="BG414" s="115"/>
      <c r="BH414" s="25"/>
      <c r="BI414" s="13"/>
      <c r="BL414" s="114"/>
    </row>
    <row r="415" spans="1:64" ht="19.5" x14ac:dyDescent="0.4">
      <c r="A415" s="117"/>
      <c r="B415" s="123"/>
      <c r="C415" s="123"/>
      <c r="D415" s="123"/>
      <c r="Y415" s="127"/>
      <c r="Z415" s="29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25"/>
      <c r="AK415" s="25"/>
      <c r="AP415" s="116"/>
      <c r="AQ415" s="123"/>
      <c r="AR415" s="123"/>
      <c r="AS415" s="123"/>
      <c r="AX415" s="115"/>
      <c r="AY415" s="115"/>
      <c r="AZ415" s="115"/>
      <c r="BA415" s="115"/>
      <c r="BB415" s="115"/>
      <c r="BC415" s="115"/>
      <c r="BD415" s="115"/>
      <c r="BE415" s="115"/>
      <c r="BF415" s="115"/>
      <c r="BG415" s="115"/>
      <c r="BH415" s="25"/>
      <c r="BI415" s="13"/>
      <c r="BL415" s="114"/>
    </row>
    <row r="416" spans="1:64" ht="19.5" x14ac:dyDescent="0.4">
      <c r="A416" s="117"/>
      <c r="B416" s="123"/>
      <c r="C416" s="123"/>
      <c r="D416" s="123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27"/>
      <c r="Z416" s="29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25"/>
      <c r="AK416" s="25"/>
      <c r="AP416" s="116"/>
      <c r="AQ416" s="123"/>
      <c r="AR416" s="123"/>
      <c r="AS416" s="123"/>
      <c r="AX416" s="115"/>
      <c r="AY416" s="115"/>
      <c r="AZ416" s="115"/>
      <c r="BA416" s="115"/>
      <c r="BB416" s="115"/>
      <c r="BC416" s="115"/>
      <c r="BD416" s="115"/>
      <c r="BE416" s="115"/>
      <c r="BF416" s="115"/>
      <c r="BG416" s="115"/>
      <c r="BH416" s="25"/>
      <c r="BI416" s="13"/>
      <c r="BL416" s="114"/>
    </row>
    <row r="417" spans="1:64" ht="19.5" x14ac:dyDescent="0.4">
      <c r="A417" s="117"/>
      <c r="B417" s="123"/>
      <c r="C417" s="123"/>
      <c r="D417" s="123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27"/>
      <c r="Z417" s="29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25"/>
      <c r="AK417" s="25"/>
      <c r="AP417" s="116"/>
      <c r="AQ417" s="123"/>
      <c r="AR417" s="123"/>
      <c r="AS417" s="123"/>
      <c r="AX417" s="115"/>
      <c r="AY417" s="115"/>
      <c r="AZ417" s="115"/>
      <c r="BA417" s="115"/>
      <c r="BB417" s="115"/>
      <c r="BC417" s="115"/>
      <c r="BD417" s="115"/>
      <c r="BE417" s="115"/>
      <c r="BF417" s="115"/>
      <c r="BG417" s="115"/>
      <c r="BH417" s="25"/>
      <c r="BI417" s="13"/>
      <c r="BL417" s="114"/>
    </row>
    <row r="418" spans="1:64" ht="19.5" x14ac:dyDescent="0.4">
      <c r="A418" s="117"/>
      <c r="B418" s="123"/>
      <c r="C418" s="123"/>
      <c r="D418" s="123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27"/>
      <c r="Z418" s="29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25"/>
      <c r="AK418" s="25"/>
      <c r="AP418" s="116"/>
      <c r="AQ418" s="123"/>
      <c r="AR418" s="123"/>
      <c r="AS418" s="123"/>
      <c r="AX418" s="115"/>
      <c r="AY418" s="115"/>
      <c r="AZ418" s="115"/>
      <c r="BA418" s="115"/>
      <c r="BB418" s="115"/>
      <c r="BC418" s="115"/>
      <c r="BD418" s="115"/>
      <c r="BE418" s="115"/>
      <c r="BF418" s="115"/>
      <c r="BG418" s="115"/>
      <c r="BH418" s="25"/>
      <c r="BI418" s="13"/>
      <c r="BL418" s="114"/>
    </row>
    <row r="419" spans="1:64" ht="19.5" x14ac:dyDescent="0.4">
      <c r="A419" s="117"/>
      <c r="B419" s="123"/>
      <c r="C419" s="123"/>
      <c r="D419" s="123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29"/>
      <c r="Z419" s="29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25"/>
      <c r="AK419" s="25"/>
      <c r="AP419" s="116"/>
      <c r="AQ419" s="123"/>
      <c r="AR419" s="123"/>
      <c r="AS419" s="123"/>
      <c r="AX419" s="115"/>
      <c r="AY419" s="115"/>
      <c r="AZ419" s="115"/>
      <c r="BA419" s="115"/>
      <c r="BB419" s="115"/>
      <c r="BC419" s="115"/>
      <c r="BD419" s="115"/>
      <c r="BE419" s="115"/>
      <c r="BF419" s="115"/>
      <c r="BG419" s="115"/>
      <c r="BH419" s="25"/>
      <c r="BI419" s="13"/>
      <c r="BL419" s="114"/>
    </row>
    <row r="420" spans="1:64" ht="19.5" x14ac:dyDescent="0.4">
      <c r="A420" s="117"/>
      <c r="B420" s="123"/>
      <c r="C420" s="123"/>
      <c r="D420" s="123"/>
      <c r="Y420" s="127"/>
      <c r="Z420" s="29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25">
        <v>45678</v>
      </c>
      <c r="AK420" s="13" t="s">
        <v>147</v>
      </c>
      <c r="AP420" s="116"/>
      <c r="AQ420" s="123"/>
      <c r="AR420" s="123"/>
      <c r="AS420" s="123"/>
      <c r="AX420" s="115"/>
      <c r="AY420" s="115"/>
      <c r="AZ420" s="115"/>
      <c r="BA420" s="115"/>
      <c r="BB420" s="115"/>
      <c r="BC420" s="115"/>
      <c r="BD420" s="115"/>
      <c r="BE420" s="115"/>
      <c r="BF420" s="115"/>
      <c r="BG420" s="115"/>
      <c r="BH420" s="25"/>
      <c r="BI420" s="13"/>
      <c r="BL420" s="114"/>
    </row>
    <row r="421" spans="1:64" ht="19.5" x14ac:dyDescent="0.4">
      <c r="A421" s="117"/>
      <c r="B421" s="123"/>
      <c r="C421" s="123"/>
      <c r="D421" s="123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27"/>
      <c r="Z421" s="29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25"/>
      <c r="AK421" s="13"/>
      <c r="AP421" s="116"/>
      <c r="AQ421" s="123"/>
      <c r="AR421" s="123"/>
      <c r="AS421" s="123"/>
      <c r="AX421" s="115"/>
      <c r="AY421" s="115"/>
      <c r="AZ421" s="115"/>
      <c r="BA421" s="115"/>
      <c r="BB421" s="115"/>
      <c r="BC421" s="115"/>
      <c r="BD421" s="115"/>
      <c r="BE421" s="115"/>
      <c r="BF421" s="115"/>
      <c r="BG421" s="115"/>
      <c r="BH421" s="25"/>
      <c r="BI421" s="13"/>
      <c r="BL421" s="114"/>
    </row>
    <row r="422" spans="1:64" ht="19.5" x14ac:dyDescent="0.4">
      <c r="A422" s="117"/>
      <c r="B422" s="123"/>
      <c r="C422" s="123"/>
      <c r="D422" s="123"/>
      <c r="Y422" s="127"/>
      <c r="Z422" s="29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25">
        <v>45678</v>
      </c>
      <c r="AK422" s="13" t="s">
        <v>146</v>
      </c>
      <c r="AP422" s="116"/>
      <c r="AQ422" s="123"/>
      <c r="AR422" s="123"/>
      <c r="AS422" s="123"/>
      <c r="AX422" s="115"/>
      <c r="AY422" s="115"/>
      <c r="AZ422" s="115"/>
      <c r="BA422" s="115"/>
      <c r="BB422" s="115"/>
      <c r="BC422" s="115"/>
      <c r="BD422" s="115"/>
      <c r="BE422" s="115"/>
      <c r="BF422" s="115"/>
      <c r="BG422" s="115"/>
      <c r="BH422" s="25"/>
      <c r="BI422" s="13"/>
      <c r="BL422" s="114"/>
    </row>
    <row r="423" spans="1:64" ht="19.5" x14ac:dyDescent="0.4">
      <c r="A423" s="117"/>
      <c r="B423" s="123"/>
      <c r="C423" s="123"/>
      <c r="D423" s="123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27"/>
      <c r="Z423" s="29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25"/>
      <c r="AK423" s="13"/>
      <c r="AP423" s="116"/>
      <c r="AQ423" s="123"/>
      <c r="AR423" s="123"/>
      <c r="AS423" s="123"/>
      <c r="AX423" s="115"/>
      <c r="AY423" s="115"/>
      <c r="AZ423" s="115"/>
      <c r="BA423" s="115"/>
      <c r="BB423" s="115"/>
      <c r="BC423" s="115"/>
      <c r="BD423" s="115"/>
      <c r="BE423" s="115"/>
      <c r="BF423" s="115"/>
      <c r="BG423" s="115"/>
      <c r="BH423" s="25"/>
      <c r="BI423" s="13"/>
      <c r="BL423" s="114"/>
    </row>
    <row r="424" spans="1:64" ht="19.5" x14ac:dyDescent="0.4">
      <c r="A424" s="117"/>
      <c r="B424" s="123"/>
      <c r="C424" s="123"/>
      <c r="D424" s="123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27"/>
      <c r="Z424" s="29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25"/>
      <c r="AK424" s="13"/>
      <c r="AP424" s="116"/>
      <c r="AQ424" s="123"/>
      <c r="AR424" s="123"/>
      <c r="AS424" s="123"/>
      <c r="AX424" s="115"/>
      <c r="AY424" s="115"/>
      <c r="AZ424" s="115"/>
      <c r="BA424" s="115"/>
      <c r="BB424" s="115"/>
      <c r="BC424" s="115"/>
      <c r="BD424" s="115"/>
      <c r="BE424" s="115"/>
      <c r="BF424" s="115"/>
      <c r="BG424" s="115"/>
      <c r="BH424" s="25"/>
      <c r="BI424" s="13"/>
      <c r="BL424" s="114"/>
    </row>
    <row r="425" spans="1:64" ht="19.5" x14ac:dyDescent="0.4">
      <c r="A425" s="117"/>
      <c r="B425" s="123"/>
      <c r="C425" s="123"/>
      <c r="D425" s="123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27"/>
      <c r="Z425" s="29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25"/>
      <c r="AK425" s="13"/>
      <c r="AP425" s="116"/>
      <c r="AQ425" s="123"/>
      <c r="AR425" s="123"/>
      <c r="AS425" s="123"/>
      <c r="AX425" s="115"/>
      <c r="AY425" s="115"/>
      <c r="AZ425" s="115"/>
      <c r="BA425" s="115"/>
      <c r="BB425" s="115"/>
      <c r="BC425" s="115"/>
      <c r="BD425" s="115"/>
      <c r="BE425" s="115"/>
      <c r="BF425" s="115"/>
      <c r="BG425" s="115"/>
      <c r="BH425" s="25"/>
      <c r="BI425" s="13"/>
      <c r="BL425" s="114"/>
    </row>
    <row r="426" spans="1:64" ht="19.5" x14ac:dyDescent="0.4">
      <c r="A426" s="117"/>
      <c r="B426" s="123"/>
      <c r="C426" s="123"/>
      <c r="D426" s="123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27"/>
      <c r="Z426" s="29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25"/>
      <c r="AK426" s="13"/>
      <c r="AP426" s="116"/>
      <c r="AQ426" s="123"/>
      <c r="AR426" s="123"/>
      <c r="AS426" s="123"/>
      <c r="AX426" s="115"/>
      <c r="AY426" s="115"/>
      <c r="AZ426" s="115"/>
      <c r="BA426" s="115"/>
      <c r="BB426" s="115"/>
      <c r="BC426" s="115"/>
      <c r="BD426" s="115"/>
      <c r="BE426" s="115"/>
      <c r="BF426" s="115"/>
      <c r="BG426" s="115"/>
      <c r="BH426" s="25"/>
      <c r="BI426" s="13"/>
      <c r="BL426" s="114"/>
    </row>
    <row r="427" spans="1:64" ht="19.5" x14ac:dyDescent="0.4">
      <c r="A427" s="117"/>
      <c r="B427" s="123"/>
      <c r="C427" s="123"/>
      <c r="D427" s="123"/>
      <c r="Y427" s="127"/>
      <c r="Z427" s="29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25">
        <v>45678</v>
      </c>
      <c r="AK427" s="13" t="s">
        <v>148</v>
      </c>
      <c r="AP427" s="116"/>
      <c r="AQ427" s="123"/>
      <c r="AR427" s="123"/>
      <c r="AS427" s="123"/>
      <c r="AX427" s="115"/>
      <c r="AY427" s="115"/>
      <c r="AZ427" s="115"/>
      <c r="BA427" s="115"/>
      <c r="BB427" s="115"/>
      <c r="BC427" s="115"/>
      <c r="BD427" s="115"/>
      <c r="BE427" s="115"/>
      <c r="BF427" s="115"/>
      <c r="BG427" s="115"/>
      <c r="BH427" s="25"/>
      <c r="BI427" s="13"/>
      <c r="BL427" s="114"/>
    </row>
    <row r="428" spans="1:64" ht="19.5" x14ac:dyDescent="0.4">
      <c r="A428" s="117"/>
      <c r="B428" s="123"/>
      <c r="C428" s="123"/>
      <c r="D428" s="123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27"/>
      <c r="Z428" s="29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25"/>
      <c r="AK428" s="13"/>
      <c r="AP428" s="116"/>
      <c r="AQ428" s="123"/>
      <c r="AR428" s="123"/>
      <c r="AS428" s="123"/>
      <c r="AX428" s="115"/>
      <c r="AY428" s="115"/>
      <c r="AZ428" s="115"/>
      <c r="BA428" s="115"/>
      <c r="BB428" s="115"/>
      <c r="BC428" s="115"/>
      <c r="BD428" s="115"/>
      <c r="BE428" s="115"/>
      <c r="BF428" s="115"/>
      <c r="BG428" s="115"/>
      <c r="BH428" s="25"/>
      <c r="BI428" s="13"/>
      <c r="BL428" s="114"/>
    </row>
    <row r="429" spans="1:64" ht="19.5" x14ac:dyDescent="0.4">
      <c r="A429" s="117"/>
      <c r="B429" s="123"/>
      <c r="C429" s="123"/>
      <c r="D429" s="123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29"/>
      <c r="Z429" s="29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25"/>
      <c r="AK429" s="13"/>
      <c r="AP429" s="116"/>
      <c r="AQ429" s="123"/>
      <c r="AR429" s="123"/>
      <c r="AS429" s="123"/>
      <c r="AX429" s="115"/>
      <c r="AY429" s="115"/>
      <c r="AZ429" s="115"/>
      <c r="BA429" s="115"/>
      <c r="BB429" s="115"/>
      <c r="BC429" s="115"/>
      <c r="BD429" s="115"/>
      <c r="BE429" s="115"/>
      <c r="BF429" s="115"/>
      <c r="BG429" s="115"/>
      <c r="BH429" s="25"/>
      <c r="BI429" s="13"/>
      <c r="BL429" s="114"/>
    </row>
    <row r="430" spans="1:64" ht="19.5" x14ac:dyDescent="0.4">
      <c r="A430" s="117"/>
      <c r="B430" s="123"/>
      <c r="C430" s="123"/>
      <c r="D430" s="123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27"/>
      <c r="Z430" s="134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25"/>
      <c r="AK430" s="13"/>
      <c r="AP430" s="116"/>
      <c r="AQ430" s="123"/>
      <c r="AR430" s="123"/>
      <c r="AS430" s="123"/>
      <c r="AX430" s="115"/>
      <c r="AY430" s="115"/>
      <c r="AZ430" s="115"/>
      <c r="BA430" s="115"/>
      <c r="BB430" s="115"/>
      <c r="BC430" s="115"/>
      <c r="BD430" s="115"/>
      <c r="BE430" s="115"/>
      <c r="BF430" s="115"/>
      <c r="BG430" s="115"/>
      <c r="BH430" s="25"/>
      <c r="BI430" s="13"/>
      <c r="BL430" s="114"/>
    </row>
    <row r="431" spans="1:64" ht="19.5" x14ac:dyDescent="0.4">
      <c r="A431" s="117"/>
      <c r="B431" s="123"/>
      <c r="C431" s="123"/>
      <c r="D431" s="123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27"/>
      <c r="Z431" s="29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25"/>
      <c r="AK431" s="13"/>
      <c r="AP431" s="116"/>
      <c r="AQ431" s="123"/>
      <c r="AR431" s="123"/>
      <c r="AS431" s="123"/>
      <c r="AX431" s="115"/>
      <c r="AY431" s="115"/>
      <c r="AZ431" s="115"/>
      <c r="BA431" s="115"/>
      <c r="BB431" s="115"/>
      <c r="BC431" s="115"/>
      <c r="BD431" s="115"/>
      <c r="BE431" s="115"/>
      <c r="BF431" s="115"/>
      <c r="BG431" s="115"/>
      <c r="BH431" s="25"/>
      <c r="BI431" s="13"/>
      <c r="BL431" s="114"/>
    </row>
    <row r="432" spans="1:64" ht="19.5" x14ac:dyDescent="0.4">
      <c r="A432" s="117"/>
      <c r="B432" s="123"/>
      <c r="C432" s="123"/>
      <c r="D432" s="123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27"/>
      <c r="Z432" s="29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25"/>
      <c r="AK432" s="13"/>
      <c r="AP432" s="116"/>
      <c r="AQ432" s="123"/>
      <c r="AR432" s="123"/>
      <c r="AS432" s="123"/>
      <c r="AX432" s="115"/>
      <c r="AY432" s="115"/>
      <c r="AZ432" s="115"/>
      <c r="BA432" s="115"/>
      <c r="BB432" s="115"/>
      <c r="BC432" s="115"/>
      <c r="BD432" s="115"/>
      <c r="BE432" s="115"/>
      <c r="BF432" s="115"/>
      <c r="BG432" s="115"/>
      <c r="BH432" s="25"/>
      <c r="BI432" s="13"/>
      <c r="BL432" s="114"/>
    </row>
    <row r="433" spans="1:64" ht="19.5" x14ac:dyDescent="0.4">
      <c r="A433" s="117"/>
      <c r="B433" s="123"/>
      <c r="C433" s="123"/>
      <c r="D433" s="123"/>
      <c r="Y433" s="127"/>
      <c r="Z433" s="29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25">
        <v>45678</v>
      </c>
      <c r="AK433" s="13" t="s">
        <v>148</v>
      </c>
      <c r="AP433" s="116"/>
      <c r="AQ433" s="123"/>
      <c r="AR433" s="123"/>
      <c r="AS433" s="123"/>
      <c r="AX433" s="115"/>
      <c r="AY433" s="115"/>
      <c r="AZ433" s="115"/>
      <c r="BA433" s="115"/>
      <c r="BB433" s="115"/>
      <c r="BC433" s="115"/>
      <c r="BD433" s="115"/>
      <c r="BE433" s="115"/>
      <c r="BF433" s="115"/>
      <c r="BG433" s="115"/>
      <c r="BH433" s="25"/>
      <c r="BI433" s="13"/>
      <c r="BL433" s="114"/>
    </row>
    <row r="434" spans="1:64" ht="19.5" x14ac:dyDescent="0.4">
      <c r="A434" s="117"/>
      <c r="B434" s="123"/>
      <c r="C434" s="123"/>
      <c r="D434" s="123"/>
      <c r="Y434" s="127"/>
      <c r="Z434" s="29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25">
        <v>45678</v>
      </c>
      <c r="AK434" s="13" t="s">
        <v>148</v>
      </c>
      <c r="AP434" s="116"/>
      <c r="AQ434" s="123"/>
      <c r="AR434" s="123"/>
      <c r="AS434" s="123"/>
      <c r="AX434" s="115"/>
      <c r="AY434" s="115"/>
      <c r="AZ434" s="115"/>
      <c r="BA434" s="115"/>
      <c r="BB434" s="115"/>
      <c r="BC434" s="115"/>
      <c r="BD434" s="115"/>
      <c r="BE434" s="115"/>
      <c r="BF434" s="115"/>
      <c r="BG434" s="115"/>
      <c r="BH434" s="25"/>
      <c r="BI434" s="13"/>
      <c r="BL434" s="114"/>
    </row>
    <row r="435" spans="1:64" ht="19.5" x14ac:dyDescent="0.4">
      <c r="A435" s="117"/>
      <c r="B435" s="123"/>
      <c r="C435" s="123"/>
      <c r="D435" s="123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27"/>
      <c r="Z435" s="29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25"/>
      <c r="AK435" s="13"/>
      <c r="AP435" s="116"/>
      <c r="AQ435" s="123"/>
      <c r="AR435" s="123"/>
      <c r="AS435" s="123"/>
      <c r="AX435" s="115"/>
      <c r="AY435" s="115"/>
      <c r="AZ435" s="115"/>
      <c r="BA435" s="115"/>
      <c r="BB435" s="115"/>
      <c r="BC435" s="115"/>
      <c r="BD435" s="115"/>
      <c r="BE435" s="115"/>
      <c r="BF435" s="115"/>
      <c r="BG435" s="115"/>
      <c r="BH435" s="25"/>
      <c r="BI435" s="13"/>
      <c r="BL435" s="114"/>
    </row>
    <row r="436" spans="1:64" ht="19.5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27"/>
      <c r="Z436" s="29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25"/>
      <c r="AK436" s="13"/>
      <c r="AP436" s="116"/>
      <c r="AQ436" s="123"/>
      <c r="AR436" s="123"/>
      <c r="AS436" s="123"/>
      <c r="AX436" s="115"/>
      <c r="AY436" s="115"/>
      <c r="AZ436" s="115"/>
      <c r="BA436" s="115"/>
      <c r="BB436" s="115"/>
      <c r="BC436" s="115"/>
      <c r="BD436" s="115"/>
      <c r="BE436" s="115"/>
      <c r="BF436" s="115"/>
      <c r="BG436" s="115"/>
      <c r="BH436" s="25"/>
      <c r="BI436" s="13"/>
      <c r="BL436" s="114"/>
    </row>
    <row r="437" spans="1:64" ht="19.5" x14ac:dyDescent="0.4">
      <c r="A437" s="117"/>
      <c r="B437" s="123"/>
      <c r="C437" s="123"/>
      <c r="D437" s="123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27"/>
      <c r="Z437" s="29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25"/>
      <c r="AK437" s="13"/>
      <c r="AP437" s="116"/>
      <c r="AQ437" s="123"/>
      <c r="AR437" s="123"/>
      <c r="AS437" s="123"/>
      <c r="AX437" s="115"/>
      <c r="AY437" s="115"/>
      <c r="AZ437" s="115"/>
      <c r="BA437" s="115"/>
      <c r="BB437" s="115"/>
      <c r="BC437" s="115"/>
      <c r="BD437" s="115"/>
      <c r="BE437" s="115"/>
      <c r="BF437" s="115"/>
      <c r="BG437" s="115"/>
      <c r="BH437" s="25"/>
      <c r="BI437" s="13"/>
      <c r="BL437" s="114"/>
    </row>
    <row r="438" spans="1:64" ht="19.5" x14ac:dyDescent="0.4">
      <c r="A438" s="117"/>
      <c r="B438" s="123"/>
      <c r="C438" s="123"/>
      <c r="D438" s="123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27"/>
      <c r="Z438" s="29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25"/>
      <c r="AK438" s="13"/>
      <c r="AP438" s="116"/>
      <c r="AQ438" s="123"/>
      <c r="AR438" s="123"/>
      <c r="AS438" s="123"/>
      <c r="AX438" s="115"/>
      <c r="AY438" s="115"/>
      <c r="AZ438" s="115"/>
      <c r="BA438" s="115"/>
      <c r="BB438" s="115"/>
      <c r="BC438" s="115"/>
      <c r="BD438" s="115"/>
      <c r="BE438" s="115"/>
      <c r="BF438" s="115"/>
      <c r="BG438" s="115"/>
      <c r="BH438" s="25"/>
      <c r="BI438" s="13"/>
      <c r="BL438" s="114"/>
    </row>
    <row r="439" spans="1:64" ht="19.5" x14ac:dyDescent="0.4">
      <c r="A439" s="117"/>
      <c r="B439" s="123"/>
      <c r="C439" s="123"/>
      <c r="D439" s="123"/>
      <c r="Y439" s="127"/>
      <c r="Z439" s="29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25">
        <v>45679</v>
      </c>
      <c r="AK439" s="15" t="s">
        <v>146</v>
      </c>
      <c r="AP439" s="116"/>
      <c r="AQ439" s="123"/>
      <c r="AR439" s="123"/>
      <c r="AS439" s="123"/>
      <c r="AX439" s="115"/>
      <c r="AY439" s="115"/>
      <c r="AZ439" s="115"/>
      <c r="BA439" s="115"/>
      <c r="BB439" s="115"/>
      <c r="BC439" s="115"/>
      <c r="BD439" s="115"/>
      <c r="BE439" s="115"/>
      <c r="BF439" s="115"/>
      <c r="BG439" s="115"/>
      <c r="BH439" s="25"/>
      <c r="BI439" s="13"/>
      <c r="BL439" s="114"/>
    </row>
    <row r="440" spans="1:64" ht="19.5" x14ac:dyDescent="0.4">
      <c r="A440" s="117"/>
      <c r="B440" s="123"/>
      <c r="C440" s="123"/>
      <c r="D440" s="123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27"/>
      <c r="Z440" s="29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25"/>
      <c r="AK440" s="15"/>
      <c r="AP440" s="116"/>
      <c r="AQ440" s="123"/>
      <c r="AR440" s="123"/>
      <c r="AS440" s="123"/>
      <c r="AX440" s="115"/>
      <c r="AY440" s="115"/>
      <c r="AZ440" s="115"/>
      <c r="BA440" s="115"/>
      <c r="BB440" s="115"/>
      <c r="BC440" s="115"/>
      <c r="BD440" s="115"/>
      <c r="BE440" s="115"/>
      <c r="BF440" s="115"/>
      <c r="BG440" s="115"/>
      <c r="BH440" s="25"/>
      <c r="BI440" s="13"/>
      <c r="BL440" s="114"/>
    </row>
    <row r="441" spans="1:64" ht="19.5" x14ac:dyDescent="0.4">
      <c r="A441" s="117"/>
      <c r="B441" s="123"/>
      <c r="C441" s="123"/>
      <c r="D441" s="123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29"/>
      <c r="Z441" s="29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25"/>
      <c r="AK441" s="15"/>
      <c r="AP441" s="116"/>
      <c r="AQ441" s="123"/>
      <c r="AR441" s="123"/>
      <c r="AS441" s="123"/>
      <c r="AX441" s="115"/>
      <c r="AY441" s="115"/>
      <c r="AZ441" s="115"/>
      <c r="BA441" s="115"/>
      <c r="BB441" s="115"/>
      <c r="BC441" s="115"/>
      <c r="BD441" s="115"/>
      <c r="BE441" s="115"/>
      <c r="BF441" s="115"/>
      <c r="BG441" s="115"/>
      <c r="BH441" s="25"/>
      <c r="BI441" s="13"/>
      <c r="BL441" s="114"/>
    </row>
    <row r="442" spans="1:64" ht="19.5" x14ac:dyDescent="0.4">
      <c r="A442" s="117"/>
      <c r="B442" s="123"/>
      <c r="C442" s="123"/>
      <c r="D442" s="123"/>
      <c r="Y442" s="127"/>
      <c r="Z442" s="29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25"/>
      <c r="AK442" s="15"/>
      <c r="AP442" s="116"/>
      <c r="AQ442" s="123"/>
      <c r="AR442" s="123"/>
      <c r="AS442" s="123"/>
      <c r="AX442" s="115"/>
      <c r="AY442" s="115"/>
      <c r="AZ442" s="115"/>
      <c r="BA442" s="115"/>
      <c r="BB442" s="115"/>
      <c r="BC442" s="115"/>
      <c r="BD442" s="115"/>
      <c r="BE442" s="115"/>
      <c r="BF442" s="115"/>
      <c r="BG442" s="115"/>
      <c r="BH442" s="25"/>
      <c r="BI442" s="13"/>
      <c r="BL442" s="114"/>
    </row>
    <row r="443" spans="1:64" ht="19.5" x14ac:dyDescent="0.4">
      <c r="A443" s="117"/>
      <c r="B443" s="123"/>
      <c r="C443" s="123"/>
      <c r="D443" s="123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27"/>
      <c r="Z443" s="29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25"/>
      <c r="AK443" s="15"/>
      <c r="AP443" s="116"/>
      <c r="AQ443" s="123"/>
      <c r="AR443" s="123"/>
      <c r="AS443" s="123"/>
      <c r="AX443" s="115"/>
      <c r="AY443" s="115"/>
      <c r="AZ443" s="115"/>
      <c r="BA443" s="115"/>
      <c r="BB443" s="115"/>
      <c r="BC443" s="115"/>
      <c r="BD443" s="115"/>
      <c r="BE443" s="115"/>
      <c r="BF443" s="115"/>
      <c r="BG443" s="115"/>
      <c r="BH443" s="25"/>
      <c r="BI443" s="13"/>
      <c r="BL443" s="114"/>
    </row>
    <row r="444" spans="1:64" ht="19.5" x14ac:dyDescent="0.4">
      <c r="A444" s="117"/>
      <c r="B444" s="123"/>
      <c r="C444" s="123"/>
      <c r="D444" s="123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29"/>
      <c r="Z444" s="29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25"/>
      <c r="AK444" s="15"/>
      <c r="AP444" s="116"/>
      <c r="AQ444" s="123"/>
      <c r="AR444" s="123"/>
      <c r="AS444" s="123"/>
      <c r="AX444" s="115"/>
      <c r="AY444" s="115"/>
      <c r="AZ444" s="115"/>
      <c r="BA444" s="115"/>
      <c r="BB444" s="115"/>
      <c r="BC444" s="115"/>
      <c r="BD444" s="115"/>
      <c r="BE444" s="115"/>
      <c r="BF444" s="115"/>
      <c r="BG444" s="115"/>
      <c r="BH444" s="25"/>
      <c r="BI444" s="13"/>
      <c r="BL444" s="114"/>
    </row>
    <row r="445" spans="1:64" ht="19.5" x14ac:dyDescent="0.4">
      <c r="A445" s="117"/>
      <c r="B445" s="123"/>
      <c r="C445" s="123"/>
      <c r="D445" s="123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27"/>
      <c r="Z445" s="29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25"/>
      <c r="AK445" s="15"/>
      <c r="AP445" s="116"/>
      <c r="AQ445" s="123"/>
      <c r="AR445" s="123"/>
      <c r="AS445" s="123"/>
      <c r="AX445" s="115"/>
      <c r="AY445" s="115"/>
      <c r="AZ445" s="115"/>
      <c r="BA445" s="115"/>
      <c r="BB445" s="115"/>
      <c r="BC445" s="115"/>
      <c r="BD445" s="115"/>
      <c r="BE445" s="115"/>
      <c r="BF445" s="115"/>
      <c r="BG445" s="115"/>
      <c r="BH445" s="25"/>
      <c r="BI445" s="13"/>
      <c r="BL445" s="114"/>
    </row>
    <row r="446" spans="1:64" ht="19.5" x14ac:dyDescent="0.4">
      <c r="A446" s="117"/>
      <c r="B446" s="123"/>
      <c r="C446" s="123"/>
      <c r="D446" s="123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27"/>
      <c r="Z446" s="29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25"/>
      <c r="AK446" s="15"/>
      <c r="AP446" s="116"/>
      <c r="AQ446" s="123"/>
      <c r="AR446" s="123"/>
      <c r="AS446" s="123"/>
      <c r="AX446" s="115"/>
      <c r="AY446" s="115"/>
      <c r="AZ446" s="115"/>
      <c r="BA446" s="115"/>
      <c r="BB446" s="115"/>
      <c r="BC446" s="115"/>
      <c r="BD446" s="115"/>
      <c r="BE446" s="115"/>
      <c r="BF446" s="115"/>
      <c r="BG446" s="115"/>
      <c r="BH446" s="25"/>
      <c r="BI446" s="13"/>
      <c r="BL446" s="114"/>
    </row>
    <row r="447" spans="1:64" ht="19.5" x14ac:dyDescent="0.4">
      <c r="A447" s="117"/>
      <c r="B447" s="123"/>
      <c r="C447" s="123"/>
      <c r="D447" s="123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27"/>
      <c r="Z447" s="29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25"/>
      <c r="AK447" s="15"/>
      <c r="AP447" s="116"/>
      <c r="AQ447" s="123"/>
      <c r="AR447" s="123"/>
      <c r="AS447" s="123"/>
      <c r="AX447" s="115"/>
      <c r="AY447" s="115"/>
      <c r="AZ447" s="115"/>
      <c r="BA447" s="115"/>
      <c r="BB447" s="115"/>
      <c r="BC447" s="115"/>
      <c r="BD447" s="115"/>
      <c r="BE447" s="115"/>
      <c r="BF447" s="115"/>
      <c r="BG447" s="115"/>
      <c r="BH447" s="25"/>
      <c r="BI447" s="13"/>
      <c r="BL447" s="114"/>
    </row>
    <row r="448" spans="1:64" ht="19.5" x14ac:dyDescent="0.4">
      <c r="A448" s="117"/>
      <c r="B448" s="123"/>
      <c r="C448" s="123"/>
      <c r="D448" s="123"/>
      <c r="Y448" s="127"/>
      <c r="Z448" s="29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25">
        <v>45679</v>
      </c>
      <c r="AK448" s="15" t="s">
        <v>148</v>
      </c>
      <c r="AP448" s="116"/>
      <c r="AQ448" s="123"/>
      <c r="AR448" s="123"/>
      <c r="AS448" s="123"/>
      <c r="AX448" s="115"/>
      <c r="AY448" s="115"/>
      <c r="AZ448" s="115"/>
      <c r="BA448" s="115"/>
      <c r="BB448" s="115"/>
      <c r="BC448" s="115"/>
      <c r="BD448" s="115"/>
      <c r="BE448" s="115"/>
      <c r="BF448" s="115"/>
      <c r="BG448" s="115"/>
      <c r="BH448" s="25"/>
      <c r="BI448" s="13"/>
      <c r="BL448" s="114"/>
    </row>
    <row r="449" spans="1:64" ht="19.5" x14ac:dyDescent="0.4">
      <c r="A449" s="117"/>
      <c r="B449" s="123"/>
      <c r="C449" s="123"/>
      <c r="D449" s="123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27"/>
      <c r="Z449" s="29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25"/>
      <c r="AK449" s="13"/>
      <c r="AP449" s="116"/>
      <c r="AQ449" s="123"/>
      <c r="AR449" s="123"/>
      <c r="AS449" s="123"/>
      <c r="AX449" s="115"/>
      <c r="AY449" s="115"/>
      <c r="AZ449" s="115"/>
      <c r="BA449" s="115"/>
      <c r="BB449" s="115"/>
      <c r="BC449" s="115"/>
      <c r="BD449" s="115"/>
      <c r="BE449" s="115"/>
      <c r="BF449" s="115"/>
      <c r="BG449" s="115"/>
      <c r="BH449" s="25"/>
      <c r="BI449" s="13"/>
      <c r="BL449" s="114"/>
    </row>
    <row r="450" spans="1:64" ht="19.5" x14ac:dyDescent="0.4">
      <c r="A450" s="117"/>
      <c r="B450" s="123"/>
      <c r="C450" s="123"/>
      <c r="D450" s="123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27"/>
      <c r="Z450" s="29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25"/>
      <c r="AK450" s="13"/>
      <c r="AP450" s="116"/>
      <c r="AQ450" s="123"/>
      <c r="AR450" s="123"/>
      <c r="AS450" s="123"/>
      <c r="AX450" s="115"/>
      <c r="AY450" s="115"/>
      <c r="AZ450" s="115"/>
      <c r="BA450" s="115"/>
      <c r="BB450" s="115"/>
      <c r="BC450" s="115"/>
      <c r="BD450" s="115"/>
      <c r="BE450" s="115"/>
      <c r="BF450" s="115"/>
      <c r="BG450" s="115"/>
      <c r="BH450" s="25"/>
      <c r="BI450" s="13"/>
      <c r="BL450" s="114"/>
    </row>
    <row r="451" spans="1:64" ht="19.5" x14ac:dyDescent="0.4">
      <c r="A451" s="117"/>
      <c r="B451" s="123"/>
      <c r="C451" s="123"/>
      <c r="D451" s="123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27"/>
      <c r="Z451" s="29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25"/>
      <c r="AK451" s="13"/>
      <c r="AP451" s="116"/>
      <c r="AQ451" s="123"/>
      <c r="AR451" s="123"/>
      <c r="AS451" s="123"/>
      <c r="AX451" s="115"/>
      <c r="AY451" s="115"/>
      <c r="AZ451" s="115"/>
      <c r="BA451" s="115"/>
      <c r="BB451" s="115"/>
      <c r="BC451" s="115"/>
      <c r="BD451" s="115"/>
      <c r="BE451" s="115"/>
      <c r="BF451" s="115"/>
      <c r="BG451" s="115"/>
      <c r="BH451" s="25"/>
      <c r="BI451" s="13"/>
      <c r="BL451" s="114"/>
    </row>
    <row r="452" spans="1:64" ht="19.5" x14ac:dyDescent="0.4">
      <c r="A452" s="117"/>
      <c r="B452" s="123"/>
      <c r="C452" s="123"/>
      <c r="D452" s="123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29"/>
      <c r="Z452" s="29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25"/>
      <c r="AK452" s="13"/>
      <c r="AP452" s="116"/>
      <c r="AQ452" s="123"/>
      <c r="AR452" s="123"/>
      <c r="AS452" s="123"/>
      <c r="AX452" s="115"/>
      <c r="AY452" s="115"/>
      <c r="AZ452" s="115"/>
      <c r="BA452" s="115"/>
      <c r="BB452" s="115"/>
      <c r="BC452" s="115"/>
      <c r="BD452" s="115"/>
      <c r="BE452" s="115"/>
      <c r="BF452" s="115"/>
      <c r="BG452" s="115"/>
      <c r="BH452" s="25"/>
      <c r="BI452" s="13"/>
      <c r="BL452" s="114"/>
    </row>
    <row r="453" spans="1:64" ht="19.5" x14ac:dyDescent="0.4">
      <c r="A453" s="117"/>
      <c r="B453" s="123"/>
      <c r="C453" s="123"/>
      <c r="D453" s="123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27"/>
      <c r="Z453" s="29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25"/>
      <c r="AK453" s="13"/>
      <c r="AP453" s="116"/>
      <c r="AQ453" s="123"/>
      <c r="AR453" s="123"/>
      <c r="AS453" s="123"/>
      <c r="AX453" s="115"/>
      <c r="AY453" s="115"/>
      <c r="AZ453" s="115"/>
      <c r="BA453" s="115"/>
      <c r="BB453" s="115"/>
      <c r="BC453" s="115"/>
      <c r="BD453" s="115"/>
      <c r="BE453" s="115"/>
      <c r="BF453" s="115"/>
      <c r="BG453" s="115"/>
      <c r="BH453" s="25"/>
      <c r="BI453" s="13"/>
      <c r="BL453" s="114"/>
    </row>
    <row r="454" spans="1:64" ht="19.5" x14ac:dyDescent="0.4">
      <c r="A454" s="117"/>
      <c r="B454" s="123"/>
      <c r="C454" s="123"/>
      <c r="D454" s="123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29"/>
      <c r="Z454" s="29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25"/>
      <c r="AK454" s="13"/>
      <c r="AP454" s="116"/>
      <c r="AQ454" s="123"/>
      <c r="AR454" s="123"/>
      <c r="AS454" s="123"/>
      <c r="AX454" s="115"/>
      <c r="AY454" s="115"/>
      <c r="AZ454" s="115"/>
      <c r="BA454" s="115"/>
      <c r="BB454" s="115"/>
      <c r="BC454" s="115"/>
      <c r="BD454" s="115"/>
      <c r="BE454" s="115"/>
      <c r="BF454" s="115"/>
      <c r="BG454" s="115"/>
      <c r="BH454" s="25"/>
      <c r="BI454" s="13"/>
      <c r="BL454" s="114"/>
    </row>
    <row r="455" spans="1:64" ht="19.5" x14ac:dyDescent="0.4">
      <c r="A455" s="117"/>
      <c r="B455" s="123"/>
      <c r="C455" s="123"/>
      <c r="D455" s="123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27"/>
      <c r="Z455" s="29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25"/>
      <c r="AK455" s="13"/>
      <c r="AP455" s="116"/>
      <c r="AQ455" s="123"/>
      <c r="AR455" s="123"/>
      <c r="AS455" s="123"/>
      <c r="AX455" s="115"/>
      <c r="AY455" s="115"/>
      <c r="AZ455" s="115"/>
      <c r="BA455" s="115"/>
      <c r="BB455" s="115"/>
      <c r="BC455" s="115"/>
      <c r="BD455" s="115"/>
      <c r="BE455" s="115"/>
      <c r="BF455" s="115"/>
      <c r="BG455" s="115"/>
      <c r="BH455" s="25"/>
      <c r="BI455" s="13"/>
      <c r="BL455" s="114"/>
    </row>
    <row r="456" spans="1:64" ht="19.5" x14ac:dyDescent="0.4">
      <c r="A456" s="117"/>
      <c r="B456" s="123"/>
      <c r="C456" s="123"/>
      <c r="D456" s="123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29"/>
      <c r="Z456" s="29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25"/>
      <c r="AK456" s="13"/>
      <c r="AP456" s="116"/>
      <c r="AQ456" s="123"/>
      <c r="AR456" s="123"/>
      <c r="AS456" s="123"/>
      <c r="AX456" s="115"/>
      <c r="AY456" s="115"/>
      <c r="AZ456" s="115"/>
      <c r="BA456" s="115"/>
      <c r="BB456" s="115"/>
      <c r="BC456" s="115"/>
      <c r="BD456" s="115"/>
      <c r="BE456" s="115"/>
      <c r="BF456" s="115"/>
      <c r="BG456" s="115"/>
      <c r="BH456" s="25"/>
      <c r="BI456" s="13"/>
      <c r="BL456" s="114"/>
    </row>
    <row r="457" spans="1:64" ht="19.5" x14ac:dyDescent="0.4">
      <c r="A457" s="117"/>
      <c r="B457" s="123"/>
      <c r="C457" s="123"/>
      <c r="D457" s="123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27"/>
      <c r="Z457" s="29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25"/>
      <c r="AK457" s="13"/>
      <c r="AP457" s="116"/>
      <c r="AQ457" s="123"/>
      <c r="AR457" s="123"/>
      <c r="AS457" s="123"/>
      <c r="AX457" s="115"/>
      <c r="AY457" s="115"/>
      <c r="AZ457" s="115"/>
      <c r="BA457" s="115"/>
      <c r="BB457" s="115"/>
      <c r="BC457" s="115"/>
      <c r="BD457" s="115"/>
      <c r="BE457" s="115"/>
      <c r="BF457" s="115"/>
      <c r="BG457" s="115"/>
      <c r="BH457" s="25"/>
      <c r="BI457" s="13"/>
      <c r="BL457" s="114"/>
    </row>
    <row r="458" spans="1:64" ht="19.5" x14ac:dyDescent="0.4">
      <c r="A458" s="117"/>
      <c r="B458" s="123"/>
      <c r="C458" s="123"/>
      <c r="D458" s="123"/>
      <c r="Y458" s="127"/>
      <c r="Z458" s="29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25">
        <v>45679</v>
      </c>
      <c r="AK458" s="13" t="s">
        <v>147</v>
      </c>
      <c r="AP458" s="116"/>
      <c r="AQ458" s="123"/>
      <c r="AR458" s="123"/>
      <c r="AS458" s="123"/>
      <c r="AX458" s="115"/>
      <c r="AY458" s="115"/>
      <c r="AZ458" s="115"/>
      <c r="BA458" s="115"/>
      <c r="BB458" s="115"/>
      <c r="BC458" s="115"/>
      <c r="BD458" s="115"/>
      <c r="BE458" s="115"/>
      <c r="BF458" s="115"/>
      <c r="BG458" s="115"/>
      <c r="BH458" s="25"/>
      <c r="BI458" s="13"/>
      <c r="BL458" s="114"/>
    </row>
    <row r="459" spans="1:64" ht="19.5" x14ac:dyDescent="0.4">
      <c r="A459" s="117"/>
      <c r="B459" s="123"/>
      <c r="C459" s="123"/>
      <c r="D459" s="123"/>
      <c r="P459" s="115"/>
      <c r="Q459" s="115"/>
      <c r="R459" s="115"/>
      <c r="S459" s="115"/>
      <c r="T459" s="115"/>
      <c r="U459" s="115"/>
      <c r="V459" s="115"/>
      <c r="W459" s="115"/>
      <c r="X459" s="115"/>
      <c r="Y459" s="29"/>
      <c r="Z459" s="29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25"/>
      <c r="AK459" s="13"/>
      <c r="AP459" s="116"/>
      <c r="AQ459" s="123"/>
      <c r="AR459" s="123"/>
      <c r="AS459" s="123"/>
      <c r="AX459" s="115"/>
      <c r="AY459" s="115"/>
      <c r="AZ459" s="115"/>
      <c r="BA459" s="115"/>
      <c r="BB459" s="115"/>
      <c r="BC459" s="115"/>
      <c r="BD459" s="115"/>
      <c r="BE459" s="115"/>
      <c r="BF459" s="115"/>
      <c r="BG459" s="115"/>
      <c r="BH459" s="25"/>
      <c r="BI459" s="13"/>
      <c r="BL459" s="114"/>
    </row>
    <row r="460" spans="1:64" ht="19.5" x14ac:dyDescent="0.4">
      <c r="A460" s="117"/>
      <c r="B460" s="123"/>
      <c r="C460" s="123"/>
      <c r="D460" s="123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27"/>
      <c r="Z460" s="29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25"/>
      <c r="AK460" s="13"/>
      <c r="AP460" s="116"/>
      <c r="AQ460" s="123"/>
      <c r="AR460" s="123"/>
      <c r="AS460" s="123"/>
      <c r="AX460" s="115"/>
      <c r="AY460" s="115"/>
      <c r="AZ460" s="115"/>
      <c r="BA460" s="115"/>
      <c r="BB460" s="115"/>
      <c r="BC460" s="115"/>
      <c r="BD460" s="115"/>
      <c r="BE460" s="115"/>
      <c r="BF460" s="115"/>
      <c r="BG460" s="115"/>
      <c r="BH460" s="25"/>
      <c r="BI460" s="13"/>
      <c r="BL460" s="114"/>
    </row>
    <row r="461" spans="1:64" ht="19.5" x14ac:dyDescent="0.4">
      <c r="A461" s="117"/>
      <c r="B461" s="123"/>
      <c r="C461" s="123"/>
      <c r="D461" s="123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27"/>
      <c r="Z461" s="29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25"/>
      <c r="AK461" s="13"/>
      <c r="AP461" s="116"/>
      <c r="AQ461" s="123"/>
      <c r="AR461" s="123"/>
      <c r="AS461" s="123"/>
      <c r="AX461" s="115"/>
      <c r="AY461" s="115"/>
      <c r="AZ461" s="115"/>
      <c r="BA461" s="115"/>
      <c r="BB461" s="115"/>
      <c r="BC461" s="115"/>
      <c r="BD461" s="115"/>
      <c r="BE461" s="115"/>
      <c r="BF461" s="115"/>
      <c r="BG461" s="115"/>
      <c r="BH461" s="25"/>
      <c r="BI461" s="13"/>
      <c r="BL461" s="114"/>
    </row>
    <row r="462" spans="1:64" ht="19.5" x14ac:dyDescent="0.4">
      <c r="A462" s="117"/>
      <c r="B462" s="123"/>
      <c r="C462" s="123"/>
      <c r="D462" s="123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29"/>
      <c r="Z462" s="29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25"/>
      <c r="AK462" s="13"/>
      <c r="AP462" s="116"/>
      <c r="AQ462" s="123"/>
      <c r="AR462" s="123"/>
      <c r="AS462" s="123"/>
      <c r="AX462" s="115"/>
      <c r="AY462" s="115"/>
      <c r="AZ462" s="115"/>
      <c r="BA462" s="115"/>
      <c r="BB462" s="115"/>
      <c r="BC462" s="115"/>
      <c r="BD462" s="115"/>
      <c r="BE462" s="115"/>
      <c r="BF462" s="115"/>
      <c r="BG462" s="115"/>
      <c r="BH462" s="25"/>
      <c r="BI462" s="13"/>
      <c r="BL462" s="114"/>
    </row>
    <row r="463" spans="1:64" ht="19.5" x14ac:dyDescent="0.4">
      <c r="A463" s="117"/>
      <c r="B463" s="123"/>
      <c r="C463" s="123"/>
      <c r="D463" s="123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29"/>
      <c r="Z463" s="29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25"/>
      <c r="AK463" s="13"/>
      <c r="AP463" s="116"/>
      <c r="AQ463" s="123"/>
      <c r="AR463" s="123"/>
      <c r="AS463" s="123"/>
      <c r="AX463" s="115"/>
      <c r="AY463" s="115"/>
      <c r="AZ463" s="115"/>
      <c r="BA463" s="115"/>
      <c r="BB463" s="115"/>
      <c r="BC463" s="115"/>
      <c r="BD463" s="115"/>
      <c r="BE463" s="115"/>
      <c r="BF463" s="115"/>
      <c r="BG463" s="115"/>
      <c r="BH463" s="25"/>
      <c r="BI463" s="13"/>
      <c r="BL463" s="114"/>
    </row>
    <row r="464" spans="1:64" ht="19.5" x14ac:dyDescent="0.4">
      <c r="A464" s="117"/>
      <c r="B464" s="123"/>
      <c r="C464" s="123"/>
      <c r="D464" s="123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27"/>
      <c r="Z464" s="29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25"/>
      <c r="AK464" s="13"/>
      <c r="AP464" s="116"/>
      <c r="AQ464" s="123"/>
      <c r="AR464" s="123"/>
      <c r="AS464" s="123"/>
      <c r="AX464" s="115"/>
      <c r="AY464" s="115"/>
      <c r="AZ464" s="115"/>
      <c r="BA464" s="115"/>
      <c r="BB464" s="115"/>
      <c r="BC464" s="115"/>
      <c r="BD464" s="115"/>
      <c r="BE464" s="115"/>
      <c r="BF464" s="115"/>
      <c r="BG464" s="115"/>
      <c r="BH464" s="25"/>
      <c r="BI464" s="13"/>
      <c r="BL464" s="114"/>
    </row>
    <row r="465" spans="1:64" ht="19.5" x14ac:dyDescent="0.4">
      <c r="A465" s="117"/>
      <c r="B465" s="123"/>
      <c r="C465" s="123"/>
      <c r="D465" s="123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29"/>
      <c r="Z465" s="29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25"/>
      <c r="AK465" s="13"/>
      <c r="AP465" s="116"/>
      <c r="AQ465" s="123"/>
      <c r="AR465" s="123"/>
      <c r="AS465" s="123"/>
      <c r="AX465" s="115"/>
      <c r="AY465" s="115"/>
      <c r="AZ465" s="115"/>
      <c r="BA465" s="115"/>
      <c r="BB465" s="115"/>
      <c r="BC465" s="115"/>
      <c r="BD465" s="115"/>
      <c r="BE465" s="115"/>
      <c r="BF465" s="115"/>
      <c r="BG465" s="115"/>
      <c r="BH465" s="25"/>
      <c r="BI465" s="13"/>
      <c r="BL465" s="114"/>
    </row>
    <row r="466" spans="1:64" ht="19.5" x14ac:dyDescent="0.4">
      <c r="A466" s="117"/>
      <c r="B466" s="123"/>
      <c r="C466" s="123"/>
      <c r="D466" s="123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27"/>
      <c r="Z466" s="29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25"/>
      <c r="AK466" s="13"/>
      <c r="AP466" s="116"/>
      <c r="AQ466" s="123"/>
      <c r="AR466" s="123"/>
      <c r="AS466" s="123"/>
      <c r="AX466" s="115"/>
      <c r="AY466" s="115"/>
      <c r="AZ466" s="115"/>
      <c r="BA466" s="115"/>
      <c r="BB466" s="115"/>
      <c r="BC466" s="115"/>
      <c r="BD466" s="115"/>
      <c r="BE466" s="115"/>
      <c r="BF466" s="115"/>
      <c r="BG466" s="115"/>
      <c r="BH466" s="25"/>
      <c r="BI466" s="13"/>
      <c r="BL466" s="114"/>
    </row>
    <row r="467" spans="1:64" ht="19.5" x14ac:dyDescent="0.4">
      <c r="A467" s="117"/>
      <c r="B467" s="123"/>
      <c r="C467" s="123"/>
      <c r="D467" s="123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27"/>
      <c r="Z467" s="29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25"/>
      <c r="AK467" s="13"/>
      <c r="AP467" s="116"/>
      <c r="AQ467" s="123"/>
      <c r="AR467" s="123"/>
      <c r="AS467" s="123"/>
      <c r="AX467" s="115"/>
      <c r="AY467" s="115"/>
      <c r="AZ467" s="115"/>
      <c r="BA467" s="115"/>
      <c r="BB467" s="115"/>
      <c r="BC467" s="115"/>
      <c r="BD467" s="115"/>
      <c r="BE467" s="115"/>
      <c r="BF467" s="115"/>
      <c r="BG467" s="115"/>
      <c r="BH467" s="25"/>
      <c r="BI467" s="13"/>
      <c r="BL467" s="114"/>
    </row>
    <row r="468" spans="1:64" ht="19.5" x14ac:dyDescent="0.4">
      <c r="A468" s="117"/>
      <c r="B468" s="123"/>
      <c r="C468" s="123"/>
      <c r="D468" s="123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27"/>
      <c r="Z468" s="29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25"/>
      <c r="AK468" s="13"/>
      <c r="AP468" s="116"/>
      <c r="AQ468" s="123"/>
      <c r="AR468" s="123"/>
      <c r="AS468" s="123"/>
      <c r="AX468" s="115"/>
      <c r="AY468" s="115"/>
      <c r="AZ468" s="115"/>
      <c r="BA468" s="115"/>
      <c r="BB468" s="115"/>
      <c r="BC468" s="115"/>
      <c r="BD468" s="115"/>
      <c r="BE468" s="115"/>
      <c r="BF468" s="115"/>
      <c r="BG468" s="115"/>
      <c r="BH468" s="25"/>
      <c r="BI468" s="13"/>
      <c r="BL468" s="114"/>
    </row>
    <row r="469" spans="1:64" ht="19.5" x14ac:dyDescent="0.4">
      <c r="A469" s="117"/>
      <c r="B469" s="123"/>
      <c r="C469" s="123"/>
      <c r="D469" s="123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27"/>
      <c r="Z469" s="29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25"/>
      <c r="AK469" s="13"/>
      <c r="AP469" s="116"/>
      <c r="AQ469" s="123"/>
      <c r="AR469" s="123"/>
      <c r="AS469" s="123"/>
      <c r="AX469" s="115"/>
      <c r="AY469" s="115"/>
      <c r="AZ469" s="115"/>
      <c r="BA469" s="115"/>
      <c r="BB469" s="115"/>
      <c r="BC469" s="115"/>
      <c r="BD469" s="115"/>
      <c r="BE469" s="115"/>
      <c r="BF469" s="115"/>
      <c r="BG469" s="115"/>
      <c r="BH469" s="25"/>
      <c r="BI469" s="13"/>
      <c r="BL469" s="114"/>
    </row>
    <row r="470" spans="1:64" ht="19.5" x14ac:dyDescent="0.4">
      <c r="A470" s="117"/>
      <c r="B470" s="123"/>
      <c r="C470" s="123"/>
      <c r="D470" s="123"/>
      <c r="Y470" s="127"/>
      <c r="Z470" s="29"/>
      <c r="AJ470" s="25">
        <v>45679</v>
      </c>
      <c r="AK470" s="13" t="s">
        <v>147</v>
      </c>
      <c r="AP470" s="116"/>
      <c r="AQ470" s="123"/>
      <c r="AR470" s="123"/>
      <c r="AS470" s="123"/>
      <c r="AX470" s="115"/>
      <c r="AY470" s="115"/>
      <c r="AZ470" s="115"/>
      <c r="BA470" s="115"/>
      <c r="BB470" s="115"/>
      <c r="BC470" s="115"/>
      <c r="BD470" s="115"/>
      <c r="BE470" s="115"/>
      <c r="BF470" s="115"/>
      <c r="BG470" s="115"/>
      <c r="BH470" s="25"/>
      <c r="BI470" s="13"/>
      <c r="BL470" s="114"/>
    </row>
    <row r="471" spans="1:64" ht="19.5" x14ac:dyDescent="0.4">
      <c r="A471" s="117"/>
      <c r="B471" s="123"/>
      <c r="C471" s="123"/>
      <c r="D471" s="123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27"/>
      <c r="Z471" s="29"/>
      <c r="AJ471" s="25"/>
      <c r="AK471" s="13"/>
      <c r="AP471" s="116"/>
      <c r="AQ471" s="123"/>
      <c r="AR471" s="123"/>
      <c r="AS471" s="123"/>
      <c r="AX471" s="115"/>
      <c r="AY471" s="115"/>
      <c r="AZ471" s="115"/>
      <c r="BA471" s="115"/>
      <c r="BB471" s="115"/>
      <c r="BC471" s="115"/>
      <c r="BD471" s="115"/>
      <c r="BE471" s="115"/>
      <c r="BF471" s="115"/>
      <c r="BG471" s="115"/>
      <c r="BH471" s="25"/>
      <c r="BI471" s="13"/>
      <c r="BL471" s="114"/>
    </row>
    <row r="472" spans="1:64" ht="19.5" x14ac:dyDescent="0.4">
      <c r="A472" s="117"/>
      <c r="B472" s="123"/>
      <c r="C472" s="123"/>
      <c r="D472" s="123"/>
      <c r="Y472" s="127"/>
      <c r="Z472" s="29"/>
      <c r="AJ472" s="25"/>
      <c r="AK472" s="13"/>
      <c r="AP472" s="116"/>
      <c r="AQ472" s="123"/>
      <c r="AR472" s="123"/>
      <c r="AS472" s="123"/>
      <c r="AX472" s="115"/>
      <c r="AY472" s="115"/>
      <c r="AZ472" s="115"/>
      <c r="BA472" s="115"/>
      <c r="BB472" s="115"/>
      <c r="BC472" s="115"/>
      <c r="BD472" s="115"/>
      <c r="BE472" s="115"/>
      <c r="BF472" s="115"/>
      <c r="BG472" s="115"/>
      <c r="BH472" s="25"/>
      <c r="BI472" s="13"/>
      <c r="BL472" s="114"/>
    </row>
    <row r="473" spans="1:64" ht="19.5" x14ac:dyDescent="0.4">
      <c r="A473" s="117"/>
      <c r="B473" s="123"/>
      <c r="C473" s="123"/>
      <c r="D473" s="123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27"/>
      <c r="Z473" s="29"/>
      <c r="AJ473" s="25"/>
      <c r="AK473" s="13"/>
      <c r="AP473" s="116"/>
      <c r="AQ473" s="123"/>
      <c r="AR473" s="123"/>
      <c r="AS473" s="123"/>
      <c r="AX473" s="115"/>
      <c r="AY473" s="115"/>
      <c r="AZ473" s="115"/>
      <c r="BA473" s="115"/>
      <c r="BB473" s="115"/>
      <c r="BC473" s="115"/>
      <c r="BD473" s="115"/>
      <c r="BE473" s="115"/>
      <c r="BF473" s="115"/>
      <c r="BG473" s="115"/>
      <c r="BH473" s="25"/>
      <c r="BI473" s="13"/>
      <c r="BL473" s="114"/>
    </row>
    <row r="474" spans="1:64" ht="19.5" x14ac:dyDescent="0.4">
      <c r="A474" s="117"/>
      <c r="B474" s="123"/>
      <c r="C474" s="123"/>
      <c r="D474" s="123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29"/>
      <c r="Z474" s="29"/>
      <c r="AJ474" s="25"/>
      <c r="AK474" s="13"/>
      <c r="AP474" s="116"/>
      <c r="AQ474" s="123"/>
      <c r="AR474" s="123"/>
      <c r="AS474" s="123"/>
      <c r="AX474" s="115"/>
      <c r="AY474" s="115"/>
      <c r="AZ474" s="115"/>
      <c r="BA474" s="115"/>
      <c r="BB474" s="115"/>
      <c r="BC474" s="115"/>
      <c r="BD474" s="115"/>
      <c r="BE474" s="115"/>
      <c r="BF474" s="115"/>
      <c r="BG474" s="115"/>
      <c r="BH474" s="25"/>
      <c r="BI474" s="13"/>
      <c r="BL474" s="114"/>
    </row>
    <row r="475" spans="1:64" ht="19.5" x14ac:dyDescent="0.4">
      <c r="A475" s="117"/>
      <c r="B475" s="123"/>
      <c r="C475" s="123"/>
      <c r="D475" s="123"/>
      <c r="Y475" s="127"/>
      <c r="Z475" s="29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25">
        <v>45679</v>
      </c>
      <c r="AK475" s="13" t="s">
        <v>146</v>
      </c>
      <c r="AP475" s="116"/>
      <c r="AQ475" s="123"/>
      <c r="AR475" s="123"/>
      <c r="AS475" s="123"/>
      <c r="AX475" s="115"/>
      <c r="AY475" s="115"/>
      <c r="AZ475" s="115"/>
      <c r="BA475" s="115"/>
      <c r="BB475" s="115"/>
      <c r="BC475" s="115"/>
      <c r="BD475" s="115"/>
      <c r="BE475" s="115"/>
      <c r="BF475" s="115"/>
      <c r="BG475" s="115"/>
      <c r="BH475" s="25"/>
      <c r="BI475" s="13"/>
      <c r="BL475" s="114"/>
    </row>
    <row r="476" spans="1:64" ht="19.5" x14ac:dyDescent="0.4">
      <c r="A476" s="117"/>
      <c r="B476" s="123"/>
      <c r="C476" s="123"/>
      <c r="D476" s="123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27"/>
      <c r="Z476" s="29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25"/>
      <c r="AK476" s="13"/>
      <c r="AP476" s="116"/>
      <c r="AQ476" s="123"/>
      <c r="AR476" s="123"/>
      <c r="AS476" s="123"/>
      <c r="AX476" s="115"/>
      <c r="AY476" s="115"/>
      <c r="AZ476" s="115"/>
      <c r="BA476" s="115"/>
      <c r="BB476" s="115"/>
      <c r="BC476" s="115"/>
      <c r="BD476" s="115"/>
      <c r="BE476" s="115"/>
      <c r="BF476" s="115"/>
      <c r="BG476" s="115"/>
      <c r="BH476" s="25"/>
      <c r="BI476" s="13"/>
      <c r="BL476" s="114"/>
    </row>
    <row r="477" spans="1:64" ht="19.5" x14ac:dyDescent="0.4">
      <c r="A477" s="117"/>
      <c r="B477" s="123"/>
      <c r="C477" s="123"/>
      <c r="D477" s="123"/>
      <c r="Y477" s="127"/>
      <c r="Z477" s="29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25"/>
      <c r="AK477" s="13"/>
      <c r="AP477" s="116"/>
      <c r="AQ477" s="123"/>
      <c r="AR477" s="123"/>
      <c r="AS477" s="123"/>
      <c r="AX477" s="115"/>
      <c r="AY477" s="115"/>
      <c r="AZ477" s="115"/>
      <c r="BA477" s="115"/>
      <c r="BB477" s="115"/>
      <c r="BC477" s="115"/>
      <c r="BD477" s="115"/>
      <c r="BE477" s="115"/>
      <c r="BF477" s="115"/>
      <c r="BG477" s="115"/>
      <c r="BH477" s="25"/>
      <c r="BI477" s="13"/>
      <c r="BL477" s="114"/>
    </row>
    <row r="478" spans="1:64" ht="19.5" x14ac:dyDescent="0.4">
      <c r="A478" s="117"/>
      <c r="B478" s="123"/>
      <c r="C478" s="123"/>
      <c r="D478" s="123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27"/>
      <c r="Z478" s="29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25"/>
      <c r="AK478" s="13"/>
      <c r="AP478" s="116"/>
      <c r="AQ478" s="123"/>
      <c r="AR478" s="123"/>
      <c r="AS478" s="123"/>
      <c r="AX478" s="115"/>
      <c r="AY478" s="115"/>
      <c r="AZ478" s="115"/>
      <c r="BA478" s="115"/>
      <c r="BB478" s="115"/>
      <c r="BC478" s="115"/>
      <c r="BD478" s="115"/>
      <c r="BE478" s="115"/>
      <c r="BF478" s="115"/>
      <c r="BG478" s="115"/>
      <c r="BH478" s="25"/>
      <c r="BI478" s="13"/>
      <c r="BL478" s="114"/>
    </row>
    <row r="479" spans="1:64" ht="19.5" x14ac:dyDescent="0.4">
      <c r="A479" s="117"/>
      <c r="B479" s="123"/>
      <c r="C479" s="123"/>
      <c r="D479" s="123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27"/>
      <c r="Z479" s="29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25"/>
      <c r="AK479" s="13"/>
      <c r="AP479" s="116"/>
      <c r="AQ479" s="123"/>
      <c r="AR479" s="123"/>
      <c r="AS479" s="123"/>
      <c r="AX479" s="115"/>
      <c r="AY479" s="115"/>
      <c r="AZ479" s="115"/>
      <c r="BA479" s="115"/>
      <c r="BB479" s="115"/>
      <c r="BC479" s="115"/>
      <c r="BD479" s="115"/>
      <c r="BE479" s="115"/>
      <c r="BF479" s="115"/>
      <c r="BG479" s="115"/>
      <c r="BH479" s="25"/>
      <c r="BI479" s="13"/>
      <c r="BL479" s="114"/>
    </row>
    <row r="480" spans="1:64" ht="19.5" x14ac:dyDescent="0.4">
      <c r="A480" s="117"/>
      <c r="B480" s="123"/>
      <c r="C480" s="123"/>
      <c r="D480" s="123"/>
      <c r="Y480" s="127"/>
      <c r="Z480" s="29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25">
        <v>45679</v>
      </c>
      <c r="AK480" s="13" t="s">
        <v>147</v>
      </c>
      <c r="AP480" s="116"/>
      <c r="AQ480" s="123"/>
      <c r="AR480" s="123"/>
      <c r="AS480" s="123"/>
      <c r="AX480" s="115"/>
      <c r="AY480" s="115"/>
      <c r="AZ480" s="115"/>
      <c r="BA480" s="115"/>
      <c r="BB480" s="115"/>
      <c r="BC480" s="115"/>
      <c r="BD480" s="115"/>
      <c r="BE480" s="115"/>
      <c r="BF480" s="115"/>
      <c r="BG480" s="115"/>
      <c r="BH480" s="25"/>
      <c r="BI480" s="13"/>
      <c r="BL480" s="114"/>
    </row>
    <row r="481" spans="1:64" ht="19.5" x14ac:dyDescent="0.4">
      <c r="A481" s="117"/>
      <c r="B481" s="123"/>
      <c r="C481" s="123"/>
      <c r="D481" s="123"/>
      <c r="Y481" s="127"/>
      <c r="Z481" s="29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25">
        <v>45680</v>
      </c>
      <c r="AK481" s="13" t="s">
        <v>148</v>
      </c>
      <c r="AP481" s="116"/>
      <c r="AQ481" s="123"/>
      <c r="AR481" s="123"/>
      <c r="AS481" s="123"/>
      <c r="AX481" s="115"/>
      <c r="AY481" s="115"/>
      <c r="AZ481" s="115"/>
      <c r="BA481" s="115"/>
      <c r="BB481" s="115"/>
      <c r="BC481" s="115"/>
      <c r="BD481" s="115"/>
      <c r="BE481" s="115"/>
      <c r="BF481" s="115"/>
      <c r="BG481" s="115"/>
      <c r="BH481" s="25"/>
      <c r="BI481" s="13"/>
      <c r="BL481" s="114"/>
    </row>
    <row r="482" spans="1:64" ht="19.5" x14ac:dyDescent="0.4">
      <c r="A482" s="117"/>
      <c r="B482" s="123"/>
      <c r="C482" s="123"/>
      <c r="D482" s="123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29"/>
      <c r="Z482" s="29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25"/>
      <c r="AK482" s="13"/>
      <c r="AP482" s="116"/>
      <c r="AQ482" s="123"/>
      <c r="AR482" s="123"/>
      <c r="AS482" s="123"/>
      <c r="AX482" s="115"/>
      <c r="AY482" s="115"/>
      <c r="AZ482" s="115"/>
      <c r="BA482" s="115"/>
      <c r="BB482" s="115"/>
      <c r="BC482" s="115"/>
      <c r="BD482" s="115"/>
      <c r="BE482" s="115"/>
      <c r="BF482" s="115"/>
      <c r="BG482" s="115"/>
      <c r="BH482" s="25"/>
      <c r="BI482" s="13"/>
      <c r="BL482" s="114"/>
    </row>
    <row r="483" spans="1:64" ht="19.5" x14ac:dyDescent="0.4">
      <c r="A483" s="117"/>
      <c r="B483" s="123"/>
      <c r="C483" s="123"/>
      <c r="D483" s="123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27"/>
      <c r="Z483" s="29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25"/>
      <c r="AK483" s="13"/>
      <c r="AP483" s="116"/>
      <c r="AQ483" s="123"/>
      <c r="AR483" s="123"/>
      <c r="AS483" s="123"/>
      <c r="AX483" s="115"/>
      <c r="AY483" s="115"/>
      <c r="AZ483" s="115"/>
      <c r="BA483" s="115"/>
      <c r="BB483" s="115"/>
      <c r="BC483" s="115"/>
      <c r="BD483" s="115"/>
      <c r="BE483" s="115"/>
      <c r="BF483" s="115"/>
      <c r="BG483" s="115"/>
      <c r="BH483" s="25"/>
      <c r="BI483" s="13"/>
      <c r="BL483" s="114"/>
    </row>
    <row r="484" spans="1:64" ht="19.5" x14ac:dyDescent="0.4">
      <c r="A484" s="117"/>
      <c r="B484" s="123"/>
      <c r="C484" s="123"/>
      <c r="D484" s="123"/>
      <c r="Y484" s="127"/>
      <c r="Z484" s="29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25">
        <v>45680</v>
      </c>
      <c r="AK484" s="13" t="s">
        <v>147</v>
      </c>
      <c r="AP484" s="116"/>
      <c r="AQ484" s="123"/>
      <c r="AR484" s="123"/>
      <c r="AS484" s="123"/>
      <c r="AX484" s="115"/>
      <c r="AY484" s="115"/>
      <c r="AZ484" s="115"/>
      <c r="BA484" s="115"/>
      <c r="BB484" s="115"/>
      <c r="BC484" s="115"/>
      <c r="BD484" s="115"/>
      <c r="BE484" s="115"/>
      <c r="BF484" s="115"/>
      <c r="BG484" s="115"/>
      <c r="BH484" s="25"/>
      <c r="BI484" s="13"/>
      <c r="BL484" s="114"/>
    </row>
    <row r="485" spans="1:64" ht="19.5" x14ac:dyDescent="0.4">
      <c r="A485" s="117"/>
      <c r="B485" s="123"/>
      <c r="C485" s="123"/>
      <c r="D485" s="123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27"/>
      <c r="Z485" s="29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25"/>
      <c r="AK485" s="13"/>
      <c r="AP485" s="116"/>
      <c r="AQ485" s="123"/>
      <c r="AR485" s="123"/>
      <c r="AS485" s="123"/>
      <c r="AX485" s="115"/>
      <c r="AY485" s="115"/>
      <c r="AZ485" s="115"/>
      <c r="BA485" s="115"/>
      <c r="BB485" s="115"/>
      <c r="BC485" s="115"/>
      <c r="BD485" s="115"/>
      <c r="BE485" s="115"/>
      <c r="BF485" s="115"/>
      <c r="BG485" s="115"/>
      <c r="BH485" s="25"/>
      <c r="BI485" s="13"/>
      <c r="BL485" s="114"/>
    </row>
    <row r="486" spans="1:64" ht="19.5" x14ac:dyDescent="0.4">
      <c r="A486" s="117"/>
      <c r="B486" s="123"/>
      <c r="C486" s="123"/>
      <c r="D486" s="123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27"/>
      <c r="Z486" s="29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25"/>
      <c r="AK486" s="13"/>
      <c r="AP486" s="116"/>
      <c r="AQ486" s="123"/>
      <c r="AR486" s="123"/>
      <c r="AS486" s="123"/>
      <c r="AX486" s="115"/>
      <c r="AY486" s="115"/>
      <c r="AZ486" s="115"/>
      <c r="BA486" s="115"/>
      <c r="BB486" s="115"/>
      <c r="BC486" s="115"/>
      <c r="BD486" s="115"/>
      <c r="BE486" s="115"/>
      <c r="BF486" s="115"/>
      <c r="BG486" s="115"/>
      <c r="BH486" s="25"/>
      <c r="BI486" s="13"/>
      <c r="BL486" s="114"/>
    </row>
    <row r="487" spans="1:64" ht="19.5" x14ac:dyDescent="0.4">
      <c r="A487" s="117"/>
      <c r="B487" s="123"/>
      <c r="C487" s="123"/>
      <c r="D487" s="123"/>
      <c r="Y487" s="127"/>
      <c r="Z487" s="29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25">
        <v>45680</v>
      </c>
      <c r="AK487" s="13" t="s">
        <v>147</v>
      </c>
      <c r="AP487" s="116"/>
      <c r="AQ487" s="123"/>
      <c r="AR487" s="123"/>
      <c r="AS487" s="123"/>
      <c r="AX487" s="115"/>
      <c r="AY487" s="115"/>
      <c r="AZ487" s="115"/>
      <c r="BA487" s="115"/>
      <c r="BB487" s="115"/>
      <c r="BC487" s="115"/>
      <c r="BD487" s="115"/>
      <c r="BE487" s="115"/>
      <c r="BF487" s="115"/>
      <c r="BG487" s="115"/>
      <c r="BH487" s="25"/>
      <c r="BI487" s="13"/>
      <c r="BL487" s="114"/>
    </row>
    <row r="488" spans="1:64" ht="19.5" x14ac:dyDescent="0.4">
      <c r="A488" s="117"/>
      <c r="B488" s="123"/>
      <c r="C488" s="123"/>
      <c r="D488" s="123"/>
      <c r="Y488" s="127"/>
      <c r="Z488" s="29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25"/>
      <c r="AK488" s="13"/>
      <c r="AP488" s="116"/>
      <c r="AQ488" s="123"/>
      <c r="AR488" s="123"/>
      <c r="AS488" s="123"/>
      <c r="AX488" s="115"/>
      <c r="AY488" s="115"/>
      <c r="AZ488" s="115"/>
      <c r="BA488" s="115"/>
      <c r="BB488" s="115"/>
      <c r="BC488" s="115"/>
      <c r="BD488" s="115"/>
      <c r="BE488" s="115"/>
      <c r="BF488" s="115"/>
      <c r="BG488" s="115"/>
      <c r="BH488" s="25"/>
      <c r="BI488" s="13"/>
      <c r="BL488" s="114"/>
    </row>
    <row r="489" spans="1:64" ht="19.5" x14ac:dyDescent="0.4">
      <c r="A489" s="117"/>
      <c r="B489" s="123"/>
      <c r="C489" s="123"/>
      <c r="D489" s="123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27"/>
      <c r="Z489" s="29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25"/>
      <c r="AK489" s="13"/>
      <c r="AP489" s="116"/>
      <c r="AQ489" s="123"/>
      <c r="AR489" s="123"/>
      <c r="AS489" s="123"/>
      <c r="AX489" s="115"/>
      <c r="AY489" s="115"/>
      <c r="AZ489" s="115"/>
      <c r="BA489" s="115"/>
      <c r="BB489" s="115"/>
      <c r="BC489" s="115"/>
      <c r="BD489" s="115"/>
      <c r="BE489" s="115"/>
      <c r="BF489" s="115"/>
      <c r="BG489" s="115"/>
      <c r="BH489" s="25"/>
      <c r="BI489" s="13"/>
      <c r="BL489" s="114"/>
    </row>
    <row r="490" spans="1:64" ht="19.5" x14ac:dyDescent="0.4">
      <c r="A490" s="117"/>
      <c r="B490" s="123"/>
      <c r="C490" s="123"/>
      <c r="D490" s="123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27"/>
      <c r="Z490" s="29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25"/>
      <c r="AK490" s="13"/>
      <c r="AP490" s="116"/>
      <c r="AQ490" s="123"/>
      <c r="AR490" s="123"/>
      <c r="AS490" s="123"/>
      <c r="AX490" s="115"/>
      <c r="AY490" s="115"/>
      <c r="AZ490" s="115"/>
      <c r="BA490" s="115"/>
      <c r="BB490" s="115"/>
      <c r="BC490" s="115"/>
      <c r="BD490" s="115"/>
      <c r="BE490" s="115"/>
      <c r="BF490" s="115"/>
      <c r="BG490" s="115"/>
      <c r="BH490" s="25"/>
      <c r="BI490" s="13"/>
      <c r="BL490" s="114"/>
    </row>
    <row r="491" spans="1:64" ht="19.5" x14ac:dyDescent="0.4">
      <c r="A491" s="117"/>
      <c r="B491" s="123"/>
      <c r="C491" s="123"/>
      <c r="D491" s="123"/>
      <c r="Y491" s="127"/>
      <c r="Z491" s="29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25">
        <v>45680</v>
      </c>
      <c r="AK491" s="13" t="s">
        <v>146</v>
      </c>
      <c r="AP491" s="116"/>
      <c r="AQ491" s="123"/>
      <c r="AR491" s="123"/>
      <c r="AS491" s="123"/>
      <c r="AX491" s="115"/>
      <c r="AY491" s="115"/>
      <c r="AZ491" s="115"/>
      <c r="BA491" s="115"/>
      <c r="BB491" s="115"/>
      <c r="BC491" s="115"/>
      <c r="BD491" s="115"/>
      <c r="BE491" s="115"/>
      <c r="BF491" s="115"/>
      <c r="BG491" s="115"/>
      <c r="BH491" s="25"/>
      <c r="BI491" s="13"/>
      <c r="BL491" s="114"/>
    </row>
    <row r="492" spans="1:64" ht="19.5" x14ac:dyDescent="0.4">
      <c r="A492" s="117"/>
      <c r="B492" s="123"/>
      <c r="C492" s="123"/>
      <c r="D492" s="123"/>
      <c r="Y492" s="127"/>
      <c r="Z492" s="29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25">
        <v>45680</v>
      </c>
      <c r="AK492" s="13" t="s">
        <v>146</v>
      </c>
      <c r="AP492" s="116"/>
      <c r="AQ492" s="123"/>
      <c r="AR492" s="123"/>
      <c r="AS492" s="123"/>
      <c r="AX492" s="115"/>
      <c r="AY492" s="115"/>
      <c r="AZ492" s="115"/>
      <c r="BA492" s="115"/>
      <c r="BB492" s="115"/>
      <c r="BC492" s="115"/>
      <c r="BD492" s="115"/>
      <c r="BE492" s="115"/>
      <c r="BF492" s="115"/>
      <c r="BG492" s="115"/>
      <c r="BH492" s="25"/>
      <c r="BI492" s="13"/>
      <c r="BL492" s="114"/>
    </row>
    <row r="493" spans="1:64" ht="19.5" x14ac:dyDescent="0.4">
      <c r="A493" s="117"/>
      <c r="B493" s="123"/>
      <c r="C493" s="123"/>
      <c r="D493" s="123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27"/>
      <c r="Z493" s="29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25">
        <v>45680</v>
      </c>
      <c r="AK493" s="13" t="s">
        <v>147</v>
      </c>
      <c r="AP493" s="116"/>
      <c r="AQ493" s="123"/>
      <c r="AR493" s="123"/>
      <c r="AS493" s="123"/>
      <c r="AX493" s="115"/>
      <c r="AY493" s="115"/>
      <c r="AZ493" s="115"/>
      <c r="BA493" s="115"/>
      <c r="BB493" s="115"/>
      <c r="BC493" s="115"/>
      <c r="BD493" s="115"/>
      <c r="BE493" s="115"/>
      <c r="BF493" s="115"/>
      <c r="BG493" s="115"/>
      <c r="BH493" s="25"/>
      <c r="BI493" s="13"/>
      <c r="BL493" s="114"/>
    </row>
    <row r="494" spans="1:64" ht="19.5" x14ac:dyDescent="0.4">
      <c r="A494" s="117"/>
      <c r="B494" s="123"/>
      <c r="C494" s="123"/>
      <c r="D494" s="123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27"/>
      <c r="Z494" s="29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25"/>
      <c r="AK494" s="13"/>
      <c r="AP494" s="116"/>
      <c r="AQ494" s="123"/>
      <c r="AR494" s="123"/>
      <c r="AS494" s="123"/>
      <c r="AX494" s="115"/>
      <c r="AY494" s="115"/>
      <c r="AZ494" s="115"/>
      <c r="BA494" s="115"/>
      <c r="BB494" s="115"/>
      <c r="BC494" s="115"/>
      <c r="BD494" s="115"/>
      <c r="BE494" s="115"/>
      <c r="BF494" s="115"/>
      <c r="BG494" s="115"/>
      <c r="BH494" s="25"/>
      <c r="BI494" s="13"/>
      <c r="BL494" s="114"/>
    </row>
    <row r="495" spans="1:64" ht="19.5" x14ac:dyDescent="0.4">
      <c r="A495" s="117"/>
      <c r="B495" s="123"/>
      <c r="C495" s="123"/>
      <c r="D495" s="123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29"/>
      <c r="Z495" s="29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25"/>
      <c r="AK495" s="13"/>
      <c r="AP495" s="116"/>
      <c r="AQ495" s="123"/>
      <c r="AR495" s="123"/>
      <c r="AS495" s="123"/>
      <c r="AX495" s="115"/>
      <c r="AY495" s="115"/>
      <c r="AZ495" s="115"/>
      <c r="BA495" s="115"/>
      <c r="BB495" s="115"/>
      <c r="BC495" s="115"/>
      <c r="BD495" s="115"/>
      <c r="BE495" s="115"/>
      <c r="BF495" s="115"/>
      <c r="BG495" s="115"/>
      <c r="BH495" s="25"/>
      <c r="BI495" s="13"/>
      <c r="BL495" s="114"/>
    </row>
    <row r="496" spans="1:64" ht="19.5" x14ac:dyDescent="0.4">
      <c r="A496" s="117"/>
      <c r="B496" s="123"/>
      <c r="C496" s="123"/>
      <c r="D496" s="123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27"/>
      <c r="Z496" s="29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25"/>
      <c r="AK496" s="13"/>
      <c r="AP496" s="116"/>
      <c r="AQ496" s="123"/>
      <c r="AR496" s="123"/>
      <c r="AS496" s="123"/>
      <c r="AX496" s="115"/>
      <c r="AY496" s="115"/>
      <c r="AZ496" s="115"/>
      <c r="BA496" s="115"/>
      <c r="BB496" s="115"/>
      <c r="BC496" s="115"/>
      <c r="BD496" s="115"/>
      <c r="BE496" s="115"/>
      <c r="BF496" s="115"/>
      <c r="BG496" s="115"/>
      <c r="BH496" s="25"/>
      <c r="BI496" s="13"/>
      <c r="BL496" s="114"/>
    </row>
    <row r="497" spans="1:64" ht="19.5" x14ac:dyDescent="0.4">
      <c r="A497" s="117"/>
      <c r="B497" s="123"/>
      <c r="C497" s="123"/>
      <c r="D497" s="123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29"/>
      <c r="Z497" s="29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25"/>
      <c r="AK497" s="13"/>
      <c r="AP497" s="116"/>
      <c r="AQ497" s="123"/>
      <c r="AR497" s="123"/>
      <c r="AS497" s="123"/>
      <c r="AX497" s="115"/>
      <c r="AY497" s="115"/>
      <c r="AZ497" s="115"/>
      <c r="BA497" s="115"/>
      <c r="BB497" s="115"/>
      <c r="BC497" s="115"/>
      <c r="BD497" s="115"/>
      <c r="BE497" s="115"/>
      <c r="BF497" s="115"/>
      <c r="BG497" s="115"/>
      <c r="BH497" s="25"/>
      <c r="BI497" s="13"/>
      <c r="BL497" s="114"/>
    </row>
    <row r="498" spans="1:64" ht="19.5" x14ac:dyDescent="0.4">
      <c r="A498" s="117"/>
      <c r="B498" s="123"/>
      <c r="C498" s="123"/>
      <c r="D498" s="123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27"/>
      <c r="Z498" s="29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25">
        <v>45680</v>
      </c>
      <c r="AK498" s="15" t="s">
        <v>142</v>
      </c>
      <c r="AP498" s="116"/>
      <c r="AQ498" s="123"/>
      <c r="AR498" s="123"/>
      <c r="AS498" s="123"/>
      <c r="AX498" s="115"/>
      <c r="AY498" s="115"/>
      <c r="AZ498" s="115"/>
      <c r="BA498" s="115"/>
      <c r="BB498" s="115"/>
      <c r="BC498" s="115"/>
      <c r="BD498" s="115"/>
      <c r="BE498" s="115"/>
      <c r="BF498" s="115"/>
      <c r="BG498" s="115"/>
      <c r="BH498" s="25"/>
      <c r="BI498" s="13"/>
      <c r="BL498" s="114"/>
    </row>
    <row r="499" spans="1:64" ht="19.5" x14ac:dyDescent="0.4">
      <c r="A499" s="117"/>
      <c r="B499" s="123"/>
      <c r="C499" s="123"/>
      <c r="D499" s="123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29"/>
      <c r="Z499" s="29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25"/>
      <c r="AK499" s="15"/>
      <c r="AP499" s="116"/>
      <c r="AQ499" s="123"/>
      <c r="AR499" s="123"/>
      <c r="AS499" s="123"/>
      <c r="AX499" s="115"/>
      <c r="AY499" s="115"/>
      <c r="AZ499" s="115"/>
      <c r="BA499" s="115"/>
      <c r="BB499" s="115"/>
      <c r="BC499" s="115"/>
      <c r="BD499" s="115"/>
      <c r="BE499" s="115"/>
      <c r="BF499" s="115"/>
      <c r="BG499" s="115"/>
      <c r="BH499" s="25"/>
      <c r="BI499" s="13"/>
      <c r="BL499" s="114"/>
    </row>
    <row r="500" spans="1:64" ht="19.5" x14ac:dyDescent="0.4">
      <c r="A500" s="117"/>
      <c r="B500" s="123"/>
      <c r="C500" s="123"/>
      <c r="D500" s="123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27"/>
      <c r="Z500" s="29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25"/>
      <c r="AK500" s="15"/>
      <c r="AP500" s="116"/>
      <c r="AQ500" s="123"/>
      <c r="AR500" s="123"/>
      <c r="AS500" s="123"/>
      <c r="AX500" s="115"/>
      <c r="AY500" s="115"/>
      <c r="AZ500" s="115"/>
      <c r="BA500" s="115"/>
      <c r="BB500" s="115"/>
      <c r="BC500" s="115"/>
      <c r="BD500" s="115"/>
      <c r="BE500" s="115"/>
      <c r="BF500" s="115"/>
      <c r="BG500" s="115"/>
      <c r="BH500" s="25"/>
      <c r="BI500" s="13"/>
      <c r="BL500" s="114"/>
    </row>
    <row r="501" spans="1:64" ht="19.5" x14ac:dyDescent="0.4">
      <c r="A501" s="117"/>
      <c r="B501" s="123"/>
      <c r="C501" s="123"/>
      <c r="D501" s="123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27"/>
      <c r="Z501" s="29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25">
        <v>45680</v>
      </c>
      <c r="AK501" s="15" t="s">
        <v>146</v>
      </c>
      <c r="AP501" s="116"/>
      <c r="AQ501" s="123"/>
      <c r="AR501" s="123"/>
      <c r="AS501" s="123"/>
      <c r="AX501" s="115"/>
      <c r="AY501" s="115"/>
      <c r="AZ501" s="115"/>
      <c r="BA501" s="115"/>
      <c r="BB501" s="115"/>
      <c r="BC501" s="115"/>
      <c r="BD501" s="115"/>
      <c r="BE501" s="115"/>
      <c r="BF501" s="115"/>
      <c r="BG501" s="115"/>
      <c r="BH501" s="25"/>
      <c r="BI501" s="13"/>
      <c r="BL501" s="114"/>
    </row>
    <row r="502" spans="1:64" ht="19.5" x14ac:dyDescent="0.4">
      <c r="A502" s="117"/>
      <c r="B502" s="123"/>
      <c r="C502" s="123"/>
      <c r="D502" s="123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27"/>
      <c r="Z502" s="29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25"/>
      <c r="AK502" s="15"/>
      <c r="AP502" s="116"/>
      <c r="AQ502" s="123"/>
      <c r="AR502" s="123"/>
      <c r="AS502" s="123"/>
      <c r="AX502" s="115"/>
      <c r="AY502" s="115"/>
      <c r="AZ502" s="115"/>
      <c r="BA502" s="115"/>
      <c r="BB502" s="115"/>
      <c r="BC502" s="115"/>
      <c r="BD502" s="115"/>
      <c r="BE502" s="115"/>
      <c r="BF502" s="115"/>
      <c r="BG502" s="115"/>
      <c r="BH502" s="25"/>
      <c r="BI502" s="13"/>
      <c r="BL502" s="114"/>
    </row>
    <row r="503" spans="1:64" ht="19.5" x14ac:dyDescent="0.4">
      <c r="A503" s="117"/>
      <c r="B503" s="123"/>
      <c r="C503" s="123"/>
      <c r="D503" s="123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27"/>
      <c r="Z503" s="29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25">
        <v>45680</v>
      </c>
      <c r="AK503" s="15" t="s">
        <v>146</v>
      </c>
      <c r="AP503" s="116"/>
      <c r="AQ503" s="123"/>
      <c r="AR503" s="123"/>
      <c r="AS503" s="123"/>
      <c r="AX503" s="115"/>
      <c r="AY503" s="115"/>
      <c r="AZ503" s="115"/>
      <c r="BA503" s="115"/>
      <c r="BB503" s="115"/>
      <c r="BC503" s="115"/>
      <c r="BD503" s="115"/>
      <c r="BE503" s="115"/>
      <c r="BF503" s="115"/>
      <c r="BG503" s="115"/>
      <c r="BH503" s="25"/>
      <c r="BI503" s="13"/>
      <c r="BL503" s="114"/>
    </row>
    <row r="504" spans="1:64" ht="19.5" x14ac:dyDescent="0.4">
      <c r="A504" s="117"/>
      <c r="B504" s="123"/>
      <c r="C504" s="123"/>
      <c r="D504" s="123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27"/>
      <c r="Z504" s="29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25"/>
      <c r="AK504" s="15"/>
      <c r="AP504" s="116"/>
      <c r="AQ504" s="123"/>
      <c r="AR504" s="123"/>
      <c r="AS504" s="123"/>
      <c r="AX504" s="115"/>
      <c r="AY504" s="115"/>
      <c r="AZ504" s="115"/>
      <c r="BA504" s="115"/>
      <c r="BB504" s="115"/>
      <c r="BC504" s="115"/>
      <c r="BD504" s="115"/>
      <c r="BE504" s="115"/>
      <c r="BF504" s="115"/>
      <c r="BG504" s="115"/>
      <c r="BH504" s="25"/>
      <c r="BI504" s="13"/>
      <c r="BL504" s="114"/>
    </row>
    <row r="505" spans="1:64" ht="19.5" x14ac:dyDescent="0.4">
      <c r="A505" s="117"/>
      <c r="B505" s="123"/>
      <c r="C505" s="123"/>
      <c r="D505" s="123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27"/>
      <c r="Z505" s="29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25"/>
      <c r="AK505" s="15"/>
      <c r="AP505" s="116"/>
      <c r="AQ505" s="123"/>
      <c r="AR505" s="123"/>
      <c r="AS505" s="123"/>
      <c r="AX505" s="115"/>
      <c r="AY505" s="115"/>
      <c r="AZ505" s="115"/>
      <c r="BA505" s="115"/>
      <c r="BB505" s="115"/>
      <c r="BC505" s="115"/>
      <c r="BD505" s="115"/>
      <c r="BE505" s="115"/>
      <c r="BF505" s="115"/>
      <c r="BG505" s="115"/>
      <c r="BH505" s="25"/>
      <c r="BI505" s="13"/>
      <c r="BL505" s="114"/>
    </row>
    <row r="506" spans="1:64" ht="19.5" x14ac:dyDescent="0.4">
      <c r="A506" s="117"/>
      <c r="B506" s="123"/>
      <c r="C506" s="123"/>
      <c r="D506" s="123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27"/>
      <c r="Z506" s="29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25"/>
      <c r="AK506" s="15"/>
      <c r="AP506" s="116"/>
      <c r="AQ506" s="123"/>
      <c r="AR506" s="123"/>
      <c r="AS506" s="123"/>
      <c r="AX506" s="115"/>
      <c r="AY506" s="115"/>
      <c r="AZ506" s="115"/>
      <c r="BA506" s="115"/>
      <c r="BB506" s="115"/>
      <c r="BC506" s="115"/>
      <c r="BD506" s="115"/>
      <c r="BE506" s="115"/>
      <c r="BF506" s="115"/>
      <c r="BG506" s="115"/>
      <c r="BH506" s="25"/>
      <c r="BI506" s="13"/>
      <c r="BL506" s="114"/>
    </row>
    <row r="507" spans="1:64" ht="19.5" x14ac:dyDescent="0.4">
      <c r="A507" s="117"/>
      <c r="B507" s="123"/>
      <c r="C507" s="123"/>
      <c r="D507" s="123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27"/>
      <c r="Z507" s="29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25">
        <v>45680</v>
      </c>
      <c r="AK507" s="15" t="s">
        <v>146</v>
      </c>
      <c r="AP507" s="116"/>
      <c r="AQ507" s="123"/>
      <c r="AR507" s="123"/>
      <c r="AS507" s="123"/>
      <c r="AX507" s="115"/>
      <c r="AY507" s="115"/>
      <c r="AZ507" s="115"/>
      <c r="BA507" s="115"/>
      <c r="BB507" s="115"/>
      <c r="BC507" s="115"/>
      <c r="BD507" s="115"/>
      <c r="BE507" s="115"/>
      <c r="BF507" s="115"/>
      <c r="BG507" s="115"/>
      <c r="BH507" s="25"/>
      <c r="BI507" s="13"/>
      <c r="BL507" s="114"/>
    </row>
    <row r="508" spans="1:64" ht="19.5" x14ac:dyDescent="0.4">
      <c r="A508" s="117"/>
      <c r="B508" s="123"/>
      <c r="C508" s="123"/>
      <c r="D508" s="123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27"/>
      <c r="Z508" s="29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25"/>
      <c r="AK508" s="15"/>
      <c r="AP508" s="116"/>
      <c r="AQ508" s="123"/>
      <c r="AR508" s="123"/>
      <c r="AS508" s="123"/>
      <c r="AX508" s="115"/>
      <c r="AY508" s="115"/>
      <c r="AZ508" s="115"/>
      <c r="BA508" s="115"/>
      <c r="BB508" s="115"/>
      <c r="BC508" s="115"/>
      <c r="BD508" s="115"/>
      <c r="BE508" s="115"/>
      <c r="BF508" s="115"/>
      <c r="BG508" s="115"/>
      <c r="BH508" s="25"/>
      <c r="BI508" s="13"/>
      <c r="BL508" s="114"/>
    </row>
    <row r="509" spans="1:64" ht="19.5" x14ac:dyDescent="0.4">
      <c r="A509" s="117"/>
      <c r="B509" s="123"/>
      <c r="C509" s="123"/>
      <c r="D509" s="123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29"/>
      <c r="Z509" s="29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25"/>
      <c r="AK509" s="15"/>
      <c r="AP509" s="116"/>
      <c r="AQ509" s="123"/>
      <c r="AR509" s="123"/>
      <c r="AS509" s="123"/>
      <c r="AX509" s="115"/>
      <c r="AY509" s="115"/>
      <c r="AZ509" s="115"/>
      <c r="BA509" s="115"/>
      <c r="BB509" s="115"/>
      <c r="BC509" s="115"/>
      <c r="BD509" s="115"/>
      <c r="BE509" s="115"/>
      <c r="BF509" s="115"/>
      <c r="BG509" s="115"/>
      <c r="BH509" s="25"/>
      <c r="BI509" s="13"/>
      <c r="BL509" s="114"/>
    </row>
    <row r="510" spans="1:64" ht="19.5" x14ac:dyDescent="0.4">
      <c r="A510" s="117"/>
      <c r="B510" s="123"/>
      <c r="C510" s="123"/>
      <c r="D510" s="123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27"/>
      <c r="Z510" s="29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25">
        <v>45680</v>
      </c>
      <c r="AK510" s="15" t="s">
        <v>147</v>
      </c>
      <c r="AP510" s="116"/>
      <c r="AQ510" s="123"/>
      <c r="AR510" s="123"/>
      <c r="AS510" s="123"/>
      <c r="AX510" s="115"/>
      <c r="AY510" s="115"/>
      <c r="AZ510" s="115"/>
      <c r="BA510" s="115"/>
      <c r="BB510" s="115"/>
      <c r="BC510" s="115"/>
      <c r="BD510" s="115"/>
      <c r="BE510" s="115"/>
      <c r="BF510" s="115"/>
      <c r="BG510" s="115"/>
      <c r="BH510" s="25"/>
      <c r="BI510" s="13"/>
      <c r="BL510" s="114"/>
    </row>
    <row r="511" spans="1:64" ht="19.5" x14ac:dyDescent="0.4">
      <c r="A511" s="117"/>
      <c r="B511" s="123"/>
      <c r="C511" s="123"/>
      <c r="D511" s="123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29"/>
      <c r="Z511" s="29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25"/>
      <c r="AK511" s="13"/>
      <c r="AP511" s="116"/>
      <c r="AQ511" s="123"/>
      <c r="AR511" s="123"/>
      <c r="AS511" s="123"/>
      <c r="AX511" s="115"/>
      <c r="AY511" s="115"/>
      <c r="AZ511" s="115"/>
      <c r="BA511" s="115"/>
      <c r="BB511" s="115"/>
      <c r="BC511" s="115"/>
      <c r="BD511" s="115"/>
      <c r="BE511" s="115"/>
      <c r="BF511" s="115"/>
      <c r="BG511" s="115"/>
      <c r="BH511" s="25"/>
      <c r="BI511" s="13"/>
      <c r="BL511" s="114"/>
    </row>
    <row r="512" spans="1:64" ht="19.5" x14ac:dyDescent="0.4">
      <c r="A512" s="117"/>
      <c r="B512" s="123"/>
      <c r="C512" s="123"/>
      <c r="D512" s="123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27"/>
      <c r="Z512" s="29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25"/>
      <c r="AK512" s="13"/>
      <c r="AP512" s="116"/>
      <c r="AQ512" s="123"/>
      <c r="AR512" s="123"/>
      <c r="AS512" s="123"/>
      <c r="AX512" s="115"/>
      <c r="AY512" s="115"/>
      <c r="AZ512" s="115"/>
      <c r="BA512" s="115"/>
      <c r="BB512" s="115"/>
      <c r="BC512" s="115"/>
      <c r="BD512" s="115"/>
      <c r="BE512" s="115"/>
      <c r="BF512" s="115"/>
      <c r="BG512" s="115"/>
      <c r="BH512" s="25"/>
      <c r="BI512" s="13"/>
      <c r="BL512" s="114"/>
    </row>
    <row r="513" spans="1:64" ht="19.5" x14ac:dyDescent="0.4">
      <c r="A513" s="117"/>
      <c r="B513" s="123"/>
      <c r="C513" s="123"/>
      <c r="D513" s="123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27"/>
      <c r="Z513" s="29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25"/>
      <c r="AK513" s="13"/>
      <c r="AP513" s="116"/>
      <c r="AQ513" s="123"/>
      <c r="AR513" s="123"/>
      <c r="AS513" s="123"/>
      <c r="AX513" s="115"/>
      <c r="AY513" s="115"/>
      <c r="AZ513" s="115"/>
      <c r="BA513" s="115"/>
      <c r="BB513" s="115"/>
      <c r="BC513" s="115"/>
      <c r="BD513" s="115"/>
      <c r="BE513" s="115"/>
      <c r="BF513" s="115"/>
      <c r="BG513" s="115"/>
      <c r="BH513" s="25"/>
      <c r="BI513" s="13"/>
      <c r="BL513" s="114"/>
    </row>
    <row r="514" spans="1:64" ht="19.5" x14ac:dyDescent="0.4">
      <c r="A514" s="117"/>
      <c r="B514" s="123"/>
      <c r="C514" s="123"/>
      <c r="D514" s="123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29"/>
      <c r="Z514" s="29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25"/>
      <c r="AK514" s="13"/>
      <c r="AP514" s="116"/>
      <c r="AQ514" s="123"/>
      <c r="AR514" s="123"/>
      <c r="AS514" s="123"/>
      <c r="AX514" s="115"/>
      <c r="AY514" s="115"/>
      <c r="AZ514" s="115"/>
      <c r="BA514" s="115"/>
      <c r="BB514" s="115"/>
      <c r="BC514" s="115"/>
      <c r="BD514" s="115"/>
      <c r="BE514" s="115"/>
      <c r="BF514" s="115"/>
      <c r="BG514" s="115"/>
      <c r="BH514" s="25"/>
      <c r="BI514" s="13"/>
      <c r="BL514" s="114"/>
    </row>
    <row r="515" spans="1:64" ht="19.5" x14ac:dyDescent="0.4">
      <c r="A515" s="117"/>
      <c r="B515" s="123"/>
      <c r="C515" s="123"/>
      <c r="D515" s="123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29"/>
      <c r="Z515" s="29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25"/>
      <c r="AK515" s="13"/>
      <c r="AP515" s="116"/>
      <c r="AQ515" s="123"/>
      <c r="AR515" s="123"/>
      <c r="AS515" s="123"/>
      <c r="AX515" s="115"/>
      <c r="AY515" s="115"/>
      <c r="AZ515" s="115"/>
      <c r="BA515" s="115"/>
      <c r="BB515" s="115"/>
      <c r="BC515" s="115"/>
      <c r="BD515" s="115"/>
      <c r="BE515" s="115"/>
      <c r="BF515" s="115"/>
      <c r="BG515" s="115"/>
      <c r="BH515" s="25"/>
      <c r="BI515" s="13"/>
      <c r="BL515" s="114"/>
    </row>
    <row r="516" spans="1:64" ht="19.5" x14ac:dyDescent="0.4">
      <c r="A516" s="117"/>
      <c r="B516" s="123"/>
      <c r="C516" s="123"/>
      <c r="D516" s="123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27"/>
      <c r="Z516" s="29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25"/>
      <c r="AK516" s="13"/>
      <c r="AP516" s="116"/>
      <c r="AQ516" s="123"/>
      <c r="AR516" s="123"/>
      <c r="AS516" s="123"/>
      <c r="AX516" s="115"/>
      <c r="AY516" s="115"/>
      <c r="AZ516" s="115"/>
      <c r="BA516" s="115"/>
      <c r="BB516" s="115"/>
      <c r="BC516" s="115"/>
      <c r="BD516" s="115"/>
      <c r="BE516" s="115"/>
      <c r="BF516" s="115"/>
      <c r="BG516" s="115"/>
      <c r="BH516" s="25"/>
      <c r="BI516" s="13"/>
      <c r="BL516" s="114"/>
    </row>
    <row r="517" spans="1:64" ht="19.5" x14ac:dyDescent="0.4">
      <c r="A517" s="117"/>
      <c r="B517" s="123"/>
      <c r="C517" s="123"/>
      <c r="D517" s="123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27"/>
      <c r="Z517" s="29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25"/>
      <c r="AK517" s="13"/>
      <c r="AP517" s="116"/>
      <c r="AQ517" s="123"/>
      <c r="AR517" s="123"/>
      <c r="AS517" s="123"/>
      <c r="AX517" s="115"/>
      <c r="AY517" s="115"/>
      <c r="AZ517" s="115"/>
      <c r="BA517" s="115"/>
      <c r="BB517" s="115"/>
      <c r="BC517" s="115"/>
      <c r="BD517" s="115"/>
      <c r="BE517" s="115"/>
      <c r="BF517" s="115"/>
      <c r="BG517" s="115"/>
      <c r="BH517" s="25"/>
      <c r="BI517" s="13"/>
      <c r="BL517" s="114"/>
    </row>
    <row r="518" spans="1:64" ht="19.5" x14ac:dyDescent="0.4">
      <c r="A518" s="117"/>
      <c r="B518" s="123"/>
      <c r="C518" s="123"/>
      <c r="D518" s="123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27"/>
      <c r="Z518" s="29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25"/>
      <c r="AK518" s="13"/>
      <c r="AP518" s="116"/>
      <c r="AQ518" s="123"/>
      <c r="AR518" s="123"/>
      <c r="AS518" s="123"/>
      <c r="AX518" s="115"/>
      <c r="AY518" s="115"/>
      <c r="AZ518" s="115"/>
      <c r="BA518" s="115"/>
      <c r="BB518" s="115"/>
      <c r="BC518" s="115"/>
      <c r="BD518" s="115"/>
      <c r="BE518" s="115"/>
      <c r="BF518" s="115"/>
      <c r="BG518" s="115"/>
      <c r="BH518" s="25"/>
      <c r="BI518" s="13"/>
      <c r="BL518" s="114"/>
    </row>
    <row r="519" spans="1:64" ht="19.5" x14ac:dyDescent="0.4">
      <c r="A519" s="117"/>
      <c r="B519" s="123"/>
      <c r="C519" s="123"/>
      <c r="D519" s="123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27"/>
      <c r="Z519" s="29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25"/>
      <c r="AK519" s="13"/>
      <c r="AP519" s="116"/>
      <c r="AQ519" s="123"/>
      <c r="AR519" s="123"/>
      <c r="AS519" s="123"/>
      <c r="AX519" s="115"/>
      <c r="AY519" s="115"/>
      <c r="AZ519" s="115"/>
      <c r="BA519" s="115"/>
      <c r="BB519" s="115"/>
      <c r="BC519" s="115"/>
      <c r="BD519" s="115"/>
      <c r="BE519" s="115"/>
      <c r="BF519" s="115"/>
      <c r="BG519" s="115"/>
      <c r="BH519" s="25"/>
      <c r="BI519" s="13"/>
      <c r="BL519" s="114"/>
    </row>
    <row r="520" spans="1:64" ht="19.5" x14ac:dyDescent="0.4">
      <c r="A520" s="117"/>
      <c r="B520" s="123"/>
      <c r="C520" s="123"/>
      <c r="D520" s="123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27"/>
      <c r="Z520" s="29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25">
        <v>45680</v>
      </c>
      <c r="AK520" s="13" t="s">
        <v>146</v>
      </c>
      <c r="AP520" s="116"/>
      <c r="AQ520" s="123"/>
      <c r="AR520" s="123"/>
      <c r="AS520" s="123"/>
      <c r="AX520" s="115"/>
      <c r="AY520" s="115"/>
      <c r="AZ520" s="115"/>
      <c r="BA520" s="115"/>
      <c r="BB520" s="115"/>
      <c r="BC520" s="115"/>
      <c r="BD520" s="115"/>
      <c r="BE520" s="115"/>
      <c r="BF520" s="115"/>
      <c r="BG520" s="115"/>
      <c r="BH520" s="25"/>
      <c r="BI520" s="13"/>
      <c r="BL520" s="114"/>
    </row>
    <row r="521" spans="1:64" ht="19.5" x14ac:dyDescent="0.4">
      <c r="A521" s="117"/>
      <c r="B521" s="123"/>
      <c r="C521" s="123"/>
      <c r="D521" s="123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29"/>
      <c r="Z521" s="29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25"/>
      <c r="AK521" s="13"/>
      <c r="AP521" s="116"/>
      <c r="AQ521" s="123"/>
      <c r="AR521" s="123"/>
      <c r="AS521" s="123"/>
      <c r="AX521" s="115"/>
      <c r="AY521" s="115"/>
      <c r="AZ521" s="115"/>
      <c r="BA521" s="115"/>
      <c r="BB521" s="115"/>
      <c r="BC521" s="115"/>
      <c r="BD521" s="115"/>
      <c r="BE521" s="115"/>
      <c r="BF521" s="115"/>
      <c r="BG521" s="115"/>
      <c r="BH521" s="25"/>
      <c r="BI521" s="13"/>
      <c r="BL521" s="114"/>
    </row>
    <row r="522" spans="1:64" ht="19.5" x14ac:dyDescent="0.4">
      <c r="A522" s="117"/>
      <c r="B522" s="123"/>
      <c r="C522" s="123"/>
      <c r="D522" s="123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27"/>
      <c r="Z522" s="29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25">
        <v>45680</v>
      </c>
      <c r="AK522" s="13" t="s">
        <v>147</v>
      </c>
      <c r="AP522" s="116"/>
      <c r="AQ522" s="123"/>
      <c r="AR522" s="123"/>
      <c r="AS522" s="123"/>
      <c r="AX522" s="115"/>
      <c r="AY522" s="115"/>
      <c r="AZ522" s="115"/>
      <c r="BA522" s="115"/>
      <c r="BB522" s="115"/>
      <c r="BC522" s="115"/>
      <c r="BD522" s="115"/>
      <c r="BE522" s="115"/>
      <c r="BF522" s="115"/>
      <c r="BG522" s="115"/>
      <c r="BH522" s="25"/>
      <c r="BI522" s="13"/>
      <c r="BL522" s="114"/>
    </row>
    <row r="523" spans="1:64" ht="19.5" x14ac:dyDescent="0.4">
      <c r="A523" s="117"/>
      <c r="B523" s="123"/>
      <c r="C523" s="123"/>
      <c r="D523" s="123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27"/>
      <c r="Z523" s="29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25">
        <v>45680</v>
      </c>
      <c r="AK523" s="13" t="s">
        <v>146</v>
      </c>
      <c r="AP523" s="116"/>
      <c r="AQ523" s="123"/>
      <c r="AR523" s="123"/>
      <c r="AS523" s="123"/>
      <c r="AX523" s="115"/>
      <c r="AY523" s="115"/>
      <c r="AZ523" s="115"/>
      <c r="BA523" s="115"/>
      <c r="BB523" s="115"/>
      <c r="BC523" s="115"/>
      <c r="BD523" s="115"/>
      <c r="BE523" s="115"/>
      <c r="BF523" s="115"/>
      <c r="BG523" s="115"/>
      <c r="BH523" s="25"/>
      <c r="BI523" s="13"/>
      <c r="BL523" s="114"/>
    </row>
    <row r="524" spans="1:64" ht="19.5" x14ac:dyDescent="0.4">
      <c r="A524" s="117"/>
      <c r="B524" s="123"/>
      <c r="C524" s="123"/>
      <c r="D524" s="123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29"/>
      <c r="Z524" s="29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25"/>
      <c r="AK524" s="13"/>
      <c r="AP524" s="116"/>
      <c r="AQ524" s="123"/>
      <c r="AR524" s="123"/>
      <c r="AS524" s="123"/>
      <c r="AX524" s="115"/>
      <c r="AY524" s="115"/>
      <c r="AZ524" s="115"/>
      <c r="BA524" s="115"/>
      <c r="BB524" s="115"/>
      <c r="BC524" s="115"/>
      <c r="BD524" s="115"/>
      <c r="BE524" s="115"/>
      <c r="BF524" s="115"/>
      <c r="BG524" s="115"/>
      <c r="BH524" s="25"/>
      <c r="BI524" s="13"/>
      <c r="BL524" s="114"/>
    </row>
    <row r="525" spans="1:64" ht="19.5" x14ac:dyDescent="0.4">
      <c r="A525" s="117"/>
      <c r="B525" s="123"/>
      <c r="C525" s="123"/>
      <c r="D525" s="123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27"/>
      <c r="Z525" s="29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25"/>
      <c r="AK525" s="13"/>
      <c r="AP525" s="116"/>
      <c r="AQ525" s="123"/>
      <c r="AR525" s="123"/>
      <c r="AS525" s="123"/>
      <c r="AX525" s="115"/>
      <c r="AY525" s="115"/>
      <c r="AZ525" s="115"/>
      <c r="BA525" s="115"/>
      <c r="BB525" s="115"/>
      <c r="BC525" s="115"/>
      <c r="BD525" s="115"/>
      <c r="BE525" s="115"/>
      <c r="BF525" s="115"/>
      <c r="BG525" s="115"/>
      <c r="BH525" s="25"/>
      <c r="BI525" s="13"/>
      <c r="BL525" s="114"/>
    </row>
    <row r="526" spans="1:64" ht="19.5" x14ac:dyDescent="0.4">
      <c r="A526" s="117"/>
      <c r="B526" s="123"/>
      <c r="C526" s="123"/>
      <c r="D526" s="123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29"/>
      <c r="Z526" s="29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25"/>
      <c r="AK526" s="13"/>
      <c r="AP526" s="116"/>
      <c r="AQ526" s="123"/>
      <c r="AR526" s="123"/>
      <c r="AS526" s="123"/>
      <c r="AX526" s="115"/>
      <c r="AY526" s="115"/>
      <c r="AZ526" s="115"/>
      <c r="BA526" s="115"/>
      <c r="BB526" s="115"/>
      <c r="BC526" s="115"/>
      <c r="BD526" s="115"/>
      <c r="BE526" s="115"/>
      <c r="BF526" s="115"/>
      <c r="BG526" s="115"/>
      <c r="BH526" s="25"/>
      <c r="BI526" s="13"/>
      <c r="BL526" s="114"/>
    </row>
    <row r="527" spans="1:64" ht="19.5" x14ac:dyDescent="0.4">
      <c r="A527" s="117"/>
      <c r="B527" s="123"/>
      <c r="C527" s="123"/>
      <c r="D527" s="123"/>
      <c r="Y527" s="127"/>
      <c r="Z527" s="29"/>
      <c r="AJ527" s="25">
        <v>45680</v>
      </c>
      <c r="AK527" s="13" t="s">
        <v>146</v>
      </c>
      <c r="AP527" s="117"/>
      <c r="AQ527" s="123"/>
      <c r="AR527" s="123"/>
      <c r="AS527" s="123"/>
      <c r="AX527" s="115"/>
      <c r="AY527" s="115"/>
      <c r="AZ527" s="115"/>
      <c r="BA527" s="115"/>
      <c r="BB527" s="115"/>
      <c r="BC527" s="115"/>
      <c r="BD527" s="115"/>
      <c r="BE527" s="115"/>
      <c r="BF527" s="115"/>
      <c r="BG527" s="115" t="s">
        <v>149</v>
      </c>
      <c r="BH527" s="13">
        <f>SUBTOTAL(3,BH2:BH2)</f>
        <v>1</v>
      </c>
      <c r="BI527" s="13">
        <f>SUBTOTAL(3,BI2:BI2)</f>
        <v>1</v>
      </c>
      <c r="BL527" s="114"/>
    </row>
    <row r="528" spans="1:64" ht="19.5" x14ac:dyDescent="0.4">
      <c r="A528" s="117"/>
      <c r="B528" s="123"/>
      <c r="C528" s="123"/>
      <c r="D528" s="123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29"/>
      <c r="Z528" s="29"/>
      <c r="AJ528" s="25"/>
      <c r="AK528" s="13"/>
      <c r="AP528" s="117"/>
      <c r="AQ528" s="123"/>
      <c r="AR528" s="123"/>
      <c r="AS528" s="123"/>
      <c r="AX528" s="115"/>
      <c r="AY528" s="115"/>
      <c r="AZ528" s="115"/>
      <c r="BA528" s="115"/>
      <c r="BB528" s="115"/>
      <c r="BC528" s="115"/>
      <c r="BD528" s="115"/>
      <c r="BE528" s="115"/>
      <c r="BF528" s="115"/>
      <c r="BG528" s="115"/>
      <c r="BH528" s="13"/>
      <c r="BI528" s="13"/>
      <c r="BL528" s="114"/>
    </row>
    <row r="529" spans="1:64" ht="19.5" x14ac:dyDescent="0.4">
      <c r="A529" s="117"/>
      <c r="B529" s="123"/>
      <c r="C529" s="123"/>
      <c r="D529" s="123"/>
      <c r="Y529" s="127"/>
      <c r="Z529" s="29"/>
      <c r="AJ529" s="25"/>
      <c r="AK529" s="13"/>
      <c r="AP529" s="117"/>
      <c r="AQ529" s="123"/>
      <c r="AR529" s="123"/>
      <c r="AS529" s="123"/>
      <c r="AX529" s="115"/>
      <c r="AY529" s="115"/>
      <c r="AZ529" s="115"/>
      <c r="BA529" s="115"/>
      <c r="BB529" s="115"/>
      <c r="BC529" s="115"/>
      <c r="BD529" s="115"/>
      <c r="BE529" s="115"/>
      <c r="BF529" s="115"/>
      <c r="BG529" s="115"/>
      <c r="BH529" s="13"/>
      <c r="BI529" s="13"/>
      <c r="BL529" s="114"/>
    </row>
    <row r="530" spans="1:64" ht="19.5" x14ac:dyDescent="0.4">
      <c r="A530" s="117"/>
      <c r="B530" s="123"/>
      <c r="C530" s="123"/>
      <c r="D530" s="123"/>
      <c r="Y530" s="127"/>
      <c r="Z530" s="29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25">
        <v>45682</v>
      </c>
      <c r="AK530" s="13" t="s">
        <v>147</v>
      </c>
      <c r="AP530" s="117"/>
      <c r="AQ530" s="123"/>
      <c r="AR530" s="123"/>
      <c r="AS530" s="123"/>
      <c r="AX530" s="115"/>
      <c r="AY530" s="115"/>
      <c r="AZ530" s="115"/>
      <c r="BA530" s="115"/>
      <c r="BB530" s="115"/>
      <c r="BC530" s="115"/>
      <c r="BD530" s="115"/>
      <c r="BE530" s="115"/>
      <c r="BF530" s="115"/>
      <c r="BG530" s="115"/>
      <c r="BH530" s="13"/>
      <c r="BI530" s="13"/>
      <c r="BL530" s="114"/>
    </row>
    <row r="531" spans="1:64" ht="19.5" x14ac:dyDescent="0.4">
      <c r="A531" s="117"/>
      <c r="B531" s="123"/>
      <c r="C531" s="123"/>
      <c r="D531" s="123"/>
      <c r="Y531" s="127"/>
      <c r="Z531" s="29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25">
        <v>45682</v>
      </c>
      <c r="AK531" s="13" t="s">
        <v>146</v>
      </c>
      <c r="AP531" s="117"/>
      <c r="AQ531" s="123"/>
      <c r="AR531" s="123"/>
      <c r="AS531" s="123"/>
      <c r="AX531" s="115"/>
      <c r="AY531" s="115"/>
      <c r="AZ531" s="115"/>
      <c r="BA531" s="115"/>
      <c r="BB531" s="115"/>
      <c r="BC531" s="115"/>
      <c r="BD531" s="115"/>
      <c r="BE531" s="115"/>
      <c r="BF531" s="115"/>
      <c r="BG531" s="115"/>
      <c r="BH531" s="13"/>
      <c r="BI531" s="13"/>
      <c r="BL531" s="114"/>
    </row>
    <row r="532" spans="1:64" ht="19.5" x14ac:dyDescent="0.4">
      <c r="A532" s="117"/>
      <c r="B532" s="123"/>
      <c r="C532" s="123"/>
      <c r="D532" s="123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27"/>
      <c r="Z532" s="29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25"/>
      <c r="AK532" s="13"/>
      <c r="AP532" s="117"/>
      <c r="AQ532" s="123"/>
      <c r="AR532" s="123"/>
      <c r="AS532" s="123"/>
      <c r="AX532" s="115"/>
      <c r="AY532" s="115"/>
      <c r="AZ532" s="115"/>
      <c r="BA532" s="115"/>
      <c r="BB532" s="115"/>
      <c r="BC532" s="115"/>
      <c r="BD532" s="115"/>
      <c r="BE532" s="115"/>
      <c r="BF532" s="115"/>
      <c r="BG532" s="115"/>
      <c r="BH532" s="13"/>
      <c r="BI532" s="13"/>
      <c r="BL532" s="114"/>
    </row>
    <row r="533" spans="1:64" ht="19.5" x14ac:dyDescent="0.4">
      <c r="A533" s="117"/>
      <c r="B533" s="123"/>
      <c r="C533" s="123"/>
      <c r="D533" s="123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27"/>
      <c r="Z533" s="29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25"/>
      <c r="AK533" s="13"/>
      <c r="AP533" s="117"/>
      <c r="AQ533" s="123"/>
      <c r="AR533" s="123"/>
      <c r="AS533" s="123"/>
      <c r="AX533" s="115"/>
      <c r="AY533" s="115"/>
      <c r="AZ533" s="115"/>
      <c r="BA533" s="115"/>
      <c r="BB533" s="115"/>
      <c r="BC533" s="115"/>
      <c r="BD533" s="115"/>
      <c r="BE533" s="115"/>
      <c r="BF533" s="115"/>
      <c r="BG533" s="115"/>
      <c r="BH533" s="13"/>
      <c r="BI533" s="13"/>
      <c r="BL533" s="114"/>
    </row>
    <row r="534" spans="1:64" ht="19.5" x14ac:dyDescent="0.4">
      <c r="A534" s="117"/>
      <c r="B534" s="123"/>
      <c r="C534" s="123"/>
      <c r="D534" s="123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29"/>
      <c r="Z534" s="29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25"/>
      <c r="AK534" s="13"/>
      <c r="AP534" s="117"/>
      <c r="AQ534" s="123"/>
      <c r="AR534" s="123"/>
      <c r="AS534" s="123"/>
      <c r="AX534" s="115"/>
      <c r="AY534" s="115"/>
      <c r="AZ534" s="115"/>
      <c r="BA534" s="115"/>
      <c r="BB534" s="115"/>
      <c r="BC534" s="115"/>
      <c r="BD534" s="115"/>
      <c r="BE534" s="115"/>
      <c r="BF534" s="115"/>
      <c r="BG534" s="115"/>
      <c r="BH534" s="13"/>
      <c r="BI534" s="13"/>
      <c r="BL534" s="114"/>
    </row>
    <row r="535" spans="1:64" ht="19.5" x14ac:dyDescent="0.4">
      <c r="A535" s="117"/>
      <c r="B535" s="123"/>
      <c r="C535" s="123"/>
      <c r="D535" s="123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27"/>
      <c r="Z535" s="29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25"/>
      <c r="AK535" s="13"/>
      <c r="AP535" s="117"/>
      <c r="AQ535" s="123"/>
      <c r="AR535" s="123"/>
      <c r="AS535" s="123"/>
      <c r="AX535" s="115"/>
      <c r="AY535" s="115"/>
      <c r="AZ535" s="115"/>
      <c r="BA535" s="115"/>
      <c r="BB535" s="115"/>
      <c r="BC535" s="115"/>
      <c r="BD535" s="115"/>
      <c r="BE535" s="115"/>
      <c r="BF535" s="115"/>
      <c r="BG535" s="115"/>
      <c r="BH535" s="13"/>
      <c r="BI535" s="13"/>
      <c r="BL535" s="114"/>
    </row>
    <row r="536" spans="1:64" ht="19.5" x14ac:dyDescent="0.4">
      <c r="A536" s="117"/>
      <c r="B536" s="123"/>
      <c r="C536" s="123"/>
      <c r="D536" s="123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29"/>
      <c r="Z536" s="29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25"/>
      <c r="AK536" s="13"/>
      <c r="AP536" s="117"/>
      <c r="AQ536" s="123"/>
      <c r="AR536" s="123"/>
      <c r="AS536" s="123"/>
      <c r="AX536" s="115"/>
      <c r="AY536" s="115"/>
      <c r="AZ536" s="115"/>
      <c r="BA536" s="115"/>
      <c r="BB536" s="115"/>
      <c r="BC536" s="115"/>
      <c r="BD536" s="115"/>
      <c r="BE536" s="115"/>
      <c r="BF536" s="115"/>
      <c r="BG536" s="115"/>
      <c r="BH536" s="13"/>
      <c r="BI536" s="13"/>
      <c r="BL536" s="114"/>
    </row>
    <row r="537" spans="1:64" ht="19.5" x14ac:dyDescent="0.4">
      <c r="A537" s="117"/>
      <c r="B537" s="123"/>
      <c r="C537" s="123"/>
      <c r="D537" s="123"/>
      <c r="Y537" s="127"/>
      <c r="Z537" s="29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25">
        <v>45682</v>
      </c>
      <c r="AK537" s="13" t="s">
        <v>147</v>
      </c>
      <c r="AP537" s="117"/>
      <c r="AQ537" s="123"/>
      <c r="AR537" s="123"/>
      <c r="AS537" s="123"/>
      <c r="AX537" s="115"/>
      <c r="AY537" s="115"/>
      <c r="AZ537" s="115"/>
      <c r="BA537" s="115"/>
      <c r="BB537" s="115"/>
      <c r="BC537" s="115"/>
      <c r="BD537" s="115"/>
      <c r="BE537" s="115"/>
      <c r="BF537" s="115"/>
      <c r="BG537" s="115"/>
      <c r="BH537" s="13"/>
      <c r="BI537" s="13"/>
      <c r="BL537" s="114"/>
    </row>
    <row r="538" spans="1:64" ht="19.5" x14ac:dyDescent="0.4">
      <c r="A538" s="117"/>
      <c r="B538" s="123"/>
      <c r="C538" s="123"/>
      <c r="D538" s="123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29"/>
      <c r="Z538" s="29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25"/>
      <c r="AK538" s="13"/>
      <c r="AP538" s="117"/>
      <c r="AQ538" s="123"/>
      <c r="AR538" s="123"/>
      <c r="AS538" s="123"/>
      <c r="AX538" s="115"/>
      <c r="AY538" s="115"/>
      <c r="AZ538" s="115"/>
      <c r="BA538" s="115"/>
      <c r="BB538" s="115"/>
      <c r="BC538" s="115"/>
      <c r="BD538" s="115"/>
      <c r="BE538" s="115"/>
      <c r="BF538" s="115"/>
      <c r="BG538" s="115"/>
      <c r="BH538" s="13"/>
      <c r="BI538" s="13"/>
      <c r="BL538" s="114"/>
    </row>
    <row r="539" spans="1:64" ht="19.5" x14ac:dyDescent="0.4">
      <c r="A539" s="117"/>
      <c r="B539" s="123"/>
      <c r="C539" s="123"/>
      <c r="D539" s="123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29"/>
      <c r="Z539" s="29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25"/>
      <c r="AK539" s="13"/>
      <c r="AP539" s="117"/>
      <c r="AQ539" s="123"/>
      <c r="AR539" s="123"/>
      <c r="AS539" s="123"/>
      <c r="AX539" s="115"/>
      <c r="AY539" s="115"/>
      <c r="AZ539" s="115"/>
      <c r="BA539" s="115"/>
      <c r="BB539" s="115"/>
      <c r="BC539" s="115"/>
      <c r="BD539" s="115"/>
      <c r="BE539" s="115"/>
      <c r="BF539" s="115"/>
      <c r="BG539" s="115"/>
      <c r="BH539" s="13"/>
      <c r="BI539" s="13"/>
      <c r="BL539" s="114"/>
    </row>
    <row r="540" spans="1:64" ht="19.5" x14ac:dyDescent="0.4">
      <c r="A540" s="117"/>
      <c r="B540" s="123"/>
      <c r="C540" s="123"/>
      <c r="D540" s="123"/>
      <c r="Y540" s="128"/>
      <c r="Z540" s="29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25"/>
      <c r="AK540" s="13"/>
      <c r="AP540" s="117"/>
      <c r="AQ540" s="123"/>
      <c r="AR540" s="123"/>
      <c r="AS540" s="123"/>
      <c r="AX540" s="115"/>
      <c r="AY540" s="115"/>
      <c r="AZ540" s="115"/>
      <c r="BA540" s="115"/>
      <c r="BB540" s="115"/>
      <c r="BC540" s="115"/>
      <c r="BD540" s="115"/>
      <c r="BE540" s="115"/>
      <c r="BF540" s="115"/>
      <c r="BG540" s="115"/>
      <c r="BH540" s="13"/>
      <c r="BI540" s="13"/>
      <c r="BL540" s="114"/>
    </row>
    <row r="541" spans="1:64" ht="19.5" x14ac:dyDescent="0.4">
      <c r="A541" s="117"/>
      <c r="B541" s="123"/>
      <c r="C541" s="123"/>
      <c r="D541" s="123"/>
      <c r="Y541" s="127"/>
      <c r="Z541" s="29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25"/>
      <c r="AK541" s="13"/>
      <c r="AP541" s="117"/>
      <c r="AQ541" s="123"/>
      <c r="AR541" s="123"/>
      <c r="AS541" s="123"/>
      <c r="AX541" s="115"/>
      <c r="AY541" s="115"/>
      <c r="AZ541" s="115"/>
      <c r="BA541" s="115"/>
      <c r="BB541" s="115"/>
      <c r="BC541" s="115"/>
      <c r="BD541" s="115"/>
      <c r="BE541" s="115"/>
      <c r="BF541" s="115"/>
      <c r="BG541" s="115"/>
      <c r="BH541" s="13"/>
      <c r="BI541" s="13"/>
      <c r="BL541" s="114"/>
    </row>
    <row r="542" spans="1:64" ht="19.5" x14ac:dyDescent="0.4">
      <c r="A542" s="117"/>
      <c r="B542" s="123"/>
      <c r="C542" s="123"/>
      <c r="D542" s="123"/>
      <c r="Y542" s="127"/>
      <c r="Z542" s="29"/>
      <c r="AJ542" s="25">
        <v>45682</v>
      </c>
      <c r="AK542" s="15" t="s">
        <v>146</v>
      </c>
      <c r="AP542" s="117"/>
      <c r="AQ542" s="123"/>
      <c r="AR542" s="123"/>
      <c r="AS542" s="123"/>
      <c r="AX542" s="115"/>
      <c r="AY542" s="115"/>
      <c r="AZ542" s="115"/>
      <c r="BA542" s="115"/>
      <c r="BB542" s="115"/>
      <c r="BC542" s="115"/>
      <c r="BD542" s="115"/>
      <c r="BE542" s="115"/>
      <c r="BF542" s="115"/>
      <c r="BG542" s="115"/>
      <c r="BH542" s="13"/>
      <c r="BI542" s="13"/>
      <c r="BL542" s="114"/>
    </row>
    <row r="543" spans="1:64" ht="19.5" x14ac:dyDescent="0.4">
      <c r="A543" s="117"/>
      <c r="B543" s="123"/>
      <c r="C543" s="123"/>
      <c r="D543" s="123"/>
      <c r="Y543" s="128"/>
      <c r="Z543" s="29"/>
      <c r="AJ543" s="25"/>
      <c r="AK543" s="15"/>
      <c r="AP543" s="117"/>
      <c r="AQ543" s="123"/>
      <c r="AR543" s="123"/>
      <c r="AS543" s="123"/>
      <c r="AX543" s="115"/>
      <c r="AY543" s="115"/>
      <c r="AZ543" s="115"/>
      <c r="BA543" s="115"/>
      <c r="BB543" s="115"/>
      <c r="BC543" s="115"/>
      <c r="BD543" s="115"/>
      <c r="BE543" s="115"/>
      <c r="BF543" s="115"/>
      <c r="BG543" s="115"/>
      <c r="BH543" s="13"/>
      <c r="BI543" s="13"/>
      <c r="BL543" s="114"/>
    </row>
    <row r="544" spans="1:64" ht="19.5" x14ac:dyDescent="0.4">
      <c r="A544" s="117"/>
      <c r="B544" s="123"/>
      <c r="C544" s="123"/>
      <c r="D544" s="123"/>
      <c r="Y544" s="127"/>
      <c r="Z544" s="29"/>
      <c r="AJ544" s="25"/>
      <c r="AK544" s="15"/>
      <c r="AP544" s="117"/>
      <c r="AQ544" s="123"/>
      <c r="AR544" s="123"/>
      <c r="AS544" s="123"/>
      <c r="AX544" s="115"/>
      <c r="AY544" s="115"/>
      <c r="AZ544" s="115"/>
      <c r="BA544" s="115"/>
      <c r="BB544" s="115"/>
      <c r="BC544" s="115"/>
      <c r="BD544" s="115"/>
      <c r="BE544" s="115"/>
      <c r="BF544" s="115"/>
      <c r="BG544" s="115"/>
      <c r="BH544" s="13"/>
      <c r="BI544" s="13"/>
      <c r="BL544" s="114"/>
    </row>
    <row r="545" spans="1:64" ht="19.5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27"/>
      <c r="Z545" s="29"/>
      <c r="AJ545" s="25"/>
      <c r="AK545" s="15"/>
      <c r="AP545" s="117"/>
      <c r="AQ545" s="123"/>
      <c r="AR545" s="123"/>
      <c r="AS545" s="123"/>
      <c r="AX545" s="115"/>
      <c r="AY545" s="115"/>
      <c r="AZ545" s="115"/>
      <c r="BA545" s="115"/>
      <c r="BB545" s="115"/>
      <c r="BC545" s="115"/>
      <c r="BD545" s="115"/>
      <c r="BE545" s="115"/>
      <c r="BF545" s="115"/>
      <c r="BG545" s="115"/>
      <c r="BH545" s="13"/>
      <c r="BI545" s="13"/>
      <c r="BL545" s="114"/>
    </row>
    <row r="546" spans="1:64" ht="19.5" x14ac:dyDescent="0.4">
      <c r="A546" s="117"/>
      <c r="B546" s="123"/>
      <c r="C546" s="123"/>
      <c r="D546" s="123"/>
      <c r="Y546" s="127"/>
      <c r="Z546" s="29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25">
        <v>45682</v>
      </c>
      <c r="AK546" s="15" t="s">
        <v>146</v>
      </c>
      <c r="AP546" s="117"/>
      <c r="AQ546" s="123"/>
      <c r="AR546" s="123"/>
      <c r="AS546" s="123"/>
      <c r="AX546" s="115"/>
      <c r="AY546" s="115"/>
      <c r="AZ546" s="115"/>
      <c r="BA546" s="115"/>
      <c r="BB546" s="115"/>
      <c r="BC546" s="115"/>
      <c r="BD546" s="115"/>
      <c r="BE546" s="115"/>
      <c r="BF546" s="115"/>
      <c r="BG546" s="115"/>
      <c r="BH546" s="13"/>
      <c r="BI546" s="13"/>
      <c r="BL546" s="114"/>
    </row>
    <row r="547" spans="1:64" ht="19.5" x14ac:dyDescent="0.4">
      <c r="A547" s="117"/>
      <c r="B547" s="123"/>
      <c r="C547" s="123"/>
      <c r="D547" s="123"/>
      <c r="Y547" s="128"/>
      <c r="Z547" s="29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25"/>
      <c r="AK547" s="15"/>
      <c r="AP547" s="117"/>
      <c r="AQ547" s="123"/>
      <c r="AR547" s="123"/>
      <c r="AS547" s="123"/>
      <c r="AX547" s="115"/>
      <c r="AY547" s="115"/>
      <c r="AZ547" s="115"/>
      <c r="BA547" s="115"/>
      <c r="BB547" s="115"/>
      <c r="BC547" s="115"/>
      <c r="BD547" s="115"/>
      <c r="BE547" s="115"/>
      <c r="BF547" s="115"/>
      <c r="BG547" s="115"/>
      <c r="BH547" s="13"/>
      <c r="BI547" s="13"/>
      <c r="BL547" s="114"/>
    </row>
    <row r="548" spans="1:64" ht="19.5" x14ac:dyDescent="0.4">
      <c r="A548" s="117"/>
      <c r="B548" s="123"/>
      <c r="C548" s="123"/>
      <c r="D548" s="123"/>
      <c r="Y548" s="127"/>
      <c r="Z548" s="29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25">
        <v>45682</v>
      </c>
      <c r="AK548" s="15" t="s">
        <v>148</v>
      </c>
      <c r="AP548" s="117"/>
      <c r="AQ548" s="123"/>
      <c r="AR548" s="123"/>
      <c r="AS548" s="123"/>
      <c r="AX548" s="115"/>
      <c r="AY548" s="115"/>
      <c r="AZ548" s="115"/>
      <c r="BA548" s="115"/>
      <c r="BB548" s="115"/>
      <c r="BC548" s="115"/>
      <c r="BD548" s="115"/>
      <c r="BE548" s="115"/>
      <c r="BF548" s="115"/>
      <c r="BG548" s="115"/>
      <c r="BH548" s="13"/>
      <c r="BI548" s="13"/>
      <c r="BL548" s="114"/>
    </row>
    <row r="549" spans="1:64" ht="19.5" x14ac:dyDescent="0.4">
      <c r="A549" s="117"/>
      <c r="B549" s="123"/>
      <c r="C549" s="123"/>
      <c r="D549" s="123"/>
      <c r="Y549" s="127"/>
      <c r="Z549" s="29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25">
        <v>45682</v>
      </c>
      <c r="AK549" s="15" t="s">
        <v>146</v>
      </c>
      <c r="AP549" s="117"/>
      <c r="AQ549" s="123"/>
      <c r="AR549" s="123"/>
      <c r="AS549" s="123"/>
      <c r="AX549" s="115"/>
      <c r="AY549" s="115"/>
      <c r="AZ549" s="115"/>
      <c r="BA549" s="115"/>
      <c r="BB549" s="115"/>
      <c r="BC549" s="115"/>
      <c r="BD549" s="115"/>
      <c r="BE549" s="115"/>
      <c r="BF549" s="115"/>
      <c r="BG549" s="115"/>
      <c r="BH549" s="13"/>
      <c r="BI549" s="13"/>
      <c r="BL549" s="114"/>
    </row>
    <row r="550" spans="1:64" ht="19.5" x14ac:dyDescent="0.4">
      <c r="A550" s="117"/>
      <c r="B550" s="123"/>
      <c r="C550" s="123"/>
      <c r="D550" s="123"/>
      <c r="Y550" s="127"/>
      <c r="Z550" s="29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25">
        <v>45682</v>
      </c>
      <c r="AK550" s="15" t="s">
        <v>148</v>
      </c>
      <c r="AP550" s="117"/>
      <c r="AQ550" s="123"/>
      <c r="AR550" s="123"/>
      <c r="AS550" s="123"/>
      <c r="AX550" s="115"/>
      <c r="AY550" s="115"/>
      <c r="AZ550" s="115"/>
      <c r="BA550" s="115"/>
      <c r="BB550" s="115"/>
      <c r="BC550" s="115"/>
      <c r="BD550" s="115"/>
      <c r="BE550" s="115"/>
      <c r="BF550" s="115"/>
      <c r="BG550" s="115"/>
      <c r="BH550" s="13"/>
      <c r="BI550" s="13"/>
      <c r="BL550" s="114"/>
    </row>
    <row r="551" spans="1:64" ht="19.5" x14ac:dyDescent="0.4">
      <c r="A551" s="117"/>
      <c r="B551" s="123"/>
      <c r="C551" s="123"/>
      <c r="D551" s="123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27"/>
      <c r="Z551" s="29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25"/>
      <c r="AK551" s="15"/>
      <c r="AP551" s="117"/>
      <c r="AQ551" s="123"/>
      <c r="AR551" s="123"/>
      <c r="AS551" s="123"/>
      <c r="AX551" s="115"/>
      <c r="AY551" s="115"/>
      <c r="AZ551" s="115"/>
      <c r="BA551" s="115"/>
      <c r="BB551" s="115"/>
      <c r="BC551" s="115"/>
      <c r="BD551" s="115"/>
      <c r="BE551" s="115"/>
      <c r="BF551" s="115"/>
      <c r="BG551" s="115"/>
      <c r="BH551" s="13"/>
      <c r="BI551" s="13"/>
      <c r="BL551" s="114"/>
    </row>
    <row r="552" spans="1:64" ht="19.5" x14ac:dyDescent="0.4">
      <c r="A552" s="117"/>
      <c r="B552" s="123"/>
      <c r="C552" s="123"/>
      <c r="D552" s="123"/>
      <c r="Y552" s="127"/>
      <c r="Z552" s="29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25">
        <v>45682</v>
      </c>
      <c r="AK552" s="15" t="s">
        <v>148</v>
      </c>
      <c r="AP552" s="117"/>
      <c r="AQ552" s="123"/>
      <c r="AR552" s="123"/>
      <c r="AS552" s="123"/>
      <c r="AX552" s="115"/>
      <c r="AY552" s="115"/>
      <c r="AZ552" s="115"/>
      <c r="BA552" s="115"/>
      <c r="BB552" s="115"/>
      <c r="BC552" s="115"/>
      <c r="BD552" s="115"/>
      <c r="BE552" s="115"/>
      <c r="BF552" s="115"/>
      <c r="BG552" s="115"/>
      <c r="BH552" s="13"/>
      <c r="BI552" s="13"/>
      <c r="BL552" s="114"/>
    </row>
    <row r="553" spans="1:64" ht="19.5" x14ac:dyDescent="0.4">
      <c r="A553" s="117"/>
      <c r="B553" s="123"/>
      <c r="C553" s="123"/>
      <c r="D553" s="123"/>
      <c r="Y553" s="127"/>
      <c r="Z553" s="29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25">
        <v>45682</v>
      </c>
      <c r="AK553" s="105" t="s">
        <v>148</v>
      </c>
      <c r="AP553" s="117"/>
      <c r="AQ553" s="123"/>
      <c r="AR553" s="123"/>
      <c r="AS553" s="123"/>
      <c r="AX553" s="115"/>
      <c r="AY553" s="115"/>
      <c r="AZ553" s="115"/>
      <c r="BA553" s="115"/>
      <c r="BB553" s="115"/>
      <c r="BC553" s="115"/>
      <c r="BD553" s="115"/>
      <c r="BE553" s="115"/>
      <c r="BF553" s="115"/>
      <c r="BG553" s="115"/>
      <c r="BH553" s="13"/>
      <c r="BI553" s="13"/>
      <c r="BL553" s="114"/>
    </row>
    <row r="554" spans="1:64" ht="19.5" x14ac:dyDescent="0.4">
      <c r="A554" s="117"/>
      <c r="B554" s="123"/>
      <c r="C554" s="123"/>
      <c r="D554" s="123"/>
      <c r="Y554" s="127"/>
      <c r="Z554" s="29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25">
        <v>45682</v>
      </c>
      <c r="AK554" s="105" t="s">
        <v>146</v>
      </c>
      <c r="AP554" s="117"/>
      <c r="AQ554" s="123"/>
      <c r="AR554" s="123"/>
      <c r="AS554" s="123"/>
      <c r="AX554" s="115"/>
      <c r="AY554" s="115"/>
      <c r="AZ554" s="115"/>
      <c r="BA554" s="115"/>
      <c r="BB554" s="115"/>
      <c r="BC554" s="115"/>
      <c r="BD554" s="115"/>
      <c r="BE554" s="115"/>
      <c r="BF554" s="115"/>
      <c r="BG554" s="115"/>
      <c r="BH554" s="13"/>
      <c r="BI554" s="13"/>
      <c r="BL554" s="114"/>
    </row>
    <row r="555" spans="1:64" ht="19.5" x14ac:dyDescent="0.4">
      <c r="A555" s="117"/>
      <c r="B555" s="123"/>
      <c r="C555" s="123"/>
      <c r="D555" s="123"/>
      <c r="Y555" s="128"/>
      <c r="Z555" s="29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25"/>
      <c r="AK555" s="105"/>
      <c r="AP555" s="117"/>
      <c r="AQ555" s="123"/>
      <c r="AR555" s="123"/>
      <c r="AS555" s="123"/>
      <c r="AX555" s="115"/>
      <c r="AY555" s="115"/>
      <c r="AZ555" s="115"/>
      <c r="BA555" s="115"/>
      <c r="BB555" s="115"/>
      <c r="BC555" s="115"/>
      <c r="BD555" s="115"/>
      <c r="BE555" s="115"/>
      <c r="BF555" s="115"/>
      <c r="BG555" s="115"/>
      <c r="BH555" s="13"/>
      <c r="BI555" s="13"/>
      <c r="BL555" s="114"/>
    </row>
    <row r="556" spans="1:64" ht="19.5" x14ac:dyDescent="0.4">
      <c r="A556" s="117"/>
      <c r="B556" s="123"/>
      <c r="C556" s="123"/>
      <c r="D556" s="123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27"/>
      <c r="Z556" s="29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25">
        <v>45682</v>
      </c>
      <c r="AK556" s="15" t="s">
        <v>146</v>
      </c>
      <c r="AP556" s="117"/>
      <c r="AQ556" s="123"/>
      <c r="AR556" s="123"/>
      <c r="AS556" s="123"/>
      <c r="AX556" s="115"/>
      <c r="AY556" s="115"/>
      <c r="AZ556" s="115"/>
      <c r="BA556" s="115"/>
      <c r="BB556" s="115"/>
      <c r="BC556" s="115"/>
      <c r="BD556" s="115"/>
      <c r="BE556" s="115"/>
      <c r="BF556" s="115"/>
      <c r="BG556" s="115"/>
      <c r="BH556" s="13"/>
      <c r="BI556" s="13"/>
      <c r="BL556" s="114"/>
    </row>
    <row r="557" spans="1:64" ht="19.5" x14ac:dyDescent="0.4">
      <c r="A557" s="117"/>
      <c r="B557" s="123"/>
      <c r="C557" s="123"/>
      <c r="D557" s="123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27"/>
      <c r="Z557" s="29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25">
        <v>45683</v>
      </c>
      <c r="AK557" s="13" t="s">
        <v>147</v>
      </c>
      <c r="AP557" s="117"/>
      <c r="AQ557" s="123"/>
      <c r="AR557" s="123"/>
      <c r="AS557" s="123"/>
      <c r="AX557" s="115"/>
      <c r="AY557" s="115"/>
      <c r="AZ557" s="115"/>
      <c r="BA557" s="115"/>
      <c r="BB557" s="115"/>
      <c r="BC557" s="115"/>
      <c r="BD557" s="115"/>
      <c r="BE557" s="115"/>
      <c r="BF557" s="115"/>
      <c r="BG557" s="115"/>
      <c r="BH557" s="13"/>
      <c r="BI557" s="13"/>
      <c r="BL557" s="114"/>
    </row>
    <row r="558" spans="1:64" ht="19.5" x14ac:dyDescent="0.4">
      <c r="A558" s="117"/>
      <c r="B558" s="123"/>
      <c r="C558" s="123"/>
      <c r="D558" s="123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27"/>
      <c r="Z558" s="29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25">
        <v>45683</v>
      </c>
      <c r="AK558" s="13" t="s">
        <v>147</v>
      </c>
      <c r="AP558" s="117"/>
      <c r="AQ558" s="123"/>
      <c r="AR558" s="123"/>
      <c r="AS558" s="123"/>
      <c r="AX558" s="115"/>
      <c r="AY558" s="115"/>
      <c r="AZ558" s="115"/>
      <c r="BA558" s="115"/>
      <c r="BB558" s="115"/>
      <c r="BC558" s="115"/>
      <c r="BD558" s="115"/>
      <c r="BE558" s="115"/>
      <c r="BF558" s="115"/>
      <c r="BG558" s="115"/>
      <c r="BH558" s="13"/>
      <c r="BI558" s="13"/>
      <c r="BL558" s="114"/>
    </row>
    <row r="559" spans="1:64" ht="19.5" x14ac:dyDescent="0.4">
      <c r="A559" s="117"/>
      <c r="B559" s="123"/>
      <c r="C559" s="123"/>
      <c r="D559" s="123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27"/>
      <c r="Z559" s="29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25"/>
      <c r="AK559" s="13"/>
      <c r="AP559" s="117"/>
      <c r="AQ559" s="123"/>
      <c r="AR559" s="123"/>
      <c r="AS559" s="123"/>
      <c r="AX559" s="115"/>
      <c r="AY559" s="115"/>
      <c r="AZ559" s="115"/>
      <c r="BA559" s="115"/>
      <c r="BB559" s="115"/>
      <c r="BC559" s="115"/>
      <c r="BD559" s="115"/>
      <c r="BE559" s="115"/>
      <c r="BF559" s="115"/>
      <c r="BG559" s="115"/>
      <c r="BH559" s="13"/>
      <c r="BI559" s="13"/>
      <c r="BL559" s="114"/>
    </row>
    <row r="560" spans="1:64" ht="19.5" x14ac:dyDescent="0.4">
      <c r="A560" s="117"/>
      <c r="B560" s="123"/>
      <c r="C560" s="123"/>
      <c r="D560" s="123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27"/>
      <c r="Z560" s="29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25">
        <v>45684</v>
      </c>
      <c r="AK560" s="13" t="s">
        <v>146</v>
      </c>
      <c r="AP560" s="117"/>
      <c r="AQ560" s="123"/>
      <c r="AR560" s="123"/>
      <c r="AS560" s="123"/>
      <c r="AX560" s="115"/>
      <c r="AY560" s="115"/>
      <c r="AZ560" s="115"/>
      <c r="BA560" s="115"/>
      <c r="BB560" s="115"/>
      <c r="BC560" s="115"/>
      <c r="BD560" s="115"/>
      <c r="BE560" s="115"/>
      <c r="BF560" s="115"/>
      <c r="BG560" s="115"/>
      <c r="BH560" s="13"/>
      <c r="BI560" s="13"/>
      <c r="BL560" s="114"/>
    </row>
    <row r="561" spans="1:64" ht="19.5" x14ac:dyDescent="0.4">
      <c r="A561" s="117"/>
      <c r="B561" s="123"/>
      <c r="C561" s="123"/>
      <c r="D561" s="123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27"/>
      <c r="Z561" s="29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25"/>
      <c r="AK561" s="13"/>
      <c r="AP561" s="117"/>
      <c r="AQ561" s="123"/>
      <c r="AR561" s="123"/>
      <c r="AS561" s="123"/>
      <c r="AX561" s="115"/>
      <c r="AY561" s="115"/>
      <c r="AZ561" s="115"/>
      <c r="BA561" s="115"/>
      <c r="BB561" s="115"/>
      <c r="BC561" s="115"/>
      <c r="BD561" s="115"/>
      <c r="BE561" s="115"/>
      <c r="BF561" s="115"/>
      <c r="BG561" s="115"/>
      <c r="BH561" s="13"/>
      <c r="BI561" s="13"/>
      <c r="BL561" s="114"/>
    </row>
    <row r="562" spans="1:64" ht="19.5" x14ac:dyDescent="0.4">
      <c r="A562" s="117"/>
      <c r="B562" s="123"/>
      <c r="C562" s="123"/>
      <c r="D562" s="123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28"/>
      <c r="Z562" s="29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25"/>
      <c r="AK562" s="13"/>
      <c r="AP562" s="117"/>
      <c r="AQ562" s="123"/>
      <c r="AR562" s="123"/>
      <c r="AS562" s="123"/>
      <c r="AX562" s="115"/>
      <c r="AY562" s="115"/>
      <c r="AZ562" s="115"/>
      <c r="BA562" s="115"/>
      <c r="BB562" s="115"/>
      <c r="BC562" s="115"/>
      <c r="BD562" s="115"/>
      <c r="BE562" s="115"/>
      <c r="BF562" s="115"/>
      <c r="BG562" s="115"/>
      <c r="BH562" s="13"/>
      <c r="BI562" s="13"/>
      <c r="BL562" s="114"/>
    </row>
    <row r="563" spans="1:64" ht="19.5" x14ac:dyDescent="0.4">
      <c r="A563" s="117"/>
      <c r="B563" s="123"/>
      <c r="C563" s="123"/>
      <c r="D563" s="123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27"/>
      <c r="Z563" s="29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25">
        <v>45684</v>
      </c>
      <c r="AK563" s="13" t="s">
        <v>148</v>
      </c>
      <c r="AP563" s="117"/>
      <c r="AQ563" s="123"/>
      <c r="AR563" s="123"/>
      <c r="AS563" s="123"/>
      <c r="AX563" s="115"/>
      <c r="AY563" s="115"/>
      <c r="AZ563" s="115"/>
      <c r="BA563" s="115"/>
      <c r="BB563" s="115"/>
      <c r="BC563" s="115"/>
      <c r="BD563" s="115"/>
      <c r="BE563" s="115"/>
      <c r="BF563" s="115"/>
      <c r="BG563" s="115"/>
      <c r="BH563" s="13"/>
      <c r="BI563" s="13"/>
      <c r="BL563" s="114"/>
    </row>
    <row r="564" spans="1:64" ht="19.5" x14ac:dyDescent="0.4">
      <c r="A564" s="117"/>
      <c r="B564" s="123"/>
      <c r="C564" s="123"/>
      <c r="D564" s="123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27"/>
      <c r="Z564" s="29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25"/>
      <c r="AK564" s="13"/>
      <c r="AP564" s="117"/>
      <c r="AQ564" s="123"/>
      <c r="AR564" s="123"/>
      <c r="AS564" s="123"/>
      <c r="AX564" s="115"/>
      <c r="AY564" s="115"/>
      <c r="AZ564" s="115"/>
      <c r="BA564" s="115"/>
      <c r="BB564" s="115"/>
      <c r="BC564" s="115"/>
      <c r="BD564" s="115"/>
      <c r="BE564" s="115"/>
      <c r="BF564" s="115"/>
      <c r="BG564" s="115"/>
      <c r="BH564" s="13"/>
      <c r="BI564" s="13"/>
      <c r="BL564" s="114"/>
    </row>
    <row r="565" spans="1:64" ht="19.5" x14ac:dyDescent="0.4">
      <c r="A565" s="117"/>
      <c r="B565" s="123"/>
      <c r="C565" s="123"/>
      <c r="D565" s="123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27"/>
      <c r="Z565" s="29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25"/>
      <c r="AK565" s="13"/>
      <c r="AP565" s="117"/>
      <c r="AQ565" s="123"/>
      <c r="AR565" s="123"/>
      <c r="AS565" s="123"/>
      <c r="AX565" s="115"/>
      <c r="AY565" s="115"/>
      <c r="AZ565" s="115"/>
      <c r="BA565" s="115"/>
      <c r="BB565" s="115"/>
      <c r="BC565" s="115"/>
      <c r="BD565" s="115"/>
      <c r="BE565" s="115"/>
      <c r="BF565" s="115"/>
      <c r="BG565" s="115"/>
      <c r="BH565" s="13"/>
      <c r="BI565" s="13"/>
      <c r="BL565" s="114"/>
    </row>
    <row r="566" spans="1:64" ht="19.5" x14ac:dyDescent="0.4">
      <c r="A566" s="117"/>
      <c r="B566" s="123"/>
      <c r="C566" s="123"/>
      <c r="D566" s="123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28"/>
      <c r="Z566" s="29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25"/>
      <c r="AK566" s="13"/>
      <c r="AP566" s="117"/>
      <c r="AQ566" s="123"/>
      <c r="AR566" s="123"/>
      <c r="AS566" s="123"/>
      <c r="AX566" s="115"/>
      <c r="AY566" s="115"/>
      <c r="AZ566" s="115"/>
      <c r="BA566" s="115"/>
      <c r="BB566" s="115"/>
      <c r="BC566" s="115"/>
      <c r="BD566" s="115"/>
      <c r="BE566" s="115"/>
      <c r="BF566" s="115"/>
      <c r="BG566" s="115"/>
      <c r="BH566" s="13"/>
      <c r="BI566" s="13"/>
      <c r="BL566" s="114"/>
    </row>
    <row r="567" spans="1:64" ht="19.5" x14ac:dyDescent="0.4">
      <c r="A567" s="117"/>
      <c r="B567" s="123"/>
      <c r="C567" s="123"/>
      <c r="D567" s="123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27"/>
      <c r="Z567" s="127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25"/>
      <c r="AK567" s="13"/>
      <c r="AP567" s="117"/>
      <c r="AQ567" s="123"/>
      <c r="AR567" s="123"/>
      <c r="AS567" s="123"/>
      <c r="AX567" s="115"/>
      <c r="AY567" s="115"/>
      <c r="AZ567" s="115"/>
      <c r="BA567" s="115"/>
      <c r="BB567" s="115"/>
      <c r="BC567" s="115"/>
      <c r="BD567" s="115"/>
      <c r="BE567" s="115"/>
      <c r="BF567" s="115"/>
      <c r="BG567" s="115"/>
      <c r="BH567" s="13"/>
      <c r="BI567" s="13"/>
      <c r="BL567" s="114"/>
    </row>
    <row r="568" spans="1:64" ht="19.5" x14ac:dyDescent="0.4">
      <c r="A568" s="117"/>
      <c r="B568" s="123"/>
      <c r="C568" s="123"/>
      <c r="D568" s="123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27"/>
      <c r="Z568" s="29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25"/>
      <c r="AK568" s="13"/>
      <c r="AP568" s="117"/>
      <c r="AQ568" s="123"/>
      <c r="AR568" s="123"/>
      <c r="AS568" s="123"/>
      <c r="AX568" s="115"/>
      <c r="AY568" s="115"/>
      <c r="AZ568" s="115"/>
      <c r="BA568" s="115"/>
      <c r="BB568" s="115"/>
      <c r="BC568" s="115"/>
      <c r="BD568" s="115"/>
      <c r="BE568" s="115"/>
      <c r="BF568" s="115"/>
      <c r="BG568" s="115"/>
      <c r="BH568" s="13"/>
      <c r="BI568" s="13"/>
      <c r="BL568" s="114"/>
    </row>
    <row r="569" spans="1:64" ht="19.5" x14ac:dyDescent="0.4">
      <c r="A569" s="117"/>
      <c r="B569" s="123"/>
      <c r="C569" s="123"/>
      <c r="D569" s="123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27"/>
      <c r="Z569" s="29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25"/>
      <c r="AK569" s="13"/>
      <c r="AP569" s="117"/>
      <c r="AQ569" s="123"/>
      <c r="AR569" s="123"/>
      <c r="AS569" s="123"/>
      <c r="AX569" s="115"/>
      <c r="AY569" s="115"/>
      <c r="AZ569" s="115"/>
      <c r="BA569" s="115"/>
      <c r="BB569" s="115"/>
      <c r="BC569" s="115"/>
      <c r="BD569" s="115"/>
      <c r="BE569" s="115"/>
      <c r="BF569" s="115"/>
      <c r="BG569" s="115"/>
      <c r="BH569" s="13"/>
      <c r="BI569" s="13"/>
      <c r="BL569" s="114"/>
    </row>
    <row r="570" spans="1:64" ht="19.5" x14ac:dyDescent="0.4">
      <c r="A570" s="117"/>
      <c r="B570" s="123"/>
      <c r="C570" s="123"/>
      <c r="D570" s="123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28"/>
      <c r="Z570" s="29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25"/>
      <c r="AK570" s="13"/>
      <c r="AP570" s="117"/>
      <c r="AQ570" s="123"/>
      <c r="AR570" s="123"/>
      <c r="AS570" s="123"/>
      <c r="AX570" s="115"/>
      <c r="AY570" s="115"/>
      <c r="AZ570" s="115"/>
      <c r="BA570" s="115"/>
      <c r="BB570" s="115"/>
      <c r="BC570" s="115"/>
      <c r="BD570" s="115"/>
      <c r="BE570" s="115"/>
      <c r="BF570" s="115"/>
      <c r="BG570" s="115"/>
      <c r="BH570" s="13"/>
      <c r="BI570" s="13"/>
      <c r="BL570" s="114"/>
    </row>
    <row r="571" spans="1:64" ht="19.5" x14ac:dyDescent="0.4">
      <c r="A571" s="117"/>
      <c r="B571" s="123"/>
      <c r="C571" s="123"/>
      <c r="D571" s="123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27"/>
      <c r="Z571" s="134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25"/>
      <c r="AK571" s="13"/>
      <c r="AP571" s="117"/>
      <c r="AQ571" s="123"/>
      <c r="AR571" s="123"/>
      <c r="AS571" s="123"/>
      <c r="AX571" s="115"/>
      <c r="AY571" s="115"/>
      <c r="AZ571" s="115"/>
      <c r="BA571" s="115"/>
      <c r="BB571" s="115"/>
      <c r="BC571" s="115"/>
      <c r="BD571" s="115"/>
      <c r="BE571" s="115"/>
      <c r="BF571" s="115"/>
      <c r="BG571" s="115"/>
      <c r="BH571" s="13"/>
      <c r="BI571" s="13"/>
      <c r="BL571" s="114"/>
    </row>
    <row r="572" spans="1:64" ht="19.5" x14ac:dyDescent="0.4">
      <c r="A572" s="117"/>
      <c r="B572" s="123"/>
      <c r="C572" s="123"/>
      <c r="D572" s="123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27"/>
      <c r="Z572" s="29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25">
        <v>45684</v>
      </c>
      <c r="AK572" s="13" t="s">
        <v>147</v>
      </c>
      <c r="AP572" s="117"/>
      <c r="AQ572" s="123"/>
      <c r="AR572" s="123"/>
      <c r="AS572" s="123"/>
      <c r="AX572" s="115"/>
      <c r="AY572" s="115"/>
      <c r="AZ572" s="115"/>
      <c r="BA572" s="115"/>
      <c r="BB572" s="115"/>
      <c r="BC572" s="115"/>
      <c r="BD572" s="115"/>
      <c r="BE572" s="115"/>
      <c r="BF572" s="115"/>
      <c r="BG572" s="115"/>
      <c r="BH572" s="13"/>
      <c r="BI572" s="13"/>
      <c r="BL572" s="114"/>
    </row>
    <row r="573" spans="1:64" ht="19.5" x14ac:dyDescent="0.4">
      <c r="A573" s="117"/>
      <c r="B573" s="123"/>
      <c r="C573" s="123"/>
      <c r="D573" s="123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28"/>
      <c r="Z573" s="29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25"/>
      <c r="AK573" s="13"/>
      <c r="AP573" s="117"/>
      <c r="AQ573" s="123"/>
      <c r="AR573" s="123"/>
      <c r="AS573" s="123"/>
      <c r="AX573" s="115"/>
      <c r="AY573" s="115"/>
      <c r="AZ573" s="115"/>
      <c r="BA573" s="115"/>
      <c r="BB573" s="115"/>
      <c r="BC573" s="115"/>
      <c r="BD573" s="115"/>
      <c r="BE573" s="115"/>
      <c r="BF573" s="115"/>
      <c r="BG573" s="115"/>
      <c r="BH573" s="13"/>
      <c r="BI573" s="13"/>
      <c r="BL573" s="114"/>
    </row>
    <row r="574" spans="1:64" ht="19.5" x14ac:dyDescent="0.4">
      <c r="A574" s="117"/>
      <c r="B574" s="123"/>
      <c r="C574" s="123"/>
      <c r="D574" s="123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27"/>
      <c r="Z574" s="29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25"/>
      <c r="AK574" s="13"/>
      <c r="AP574" s="117"/>
      <c r="AQ574" s="123"/>
      <c r="AR574" s="123"/>
      <c r="AS574" s="123"/>
      <c r="AX574" s="115"/>
      <c r="AY574" s="115"/>
      <c r="AZ574" s="115"/>
      <c r="BA574" s="115"/>
      <c r="BB574" s="115"/>
      <c r="BC574" s="115"/>
      <c r="BD574" s="115"/>
      <c r="BE574" s="115"/>
      <c r="BF574" s="115"/>
      <c r="BG574" s="115"/>
      <c r="BH574" s="13"/>
      <c r="BI574" s="13"/>
      <c r="BL574" s="114"/>
    </row>
    <row r="575" spans="1:64" ht="19.5" x14ac:dyDescent="0.4">
      <c r="A575" s="117"/>
      <c r="B575" s="123"/>
      <c r="C575" s="123"/>
      <c r="D575" s="123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27"/>
      <c r="Z575" s="29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25">
        <v>45684</v>
      </c>
      <c r="AK575" s="13" t="s">
        <v>146</v>
      </c>
      <c r="AP575" s="117"/>
      <c r="AQ575" s="123"/>
      <c r="AR575" s="123"/>
      <c r="AS575" s="123"/>
      <c r="AX575" s="115"/>
      <c r="AY575" s="115"/>
      <c r="AZ575" s="115"/>
      <c r="BA575" s="115"/>
      <c r="BB575" s="115"/>
      <c r="BC575" s="115"/>
      <c r="BD575" s="115"/>
      <c r="BE575" s="115"/>
      <c r="BF575" s="115"/>
      <c r="BG575" s="115"/>
      <c r="BH575" s="13"/>
      <c r="BI575" s="13"/>
      <c r="BL575" s="114"/>
    </row>
    <row r="576" spans="1:64" ht="19.5" x14ac:dyDescent="0.4">
      <c r="A576" s="117"/>
      <c r="B576" s="123"/>
      <c r="C576" s="123"/>
      <c r="D576" s="123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28"/>
      <c r="Z576" s="29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25"/>
      <c r="AK576" s="13"/>
      <c r="AP576" s="117"/>
      <c r="AQ576" s="123"/>
      <c r="AR576" s="123"/>
      <c r="AS576" s="123"/>
      <c r="AX576" s="115"/>
      <c r="AY576" s="115"/>
      <c r="AZ576" s="115"/>
      <c r="BA576" s="115"/>
      <c r="BB576" s="115"/>
      <c r="BC576" s="115"/>
      <c r="BD576" s="115"/>
      <c r="BE576" s="115"/>
      <c r="BF576" s="115"/>
      <c r="BG576" s="115"/>
      <c r="BH576" s="13"/>
      <c r="BI576" s="13"/>
      <c r="BL576" s="114"/>
    </row>
    <row r="577" spans="1:64" ht="19.5" x14ac:dyDescent="0.4">
      <c r="A577" s="117"/>
      <c r="B577" s="123"/>
      <c r="C577" s="123"/>
      <c r="D577" s="123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27"/>
      <c r="Z577" s="29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25"/>
      <c r="AK577" s="13"/>
      <c r="AP577" s="117"/>
      <c r="AQ577" s="123"/>
      <c r="AR577" s="123"/>
      <c r="AS577" s="123"/>
      <c r="AX577" s="115"/>
      <c r="AY577" s="115"/>
      <c r="AZ577" s="115"/>
      <c r="BA577" s="115"/>
      <c r="BB577" s="115"/>
      <c r="BC577" s="115"/>
      <c r="BD577" s="115"/>
      <c r="BE577" s="115"/>
      <c r="BF577" s="115"/>
      <c r="BG577" s="115"/>
      <c r="BH577" s="13"/>
      <c r="BI577" s="13"/>
      <c r="BL577" s="114"/>
    </row>
    <row r="578" spans="1:64" ht="19.5" x14ac:dyDescent="0.4">
      <c r="A578" s="117"/>
      <c r="B578" s="123"/>
      <c r="C578" s="123"/>
      <c r="D578" s="123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28"/>
      <c r="Z578" s="29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25"/>
      <c r="AK578" s="13"/>
      <c r="AP578" s="117"/>
      <c r="AQ578" s="123"/>
      <c r="AR578" s="123"/>
      <c r="AS578" s="123"/>
      <c r="AX578" s="115"/>
      <c r="AY578" s="115"/>
      <c r="AZ578" s="115"/>
      <c r="BA578" s="115"/>
      <c r="BB578" s="115"/>
      <c r="BC578" s="115"/>
      <c r="BD578" s="115"/>
      <c r="BE578" s="115"/>
      <c r="BF578" s="115"/>
      <c r="BG578" s="115"/>
      <c r="BH578" s="13"/>
      <c r="BI578" s="13"/>
      <c r="BL578" s="114"/>
    </row>
    <row r="579" spans="1:64" ht="19.5" x14ac:dyDescent="0.4">
      <c r="A579" s="117"/>
      <c r="B579" s="123"/>
      <c r="C579" s="123"/>
      <c r="D579" s="123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27"/>
      <c r="Z579" s="29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25"/>
      <c r="AK579" s="13"/>
      <c r="AP579" s="117"/>
      <c r="AQ579" s="123"/>
      <c r="AR579" s="123"/>
      <c r="AS579" s="123"/>
      <c r="AX579" s="115"/>
      <c r="AY579" s="115"/>
      <c r="AZ579" s="115"/>
      <c r="BA579" s="115"/>
      <c r="BB579" s="115"/>
      <c r="BC579" s="115"/>
      <c r="BD579" s="115"/>
      <c r="BE579" s="115"/>
      <c r="BF579" s="115"/>
      <c r="BG579" s="115"/>
      <c r="BH579" s="13"/>
      <c r="BI579" s="13"/>
      <c r="BL579" s="114"/>
    </row>
    <row r="580" spans="1:64" ht="19.5" x14ac:dyDescent="0.4">
      <c r="A580" s="117"/>
      <c r="B580" s="123"/>
      <c r="C580" s="123"/>
      <c r="D580" s="123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28"/>
      <c r="Z580" s="29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25"/>
      <c r="AK580" s="13"/>
      <c r="AP580" s="117"/>
      <c r="AQ580" s="123"/>
      <c r="AR580" s="123"/>
      <c r="AS580" s="123"/>
      <c r="AX580" s="115"/>
      <c r="AY580" s="115"/>
      <c r="AZ580" s="115"/>
      <c r="BA580" s="115"/>
      <c r="BB580" s="115"/>
      <c r="BC580" s="115"/>
      <c r="BD580" s="115"/>
      <c r="BE580" s="115"/>
      <c r="BF580" s="115"/>
      <c r="BG580" s="115"/>
      <c r="BH580" s="13"/>
      <c r="BI580" s="13"/>
      <c r="BL580" s="114"/>
    </row>
    <row r="581" spans="1:64" ht="19.5" x14ac:dyDescent="0.4">
      <c r="A581" s="117"/>
      <c r="B581" s="123"/>
      <c r="C581" s="123"/>
      <c r="D581" s="123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28"/>
      <c r="Z581" s="29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25"/>
      <c r="AK581" s="13"/>
      <c r="AP581" s="117"/>
      <c r="AQ581" s="123"/>
      <c r="AR581" s="123"/>
      <c r="AS581" s="123"/>
      <c r="AX581" s="115"/>
      <c r="AY581" s="115"/>
      <c r="AZ581" s="115"/>
      <c r="BA581" s="115"/>
      <c r="BB581" s="115"/>
      <c r="BC581" s="115"/>
      <c r="BD581" s="115"/>
      <c r="BE581" s="115"/>
      <c r="BF581" s="115"/>
      <c r="BG581" s="115"/>
      <c r="BH581" s="13"/>
      <c r="BI581" s="13"/>
      <c r="BL581" s="114"/>
    </row>
    <row r="582" spans="1:64" ht="19.5" x14ac:dyDescent="0.4">
      <c r="A582" s="117"/>
      <c r="B582" s="123"/>
      <c r="C582" s="123"/>
      <c r="D582" s="123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27"/>
      <c r="Z582" s="29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25">
        <v>45684</v>
      </c>
      <c r="AK582" s="13" t="s">
        <v>147</v>
      </c>
      <c r="AP582" s="117"/>
      <c r="AQ582" s="123"/>
      <c r="AR582" s="123"/>
      <c r="AS582" s="123"/>
      <c r="AX582" s="115"/>
      <c r="AY582" s="115"/>
      <c r="AZ582" s="115"/>
      <c r="BA582" s="115"/>
      <c r="BB582" s="115"/>
      <c r="BC582" s="115"/>
      <c r="BD582" s="115"/>
      <c r="BE582" s="115"/>
      <c r="BF582" s="115"/>
      <c r="BG582" s="115"/>
      <c r="BH582" s="13"/>
      <c r="BI582" s="13"/>
      <c r="BL582" s="114"/>
    </row>
    <row r="583" spans="1:64" ht="19.5" x14ac:dyDescent="0.4">
      <c r="A583" s="117"/>
      <c r="B583" s="123"/>
      <c r="C583" s="123"/>
      <c r="D583" s="123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27"/>
      <c r="Z583" s="29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25">
        <v>45684</v>
      </c>
      <c r="AK583" s="13" t="s">
        <v>146</v>
      </c>
      <c r="AP583" s="117"/>
      <c r="AQ583" s="123"/>
      <c r="AR583" s="123"/>
      <c r="AS583" s="123"/>
      <c r="AX583" s="115"/>
      <c r="AY583" s="115"/>
      <c r="AZ583" s="115"/>
      <c r="BA583" s="115"/>
      <c r="BB583" s="115"/>
      <c r="BC583" s="115"/>
      <c r="BD583" s="115"/>
      <c r="BE583" s="115"/>
      <c r="BF583" s="115"/>
      <c r="BG583" s="115"/>
      <c r="BH583" s="13"/>
      <c r="BI583" s="13"/>
      <c r="BL583" s="114"/>
    </row>
    <row r="584" spans="1:64" ht="19.5" x14ac:dyDescent="0.4">
      <c r="A584" s="117"/>
      <c r="B584" s="123"/>
      <c r="C584" s="123"/>
      <c r="D584" s="123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27"/>
      <c r="Z584" s="29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25">
        <v>45684</v>
      </c>
      <c r="AK584" s="13" t="s">
        <v>146</v>
      </c>
      <c r="AP584" s="117"/>
      <c r="AQ584" s="123"/>
      <c r="AR584" s="123"/>
      <c r="AS584" s="123"/>
      <c r="AX584" s="115"/>
      <c r="AY584" s="115"/>
      <c r="AZ584" s="115"/>
      <c r="BA584" s="115"/>
      <c r="BB584" s="115"/>
      <c r="BC584" s="115"/>
      <c r="BD584" s="115"/>
      <c r="BE584" s="115"/>
      <c r="BF584" s="115"/>
      <c r="BG584" s="115"/>
      <c r="BH584" s="13"/>
      <c r="BI584" s="13"/>
      <c r="BL584" s="114"/>
    </row>
    <row r="585" spans="1:64" ht="19.5" x14ac:dyDescent="0.4">
      <c r="A585" s="117"/>
      <c r="B585" s="123"/>
      <c r="C585" s="123"/>
      <c r="D585" s="123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29"/>
      <c r="Z585" s="29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25"/>
      <c r="AK585" s="13"/>
      <c r="AP585" s="117"/>
      <c r="AQ585" s="123"/>
      <c r="AR585" s="123"/>
      <c r="AS585" s="123"/>
      <c r="AX585" s="115"/>
      <c r="AY585" s="115"/>
      <c r="AZ585" s="115"/>
      <c r="BA585" s="115"/>
      <c r="BB585" s="115"/>
      <c r="BC585" s="115"/>
      <c r="BD585" s="115"/>
      <c r="BE585" s="115"/>
      <c r="BF585" s="115"/>
      <c r="BG585" s="115"/>
      <c r="BH585" s="13"/>
      <c r="BI585" s="13"/>
      <c r="BL585" s="114"/>
    </row>
    <row r="586" spans="1:64" ht="19.5" x14ac:dyDescent="0.4">
      <c r="A586" s="117"/>
      <c r="B586" s="123"/>
      <c r="C586" s="123"/>
      <c r="D586" s="123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29"/>
      <c r="Z586" s="29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25"/>
      <c r="AK586" s="13"/>
      <c r="AP586" s="117"/>
      <c r="AQ586" s="123"/>
      <c r="AR586" s="123"/>
      <c r="AS586" s="123"/>
      <c r="AX586" s="115"/>
      <c r="AY586" s="115"/>
      <c r="AZ586" s="115"/>
      <c r="BA586" s="115"/>
      <c r="BB586" s="115"/>
      <c r="BC586" s="115"/>
      <c r="BD586" s="115"/>
      <c r="BE586" s="115"/>
      <c r="BF586" s="115"/>
      <c r="BG586" s="115"/>
      <c r="BH586" s="13"/>
      <c r="BI586" s="13"/>
      <c r="BL586" s="114"/>
    </row>
    <row r="587" spans="1:64" ht="19.5" x14ac:dyDescent="0.4">
      <c r="A587" s="117"/>
      <c r="B587" s="123"/>
      <c r="C587" s="123"/>
      <c r="D587" s="123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27"/>
      <c r="Z587" s="29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25">
        <v>45684</v>
      </c>
      <c r="AK587" s="13" t="s">
        <v>147</v>
      </c>
      <c r="AP587" s="117"/>
      <c r="AQ587" s="123"/>
      <c r="AR587" s="123"/>
      <c r="AS587" s="123"/>
      <c r="AX587" s="115"/>
      <c r="AY587" s="115"/>
      <c r="AZ587" s="115"/>
      <c r="BA587" s="115"/>
      <c r="BB587" s="115"/>
      <c r="BC587" s="115"/>
      <c r="BD587" s="115"/>
      <c r="BE587" s="115"/>
      <c r="BF587" s="115"/>
      <c r="BG587" s="115"/>
      <c r="BH587" s="13"/>
      <c r="BI587" s="13"/>
      <c r="BL587" s="114"/>
    </row>
    <row r="588" spans="1:64" ht="19.5" x14ac:dyDescent="0.4">
      <c r="A588" s="117"/>
      <c r="B588" s="123"/>
      <c r="C588" s="123"/>
      <c r="D588" s="123"/>
      <c r="Y588" s="127"/>
      <c r="Z588" s="29"/>
      <c r="AJ588" s="25">
        <v>45685</v>
      </c>
      <c r="AK588" s="13" t="s">
        <v>146</v>
      </c>
      <c r="AP588" s="117"/>
      <c r="AQ588" s="123"/>
      <c r="AR588" s="123"/>
      <c r="AS588" s="123"/>
      <c r="AX588" s="115"/>
      <c r="AY588" s="115"/>
      <c r="AZ588" s="115"/>
      <c r="BA588" s="115"/>
      <c r="BB588" s="115"/>
      <c r="BC588" s="115"/>
      <c r="BD588" s="115"/>
      <c r="BE588" s="115"/>
      <c r="BF588" s="115"/>
      <c r="BG588" s="115"/>
      <c r="BH588" s="25">
        <v>45263</v>
      </c>
      <c r="BI588" s="13" t="s">
        <v>162</v>
      </c>
      <c r="BL588" s="114"/>
    </row>
    <row r="589" spans="1:64" ht="19.5" x14ac:dyDescent="0.4">
      <c r="A589" s="117"/>
      <c r="B589" s="123"/>
      <c r="C589" s="123"/>
      <c r="D589" s="123"/>
      <c r="Y589" s="127"/>
      <c r="Z589" s="29"/>
      <c r="AG589" s="115"/>
      <c r="AH589" s="115"/>
      <c r="AI589" s="115"/>
      <c r="AJ589" s="25">
        <v>45685</v>
      </c>
      <c r="AK589" s="13" t="s">
        <v>147</v>
      </c>
      <c r="AP589" s="117"/>
      <c r="AQ589" s="123"/>
      <c r="AR589" s="123"/>
      <c r="AS589" s="123"/>
      <c r="AX589" s="115"/>
      <c r="AY589" s="115"/>
      <c r="AZ589" s="115"/>
      <c r="BA589" s="115"/>
      <c r="BB589" s="115"/>
      <c r="BC589" s="115"/>
      <c r="BD589" s="115"/>
      <c r="BE589" s="115"/>
      <c r="BF589" s="115"/>
      <c r="BG589" s="115"/>
      <c r="BH589" s="25"/>
      <c r="BI589" s="13"/>
      <c r="BL589" s="114"/>
    </row>
    <row r="590" spans="1:64" ht="19.5" x14ac:dyDescent="0.4">
      <c r="A590" s="117"/>
      <c r="B590" s="123"/>
      <c r="C590" s="123"/>
      <c r="D590" s="123"/>
      <c r="Y590" s="128"/>
      <c r="Z590" s="29"/>
      <c r="AG590" s="115"/>
      <c r="AH590" s="115"/>
      <c r="AI590" s="115"/>
      <c r="AJ590" s="25"/>
      <c r="AK590" s="13"/>
      <c r="AP590" s="117"/>
      <c r="AQ590" s="123"/>
      <c r="AR590" s="123"/>
      <c r="AS590" s="123"/>
      <c r="AX590" s="115"/>
      <c r="AY590" s="115"/>
      <c r="AZ590" s="115"/>
      <c r="BA590" s="115"/>
      <c r="BB590" s="115"/>
      <c r="BC590" s="115"/>
      <c r="BD590" s="115"/>
      <c r="BE590" s="115"/>
      <c r="BF590" s="115"/>
      <c r="BG590" s="115"/>
      <c r="BH590" s="25"/>
      <c r="BI590" s="13"/>
      <c r="BL590" s="114"/>
    </row>
    <row r="591" spans="1:64" ht="19.5" x14ac:dyDescent="0.4">
      <c r="A591" s="117"/>
      <c r="B591" s="123"/>
      <c r="C591" s="123"/>
      <c r="D591" s="123"/>
      <c r="Y591" s="127"/>
      <c r="Z591" s="29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25">
        <v>45685</v>
      </c>
      <c r="AK591" s="13" t="s">
        <v>147</v>
      </c>
      <c r="AP591" s="117"/>
      <c r="AQ591" s="123"/>
      <c r="AR591" s="123"/>
      <c r="AS591" s="123"/>
      <c r="AX591" s="115"/>
      <c r="AY591" s="115"/>
      <c r="AZ591" s="115"/>
      <c r="BA591" s="115"/>
      <c r="BB591" s="115"/>
      <c r="BC591" s="115"/>
      <c r="BD591" s="115"/>
      <c r="BE591" s="115"/>
      <c r="BF591" s="115"/>
      <c r="BG591" s="115"/>
      <c r="BH591" s="25"/>
      <c r="BI591" s="13"/>
      <c r="BL591" s="114"/>
    </row>
    <row r="592" spans="1:64" ht="19.5" x14ac:dyDescent="0.4">
      <c r="A592" s="117"/>
      <c r="B592" s="123"/>
      <c r="C592" s="123"/>
      <c r="D592" s="123"/>
      <c r="Y592" s="127"/>
      <c r="Z592" s="29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25">
        <v>45685</v>
      </c>
      <c r="AK592" s="13" t="s">
        <v>148</v>
      </c>
      <c r="AP592" s="117"/>
      <c r="AQ592" s="123"/>
      <c r="AR592" s="123"/>
      <c r="AS592" s="123"/>
      <c r="AX592" s="115"/>
      <c r="AY592" s="115"/>
      <c r="AZ592" s="115"/>
      <c r="BA592" s="115"/>
      <c r="BB592" s="115"/>
      <c r="BC592" s="115"/>
      <c r="BD592" s="115"/>
      <c r="BE592" s="115"/>
      <c r="BF592" s="115"/>
      <c r="BG592" s="115"/>
      <c r="BH592" s="25"/>
      <c r="BI592" s="13"/>
      <c r="BL592" s="114"/>
    </row>
    <row r="593" spans="1:64" ht="19.5" x14ac:dyDescent="0.4">
      <c r="A593" s="117"/>
      <c r="B593" s="123"/>
      <c r="C593" s="123"/>
      <c r="D593" s="123"/>
      <c r="Y593" s="127"/>
      <c r="Z593" s="29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25">
        <v>45685</v>
      </c>
      <c r="AK593" s="13" t="s">
        <v>148</v>
      </c>
      <c r="AP593" s="117"/>
      <c r="AQ593" s="123"/>
      <c r="AR593" s="123"/>
      <c r="AS593" s="123"/>
      <c r="AX593" s="115"/>
      <c r="AY593" s="115"/>
      <c r="AZ593" s="115"/>
      <c r="BA593" s="115"/>
      <c r="BB593" s="115"/>
      <c r="BC593" s="115"/>
      <c r="BD593" s="115"/>
      <c r="BE593" s="115"/>
      <c r="BF593" s="115"/>
      <c r="BG593" s="115"/>
      <c r="BH593" s="25"/>
      <c r="BI593" s="13"/>
      <c r="BL593" s="114"/>
    </row>
    <row r="594" spans="1:64" ht="19.5" x14ac:dyDescent="0.4">
      <c r="A594" s="117"/>
      <c r="B594" s="123"/>
      <c r="C594" s="123"/>
      <c r="D594" s="123"/>
      <c r="Y594" s="128"/>
      <c r="Z594" s="29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25"/>
      <c r="AK594" s="13"/>
      <c r="AP594" s="117"/>
      <c r="AQ594" s="123"/>
      <c r="AR594" s="123"/>
      <c r="AS594" s="123"/>
      <c r="AX594" s="115"/>
      <c r="AY594" s="115"/>
      <c r="AZ594" s="115"/>
      <c r="BA594" s="115"/>
      <c r="BB594" s="115"/>
      <c r="BC594" s="115"/>
      <c r="BD594" s="115"/>
      <c r="BE594" s="115"/>
      <c r="BF594" s="115"/>
      <c r="BG594" s="115"/>
      <c r="BH594" s="25"/>
      <c r="BI594" s="13"/>
      <c r="BL594" s="114"/>
    </row>
    <row r="595" spans="1:64" ht="19.5" x14ac:dyDescent="0.4">
      <c r="A595" s="117"/>
      <c r="B595" s="123"/>
      <c r="C595" s="123"/>
      <c r="D595" s="123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27"/>
      <c r="Z595" s="29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25"/>
      <c r="AK595" s="13"/>
      <c r="AP595" s="117"/>
      <c r="AQ595" s="123"/>
      <c r="AR595" s="123"/>
      <c r="AS595" s="123"/>
      <c r="AX595" s="115"/>
      <c r="AY595" s="115"/>
      <c r="AZ595" s="115"/>
      <c r="BA595" s="115"/>
      <c r="BB595" s="115"/>
      <c r="BC595" s="115"/>
      <c r="BD595" s="115"/>
      <c r="BE595" s="115"/>
      <c r="BF595" s="115"/>
      <c r="BG595" s="115"/>
      <c r="BH595" s="25"/>
      <c r="BI595" s="13"/>
      <c r="BL595" s="114"/>
    </row>
    <row r="596" spans="1:64" ht="19.5" x14ac:dyDescent="0.4">
      <c r="A596" s="117"/>
      <c r="B596" s="123"/>
      <c r="C596" s="123"/>
      <c r="D596" s="123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28"/>
      <c r="Z596" s="29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25"/>
      <c r="AK596" s="13"/>
      <c r="AP596" s="117"/>
      <c r="AQ596" s="123"/>
      <c r="AR596" s="123"/>
      <c r="AS596" s="123"/>
      <c r="AX596" s="115"/>
      <c r="AY596" s="115"/>
      <c r="AZ596" s="115"/>
      <c r="BA596" s="115"/>
      <c r="BB596" s="115"/>
      <c r="BC596" s="115"/>
      <c r="BD596" s="115"/>
      <c r="BE596" s="115"/>
      <c r="BF596" s="115"/>
      <c r="BG596" s="115"/>
      <c r="BH596" s="25"/>
      <c r="BI596" s="13"/>
      <c r="BL596" s="114"/>
    </row>
    <row r="597" spans="1:64" ht="19.5" x14ac:dyDescent="0.4">
      <c r="A597" s="117"/>
      <c r="B597" s="123"/>
      <c r="C597" s="123"/>
      <c r="D597" s="123"/>
      <c r="Y597" s="127"/>
      <c r="Z597" s="29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25">
        <v>45685</v>
      </c>
      <c r="AK597" s="13" t="s">
        <v>148</v>
      </c>
      <c r="AP597" s="117"/>
      <c r="AQ597" s="123"/>
      <c r="AR597" s="123"/>
      <c r="AS597" s="123"/>
      <c r="AX597" s="115"/>
      <c r="AY597" s="115"/>
      <c r="AZ597" s="115"/>
      <c r="BA597" s="115"/>
      <c r="BB597" s="115"/>
      <c r="BC597" s="115"/>
      <c r="BD597" s="115"/>
      <c r="BE597" s="115"/>
      <c r="BF597" s="115"/>
      <c r="BG597" s="115"/>
      <c r="BH597" s="25"/>
      <c r="BI597" s="13"/>
      <c r="BL597" s="114"/>
    </row>
    <row r="598" spans="1:64" ht="19.5" x14ac:dyDescent="0.4">
      <c r="A598" s="117"/>
      <c r="B598" s="123"/>
      <c r="C598" s="123"/>
      <c r="D598" s="123"/>
      <c r="Y598" s="127"/>
      <c r="Z598" s="29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25">
        <v>45685</v>
      </c>
      <c r="AK598" s="13" t="s">
        <v>148</v>
      </c>
      <c r="AP598" s="117"/>
      <c r="AQ598" s="123"/>
      <c r="AR598" s="123"/>
      <c r="AS598" s="123"/>
      <c r="AX598" s="115"/>
      <c r="AY598" s="115"/>
      <c r="AZ598" s="115"/>
      <c r="BA598" s="115"/>
      <c r="BB598" s="115"/>
      <c r="BC598" s="115"/>
      <c r="BD598" s="115"/>
      <c r="BE598" s="115"/>
      <c r="BF598" s="115"/>
      <c r="BG598" s="115"/>
      <c r="BH598" s="25"/>
      <c r="BI598" s="13"/>
      <c r="BL598" s="114"/>
    </row>
    <row r="599" spans="1:64" ht="19.5" x14ac:dyDescent="0.4">
      <c r="A599" s="117"/>
      <c r="B599" s="123"/>
      <c r="C599" s="123"/>
      <c r="D599" s="123"/>
      <c r="Y599" s="127"/>
      <c r="Z599" s="29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25">
        <v>45685</v>
      </c>
      <c r="AK599" s="13" t="s">
        <v>146</v>
      </c>
      <c r="AP599" s="117"/>
      <c r="AQ599" s="123"/>
      <c r="AR599" s="123"/>
      <c r="AS599" s="123"/>
      <c r="AX599" s="115"/>
      <c r="AY599" s="115"/>
      <c r="AZ599" s="115"/>
      <c r="BA599" s="115"/>
      <c r="BB599" s="115"/>
      <c r="BC599" s="115"/>
      <c r="BD599" s="115"/>
      <c r="BE599" s="115"/>
      <c r="BF599" s="115"/>
      <c r="BG599" s="115"/>
      <c r="BH599" s="25"/>
      <c r="BI599" s="13"/>
      <c r="BL599" s="114"/>
    </row>
    <row r="600" spans="1:64" ht="19.5" x14ac:dyDescent="0.4">
      <c r="A600" s="117"/>
      <c r="B600" s="123"/>
      <c r="C600" s="123"/>
      <c r="D600" s="123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27"/>
      <c r="Z600" s="29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25"/>
      <c r="AK600" s="13"/>
      <c r="AP600" s="117"/>
      <c r="AQ600" s="123"/>
      <c r="AR600" s="123"/>
      <c r="AS600" s="123"/>
      <c r="AX600" s="115"/>
      <c r="AY600" s="115"/>
      <c r="AZ600" s="115"/>
      <c r="BA600" s="115"/>
      <c r="BB600" s="115"/>
      <c r="BC600" s="115"/>
      <c r="BD600" s="115"/>
      <c r="BE600" s="115"/>
      <c r="BF600" s="115"/>
      <c r="BG600" s="115"/>
      <c r="BH600" s="25"/>
      <c r="BI600" s="13"/>
      <c r="BL600" s="114"/>
    </row>
    <row r="601" spans="1:64" ht="19.5" x14ac:dyDescent="0.4">
      <c r="A601" s="117"/>
      <c r="B601" s="123"/>
      <c r="C601" s="123"/>
      <c r="D601" s="123"/>
      <c r="Y601" s="127"/>
      <c r="Z601" s="29"/>
      <c r="AJ601" s="25">
        <v>45685</v>
      </c>
      <c r="AK601" s="13" t="s">
        <v>148</v>
      </c>
      <c r="AP601" s="117"/>
      <c r="AQ601" s="123"/>
      <c r="AR601" s="123"/>
      <c r="AS601" s="123"/>
      <c r="AX601" s="115"/>
      <c r="AY601" s="115"/>
      <c r="AZ601" s="115"/>
      <c r="BA601" s="115"/>
      <c r="BB601" s="115"/>
      <c r="BC601" s="115"/>
      <c r="BD601" s="115"/>
      <c r="BE601" s="115"/>
      <c r="BF601" s="115"/>
      <c r="BG601" s="115" t="s">
        <v>150</v>
      </c>
      <c r="BH601" s="13">
        <f>SUBTOTAL(3,BH588:BH588)</f>
        <v>1</v>
      </c>
      <c r="BI601" s="13">
        <f>SUBTOTAL(3,BI588:BI588)</f>
        <v>1</v>
      </c>
      <c r="BL601" s="114"/>
    </row>
    <row r="602" spans="1:64" ht="19.5" x14ac:dyDescent="0.4">
      <c r="A602" s="117"/>
      <c r="B602" s="123"/>
      <c r="C602" s="123"/>
      <c r="D602" s="123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27"/>
      <c r="Z602" s="29"/>
      <c r="AJ602" s="25"/>
      <c r="AK602" s="13"/>
      <c r="AP602" s="117"/>
      <c r="AQ602" s="123"/>
      <c r="AR602" s="123"/>
      <c r="AS602" s="123"/>
      <c r="AX602" s="115"/>
      <c r="AY602" s="115"/>
      <c r="AZ602" s="115"/>
      <c r="BA602" s="115"/>
      <c r="BB602" s="115"/>
      <c r="BC602" s="115"/>
      <c r="BD602" s="115"/>
      <c r="BE602" s="115"/>
      <c r="BF602" s="115"/>
      <c r="BG602" s="115"/>
      <c r="BH602" s="13"/>
      <c r="BI602" s="13"/>
      <c r="BL602" s="114"/>
    </row>
    <row r="603" spans="1:64" ht="19.5" x14ac:dyDescent="0.4">
      <c r="A603" s="117"/>
      <c r="B603" s="123"/>
      <c r="C603" s="123"/>
      <c r="D603" s="123"/>
      <c r="Y603" s="127"/>
      <c r="Z603" s="29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25">
        <v>45685</v>
      </c>
      <c r="AK603" s="15" t="s">
        <v>146</v>
      </c>
      <c r="AP603" s="117"/>
      <c r="AQ603" s="123"/>
      <c r="AR603" s="123"/>
      <c r="AS603" s="123"/>
      <c r="AX603" s="115"/>
      <c r="AY603" s="115"/>
      <c r="AZ603" s="115"/>
      <c r="BA603" s="115"/>
      <c r="BB603" s="115"/>
      <c r="BC603" s="115"/>
      <c r="BD603" s="115"/>
      <c r="BE603" s="115"/>
      <c r="BF603" s="115"/>
      <c r="BG603" s="115"/>
      <c r="BH603" s="13"/>
      <c r="BI603" s="13"/>
      <c r="BL603" s="114"/>
    </row>
    <row r="604" spans="1:64" ht="19.5" x14ac:dyDescent="0.4">
      <c r="A604" s="117"/>
      <c r="B604" s="123"/>
      <c r="C604" s="123"/>
      <c r="D604" s="123"/>
      <c r="Y604" s="127"/>
      <c r="Z604" s="29"/>
      <c r="AJ604" s="25">
        <v>45685</v>
      </c>
      <c r="AK604" s="15" t="s">
        <v>146</v>
      </c>
      <c r="AP604" s="117"/>
      <c r="AQ604" s="123"/>
      <c r="AR604" s="123"/>
      <c r="AS604" s="123"/>
      <c r="AX604" s="115"/>
      <c r="AY604" s="115"/>
      <c r="AZ604" s="115"/>
      <c r="BA604" s="115"/>
      <c r="BB604" s="115"/>
      <c r="BC604" s="115"/>
      <c r="BD604" s="115"/>
      <c r="BE604" s="115"/>
      <c r="BF604" s="115"/>
      <c r="BG604" s="115"/>
      <c r="BH604" s="25">
        <v>45264</v>
      </c>
      <c r="BI604" s="13" t="s">
        <v>162</v>
      </c>
      <c r="BL604" s="114"/>
    </row>
    <row r="605" spans="1:64" ht="19.5" x14ac:dyDescent="0.4">
      <c r="A605" s="117"/>
      <c r="B605" s="123"/>
      <c r="C605" s="123"/>
      <c r="D605" s="123"/>
      <c r="Y605" s="127"/>
      <c r="Z605" s="29"/>
      <c r="AF605" s="115"/>
      <c r="AG605" s="115"/>
      <c r="AH605" s="115"/>
      <c r="AI605" s="115"/>
      <c r="AJ605" s="25">
        <v>45686</v>
      </c>
      <c r="AK605" s="15" t="s">
        <v>148</v>
      </c>
      <c r="AP605" s="117"/>
      <c r="AQ605" s="123"/>
      <c r="AR605" s="123"/>
      <c r="AS605" s="123"/>
      <c r="AX605" s="115"/>
      <c r="AY605" s="115"/>
      <c r="AZ605" s="115"/>
      <c r="BA605" s="115"/>
      <c r="BB605" s="115"/>
      <c r="BC605" s="115"/>
      <c r="BD605" s="115"/>
      <c r="BE605" s="115"/>
      <c r="BF605" s="115"/>
      <c r="BG605" s="115"/>
      <c r="BH605" s="25"/>
      <c r="BI605" s="13"/>
      <c r="BL605" s="114"/>
    </row>
    <row r="606" spans="1:64" ht="19.5" x14ac:dyDescent="0.4">
      <c r="A606" s="117"/>
      <c r="B606" s="123"/>
      <c r="C606" s="123"/>
      <c r="D606" s="123"/>
      <c r="Y606" s="127"/>
      <c r="Z606" s="29"/>
      <c r="AD606" s="115"/>
      <c r="AE606" s="115"/>
      <c r="AF606" s="115"/>
      <c r="AG606" s="115"/>
      <c r="AH606" s="115"/>
      <c r="AI606" s="115"/>
      <c r="AJ606" s="25">
        <v>45686</v>
      </c>
      <c r="AK606" s="15" t="s">
        <v>146</v>
      </c>
      <c r="AP606" s="117"/>
      <c r="AQ606" s="123"/>
      <c r="AR606" s="123"/>
      <c r="AS606" s="123"/>
      <c r="AX606" s="115"/>
      <c r="AY606" s="115"/>
      <c r="AZ606" s="115"/>
      <c r="BA606" s="115"/>
      <c r="BB606" s="115"/>
      <c r="BC606" s="115"/>
      <c r="BD606" s="115"/>
      <c r="BE606" s="115"/>
      <c r="BF606" s="115"/>
      <c r="BG606" s="115"/>
      <c r="BH606" s="25"/>
      <c r="BI606" s="13"/>
      <c r="BL606" s="114"/>
    </row>
    <row r="607" spans="1:64" ht="19.5" x14ac:dyDescent="0.4">
      <c r="A607" s="117"/>
      <c r="B607" s="123"/>
      <c r="C607" s="123"/>
      <c r="D607" s="123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27"/>
      <c r="Z607" s="29"/>
      <c r="AD607" s="115"/>
      <c r="AE607" s="115"/>
      <c r="AF607" s="115"/>
      <c r="AG607" s="115"/>
      <c r="AH607" s="115"/>
      <c r="AI607" s="115"/>
      <c r="AJ607" s="25"/>
      <c r="AK607" s="15"/>
      <c r="AP607" s="117"/>
      <c r="AQ607" s="123"/>
      <c r="AR607" s="123"/>
      <c r="AS607" s="123"/>
      <c r="AX607" s="115"/>
      <c r="AY607" s="115"/>
      <c r="AZ607" s="115"/>
      <c r="BA607" s="115"/>
      <c r="BB607" s="115"/>
      <c r="BC607" s="115"/>
      <c r="BD607" s="115"/>
      <c r="BE607" s="115"/>
      <c r="BF607" s="115"/>
      <c r="BG607" s="115"/>
      <c r="BH607" s="25"/>
      <c r="BI607" s="13"/>
      <c r="BL607" s="114"/>
    </row>
    <row r="608" spans="1:64" ht="19.5" x14ac:dyDescent="0.4">
      <c r="A608" s="117"/>
      <c r="B608" s="123"/>
      <c r="C608" s="123"/>
      <c r="D608" s="123"/>
      <c r="Y608" s="127"/>
      <c r="Z608" s="29"/>
      <c r="AD608" s="115"/>
      <c r="AE608" s="115"/>
      <c r="AF608" s="115"/>
      <c r="AG608" s="115"/>
      <c r="AH608" s="115"/>
      <c r="AI608" s="115"/>
      <c r="AJ608" s="25">
        <v>45686</v>
      </c>
      <c r="AK608" s="15" t="s">
        <v>148</v>
      </c>
      <c r="AP608" s="117"/>
      <c r="AQ608" s="123"/>
      <c r="AR608" s="123"/>
      <c r="AS608" s="123"/>
      <c r="AX608" s="115"/>
      <c r="AY608" s="115"/>
      <c r="AZ608" s="115"/>
      <c r="BA608" s="115"/>
      <c r="BB608" s="115"/>
      <c r="BC608" s="115"/>
      <c r="BD608" s="115"/>
      <c r="BE608" s="115"/>
      <c r="BF608" s="115"/>
      <c r="BG608" s="115"/>
      <c r="BH608" s="25"/>
      <c r="BI608" s="13"/>
      <c r="BL608" s="114"/>
    </row>
    <row r="609" spans="1:64" ht="19.5" x14ac:dyDescent="0.4">
      <c r="A609" s="117"/>
      <c r="B609" s="123"/>
      <c r="C609" s="123"/>
      <c r="D609" s="123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27"/>
      <c r="Z609" s="29"/>
      <c r="AD609" s="115"/>
      <c r="AE609" s="115"/>
      <c r="AF609" s="115"/>
      <c r="AG609" s="115"/>
      <c r="AH609" s="115"/>
      <c r="AI609" s="115"/>
      <c r="AJ609" s="25"/>
      <c r="AK609" s="15"/>
      <c r="AP609" s="117"/>
      <c r="AQ609" s="123"/>
      <c r="AR609" s="123"/>
      <c r="AS609" s="123"/>
      <c r="AX609" s="115"/>
      <c r="AY609" s="115"/>
      <c r="AZ609" s="115"/>
      <c r="BA609" s="115"/>
      <c r="BB609" s="115"/>
      <c r="BC609" s="115"/>
      <c r="BD609" s="115"/>
      <c r="BE609" s="115"/>
      <c r="BF609" s="115"/>
      <c r="BG609" s="115"/>
      <c r="BH609" s="25"/>
      <c r="BI609" s="13"/>
      <c r="BL609" s="114"/>
    </row>
    <row r="610" spans="1:64" ht="19.5" x14ac:dyDescent="0.4">
      <c r="A610" s="117"/>
      <c r="B610" s="123"/>
      <c r="C610" s="123"/>
      <c r="D610" s="123"/>
      <c r="Y610" s="127"/>
      <c r="Z610" s="29"/>
      <c r="AJ610" s="25">
        <v>45686</v>
      </c>
      <c r="AK610" s="15" t="s">
        <v>146</v>
      </c>
      <c r="AP610" s="117"/>
      <c r="AQ610" s="123"/>
      <c r="AR610" s="123"/>
      <c r="AS610" s="123"/>
      <c r="AX610" s="115"/>
      <c r="AY610" s="115"/>
      <c r="AZ610" s="115"/>
      <c r="BA610" s="115"/>
      <c r="BB610" s="115"/>
      <c r="BC610" s="115"/>
      <c r="BD610" s="115"/>
      <c r="BE610" s="115"/>
      <c r="BF610" s="115"/>
      <c r="BG610" s="115" t="s">
        <v>154</v>
      </c>
      <c r="BH610" s="13">
        <f>SUBTOTAL(3,BH604:BH604)</f>
        <v>1</v>
      </c>
      <c r="BI610" s="13">
        <f>SUBTOTAL(3,BI604:BI604)</f>
        <v>1</v>
      </c>
      <c r="BL610" s="114"/>
    </row>
    <row r="611" spans="1:64" ht="19.5" x14ac:dyDescent="0.4">
      <c r="A611" s="117"/>
      <c r="B611" s="123"/>
      <c r="C611" s="123"/>
      <c r="D611" s="123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27"/>
      <c r="Z611" s="29"/>
      <c r="AJ611" s="25"/>
      <c r="AK611" s="15"/>
      <c r="AP611" s="117"/>
      <c r="AQ611" s="123"/>
      <c r="AR611" s="123"/>
      <c r="AS611" s="123"/>
      <c r="AX611" s="115"/>
      <c r="AY611" s="115"/>
      <c r="AZ611" s="115"/>
      <c r="BA611" s="115"/>
      <c r="BB611" s="115"/>
      <c r="BC611" s="115"/>
      <c r="BD611" s="115"/>
      <c r="BE611" s="115"/>
      <c r="BF611" s="115"/>
      <c r="BG611" s="115"/>
      <c r="BH611" s="13"/>
      <c r="BI611" s="13"/>
      <c r="BL611" s="114"/>
    </row>
    <row r="612" spans="1:64" ht="19.5" x14ac:dyDescent="0.4">
      <c r="A612" s="117"/>
      <c r="B612" s="123"/>
      <c r="C612" s="123"/>
      <c r="D612" s="123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27"/>
      <c r="Z612" s="29"/>
      <c r="AJ612" s="25"/>
      <c r="AK612" s="15"/>
      <c r="AP612" s="117"/>
      <c r="AQ612" s="123"/>
      <c r="AR612" s="123"/>
      <c r="AS612" s="123"/>
      <c r="AX612" s="115"/>
      <c r="AY612" s="115"/>
      <c r="AZ612" s="115"/>
      <c r="BA612" s="115"/>
      <c r="BB612" s="115"/>
      <c r="BC612" s="115"/>
      <c r="BD612" s="115"/>
      <c r="BE612" s="115"/>
      <c r="BF612" s="115"/>
      <c r="BG612" s="115"/>
      <c r="BH612" s="13"/>
      <c r="BI612" s="13"/>
      <c r="BL612" s="114"/>
    </row>
    <row r="613" spans="1:64" ht="19.5" x14ac:dyDescent="0.4">
      <c r="A613" s="117"/>
      <c r="B613" s="123"/>
      <c r="C613" s="123"/>
      <c r="D613" s="123"/>
      <c r="Y613" s="127"/>
      <c r="Z613" s="29"/>
      <c r="AJ613" s="25">
        <v>45686</v>
      </c>
      <c r="AK613" s="15" t="s">
        <v>146</v>
      </c>
      <c r="AP613" s="117"/>
      <c r="AQ613" s="123"/>
      <c r="AR613" s="123"/>
      <c r="AS613" s="123"/>
      <c r="AX613" s="115"/>
      <c r="AY613" s="115"/>
      <c r="AZ613" s="115"/>
      <c r="BA613" s="115"/>
      <c r="BB613" s="115"/>
      <c r="BC613" s="115"/>
      <c r="BD613" s="115"/>
      <c r="BE613" s="115"/>
      <c r="BF613" s="115"/>
      <c r="BG613" s="115"/>
      <c r="BH613" s="25">
        <v>45265</v>
      </c>
      <c r="BI613" s="13" t="s">
        <v>162</v>
      </c>
      <c r="BL613" s="114"/>
    </row>
    <row r="614" spans="1:64" ht="19.5" x14ac:dyDescent="0.4">
      <c r="A614" s="117"/>
      <c r="B614" s="123"/>
      <c r="C614" s="123"/>
      <c r="D614" s="123"/>
      <c r="Y614" s="127"/>
      <c r="Z614" s="29"/>
      <c r="AJ614" s="25">
        <v>45686</v>
      </c>
      <c r="AK614" s="15" t="s">
        <v>146</v>
      </c>
      <c r="AP614" s="117"/>
      <c r="AQ614" s="123"/>
      <c r="AR614" s="123"/>
      <c r="AS614" s="123"/>
      <c r="AX614" s="115"/>
      <c r="AY614" s="115"/>
      <c r="AZ614" s="115"/>
      <c r="BA614" s="115"/>
      <c r="BB614" s="115"/>
      <c r="BC614" s="115"/>
      <c r="BD614" s="115"/>
      <c r="BE614" s="115"/>
      <c r="BF614" s="115"/>
      <c r="BG614" s="115"/>
      <c r="BH614" s="25">
        <v>45265</v>
      </c>
      <c r="BI614" s="25" t="s">
        <v>162</v>
      </c>
      <c r="BL614" s="114"/>
    </row>
    <row r="615" spans="1:64" ht="19.5" x14ac:dyDescent="0.4">
      <c r="A615" s="117"/>
      <c r="B615" s="123"/>
      <c r="C615" s="123"/>
      <c r="D615" s="123"/>
      <c r="Y615" s="127"/>
      <c r="Z615" s="29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25">
        <v>45686</v>
      </c>
      <c r="AK615" s="15" t="s">
        <v>146</v>
      </c>
      <c r="AP615" s="117"/>
      <c r="AQ615" s="123"/>
      <c r="AR615" s="123"/>
      <c r="AS615" s="123"/>
      <c r="AX615" s="115"/>
      <c r="AY615" s="115"/>
      <c r="AZ615" s="115"/>
      <c r="BA615" s="115"/>
      <c r="BB615" s="115"/>
      <c r="BC615" s="115"/>
      <c r="BD615" s="115"/>
      <c r="BE615" s="115"/>
      <c r="BF615" s="115"/>
      <c r="BG615" s="115"/>
      <c r="BH615" s="25"/>
      <c r="BI615" s="25"/>
      <c r="BL615" s="114"/>
    </row>
    <row r="616" spans="1:64" ht="19.5" x14ac:dyDescent="0.4">
      <c r="A616" s="117"/>
      <c r="B616" s="123"/>
      <c r="C616" s="123"/>
      <c r="D616" s="123"/>
      <c r="Y616" s="128"/>
      <c r="Z616" s="29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25"/>
      <c r="AK616" s="13"/>
      <c r="AP616" s="117"/>
      <c r="AQ616" s="123"/>
      <c r="AR616" s="123"/>
      <c r="AS616" s="123"/>
      <c r="AX616" s="115"/>
      <c r="AY616" s="115"/>
      <c r="AZ616" s="115"/>
      <c r="BA616" s="115"/>
      <c r="BB616" s="115"/>
      <c r="BC616" s="115"/>
      <c r="BD616" s="115"/>
      <c r="BE616" s="115"/>
      <c r="BF616" s="115"/>
      <c r="BG616" s="115"/>
      <c r="BH616" s="25"/>
      <c r="BI616" s="25"/>
      <c r="BL616" s="114"/>
    </row>
    <row r="617" spans="1:64" ht="19.5" x14ac:dyDescent="0.4">
      <c r="A617" s="117"/>
      <c r="B617" s="123"/>
      <c r="C617" s="123"/>
      <c r="D617" s="123"/>
      <c r="Y617" s="127"/>
      <c r="Z617" s="29"/>
      <c r="AJ617" s="25">
        <v>45686</v>
      </c>
      <c r="AK617" s="13" t="s">
        <v>146</v>
      </c>
      <c r="AP617" s="117"/>
      <c r="AQ617" s="123"/>
      <c r="AR617" s="123"/>
      <c r="AS617" s="123"/>
      <c r="AX617" s="115"/>
      <c r="AY617" s="115"/>
      <c r="AZ617" s="115"/>
      <c r="BA617" s="115"/>
      <c r="BB617" s="115"/>
      <c r="BC617" s="115"/>
      <c r="BD617" s="115"/>
      <c r="BE617" s="115"/>
      <c r="BF617" s="115"/>
      <c r="BG617" s="115"/>
      <c r="BH617" s="25">
        <v>45265</v>
      </c>
      <c r="BI617" s="13" t="s">
        <v>162</v>
      </c>
      <c r="BL617" s="114"/>
    </row>
    <row r="618" spans="1:64" ht="19.5" x14ac:dyDescent="0.4">
      <c r="A618" s="117"/>
      <c r="B618" s="123"/>
      <c r="C618" s="123"/>
      <c r="D618" s="123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27"/>
      <c r="Z618" s="29"/>
      <c r="AJ618" s="25"/>
      <c r="AK618" s="13"/>
      <c r="AP618" s="117"/>
      <c r="AQ618" s="123"/>
      <c r="AR618" s="123"/>
      <c r="AS618" s="123"/>
      <c r="AX618" s="115"/>
      <c r="AY618" s="115"/>
      <c r="AZ618" s="115"/>
      <c r="BA618" s="115"/>
      <c r="BB618" s="115"/>
      <c r="BC618" s="115"/>
      <c r="BD618" s="115"/>
      <c r="BE618" s="115"/>
      <c r="BF618" s="115"/>
      <c r="BG618" s="115"/>
      <c r="BH618" s="25"/>
      <c r="BI618" s="13"/>
      <c r="BL618" s="114"/>
    </row>
    <row r="619" spans="1:64" ht="19.5" x14ac:dyDescent="0.4">
      <c r="A619" s="117"/>
      <c r="B619" s="123"/>
      <c r="C619" s="123"/>
      <c r="D619" s="123"/>
      <c r="Y619" s="127"/>
      <c r="Z619" s="29"/>
      <c r="AF619" s="115"/>
      <c r="AG619" s="115"/>
      <c r="AH619" s="115"/>
      <c r="AI619" s="115"/>
      <c r="AJ619" s="25">
        <v>45686</v>
      </c>
      <c r="AK619" s="15" t="s">
        <v>146</v>
      </c>
      <c r="AP619" s="117"/>
      <c r="AQ619" s="123"/>
      <c r="AR619" s="123"/>
      <c r="AS619" s="123"/>
      <c r="AX619" s="115"/>
      <c r="AY619" s="115"/>
      <c r="AZ619" s="115"/>
      <c r="BA619" s="115"/>
      <c r="BB619" s="115"/>
      <c r="BC619" s="115"/>
      <c r="BD619" s="115"/>
      <c r="BE619" s="115"/>
      <c r="BF619" s="115"/>
      <c r="BG619" s="115"/>
      <c r="BH619" s="25"/>
      <c r="BI619" s="13"/>
      <c r="BL619" s="114"/>
    </row>
    <row r="620" spans="1:64" ht="19.5" x14ac:dyDescent="0.4">
      <c r="A620" s="117"/>
      <c r="B620" s="123"/>
      <c r="C620" s="123"/>
      <c r="D620" s="123"/>
      <c r="Y620" s="127"/>
      <c r="Z620" s="29"/>
      <c r="AJ620" s="25">
        <v>45686</v>
      </c>
      <c r="AK620" s="15" t="s">
        <v>147</v>
      </c>
      <c r="AP620" s="117"/>
      <c r="AQ620" s="123"/>
      <c r="AR620" s="123"/>
      <c r="AS620" s="123"/>
      <c r="AX620" s="115"/>
      <c r="AY620" s="115"/>
      <c r="AZ620" s="115"/>
      <c r="BA620" s="115"/>
      <c r="BB620" s="115"/>
      <c r="BC620" s="115"/>
      <c r="BD620" s="115"/>
      <c r="BE620" s="115"/>
      <c r="BF620" s="115"/>
      <c r="BG620" s="115"/>
      <c r="BH620" s="25">
        <v>45265</v>
      </c>
      <c r="BI620" s="13" t="s">
        <v>162</v>
      </c>
      <c r="BL620" s="114"/>
    </row>
    <row r="621" spans="1:64" ht="19.5" x14ac:dyDescent="0.4">
      <c r="A621" s="117"/>
      <c r="B621" s="123"/>
      <c r="C621" s="123"/>
      <c r="D621" s="123"/>
      <c r="Y621" s="127"/>
      <c r="Z621" s="29"/>
      <c r="AG621" s="115"/>
      <c r="AH621" s="115"/>
      <c r="AI621" s="115"/>
      <c r="AJ621" s="25">
        <v>45686</v>
      </c>
      <c r="AK621" s="15" t="s">
        <v>147</v>
      </c>
      <c r="AP621" s="117"/>
      <c r="AQ621" s="123"/>
      <c r="AR621" s="123"/>
      <c r="AS621" s="123"/>
      <c r="AX621" s="115"/>
      <c r="AY621" s="115"/>
      <c r="AZ621" s="115"/>
      <c r="BA621" s="115"/>
      <c r="BB621" s="115"/>
      <c r="BC621" s="115"/>
      <c r="BD621" s="115"/>
      <c r="BE621" s="115"/>
      <c r="BF621" s="115"/>
      <c r="BG621" s="115"/>
      <c r="BH621" s="25"/>
      <c r="BI621" s="13"/>
      <c r="BL621" s="114"/>
    </row>
    <row r="622" spans="1:64" ht="19.5" x14ac:dyDescent="0.4">
      <c r="A622" s="117"/>
      <c r="B622" s="123"/>
      <c r="C622" s="123"/>
      <c r="D622" s="123"/>
      <c r="Y622" s="127"/>
      <c r="Z622" s="29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25">
        <v>45686</v>
      </c>
      <c r="AK622" s="13" t="s">
        <v>146</v>
      </c>
      <c r="AP622" s="117"/>
      <c r="AQ622" s="123"/>
      <c r="AR622" s="123"/>
      <c r="AS622" s="123"/>
      <c r="AX622" s="115"/>
      <c r="AY622" s="115"/>
      <c r="AZ622" s="115"/>
      <c r="BA622" s="115"/>
      <c r="BB622" s="115"/>
      <c r="BC622" s="115"/>
      <c r="BD622" s="115"/>
      <c r="BE622" s="115"/>
      <c r="BF622" s="115"/>
      <c r="BG622" s="115"/>
      <c r="BH622" s="25"/>
      <c r="BI622" s="13"/>
      <c r="BL622" s="114"/>
    </row>
    <row r="623" spans="1:64" ht="19.5" x14ac:dyDescent="0.4">
      <c r="A623" s="117"/>
      <c r="B623" s="123"/>
      <c r="C623" s="123"/>
      <c r="D623" s="123"/>
      <c r="Y623" s="127"/>
      <c r="Z623" s="29"/>
      <c r="AJ623" s="25">
        <v>45686</v>
      </c>
      <c r="AK623" s="25" t="s">
        <v>146</v>
      </c>
      <c r="AP623" s="117"/>
      <c r="AQ623" s="123"/>
      <c r="AR623" s="123"/>
      <c r="AS623" s="123"/>
      <c r="AX623" s="115"/>
      <c r="AY623" s="115"/>
      <c r="AZ623" s="115"/>
      <c r="BA623" s="115"/>
      <c r="BB623" s="115"/>
      <c r="BC623" s="115"/>
      <c r="BD623" s="115"/>
      <c r="BE623" s="115"/>
      <c r="BF623" s="115"/>
      <c r="BG623" s="115"/>
      <c r="BH623" s="25">
        <v>45265</v>
      </c>
      <c r="BI623" s="13" t="s">
        <v>163</v>
      </c>
      <c r="BL623" s="114"/>
    </row>
    <row r="624" spans="1:64" ht="19.5" x14ac:dyDescent="0.4">
      <c r="A624" s="117"/>
      <c r="B624" s="123"/>
      <c r="C624" s="123"/>
      <c r="D624" s="123"/>
      <c r="Y624" s="127"/>
      <c r="Z624" s="29"/>
      <c r="AJ624" s="25">
        <v>45686</v>
      </c>
      <c r="AK624" s="25" t="s">
        <v>147</v>
      </c>
      <c r="AP624" s="117"/>
      <c r="AQ624" s="123"/>
      <c r="AR624" s="123"/>
      <c r="AS624" s="123"/>
      <c r="AX624" s="115"/>
      <c r="AY624" s="115"/>
      <c r="AZ624" s="115"/>
      <c r="BA624" s="115"/>
      <c r="BB624" s="115"/>
      <c r="BC624" s="115"/>
      <c r="BD624" s="115"/>
      <c r="BE624" s="115"/>
      <c r="BF624" s="115"/>
      <c r="BG624" s="115" t="s">
        <v>155</v>
      </c>
      <c r="BH624" s="13">
        <f>SUBTOTAL(3,BH613:BH623)</f>
        <v>5</v>
      </c>
      <c r="BI624" s="13">
        <f>SUBTOTAL(3,BI613:BI623)</f>
        <v>5</v>
      </c>
      <c r="BL624" s="114"/>
    </row>
    <row r="625" spans="1:64" ht="19.5" x14ac:dyDescent="0.4">
      <c r="A625" s="117"/>
      <c r="B625" s="123"/>
      <c r="C625" s="123"/>
      <c r="D625" s="123"/>
      <c r="Y625" s="127"/>
      <c r="Z625" s="29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25">
        <v>45686</v>
      </c>
      <c r="AK625" s="25" t="s">
        <v>148</v>
      </c>
      <c r="AP625" s="117"/>
      <c r="AQ625" s="123"/>
      <c r="AR625" s="123"/>
      <c r="AS625" s="123"/>
      <c r="AX625" s="115"/>
      <c r="AY625" s="115"/>
      <c r="AZ625" s="115"/>
      <c r="BA625" s="115"/>
      <c r="BB625" s="115"/>
      <c r="BC625" s="115"/>
      <c r="BD625" s="115"/>
      <c r="BE625" s="115"/>
      <c r="BF625" s="115"/>
      <c r="BG625" s="115"/>
      <c r="BH625" s="13"/>
      <c r="BI625" s="13"/>
      <c r="BL625" s="114"/>
    </row>
    <row r="626" spans="1:64" ht="19.5" x14ac:dyDescent="0.4">
      <c r="A626" s="117"/>
      <c r="B626" s="123"/>
      <c r="C626" s="123"/>
      <c r="D626" s="123"/>
      <c r="Y626" s="127"/>
      <c r="Z626" s="29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25">
        <v>45686</v>
      </c>
      <c r="AK626" s="13" t="s">
        <v>146</v>
      </c>
      <c r="AP626" s="117"/>
      <c r="AQ626" s="123"/>
      <c r="AR626" s="123"/>
      <c r="AS626" s="123"/>
      <c r="AX626" s="115"/>
      <c r="AY626" s="115"/>
      <c r="AZ626" s="115"/>
      <c r="BA626" s="115"/>
      <c r="BB626" s="115"/>
      <c r="BC626" s="115"/>
      <c r="BD626" s="115"/>
      <c r="BE626" s="115"/>
      <c r="BF626" s="115"/>
      <c r="BG626" s="115"/>
      <c r="BH626" s="13"/>
      <c r="BI626" s="13"/>
      <c r="BL626" s="114"/>
    </row>
    <row r="627" spans="1:64" ht="19.5" x14ac:dyDescent="0.4">
      <c r="A627" s="117"/>
      <c r="B627" s="123"/>
      <c r="C627" s="123"/>
      <c r="D627" s="123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27"/>
      <c r="Z627" s="29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25">
        <v>45686</v>
      </c>
      <c r="AK627" s="13" t="s">
        <v>146</v>
      </c>
      <c r="AP627" s="117"/>
      <c r="AQ627" s="123"/>
      <c r="AR627" s="123"/>
      <c r="AS627" s="123"/>
      <c r="AX627" s="115"/>
      <c r="AY627" s="115"/>
      <c r="AZ627" s="115"/>
      <c r="BA627" s="115"/>
      <c r="BB627" s="115"/>
      <c r="BC627" s="115"/>
      <c r="BD627" s="115"/>
      <c r="BE627" s="115"/>
      <c r="BF627" s="115"/>
      <c r="BG627" s="115"/>
      <c r="BH627" s="13"/>
      <c r="BI627" s="13"/>
      <c r="BL627" s="114"/>
    </row>
    <row r="628" spans="1:64" ht="19.5" x14ac:dyDescent="0.4">
      <c r="A628" s="117"/>
      <c r="B628" s="123"/>
      <c r="C628" s="123"/>
      <c r="D628" s="123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27"/>
      <c r="Z628" s="29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25">
        <v>45686</v>
      </c>
      <c r="AK628" s="15" t="s">
        <v>148</v>
      </c>
      <c r="AP628" s="117"/>
      <c r="AQ628" s="123"/>
      <c r="AR628" s="123"/>
      <c r="AS628" s="123"/>
      <c r="AX628" s="115"/>
      <c r="AY628" s="115"/>
      <c r="AZ628" s="115"/>
      <c r="BA628" s="115"/>
      <c r="BB628" s="115"/>
      <c r="BC628" s="115"/>
      <c r="BD628" s="115"/>
      <c r="BE628" s="115"/>
      <c r="BF628" s="115"/>
      <c r="BG628" s="115"/>
      <c r="BH628" s="13"/>
      <c r="BI628" s="13"/>
      <c r="BL628" s="114"/>
    </row>
    <row r="629" spans="1:64" ht="19.5" x14ac:dyDescent="0.4">
      <c r="A629" s="117"/>
      <c r="B629" s="123"/>
      <c r="C629" s="123"/>
      <c r="D629" s="123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27"/>
      <c r="Z629" s="29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25">
        <v>45686</v>
      </c>
      <c r="AK629" s="15" t="s">
        <v>148</v>
      </c>
      <c r="AP629" s="117"/>
      <c r="AQ629" s="123"/>
      <c r="AR629" s="123"/>
      <c r="AS629" s="123"/>
      <c r="AX629" s="115"/>
      <c r="AY629" s="115"/>
      <c r="AZ629" s="115"/>
      <c r="BA629" s="115"/>
      <c r="BB629" s="115"/>
      <c r="BC629" s="115"/>
      <c r="BD629" s="115"/>
      <c r="BE629" s="115"/>
      <c r="BF629" s="115"/>
      <c r="BG629" s="115"/>
      <c r="BH629" s="13"/>
      <c r="BI629" s="13"/>
      <c r="BL629" s="114"/>
    </row>
    <row r="630" spans="1:64" ht="19.5" x14ac:dyDescent="0.4">
      <c r="A630" s="117"/>
      <c r="B630" s="123"/>
      <c r="C630" s="123"/>
      <c r="D630" s="123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27"/>
      <c r="Z630" s="29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25">
        <v>45686</v>
      </c>
      <c r="AK630" s="15" t="s">
        <v>148</v>
      </c>
      <c r="AP630" s="117"/>
      <c r="AQ630" s="123"/>
      <c r="AR630" s="123"/>
      <c r="AS630" s="123"/>
      <c r="AX630" s="115"/>
      <c r="AY630" s="115"/>
      <c r="AZ630" s="115"/>
      <c r="BA630" s="115"/>
      <c r="BB630" s="115"/>
      <c r="BC630" s="115"/>
      <c r="BD630" s="115"/>
      <c r="BE630" s="115"/>
      <c r="BF630" s="115"/>
      <c r="BG630" s="115"/>
      <c r="BH630" s="13"/>
      <c r="BI630" s="13"/>
      <c r="BL630" s="114"/>
    </row>
    <row r="631" spans="1:64" ht="19.5" x14ac:dyDescent="0.4">
      <c r="A631" s="117"/>
      <c r="B631" s="123"/>
      <c r="C631" s="123"/>
      <c r="D631" s="123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27"/>
      <c r="Z631" s="29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25">
        <v>45686</v>
      </c>
      <c r="AK631" s="15" t="s">
        <v>146</v>
      </c>
      <c r="AP631" s="117"/>
      <c r="AQ631" s="123"/>
      <c r="AR631" s="123"/>
      <c r="AS631" s="123"/>
      <c r="AX631" s="115"/>
      <c r="AY631" s="115"/>
      <c r="AZ631" s="115"/>
      <c r="BA631" s="115"/>
      <c r="BB631" s="115"/>
      <c r="BC631" s="115"/>
      <c r="BD631" s="115"/>
      <c r="BE631" s="115"/>
      <c r="BF631" s="115"/>
      <c r="BG631" s="115"/>
      <c r="BH631" s="13"/>
      <c r="BI631" s="13"/>
      <c r="BL631" s="114"/>
    </row>
    <row r="632" spans="1:64" ht="19.5" x14ac:dyDescent="0.4">
      <c r="A632" s="117"/>
      <c r="B632" s="123"/>
      <c r="C632" s="123"/>
      <c r="D632" s="123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27"/>
      <c r="Z632" s="29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25">
        <v>45686</v>
      </c>
      <c r="AK632" s="15" t="s">
        <v>148</v>
      </c>
      <c r="AP632" s="117"/>
      <c r="AQ632" s="123"/>
      <c r="AR632" s="123"/>
      <c r="AS632" s="123"/>
      <c r="AX632" s="115"/>
      <c r="AY632" s="115"/>
      <c r="AZ632" s="115"/>
      <c r="BA632" s="115"/>
      <c r="BB632" s="115"/>
      <c r="BC632" s="115"/>
      <c r="BD632" s="115"/>
      <c r="BE632" s="115"/>
      <c r="BF632" s="115"/>
      <c r="BG632" s="115"/>
      <c r="BH632" s="13"/>
      <c r="BI632" s="13"/>
      <c r="BL632" s="114"/>
    </row>
    <row r="633" spans="1:64" ht="19.5" x14ac:dyDescent="0.4">
      <c r="A633" s="117"/>
      <c r="B633" s="123"/>
      <c r="C633" s="123"/>
      <c r="D633" s="123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27"/>
      <c r="Z633" s="29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25">
        <v>45689</v>
      </c>
      <c r="AK633" s="15" t="s">
        <v>147</v>
      </c>
      <c r="AP633" s="117"/>
      <c r="AQ633" s="123"/>
      <c r="AR633" s="123"/>
      <c r="AS633" s="123"/>
      <c r="AX633" s="115"/>
      <c r="AY633" s="115"/>
      <c r="AZ633" s="115"/>
      <c r="BA633" s="115"/>
      <c r="BB633" s="115"/>
      <c r="BC633" s="115"/>
      <c r="BD633" s="115"/>
      <c r="BE633" s="115"/>
      <c r="BF633" s="115"/>
      <c r="BG633" s="115"/>
      <c r="BH633" s="13"/>
      <c r="BI633" s="13"/>
      <c r="BL633" s="114"/>
    </row>
    <row r="634" spans="1:64" ht="19.5" x14ac:dyDescent="0.4">
      <c r="A634" s="117"/>
      <c r="B634" s="123"/>
      <c r="C634" s="123"/>
      <c r="D634" s="123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27"/>
      <c r="Z634" s="29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25"/>
      <c r="AK634" s="15"/>
      <c r="AP634" s="117"/>
      <c r="AQ634" s="123"/>
      <c r="AR634" s="123"/>
      <c r="AS634" s="123"/>
      <c r="AX634" s="115"/>
      <c r="AY634" s="115"/>
      <c r="AZ634" s="115"/>
      <c r="BA634" s="115"/>
      <c r="BB634" s="115"/>
      <c r="BC634" s="115"/>
      <c r="BD634" s="115"/>
      <c r="BE634" s="115"/>
      <c r="BF634" s="115"/>
      <c r="BG634" s="115"/>
      <c r="BH634" s="13"/>
      <c r="BI634" s="13"/>
      <c r="BL634" s="114"/>
    </row>
    <row r="635" spans="1:64" ht="19.5" x14ac:dyDescent="0.4">
      <c r="A635" s="117"/>
      <c r="B635" s="123"/>
      <c r="C635" s="123"/>
      <c r="D635" s="123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27"/>
      <c r="Z635" s="29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25">
        <v>45689</v>
      </c>
      <c r="AK635" s="15" t="s">
        <v>147</v>
      </c>
      <c r="AP635" s="117"/>
      <c r="AQ635" s="123"/>
      <c r="AR635" s="123"/>
      <c r="AS635" s="123"/>
      <c r="AX635" s="115"/>
      <c r="AY635" s="115"/>
      <c r="AZ635" s="115"/>
      <c r="BA635" s="115"/>
      <c r="BB635" s="115"/>
      <c r="BC635" s="115"/>
      <c r="BD635" s="115"/>
      <c r="BE635" s="115"/>
      <c r="BF635" s="115"/>
      <c r="BG635" s="115"/>
      <c r="BH635" s="13"/>
      <c r="BI635" s="13"/>
      <c r="BL635" s="114"/>
    </row>
    <row r="636" spans="1:64" ht="19.5" x14ac:dyDescent="0.4">
      <c r="A636" s="117"/>
      <c r="B636" s="123"/>
      <c r="C636" s="123"/>
      <c r="D636" s="123"/>
      <c r="Y636" s="127"/>
      <c r="Z636" s="29"/>
      <c r="AJ636" s="25">
        <v>45689</v>
      </c>
      <c r="AK636" s="15" t="s">
        <v>146</v>
      </c>
      <c r="AP636" s="117"/>
      <c r="AQ636" s="123"/>
      <c r="AR636" s="123"/>
      <c r="AS636" s="123"/>
      <c r="AU636" s="115"/>
      <c r="AV636" s="115"/>
      <c r="AW636" s="115"/>
      <c r="AX636" s="115"/>
      <c r="AY636" s="115"/>
      <c r="AZ636" s="115"/>
      <c r="BA636" s="115"/>
      <c r="BB636" s="115"/>
      <c r="BC636" s="115"/>
      <c r="BD636" s="115"/>
      <c r="BE636" s="115"/>
      <c r="BF636" s="115"/>
      <c r="BG636" s="115"/>
      <c r="BH636" s="25">
        <v>45266</v>
      </c>
      <c r="BI636" s="25" t="s">
        <v>162</v>
      </c>
      <c r="BL636" s="114"/>
    </row>
    <row r="637" spans="1:64" ht="19.5" x14ac:dyDescent="0.4">
      <c r="A637" s="117"/>
      <c r="B637" s="123"/>
      <c r="C637" s="123"/>
      <c r="D637" s="123"/>
      <c r="Y637" s="128"/>
      <c r="Z637" s="29"/>
      <c r="AJ637" s="25"/>
      <c r="AK637" s="15"/>
      <c r="AP637" s="117"/>
      <c r="AQ637" s="123"/>
      <c r="AR637" s="123"/>
      <c r="AS637" s="123"/>
      <c r="AU637" s="115"/>
      <c r="AV637" s="115"/>
      <c r="AW637" s="115"/>
      <c r="AX637" s="115"/>
      <c r="AY637" s="115"/>
      <c r="AZ637" s="115"/>
      <c r="BA637" s="115"/>
      <c r="BB637" s="115"/>
      <c r="BC637" s="115"/>
      <c r="BD637" s="115"/>
      <c r="BE637" s="115"/>
      <c r="BF637" s="115"/>
      <c r="BG637" s="115"/>
      <c r="BH637" s="25"/>
      <c r="BI637" s="25"/>
      <c r="BL637" s="114"/>
    </row>
    <row r="638" spans="1:64" ht="19.5" x14ac:dyDescent="0.4">
      <c r="A638" s="117"/>
      <c r="B638" s="123"/>
      <c r="C638" s="123"/>
      <c r="D638" s="123"/>
      <c r="Y638" s="127"/>
      <c r="Z638" s="29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25">
        <v>45689</v>
      </c>
      <c r="AK638" s="15" t="s">
        <v>146</v>
      </c>
      <c r="AP638" s="117"/>
      <c r="AQ638" s="123"/>
      <c r="AR638" s="123"/>
      <c r="AS638" s="123"/>
      <c r="AU638" s="115"/>
      <c r="AV638" s="115"/>
      <c r="AW638" s="115"/>
      <c r="AX638" s="115"/>
      <c r="AY638" s="115"/>
      <c r="AZ638" s="115"/>
      <c r="BA638" s="115"/>
      <c r="BB638" s="115"/>
      <c r="BC638" s="115"/>
      <c r="BD638" s="115"/>
      <c r="BE638" s="115"/>
      <c r="BF638" s="115"/>
      <c r="BG638" s="115"/>
      <c r="BH638" s="25"/>
      <c r="BI638" s="25"/>
      <c r="BL638" s="114"/>
    </row>
    <row r="639" spans="1:64" ht="19.5" x14ac:dyDescent="0.4">
      <c r="A639" s="117"/>
      <c r="B639" s="123"/>
      <c r="C639" s="123"/>
      <c r="D639" s="123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27"/>
      <c r="Z639" s="29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25"/>
      <c r="AK639" s="15"/>
      <c r="AP639" s="117"/>
      <c r="AQ639" s="123"/>
      <c r="AR639" s="123"/>
      <c r="AS639" s="123"/>
      <c r="AU639" s="115"/>
      <c r="AV639" s="115"/>
      <c r="AW639" s="115"/>
      <c r="AX639" s="115"/>
      <c r="AY639" s="115"/>
      <c r="AZ639" s="115"/>
      <c r="BA639" s="115"/>
      <c r="BB639" s="115"/>
      <c r="BC639" s="115"/>
      <c r="BD639" s="115"/>
      <c r="BE639" s="115"/>
      <c r="BF639" s="115"/>
      <c r="BG639" s="115"/>
      <c r="BH639" s="25"/>
      <c r="BI639" s="25"/>
      <c r="BL639" s="114"/>
    </row>
    <row r="640" spans="1:64" ht="19.5" x14ac:dyDescent="0.4">
      <c r="A640" s="117"/>
      <c r="B640" s="123"/>
      <c r="C640" s="123"/>
      <c r="D640" s="123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27"/>
      <c r="Z640" s="29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25"/>
      <c r="AK640" s="15"/>
      <c r="AP640" s="117"/>
      <c r="AQ640" s="123"/>
      <c r="AR640" s="123"/>
      <c r="AS640" s="123"/>
      <c r="AU640" s="115"/>
      <c r="AV640" s="115"/>
      <c r="AW640" s="115"/>
      <c r="AX640" s="115"/>
      <c r="AY640" s="115"/>
      <c r="AZ640" s="115"/>
      <c r="BA640" s="115"/>
      <c r="BB640" s="115"/>
      <c r="BC640" s="115"/>
      <c r="BD640" s="115"/>
      <c r="BE640" s="115"/>
      <c r="BF640" s="115"/>
      <c r="BG640" s="115"/>
      <c r="BH640" s="25"/>
      <c r="BI640" s="25"/>
      <c r="BL640" s="114"/>
    </row>
    <row r="641" spans="1:64" ht="19.5" x14ac:dyDescent="0.4">
      <c r="A641" s="117"/>
      <c r="B641" s="123"/>
      <c r="C641" s="123"/>
      <c r="D641" s="123"/>
      <c r="Y641" s="127"/>
      <c r="Z641" s="29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25">
        <v>45690</v>
      </c>
      <c r="AK641" s="15" t="s">
        <v>146</v>
      </c>
      <c r="AP641" s="117"/>
      <c r="AQ641" s="123"/>
      <c r="AR641" s="123"/>
      <c r="AS641" s="123"/>
      <c r="AU641" s="115"/>
      <c r="AV641" s="115"/>
      <c r="AW641" s="115"/>
      <c r="AX641" s="115"/>
      <c r="AY641" s="115"/>
      <c r="AZ641" s="115"/>
      <c r="BA641" s="115"/>
      <c r="BB641" s="115"/>
      <c r="BC641" s="115"/>
      <c r="BD641" s="115"/>
      <c r="BE641" s="115"/>
      <c r="BF641" s="115"/>
      <c r="BG641" s="115"/>
      <c r="BH641" s="25"/>
      <c r="BI641" s="25"/>
      <c r="BL641" s="114"/>
    </row>
    <row r="642" spans="1:64" ht="19.5" x14ac:dyDescent="0.4">
      <c r="A642" s="117"/>
      <c r="B642" s="123"/>
      <c r="C642" s="123"/>
      <c r="D642" s="123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27"/>
      <c r="Z642" s="29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25"/>
      <c r="AK642" s="15"/>
      <c r="AP642" s="117"/>
      <c r="AQ642" s="123"/>
      <c r="AR642" s="123"/>
      <c r="AS642" s="123"/>
      <c r="AU642" s="115"/>
      <c r="AV642" s="115"/>
      <c r="AW642" s="115"/>
      <c r="AX642" s="115"/>
      <c r="AY642" s="115"/>
      <c r="AZ642" s="115"/>
      <c r="BA642" s="115"/>
      <c r="BB642" s="115"/>
      <c r="BC642" s="115"/>
      <c r="BD642" s="115"/>
      <c r="BE642" s="115"/>
      <c r="BF642" s="115"/>
      <c r="BG642" s="115"/>
      <c r="BH642" s="25"/>
      <c r="BI642" s="25"/>
      <c r="BL642" s="114"/>
    </row>
    <row r="643" spans="1:64" ht="19.5" x14ac:dyDescent="0.4">
      <c r="A643" s="117"/>
      <c r="B643" s="123"/>
      <c r="C643" s="123"/>
      <c r="D643" s="123"/>
      <c r="Y643" s="127"/>
      <c r="Z643" s="29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25">
        <v>45691</v>
      </c>
      <c r="AK643" s="15" t="s">
        <v>146</v>
      </c>
      <c r="AP643" s="117"/>
      <c r="AQ643" s="123"/>
      <c r="AR643" s="123"/>
      <c r="AS643" s="123"/>
      <c r="AU643" s="115"/>
      <c r="AV643" s="115"/>
      <c r="AW643" s="115"/>
      <c r="AX643" s="115"/>
      <c r="AY643" s="115"/>
      <c r="AZ643" s="115"/>
      <c r="BA643" s="115"/>
      <c r="BB643" s="115"/>
      <c r="BC643" s="115"/>
      <c r="BD643" s="115"/>
      <c r="BE643" s="115"/>
      <c r="BF643" s="115"/>
      <c r="BG643" s="115"/>
      <c r="BH643" s="25"/>
      <c r="BI643" s="25"/>
      <c r="BL643" s="114"/>
    </row>
    <row r="644" spans="1:64" ht="19.5" x14ac:dyDescent="0.4">
      <c r="A644" s="117"/>
      <c r="B644" s="123"/>
      <c r="C644" s="123"/>
      <c r="D644" s="123"/>
      <c r="Y644" s="127"/>
      <c r="Z644" s="29"/>
      <c r="AJ644" s="25">
        <v>45691</v>
      </c>
      <c r="AK644" s="15" t="s">
        <v>146</v>
      </c>
      <c r="AP644" s="117"/>
      <c r="AQ644" s="123"/>
      <c r="AR644" s="123"/>
      <c r="AS644" s="123"/>
      <c r="AU644" s="115"/>
      <c r="AV644" s="115"/>
      <c r="AW644" s="115"/>
      <c r="AX644" s="115"/>
      <c r="AY644" s="115"/>
      <c r="AZ644" s="115"/>
      <c r="BA644" s="115"/>
      <c r="BB644" s="115"/>
      <c r="BC644" s="115"/>
      <c r="BD644" s="115"/>
      <c r="BE644" s="115"/>
      <c r="BF644" s="115"/>
      <c r="BG644" s="115" t="s">
        <v>156</v>
      </c>
      <c r="BH644" s="13">
        <f>SUBTOTAL(3,BH636:BH636)</f>
        <v>1</v>
      </c>
      <c r="BI644" s="13">
        <f>SUBTOTAL(3,BI636:BI636)</f>
        <v>1</v>
      </c>
      <c r="BL644" s="114"/>
    </row>
    <row r="645" spans="1:64" ht="19.5" x14ac:dyDescent="0.4">
      <c r="A645" s="117"/>
      <c r="B645" s="123"/>
      <c r="C645" s="123"/>
      <c r="D645" s="123"/>
      <c r="Y645" s="127"/>
      <c r="Z645" s="29"/>
      <c r="AF645" s="115"/>
      <c r="AG645" s="115"/>
      <c r="AH645" s="115"/>
      <c r="AI645" s="115"/>
      <c r="AJ645" s="25">
        <v>45691</v>
      </c>
      <c r="AK645" s="15" t="s">
        <v>146</v>
      </c>
      <c r="AP645" s="117"/>
      <c r="AQ645" s="123"/>
      <c r="AR645" s="123"/>
      <c r="AS645" s="123"/>
      <c r="AU645" s="115"/>
      <c r="AV645" s="115"/>
      <c r="AW645" s="115"/>
      <c r="AX645" s="115"/>
      <c r="AY645" s="115"/>
      <c r="AZ645" s="115"/>
      <c r="BA645" s="115"/>
      <c r="BB645" s="115"/>
      <c r="BC645" s="115"/>
      <c r="BD645" s="115"/>
      <c r="BE645" s="115"/>
      <c r="BF645" s="115"/>
      <c r="BG645" s="115"/>
      <c r="BH645" s="13"/>
      <c r="BI645" s="13"/>
      <c r="BL645" s="114"/>
    </row>
    <row r="646" spans="1:64" ht="19.5" x14ac:dyDescent="0.4">
      <c r="A646" s="117"/>
      <c r="B646" s="123"/>
      <c r="C646" s="123"/>
      <c r="D646" s="123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27"/>
      <c r="Z646" s="29"/>
      <c r="AF646" s="115"/>
      <c r="AG646" s="115"/>
      <c r="AH646" s="115"/>
      <c r="AI646" s="115"/>
      <c r="AJ646" s="25"/>
      <c r="AK646" s="15"/>
      <c r="AP646" s="117"/>
      <c r="AQ646" s="123"/>
      <c r="AR646" s="123"/>
      <c r="AS646" s="123"/>
      <c r="AU646" s="115"/>
      <c r="AV646" s="115"/>
      <c r="AW646" s="115"/>
      <c r="AX646" s="115"/>
      <c r="AY646" s="115"/>
      <c r="AZ646" s="115"/>
      <c r="BA646" s="115"/>
      <c r="BB646" s="115"/>
      <c r="BC646" s="115"/>
      <c r="BD646" s="115"/>
      <c r="BE646" s="115"/>
      <c r="BF646" s="115"/>
      <c r="BG646" s="115"/>
      <c r="BH646" s="13"/>
      <c r="BI646" s="13"/>
      <c r="BL646" s="114"/>
    </row>
    <row r="647" spans="1:64" ht="19.5" x14ac:dyDescent="0.4">
      <c r="A647" s="117"/>
      <c r="B647" s="123"/>
      <c r="C647" s="123"/>
      <c r="D647" s="123"/>
      <c r="Y647" s="127"/>
      <c r="Z647" s="29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25">
        <v>45691</v>
      </c>
      <c r="AK647" s="15" t="s">
        <v>146</v>
      </c>
      <c r="AP647" s="117"/>
      <c r="AQ647" s="123"/>
      <c r="AR647" s="123"/>
      <c r="AS647" s="123"/>
      <c r="AU647" s="115"/>
      <c r="AV647" s="115"/>
      <c r="AW647" s="115"/>
      <c r="AX647" s="115"/>
      <c r="AY647" s="115"/>
      <c r="AZ647" s="115"/>
      <c r="BA647" s="115"/>
      <c r="BB647" s="115"/>
      <c r="BC647" s="115"/>
      <c r="BD647" s="115"/>
      <c r="BE647" s="115"/>
      <c r="BF647" s="115"/>
      <c r="BG647" s="115"/>
      <c r="BH647" s="13"/>
      <c r="BI647" s="13"/>
      <c r="BL647" s="114"/>
    </row>
    <row r="648" spans="1:64" ht="19.5" x14ac:dyDescent="0.4">
      <c r="A648" s="117"/>
      <c r="B648" s="123"/>
      <c r="C648" s="123"/>
      <c r="D648" s="123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27"/>
      <c r="Z648" s="29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25"/>
      <c r="AK648" s="15"/>
      <c r="AP648" s="117"/>
      <c r="AQ648" s="123"/>
      <c r="AR648" s="123"/>
      <c r="AS648" s="123"/>
      <c r="AU648" s="115"/>
      <c r="AV648" s="115"/>
      <c r="AW648" s="115"/>
      <c r="AX648" s="115"/>
      <c r="AY648" s="115"/>
      <c r="AZ648" s="115"/>
      <c r="BA648" s="115"/>
      <c r="BB648" s="115"/>
      <c r="BC648" s="115"/>
      <c r="BD648" s="115"/>
      <c r="BE648" s="115"/>
      <c r="BF648" s="115"/>
      <c r="BG648" s="115"/>
      <c r="BH648" s="13"/>
      <c r="BI648" s="13"/>
      <c r="BL648" s="114"/>
    </row>
    <row r="649" spans="1:64" ht="19.5" x14ac:dyDescent="0.4">
      <c r="A649" s="117"/>
      <c r="B649" s="123"/>
      <c r="C649" s="123"/>
      <c r="D649" s="123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27"/>
      <c r="Z649" s="29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25"/>
      <c r="AK649" s="15"/>
      <c r="AP649" s="117"/>
      <c r="AQ649" s="123"/>
      <c r="AR649" s="123"/>
      <c r="AS649" s="123"/>
      <c r="AU649" s="115"/>
      <c r="AV649" s="115"/>
      <c r="AW649" s="115"/>
      <c r="AX649" s="115"/>
      <c r="AY649" s="115"/>
      <c r="AZ649" s="115"/>
      <c r="BA649" s="115"/>
      <c r="BB649" s="115"/>
      <c r="BC649" s="115"/>
      <c r="BD649" s="115"/>
      <c r="BE649" s="115"/>
      <c r="BF649" s="115"/>
      <c r="BG649" s="115"/>
      <c r="BH649" s="13"/>
      <c r="BI649" s="13"/>
      <c r="BL649" s="114"/>
    </row>
    <row r="650" spans="1:64" ht="19.5" x14ac:dyDescent="0.4">
      <c r="A650" s="117"/>
      <c r="B650" s="123"/>
      <c r="C650" s="123"/>
      <c r="D650" s="123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27"/>
      <c r="Z650" s="29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25"/>
      <c r="AK650" s="15"/>
      <c r="AP650" s="117"/>
      <c r="AQ650" s="123"/>
      <c r="AR650" s="123"/>
      <c r="AS650" s="123"/>
      <c r="AU650" s="115"/>
      <c r="AV650" s="115"/>
      <c r="AW650" s="115"/>
      <c r="AX650" s="115"/>
      <c r="AY650" s="115"/>
      <c r="AZ650" s="115"/>
      <c r="BA650" s="115"/>
      <c r="BB650" s="115"/>
      <c r="BC650" s="115"/>
      <c r="BD650" s="115"/>
      <c r="BE650" s="115"/>
      <c r="BF650" s="115"/>
      <c r="BG650" s="115"/>
      <c r="BH650" s="13"/>
      <c r="BI650" s="13"/>
      <c r="BL650" s="114"/>
    </row>
    <row r="651" spans="1:64" ht="19.5" x14ac:dyDescent="0.4">
      <c r="A651" s="117"/>
      <c r="B651" s="123"/>
      <c r="C651" s="123"/>
      <c r="D651" s="123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28"/>
      <c r="Z651" s="29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25"/>
      <c r="AK651" s="15"/>
      <c r="AP651" s="117"/>
      <c r="AQ651" s="123"/>
      <c r="AR651" s="123"/>
      <c r="AS651" s="123"/>
      <c r="AU651" s="115"/>
      <c r="AV651" s="115"/>
      <c r="AW651" s="115"/>
      <c r="AX651" s="115"/>
      <c r="AY651" s="115"/>
      <c r="AZ651" s="115"/>
      <c r="BA651" s="115"/>
      <c r="BB651" s="115"/>
      <c r="BC651" s="115"/>
      <c r="BD651" s="115"/>
      <c r="BE651" s="115"/>
      <c r="BF651" s="115"/>
      <c r="BG651" s="115"/>
      <c r="BH651" s="13"/>
      <c r="BI651" s="13"/>
      <c r="BL651" s="114"/>
    </row>
    <row r="652" spans="1:64" ht="19.5" x14ac:dyDescent="0.4">
      <c r="A652" s="117"/>
      <c r="B652" s="123"/>
      <c r="C652" s="123"/>
      <c r="D652" s="123"/>
      <c r="Y652" s="127"/>
      <c r="Z652" s="29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25">
        <v>45692</v>
      </c>
      <c r="AK652" s="15" t="s">
        <v>146</v>
      </c>
      <c r="AP652" s="117"/>
      <c r="AQ652" s="123"/>
      <c r="AR652" s="123"/>
      <c r="AS652" s="123"/>
      <c r="AU652" s="115"/>
      <c r="AV652" s="115"/>
      <c r="AW652" s="115"/>
      <c r="AX652" s="115"/>
      <c r="AY652" s="115"/>
      <c r="AZ652" s="115"/>
      <c r="BA652" s="115"/>
      <c r="BB652" s="115"/>
      <c r="BC652" s="115"/>
      <c r="BD652" s="115"/>
      <c r="BE652" s="115"/>
      <c r="BF652" s="115"/>
      <c r="BG652" s="115"/>
      <c r="BH652" s="13"/>
      <c r="BI652" s="13"/>
      <c r="BL652" s="114"/>
    </row>
    <row r="653" spans="1:64" ht="19.5" x14ac:dyDescent="0.4">
      <c r="A653" s="117"/>
      <c r="B653" s="123"/>
      <c r="C653" s="123"/>
      <c r="D653" s="123"/>
      <c r="Y653" s="128"/>
      <c r="Z653" s="29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25"/>
      <c r="AK653" s="15"/>
      <c r="AP653" s="117"/>
      <c r="AQ653" s="123"/>
      <c r="AR653" s="123"/>
      <c r="AS653" s="123"/>
      <c r="AU653" s="115"/>
      <c r="AV653" s="115"/>
      <c r="AW653" s="115"/>
      <c r="AX653" s="115"/>
      <c r="AY653" s="115"/>
      <c r="AZ653" s="115"/>
      <c r="BA653" s="115"/>
      <c r="BB653" s="115"/>
      <c r="BC653" s="115"/>
      <c r="BD653" s="115"/>
      <c r="BE653" s="115"/>
      <c r="BF653" s="115"/>
      <c r="BG653" s="115"/>
      <c r="BH653" s="13"/>
      <c r="BI653" s="13"/>
      <c r="BL653" s="114"/>
    </row>
    <row r="654" spans="1:64" ht="19.5" x14ac:dyDescent="0.4">
      <c r="A654" s="117"/>
      <c r="B654" s="123"/>
      <c r="C654" s="123"/>
      <c r="D654" s="123"/>
      <c r="Y654" s="127"/>
      <c r="Z654" s="29"/>
      <c r="AJ654" s="25">
        <v>45692</v>
      </c>
      <c r="AK654" s="15" t="s">
        <v>146</v>
      </c>
      <c r="AP654" s="117"/>
      <c r="AQ654" s="123"/>
      <c r="AR654" s="123"/>
      <c r="AS654" s="123"/>
      <c r="AU654" s="115"/>
      <c r="AV654" s="115"/>
      <c r="AW654" s="115"/>
      <c r="AX654" s="115"/>
      <c r="AY654" s="115"/>
      <c r="AZ654" s="115"/>
      <c r="BA654" s="115"/>
      <c r="BB654" s="115"/>
      <c r="BC654" s="115"/>
      <c r="BD654" s="115"/>
      <c r="BE654" s="115"/>
      <c r="BF654" s="115"/>
      <c r="BG654" s="115"/>
      <c r="BH654" s="25">
        <v>45267</v>
      </c>
      <c r="BI654" s="13" t="s">
        <v>142</v>
      </c>
      <c r="BL654" s="114"/>
    </row>
    <row r="655" spans="1:64" ht="19.5" x14ac:dyDescent="0.4">
      <c r="A655" s="117"/>
      <c r="B655" s="123"/>
      <c r="C655" s="123"/>
      <c r="D655" s="123"/>
      <c r="Y655" s="127"/>
      <c r="Z655" s="29"/>
      <c r="AF655" s="115"/>
      <c r="AG655" s="115"/>
      <c r="AH655" s="115"/>
      <c r="AI655" s="115"/>
      <c r="AJ655" s="25">
        <v>45692</v>
      </c>
      <c r="AK655" s="15" t="s">
        <v>146</v>
      </c>
      <c r="AP655" s="117"/>
      <c r="AQ655" s="123"/>
      <c r="AR655" s="123"/>
      <c r="AS655" s="123"/>
      <c r="AU655" s="115"/>
      <c r="AV655" s="115"/>
      <c r="AW655" s="115"/>
      <c r="AX655" s="115"/>
      <c r="AY655" s="115"/>
      <c r="AZ655" s="115"/>
      <c r="BA655" s="115"/>
      <c r="BB655" s="115"/>
      <c r="BC655" s="115"/>
      <c r="BD655" s="115"/>
      <c r="BE655" s="115"/>
      <c r="BF655" s="115"/>
      <c r="BG655" s="115"/>
      <c r="BH655" s="25"/>
      <c r="BI655" s="13"/>
      <c r="BL655" s="114"/>
    </row>
    <row r="656" spans="1:64" ht="19.5" x14ac:dyDescent="0.4">
      <c r="A656" s="117"/>
      <c r="B656" s="123"/>
      <c r="C656" s="123"/>
      <c r="D656" s="123"/>
      <c r="Y656" s="127"/>
      <c r="Z656" s="29"/>
      <c r="AB656" s="115"/>
      <c r="AC656" s="115"/>
      <c r="AD656" s="115"/>
      <c r="AE656" s="115"/>
      <c r="AF656" s="115"/>
      <c r="AG656" s="115"/>
      <c r="AH656" s="115"/>
      <c r="AI656" s="115"/>
      <c r="AJ656" s="25">
        <v>45692</v>
      </c>
      <c r="AK656" s="15" t="s">
        <v>146</v>
      </c>
      <c r="AP656" s="117"/>
      <c r="AQ656" s="123"/>
      <c r="AR656" s="123"/>
      <c r="AS656" s="123"/>
      <c r="AU656" s="115"/>
      <c r="AV656" s="115"/>
      <c r="AW656" s="115"/>
      <c r="AX656" s="115"/>
      <c r="AY656" s="115"/>
      <c r="AZ656" s="115"/>
      <c r="BA656" s="115"/>
      <c r="BB656" s="115"/>
      <c r="BC656" s="115"/>
      <c r="BD656" s="115"/>
      <c r="BE656" s="115"/>
      <c r="BF656" s="115"/>
      <c r="BG656" s="115"/>
      <c r="BH656" s="25"/>
      <c r="BI656" s="13"/>
      <c r="BL656" s="114"/>
    </row>
    <row r="657" spans="1:64" ht="19.5" x14ac:dyDescent="0.4">
      <c r="A657" s="117"/>
      <c r="B657" s="123"/>
      <c r="C657" s="123"/>
      <c r="D657" s="123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27"/>
      <c r="Z657" s="29"/>
      <c r="AB657" s="115"/>
      <c r="AC657" s="115"/>
      <c r="AD657" s="115"/>
      <c r="AE657" s="115"/>
      <c r="AF657" s="115"/>
      <c r="AG657" s="115"/>
      <c r="AH657" s="115"/>
      <c r="AI657" s="115"/>
      <c r="AJ657" s="25"/>
      <c r="AK657" s="15"/>
      <c r="AP657" s="117"/>
      <c r="AQ657" s="123"/>
      <c r="AR657" s="123"/>
      <c r="AS657" s="123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115"/>
      <c r="BE657" s="115"/>
      <c r="BF657" s="115"/>
      <c r="BG657" s="115"/>
      <c r="BH657" s="25"/>
      <c r="BI657" s="13"/>
      <c r="BL657" s="114"/>
    </row>
    <row r="658" spans="1:64" ht="19.5" x14ac:dyDescent="0.4">
      <c r="A658" s="117"/>
      <c r="B658" s="123"/>
      <c r="C658" s="123"/>
      <c r="D658" s="123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28"/>
      <c r="Z658" s="29"/>
      <c r="AB658" s="115"/>
      <c r="AC658" s="115"/>
      <c r="AD658" s="115"/>
      <c r="AE658" s="115"/>
      <c r="AF658" s="115"/>
      <c r="AG658" s="115"/>
      <c r="AH658" s="115"/>
      <c r="AI658" s="115"/>
      <c r="AJ658" s="25"/>
      <c r="AK658" s="15"/>
      <c r="AP658" s="117"/>
      <c r="AQ658" s="123"/>
      <c r="AR658" s="123"/>
      <c r="AS658" s="123"/>
      <c r="AU658" s="115"/>
      <c r="AV658" s="115"/>
      <c r="AW658" s="115"/>
      <c r="AX658" s="115"/>
      <c r="AY658" s="115"/>
      <c r="AZ658" s="115"/>
      <c r="BA658" s="115"/>
      <c r="BB658" s="115"/>
      <c r="BC658" s="115"/>
      <c r="BD658" s="115"/>
      <c r="BE658" s="115"/>
      <c r="BF658" s="115"/>
      <c r="BG658" s="115"/>
      <c r="BH658" s="25"/>
      <c r="BI658" s="13"/>
      <c r="BL658" s="114"/>
    </row>
    <row r="659" spans="1:64" ht="19.5" x14ac:dyDescent="0.4">
      <c r="A659" s="117"/>
      <c r="B659" s="123"/>
      <c r="C659" s="123"/>
      <c r="D659" s="123"/>
      <c r="Y659" s="127"/>
      <c r="Z659" s="29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25">
        <v>45693</v>
      </c>
      <c r="AK659" s="15" t="s">
        <v>146</v>
      </c>
      <c r="AP659" s="117"/>
      <c r="AQ659" s="123"/>
      <c r="AR659" s="123"/>
      <c r="AS659" s="123"/>
      <c r="AU659" s="115"/>
      <c r="AV659" s="115"/>
      <c r="AW659" s="115"/>
      <c r="AX659" s="115"/>
      <c r="AY659" s="115"/>
      <c r="AZ659" s="115"/>
      <c r="BA659" s="115"/>
      <c r="BB659" s="115"/>
      <c r="BC659" s="115"/>
      <c r="BD659" s="115"/>
      <c r="BE659" s="115"/>
      <c r="BF659" s="115"/>
      <c r="BG659" s="115"/>
      <c r="BH659" s="25"/>
      <c r="BI659" s="13"/>
      <c r="BL659" s="114"/>
    </row>
    <row r="660" spans="1:64" ht="19.5" x14ac:dyDescent="0.4">
      <c r="A660" s="117"/>
      <c r="B660" s="123"/>
      <c r="C660" s="123"/>
      <c r="D660" s="123"/>
      <c r="Y660" s="128"/>
      <c r="Z660" s="29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25"/>
      <c r="AK660" s="15"/>
      <c r="AP660" s="117"/>
      <c r="AQ660" s="123"/>
      <c r="AR660" s="123"/>
      <c r="AS660" s="123"/>
      <c r="AU660" s="115"/>
      <c r="AV660" s="115"/>
      <c r="AW660" s="115"/>
      <c r="AX660" s="115"/>
      <c r="AY660" s="115"/>
      <c r="AZ660" s="115"/>
      <c r="BA660" s="115"/>
      <c r="BB660" s="115"/>
      <c r="BC660" s="115"/>
      <c r="BD660" s="115"/>
      <c r="BE660" s="115"/>
      <c r="BF660" s="115"/>
      <c r="BG660" s="115"/>
      <c r="BH660" s="25"/>
      <c r="BI660" s="13"/>
      <c r="BL660" s="114"/>
    </row>
    <row r="661" spans="1:64" ht="19.5" x14ac:dyDescent="0.4">
      <c r="A661" s="117"/>
      <c r="B661" s="123"/>
      <c r="C661" s="123"/>
      <c r="D661" s="123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27"/>
      <c r="Z661" s="29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25"/>
      <c r="AK661" s="15"/>
      <c r="AP661" s="117"/>
      <c r="AQ661" s="123"/>
      <c r="AR661" s="123"/>
      <c r="AS661" s="123"/>
      <c r="AU661" s="115"/>
      <c r="AV661" s="115"/>
      <c r="AW661" s="115"/>
      <c r="AX661" s="115"/>
      <c r="AY661" s="115"/>
      <c r="AZ661" s="115"/>
      <c r="BA661" s="115"/>
      <c r="BB661" s="115"/>
      <c r="BC661" s="115"/>
      <c r="BD661" s="115"/>
      <c r="BE661" s="115"/>
      <c r="BF661" s="115"/>
      <c r="BG661" s="115"/>
      <c r="BH661" s="25"/>
      <c r="BI661" s="13"/>
      <c r="BL661" s="114"/>
    </row>
    <row r="662" spans="1:64" ht="19.5" x14ac:dyDescent="0.4">
      <c r="A662" s="117"/>
      <c r="B662" s="123"/>
      <c r="C662" s="123"/>
      <c r="D662" s="123"/>
      <c r="Y662" s="127"/>
      <c r="Z662" s="29"/>
      <c r="AJ662" s="25">
        <v>45693</v>
      </c>
      <c r="AK662" s="15" t="s">
        <v>146</v>
      </c>
      <c r="AP662" s="117"/>
      <c r="AQ662" s="123"/>
      <c r="AR662" s="123"/>
      <c r="AS662" s="123"/>
      <c r="AU662" s="115"/>
      <c r="AV662" s="115"/>
      <c r="AW662" s="115"/>
      <c r="AX662" s="115"/>
      <c r="AY662" s="115"/>
      <c r="AZ662" s="115"/>
      <c r="BA662" s="115"/>
      <c r="BB662" s="115"/>
      <c r="BC662" s="115"/>
      <c r="BD662" s="115"/>
      <c r="BE662" s="115"/>
      <c r="BF662" s="115"/>
      <c r="BG662" s="115" t="s">
        <v>157</v>
      </c>
      <c r="BH662" s="13">
        <f>SUBTOTAL(3,BH654:BH654)</f>
        <v>1</v>
      </c>
      <c r="BI662" s="13">
        <f>SUBTOTAL(3,BI654:BI654)</f>
        <v>1</v>
      </c>
      <c r="BL662" s="114"/>
    </row>
    <row r="663" spans="1:64" ht="19.5" x14ac:dyDescent="0.4">
      <c r="A663" s="117"/>
      <c r="B663" s="123"/>
      <c r="C663" s="123"/>
      <c r="D663" s="123"/>
      <c r="Y663" s="127"/>
      <c r="Z663" s="29"/>
      <c r="AB663" s="115"/>
      <c r="AC663" s="115"/>
      <c r="AD663" s="115"/>
      <c r="AE663" s="115"/>
      <c r="AF663" s="115"/>
      <c r="AG663" s="115"/>
      <c r="AH663" s="115"/>
      <c r="AI663" s="115"/>
      <c r="AJ663" s="25">
        <v>45693</v>
      </c>
      <c r="AK663" s="15" t="s">
        <v>146</v>
      </c>
      <c r="AP663" s="117"/>
      <c r="AQ663" s="123"/>
      <c r="AR663" s="123"/>
      <c r="AS663" s="123"/>
      <c r="AU663" s="115"/>
      <c r="AV663" s="115"/>
      <c r="AW663" s="115"/>
      <c r="AX663" s="115"/>
      <c r="AY663" s="115"/>
      <c r="AZ663" s="115"/>
      <c r="BA663" s="115"/>
      <c r="BB663" s="115"/>
      <c r="BC663" s="115"/>
      <c r="BD663" s="115"/>
      <c r="BE663" s="115"/>
      <c r="BF663" s="115"/>
      <c r="BG663" s="115"/>
      <c r="BH663" s="13"/>
      <c r="BI663" s="13"/>
      <c r="BL663" s="114"/>
    </row>
    <row r="664" spans="1:64" ht="19.5" x14ac:dyDescent="0.4">
      <c r="A664" s="117"/>
      <c r="B664" s="123"/>
      <c r="C664" s="123"/>
      <c r="D664" s="123"/>
      <c r="Y664" s="128"/>
      <c r="Z664" s="29"/>
      <c r="AB664" s="115"/>
      <c r="AC664" s="115"/>
      <c r="AD664" s="115"/>
      <c r="AE664" s="115"/>
      <c r="AF664" s="115"/>
      <c r="AG664" s="115"/>
      <c r="AH664" s="115"/>
      <c r="AI664" s="115"/>
      <c r="AJ664" s="25"/>
      <c r="AK664" s="15"/>
      <c r="AP664" s="117"/>
      <c r="AQ664" s="123"/>
      <c r="AR664" s="123"/>
      <c r="AS664" s="123"/>
      <c r="AU664" s="115"/>
      <c r="AV664" s="115"/>
      <c r="AW664" s="115"/>
      <c r="AX664" s="115"/>
      <c r="AY664" s="115"/>
      <c r="AZ664" s="115"/>
      <c r="BA664" s="115"/>
      <c r="BB664" s="115"/>
      <c r="BC664" s="115"/>
      <c r="BD664" s="115"/>
      <c r="BE664" s="115"/>
      <c r="BF664" s="115"/>
      <c r="BG664" s="115"/>
      <c r="BH664" s="13"/>
      <c r="BI664" s="13"/>
      <c r="BL664" s="114"/>
    </row>
    <row r="665" spans="1:64" ht="19.5" x14ac:dyDescent="0.4">
      <c r="A665" s="117"/>
      <c r="B665" s="123"/>
      <c r="C665" s="123"/>
      <c r="D665" s="123"/>
      <c r="Y665" s="128"/>
      <c r="Z665" s="29"/>
      <c r="AB665" s="115"/>
      <c r="AC665" s="115"/>
      <c r="AD665" s="115"/>
      <c r="AE665" s="115"/>
      <c r="AF665" s="115"/>
      <c r="AG665" s="115"/>
      <c r="AH665" s="115"/>
      <c r="AI665" s="115"/>
      <c r="AJ665" s="25"/>
      <c r="AK665" s="15"/>
      <c r="AP665" s="117"/>
      <c r="AQ665" s="123"/>
      <c r="AR665" s="123"/>
      <c r="AS665" s="123"/>
      <c r="AU665" s="115"/>
      <c r="AV665" s="115"/>
      <c r="AW665" s="115"/>
      <c r="AX665" s="115"/>
      <c r="AY665" s="115"/>
      <c r="AZ665" s="115"/>
      <c r="BA665" s="115"/>
      <c r="BB665" s="115"/>
      <c r="BC665" s="115"/>
      <c r="BD665" s="115"/>
      <c r="BE665" s="115"/>
      <c r="BF665" s="115"/>
      <c r="BG665" s="115"/>
      <c r="BH665" s="13"/>
      <c r="BI665" s="13"/>
      <c r="BL665" s="114"/>
    </row>
    <row r="666" spans="1:64" ht="19.5" x14ac:dyDescent="0.4">
      <c r="A666" s="117"/>
      <c r="B666" s="123"/>
      <c r="C666" s="123"/>
      <c r="D666" s="123"/>
      <c r="Y666" s="127"/>
      <c r="Z666" s="29"/>
      <c r="AB666" s="115"/>
      <c r="AC666" s="115"/>
      <c r="AD666" s="115"/>
      <c r="AE666" s="115"/>
      <c r="AF666" s="115"/>
      <c r="AG666" s="115"/>
      <c r="AH666" s="115"/>
      <c r="AI666" s="115"/>
      <c r="AJ666" s="25">
        <v>45694</v>
      </c>
      <c r="AK666" s="15" t="s">
        <v>147</v>
      </c>
      <c r="AP666" s="117"/>
      <c r="AQ666" s="123"/>
      <c r="AR666" s="123"/>
      <c r="AS666" s="123"/>
      <c r="AU666" s="115"/>
      <c r="AV666" s="115"/>
      <c r="AW666" s="115"/>
      <c r="AX666" s="115"/>
      <c r="AY666" s="115"/>
      <c r="AZ666" s="115"/>
      <c r="BA666" s="115"/>
      <c r="BB666" s="115"/>
      <c r="BC666" s="115"/>
      <c r="BD666" s="115"/>
      <c r="BE666" s="115"/>
      <c r="BF666" s="115"/>
      <c r="BG666" s="115"/>
      <c r="BH666" s="13"/>
      <c r="BI666" s="13"/>
      <c r="BL666" s="114"/>
    </row>
    <row r="667" spans="1:64" ht="19.5" x14ac:dyDescent="0.4">
      <c r="A667" s="117"/>
      <c r="B667" s="123"/>
      <c r="C667" s="123"/>
      <c r="D667" s="123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29"/>
      <c r="Z667" s="29"/>
      <c r="AB667" s="115"/>
      <c r="AC667" s="115"/>
      <c r="AD667" s="115"/>
      <c r="AE667" s="115"/>
      <c r="AF667" s="115"/>
      <c r="AG667" s="115"/>
      <c r="AH667" s="115"/>
      <c r="AI667" s="115"/>
      <c r="AJ667" s="25"/>
      <c r="AK667" s="15"/>
      <c r="AP667" s="117"/>
      <c r="AQ667" s="123"/>
      <c r="AR667" s="123"/>
      <c r="AS667" s="123"/>
      <c r="AU667" s="115"/>
      <c r="AV667" s="115"/>
      <c r="AW667" s="115"/>
      <c r="AX667" s="115"/>
      <c r="AY667" s="115"/>
      <c r="AZ667" s="115"/>
      <c r="BA667" s="115"/>
      <c r="BB667" s="115"/>
      <c r="BC667" s="115"/>
      <c r="BD667" s="115"/>
      <c r="BE667" s="115"/>
      <c r="BF667" s="115"/>
      <c r="BG667" s="115"/>
      <c r="BH667" s="13"/>
      <c r="BI667" s="13"/>
      <c r="BL667" s="114"/>
    </row>
    <row r="668" spans="1:64" ht="19.5" x14ac:dyDescent="0.4">
      <c r="A668" s="117"/>
      <c r="B668" s="123"/>
      <c r="C668" s="123"/>
      <c r="D668" s="123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29"/>
      <c r="Z668" s="29"/>
      <c r="AB668" s="115"/>
      <c r="AC668" s="115"/>
      <c r="AD668" s="115"/>
      <c r="AE668" s="115"/>
      <c r="AF668" s="115"/>
      <c r="AG668" s="115"/>
      <c r="AH668" s="115"/>
      <c r="AI668" s="115"/>
      <c r="AJ668" s="25"/>
      <c r="AK668" s="15"/>
      <c r="AP668" s="117"/>
      <c r="AQ668" s="123"/>
      <c r="AR668" s="123"/>
      <c r="AS668" s="123"/>
      <c r="AU668" s="115"/>
      <c r="AV668" s="115"/>
      <c r="AW668" s="115"/>
      <c r="AX668" s="115"/>
      <c r="AY668" s="115"/>
      <c r="AZ668" s="115"/>
      <c r="BA668" s="115"/>
      <c r="BB668" s="115"/>
      <c r="BC668" s="115"/>
      <c r="BD668" s="115"/>
      <c r="BE668" s="115"/>
      <c r="BF668" s="115"/>
      <c r="BG668" s="115"/>
      <c r="BH668" s="13"/>
      <c r="BI668" s="13"/>
      <c r="BL668" s="114"/>
    </row>
    <row r="669" spans="1:64" ht="19.5" x14ac:dyDescent="0.4">
      <c r="A669" s="117"/>
      <c r="B669" s="123"/>
      <c r="C669" s="123"/>
      <c r="D669" s="123"/>
      <c r="Y669" s="127"/>
      <c r="Z669" s="29"/>
      <c r="AB669" s="115"/>
      <c r="AC669" s="115"/>
      <c r="AD669" s="115"/>
      <c r="AE669" s="115"/>
      <c r="AF669" s="115"/>
      <c r="AG669" s="115"/>
      <c r="AH669" s="115"/>
      <c r="AI669" s="115"/>
      <c r="AJ669" s="25">
        <v>45694</v>
      </c>
      <c r="AK669" s="105" t="s">
        <v>147</v>
      </c>
      <c r="AP669" s="117"/>
      <c r="AQ669" s="123"/>
      <c r="AR669" s="123"/>
      <c r="AS669" s="123"/>
      <c r="AU669" s="115"/>
      <c r="AV669" s="115"/>
      <c r="AW669" s="115"/>
      <c r="AX669" s="115"/>
      <c r="AY669" s="115"/>
      <c r="AZ669" s="115"/>
      <c r="BA669" s="115"/>
      <c r="BB669" s="115"/>
      <c r="BC669" s="115"/>
      <c r="BD669" s="115"/>
      <c r="BE669" s="115"/>
      <c r="BF669" s="115"/>
      <c r="BG669" s="115"/>
      <c r="BH669" s="13"/>
      <c r="BI669" s="13"/>
      <c r="BL669" s="114"/>
    </row>
    <row r="670" spans="1:64" ht="19.5" x14ac:dyDescent="0.4">
      <c r="A670" s="117"/>
      <c r="B670" s="123"/>
      <c r="C670" s="123"/>
      <c r="D670" s="123"/>
      <c r="Y670" s="127"/>
      <c r="Z670" s="29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25">
        <v>45694</v>
      </c>
      <c r="AK670" s="15" t="s">
        <v>147</v>
      </c>
      <c r="AP670" s="117"/>
      <c r="AQ670" s="123"/>
      <c r="AR670" s="123"/>
      <c r="AS670" s="123"/>
      <c r="AU670" s="115"/>
      <c r="AV670" s="115"/>
      <c r="AW670" s="115"/>
      <c r="AX670" s="115"/>
      <c r="AY670" s="115"/>
      <c r="AZ670" s="115"/>
      <c r="BA670" s="115"/>
      <c r="BB670" s="115"/>
      <c r="BC670" s="115"/>
      <c r="BD670" s="115"/>
      <c r="BE670" s="115"/>
      <c r="BF670" s="115"/>
      <c r="BG670" s="115"/>
      <c r="BH670" s="13"/>
      <c r="BI670" s="13"/>
      <c r="BL670" s="114"/>
    </row>
    <row r="671" spans="1:64" ht="19.5" x14ac:dyDescent="0.4">
      <c r="A671" s="117"/>
      <c r="B671" s="123"/>
      <c r="C671" s="123"/>
      <c r="D671" s="123"/>
      <c r="Y671" s="127"/>
      <c r="Z671" s="29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26">
        <v>45694</v>
      </c>
      <c r="AK671" s="15" t="s">
        <v>148</v>
      </c>
      <c r="AP671" s="117"/>
      <c r="AQ671" s="123"/>
      <c r="AR671" s="123"/>
      <c r="AS671" s="123"/>
      <c r="AU671" s="115"/>
      <c r="AV671" s="115"/>
      <c r="AW671" s="115"/>
      <c r="AX671" s="115"/>
      <c r="AY671" s="115"/>
      <c r="AZ671" s="115"/>
      <c r="BA671" s="115"/>
      <c r="BB671" s="115"/>
      <c r="BC671" s="115"/>
      <c r="BD671" s="115"/>
      <c r="BE671" s="115"/>
      <c r="BF671" s="115"/>
      <c r="BG671" s="115"/>
      <c r="BH671" s="13"/>
      <c r="BI671" s="13"/>
      <c r="BL671" s="114"/>
    </row>
    <row r="672" spans="1:64" ht="19.5" x14ac:dyDescent="0.4">
      <c r="A672" s="117"/>
      <c r="B672" s="123"/>
      <c r="C672" s="123"/>
      <c r="D672" s="123"/>
      <c r="Y672" s="127"/>
      <c r="Z672" s="29"/>
      <c r="AJ672" s="26">
        <v>45694</v>
      </c>
      <c r="AK672" s="13" t="s">
        <v>147</v>
      </c>
      <c r="AP672" s="117"/>
      <c r="AQ672" s="123"/>
      <c r="AR672" s="123"/>
      <c r="AS672" s="123"/>
      <c r="AU672" s="115"/>
      <c r="AV672" s="115"/>
      <c r="AW672" s="115"/>
      <c r="AX672" s="115"/>
      <c r="AY672" s="115"/>
      <c r="AZ672" s="115"/>
      <c r="BA672" s="115"/>
      <c r="BB672" s="115"/>
      <c r="BC672" s="115"/>
      <c r="BD672" s="115"/>
      <c r="BE672" s="115"/>
      <c r="BF672" s="115"/>
      <c r="BG672" s="115"/>
      <c r="BH672" s="25">
        <v>45268</v>
      </c>
      <c r="BI672" s="13" t="s">
        <v>162</v>
      </c>
      <c r="BL672" s="114"/>
    </row>
    <row r="673" spans="1:64" ht="19.5" x14ac:dyDescent="0.4">
      <c r="A673" s="117"/>
      <c r="B673" s="123"/>
      <c r="C673" s="123"/>
      <c r="D673" s="123"/>
      <c r="Y673" s="127"/>
      <c r="Z673" s="29"/>
      <c r="AB673" s="115"/>
      <c r="AC673" s="115"/>
      <c r="AD673" s="115"/>
      <c r="AE673" s="115"/>
      <c r="AF673" s="115"/>
      <c r="AG673" s="115"/>
      <c r="AH673" s="115"/>
      <c r="AI673" s="115"/>
      <c r="AJ673" s="26">
        <v>45694</v>
      </c>
      <c r="AK673" s="13" t="s">
        <v>147</v>
      </c>
      <c r="AP673" s="117"/>
      <c r="AQ673" s="123"/>
      <c r="AR673" s="123"/>
      <c r="AS673" s="123"/>
      <c r="AU673" s="115"/>
      <c r="AV673" s="115"/>
      <c r="AW673" s="115"/>
      <c r="AX673" s="115"/>
      <c r="AY673" s="115"/>
      <c r="AZ673" s="115"/>
      <c r="BA673" s="115"/>
      <c r="BB673" s="115"/>
      <c r="BC673" s="115"/>
      <c r="BD673" s="115"/>
      <c r="BE673" s="115"/>
      <c r="BF673" s="115"/>
      <c r="BG673" s="115"/>
      <c r="BH673" s="25"/>
      <c r="BI673" s="13"/>
      <c r="BL673" s="114"/>
    </row>
    <row r="674" spans="1:64" ht="19.5" x14ac:dyDescent="0.4">
      <c r="A674" s="117"/>
      <c r="B674" s="123"/>
      <c r="C674" s="123"/>
      <c r="D674" s="123"/>
      <c r="Y674" s="127"/>
      <c r="Z674" s="29"/>
      <c r="AJ674" s="26">
        <v>45694</v>
      </c>
      <c r="AK674" s="13" t="s">
        <v>147</v>
      </c>
      <c r="AP674" s="117"/>
      <c r="AQ674" s="123"/>
      <c r="AR674" s="123"/>
      <c r="AS674" s="123"/>
      <c r="AU674" s="115"/>
      <c r="AV674" s="115"/>
      <c r="AW674" s="115"/>
      <c r="AX674" s="115"/>
      <c r="AY674" s="115"/>
      <c r="AZ674" s="115"/>
      <c r="BA674" s="115"/>
      <c r="BB674" s="115"/>
      <c r="BC674" s="115"/>
      <c r="BD674" s="115"/>
      <c r="BE674" s="115"/>
      <c r="BF674" s="115"/>
      <c r="BG674" s="115"/>
      <c r="BH674" s="25">
        <v>45268</v>
      </c>
      <c r="BI674" s="13" t="s">
        <v>162</v>
      </c>
      <c r="BL674" s="114"/>
    </row>
    <row r="675" spans="1:64" ht="19.5" x14ac:dyDescent="0.4">
      <c r="A675" s="117"/>
      <c r="B675" s="123"/>
      <c r="C675" s="123"/>
      <c r="D675" s="123"/>
      <c r="Y675" s="127"/>
      <c r="Z675" s="29"/>
      <c r="AG675" s="115"/>
      <c r="AH675" s="115"/>
      <c r="AI675" s="115"/>
      <c r="AJ675" s="26">
        <v>45696</v>
      </c>
      <c r="AK675" s="13" t="s">
        <v>147</v>
      </c>
      <c r="AP675" s="117"/>
      <c r="AQ675" s="123"/>
      <c r="AR675" s="123"/>
      <c r="AS675" s="123"/>
      <c r="AU675" s="115"/>
      <c r="AV675" s="115"/>
      <c r="AW675" s="115"/>
      <c r="AX675" s="115"/>
      <c r="AY675" s="115"/>
      <c r="AZ675" s="115"/>
      <c r="BA675" s="115"/>
      <c r="BB675" s="115"/>
      <c r="BC675" s="115"/>
      <c r="BD675" s="115"/>
      <c r="BE675" s="115"/>
      <c r="BF675" s="115"/>
      <c r="BG675" s="115"/>
      <c r="BH675" s="25"/>
      <c r="BI675" s="13"/>
      <c r="BL675" s="114"/>
    </row>
    <row r="676" spans="1:64" ht="19.5" x14ac:dyDescent="0.4">
      <c r="A676" s="117"/>
      <c r="B676" s="123"/>
      <c r="C676" s="123"/>
      <c r="D676" s="123"/>
      <c r="Y676" s="127"/>
      <c r="Z676" s="29"/>
      <c r="AJ676" s="26">
        <v>45698</v>
      </c>
      <c r="AK676" s="13" t="s">
        <v>147</v>
      </c>
      <c r="AP676" s="117"/>
      <c r="AQ676" s="123"/>
      <c r="AR676" s="123"/>
      <c r="AS676" s="123"/>
      <c r="AU676" s="115"/>
      <c r="AV676" s="115"/>
      <c r="AW676" s="115"/>
      <c r="AX676" s="115"/>
      <c r="AY676" s="115"/>
      <c r="AZ676" s="115"/>
      <c r="BA676" s="115"/>
      <c r="BB676" s="115"/>
      <c r="BC676" s="115"/>
      <c r="BD676" s="115"/>
      <c r="BE676" s="115"/>
      <c r="BF676" s="115"/>
      <c r="BG676" s="115"/>
      <c r="BH676" s="25">
        <v>45268</v>
      </c>
      <c r="BI676" s="13" t="s">
        <v>163</v>
      </c>
      <c r="BL676" s="114"/>
    </row>
    <row r="677" spans="1:64" ht="19.5" x14ac:dyDescent="0.4">
      <c r="A677" s="117"/>
      <c r="B677" s="123"/>
      <c r="C677" s="123"/>
      <c r="D677" s="123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29"/>
      <c r="Z677" s="29"/>
      <c r="AJ677" s="26"/>
      <c r="AK677" s="13"/>
      <c r="AP677" s="117"/>
      <c r="AQ677" s="123"/>
      <c r="AR677" s="123"/>
      <c r="AS677" s="123"/>
      <c r="AU677" s="115"/>
      <c r="AV677" s="115"/>
      <c r="AW677" s="115"/>
      <c r="AX677" s="115"/>
      <c r="AY677" s="115"/>
      <c r="AZ677" s="115"/>
      <c r="BA677" s="115"/>
      <c r="BB677" s="115"/>
      <c r="BC677" s="115"/>
      <c r="BD677" s="115"/>
      <c r="BE677" s="115"/>
      <c r="BF677" s="115"/>
      <c r="BG677" s="115"/>
      <c r="BH677" s="25"/>
      <c r="BI677" s="13"/>
      <c r="BL677" s="114"/>
    </row>
    <row r="678" spans="1:64" ht="19.5" x14ac:dyDescent="0.4">
      <c r="A678" s="117"/>
      <c r="B678" s="123"/>
      <c r="C678" s="123"/>
      <c r="D678" s="123"/>
      <c r="Y678" s="127"/>
      <c r="Z678" s="29"/>
      <c r="AG678" s="115"/>
      <c r="AH678" s="115"/>
      <c r="AI678" s="115"/>
      <c r="AJ678" s="26">
        <v>45698</v>
      </c>
      <c r="AK678" s="13" t="s">
        <v>147</v>
      </c>
      <c r="AP678" s="117"/>
      <c r="AQ678" s="123"/>
      <c r="AR678" s="123"/>
      <c r="AS678" s="123"/>
      <c r="AU678" s="115"/>
      <c r="AV678" s="115"/>
      <c r="AW678" s="115"/>
      <c r="AX678" s="115"/>
      <c r="AY678" s="115"/>
      <c r="AZ678" s="115"/>
      <c r="BA678" s="115"/>
      <c r="BB678" s="115"/>
      <c r="BC678" s="115"/>
      <c r="BD678" s="115"/>
      <c r="BE678" s="115"/>
      <c r="BF678" s="115"/>
      <c r="BG678" s="115"/>
      <c r="BH678" s="25"/>
      <c r="BI678" s="13"/>
      <c r="BL678" s="114"/>
    </row>
    <row r="679" spans="1:64" ht="19.5" x14ac:dyDescent="0.4">
      <c r="A679" s="117"/>
      <c r="B679" s="123"/>
      <c r="C679" s="123"/>
      <c r="D679" s="123"/>
      <c r="Y679" s="127"/>
      <c r="Z679" s="29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26">
        <v>45699</v>
      </c>
      <c r="AK679" s="13" t="s">
        <v>148</v>
      </c>
      <c r="AP679" s="117"/>
      <c r="AQ679" s="123"/>
      <c r="AR679" s="123"/>
      <c r="AS679" s="123"/>
      <c r="AU679" s="115"/>
      <c r="AV679" s="115"/>
      <c r="AW679" s="115"/>
      <c r="AX679" s="115"/>
      <c r="AY679" s="115"/>
      <c r="AZ679" s="115"/>
      <c r="BA679" s="115"/>
      <c r="BB679" s="115"/>
      <c r="BC679" s="115"/>
      <c r="BD679" s="115"/>
      <c r="BE679" s="115"/>
      <c r="BF679" s="115"/>
      <c r="BG679" s="115"/>
      <c r="BH679" s="25"/>
      <c r="BI679" s="13"/>
      <c r="BL679" s="114"/>
    </row>
    <row r="680" spans="1:64" ht="19.5" x14ac:dyDescent="0.4">
      <c r="A680" s="117"/>
      <c r="B680" s="123"/>
      <c r="C680" s="123"/>
      <c r="D680" s="123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29"/>
      <c r="Z680" s="29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26"/>
      <c r="AK680" s="13"/>
      <c r="AP680" s="117"/>
      <c r="AQ680" s="123"/>
      <c r="AR680" s="123"/>
      <c r="AS680" s="123"/>
      <c r="AU680" s="115"/>
      <c r="AV680" s="115"/>
      <c r="AW680" s="115"/>
      <c r="AX680" s="115"/>
      <c r="AY680" s="115"/>
      <c r="AZ680" s="115"/>
      <c r="BA680" s="115"/>
      <c r="BB680" s="115"/>
      <c r="BC680" s="115"/>
      <c r="BD680" s="115"/>
      <c r="BE680" s="115"/>
      <c r="BF680" s="115"/>
      <c r="BG680" s="115"/>
      <c r="BH680" s="25"/>
      <c r="BI680" s="13"/>
      <c r="BL680" s="114"/>
    </row>
    <row r="681" spans="1:64" ht="19.5" x14ac:dyDescent="0.4">
      <c r="A681" s="117"/>
      <c r="B681" s="123"/>
      <c r="C681" s="123"/>
      <c r="D681" s="123"/>
      <c r="Y681" s="127"/>
      <c r="Z681" s="29"/>
      <c r="AJ681" s="26">
        <v>45699</v>
      </c>
      <c r="AK681" s="13" t="s">
        <v>148</v>
      </c>
      <c r="AP681" s="117"/>
      <c r="AQ681" s="123"/>
      <c r="AR681" s="123"/>
      <c r="AS681" s="123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115"/>
      <c r="BD681" s="115"/>
      <c r="BE681" s="115"/>
      <c r="BF681" s="115"/>
      <c r="BG681" s="115"/>
      <c r="BH681" s="25">
        <v>45268</v>
      </c>
      <c r="BI681" s="13" t="s">
        <v>163</v>
      </c>
      <c r="BL681" s="114"/>
    </row>
    <row r="682" spans="1:64" ht="19.5" x14ac:dyDescent="0.4">
      <c r="A682" s="117"/>
      <c r="B682" s="123"/>
      <c r="C682" s="123"/>
      <c r="D682" s="123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29"/>
      <c r="Z682" s="29"/>
      <c r="AJ682" s="26"/>
      <c r="AK682" s="13"/>
      <c r="AP682" s="117"/>
      <c r="AQ682" s="123"/>
      <c r="AR682" s="123"/>
      <c r="AS682" s="123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115"/>
      <c r="BD682" s="115"/>
      <c r="BE682" s="115"/>
      <c r="BF682" s="115"/>
      <c r="BG682" s="115"/>
      <c r="BH682" s="25"/>
      <c r="BI682" s="13"/>
      <c r="BL682" s="114"/>
    </row>
    <row r="683" spans="1:64" ht="19.5" x14ac:dyDescent="0.4">
      <c r="A683" s="117"/>
      <c r="B683" s="123"/>
      <c r="C683" s="123"/>
      <c r="D683" s="123"/>
      <c r="Y683" s="127"/>
      <c r="Z683" s="29"/>
      <c r="AC683" s="115"/>
      <c r="AD683" s="115"/>
      <c r="AE683" s="115"/>
      <c r="AF683" s="115"/>
      <c r="AG683" s="115"/>
      <c r="AH683" s="115"/>
      <c r="AI683" s="115"/>
      <c r="AJ683" s="26">
        <v>45699</v>
      </c>
      <c r="AK683" s="13" t="s">
        <v>148</v>
      </c>
      <c r="AP683" s="117"/>
      <c r="AQ683" s="123"/>
      <c r="AR683" s="123"/>
      <c r="AS683" s="123"/>
      <c r="AT683" s="115"/>
      <c r="AU683" s="115"/>
      <c r="AV683" s="115"/>
      <c r="AW683" s="115"/>
      <c r="AX683" s="115"/>
      <c r="AY683" s="115"/>
      <c r="AZ683" s="115"/>
      <c r="BA683" s="115"/>
      <c r="BB683" s="115"/>
      <c r="BC683" s="115"/>
      <c r="BD683" s="115"/>
      <c r="BE683" s="115"/>
      <c r="BF683" s="115"/>
      <c r="BG683" s="115"/>
      <c r="BH683" s="25"/>
      <c r="BI683" s="13"/>
      <c r="BL683" s="114"/>
    </row>
    <row r="684" spans="1:64" ht="19.5" x14ac:dyDescent="0.4">
      <c r="A684" s="117"/>
      <c r="B684" s="123"/>
      <c r="C684" s="123"/>
      <c r="D684" s="123"/>
      <c r="Y684" s="127"/>
      <c r="Z684" s="29"/>
      <c r="AC684" s="115"/>
      <c r="AD684" s="115"/>
      <c r="AE684" s="115"/>
      <c r="AF684" s="115"/>
      <c r="AG684" s="115"/>
      <c r="AH684" s="115"/>
      <c r="AI684" s="115"/>
      <c r="AJ684" s="26">
        <v>45699</v>
      </c>
      <c r="AK684" s="13" t="s">
        <v>148</v>
      </c>
      <c r="AP684" s="117"/>
      <c r="AQ684" s="123"/>
      <c r="AR684" s="123"/>
      <c r="AS684" s="123"/>
      <c r="AT684" s="115"/>
      <c r="AU684" s="115"/>
      <c r="AV684" s="115"/>
      <c r="AW684" s="115"/>
      <c r="AX684" s="115"/>
      <c r="AY684" s="115"/>
      <c r="AZ684" s="115"/>
      <c r="BA684" s="115"/>
      <c r="BB684" s="115"/>
      <c r="BC684" s="115"/>
      <c r="BD684" s="115"/>
      <c r="BE684" s="115"/>
      <c r="BF684" s="115"/>
      <c r="BG684" s="115"/>
      <c r="BH684" s="25"/>
      <c r="BI684" s="13"/>
      <c r="BL684" s="114"/>
    </row>
    <row r="685" spans="1:64" ht="19.5" x14ac:dyDescent="0.4">
      <c r="A685" s="117"/>
      <c r="B685" s="123"/>
      <c r="C685" s="123"/>
      <c r="D685" s="123"/>
      <c r="Y685" s="127"/>
      <c r="Z685" s="29"/>
      <c r="AC685" s="115"/>
      <c r="AD685" s="115"/>
      <c r="AE685" s="115"/>
      <c r="AF685" s="115"/>
      <c r="AG685" s="115"/>
      <c r="AH685" s="115"/>
      <c r="AI685" s="115"/>
      <c r="AJ685" s="26">
        <v>45699</v>
      </c>
      <c r="AK685" s="13" t="s">
        <v>148</v>
      </c>
      <c r="AP685" s="117"/>
      <c r="AQ685" s="123"/>
      <c r="AR685" s="123"/>
      <c r="AS685" s="123"/>
      <c r="AT685" s="115"/>
      <c r="AU685" s="115"/>
      <c r="AV685" s="115"/>
      <c r="AW685" s="115"/>
      <c r="AX685" s="115"/>
      <c r="AY685" s="115"/>
      <c r="AZ685" s="115"/>
      <c r="BA685" s="115"/>
      <c r="BB685" s="115"/>
      <c r="BC685" s="115"/>
      <c r="BD685" s="115"/>
      <c r="BE685" s="115"/>
      <c r="BF685" s="115"/>
      <c r="BG685" s="115"/>
      <c r="BH685" s="25"/>
      <c r="BI685" s="13"/>
      <c r="BL685" s="114"/>
    </row>
    <row r="686" spans="1:64" ht="19.5" x14ac:dyDescent="0.4">
      <c r="A686" s="117"/>
      <c r="B686" s="123"/>
      <c r="C686" s="123"/>
      <c r="D686" s="123"/>
      <c r="Y686" s="127"/>
      <c r="Z686" s="29"/>
      <c r="AJ686" s="26">
        <v>45699</v>
      </c>
      <c r="AK686" s="13" t="s">
        <v>148</v>
      </c>
      <c r="AP686" s="117"/>
      <c r="AQ686" s="123"/>
      <c r="AR686" s="123"/>
      <c r="AS686" s="123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115"/>
      <c r="BD686" s="115"/>
      <c r="BE686" s="115"/>
      <c r="BF686" s="115"/>
      <c r="BG686" s="115" t="s">
        <v>158</v>
      </c>
      <c r="BH686" s="13">
        <f>SUBTOTAL(3,BH672:BH681)</f>
        <v>4</v>
      </c>
      <c r="BI686" s="13">
        <f>SUBTOTAL(3,BI672:BI681)</f>
        <v>4</v>
      </c>
      <c r="BL686" s="114"/>
    </row>
    <row r="687" spans="1:64" ht="19.5" x14ac:dyDescent="0.4">
      <c r="A687" s="117"/>
      <c r="B687" s="123"/>
      <c r="C687" s="123"/>
      <c r="D687" s="123"/>
      <c r="Y687" s="127"/>
      <c r="Z687" s="29"/>
      <c r="AG687" s="115"/>
      <c r="AH687" s="115"/>
      <c r="AI687" s="115"/>
      <c r="AJ687" s="26">
        <v>45706</v>
      </c>
      <c r="AK687" s="13" t="s">
        <v>146</v>
      </c>
      <c r="AP687" s="117"/>
      <c r="AQ687" s="123"/>
      <c r="AR687" s="123"/>
      <c r="AS687" s="123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115"/>
      <c r="BD687" s="115"/>
      <c r="BE687" s="115"/>
      <c r="BF687" s="115"/>
      <c r="BG687" s="115"/>
      <c r="BH687" s="13"/>
      <c r="BI687" s="13"/>
      <c r="BL687" s="114"/>
    </row>
    <row r="688" spans="1:64" ht="19.5" x14ac:dyDescent="0.4">
      <c r="A688" s="117"/>
      <c r="B688" s="123"/>
      <c r="C688" s="123"/>
      <c r="D688" s="123"/>
      <c r="Y688" s="127"/>
      <c r="Z688" s="29"/>
      <c r="AF688" s="115"/>
      <c r="AG688" s="115"/>
      <c r="AH688" s="115"/>
      <c r="AI688" s="115"/>
      <c r="AJ688" s="26">
        <v>45709</v>
      </c>
      <c r="AK688" s="13" t="s">
        <v>148</v>
      </c>
      <c r="AP688" s="117"/>
      <c r="AQ688" s="123"/>
      <c r="AR688" s="123"/>
      <c r="AS688" s="123"/>
      <c r="AT688" s="115"/>
      <c r="AU688" s="115"/>
      <c r="AV688" s="115"/>
      <c r="AW688" s="115"/>
      <c r="AX688" s="115"/>
      <c r="AY688" s="115"/>
      <c r="AZ688" s="115"/>
      <c r="BA688" s="115"/>
      <c r="BB688" s="115"/>
      <c r="BC688" s="115"/>
      <c r="BD688" s="115"/>
      <c r="BE688" s="115"/>
      <c r="BF688" s="115"/>
      <c r="BG688" s="115"/>
      <c r="BH688" s="13"/>
      <c r="BI688" s="13"/>
      <c r="BL688" s="114"/>
    </row>
    <row r="689" spans="1:64" ht="19.5" x14ac:dyDescent="0.4">
      <c r="A689" s="117"/>
      <c r="B689" s="123"/>
      <c r="C689" s="123"/>
      <c r="D689" s="123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29"/>
      <c r="Z689" s="29"/>
      <c r="AF689" s="115"/>
      <c r="AG689" s="115"/>
      <c r="AH689" s="115"/>
      <c r="AI689" s="115"/>
      <c r="AJ689" s="26"/>
      <c r="AK689" s="13"/>
      <c r="AP689" s="117"/>
      <c r="AQ689" s="123"/>
      <c r="AR689" s="123"/>
      <c r="AS689" s="123"/>
      <c r="AT689" s="115"/>
      <c r="AU689" s="115"/>
      <c r="AV689" s="115"/>
      <c r="AW689" s="115"/>
      <c r="AX689" s="115"/>
      <c r="AY689" s="115"/>
      <c r="AZ689" s="115"/>
      <c r="BA689" s="115"/>
      <c r="BB689" s="115"/>
      <c r="BC689" s="115"/>
      <c r="BD689" s="115"/>
      <c r="BE689" s="115"/>
      <c r="BF689" s="115"/>
      <c r="BG689" s="115"/>
      <c r="BH689" s="13"/>
      <c r="BI689" s="13"/>
      <c r="BL689" s="114"/>
    </row>
    <row r="690" spans="1:64" ht="19.5" x14ac:dyDescent="0.4">
      <c r="A690" s="117"/>
      <c r="B690" s="123"/>
      <c r="C690" s="123"/>
      <c r="D690" s="123"/>
      <c r="Y690" s="127"/>
      <c r="Z690" s="29"/>
      <c r="AF690" s="115"/>
      <c r="AG690" s="115"/>
      <c r="AH690" s="115"/>
      <c r="AI690" s="115"/>
      <c r="AJ690" s="26">
        <v>45709</v>
      </c>
      <c r="AK690" s="13" t="s">
        <v>147</v>
      </c>
      <c r="AP690" s="117"/>
      <c r="AQ690" s="123"/>
      <c r="AR690" s="123"/>
      <c r="AS690" s="123"/>
      <c r="AT690" s="115"/>
      <c r="AU690" s="115"/>
      <c r="AV690" s="115"/>
      <c r="AW690" s="115"/>
      <c r="AX690" s="115"/>
      <c r="AY690" s="115"/>
      <c r="AZ690" s="115"/>
      <c r="BA690" s="115"/>
      <c r="BB690" s="115"/>
      <c r="BC690" s="115"/>
      <c r="BD690" s="115"/>
      <c r="BE690" s="115"/>
      <c r="BF690" s="115"/>
      <c r="BG690" s="115"/>
      <c r="BH690" s="13"/>
      <c r="BI690" s="13"/>
      <c r="BL690" s="114"/>
    </row>
    <row r="691" spans="1:64" ht="19.5" x14ac:dyDescent="0.4">
      <c r="A691" s="117"/>
      <c r="B691" s="123"/>
      <c r="C691" s="123"/>
      <c r="D691" s="123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29"/>
      <c r="Z691" s="29"/>
      <c r="AF691" s="115"/>
      <c r="AG691" s="115"/>
      <c r="AH691" s="115"/>
      <c r="AI691" s="115"/>
      <c r="AJ691" s="26"/>
      <c r="AK691" s="13"/>
      <c r="AP691" s="117"/>
      <c r="AQ691" s="123"/>
      <c r="AR691" s="123"/>
      <c r="AS691" s="123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115"/>
      <c r="BD691" s="115"/>
      <c r="BE691" s="115"/>
      <c r="BF691" s="115"/>
      <c r="BG691" s="115"/>
      <c r="BH691" s="13"/>
      <c r="BI691" s="13"/>
      <c r="BL691" s="114"/>
    </row>
    <row r="692" spans="1:64" ht="19.5" x14ac:dyDescent="0.4">
      <c r="A692" s="117"/>
      <c r="B692" s="123"/>
      <c r="C692" s="123"/>
      <c r="D692" s="123"/>
      <c r="Y692" s="127"/>
      <c r="Z692" s="29"/>
      <c r="AF692" s="115"/>
      <c r="AG692" s="115"/>
      <c r="AH692" s="115"/>
      <c r="AI692" s="115"/>
      <c r="AJ692" s="26">
        <v>45712</v>
      </c>
      <c r="AK692" s="13" t="s">
        <v>146</v>
      </c>
      <c r="AP692" s="117"/>
      <c r="AQ692" s="123"/>
      <c r="AR692" s="123"/>
      <c r="AS692" s="123"/>
      <c r="AT692" s="115"/>
      <c r="AU692" s="115"/>
      <c r="AV692" s="115"/>
      <c r="AW692" s="115"/>
      <c r="AX692" s="115"/>
      <c r="AY692" s="115"/>
      <c r="AZ692" s="115"/>
      <c r="BA692" s="115"/>
      <c r="BB692" s="115"/>
      <c r="BC692" s="115"/>
      <c r="BD692" s="115"/>
      <c r="BE692" s="115"/>
      <c r="BF692" s="115"/>
      <c r="BG692" s="115"/>
      <c r="BH692" s="13"/>
      <c r="BI692" s="13"/>
      <c r="BL692" s="114"/>
    </row>
    <row r="693" spans="1:64" ht="19.5" x14ac:dyDescent="0.4">
      <c r="A693" s="117"/>
      <c r="B693" s="123"/>
      <c r="C693" s="123"/>
      <c r="D693" s="123"/>
      <c r="Y693" s="127"/>
      <c r="Z693" s="29"/>
      <c r="AF693" s="115"/>
      <c r="AG693" s="115"/>
      <c r="AH693" s="115"/>
      <c r="AI693" s="115"/>
      <c r="AJ693" s="26">
        <v>45712</v>
      </c>
      <c r="AK693" s="13" t="s">
        <v>148</v>
      </c>
      <c r="AP693" s="117"/>
      <c r="AQ693" s="123"/>
      <c r="AR693" s="123"/>
      <c r="AS693" s="123"/>
      <c r="AT693" s="115"/>
      <c r="AU693" s="115"/>
      <c r="AV693" s="115"/>
      <c r="AW693" s="115"/>
      <c r="AX693" s="115"/>
      <c r="AY693" s="115"/>
      <c r="AZ693" s="115"/>
      <c r="BA693" s="115"/>
      <c r="BB693" s="115"/>
      <c r="BC693" s="115"/>
      <c r="BD693" s="115"/>
      <c r="BE693" s="115"/>
      <c r="BF693" s="115"/>
      <c r="BG693" s="115"/>
      <c r="BH693" s="13"/>
      <c r="BI693" s="13"/>
      <c r="BL693" s="114"/>
    </row>
    <row r="694" spans="1:64" ht="19.5" x14ac:dyDescent="0.4">
      <c r="A694" s="117"/>
      <c r="B694" s="123"/>
      <c r="C694" s="123"/>
      <c r="D694" s="123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29"/>
      <c r="Z694" s="29"/>
      <c r="AF694" s="115"/>
      <c r="AG694" s="115"/>
      <c r="AH694" s="115"/>
      <c r="AI694" s="115"/>
      <c r="AJ694" s="26"/>
      <c r="AK694" s="13"/>
      <c r="AP694" s="117"/>
      <c r="AQ694" s="123"/>
      <c r="AR694" s="123"/>
      <c r="AS694" s="123"/>
      <c r="AT694" s="115"/>
      <c r="AU694" s="115"/>
      <c r="AV694" s="115"/>
      <c r="AW694" s="115"/>
      <c r="AX694" s="115"/>
      <c r="AY694" s="115"/>
      <c r="AZ694" s="115"/>
      <c r="BA694" s="115"/>
      <c r="BB694" s="115"/>
      <c r="BC694" s="115"/>
      <c r="BD694" s="115"/>
      <c r="BE694" s="115"/>
      <c r="BF694" s="115"/>
      <c r="BG694" s="115"/>
      <c r="BH694" s="13"/>
      <c r="BI694" s="13"/>
      <c r="BL694" s="114"/>
    </row>
    <row r="695" spans="1:64" ht="19.5" x14ac:dyDescent="0.4">
      <c r="A695" s="117"/>
      <c r="B695" s="123"/>
      <c r="C695" s="123"/>
      <c r="D695" s="123"/>
      <c r="Y695" s="127"/>
      <c r="Z695" s="29"/>
      <c r="AD695" s="115"/>
      <c r="AE695" s="115"/>
      <c r="AF695" s="115"/>
      <c r="AG695" s="115"/>
      <c r="AH695" s="115"/>
      <c r="AI695" s="115"/>
      <c r="AJ695" s="26">
        <v>45714</v>
      </c>
      <c r="AK695" s="13" t="s">
        <v>147</v>
      </c>
      <c r="AP695" s="117"/>
      <c r="AQ695" s="123"/>
      <c r="AR695" s="123"/>
      <c r="AS695" s="123"/>
      <c r="AT695" s="115"/>
      <c r="AU695" s="115"/>
      <c r="AV695" s="115"/>
      <c r="AW695" s="115"/>
      <c r="AX695" s="115"/>
      <c r="AY695" s="115"/>
      <c r="AZ695" s="115"/>
      <c r="BA695" s="115"/>
      <c r="BB695" s="115"/>
      <c r="BC695" s="115"/>
      <c r="BD695" s="115"/>
      <c r="BE695" s="115"/>
      <c r="BF695" s="115"/>
      <c r="BG695" s="115"/>
      <c r="BH695" s="13"/>
      <c r="BI695" s="13"/>
      <c r="BL695" s="114"/>
    </row>
    <row r="696" spans="1:64" ht="19.5" x14ac:dyDescent="0.4">
      <c r="A696" s="117"/>
      <c r="B696" s="123"/>
      <c r="C696" s="123"/>
      <c r="D696" s="123"/>
      <c r="Y696" s="127"/>
      <c r="Z696" s="29"/>
      <c r="AJ696" s="26">
        <v>45714</v>
      </c>
      <c r="AK696" s="13" t="s">
        <v>147</v>
      </c>
      <c r="AP696" s="117"/>
      <c r="AQ696" s="123"/>
      <c r="AR696" s="123"/>
      <c r="AS696" s="123"/>
      <c r="AT696" s="115"/>
      <c r="AU696" s="115"/>
      <c r="AV696" s="115"/>
      <c r="AW696" s="115"/>
      <c r="AX696" s="115"/>
      <c r="AY696" s="115"/>
      <c r="AZ696" s="115"/>
      <c r="BA696" s="115"/>
      <c r="BB696" s="115"/>
      <c r="BC696" s="115"/>
      <c r="BD696" s="115"/>
      <c r="BE696" s="115"/>
      <c r="BF696" s="115"/>
      <c r="BG696" s="115"/>
      <c r="BH696" s="25">
        <v>45269</v>
      </c>
      <c r="BI696" s="13" t="s">
        <v>163</v>
      </c>
      <c r="BL696" s="114"/>
    </row>
    <row r="697" spans="1:64" ht="19.5" x14ac:dyDescent="0.4">
      <c r="A697" s="117"/>
      <c r="B697" s="123"/>
      <c r="C697" s="123"/>
      <c r="D697" s="123"/>
      <c r="Y697" s="127"/>
      <c r="Z697" s="29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26">
        <v>45714</v>
      </c>
      <c r="AK697" s="13" t="s">
        <v>147</v>
      </c>
      <c r="AP697" s="117"/>
      <c r="AQ697" s="123"/>
      <c r="AR697" s="123"/>
      <c r="AS697" s="123"/>
      <c r="AT697" s="115"/>
      <c r="AU697" s="115"/>
      <c r="AV697" s="115"/>
      <c r="AW697" s="115"/>
      <c r="AX697" s="115"/>
      <c r="AY697" s="115"/>
      <c r="AZ697" s="115"/>
      <c r="BA697" s="115"/>
      <c r="BB697" s="115"/>
      <c r="BC697" s="115"/>
      <c r="BD697" s="115"/>
      <c r="BE697" s="115"/>
      <c r="BF697" s="115"/>
      <c r="BG697" s="115"/>
      <c r="BH697" s="25"/>
      <c r="BI697" s="13"/>
      <c r="BL697" s="114"/>
    </row>
    <row r="698" spans="1:64" ht="19.5" x14ac:dyDescent="0.4">
      <c r="A698" s="117"/>
      <c r="B698" s="123"/>
      <c r="C698" s="123"/>
      <c r="D698" s="123"/>
      <c r="Y698" s="127"/>
      <c r="Z698" s="29"/>
      <c r="AA698" s="115"/>
      <c r="AB698" s="115"/>
      <c r="AC698" s="115"/>
      <c r="AD698" s="115"/>
      <c r="AE698" s="115"/>
      <c r="AF698" s="115"/>
      <c r="AG698" s="115"/>
      <c r="AH698" s="115" t="s">
        <v>145</v>
      </c>
      <c r="AI698" s="115">
        <f>SUBTOTAL(3,AI2:AI697)</f>
        <v>0</v>
      </c>
      <c r="AJ698" s="26"/>
      <c r="AK698" s="13">
        <f>SUBTOTAL(3,AK2:AK697)</f>
        <v>145</v>
      </c>
      <c r="AP698" s="117"/>
      <c r="AQ698" s="123"/>
      <c r="AR698" s="123"/>
      <c r="AS698" s="123"/>
      <c r="AT698" s="115"/>
      <c r="AU698" s="115"/>
      <c r="AV698" s="115"/>
      <c r="AW698" s="115"/>
      <c r="AX698" s="115"/>
      <c r="AY698" s="115"/>
      <c r="AZ698" s="115"/>
      <c r="BA698" s="115"/>
      <c r="BB698" s="115"/>
      <c r="BC698" s="115"/>
      <c r="BD698" s="115"/>
      <c r="BE698" s="115"/>
      <c r="BF698" s="115"/>
      <c r="BG698" s="115"/>
      <c r="BH698" s="25"/>
      <c r="BI698" s="13"/>
      <c r="BL698" s="114"/>
    </row>
    <row r="699" spans="1:64" ht="19.5" x14ac:dyDescent="0.4">
      <c r="A699" s="117"/>
      <c r="B699" s="123"/>
      <c r="C699" s="123"/>
      <c r="D699" s="123"/>
      <c r="Y699" s="127"/>
      <c r="Z699" s="29"/>
      <c r="AJ699" s="26"/>
      <c r="AK699" s="13"/>
      <c r="AP699" s="117"/>
      <c r="AQ699" s="123"/>
      <c r="AR699" s="123"/>
      <c r="AS699" s="123"/>
      <c r="AT699" s="115"/>
      <c r="AU699" s="115"/>
      <c r="AV699" s="115"/>
      <c r="AW699" s="115"/>
      <c r="AX699" s="115"/>
      <c r="AY699" s="115"/>
      <c r="AZ699" s="115"/>
      <c r="BA699" s="115"/>
      <c r="BB699" s="115"/>
      <c r="BC699" s="115"/>
      <c r="BD699" s="115"/>
      <c r="BE699" s="115"/>
      <c r="BF699" s="115"/>
      <c r="BG699" s="115"/>
      <c r="BH699" s="25">
        <v>45269</v>
      </c>
      <c r="BI699" s="13" t="s">
        <v>163</v>
      </c>
      <c r="BL699" s="114"/>
    </row>
    <row r="700" spans="1:64" ht="19.5" x14ac:dyDescent="0.4">
      <c r="A700" s="117"/>
      <c r="B700" s="123"/>
      <c r="C700" s="123"/>
      <c r="D700" s="123"/>
      <c r="Y700" s="127"/>
      <c r="Z700" s="29"/>
      <c r="AC700" s="115"/>
      <c r="AD700" s="115"/>
      <c r="AE700" s="115"/>
      <c r="AF700" s="115"/>
      <c r="AG700" s="115"/>
      <c r="AH700" s="115"/>
      <c r="AI700" s="115"/>
      <c r="AJ700" s="26"/>
      <c r="AK700" s="13"/>
      <c r="AP700" s="117"/>
      <c r="AQ700" s="123"/>
      <c r="AR700" s="123"/>
      <c r="AS700" s="123"/>
      <c r="AT700" s="115"/>
      <c r="AU700" s="115"/>
      <c r="AV700" s="115"/>
      <c r="AW700" s="115"/>
      <c r="AX700" s="115"/>
      <c r="AY700" s="115"/>
      <c r="AZ700" s="115"/>
      <c r="BA700" s="115"/>
      <c r="BB700" s="115"/>
      <c r="BC700" s="115"/>
      <c r="BD700" s="115"/>
      <c r="BE700" s="115"/>
      <c r="BF700" s="115"/>
      <c r="BG700" s="115"/>
      <c r="BH700" s="25"/>
      <c r="BI700" s="13"/>
      <c r="BL700" s="114"/>
    </row>
    <row r="701" spans="1:64" ht="19.5" x14ac:dyDescent="0.4">
      <c r="A701" s="117"/>
      <c r="B701" s="123"/>
      <c r="C701" s="123"/>
      <c r="D701" s="123"/>
      <c r="Y701" s="127"/>
      <c r="Z701" s="29"/>
      <c r="AJ701" s="26"/>
      <c r="AK701" s="13"/>
      <c r="AP701" s="117"/>
      <c r="AQ701" s="123"/>
      <c r="AR701" s="123"/>
      <c r="AS701" s="123"/>
      <c r="AT701" s="115"/>
      <c r="AU701" s="115"/>
      <c r="AV701" s="115"/>
      <c r="AW701" s="115"/>
      <c r="AX701" s="115"/>
      <c r="AY701" s="115"/>
      <c r="AZ701" s="115"/>
      <c r="BA701" s="115"/>
      <c r="BB701" s="115"/>
      <c r="BC701" s="115"/>
      <c r="BD701" s="115"/>
      <c r="BE701" s="115"/>
      <c r="BF701" s="115"/>
      <c r="BG701" s="115" t="s">
        <v>159</v>
      </c>
      <c r="BH701" s="13">
        <f>SUBTOTAL(3,BH696:BH699)</f>
        <v>2</v>
      </c>
      <c r="BI701" s="13">
        <f>SUBTOTAL(3,BI696:BI699)</f>
        <v>2</v>
      </c>
      <c r="BL701" s="114"/>
    </row>
    <row r="702" spans="1:64" ht="19.5" x14ac:dyDescent="0.4">
      <c r="A702" s="117"/>
      <c r="B702" s="123"/>
      <c r="C702" s="123"/>
      <c r="D702" s="123"/>
      <c r="Y702" s="127"/>
      <c r="Z702" s="29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26"/>
      <c r="AK702" s="13"/>
      <c r="AP702" s="117"/>
      <c r="AQ702" s="123"/>
      <c r="AR702" s="123"/>
      <c r="AS702" s="123"/>
      <c r="AT702" s="115"/>
      <c r="AU702" s="115"/>
      <c r="AV702" s="115"/>
      <c r="AW702" s="115"/>
      <c r="AX702" s="115"/>
      <c r="AY702" s="115"/>
      <c r="AZ702" s="115"/>
      <c r="BA702" s="115"/>
      <c r="BB702" s="115"/>
      <c r="BC702" s="115"/>
      <c r="BD702" s="115"/>
      <c r="BE702" s="115"/>
      <c r="BF702" s="115"/>
      <c r="BG702" s="115"/>
      <c r="BH702" s="13"/>
      <c r="BI702" s="13"/>
      <c r="BL702" s="114"/>
    </row>
    <row r="703" spans="1:64" ht="19.5" x14ac:dyDescent="0.4">
      <c r="A703" s="117"/>
      <c r="B703" s="123"/>
      <c r="C703" s="123"/>
      <c r="D703" s="123"/>
      <c r="Y703" s="127"/>
      <c r="Z703" s="29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26"/>
      <c r="AK703" s="13"/>
      <c r="AP703" s="117"/>
      <c r="AQ703" s="123"/>
      <c r="AR703" s="123"/>
      <c r="AS703" s="123"/>
      <c r="AT703" s="115"/>
      <c r="AU703" s="115"/>
      <c r="AV703" s="115"/>
      <c r="AW703" s="115"/>
      <c r="AX703" s="115"/>
      <c r="AY703" s="115"/>
      <c r="AZ703" s="115"/>
      <c r="BA703" s="115"/>
      <c r="BB703" s="115"/>
      <c r="BC703" s="115"/>
      <c r="BD703" s="115"/>
      <c r="BE703" s="115"/>
      <c r="BF703" s="115"/>
      <c r="BG703" s="115"/>
      <c r="BH703" s="13"/>
      <c r="BI703" s="13"/>
      <c r="BL703" s="114"/>
    </row>
    <row r="704" spans="1:64" ht="19.5" x14ac:dyDescent="0.4">
      <c r="A704" s="117"/>
      <c r="B704" s="123"/>
      <c r="C704" s="123"/>
      <c r="D704" s="123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27"/>
      <c r="Z704" s="29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26"/>
      <c r="AK704" s="13"/>
      <c r="AP704" s="117"/>
      <c r="AQ704" s="123"/>
      <c r="AR704" s="123"/>
      <c r="AS704" s="123"/>
      <c r="AT704" s="115"/>
      <c r="AU704" s="115"/>
      <c r="AV704" s="115"/>
      <c r="AW704" s="115"/>
      <c r="AX704" s="115"/>
      <c r="AY704" s="115"/>
      <c r="AZ704" s="115"/>
      <c r="BA704" s="115"/>
      <c r="BB704" s="115"/>
      <c r="BC704" s="115"/>
      <c r="BD704" s="115"/>
      <c r="BE704" s="115"/>
      <c r="BF704" s="115"/>
      <c r="BG704" s="115"/>
      <c r="BH704" s="13"/>
      <c r="BI704" s="13"/>
      <c r="BL704" s="114"/>
    </row>
    <row r="705" spans="1:64" ht="19.5" x14ac:dyDescent="0.4">
      <c r="A705" s="117"/>
      <c r="B705" s="123"/>
      <c r="C705" s="123"/>
      <c r="D705" s="123"/>
      <c r="Y705" s="127"/>
      <c r="Z705" s="29"/>
      <c r="AJ705" s="26"/>
      <c r="AK705" s="13"/>
      <c r="AP705" s="117"/>
      <c r="AQ705" s="123"/>
      <c r="AR705" s="123"/>
      <c r="AS705" s="123"/>
      <c r="AT705" s="115"/>
      <c r="AU705" s="115"/>
      <c r="AV705" s="115"/>
      <c r="AW705" s="115"/>
      <c r="AX705" s="115"/>
      <c r="AY705" s="115"/>
      <c r="AZ705" s="115"/>
      <c r="BA705" s="115"/>
      <c r="BB705" s="115"/>
      <c r="BC705" s="115"/>
      <c r="BD705" s="115"/>
      <c r="BE705" s="115"/>
      <c r="BF705" s="115"/>
      <c r="BG705" s="115"/>
      <c r="BH705" s="25">
        <v>45270</v>
      </c>
      <c r="BI705" s="13" t="s">
        <v>164</v>
      </c>
      <c r="BL705" s="114"/>
    </row>
    <row r="706" spans="1:64" ht="19.5" x14ac:dyDescent="0.4">
      <c r="A706" s="117"/>
      <c r="B706" s="123"/>
      <c r="C706" s="123"/>
      <c r="D706" s="123"/>
      <c r="Y706" s="127"/>
      <c r="Z706" s="29"/>
      <c r="AE706" s="115"/>
      <c r="AF706" s="115"/>
      <c r="AG706" s="115"/>
      <c r="AH706" s="115"/>
      <c r="AI706" s="115"/>
      <c r="AJ706" s="17"/>
      <c r="AK706" s="13"/>
      <c r="AP706" s="117"/>
      <c r="AQ706" s="123"/>
      <c r="AR706" s="123"/>
      <c r="AS706" s="123"/>
      <c r="AT706" s="115"/>
      <c r="AU706" s="115"/>
      <c r="AV706" s="115"/>
      <c r="AW706" s="115"/>
      <c r="AX706" s="115"/>
      <c r="AY706" s="115"/>
      <c r="AZ706" s="115"/>
      <c r="BA706" s="115"/>
      <c r="BB706" s="115"/>
      <c r="BC706" s="115"/>
      <c r="BD706" s="115"/>
      <c r="BE706" s="115"/>
      <c r="BF706" s="115"/>
      <c r="BG706" s="115"/>
      <c r="BH706" s="25"/>
      <c r="BI706" s="13"/>
      <c r="BL706" s="114"/>
    </row>
    <row r="707" spans="1:64" ht="19.5" x14ac:dyDescent="0.4">
      <c r="A707" s="117"/>
      <c r="B707" s="123"/>
      <c r="C707" s="123"/>
      <c r="D707" s="123"/>
      <c r="Y707" s="127"/>
      <c r="Z707" s="29"/>
      <c r="AJ707" s="26"/>
      <c r="AK707" s="13"/>
      <c r="AP707" s="117"/>
      <c r="AQ707" s="123"/>
      <c r="AR707" s="123"/>
      <c r="AS707" s="123"/>
      <c r="AT707" s="115"/>
      <c r="AU707" s="115"/>
      <c r="AV707" s="115"/>
      <c r="AW707" s="115"/>
      <c r="AX707" s="115"/>
      <c r="AY707" s="115"/>
      <c r="AZ707" s="115"/>
      <c r="BA707" s="115"/>
      <c r="BB707" s="115"/>
      <c r="BC707" s="115"/>
      <c r="BD707" s="115"/>
      <c r="BE707" s="115"/>
      <c r="BF707" s="115"/>
      <c r="BG707" s="115"/>
      <c r="BH707" s="25"/>
      <c r="BI707" s="13"/>
      <c r="BL707" s="114"/>
    </row>
    <row r="708" spans="1:64" ht="19.5" x14ac:dyDescent="0.4">
      <c r="A708" s="117"/>
      <c r="B708" s="123"/>
      <c r="C708" s="123"/>
      <c r="D708" s="123"/>
      <c r="Y708" s="127"/>
      <c r="Z708" s="29"/>
      <c r="AB708" s="115"/>
      <c r="AC708" s="115"/>
      <c r="AD708" s="115"/>
      <c r="AE708" s="115"/>
      <c r="AF708" s="115"/>
      <c r="AG708" s="115"/>
      <c r="AH708" s="115"/>
      <c r="AI708" s="115"/>
      <c r="AJ708" s="26"/>
      <c r="AK708" s="13"/>
      <c r="AP708" s="117"/>
      <c r="AQ708" s="123"/>
      <c r="AR708" s="123"/>
      <c r="AS708" s="123"/>
      <c r="AT708" s="115"/>
      <c r="AU708" s="115"/>
      <c r="AV708" s="115"/>
      <c r="AW708" s="115"/>
      <c r="AX708" s="115"/>
      <c r="AY708" s="115"/>
      <c r="AZ708" s="115"/>
      <c r="BA708" s="115"/>
      <c r="BB708" s="115"/>
      <c r="BC708" s="115"/>
      <c r="BD708" s="115"/>
      <c r="BE708" s="115"/>
      <c r="BF708" s="115"/>
      <c r="BG708" s="115"/>
      <c r="BH708" s="25"/>
      <c r="BI708" s="13"/>
      <c r="BL708" s="114"/>
    </row>
    <row r="709" spans="1:64" ht="19.5" x14ac:dyDescent="0.4">
      <c r="A709" s="117"/>
      <c r="B709" s="123"/>
      <c r="C709" s="123"/>
      <c r="D709" s="123"/>
      <c r="Y709" s="127"/>
      <c r="Z709" s="29"/>
      <c r="AJ709" s="26"/>
      <c r="AK709" s="13"/>
      <c r="AP709" s="117"/>
      <c r="AQ709" s="123"/>
      <c r="AR709" s="123"/>
      <c r="AS709" s="123"/>
      <c r="AT709" s="115"/>
      <c r="AU709" s="115"/>
      <c r="AV709" s="115"/>
      <c r="AW709" s="115"/>
      <c r="AX709" s="115"/>
      <c r="AY709" s="115"/>
      <c r="AZ709" s="115"/>
      <c r="BA709" s="115"/>
      <c r="BB709" s="115"/>
      <c r="BC709" s="115"/>
      <c r="BD709" s="115"/>
      <c r="BE709" s="115"/>
      <c r="BF709" s="115"/>
      <c r="BG709" s="115"/>
      <c r="BH709" s="25">
        <v>45270</v>
      </c>
      <c r="BI709" s="13" t="s">
        <v>164</v>
      </c>
      <c r="BL709" s="114"/>
    </row>
    <row r="710" spans="1:64" ht="19.5" x14ac:dyDescent="0.4">
      <c r="A710" s="117"/>
      <c r="B710" s="123"/>
      <c r="C710" s="123"/>
      <c r="D710" s="123"/>
      <c r="Y710" s="127"/>
      <c r="Z710" s="29"/>
      <c r="AD710" s="115"/>
      <c r="AE710" s="115"/>
      <c r="AF710" s="115"/>
      <c r="AG710" s="115"/>
      <c r="AH710" s="115"/>
      <c r="AI710" s="115"/>
      <c r="AJ710" s="26"/>
      <c r="AK710" s="13"/>
      <c r="AP710" s="117"/>
      <c r="AQ710" s="123"/>
      <c r="AR710" s="123"/>
      <c r="AS710" s="123"/>
      <c r="AT710" s="115"/>
      <c r="AU710" s="115"/>
      <c r="AV710" s="115"/>
      <c r="AW710" s="115"/>
      <c r="AX710" s="115"/>
      <c r="AY710" s="115"/>
      <c r="AZ710" s="115"/>
      <c r="BA710" s="115"/>
      <c r="BB710" s="115"/>
      <c r="BC710" s="115"/>
      <c r="BD710" s="115"/>
      <c r="BE710" s="115"/>
      <c r="BF710" s="115"/>
      <c r="BG710" s="115"/>
      <c r="BH710" s="25"/>
      <c r="BI710" s="13"/>
      <c r="BL710" s="114"/>
    </row>
    <row r="711" spans="1:64" ht="19.5" x14ac:dyDescent="0.4">
      <c r="A711" s="117"/>
      <c r="B711" s="123"/>
      <c r="C711" s="123"/>
      <c r="D711" s="123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27"/>
      <c r="Z711" s="29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26"/>
      <c r="AK711" s="13"/>
      <c r="AP711" s="117"/>
      <c r="AQ711" s="123"/>
      <c r="AR711" s="123"/>
      <c r="AS711" s="123"/>
      <c r="AT711" s="115"/>
      <c r="AU711" s="115"/>
      <c r="AV711" s="115"/>
      <c r="AW711" s="115"/>
      <c r="AX711" s="115"/>
      <c r="AY711" s="115"/>
      <c r="AZ711" s="115"/>
      <c r="BA711" s="115"/>
      <c r="BB711" s="115"/>
      <c r="BC711" s="115"/>
      <c r="BD711" s="115"/>
      <c r="BE711" s="115"/>
      <c r="BF711" s="115"/>
      <c r="BG711" s="115"/>
      <c r="BH711" s="25"/>
      <c r="BI711" s="13"/>
      <c r="BL711" s="114"/>
    </row>
    <row r="712" spans="1:64" ht="19.5" x14ac:dyDescent="0.4">
      <c r="A712" s="117"/>
      <c r="B712" s="123"/>
      <c r="C712" s="123"/>
      <c r="D712" s="123"/>
      <c r="Y712" s="127"/>
      <c r="Z712" s="29"/>
      <c r="AJ712" s="26"/>
      <c r="AK712" s="13"/>
      <c r="AP712" s="117"/>
      <c r="AQ712" s="123"/>
      <c r="AR712" s="123"/>
      <c r="AS712" s="123"/>
      <c r="AT712" s="115"/>
      <c r="AU712" s="115"/>
      <c r="AV712" s="115"/>
      <c r="AW712" s="115"/>
      <c r="AX712" s="115"/>
      <c r="AY712" s="115"/>
      <c r="AZ712" s="115"/>
      <c r="BA712" s="115"/>
      <c r="BB712" s="115"/>
      <c r="BC712" s="115"/>
      <c r="BD712" s="115"/>
      <c r="BE712" s="115"/>
      <c r="BF712" s="115"/>
      <c r="BG712" s="115"/>
      <c r="BH712" s="25">
        <v>45270</v>
      </c>
      <c r="BI712" s="13" t="s">
        <v>162</v>
      </c>
      <c r="BL712" s="114"/>
    </row>
    <row r="713" spans="1:64" ht="19.5" x14ac:dyDescent="0.4">
      <c r="A713" s="117"/>
      <c r="B713" s="123"/>
      <c r="C713" s="123"/>
      <c r="D713" s="123"/>
      <c r="Y713" s="127"/>
      <c r="Z713" s="29"/>
      <c r="AC713" s="115"/>
      <c r="AD713" s="115"/>
      <c r="AE713" s="115"/>
      <c r="AF713" s="115"/>
      <c r="AG713" s="115"/>
      <c r="AH713" s="115"/>
      <c r="AI713" s="115"/>
      <c r="AJ713" s="26"/>
      <c r="AK713" s="15"/>
      <c r="AP713" s="117"/>
      <c r="AQ713" s="123"/>
      <c r="AR713" s="123"/>
      <c r="AS713" s="123"/>
      <c r="AT713" s="115"/>
      <c r="AU713" s="115"/>
      <c r="AV713" s="115"/>
      <c r="AW713" s="115"/>
      <c r="AX713" s="115"/>
      <c r="AY713" s="115"/>
      <c r="AZ713" s="115"/>
      <c r="BA713" s="115"/>
      <c r="BB713" s="115"/>
      <c r="BC713" s="115"/>
      <c r="BD713" s="115"/>
      <c r="BE713" s="115"/>
      <c r="BF713" s="115"/>
      <c r="BG713" s="115"/>
      <c r="BH713" s="25"/>
      <c r="BI713" s="13"/>
      <c r="BL713" s="114"/>
    </row>
    <row r="714" spans="1:64" ht="19.5" x14ac:dyDescent="0.4">
      <c r="A714" s="117"/>
      <c r="B714" s="123"/>
      <c r="C714" s="123"/>
      <c r="D714" s="123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29"/>
      <c r="Z714" s="29"/>
      <c r="AC714" s="115"/>
      <c r="AD714" s="115"/>
      <c r="AE714" s="115"/>
      <c r="AF714" s="115"/>
      <c r="AG714" s="115"/>
      <c r="AH714" s="115"/>
      <c r="AI714" s="115"/>
      <c r="AJ714" s="26"/>
      <c r="AK714" s="13"/>
      <c r="AP714" s="117"/>
      <c r="AQ714" s="123"/>
      <c r="AR714" s="123"/>
      <c r="AS714" s="123"/>
      <c r="AT714" s="115"/>
      <c r="AU714" s="115"/>
      <c r="AV714" s="115"/>
      <c r="AW714" s="115"/>
      <c r="AX714" s="115"/>
      <c r="AY714" s="115"/>
      <c r="AZ714" s="115"/>
      <c r="BA714" s="115"/>
      <c r="BB714" s="115"/>
      <c r="BC714" s="115"/>
      <c r="BD714" s="115"/>
      <c r="BE714" s="115"/>
      <c r="BF714" s="115"/>
      <c r="BG714" s="115"/>
      <c r="BH714" s="25"/>
      <c r="BI714" s="13"/>
      <c r="BL714" s="114"/>
    </row>
    <row r="715" spans="1:64" ht="19.5" x14ac:dyDescent="0.4">
      <c r="A715" s="117"/>
      <c r="B715" s="123"/>
      <c r="C715" s="123"/>
      <c r="D715" s="123"/>
      <c r="Y715" s="127"/>
      <c r="Z715" s="29"/>
      <c r="AJ715" s="26"/>
      <c r="AK715" s="13"/>
      <c r="AP715" s="117"/>
      <c r="AQ715" s="123"/>
      <c r="AR715" s="123"/>
      <c r="AS715" s="123"/>
      <c r="AT715" s="115"/>
      <c r="AU715" s="115"/>
      <c r="AV715" s="115"/>
      <c r="AW715" s="115"/>
      <c r="AX715" s="115"/>
      <c r="AY715" s="115"/>
      <c r="AZ715" s="115"/>
      <c r="BA715" s="115"/>
      <c r="BB715" s="115"/>
      <c r="BC715" s="115"/>
      <c r="BD715" s="115"/>
      <c r="BE715" s="115"/>
      <c r="BF715" s="115"/>
      <c r="BG715" s="115"/>
      <c r="BH715" s="25">
        <v>45270</v>
      </c>
      <c r="BI715" s="13" t="s">
        <v>162</v>
      </c>
      <c r="BL715" s="114"/>
    </row>
    <row r="716" spans="1:64" ht="19.5" x14ac:dyDescent="0.4">
      <c r="A716" s="117"/>
      <c r="B716" s="123"/>
      <c r="C716" s="123"/>
      <c r="D716" s="123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29"/>
      <c r="Z716" s="29"/>
      <c r="AJ716" s="26"/>
      <c r="AK716" s="13"/>
      <c r="AP716" s="117"/>
      <c r="AQ716" s="123"/>
      <c r="AR716" s="123"/>
      <c r="AS716" s="123"/>
      <c r="AT716" s="115"/>
      <c r="AU716" s="115"/>
      <c r="AV716" s="115"/>
      <c r="AW716" s="115"/>
      <c r="AX716" s="115"/>
      <c r="AY716" s="115"/>
      <c r="AZ716" s="115"/>
      <c r="BA716" s="115"/>
      <c r="BB716" s="115"/>
      <c r="BC716" s="115"/>
      <c r="BD716" s="115"/>
      <c r="BE716" s="115"/>
      <c r="BF716" s="115"/>
      <c r="BG716" s="115"/>
      <c r="BH716" s="25"/>
      <c r="BI716" s="13"/>
      <c r="BL716" s="114"/>
    </row>
    <row r="717" spans="1:64" ht="19.5" x14ac:dyDescent="0.4">
      <c r="A717" s="117"/>
      <c r="B717" s="123"/>
      <c r="C717" s="123"/>
      <c r="D717" s="123"/>
      <c r="Y717" s="127"/>
      <c r="Z717" s="29"/>
      <c r="AE717" s="115"/>
      <c r="AF717" s="115"/>
      <c r="AG717" s="115"/>
      <c r="AH717" s="115"/>
      <c r="AI717" s="115"/>
      <c r="AJ717" s="17"/>
      <c r="AK717" s="13"/>
      <c r="AP717" s="117"/>
      <c r="AQ717" s="123"/>
      <c r="AR717" s="123"/>
      <c r="AS717" s="123"/>
      <c r="AT717" s="115"/>
      <c r="AU717" s="115"/>
      <c r="AV717" s="115"/>
      <c r="AW717" s="115"/>
      <c r="AX717" s="115"/>
      <c r="AY717" s="115"/>
      <c r="AZ717" s="115"/>
      <c r="BA717" s="115"/>
      <c r="BB717" s="115"/>
      <c r="BC717" s="115"/>
      <c r="BD717" s="115"/>
      <c r="BE717" s="115"/>
      <c r="BF717" s="115"/>
      <c r="BG717" s="115"/>
      <c r="BH717" s="25"/>
      <c r="BI717" s="13"/>
      <c r="BL717" s="114"/>
    </row>
    <row r="718" spans="1:64" ht="19.5" x14ac:dyDescent="0.4">
      <c r="A718" s="117"/>
      <c r="B718" s="123"/>
      <c r="C718" s="123"/>
      <c r="D718" s="123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29"/>
      <c r="Z718" s="29"/>
      <c r="AE718" s="115"/>
      <c r="AF718" s="115"/>
      <c r="AG718" s="115"/>
      <c r="AH718" s="115"/>
      <c r="AI718" s="115"/>
      <c r="AJ718" s="17"/>
      <c r="AK718" s="13"/>
      <c r="AP718" s="117"/>
      <c r="AQ718" s="123"/>
      <c r="AR718" s="123"/>
      <c r="AS718" s="123"/>
      <c r="AT718" s="115"/>
      <c r="AU718" s="115"/>
      <c r="AV718" s="115"/>
      <c r="AW718" s="115"/>
      <c r="AX718" s="115"/>
      <c r="AY718" s="115"/>
      <c r="AZ718" s="115"/>
      <c r="BA718" s="115"/>
      <c r="BB718" s="115"/>
      <c r="BC718" s="115"/>
      <c r="BD718" s="115"/>
      <c r="BE718" s="115"/>
      <c r="BF718" s="115"/>
      <c r="BG718" s="115"/>
      <c r="BH718" s="25"/>
      <c r="BI718" s="13"/>
      <c r="BL718" s="114"/>
    </row>
    <row r="719" spans="1:64" ht="19.5" x14ac:dyDescent="0.4">
      <c r="A719" s="117"/>
      <c r="B719" s="123"/>
      <c r="C719" s="123"/>
      <c r="D719" s="123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29"/>
      <c r="Z719" s="29"/>
      <c r="AE719" s="115"/>
      <c r="AF719" s="115"/>
      <c r="AG719" s="115"/>
      <c r="AH719" s="115"/>
      <c r="AI719" s="115"/>
      <c r="AJ719" s="17"/>
      <c r="AK719" s="13"/>
      <c r="AP719" s="117"/>
      <c r="AQ719" s="123"/>
      <c r="AR719" s="123"/>
      <c r="AS719" s="123"/>
      <c r="AT719" s="115"/>
      <c r="AU719" s="115"/>
      <c r="AV719" s="115"/>
      <c r="AW719" s="115"/>
      <c r="AX719" s="115"/>
      <c r="AY719" s="115"/>
      <c r="AZ719" s="115"/>
      <c r="BA719" s="115"/>
      <c r="BB719" s="115"/>
      <c r="BC719" s="115"/>
      <c r="BD719" s="115"/>
      <c r="BE719" s="115"/>
      <c r="BF719" s="115"/>
      <c r="BG719" s="115"/>
      <c r="BH719" s="25"/>
      <c r="BI719" s="13"/>
      <c r="BL719" s="114"/>
    </row>
    <row r="720" spans="1:64" ht="19.5" x14ac:dyDescent="0.4">
      <c r="A720" s="117"/>
      <c r="B720" s="123"/>
      <c r="C720" s="123"/>
      <c r="D720" s="123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26"/>
      <c r="AK720" s="13"/>
      <c r="AP720" s="117"/>
      <c r="AQ720" s="123"/>
      <c r="AR720" s="123"/>
      <c r="AS720" s="123"/>
      <c r="AT720" s="115"/>
      <c r="AU720" s="115"/>
      <c r="AV720" s="115"/>
      <c r="AW720" s="115"/>
      <c r="AX720" s="115"/>
      <c r="AY720" s="115"/>
      <c r="AZ720" s="115"/>
      <c r="BA720" s="115"/>
      <c r="BB720" s="115"/>
      <c r="BC720" s="115"/>
      <c r="BD720" s="115"/>
      <c r="BE720" s="115"/>
      <c r="BF720" s="115"/>
      <c r="BG720" s="115"/>
      <c r="BH720" s="25"/>
      <c r="BI720" s="13"/>
      <c r="BL720" s="114"/>
    </row>
    <row r="721" spans="1:64" ht="19.5" x14ac:dyDescent="0.4">
      <c r="A721" s="117"/>
      <c r="B721" s="123"/>
      <c r="C721" s="123"/>
      <c r="D721" s="123"/>
      <c r="AJ721" s="26"/>
      <c r="AK721" s="13"/>
      <c r="AP721" s="117"/>
      <c r="AQ721" s="123"/>
      <c r="AR721" s="123"/>
      <c r="AS721" s="123"/>
      <c r="AT721" s="115"/>
      <c r="AU721" s="115"/>
      <c r="AV721" s="115"/>
      <c r="AW721" s="115"/>
      <c r="AX721" s="115"/>
      <c r="AY721" s="115"/>
      <c r="AZ721" s="115"/>
      <c r="BA721" s="115"/>
      <c r="BB721" s="115"/>
      <c r="BC721" s="115"/>
      <c r="BD721" s="115"/>
      <c r="BE721" s="115"/>
      <c r="BF721" s="115"/>
      <c r="BG721" s="115"/>
      <c r="BH721" s="25"/>
      <c r="BI721" s="13"/>
      <c r="BL721" s="114"/>
    </row>
    <row r="722" spans="1:64" ht="19.5" x14ac:dyDescent="0.4">
      <c r="A722" s="117"/>
      <c r="B722" s="123"/>
      <c r="C722" s="123"/>
      <c r="D722" s="123"/>
      <c r="AJ722" s="26"/>
      <c r="AK722" s="13"/>
      <c r="AP722" s="117"/>
      <c r="AQ722" s="123"/>
      <c r="AR722" s="123"/>
      <c r="AS722" s="123"/>
      <c r="AT722" s="115"/>
      <c r="AU722" s="115"/>
      <c r="AV722" s="115"/>
      <c r="AW722" s="115"/>
      <c r="AX722" s="115"/>
      <c r="AY722" s="115"/>
      <c r="AZ722" s="115"/>
      <c r="BA722" s="115"/>
      <c r="BB722" s="115"/>
      <c r="BC722" s="115"/>
      <c r="BD722" s="115"/>
      <c r="BE722" s="115"/>
      <c r="BF722" s="115"/>
      <c r="BG722" s="115"/>
      <c r="BH722" s="25">
        <v>45270</v>
      </c>
      <c r="BI722" s="13" t="s">
        <v>163</v>
      </c>
      <c r="BL722" s="114"/>
    </row>
    <row r="723" spans="1:64" ht="19.5" x14ac:dyDescent="0.4">
      <c r="A723" s="117"/>
      <c r="B723" s="123"/>
      <c r="C723" s="123"/>
      <c r="D723" s="123"/>
      <c r="AE723" s="115"/>
      <c r="AF723" s="115"/>
      <c r="AG723" s="115"/>
      <c r="AH723" s="115"/>
      <c r="AI723" s="115"/>
      <c r="AJ723" s="17"/>
      <c r="AK723" s="13"/>
      <c r="AP723" s="117"/>
      <c r="AQ723" s="123"/>
      <c r="AR723" s="123"/>
      <c r="AS723" s="123"/>
      <c r="AT723" s="115"/>
      <c r="AU723" s="115"/>
      <c r="AV723" s="115"/>
      <c r="AW723" s="115"/>
      <c r="AX723" s="115"/>
      <c r="AY723" s="115"/>
      <c r="AZ723" s="115"/>
      <c r="BA723" s="115"/>
      <c r="BB723" s="115"/>
      <c r="BC723" s="115"/>
      <c r="BD723" s="115"/>
      <c r="BE723" s="115"/>
      <c r="BF723" s="115"/>
      <c r="BG723" s="115"/>
      <c r="BH723" s="25"/>
      <c r="BI723" s="13"/>
      <c r="BL723" s="114"/>
    </row>
    <row r="724" spans="1:64" ht="19.5" x14ac:dyDescent="0.4">
      <c r="A724" s="117"/>
      <c r="B724" s="123"/>
      <c r="C724" s="123"/>
      <c r="D724" s="123"/>
      <c r="AJ724" s="26"/>
      <c r="AK724" s="13"/>
      <c r="AP724" s="117"/>
      <c r="AQ724" s="123"/>
      <c r="AR724" s="123"/>
      <c r="AS724" s="123"/>
      <c r="AT724" s="115"/>
      <c r="AU724" s="115"/>
      <c r="AV724" s="115"/>
      <c r="AW724" s="115"/>
      <c r="AX724" s="115"/>
      <c r="AY724" s="115"/>
      <c r="AZ724" s="115"/>
      <c r="BA724" s="115"/>
      <c r="BB724" s="115"/>
      <c r="BC724" s="115"/>
      <c r="BD724" s="115"/>
      <c r="BE724" s="115"/>
      <c r="BF724" s="115"/>
      <c r="BG724" s="115" t="s">
        <v>151</v>
      </c>
      <c r="BH724" s="13">
        <f>SUBTOTAL(3,BH705:BH722)</f>
        <v>5</v>
      </c>
      <c r="BI724" s="13">
        <f>SUBTOTAL(3,BI705:BI722)</f>
        <v>5</v>
      </c>
      <c r="BL724" s="114"/>
    </row>
    <row r="725" spans="1:64" ht="19.5" x14ac:dyDescent="0.4">
      <c r="A725" s="117"/>
      <c r="B725" s="123"/>
      <c r="C725" s="123"/>
      <c r="D725" s="123"/>
      <c r="AD725" s="115"/>
      <c r="AE725" s="115"/>
      <c r="AF725" s="115"/>
      <c r="AG725" s="115"/>
      <c r="AH725" s="115"/>
      <c r="AI725" s="115"/>
      <c r="AJ725" s="26"/>
      <c r="AK725" s="13"/>
      <c r="AP725" s="117"/>
      <c r="AQ725" s="123"/>
      <c r="AR725" s="123"/>
      <c r="AS725" s="123"/>
      <c r="AT725" s="115"/>
      <c r="AU725" s="115"/>
      <c r="AV725" s="115"/>
      <c r="AW725" s="115"/>
      <c r="AX725" s="115"/>
      <c r="AY725" s="115"/>
      <c r="AZ725" s="115"/>
      <c r="BA725" s="115"/>
      <c r="BB725" s="115"/>
      <c r="BC725" s="115"/>
      <c r="BD725" s="115"/>
      <c r="BE725" s="115"/>
      <c r="BF725" s="115"/>
      <c r="BG725" s="115"/>
      <c r="BH725" s="13"/>
      <c r="BI725" s="13"/>
      <c r="BL725" s="114"/>
    </row>
    <row r="726" spans="1:64" ht="19.5" x14ac:dyDescent="0.4">
      <c r="A726" s="117"/>
      <c r="B726" s="123"/>
      <c r="C726" s="123"/>
      <c r="D726" s="123"/>
      <c r="AJ726" s="26"/>
      <c r="AK726" s="13"/>
      <c r="AP726" s="117"/>
      <c r="AQ726" s="123"/>
      <c r="AR726" s="123"/>
      <c r="AS726" s="123"/>
      <c r="AT726" s="115"/>
      <c r="AU726" s="115"/>
      <c r="AV726" s="115"/>
      <c r="AW726" s="115"/>
      <c r="AX726" s="115"/>
      <c r="AY726" s="115"/>
      <c r="AZ726" s="115"/>
      <c r="BA726" s="115"/>
      <c r="BB726" s="115"/>
      <c r="BC726" s="115"/>
      <c r="BD726" s="115"/>
      <c r="BE726" s="115"/>
      <c r="BF726" s="115"/>
      <c r="BG726" s="115"/>
      <c r="BH726" s="25">
        <v>45271</v>
      </c>
      <c r="BI726" s="13" t="s">
        <v>162</v>
      </c>
      <c r="BL726" s="114"/>
    </row>
    <row r="727" spans="1:64" ht="19.5" x14ac:dyDescent="0.4">
      <c r="A727" s="117"/>
      <c r="B727" s="123"/>
      <c r="C727" s="123"/>
      <c r="D727" s="123"/>
      <c r="AJ727" s="26"/>
      <c r="AK727" s="13"/>
      <c r="AP727" s="117"/>
      <c r="AQ727" s="123"/>
      <c r="AR727" s="123"/>
      <c r="AS727" s="123"/>
      <c r="AT727" s="115"/>
      <c r="AU727" s="115"/>
      <c r="AV727" s="115"/>
      <c r="AW727" s="115"/>
      <c r="AX727" s="115"/>
      <c r="AY727" s="115"/>
      <c r="AZ727" s="115"/>
      <c r="BA727" s="115"/>
      <c r="BB727" s="115"/>
      <c r="BC727" s="115"/>
      <c r="BD727" s="115"/>
      <c r="BE727" s="115"/>
      <c r="BF727" s="115"/>
      <c r="BG727" s="115"/>
      <c r="BH727" s="25">
        <v>45271</v>
      </c>
      <c r="BI727" s="13" t="s">
        <v>163</v>
      </c>
      <c r="BL727" s="114"/>
    </row>
    <row r="728" spans="1:64" ht="19.5" x14ac:dyDescent="0.4">
      <c r="A728" s="117"/>
      <c r="B728" s="123"/>
      <c r="C728" s="123"/>
      <c r="D728" s="123"/>
      <c r="AD728" s="115"/>
      <c r="AE728" s="115"/>
      <c r="AF728" s="115"/>
      <c r="AG728" s="115"/>
      <c r="AH728" s="115"/>
      <c r="AI728" s="115"/>
      <c r="AJ728" s="26"/>
      <c r="AK728" s="13"/>
      <c r="AP728" s="117"/>
      <c r="AQ728" s="123"/>
      <c r="AR728" s="123"/>
      <c r="AS728" s="123"/>
      <c r="AT728" s="115"/>
      <c r="AU728" s="115"/>
      <c r="AV728" s="115"/>
      <c r="AW728" s="115"/>
      <c r="AX728" s="115"/>
      <c r="AY728" s="115"/>
      <c r="AZ728" s="115"/>
      <c r="BA728" s="115"/>
      <c r="BB728" s="115"/>
      <c r="BC728" s="115"/>
      <c r="BD728" s="115"/>
      <c r="BE728" s="115"/>
      <c r="BF728" s="115"/>
      <c r="BG728" s="115"/>
      <c r="BH728" s="25"/>
      <c r="BI728" s="13"/>
      <c r="BL728" s="114"/>
    </row>
    <row r="729" spans="1:64" ht="19.5" x14ac:dyDescent="0.4">
      <c r="A729" s="117"/>
      <c r="B729" s="123"/>
      <c r="C729" s="123"/>
      <c r="D729" s="123"/>
      <c r="AC729" s="115"/>
      <c r="AD729" s="115"/>
      <c r="AE729" s="115"/>
      <c r="AF729" s="115"/>
      <c r="AG729" s="115"/>
      <c r="AH729" s="115"/>
      <c r="AI729" s="115"/>
      <c r="AJ729" s="26"/>
      <c r="AK729" s="13"/>
      <c r="AP729" s="117"/>
      <c r="AQ729" s="123"/>
      <c r="AR729" s="123"/>
      <c r="AS729" s="123"/>
      <c r="AT729" s="115"/>
      <c r="AU729" s="115"/>
      <c r="AV729" s="115"/>
      <c r="AW729" s="115"/>
      <c r="AX729" s="115"/>
      <c r="AY729" s="115"/>
      <c r="AZ729" s="115"/>
      <c r="BA729" s="115"/>
      <c r="BB729" s="115"/>
      <c r="BC729" s="115"/>
      <c r="BD729" s="115"/>
      <c r="BE729" s="115"/>
      <c r="BF729" s="115"/>
      <c r="BG729" s="115"/>
      <c r="BH729" s="25"/>
      <c r="BI729" s="13"/>
      <c r="BL729" s="114"/>
    </row>
    <row r="730" spans="1:64" ht="19.5" x14ac:dyDescent="0.4">
      <c r="A730" s="117"/>
      <c r="B730" s="123"/>
      <c r="C730" s="123"/>
      <c r="D730" s="123"/>
      <c r="AC730" s="115"/>
      <c r="AD730" s="115"/>
      <c r="AE730" s="115"/>
      <c r="AF730" s="115"/>
      <c r="AG730" s="115"/>
      <c r="AH730" s="115"/>
      <c r="AI730" s="115"/>
      <c r="AJ730" s="17"/>
      <c r="AK730" s="13"/>
      <c r="AP730" s="117"/>
      <c r="AQ730" s="123"/>
      <c r="AR730" s="123"/>
      <c r="AS730" s="123"/>
      <c r="AT730" s="115"/>
      <c r="AU730" s="115"/>
      <c r="AV730" s="115"/>
      <c r="AW730" s="115"/>
      <c r="AX730" s="115"/>
      <c r="AY730" s="115"/>
      <c r="AZ730" s="115"/>
      <c r="BA730" s="115"/>
      <c r="BB730" s="115"/>
      <c r="BC730" s="115"/>
      <c r="BD730" s="115"/>
      <c r="BE730" s="115"/>
      <c r="BF730" s="115"/>
      <c r="BG730" s="115"/>
      <c r="BH730" s="25"/>
      <c r="BI730" s="13"/>
      <c r="BL730" s="114"/>
    </row>
    <row r="731" spans="1:64" ht="19.5" x14ac:dyDescent="0.4">
      <c r="A731" s="117"/>
      <c r="B731" s="123"/>
      <c r="C731" s="123"/>
      <c r="D731" s="123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26"/>
      <c r="AK731" s="13"/>
      <c r="AP731" s="117"/>
      <c r="AQ731" s="123"/>
      <c r="AR731" s="123"/>
      <c r="AS731" s="123"/>
      <c r="AT731" s="115"/>
      <c r="AU731" s="115"/>
      <c r="AV731" s="115"/>
      <c r="AW731" s="115"/>
      <c r="AX731" s="115"/>
      <c r="AY731" s="115"/>
      <c r="AZ731" s="115"/>
      <c r="BA731" s="115"/>
      <c r="BB731" s="115"/>
      <c r="BC731" s="115"/>
      <c r="BD731" s="115"/>
      <c r="BE731" s="115"/>
      <c r="BF731" s="115"/>
      <c r="BG731" s="115"/>
      <c r="BH731" s="25"/>
      <c r="BI731" s="13"/>
      <c r="BL731" s="114"/>
    </row>
    <row r="732" spans="1:64" ht="19.5" x14ac:dyDescent="0.4">
      <c r="A732" s="117"/>
      <c r="B732" s="123"/>
      <c r="C732" s="123"/>
      <c r="D732" s="123"/>
      <c r="AJ732" s="26"/>
      <c r="AK732" s="13"/>
      <c r="AP732" s="117"/>
      <c r="AQ732" s="123"/>
      <c r="AR732" s="123"/>
      <c r="AS732" s="123"/>
      <c r="AT732" s="115"/>
      <c r="AU732" s="115"/>
      <c r="AV732" s="115"/>
      <c r="AW732" s="115"/>
      <c r="AX732" s="115"/>
      <c r="AY732" s="115"/>
      <c r="AZ732" s="115"/>
      <c r="BA732" s="115"/>
      <c r="BB732" s="115"/>
      <c r="BC732" s="115"/>
      <c r="BD732" s="115"/>
      <c r="BE732" s="115"/>
      <c r="BF732" s="115"/>
      <c r="BG732" s="115"/>
      <c r="BH732" s="25">
        <v>45271</v>
      </c>
      <c r="BI732" s="13" t="s">
        <v>163</v>
      </c>
      <c r="BL732" s="114"/>
    </row>
    <row r="733" spans="1:64" ht="19.5" x14ac:dyDescent="0.4">
      <c r="A733" s="117"/>
      <c r="B733" s="123"/>
      <c r="C733" s="123"/>
      <c r="D733" s="123"/>
      <c r="AD733" s="115"/>
      <c r="AE733" s="115"/>
      <c r="AF733" s="115"/>
      <c r="AG733" s="115"/>
      <c r="AH733" s="115"/>
      <c r="AI733" s="115"/>
      <c r="AJ733" s="26"/>
      <c r="AK733" s="13"/>
      <c r="AP733" s="117"/>
      <c r="AQ733" s="123"/>
      <c r="AR733" s="123"/>
      <c r="AS733" s="123"/>
      <c r="AT733" s="115"/>
      <c r="AU733" s="115"/>
      <c r="AV733" s="115"/>
      <c r="AW733" s="115"/>
      <c r="AX733" s="115"/>
      <c r="AY733" s="115"/>
      <c r="AZ733" s="115"/>
      <c r="BA733" s="115"/>
      <c r="BB733" s="115"/>
      <c r="BC733" s="115"/>
      <c r="BD733" s="115"/>
      <c r="BE733" s="115"/>
      <c r="BF733" s="115"/>
      <c r="BG733" s="115"/>
      <c r="BH733" s="25"/>
      <c r="BI733" s="13"/>
      <c r="BL733" s="114"/>
    </row>
    <row r="734" spans="1:64" ht="19.5" x14ac:dyDescent="0.4">
      <c r="A734" s="117"/>
      <c r="B734" s="123"/>
      <c r="C734" s="123"/>
      <c r="D734" s="123"/>
      <c r="AB734" s="115"/>
      <c r="AC734" s="115"/>
      <c r="AD734" s="115"/>
      <c r="AE734" s="115"/>
      <c r="AF734" s="115"/>
      <c r="AG734" s="115"/>
      <c r="AH734" s="115"/>
      <c r="AI734" s="115"/>
      <c r="AJ734" s="26"/>
      <c r="AK734" s="13"/>
      <c r="AP734" s="117"/>
      <c r="AQ734" s="123"/>
      <c r="AR734" s="123"/>
      <c r="AS734" s="123"/>
      <c r="AT734" s="115"/>
      <c r="AU734" s="115"/>
      <c r="AV734" s="115"/>
      <c r="AW734" s="115"/>
      <c r="AX734" s="115"/>
      <c r="AY734" s="115"/>
      <c r="AZ734" s="115"/>
      <c r="BA734" s="115"/>
      <c r="BB734" s="115"/>
      <c r="BC734" s="115"/>
      <c r="BD734" s="115"/>
      <c r="BE734" s="115"/>
      <c r="BF734" s="115"/>
      <c r="BG734" s="115"/>
      <c r="BH734" s="25"/>
      <c r="BI734" s="13"/>
      <c r="BL734" s="114"/>
    </row>
    <row r="735" spans="1:64" ht="19.5" x14ac:dyDescent="0.4">
      <c r="A735" s="117"/>
      <c r="B735" s="123"/>
      <c r="C735" s="123"/>
      <c r="D735" s="123"/>
      <c r="AB735" s="115"/>
      <c r="AC735" s="115"/>
      <c r="AD735" s="115"/>
      <c r="AE735" s="115"/>
      <c r="AF735" s="115"/>
      <c r="AG735" s="115"/>
      <c r="AH735" s="115"/>
      <c r="AI735" s="115"/>
      <c r="AJ735" s="17"/>
      <c r="AK735" s="13"/>
      <c r="AP735" s="117"/>
      <c r="AQ735" s="123"/>
      <c r="AR735" s="123"/>
      <c r="AS735" s="123"/>
      <c r="AT735" s="115"/>
      <c r="AU735" s="115"/>
      <c r="AV735" s="115"/>
      <c r="AW735" s="115"/>
      <c r="AX735" s="115"/>
      <c r="AY735" s="115"/>
      <c r="AZ735" s="115"/>
      <c r="BA735" s="115"/>
      <c r="BB735" s="115"/>
      <c r="BC735" s="115"/>
      <c r="BD735" s="115"/>
      <c r="BE735" s="115"/>
      <c r="BF735" s="115"/>
      <c r="BG735" s="115"/>
      <c r="BH735" s="25"/>
      <c r="BI735" s="13"/>
      <c r="BL735" s="114"/>
    </row>
    <row r="736" spans="1:64" ht="19.5" x14ac:dyDescent="0.4">
      <c r="A736" s="117"/>
      <c r="B736" s="123"/>
      <c r="C736" s="123"/>
      <c r="D736" s="123"/>
      <c r="AJ736" s="26"/>
      <c r="AK736" s="13"/>
      <c r="AP736" s="117"/>
      <c r="AQ736" s="123"/>
      <c r="AR736" s="123"/>
      <c r="AS736" s="123"/>
      <c r="AT736" s="115"/>
      <c r="AU736" s="115"/>
      <c r="AV736" s="115"/>
      <c r="AW736" s="115"/>
      <c r="AX736" s="115"/>
      <c r="AY736" s="115"/>
      <c r="AZ736" s="115"/>
      <c r="BA736" s="115"/>
      <c r="BB736" s="115"/>
      <c r="BC736" s="115"/>
      <c r="BD736" s="115"/>
      <c r="BE736" s="115"/>
      <c r="BF736" s="115"/>
      <c r="BG736" s="115" t="s">
        <v>165</v>
      </c>
      <c r="BH736" s="13">
        <f>SUBTOTAL(3,BH726:BH732)</f>
        <v>3</v>
      </c>
      <c r="BI736" s="13">
        <f>SUBTOTAL(3,BI726:BI732)</f>
        <v>3</v>
      </c>
      <c r="BL736" s="114"/>
    </row>
    <row r="737" spans="1:64" ht="19.5" x14ac:dyDescent="0.4">
      <c r="A737" s="117"/>
      <c r="B737" s="123"/>
      <c r="C737" s="123"/>
      <c r="D737" s="123"/>
      <c r="AJ737" s="26"/>
      <c r="AK737" s="13"/>
      <c r="AP737" s="117"/>
      <c r="AQ737" s="123"/>
      <c r="AR737" s="123"/>
      <c r="AS737" s="123"/>
      <c r="AT737" s="115"/>
      <c r="AU737" s="115"/>
      <c r="AV737" s="115"/>
      <c r="AW737" s="115"/>
      <c r="AX737" s="115"/>
      <c r="AY737" s="115"/>
      <c r="AZ737" s="115"/>
      <c r="BA737" s="115"/>
      <c r="BB737" s="115"/>
      <c r="BC737" s="115"/>
      <c r="BD737" s="115"/>
      <c r="BE737" s="115"/>
      <c r="BF737" s="115"/>
      <c r="BG737" s="115"/>
      <c r="BH737" s="25">
        <v>45272</v>
      </c>
      <c r="BI737" s="13" t="s">
        <v>162</v>
      </c>
      <c r="BL737" s="114"/>
    </row>
    <row r="738" spans="1:64" ht="19.5" x14ac:dyDescent="0.4">
      <c r="A738" s="117"/>
      <c r="B738" s="123"/>
      <c r="C738" s="123"/>
      <c r="D738" s="123"/>
      <c r="AE738" s="115"/>
      <c r="AF738" s="115"/>
      <c r="AG738" s="115"/>
      <c r="AH738" s="115"/>
      <c r="AI738" s="115"/>
      <c r="AJ738" s="17"/>
      <c r="AK738" s="13"/>
      <c r="AP738" s="117"/>
      <c r="AQ738" s="123"/>
      <c r="AR738" s="123"/>
      <c r="AS738" s="123"/>
      <c r="AT738" s="115"/>
      <c r="AU738" s="115"/>
      <c r="AV738" s="115"/>
      <c r="AW738" s="115"/>
      <c r="AX738" s="115"/>
      <c r="AY738" s="115"/>
      <c r="AZ738" s="115"/>
      <c r="BA738" s="115"/>
      <c r="BB738" s="115"/>
      <c r="BC738" s="115"/>
      <c r="BD738" s="115"/>
      <c r="BE738" s="115"/>
      <c r="BF738" s="115"/>
      <c r="BG738" s="115"/>
      <c r="BH738" s="25"/>
      <c r="BI738" s="13"/>
      <c r="BL738" s="114"/>
    </row>
    <row r="739" spans="1:64" ht="19.5" x14ac:dyDescent="0.4">
      <c r="A739" s="117"/>
      <c r="B739" s="123"/>
      <c r="C739" s="123"/>
      <c r="D739" s="123"/>
      <c r="AJ739" s="26"/>
      <c r="AK739" s="15"/>
      <c r="AP739" s="117"/>
      <c r="AQ739" s="123"/>
      <c r="AR739" s="123"/>
      <c r="AS739" s="123"/>
      <c r="AT739" s="115"/>
      <c r="AU739" s="115"/>
      <c r="AV739" s="115"/>
      <c r="AW739" s="115"/>
      <c r="AX739" s="115"/>
      <c r="AY739" s="115"/>
      <c r="AZ739" s="115"/>
      <c r="BA739" s="115"/>
      <c r="BB739" s="115"/>
      <c r="BC739" s="115"/>
      <c r="BD739" s="115"/>
      <c r="BE739" s="115"/>
      <c r="BF739" s="115"/>
      <c r="BG739" s="115"/>
      <c r="BH739" s="25">
        <v>45272</v>
      </c>
      <c r="BI739" s="13" t="s">
        <v>162</v>
      </c>
      <c r="BL739" s="114"/>
    </row>
    <row r="740" spans="1:64" ht="19.5" x14ac:dyDescent="0.4">
      <c r="A740" s="117"/>
      <c r="B740" s="123"/>
      <c r="C740" s="123"/>
      <c r="D740" s="123"/>
      <c r="AE740" s="115"/>
      <c r="AF740" s="115"/>
      <c r="AG740" s="115"/>
      <c r="AH740" s="115"/>
      <c r="AI740" s="115"/>
      <c r="AJ740" s="17"/>
      <c r="AK740" s="13"/>
      <c r="AP740" s="117"/>
      <c r="AQ740" s="123"/>
      <c r="AR740" s="123"/>
      <c r="AS740" s="123"/>
      <c r="AT740" s="115"/>
      <c r="AU740" s="115"/>
      <c r="AV740" s="115"/>
      <c r="AW740" s="115"/>
      <c r="AX740" s="115"/>
      <c r="AY740" s="115"/>
      <c r="AZ740" s="115"/>
      <c r="BA740" s="115"/>
      <c r="BB740" s="115"/>
      <c r="BC740" s="115"/>
      <c r="BD740" s="115"/>
      <c r="BE740" s="115"/>
      <c r="BF740" s="115"/>
      <c r="BG740" s="115"/>
      <c r="BH740" s="25"/>
      <c r="BI740" s="13"/>
      <c r="BL740" s="114"/>
    </row>
    <row r="741" spans="1:64" ht="19.5" x14ac:dyDescent="0.4">
      <c r="A741" s="117"/>
      <c r="B741" s="123"/>
      <c r="C741" s="123"/>
      <c r="D741" s="123"/>
      <c r="AE741" s="115"/>
      <c r="AF741" s="115"/>
      <c r="AG741" s="115"/>
      <c r="AH741" s="115"/>
      <c r="AI741" s="115"/>
      <c r="AJ741" s="17"/>
      <c r="AK741" s="13"/>
      <c r="AP741" s="117"/>
      <c r="AQ741" s="123"/>
      <c r="AR741" s="123"/>
      <c r="AS741" s="123"/>
      <c r="AT741" s="115"/>
      <c r="AU741" s="115"/>
      <c r="AV741" s="115"/>
      <c r="AW741" s="115"/>
      <c r="AX741" s="115"/>
      <c r="AY741" s="115"/>
      <c r="AZ741" s="115"/>
      <c r="BA741" s="115"/>
      <c r="BB741" s="115"/>
      <c r="BC741" s="115"/>
      <c r="BD741" s="115"/>
      <c r="BE741" s="115"/>
      <c r="BF741" s="115"/>
      <c r="BG741" s="115"/>
      <c r="BH741" s="25"/>
      <c r="BI741" s="13"/>
      <c r="BL741" s="114"/>
    </row>
    <row r="742" spans="1:64" ht="19.5" x14ac:dyDescent="0.4">
      <c r="A742" s="117"/>
      <c r="B742" s="123"/>
      <c r="C742" s="123"/>
      <c r="D742" s="123"/>
      <c r="AJ742" s="26"/>
      <c r="AK742" s="13"/>
      <c r="AP742" s="117"/>
      <c r="AQ742" s="123"/>
      <c r="AR742" s="123"/>
      <c r="AS742" s="123"/>
      <c r="AT742" s="115"/>
      <c r="AU742" s="115"/>
      <c r="AV742" s="115"/>
      <c r="AW742" s="115"/>
      <c r="AX742" s="115"/>
      <c r="AY742" s="115"/>
      <c r="AZ742" s="115"/>
      <c r="BA742" s="115"/>
      <c r="BB742" s="115"/>
      <c r="BC742" s="115"/>
      <c r="BD742" s="115"/>
      <c r="BE742" s="115"/>
      <c r="BF742" s="115"/>
      <c r="BG742" s="115"/>
      <c r="BH742" s="25">
        <v>45272</v>
      </c>
      <c r="BI742" s="13" t="s">
        <v>162</v>
      </c>
      <c r="BL742" s="114"/>
    </row>
    <row r="743" spans="1:64" ht="19.5" x14ac:dyDescent="0.4">
      <c r="A743" s="125"/>
      <c r="B743" s="126"/>
      <c r="C743" s="126"/>
      <c r="D743" s="126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26"/>
      <c r="AK743" s="13"/>
      <c r="AP743" s="117"/>
      <c r="AQ743" s="123"/>
      <c r="AR743" s="123"/>
      <c r="AS743" s="123"/>
      <c r="AT743" s="115"/>
      <c r="AU743" s="115"/>
      <c r="AV743" s="115"/>
      <c r="AW743" s="115"/>
      <c r="AX743" s="115"/>
      <c r="AY743" s="115"/>
      <c r="AZ743" s="115"/>
      <c r="BA743" s="115"/>
      <c r="BB743" s="115"/>
      <c r="BC743" s="115"/>
      <c r="BD743" s="115"/>
      <c r="BE743" s="115"/>
      <c r="BF743" s="115"/>
      <c r="BG743" s="115"/>
      <c r="BH743" s="25"/>
      <c r="BI743" s="13"/>
      <c r="BL743" s="114"/>
    </row>
    <row r="744" spans="1:64" ht="19.5" x14ac:dyDescent="0.4">
      <c r="A744" s="125"/>
      <c r="B744" s="126"/>
      <c r="C744" s="126"/>
      <c r="D744" s="126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26"/>
      <c r="AK744" s="13"/>
      <c r="AP744" s="117"/>
      <c r="AQ744" s="123"/>
      <c r="AR744" s="123"/>
      <c r="AS744" s="123"/>
      <c r="AT744" s="115"/>
      <c r="AU744" s="115"/>
      <c r="AV744" s="115"/>
      <c r="AW744" s="115"/>
      <c r="AX744" s="115"/>
      <c r="AY744" s="115"/>
      <c r="AZ744" s="115"/>
      <c r="BA744" s="115"/>
      <c r="BB744" s="115"/>
      <c r="BC744" s="115"/>
      <c r="BD744" s="115"/>
      <c r="BE744" s="115"/>
      <c r="BF744" s="115"/>
      <c r="BG744" s="115"/>
      <c r="BH744" s="25"/>
      <c r="BI744" s="13"/>
      <c r="BL744" s="114"/>
    </row>
    <row r="745" spans="1:64" ht="19.5" x14ac:dyDescent="0.4">
      <c r="A745" s="125"/>
      <c r="B745" s="126"/>
      <c r="C745" s="126"/>
      <c r="D745" s="126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7"/>
      <c r="AK745" s="13"/>
      <c r="AP745" s="117"/>
      <c r="AQ745" s="123"/>
      <c r="AR745" s="123"/>
      <c r="AS745" s="123"/>
      <c r="AT745" s="115"/>
      <c r="AU745" s="115"/>
      <c r="AV745" s="115"/>
      <c r="AW745" s="115"/>
      <c r="AX745" s="115"/>
      <c r="AY745" s="115"/>
      <c r="AZ745" s="115"/>
      <c r="BA745" s="115"/>
      <c r="BB745" s="115"/>
      <c r="BC745" s="115"/>
      <c r="BD745" s="115"/>
      <c r="BE745" s="115"/>
      <c r="BF745" s="115"/>
      <c r="BG745" s="115"/>
      <c r="BH745" s="25"/>
      <c r="BI745" s="13"/>
      <c r="BL745" s="114"/>
    </row>
    <row r="746" spans="1:64" ht="19.5" x14ac:dyDescent="0.4">
      <c r="A746" s="125"/>
      <c r="B746" s="126"/>
      <c r="C746" s="126"/>
      <c r="D746" s="126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26"/>
      <c r="AK746" s="13"/>
      <c r="AP746" s="117"/>
      <c r="AQ746" s="123"/>
      <c r="AR746" s="123"/>
      <c r="AS746" s="123"/>
      <c r="AT746" s="115"/>
      <c r="AU746" s="115"/>
      <c r="AV746" s="115"/>
      <c r="AW746" s="115"/>
      <c r="AX746" s="115"/>
      <c r="AY746" s="115"/>
      <c r="AZ746" s="115"/>
      <c r="BA746" s="115"/>
      <c r="BB746" s="115"/>
      <c r="BC746" s="115"/>
      <c r="BD746" s="115"/>
      <c r="BE746" s="115"/>
      <c r="BF746" s="115"/>
      <c r="BG746" s="115"/>
      <c r="BH746" s="25"/>
      <c r="BI746" s="13"/>
      <c r="BL746" s="114"/>
    </row>
    <row r="747" spans="1:64" ht="19.5" x14ac:dyDescent="0.4">
      <c r="AJ747" s="26"/>
      <c r="AK747" s="13"/>
      <c r="AP747" s="117"/>
      <c r="AQ747" s="123"/>
      <c r="AR747" s="123"/>
      <c r="AS747" s="123"/>
      <c r="AT747" s="115"/>
      <c r="AU747" s="115"/>
      <c r="AV747" s="115"/>
      <c r="AW747" s="115"/>
      <c r="AX747" s="115"/>
      <c r="AY747" s="115"/>
      <c r="AZ747" s="115"/>
      <c r="BA747" s="115"/>
      <c r="BB747" s="115"/>
      <c r="BC747" s="115"/>
      <c r="BD747" s="115"/>
      <c r="BE747" s="115"/>
      <c r="BF747" s="115"/>
      <c r="BG747" s="115"/>
      <c r="BH747" s="25">
        <v>45272</v>
      </c>
      <c r="BI747" s="13" t="s">
        <v>162</v>
      </c>
      <c r="BL747" s="114"/>
    </row>
    <row r="748" spans="1:64" ht="19.5" x14ac:dyDescent="0.4">
      <c r="AJ748" s="26"/>
      <c r="AK748" s="13"/>
      <c r="AP748" s="117"/>
      <c r="AQ748" s="123"/>
      <c r="AR748" s="123"/>
      <c r="AS748" s="123"/>
      <c r="AT748" s="115"/>
      <c r="AU748" s="115"/>
      <c r="AV748" s="115"/>
      <c r="AW748" s="115"/>
      <c r="AX748" s="115"/>
      <c r="AY748" s="115"/>
      <c r="AZ748" s="115"/>
      <c r="BA748" s="115"/>
      <c r="BB748" s="115"/>
      <c r="BC748" s="115"/>
      <c r="BD748" s="115"/>
      <c r="BE748" s="115"/>
      <c r="BF748" s="115"/>
      <c r="BG748" s="115"/>
      <c r="BH748" s="25"/>
      <c r="BI748" s="13"/>
      <c r="BL748" s="114"/>
    </row>
    <row r="749" spans="1:64" ht="19.5" x14ac:dyDescent="0.4"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26"/>
      <c r="AK749" s="25"/>
      <c r="AP749" s="117"/>
      <c r="AQ749" s="123"/>
      <c r="AR749" s="123"/>
      <c r="AS749" s="123"/>
      <c r="AT749" s="115"/>
      <c r="AU749" s="115"/>
      <c r="AV749" s="115"/>
      <c r="AW749" s="115"/>
      <c r="AX749" s="115"/>
      <c r="AY749" s="115"/>
      <c r="AZ749" s="115"/>
      <c r="BA749" s="115"/>
      <c r="BB749" s="115"/>
      <c r="BC749" s="115"/>
      <c r="BD749" s="115"/>
      <c r="BE749" s="115"/>
      <c r="BF749" s="115"/>
      <c r="BG749" s="115"/>
      <c r="BH749" s="25"/>
      <c r="BI749" s="13"/>
      <c r="BL749" s="114"/>
    </row>
    <row r="750" spans="1:64" ht="19.5" x14ac:dyDescent="0.4">
      <c r="AJ750" s="26"/>
      <c r="AK750" s="25"/>
      <c r="AP750" s="117"/>
      <c r="AQ750" s="123"/>
      <c r="AR750" s="123"/>
      <c r="AS750" s="123"/>
      <c r="AT750" s="115"/>
      <c r="AU750" s="115"/>
      <c r="AV750" s="115"/>
      <c r="AW750" s="115"/>
      <c r="AX750" s="115"/>
      <c r="AY750" s="115"/>
      <c r="AZ750" s="115"/>
      <c r="BA750" s="115"/>
      <c r="BB750" s="115"/>
      <c r="BC750" s="115"/>
      <c r="BD750" s="115"/>
      <c r="BE750" s="115"/>
      <c r="BF750" s="115"/>
      <c r="BG750" s="115"/>
      <c r="BH750" s="25">
        <v>45272</v>
      </c>
      <c r="BI750" s="13" t="s">
        <v>162</v>
      </c>
      <c r="BL750" s="114"/>
    </row>
    <row r="751" spans="1:64" ht="19.5" x14ac:dyDescent="0.4">
      <c r="AJ751" s="26"/>
      <c r="AK751" s="13"/>
      <c r="AP751" s="117"/>
      <c r="AQ751" s="123"/>
      <c r="AR751" s="123"/>
      <c r="AS751" s="123"/>
      <c r="AT751" s="115"/>
      <c r="AU751" s="115"/>
      <c r="AV751" s="115"/>
      <c r="AW751" s="115"/>
      <c r="AX751" s="115"/>
      <c r="AY751" s="115"/>
      <c r="AZ751" s="115"/>
      <c r="BA751" s="115"/>
      <c r="BB751" s="115"/>
      <c r="BC751" s="115"/>
      <c r="BD751" s="115"/>
      <c r="BE751" s="115"/>
      <c r="BF751" s="115"/>
      <c r="BG751" s="115"/>
      <c r="BH751" s="25">
        <v>45272</v>
      </c>
      <c r="BI751" s="15" t="s">
        <v>162</v>
      </c>
      <c r="BL751" s="114"/>
    </row>
    <row r="752" spans="1:64" ht="19.5" x14ac:dyDescent="0.4">
      <c r="AJ752" s="26"/>
      <c r="AK752" s="13"/>
      <c r="AP752" s="117"/>
      <c r="AQ752" s="123"/>
      <c r="AR752" s="123"/>
      <c r="AS752" s="123"/>
      <c r="AT752" s="115"/>
      <c r="AU752" s="115"/>
      <c r="AV752" s="115"/>
      <c r="AW752" s="115"/>
      <c r="AX752" s="115"/>
      <c r="AY752" s="115"/>
      <c r="AZ752" s="115"/>
      <c r="BA752" s="115"/>
      <c r="BB752" s="115"/>
      <c r="BC752" s="115"/>
      <c r="BD752" s="115"/>
      <c r="BE752" s="115"/>
      <c r="BF752" s="115"/>
      <c r="BG752" s="115"/>
      <c r="BH752" s="25">
        <v>45272</v>
      </c>
      <c r="BI752" s="15" t="s">
        <v>162</v>
      </c>
      <c r="BL752" s="114"/>
    </row>
    <row r="753" spans="6:64" ht="19.5" x14ac:dyDescent="0.4"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26"/>
      <c r="AK753" s="13"/>
      <c r="AP753" s="117"/>
      <c r="AQ753" s="123"/>
      <c r="AR753" s="123"/>
      <c r="AS753" s="123"/>
      <c r="AT753" s="115"/>
      <c r="AU753" s="115"/>
      <c r="AV753" s="115"/>
      <c r="AW753" s="115"/>
      <c r="AX753" s="115"/>
      <c r="AY753" s="115"/>
      <c r="AZ753" s="115"/>
      <c r="BA753" s="115"/>
      <c r="BB753" s="115"/>
      <c r="BC753" s="115"/>
      <c r="BD753" s="115"/>
      <c r="BE753" s="115"/>
      <c r="BF753" s="115"/>
      <c r="BG753" s="115"/>
      <c r="BH753" s="25"/>
      <c r="BI753" s="15"/>
      <c r="BL753" s="114"/>
    </row>
    <row r="754" spans="6:64" ht="19.5" x14ac:dyDescent="0.4"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7"/>
      <c r="AK754" s="13"/>
      <c r="AP754" s="117"/>
      <c r="AQ754" s="123"/>
      <c r="AR754" s="123"/>
      <c r="AS754" s="123"/>
      <c r="AT754" s="115"/>
      <c r="AU754" s="115"/>
      <c r="AV754" s="115"/>
      <c r="AW754" s="115"/>
      <c r="AX754" s="115"/>
      <c r="AY754" s="115"/>
      <c r="AZ754" s="115"/>
      <c r="BA754" s="115"/>
      <c r="BB754" s="115"/>
      <c r="BC754" s="115"/>
      <c r="BD754" s="115"/>
      <c r="BE754" s="115"/>
      <c r="BF754" s="115"/>
      <c r="BG754" s="115"/>
      <c r="BH754" s="25"/>
      <c r="BI754" s="15"/>
      <c r="BL754" s="114"/>
    </row>
    <row r="755" spans="6:64" ht="19.5" x14ac:dyDescent="0.4">
      <c r="AJ755" s="26"/>
      <c r="AK755" s="13"/>
      <c r="AP755" s="117"/>
      <c r="AQ755" s="123"/>
      <c r="AR755" s="123"/>
      <c r="AS755" s="123"/>
      <c r="AT755" s="115"/>
      <c r="AU755" s="115"/>
      <c r="AV755" s="115"/>
      <c r="AW755" s="115"/>
      <c r="AX755" s="115"/>
      <c r="AY755" s="115"/>
      <c r="AZ755" s="115"/>
      <c r="BA755" s="115"/>
      <c r="BB755" s="115"/>
      <c r="BC755" s="115"/>
      <c r="BD755" s="115"/>
      <c r="BE755" s="115"/>
      <c r="BF755" s="115"/>
      <c r="BG755" s="115"/>
      <c r="BH755" s="25">
        <v>45272</v>
      </c>
      <c r="BI755" s="15" t="s">
        <v>162</v>
      </c>
      <c r="BL755" s="114"/>
    </row>
    <row r="756" spans="6:64" ht="19.5" x14ac:dyDescent="0.4"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26"/>
      <c r="AK756" s="13"/>
      <c r="AP756" s="117"/>
      <c r="AQ756" s="123"/>
      <c r="AR756" s="123"/>
      <c r="AS756" s="123"/>
      <c r="AT756" s="115"/>
      <c r="AU756" s="115"/>
      <c r="AV756" s="115"/>
      <c r="AW756" s="115"/>
      <c r="AX756" s="115"/>
      <c r="AY756" s="115"/>
      <c r="AZ756" s="115"/>
      <c r="BA756" s="115"/>
      <c r="BB756" s="115"/>
      <c r="BC756" s="115"/>
      <c r="BD756" s="115"/>
      <c r="BE756" s="115"/>
      <c r="BF756" s="115"/>
      <c r="BG756" s="115"/>
      <c r="BH756" s="25"/>
      <c r="BI756" s="15"/>
      <c r="BL756" s="114"/>
    </row>
    <row r="757" spans="6:64" ht="19.5" x14ac:dyDescent="0.4"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26"/>
      <c r="AK757" s="13"/>
      <c r="AP757" s="117"/>
      <c r="AQ757" s="123"/>
      <c r="AR757" s="123"/>
      <c r="AS757" s="123"/>
      <c r="AT757" s="115"/>
      <c r="AU757" s="115"/>
      <c r="AV757" s="115"/>
      <c r="AW757" s="115"/>
      <c r="AX757" s="115"/>
      <c r="AY757" s="115"/>
      <c r="AZ757" s="115"/>
      <c r="BA757" s="115"/>
      <c r="BB757" s="115"/>
      <c r="BC757" s="115"/>
      <c r="BD757" s="115"/>
      <c r="BE757" s="115"/>
      <c r="BF757" s="115"/>
      <c r="BG757" s="115"/>
      <c r="BH757" s="25"/>
      <c r="BI757" s="15"/>
      <c r="BL757" s="114"/>
    </row>
    <row r="758" spans="6:64" ht="19.5" x14ac:dyDescent="0.4"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7"/>
      <c r="AK758" s="13"/>
      <c r="AP758" s="117"/>
      <c r="AQ758" s="123"/>
      <c r="AR758" s="123"/>
      <c r="AS758" s="123"/>
      <c r="AT758" s="115"/>
      <c r="AU758" s="115"/>
      <c r="AV758" s="115"/>
      <c r="AW758" s="115"/>
      <c r="AX758" s="115"/>
      <c r="AY758" s="115"/>
      <c r="AZ758" s="115"/>
      <c r="BA758" s="115"/>
      <c r="BB758" s="115"/>
      <c r="BC758" s="115"/>
      <c r="BD758" s="115"/>
      <c r="BE758" s="115"/>
      <c r="BF758" s="115"/>
      <c r="BG758" s="115"/>
      <c r="BH758" s="25"/>
      <c r="BI758" s="15"/>
      <c r="BL758" s="114"/>
    </row>
    <row r="759" spans="6:64" ht="19.5" x14ac:dyDescent="0.4"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26"/>
      <c r="AK759" s="13"/>
      <c r="AP759" s="117"/>
      <c r="AQ759" s="123"/>
      <c r="AR759" s="123"/>
      <c r="AS759" s="123"/>
      <c r="AT759" s="115"/>
      <c r="AU759" s="115"/>
      <c r="AV759" s="115"/>
      <c r="AW759" s="115"/>
      <c r="AX759" s="115"/>
      <c r="AY759" s="115"/>
      <c r="AZ759" s="115"/>
      <c r="BA759" s="115"/>
      <c r="BB759" s="115"/>
      <c r="BC759" s="115"/>
      <c r="BD759" s="115"/>
      <c r="BE759" s="115"/>
      <c r="BF759" s="115"/>
      <c r="BG759" s="115"/>
      <c r="BH759" s="25"/>
      <c r="BI759" s="15"/>
      <c r="BL759" s="114"/>
    </row>
    <row r="760" spans="6:64" ht="19.5" x14ac:dyDescent="0.4"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7"/>
      <c r="AK760" s="13"/>
      <c r="AP760" s="117"/>
      <c r="AQ760" s="123"/>
      <c r="AR760" s="123"/>
      <c r="AS760" s="123"/>
      <c r="AT760" s="115"/>
      <c r="AU760" s="115"/>
      <c r="AV760" s="115"/>
      <c r="AW760" s="115"/>
      <c r="AX760" s="115"/>
      <c r="AY760" s="115"/>
      <c r="AZ760" s="115"/>
      <c r="BA760" s="115"/>
      <c r="BB760" s="115"/>
      <c r="BC760" s="115"/>
      <c r="BD760" s="115"/>
      <c r="BE760" s="115"/>
      <c r="BF760" s="115"/>
      <c r="BG760" s="115"/>
      <c r="BH760" s="25"/>
      <c r="BI760" s="15"/>
      <c r="BL760" s="114"/>
    </row>
    <row r="761" spans="6:64" ht="19.5" x14ac:dyDescent="0.4"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26"/>
      <c r="AK761" s="13"/>
      <c r="AP761" s="117"/>
      <c r="AQ761" s="123"/>
      <c r="AR761" s="123"/>
      <c r="AS761" s="123"/>
      <c r="AT761" s="115"/>
      <c r="AU761" s="115"/>
      <c r="AV761" s="115"/>
      <c r="AW761" s="115"/>
      <c r="AX761" s="115"/>
      <c r="AY761" s="115"/>
      <c r="AZ761" s="115"/>
      <c r="BA761" s="115"/>
      <c r="BB761" s="115"/>
      <c r="BC761" s="115"/>
      <c r="BD761" s="115"/>
      <c r="BE761" s="115"/>
      <c r="BF761" s="115"/>
      <c r="BG761" s="115"/>
      <c r="BH761" s="25"/>
      <c r="BI761" s="15"/>
      <c r="BL761" s="114"/>
    </row>
    <row r="762" spans="6:64" ht="19.5" x14ac:dyDescent="0.4">
      <c r="AJ762" s="26"/>
      <c r="AK762" s="13"/>
      <c r="AP762" s="117"/>
      <c r="AQ762" s="123"/>
      <c r="AR762" s="123"/>
      <c r="AS762" s="123"/>
      <c r="AT762" s="115"/>
      <c r="AU762" s="115"/>
      <c r="AV762" s="115"/>
      <c r="AW762" s="115"/>
      <c r="AX762" s="115"/>
      <c r="AY762" s="115"/>
      <c r="AZ762" s="115"/>
      <c r="BA762" s="115"/>
      <c r="BB762" s="115"/>
      <c r="BC762" s="115"/>
      <c r="BD762" s="115"/>
      <c r="BE762" s="115"/>
      <c r="BF762" s="115"/>
      <c r="BG762" s="115"/>
      <c r="BH762" s="25">
        <v>45272</v>
      </c>
      <c r="BI762" s="15" t="s">
        <v>162</v>
      </c>
      <c r="BL762" s="114"/>
    </row>
    <row r="763" spans="6:64" ht="19.5" x14ac:dyDescent="0.4">
      <c r="AC763" s="115"/>
      <c r="AD763" s="115"/>
      <c r="AE763" s="115"/>
      <c r="AF763" s="115"/>
      <c r="AG763" s="115"/>
      <c r="AH763" s="115"/>
      <c r="AI763" s="115"/>
      <c r="AJ763" s="26"/>
      <c r="AK763" s="13"/>
      <c r="AP763" s="117"/>
      <c r="AQ763" s="123"/>
      <c r="AR763" s="123"/>
      <c r="AS763" s="123"/>
      <c r="AT763" s="115"/>
      <c r="AU763" s="115"/>
      <c r="AV763" s="115"/>
      <c r="AW763" s="115"/>
      <c r="AX763" s="115"/>
      <c r="AY763" s="115"/>
      <c r="AZ763" s="115"/>
      <c r="BA763" s="115"/>
      <c r="BB763" s="115"/>
      <c r="BC763" s="115"/>
      <c r="BD763" s="115"/>
      <c r="BE763" s="115"/>
      <c r="BF763" s="115"/>
      <c r="BG763" s="115"/>
      <c r="BH763" s="25"/>
      <c r="BI763" s="15"/>
      <c r="BL763" s="114"/>
    </row>
    <row r="764" spans="6:64" ht="19.5" x14ac:dyDescent="0.4">
      <c r="AC764" s="115"/>
      <c r="AD764" s="115"/>
      <c r="AE764" s="115"/>
      <c r="AF764" s="115"/>
      <c r="AG764" s="115"/>
      <c r="AH764" s="115"/>
      <c r="AI764" s="115"/>
      <c r="AJ764" s="17"/>
      <c r="AK764" s="13"/>
      <c r="AP764" s="117"/>
      <c r="AQ764" s="123"/>
      <c r="AR764" s="123"/>
      <c r="AS764" s="123"/>
      <c r="AT764" s="115"/>
      <c r="AU764" s="115"/>
      <c r="AV764" s="115"/>
      <c r="AW764" s="115"/>
      <c r="AX764" s="115"/>
      <c r="AY764" s="115"/>
      <c r="AZ764" s="115"/>
      <c r="BA764" s="115"/>
      <c r="BB764" s="115"/>
      <c r="BC764" s="115"/>
      <c r="BD764" s="115"/>
      <c r="BE764" s="115"/>
      <c r="BF764" s="115"/>
      <c r="BG764" s="115"/>
      <c r="BH764" s="25"/>
      <c r="BI764" s="15"/>
      <c r="BL764" s="114"/>
    </row>
    <row r="765" spans="6:64" ht="19.5" x14ac:dyDescent="0.4"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26"/>
      <c r="AK765" s="13"/>
      <c r="AP765" s="117"/>
      <c r="AQ765" s="123"/>
      <c r="AR765" s="123"/>
      <c r="AS765" s="123"/>
      <c r="AT765" s="115"/>
      <c r="AU765" s="115"/>
      <c r="AV765" s="115"/>
      <c r="AW765" s="115"/>
      <c r="AX765" s="115"/>
      <c r="AY765" s="115"/>
      <c r="AZ765" s="115"/>
      <c r="BA765" s="115"/>
      <c r="BB765" s="115"/>
      <c r="BC765" s="115"/>
      <c r="BD765" s="115"/>
      <c r="BE765" s="115"/>
      <c r="BF765" s="115"/>
      <c r="BG765" s="115"/>
      <c r="BH765" s="25"/>
      <c r="BI765" s="15"/>
      <c r="BL765" s="114"/>
    </row>
    <row r="766" spans="6:64" ht="19.5" x14ac:dyDescent="0.4"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7"/>
      <c r="AK766" s="13"/>
      <c r="AP766" s="117"/>
      <c r="AQ766" s="123"/>
      <c r="AR766" s="123"/>
      <c r="AS766" s="123"/>
      <c r="AT766" s="115"/>
      <c r="AU766" s="115"/>
      <c r="AV766" s="115"/>
      <c r="AW766" s="115"/>
      <c r="AX766" s="115"/>
      <c r="AY766" s="115"/>
      <c r="AZ766" s="115"/>
      <c r="BA766" s="115"/>
      <c r="BB766" s="115"/>
      <c r="BC766" s="115"/>
      <c r="BD766" s="115"/>
      <c r="BE766" s="115"/>
      <c r="BF766" s="115"/>
      <c r="BG766" s="115"/>
      <c r="BH766" s="25"/>
      <c r="BI766" s="15"/>
      <c r="BL766" s="114"/>
    </row>
    <row r="767" spans="6:64" ht="19.5" x14ac:dyDescent="0.4"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26"/>
      <c r="AK767" s="25"/>
      <c r="AP767" s="117"/>
      <c r="AQ767" s="123"/>
      <c r="AR767" s="123"/>
      <c r="AS767" s="123"/>
      <c r="AT767" s="115"/>
      <c r="AU767" s="115"/>
      <c r="AV767" s="115"/>
      <c r="AW767" s="115"/>
      <c r="AX767" s="115"/>
      <c r="AY767" s="115"/>
      <c r="AZ767" s="115"/>
      <c r="BA767" s="115"/>
      <c r="BB767" s="115"/>
      <c r="BC767" s="115"/>
      <c r="BD767" s="115"/>
      <c r="BE767" s="115"/>
      <c r="BF767" s="115"/>
      <c r="BG767" s="115"/>
      <c r="BH767" s="25"/>
      <c r="BI767" s="15"/>
      <c r="BL767" s="114"/>
    </row>
    <row r="768" spans="6:64" ht="19.5" x14ac:dyDescent="0.4"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7"/>
      <c r="AK768" s="13"/>
      <c r="AP768" s="117"/>
      <c r="AQ768" s="123"/>
      <c r="AR768" s="123"/>
      <c r="AS768" s="123"/>
      <c r="AT768" s="115"/>
      <c r="AU768" s="115"/>
      <c r="AV768" s="115"/>
      <c r="AW768" s="115"/>
      <c r="AX768" s="115"/>
      <c r="AY768" s="115"/>
      <c r="AZ768" s="115"/>
      <c r="BA768" s="115"/>
      <c r="BB768" s="115"/>
      <c r="BC768" s="115"/>
      <c r="BD768" s="115"/>
      <c r="BE768" s="115"/>
      <c r="BF768" s="115"/>
      <c r="BG768" s="115"/>
      <c r="BH768" s="25"/>
      <c r="BI768" s="15"/>
      <c r="BL768" s="114"/>
    </row>
    <row r="769" spans="6:64" ht="19.5" x14ac:dyDescent="0.4"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26"/>
      <c r="AK769" s="13"/>
      <c r="AP769" s="117"/>
      <c r="AQ769" s="123"/>
      <c r="AR769" s="123"/>
      <c r="AS769" s="123"/>
      <c r="AT769" s="115"/>
      <c r="AU769" s="115"/>
      <c r="AV769" s="115"/>
      <c r="AW769" s="115"/>
      <c r="AX769" s="115"/>
      <c r="AY769" s="115"/>
      <c r="AZ769" s="115"/>
      <c r="BA769" s="115"/>
      <c r="BB769" s="115"/>
      <c r="BC769" s="115"/>
      <c r="BD769" s="115"/>
      <c r="BE769" s="115"/>
      <c r="BF769" s="115"/>
      <c r="BG769" s="115"/>
      <c r="BH769" s="25"/>
      <c r="BI769" s="15"/>
      <c r="BL769" s="114"/>
    </row>
    <row r="770" spans="6:64" ht="19.5" x14ac:dyDescent="0.4">
      <c r="AJ770" s="26"/>
      <c r="AK770" s="13"/>
      <c r="AP770" s="117"/>
      <c r="AQ770" s="123"/>
      <c r="AR770" s="123"/>
      <c r="AS770" s="123"/>
      <c r="AT770" s="115"/>
      <c r="AU770" s="115"/>
      <c r="AV770" s="115"/>
      <c r="AW770" s="115"/>
      <c r="AX770" s="115"/>
      <c r="AY770" s="115"/>
      <c r="AZ770" s="115"/>
      <c r="BA770" s="115"/>
      <c r="BB770" s="115"/>
      <c r="BC770" s="115"/>
      <c r="BD770" s="115"/>
      <c r="BE770" s="115"/>
      <c r="BF770" s="115"/>
      <c r="BG770" s="115"/>
      <c r="BH770" s="25">
        <v>45272</v>
      </c>
      <c r="BI770" s="15" t="s">
        <v>162</v>
      </c>
      <c r="BL770" s="114"/>
    </row>
    <row r="771" spans="6:64" ht="19.5" x14ac:dyDescent="0.4">
      <c r="AD771" s="115"/>
      <c r="AE771" s="115"/>
      <c r="AF771" s="115"/>
      <c r="AG771" s="115"/>
      <c r="AH771" s="115"/>
      <c r="AI771" s="115"/>
      <c r="AJ771" s="17"/>
      <c r="AK771" s="13"/>
      <c r="AP771" s="117"/>
      <c r="AQ771" s="123"/>
      <c r="AR771" s="123"/>
      <c r="AS771" s="123"/>
      <c r="AT771" s="115"/>
      <c r="AU771" s="115"/>
      <c r="AV771" s="115"/>
      <c r="AW771" s="115"/>
      <c r="AX771" s="115"/>
      <c r="AY771" s="115"/>
      <c r="AZ771" s="115"/>
      <c r="BA771" s="115"/>
      <c r="BB771" s="115"/>
      <c r="BC771" s="115"/>
      <c r="BD771" s="115"/>
      <c r="BE771" s="115"/>
      <c r="BF771" s="115"/>
      <c r="BG771" s="115"/>
      <c r="BH771" s="25"/>
      <c r="BI771" s="15"/>
      <c r="BL771" s="114"/>
    </row>
    <row r="772" spans="6:64" ht="19.5" x14ac:dyDescent="0.4">
      <c r="AC772" s="115"/>
      <c r="AD772" s="115"/>
      <c r="AE772" s="115"/>
      <c r="AF772" s="115"/>
      <c r="AG772" s="115"/>
      <c r="AH772" s="115"/>
      <c r="AI772" s="115"/>
      <c r="AJ772" s="26"/>
      <c r="AK772" s="13"/>
      <c r="AP772" s="117"/>
      <c r="AQ772" s="123"/>
      <c r="AR772" s="123"/>
      <c r="AS772" s="123"/>
      <c r="AT772" s="115"/>
      <c r="AU772" s="115"/>
      <c r="AV772" s="115"/>
      <c r="AW772" s="115"/>
      <c r="AX772" s="115"/>
      <c r="AY772" s="115"/>
      <c r="AZ772" s="115"/>
      <c r="BA772" s="115"/>
      <c r="BB772" s="115"/>
      <c r="BC772" s="115"/>
      <c r="BD772" s="115"/>
      <c r="BE772" s="115"/>
      <c r="BF772" s="115"/>
      <c r="BG772" s="115"/>
      <c r="BH772" s="25"/>
      <c r="BI772" s="15"/>
      <c r="BL772" s="114"/>
    </row>
    <row r="773" spans="6:64" ht="19.5" x14ac:dyDescent="0.4">
      <c r="AC773" s="115"/>
      <c r="AD773" s="115"/>
      <c r="AE773" s="115"/>
      <c r="AF773" s="115"/>
      <c r="AG773" s="115"/>
      <c r="AH773" s="115"/>
      <c r="AI773" s="115"/>
      <c r="AJ773" s="17"/>
      <c r="AK773" s="13"/>
      <c r="AP773" s="117"/>
      <c r="AQ773" s="123"/>
      <c r="AR773" s="123"/>
      <c r="AS773" s="123"/>
      <c r="AT773" s="115"/>
      <c r="AU773" s="115"/>
      <c r="AV773" s="115"/>
      <c r="AW773" s="115"/>
      <c r="AX773" s="115"/>
      <c r="AY773" s="115"/>
      <c r="AZ773" s="115"/>
      <c r="BA773" s="115"/>
      <c r="BB773" s="115"/>
      <c r="BC773" s="115"/>
      <c r="BD773" s="115"/>
      <c r="BE773" s="115"/>
      <c r="BF773" s="115"/>
      <c r="BG773" s="115"/>
      <c r="BH773" s="25"/>
      <c r="BI773" s="15"/>
      <c r="BL773" s="114"/>
    </row>
    <row r="774" spans="6:64" ht="19.5" x14ac:dyDescent="0.4">
      <c r="AC774" s="115"/>
      <c r="AD774" s="115"/>
      <c r="AE774" s="115"/>
      <c r="AF774" s="115"/>
      <c r="AG774" s="115"/>
      <c r="AH774" s="115"/>
      <c r="AI774" s="115"/>
      <c r="AJ774" s="17"/>
      <c r="AK774" s="13"/>
      <c r="AP774" s="117"/>
      <c r="AQ774" s="123"/>
      <c r="AR774" s="123"/>
      <c r="AS774" s="123"/>
      <c r="AT774" s="115"/>
      <c r="AU774" s="115"/>
      <c r="AV774" s="115"/>
      <c r="AW774" s="115"/>
      <c r="AX774" s="115"/>
      <c r="AY774" s="115"/>
      <c r="AZ774" s="115"/>
      <c r="BA774" s="115"/>
      <c r="BB774" s="115"/>
      <c r="BC774" s="115"/>
      <c r="BD774" s="115"/>
      <c r="BE774" s="115"/>
      <c r="BF774" s="115"/>
      <c r="BG774" s="115"/>
      <c r="BH774" s="25"/>
      <c r="BI774" s="15"/>
      <c r="BL774" s="114"/>
    </row>
    <row r="775" spans="6:64" ht="19.5" x14ac:dyDescent="0.4"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26"/>
      <c r="AK775" s="13"/>
      <c r="AP775" s="117"/>
      <c r="AQ775" s="123"/>
      <c r="AR775" s="123"/>
      <c r="AS775" s="123"/>
      <c r="AT775" s="115"/>
      <c r="AU775" s="115"/>
      <c r="AV775" s="115"/>
      <c r="AW775" s="115"/>
      <c r="AX775" s="115"/>
      <c r="AY775" s="115"/>
      <c r="AZ775" s="115"/>
      <c r="BA775" s="115"/>
      <c r="BB775" s="115"/>
      <c r="BC775" s="115"/>
      <c r="BD775" s="115"/>
      <c r="BE775" s="115"/>
      <c r="BF775" s="115"/>
      <c r="BG775" s="115"/>
      <c r="BH775" s="25"/>
      <c r="BI775" s="15"/>
      <c r="BL775" s="114"/>
    </row>
    <row r="776" spans="6:64" ht="19.5" x14ac:dyDescent="0.4"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20"/>
      <c r="AK776" s="13"/>
      <c r="AP776" s="117"/>
      <c r="AQ776" s="123"/>
      <c r="AR776" s="123"/>
      <c r="AS776" s="123"/>
      <c r="AT776" s="115"/>
      <c r="AU776" s="115"/>
      <c r="AV776" s="115"/>
      <c r="AW776" s="115"/>
      <c r="AX776" s="115"/>
      <c r="AY776" s="115"/>
      <c r="AZ776" s="115"/>
      <c r="BA776" s="115"/>
      <c r="BB776" s="115"/>
      <c r="BC776" s="115"/>
      <c r="BD776" s="115"/>
      <c r="BE776" s="115"/>
      <c r="BF776" s="115"/>
      <c r="BG776" s="115"/>
      <c r="BH776" s="25"/>
      <c r="BI776" s="15"/>
      <c r="BL776" s="114"/>
    </row>
    <row r="777" spans="6:64" ht="19.5" x14ac:dyDescent="0.4"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20"/>
      <c r="AK777" s="13"/>
      <c r="AP777" s="117"/>
      <c r="AQ777" s="123"/>
      <c r="AR777" s="123"/>
      <c r="AS777" s="123"/>
      <c r="AT777" s="115"/>
      <c r="AU777" s="115"/>
      <c r="AV777" s="115"/>
      <c r="AW777" s="115"/>
      <c r="AX777" s="115"/>
      <c r="AY777" s="115"/>
      <c r="AZ777" s="115"/>
      <c r="BA777" s="115"/>
      <c r="BB777" s="115"/>
      <c r="BC777" s="115"/>
      <c r="BD777" s="115"/>
      <c r="BE777" s="115"/>
      <c r="BF777" s="115"/>
      <c r="BG777" s="115"/>
      <c r="BH777" s="25"/>
      <c r="BI777" s="15"/>
      <c r="BL777" s="114"/>
    </row>
    <row r="778" spans="6:64" ht="19.5" x14ac:dyDescent="0.4"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25"/>
      <c r="AK778" s="15"/>
      <c r="AP778" s="117"/>
      <c r="AQ778" s="123"/>
      <c r="AR778" s="123"/>
      <c r="AS778" s="123"/>
      <c r="AT778" s="115"/>
      <c r="AU778" s="115"/>
      <c r="AV778" s="115"/>
      <c r="AW778" s="115"/>
      <c r="AX778" s="115"/>
      <c r="AY778" s="115"/>
      <c r="AZ778" s="115"/>
      <c r="BA778" s="115"/>
      <c r="BB778" s="115"/>
      <c r="BC778" s="115"/>
      <c r="BD778" s="115"/>
      <c r="BE778" s="115"/>
      <c r="BF778" s="115"/>
      <c r="BG778" s="115"/>
      <c r="BH778" s="25"/>
      <c r="BI778" s="15"/>
      <c r="BL778" s="114"/>
    </row>
    <row r="779" spans="6:64" ht="19.5" x14ac:dyDescent="0.4"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25"/>
      <c r="AK779" s="15"/>
      <c r="AP779" s="117"/>
      <c r="AQ779" s="123"/>
      <c r="AR779" s="123"/>
      <c r="AS779" s="123"/>
      <c r="AT779" s="115"/>
      <c r="AU779" s="115"/>
      <c r="AV779" s="115"/>
      <c r="AW779" s="115"/>
      <c r="AX779" s="115"/>
      <c r="AY779" s="115"/>
      <c r="AZ779" s="115"/>
      <c r="BA779" s="115"/>
      <c r="BB779" s="115"/>
      <c r="BC779" s="115"/>
      <c r="BD779" s="115"/>
      <c r="BE779" s="115"/>
      <c r="BF779" s="115"/>
      <c r="BG779" s="115"/>
      <c r="BH779" s="25"/>
      <c r="BI779" s="15"/>
      <c r="BL779" s="114"/>
    </row>
    <row r="780" spans="6:64" ht="19.5" x14ac:dyDescent="0.4"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25"/>
      <c r="AK780" s="15"/>
      <c r="AP780" s="117"/>
      <c r="AQ780" s="123"/>
      <c r="AR780" s="123"/>
      <c r="AS780" s="123"/>
      <c r="AT780" s="115"/>
      <c r="AU780" s="115"/>
      <c r="AV780" s="115"/>
      <c r="AW780" s="115"/>
      <c r="AX780" s="115"/>
      <c r="AY780" s="115"/>
      <c r="AZ780" s="115"/>
      <c r="BA780" s="115"/>
      <c r="BB780" s="115"/>
      <c r="BC780" s="115"/>
      <c r="BD780" s="115"/>
      <c r="BE780" s="115"/>
      <c r="BF780" s="115"/>
      <c r="BG780" s="115"/>
      <c r="BH780" s="25"/>
      <c r="BI780" s="15"/>
      <c r="BL780" s="114"/>
    </row>
    <row r="781" spans="6:64" ht="19.5" x14ac:dyDescent="0.4">
      <c r="AJ781" s="26"/>
      <c r="AK781" s="15"/>
      <c r="AP781" s="117"/>
      <c r="AQ781" s="123"/>
      <c r="AR781" s="123"/>
      <c r="AS781" s="123"/>
      <c r="AT781" s="115"/>
      <c r="AU781" s="115"/>
      <c r="AV781" s="115"/>
      <c r="AW781" s="115"/>
      <c r="AX781" s="115"/>
      <c r="AY781" s="115"/>
      <c r="AZ781" s="115"/>
      <c r="BA781" s="115"/>
      <c r="BB781" s="115"/>
      <c r="BC781" s="115"/>
      <c r="BD781" s="115"/>
      <c r="BE781" s="115"/>
      <c r="BF781" s="115"/>
      <c r="BG781" s="115"/>
      <c r="BH781" s="25">
        <v>45272</v>
      </c>
      <c r="BI781" s="15" t="s">
        <v>162</v>
      </c>
      <c r="BL781" s="114"/>
    </row>
    <row r="782" spans="6:64" ht="19.5" x14ac:dyDescent="0.4">
      <c r="AJ782" s="26"/>
      <c r="AK782" s="13"/>
      <c r="AP782" s="117"/>
      <c r="AQ782" s="123"/>
      <c r="AR782" s="123"/>
      <c r="AS782" s="123"/>
      <c r="AT782" s="115"/>
      <c r="AU782" s="115"/>
      <c r="AV782" s="115"/>
      <c r="AW782" s="115"/>
      <c r="AX782" s="115"/>
      <c r="AY782" s="115"/>
      <c r="AZ782" s="115"/>
      <c r="BA782" s="115"/>
      <c r="BB782" s="115"/>
      <c r="BC782" s="115"/>
      <c r="BD782" s="115"/>
      <c r="BE782" s="115"/>
      <c r="BF782" s="115"/>
      <c r="BG782" s="115"/>
      <c r="BH782" s="25"/>
      <c r="BI782" s="15"/>
      <c r="BL782" s="114"/>
    </row>
    <row r="783" spans="6:64" ht="19.5" x14ac:dyDescent="0.4"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26"/>
      <c r="AK783" s="13"/>
      <c r="AP783" s="117"/>
      <c r="AQ783" s="123"/>
      <c r="AR783" s="123"/>
      <c r="AS783" s="123"/>
      <c r="AT783" s="115"/>
      <c r="AU783" s="115"/>
      <c r="AV783" s="115"/>
      <c r="AW783" s="115"/>
      <c r="AX783" s="115"/>
      <c r="AY783" s="115"/>
      <c r="AZ783" s="115"/>
      <c r="BA783" s="115"/>
      <c r="BB783" s="115"/>
      <c r="BC783" s="115"/>
      <c r="BD783" s="115"/>
      <c r="BE783" s="115"/>
      <c r="BF783" s="115"/>
      <c r="BG783" s="115"/>
      <c r="BH783" s="25"/>
      <c r="BI783" s="15"/>
      <c r="BL783" s="114"/>
    </row>
    <row r="784" spans="6:64" ht="19.5" x14ac:dyDescent="0.4">
      <c r="AJ784" s="26"/>
      <c r="AK784" s="13"/>
      <c r="AP784" s="117"/>
      <c r="AQ784" s="123"/>
      <c r="AR784" s="123"/>
      <c r="AS784" s="123"/>
      <c r="AT784" s="115"/>
      <c r="AU784" s="115"/>
      <c r="AV784" s="115"/>
      <c r="AW784" s="115"/>
      <c r="AX784" s="115"/>
      <c r="AY784" s="115"/>
      <c r="AZ784" s="115"/>
      <c r="BA784" s="115"/>
      <c r="BB784" s="115"/>
      <c r="BC784" s="115"/>
      <c r="BD784" s="115"/>
      <c r="BE784" s="115"/>
      <c r="BF784" s="115"/>
      <c r="BG784" s="115"/>
      <c r="BH784" s="25">
        <v>45272</v>
      </c>
      <c r="BI784" s="15" t="s">
        <v>162</v>
      </c>
      <c r="BL784" s="114"/>
    </row>
    <row r="785" spans="25:64" ht="19.5" x14ac:dyDescent="0.4">
      <c r="AB785" s="115"/>
      <c r="AC785" s="115"/>
      <c r="AD785" s="115"/>
      <c r="AE785" s="115"/>
      <c r="AF785" s="115"/>
      <c r="AG785" s="115"/>
      <c r="AH785" s="115"/>
      <c r="AI785" s="115"/>
      <c r="AJ785" s="17"/>
      <c r="AK785" s="13"/>
      <c r="AP785" s="117"/>
      <c r="AQ785" s="123"/>
      <c r="AR785" s="123"/>
      <c r="AS785" s="123"/>
      <c r="AT785" s="115"/>
      <c r="AU785" s="115"/>
      <c r="AV785" s="115"/>
      <c r="AW785" s="115"/>
      <c r="AX785" s="115"/>
      <c r="AY785" s="115"/>
      <c r="AZ785" s="115"/>
      <c r="BA785" s="115"/>
      <c r="BB785" s="115"/>
      <c r="BC785" s="115"/>
      <c r="BD785" s="115"/>
      <c r="BE785" s="115"/>
      <c r="BF785" s="115"/>
      <c r="BG785" s="115"/>
      <c r="BH785" s="25"/>
      <c r="BI785" s="15"/>
      <c r="BL785" s="114"/>
    </row>
    <row r="786" spans="25:64" ht="19.5" x14ac:dyDescent="0.4">
      <c r="AJ786" s="26"/>
      <c r="AK786" s="13"/>
      <c r="AP786" s="117"/>
      <c r="AQ786" s="123"/>
      <c r="AR786" s="123"/>
      <c r="AS786" s="123"/>
      <c r="AT786" s="115"/>
      <c r="AU786" s="115"/>
      <c r="AV786" s="115"/>
      <c r="AW786" s="115"/>
      <c r="AX786" s="115"/>
      <c r="AY786" s="115"/>
      <c r="AZ786" s="115"/>
      <c r="BA786" s="115"/>
      <c r="BB786" s="115"/>
      <c r="BC786" s="115"/>
      <c r="BD786" s="115"/>
      <c r="BE786" s="115"/>
      <c r="BF786" s="115"/>
      <c r="BG786" s="115"/>
      <c r="BH786" s="25"/>
      <c r="BI786" s="15"/>
      <c r="BL786" s="114"/>
    </row>
    <row r="787" spans="25:64" ht="19.5" x14ac:dyDescent="0.4"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26"/>
      <c r="AK787" s="13"/>
      <c r="AP787" s="117"/>
      <c r="AQ787" s="123"/>
      <c r="AR787" s="123"/>
      <c r="AS787" s="123"/>
      <c r="AT787" s="115"/>
      <c r="AU787" s="115"/>
      <c r="AV787" s="115"/>
      <c r="AW787" s="115"/>
      <c r="AX787" s="115"/>
      <c r="AY787" s="115"/>
      <c r="AZ787" s="115"/>
      <c r="BA787" s="115"/>
      <c r="BB787" s="115"/>
      <c r="BC787" s="115"/>
      <c r="BD787" s="115"/>
      <c r="BE787" s="115"/>
      <c r="BF787" s="115"/>
      <c r="BG787" s="115"/>
      <c r="BH787" s="25"/>
      <c r="BI787" s="15"/>
      <c r="BL787" s="114"/>
    </row>
    <row r="788" spans="25:64" ht="19.5" x14ac:dyDescent="0.4">
      <c r="AJ788" s="26"/>
      <c r="AK788" s="13"/>
      <c r="AP788" s="117"/>
      <c r="AQ788" s="123"/>
      <c r="AR788" s="123"/>
      <c r="AS788" s="123"/>
      <c r="AT788" s="115"/>
      <c r="AU788" s="115"/>
      <c r="AV788" s="115"/>
      <c r="AW788" s="115"/>
      <c r="AX788" s="115"/>
      <c r="AY788" s="115"/>
      <c r="AZ788" s="115"/>
      <c r="BA788" s="115"/>
      <c r="BB788" s="115"/>
      <c r="BC788" s="115"/>
      <c r="BD788" s="115"/>
      <c r="BE788" s="115"/>
      <c r="BF788" s="115"/>
      <c r="BG788" s="115"/>
      <c r="BH788" s="25">
        <v>45272</v>
      </c>
      <c r="BI788" s="15" t="s">
        <v>162</v>
      </c>
      <c r="BL788" s="114"/>
    </row>
    <row r="789" spans="25:64" ht="19.5" x14ac:dyDescent="0.4">
      <c r="AJ789" s="26"/>
      <c r="AK789" s="13"/>
      <c r="AP789" s="117"/>
      <c r="AQ789" s="123"/>
      <c r="AR789" s="123"/>
      <c r="AS789" s="123"/>
      <c r="AT789" s="115"/>
      <c r="AU789" s="115"/>
      <c r="AV789" s="115"/>
      <c r="AW789" s="115"/>
      <c r="AX789" s="115"/>
      <c r="AY789" s="115"/>
      <c r="AZ789" s="115"/>
      <c r="BA789" s="115"/>
      <c r="BB789" s="115"/>
      <c r="BC789" s="115"/>
      <c r="BD789" s="115"/>
      <c r="BE789" s="115"/>
      <c r="BF789" s="115"/>
      <c r="BG789" s="115" t="s">
        <v>166</v>
      </c>
      <c r="BH789" s="13">
        <f>SUBTOTAL(3,BH737:BH788)</f>
        <v>13</v>
      </c>
      <c r="BI789" s="15">
        <f>SUBTOTAL(3,BI737:BI788)</f>
        <v>13</v>
      </c>
      <c r="BL789" s="114"/>
    </row>
    <row r="790" spans="25:64" ht="19.5" x14ac:dyDescent="0.4">
      <c r="AB790" s="115"/>
      <c r="AC790" s="115"/>
      <c r="AD790" s="115"/>
      <c r="AE790" s="115"/>
      <c r="AF790" s="115"/>
      <c r="AG790" s="115"/>
      <c r="AH790" s="115"/>
      <c r="AI790" s="115"/>
      <c r="AJ790" s="17"/>
      <c r="AK790" s="13"/>
      <c r="AP790" s="117"/>
      <c r="AQ790" s="123"/>
      <c r="AR790" s="123"/>
      <c r="AS790" s="123"/>
      <c r="AT790" s="115"/>
      <c r="AU790" s="115"/>
      <c r="AV790" s="115"/>
      <c r="AW790" s="115"/>
      <c r="AX790" s="115"/>
      <c r="AY790" s="115"/>
      <c r="AZ790" s="115"/>
      <c r="BA790" s="115"/>
      <c r="BB790" s="115"/>
      <c r="BC790" s="115"/>
      <c r="BD790" s="115"/>
      <c r="BE790" s="115"/>
      <c r="BF790" s="115"/>
      <c r="BG790" s="115"/>
      <c r="BH790" s="13"/>
      <c r="BI790" s="15"/>
      <c r="BL790" s="114"/>
    </row>
    <row r="791" spans="25:64" ht="19.5" x14ac:dyDescent="0.4">
      <c r="AJ791" s="26"/>
      <c r="AK791" s="13"/>
      <c r="AP791" s="117"/>
      <c r="AQ791" s="123"/>
      <c r="AR791" s="123"/>
      <c r="AS791" s="123"/>
      <c r="AT791" s="115"/>
      <c r="AU791" s="115"/>
      <c r="AV791" s="115"/>
      <c r="AW791" s="115"/>
      <c r="AX791" s="115"/>
      <c r="AY791" s="115"/>
      <c r="AZ791" s="115"/>
      <c r="BA791" s="115"/>
      <c r="BB791" s="115"/>
      <c r="BC791" s="115"/>
      <c r="BD791" s="115"/>
      <c r="BE791" s="115"/>
      <c r="BF791" s="115"/>
      <c r="BG791" s="115"/>
      <c r="BH791" s="25">
        <v>45273</v>
      </c>
      <c r="BI791" s="105" t="s">
        <v>164</v>
      </c>
      <c r="BL791" s="114"/>
    </row>
    <row r="792" spans="25:64" ht="19.5" x14ac:dyDescent="0.4">
      <c r="AJ792" s="26"/>
      <c r="AK792" s="13"/>
      <c r="AP792" s="117"/>
      <c r="AQ792" s="123"/>
      <c r="AR792" s="123"/>
      <c r="AS792" s="123"/>
      <c r="AT792" s="115"/>
      <c r="AU792" s="115"/>
      <c r="AV792" s="115"/>
      <c r="AW792" s="115"/>
      <c r="AX792" s="115"/>
      <c r="AY792" s="115"/>
      <c r="AZ792" s="115"/>
      <c r="BA792" s="115"/>
      <c r="BB792" s="115"/>
      <c r="BC792" s="115"/>
      <c r="BD792" s="115"/>
      <c r="BE792" s="115"/>
      <c r="BF792" s="115"/>
      <c r="BG792" s="115"/>
      <c r="BH792" s="25">
        <v>45273</v>
      </c>
      <c r="BI792" s="15" t="s">
        <v>164</v>
      </c>
      <c r="BL792" s="114"/>
    </row>
    <row r="793" spans="25:64" ht="19.5" x14ac:dyDescent="0.4"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26"/>
      <c r="AK793" s="13"/>
      <c r="AP793" s="117"/>
      <c r="AQ793" s="123"/>
      <c r="AR793" s="123"/>
      <c r="AS793" s="123"/>
      <c r="AT793" s="115"/>
      <c r="AU793" s="115"/>
      <c r="AV793" s="115"/>
      <c r="AW793" s="115"/>
      <c r="AX793" s="115"/>
      <c r="AY793" s="115"/>
      <c r="AZ793" s="115"/>
      <c r="BA793" s="115"/>
      <c r="BB793" s="115"/>
      <c r="BC793" s="115"/>
      <c r="BD793" s="115"/>
      <c r="BE793" s="115"/>
      <c r="BF793" s="115"/>
      <c r="BG793" s="115"/>
      <c r="BH793" s="25"/>
      <c r="BI793" s="13"/>
      <c r="BL793" s="114"/>
    </row>
    <row r="794" spans="25:64" ht="19.5" x14ac:dyDescent="0.4">
      <c r="AJ794" s="26"/>
      <c r="AK794" s="13"/>
      <c r="AP794" s="117"/>
      <c r="AQ794" s="123"/>
      <c r="AR794" s="123"/>
      <c r="AS794" s="123"/>
      <c r="AT794" s="115"/>
      <c r="AU794" s="115"/>
      <c r="AV794" s="115"/>
      <c r="AW794" s="115"/>
      <c r="AX794" s="115"/>
      <c r="AY794" s="115"/>
      <c r="AZ794" s="115"/>
      <c r="BA794" s="115"/>
      <c r="BB794" s="115"/>
      <c r="BC794" s="115"/>
      <c r="BD794" s="115"/>
      <c r="BE794" s="115"/>
      <c r="BF794" s="115"/>
      <c r="BG794" s="115"/>
      <c r="BH794" s="25">
        <v>45273</v>
      </c>
      <c r="BI794" s="13" t="s">
        <v>164</v>
      </c>
      <c r="BL794" s="114"/>
    </row>
    <row r="795" spans="25:64" ht="19.5" x14ac:dyDescent="0.4">
      <c r="AJ795" s="26"/>
      <c r="AK795" s="13"/>
      <c r="AP795" s="117"/>
      <c r="AQ795" s="123"/>
      <c r="AR795" s="123"/>
      <c r="AS795" s="123"/>
      <c r="AT795" s="115"/>
      <c r="AU795" s="115"/>
      <c r="AV795" s="115"/>
      <c r="AW795" s="115"/>
      <c r="AX795" s="115"/>
      <c r="AY795" s="115"/>
      <c r="AZ795" s="115"/>
      <c r="BA795" s="115"/>
      <c r="BB795" s="115"/>
      <c r="BC795" s="115"/>
      <c r="BD795" s="115"/>
      <c r="BE795" s="115"/>
      <c r="BF795" s="115"/>
      <c r="BG795" s="115"/>
      <c r="BH795" s="25">
        <v>45273</v>
      </c>
      <c r="BI795" s="15" t="s">
        <v>164</v>
      </c>
      <c r="BL795" s="114"/>
    </row>
    <row r="796" spans="25:64" ht="19.5" x14ac:dyDescent="0.4">
      <c r="AJ796" s="26"/>
      <c r="AK796" s="13"/>
      <c r="AP796" s="117"/>
      <c r="AQ796" s="123"/>
      <c r="AR796" s="123"/>
      <c r="AS796" s="123"/>
      <c r="AT796" s="115"/>
      <c r="AU796" s="115"/>
      <c r="AV796" s="115"/>
      <c r="AW796" s="115"/>
      <c r="AX796" s="115"/>
      <c r="AY796" s="115"/>
      <c r="AZ796" s="115"/>
      <c r="BA796" s="115"/>
      <c r="BB796" s="115"/>
      <c r="BC796" s="115"/>
      <c r="BD796" s="115"/>
      <c r="BE796" s="115"/>
      <c r="BF796" s="115"/>
      <c r="BG796" s="115"/>
      <c r="BH796" s="25">
        <v>45273</v>
      </c>
      <c r="BI796" s="15" t="s">
        <v>162</v>
      </c>
      <c r="BL796" s="114"/>
    </row>
    <row r="797" spans="25:64" ht="19.5" x14ac:dyDescent="0.4"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26"/>
      <c r="AK797" s="13"/>
      <c r="AP797" s="117"/>
      <c r="AQ797" s="123"/>
      <c r="AR797" s="123"/>
      <c r="AS797" s="123"/>
      <c r="AT797" s="115"/>
      <c r="AU797" s="115"/>
      <c r="AV797" s="115"/>
      <c r="AW797" s="115"/>
      <c r="AX797" s="115"/>
      <c r="AY797" s="115"/>
      <c r="AZ797" s="115"/>
      <c r="BA797" s="115"/>
      <c r="BB797" s="115"/>
      <c r="BC797" s="115"/>
      <c r="BD797" s="115"/>
      <c r="BE797" s="115"/>
      <c r="BF797" s="115"/>
      <c r="BG797" s="115"/>
      <c r="BH797" s="25"/>
      <c r="BI797" s="15"/>
      <c r="BL797" s="114"/>
    </row>
    <row r="798" spans="25:64" ht="19.5" x14ac:dyDescent="0.4">
      <c r="AJ798" s="26"/>
      <c r="AK798" s="13"/>
      <c r="AP798" s="117"/>
      <c r="AQ798" s="123"/>
      <c r="AR798" s="123"/>
      <c r="AS798" s="123"/>
      <c r="AT798" s="115"/>
      <c r="AU798" s="115"/>
      <c r="AV798" s="115"/>
      <c r="AW798" s="115"/>
      <c r="AX798" s="115"/>
      <c r="AY798" s="115"/>
      <c r="AZ798" s="115"/>
      <c r="BA798" s="115"/>
      <c r="BB798" s="115"/>
      <c r="BC798" s="115"/>
      <c r="BD798" s="115"/>
      <c r="BE798" s="115"/>
      <c r="BF798" s="115"/>
      <c r="BG798" s="115"/>
      <c r="BH798" s="25">
        <v>45273</v>
      </c>
      <c r="BI798" s="15" t="s">
        <v>162</v>
      </c>
      <c r="BL798" s="114"/>
    </row>
    <row r="799" spans="25:64" ht="19.5" x14ac:dyDescent="0.4">
      <c r="AJ799" s="26"/>
      <c r="AK799" s="13"/>
      <c r="AP799" s="117"/>
      <c r="AQ799" s="123"/>
      <c r="AR799" s="123"/>
      <c r="AS799" s="123"/>
      <c r="AT799" s="115"/>
      <c r="AU799" s="115"/>
      <c r="AV799" s="115"/>
      <c r="AW799" s="115"/>
      <c r="AX799" s="115"/>
      <c r="AY799" s="115"/>
      <c r="AZ799" s="115"/>
      <c r="BA799" s="115"/>
      <c r="BB799" s="115"/>
      <c r="BC799" s="115"/>
      <c r="BD799" s="115"/>
      <c r="BE799" s="115"/>
      <c r="BF799" s="115"/>
      <c r="BG799" s="115"/>
      <c r="BH799" s="25">
        <v>45273</v>
      </c>
      <c r="BI799" s="15" t="s">
        <v>162</v>
      </c>
      <c r="BL799" s="114"/>
    </row>
    <row r="800" spans="25:64" ht="19.5" x14ac:dyDescent="0.4">
      <c r="AJ800" s="26"/>
      <c r="AK800" s="13"/>
      <c r="AP800" s="117"/>
      <c r="AQ800" s="123"/>
      <c r="AR800" s="123"/>
      <c r="AS800" s="123"/>
      <c r="AT800" s="115"/>
      <c r="AU800" s="115"/>
      <c r="AV800" s="115"/>
      <c r="AW800" s="115"/>
      <c r="AX800" s="115"/>
      <c r="AY800" s="115"/>
      <c r="AZ800" s="115"/>
      <c r="BA800" s="115"/>
      <c r="BB800" s="115"/>
      <c r="BC800" s="115"/>
      <c r="BD800" s="115"/>
      <c r="BE800" s="115"/>
      <c r="BF800" s="115"/>
      <c r="BG800" s="115"/>
      <c r="BH800" s="25">
        <v>45273</v>
      </c>
      <c r="BI800" s="15" t="s">
        <v>162</v>
      </c>
      <c r="BL800" s="114"/>
    </row>
    <row r="801" spans="6:64" ht="19.5" x14ac:dyDescent="0.4"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26"/>
      <c r="AK801" s="13"/>
      <c r="AP801" s="117"/>
      <c r="AQ801" s="123"/>
      <c r="AR801" s="123"/>
      <c r="AS801" s="123"/>
      <c r="AT801" s="115"/>
      <c r="AU801" s="115"/>
      <c r="AV801" s="115"/>
      <c r="AW801" s="115"/>
      <c r="AX801" s="115"/>
      <c r="AY801" s="115"/>
      <c r="AZ801" s="115"/>
      <c r="BA801" s="115"/>
      <c r="BB801" s="115"/>
      <c r="BC801" s="115"/>
      <c r="BD801" s="115"/>
      <c r="BE801" s="115"/>
      <c r="BF801" s="115"/>
      <c r="BG801" s="115"/>
      <c r="BH801" s="25"/>
      <c r="BI801" s="15"/>
      <c r="BL801" s="114"/>
    </row>
    <row r="802" spans="6:64" ht="19.5" x14ac:dyDescent="0.4">
      <c r="AJ802" s="26"/>
      <c r="AK802" s="13"/>
      <c r="AP802" s="117"/>
      <c r="AQ802" s="123"/>
      <c r="AR802" s="123"/>
      <c r="AS802" s="123"/>
      <c r="AT802" s="115"/>
      <c r="AU802" s="115"/>
      <c r="AV802" s="115"/>
      <c r="AW802" s="115"/>
      <c r="AX802" s="115"/>
      <c r="AY802" s="115"/>
      <c r="AZ802" s="115"/>
      <c r="BA802" s="115"/>
      <c r="BB802" s="115"/>
      <c r="BC802" s="115"/>
      <c r="BD802" s="115"/>
      <c r="BE802" s="115"/>
      <c r="BF802" s="115"/>
      <c r="BG802" s="115"/>
      <c r="BH802" s="25">
        <v>45273</v>
      </c>
      <c r="BI802" s="15" t="s">
        <v>162</v>
      </c>
      <c r="BL802" s="114"/>
    </row>
    <row r="803" spans="6:64" ht="19.5" x14ac:dyDescent="0.4">
      <c r="AJ803" s="26"/>
      <c r="AK803" s="13"/>
      <c r="AP803" s="117"/>
      <c r="AQ803" s="123"/>
      <c r="AR803" s="123"/>
      <c r="AS803" s="123"/>
      <c r="AT803" s="115"/>
      <c r="AU803" s="115"/>
      <c r="AV803" s="115"/>
      <c r="AW803" s="115"/>
      <c r="AX803" s="115"/>
      <c r="AY803" s="115"/>
      <c r="AZ803" s="115"/>
      <c r="BA803" s="115"/>
      <c r="BB803" s="115"/>
      <c r="BC803" s="115"/>
      <c r="BD803" s="115"/>
      <c r="BE803" s="115"/>
      <c r="BF803" s="115"/>
      <c r="BG803" s="115"/>
      <c r="BH803" s="25">
        <v>45273</v>
      </c>
      <c r="BI803" s="15" t="s">
        <v>162</v>
      </c>
      <c r="BL803" s="114"/>
    </row>
    <row r="804" spans="6:64" ht="19.5" x14ac:dyDescent="0.4">
      <c r="AJ804" s="26"/>
      <c r="AK804" s="13"/>
      <c r="AP804" s="117"/>
      <c r="AQ804" s="123"/>
      <c r="AR804" s="123"/>
      <c r="AS804" s="123"/>
      <c r="AT804" s="115"/>
      <c r="AU804" s="115"/>
      <c r="AV804" s="115"/>
      <c r="AW804" s="115"/>
      <c r="AX804" s="124"/>
      <c r="AY804" s="124"/>
      <c r="AZ804" s="124"/>
      <c r="BA804" s="124"/>
      <c r="BB804" s="124"/>
      <c r="BC804" s="124"/>
      <c r="BD804" s="124"/>
      <c r="BE804" s="124"/>
      <c r="BF804" s="124"/>
      <c r="BG804" s="124"/>
      <c r="BH804" s="25">
        <v>45273</v>
      </c>
      <c r="BI804" s="15" t="s">
        <v>162</v>
      </c>
      <c r="BL804" s="114"/>
    </row>
    <row r="805" spans="6:64" ht="19.5" x14ac:dyDescent="0.4">
      <c r="AJ805" s="26"/>
      <c r="AK805" s="13"/>
      <c r="AP805" s="117"/>
      <c r="AQ805" s="123"/>
      <c r="AR805" s="123"/>
      <c r="AS805" s="123"/>
      <c r="AT805" s="115"/>
      <c r="AU805" s="115"/>
      <c r="AV805" s="115"/>
      <c r="AW805" s="115"/>
      <c r="AX805" s="124"/>
      <c r="AY805" s="124"/>
      <c r="AZ805" s="124"/>
      <c r="BA805" s="124"/>
      <c r="BB805" s="124"/>
      <c r="BC805" s="124"/>
      <c r="BD805" s="124"/>
      <c r="BE805" s="124"/>
      <c r="BF805" s="124"/>
      <c r="BG805" s="124"/>
      <c r="BH805" s="25">
        <v>45273</v>
      </c>
      <c r="BI805" s="15" t="s">
        <v>162</v>
      </c>
      <c r="BL805" s="114"/>
    </row>
    <row r="806" spans="6:64" ht="19.5" x14ac:dyDescent="0.4">
      <c r="AB806" s="115"/>
      <c r="AC806" s="115"/>
      <c r="AD806" s="115"/>
      <c r="AE806" s="115"/>
      <c r="AF806" s="115"/>
      <c r="AG806" s="115"/>
      <c r="AH806" s="115"/>
      <c r="AI806" s="115"/>
      <c r="AJ806" s="17"/>
      <c r="AK806" s="13"/>
      <c r="AP806" s="117"/>
      <c r="AQ806" s="123"/>
      <c r="AR806" s="123"/>
      <c r="AS806" s="123"/>
      <c r="AT806" s="115"/>
      <c r="AU806" s="115"/>
      <c r="AV806" s="115"/>
      <c r="AW806" s="115"/>
      <c r="AX806" s="124"/>
      <c r="AY806" s="124"/>
      <c r="AZ806" s="124"/>
      <c r="BA806" s="124"/>
      <c r="BB806" s="124"/>
      <c r="BC806" s="124"/>
      <c r="BD806" s="124"/>
      <c r="BE806" s="124"/>
      <c r="BF806" s="124"/>
      <c r="BG806" s="124"/>
      <c r="BH806" s="25"/>
      <c r="BI806" s="15"/>
      <c r="BL806" s="114"/>
    </row>
    <row r="807" spans="6:64" ht="19.5" x14ac:dyDescent="0.4">
      <c r="AJ807" s="26"/>
      <c r="AK807" s="13"/>
      <c r="AP807" s="117"/>
      <c r="AQ807" s="123"/>
      <c r="AR807" s="123"/>
      <c r="AS807" s="123"/>
      <c r="AT807" s="115"/>
      <c r="AU807" s="115"/>
      <c r="AV807" s="115"/>
      <c r="AW807" s="115"/>
      <c r="AX807" s="124"/>
      <c r="AY807" s="124"/>
      <c r="AZ807" s="124"/>
      <c r="BA807" s="124"/>
      <c r="BB807" s="124"/>
      <c r="BC807" s="124"/>
      <c r="BD807" s="124"/>
      <c r="BE807" s="124"/>
      <c r="BF807" s="124"/>
      <c r="BG807" s="124"/>
      <c r="BH807" s="25">
        <v>45273</v>
      </c>
      <c r="BI807" s="15" t="s">
        <v>162</v>
      </c>
      <c r="BL807" s="114"/>
    </row>
    <row r="808" spans="6:64" ht="19.5" x14ac:dyDescent="0.4">
      <c r="AB808" s="115"/>
      <c r="AC808" s="115"/>
      <c r="AD808" s="115"/>
      <c r="AE808" s="115"/>
      <c r="AF808" s="115"/>
      <c r="AG808" s="115"/>
      <c r="AH808" s="115"/>
      <c r="AI808" s="115"/>
      <c r="AJ808" s="17"/>
      <c r="AK808" s="13"/>
      <c r="AP808" s="117"/>
      <c r="AQ808" s="123"/>
      <c r="AR808" s="123"/>
      <c r="AS808" s="123"/>
      <c r="AT808" s="115"/>
      <c r="AU808" s="115"/>
      <c r="AV808" s="115"/>
      <c r="AW808" s="115"/>
      <c r="AX808" s="124"/>
      <c r="AY808" s="124"/>
      <c r="AZ808" s="124"/>
      <c r="BA808" s="124"/>
      <c r="BB808" s="124"/>
      <c r="BC808" s="124"/>
      <c r="BD808" s="124"/>
      <c r="BE808" s="124"/>
      <c r="BF808" s="124"/>
      <c r="BG808" s="124"/>
      <c r="BH808" s="25"/>
      <c r="BI808" s="15"/>
      <c r="BL808" s="114"/>
    </row>
    <row r="809" spans="6:64" ht="19.5" x14ac:dyDescent="0.4">
      <c r="AJ809" s="26"/>
      <c r="AK809" s="13"/>
      <c r="AP809" s="117"/>
      <c r="AQ809" s="123"/>
      <c r="AR809" s="123"/>
      <c r="AS809" s="123"/>
      <c r="AT809" s="115"/>
      <c r="AU809" s="115"/>
      <c r="AV809" s="115"/>
      <c r="AW809" s="115"/>
      <c r="AX809" s="124"/>
      <c r="AY809" s="124"/>
      <c r="AZ809" s="124"/>
      <c r="BA809" s="124"/>
      <c r="BB809" s="124"/>
      <c r="BC809" s="124"/>
      <c r="BD809" s="124"/>
      <c r="BE809" s="124"/>
      <c r="BF809" s="124"/>
      <c r="BG809" s="124"/>
      <c r="BH809" s="25">
        <v>45273</v>
      </c>
      <c r="BI809" s="15" t="s">
        <v>162</v>
      </c>
      <c r="BL809" s="114"/>
    </row>
    <row r="810" spans="6:64" ht="19.5" x14ac:dyDescent="0.4">
      <c r="AJ810" s="26"/>
      <c r="AK810" s="13"/>
      <c r="AP810" s="117"/>
      <c r="AQ810" s="123"/>
      <c r="AR810" s="123"/>
      <c r="AS810" s="123"/>
      <c r="AT810" s="115"/>
      <c r="AU810" s="115"/>
      <c r="AV810" s="115"/>
      <c r="AW810" s="115"/>
      <c r="AX810" s="115"/>
      <c r="AY810" s="115"/>
      <c r="AZ810" s="115"/>
      <c r="BA810" s="115"/>
      <c r="BB810" s="115"/>
      <c r="BC810" s="115"/>
      <c r="BD810" s="115"/>
      <c r="BE810" s="115"/>
      <c r="BF810" s="115"/>
      <c r="BG810" s="115"/>
      <c r="BH810" s="25">
        <v>45273</v>
      </c>
      <c r="BI810" s="13" t="s">
        <v>162</v>
      </c>
      <c r="BL810" s="114"/>
    </row>
    <row r="811" spans="6:64" ht="19.5" x14ac:dyDescent="0.4">
      <c r="AJ811" s="26"/>
      <c r="AK811" s="13"/>
      <c r="AP811" s="117"/>
      <c r="AQ811" s="123"/>
      <c r="AR811" s="123"/>
      <c r="AS811" s="123"/>
      <c r="AT811" s="115"/>
      <c r="AU811" s="115"/>
      <c r="AV811" s="115"/>
      <c r="AW811" s="115"/>
      <c r="AX811" s="115"/>
      <c r="AY811" s="115"/>
      <c r="AZ811" s="115"/>
      <c r="BA811" s="115"/>
      <c r="BB811" s="115"/>
      <c r="BC811" s="115"/>
      <c r="BD811" s="115"/>
      <c r="BE811" s="115"/>
      <c r="BF811" s="115"/>
      <c r="BG811" s="115"/>
      <c r="BH811" s="25">
        <v>45273</v>
      </c>
      <c r="BI811" s="15" t="s">
        <v>162</v>
      </c>
      <c r="BL811" s="114"/>
    </row>
    <row r="812" spans="6:64" ht="19.5" x14ac:dyDescent="0.4">
      <c r="AJ812" s="26"/>
      <c r="AK812" s="13"/>
      <c r="AP812" s="117"/>
      <c r="AQ812" s="123"/>
      <c r="AR812" s="123"/>
      <c r="AS812" s="123"/>
      <c r="AT812" s="115"/>
      <c r="AU812" s="115"/>
      <c r="AV812" s="115"/>
      <c r="AW812" s="115"/>
      <c r="AX812" s="115"/>
      <c r="AY812" s="115"/>
      <c r="AZ812" s="115"/>
      <c r="BA812" s="115"/>
      <c r="BB812" s="115"/>
      <c r="BC812" s="115"/>
      <c r="BD812" s="115"/>
      <c r="BE812" s="115"/>
      <c r="BF812" s="115"/>
      <c r="BG812" s="115"/>
      <c r="BH812" s="25">
        <v>45273</v>
      </c>
      <c r="BI812" s="15" t="s">
        <v>162</v>
      </c>
      <c r="BL812" s="114"/>
    </row>
    <row r="813" spans="6:64" ht="19.5" x14ac:dyDescent="0.4"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26"/>
      <c r="AK813" s="25"/>
      <c r="AP813" s="117"/>
      <c r="AQ813" s="123"/>
      <c r="AR813" s="123"/>
      <c r="AS813" s="123"/>
      <c r="AT813" s="115"/>
      <c r="AU813" s="115"/>
      <c r="AV813" s="115"/>
      <c r="AW813" s="115"/>
      <c r="AX813" s="115"/>
      <c r="AY813" s="115"/>
      <c r="AZ813" s="115"/>
      <c r="BA813" s="115"/>
      <c r="BB813" s="115"/>
      <c r="BC813" s="115"/>
      <c r="BD813" s="115"/>
      <c r="BE813" s="115"/>
      <c r="BF813" s="115"/>
      <c r="BG813" s="115"/>
      <c r="BH813" s="25"/>
      <c r="BI813" s="15"/>
      <c r="BL813" s="114"/>
    </row>
    <row r="814" spans="6:64" ht="19.5" x14ac:dyDescent="0.4">
      <c r="AJ814" s="26"/>
      <c r="AK814" s="25"/>
      <c r="AP814" s="117"/>
      <c r="AQ814" s="123"/>
      <c r="AR814" s="123"/>
      <c r="AS814" s="123"/>
      <c r="AT814" s="115"/>
      <c r="AU814" s="115"/>
      <c r="AV814" s="115"/>
      <c r="AW814" s="115"/>
      <c r="AX814" s="115"/>
      <c r="AY814" s="115"/>
      <c r="AZ814" s="115"/>
      <c r="BA814" s="115"/>
      <c r="BB814" s="115"/>
      <c r="BC814" s="115"/>
      <c r="BD814" s="115"/>
      <c r="BE814" s="115"/>
      <c r="BF814" s="115"/>
      <c r="BG814" s="115"/>
      <c r="BH814" s="25">
        <v>45273</v>
      </c>
      <c r="BI814" s="15" t="s">
        <v>162</v>
      </c>
      <c r="BL814" s="114"/>
    </row>
    <row r="815" spans="6:64" ht="19.5" x14ac:dyDescent="0.4">
      <c r="AJ815" s="26"/>
      <c r="AK815" s="13"/>
      <c r="AP815" s="117"/>
      <c r="AQ815" s="123"/>
      <c r="AR815" s="123"/>
      <c r="AS815" s="123"/>
      <c r="AT815" s="115"/>
      <c r="AU815" s="115"/>
      <c r="AV815" s="115"/>
      <c r="AW815" s="115"/>
      <c r="AX815" s="115"/>
      <c r="AY815" s="115"/>
      <c r="AZ815" s="115"/>
      <c r="BA815" s="115"/>
      <c r="BB815" s="115"/>
      <c r="BC815" s="115"/>
      <c r="BD815" s="115"/>
      <c r="BE815" s="115"/>
      <c r="BF815" s="115"/>
      <c r="BG815" s="115"/>
      <c r="BH815" s="25">
        <v>45273</v>
      </c>
      <c r="BI815" s="15" t="s">
        <v>162</v>
      </c>
      <c r="BL815" s="114"/>
    </row>
    <row r="816" spans="6:64" ht="19.5" x14ac:dyDescent="0.4"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26"/>
      <c r="AK816" s="13"/>
      <c r="AP816" s="117"/>
      <c r="AQ816" s="123"/>
      <c r="AR816" s="123"/>
      <c r="AS816" s="123"/>
      <c r="AT816" s="115"/>
      <c r="AU816" s="115"/>
      <c r="AV816" s="115"/>
      <c r="AW816" s="115"/>
      <c r="AX816" s="115"/>
      <c r="AY816" s="115"/>
      <c r="AZ816" s="115"/>
      <c r="BA816" s="115"/>
      <c r="BB816" s="115"/>
      <c r="BC816" s="115"/>
      <c r="BD816" s="115"/>
      <c r="BE816" s="115"/>
      <c r="BF816" s="115"/>
      <c r="BG816" s="115"/>
      <c r="BH816" s="25"/>
      <c r="BI816" s="15"/>
      <c r="BL816" s="114"/>
    </row>
    <row r="817" spans="6:64" ht="19.5" x14ac:dyDescent="0.4"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26"/>
      <c r="AK817" s="13"/>
      <c r="AP817" s="117"/>
      <c r="AQ817" s="123"/>
      <c r="AR817" s="123"/>
      <c r="AS817" s="123"/>
      <c r="AT817" s="115"/>
      <c r="AU817" s="115"/>
      <c r="AV817" s="115"/>
      <c r="AW817" s="115"/>
      <c r="AX817" s="115"/>
      <c r="AY817" s="115"/>
      <c r="AZ817" s="115"/>
      <c r="BA817" s="115"/>
      <c r="BB817" s="115"/>
      <c r="BC817" s="115"/>
      <c r="BD817" s="115"/>
      <c r="BE817" s="115"/>
      <c r="BF817" s="115"/>
      <c r="BG817" s="115"/>
      <c r="BH817" s="25"/>
      <c r="BI817" s="15"/>
      <c r="BL817" s="114"/>
    </row>
    <row r="818" spans="6:64" ht="19.5" x14ac:dyDescent="0.4">
      <c r="AJ818" s="26"/>
      <c r="AK818" s="13"/>
      <c r="AP818" s="117"/>
      <c r="AQ818" s="123"/>
      <c r="AR818" s="123"/>
      <c r="AS818" s="123"/>
      <c r="AT818" s="115"/>
      <c r="AU818" s="115"/>
      <c r="AV818" s="115"/>
      <c r="AW818" s="115"/>
      <c r="AX818" s="115"/>
      <c r="AY818" s="115"/>
      <c r="AZ818" s="115"/>
      <c r="BA818" s="115"/>
      <c r="BB818" s="115"/>
      <c r="BC818" s="115"/>
      <c r="BD818" s="115"/>
      <c r="BE818" s="115"/>
      <c r="BF818" s="115"/>
      <c r="BG818" s="115"/>
      <c r="BH818" s="25">
        <v>45273</v>
      </c>
      <c r="BI818" s="15" t="s">
        <v>162</v>
      </c>
      <c r="BL818" s="114"/>
    </row>
    <row r="819" spans="6:64" ht="19.5" x14ac:dyDescent="0.4">
      <c r="AJ819" s="26"/>
      <c r="AK819" s="13"/>
      <c r="AP819" s="117"/>
      <c r="AQ819" s="123"/>
      <c r="AR819" s="123"/>
      <c r="AS819" s="123"/>
      <c r="AT819" s="115"/>
      <c r="AU819" s="115"/>
      <c r="AV819" s="115"/>
      <c r="AW819" s="115"/>
      <c r="AX819" s="115"/>
      <c r="AY819" s="115"/>
      <c r="AZ819" s="115"/>
      <c r="BA819" s="115"/>
      <c r="BB819" s="115"/>
      <c r="BC819" s="115"/>
      <c r="BD819" s="115"/>
      <c r="BE819" s="115"/>
      <c r="BF819" s="115"/>
      <c r="BG819" s="115"/>
      <c r="BH819" s="25">
        <v>45273</v>
      </c>
      <c r="BI819" s="15" t="s">
        <v>162</v>
      </c>
      <c r="BL819" s="114"/>
    </row>
    <row r="820" spans="6:64" ht="19.5" x14ac:dyDescent="0.4">
      <c r="AJ820" s="26"/>
      <c r="AK820" s="13"/>
      <c r="AP820" s="117"/>
      <c r="AQ820" s="123"/>
      <c r="AR820" s="123"/>
      <c r="AS820" s="123"/>
      <c r="AT820" s="115"/>
      <c r="AU820" s="115"/>
      <c r="AV820" s="115"/>
      <c r="AW820" s="115"/>
      <c r="AX820" s="115"/>
      <c r="AY820" s="115"/>
      <c r="AZ820" s="115"/>
      <c r="BA820" s="115"/>
      <c r="BB820" s="115"/>
      <c r="BC820" s="115"/>
      <c r="BD820" s="115"/>
      <c r="BE820" s="115"/>
      <c r="BF820" s="115"/>
      <c r="BG820" s="115"/>
      <c r="BH820" s="25">
        <v>45273</v>
      </c>
      <c r="BI820" s="13" t="s">
        <v>163</v>
      </c>
      <c r="BL820" s="114"/>
    </row>
    <row r="821" spans="6:64" ht="19.5" x14ac:dyDescent="0.4">
      <c r="AJ821" s="26"/>
      <c r="AK821" s="13"/>
      <c r="AP821" s="117"/>
      <c r="AQ821" s="123"/>
      <c r="AR821" s="123"/>
      <c r="AS821" s="123"/>
      <c r="AT821" s="115"/>
      <c r="AU821" s="115"/>
      <c r="AV821" s="115"/>
      <c r="AW821" s="115"/>
      <c r="AX821" s="115"/>
      <c r="AY821" s="115"/>
      <c r="AZ821" s="115"/>
      <c r="BA821" s="115"/>
      <c r="BB821" s="115"/>
      <c r="BC821" s="115"/>
      <c r="BD821" s="115"/>
      <c r="BE821" s="115"/>
      <c r="BF821" s="115"/>
      <c r="BG821" s="115"/>
      <c r="BH821" s="25"/>
      <c r="BI821" s="13"/>
      <c r="BL821" s="114"/>
    </row>
    <row r="822" spans="6:64" ht="19.5" x14ac:dyDescent="0.4">
      <c r="AJ822" s="26"/>
      <c r="AK822" s="13"/>
      <c r="AP822" s="117"/>
      <c r="AQ822" s="123"/>
      <c r="AR822" s="123"/>
      <c r="AS822" s="123"/>
      <c r="AT822" s="115"/>
      <c r="AU822" s="115"/>
      <c r="AV822" s="115"/>
      <c r="AW822" s="115"/>
      <c r="AX822" s="115"/>
      <c r="AY822" s="115"/>
      <c r="AZ822" s="115"/>
      <c r="BA822" s="115"/>
      <c r="BB822" s="115"/>
      <c r="BC822" s="115"/>
      <c r="BD822" s="115"/>
      <c r="BE822" s="115"/>
      <c r="BF822" s="115"/>
      <c r="BG822" s="115" t="s">
        <v>152</v>
      </c>
      <c r="BH822" s="13">
        <f>SUBTOTAL(3,BH791:BH820)</f>
        <v>22</v>
      </c>
      <c r="BI822" s="13">
        <f>SUBTOTAL(3,BI791:BI820)</f>
        <v>22</v>
      </c>
      <c r="BL822" s="114"/>
    </row>
    <row r="823" spans="6:64" ht="19.5" x14ac:dyDescent="0.4">
      <c r="AJ823" s="26"/>
      <c r="AK823" s="13"/>
      <c r="AP823" s="117"/>
      <c r="AQ823" s="123"/>
      <c r="AR823" s="123"/>
      <c r="AS823" s="123"/>
      <c r="AT823" s="115"/>
      <c r="AU823" s="115"/>
      <c r="AV823" s="115"/>
      <c r="AW823" s="115"/>
      <c r="AX823" s="115"/>
      <c r="AY823" s="115"/>
      <c r="AZ823" s="115"/>
      <c r="BA823" s="115"/>
      <c r="BB823" s="115"/>
      <c r="BC823" s="115"/>
      <c r="BD823" s="115"/>
      <c r="BE823" s="115"/>
      <c r="BF823" s="115"/>
      <c r="BG823" s="115"/>
      <c r="BH823" s="25">
        <v>45274</v>
      </c>
      <c r="BI823" s="15" t="s">
        <v>162</v>
      </c>
      <c r="BL823" s="114"/>
    </row>
    <row r="824" spans="6:64" ht="19.5" x14ac:dyDescent="0.4"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26"/>
      <c r="AK824" s="13"/>
      <c r="AP824" s="117"/>
      <c r="AQ824" s="123"/>
      <c r="AR824" s="123"/>
      <c r="AS824" s="123"/>
      <c r="AT824" s="115"/>
      <c r="AU824" s="115"/>
      <c r="AV824" s="115"/>
      <c r="AW824" s="115"/>
      <c r="AX824" s="115"/>
      <c r="AY824" s="115"/>
      <c r="AZ824" s="115"/>
      <c r="BA824" s="115"/>
      <c r="BB824" s="115"/>
      <c r="BC824" s="115"/>
      <c r="BD824" s="115"/>
      <c r="BE824" s="115"/>
      <c r="BF824" s="115"/>
      <c r="BG824" s="115"/>
      <c r="BH824" s="25"/>
      <c r="BI824" s="15"/>
      <c r="BL824" s="114"/>
    </row>
    <row r="825" spans="6:64" ht="19.5" x14ac:dyDescent="0.4"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26"/>
      <c r="AK825" s="13"/>
      <c r="AP825" s="117"/>
      <c r="AQ825" s="123"/>
      <c r="AR825" s="123"/>
      <c r="AS825" s="123"/>
      <c r="AT825" s="115"/>
      <c r="AU825" s="115"/>
      <c r="AV825" s="115"/>
      <c r="AW825" s="115"/>
      <c r="AX825" s="115"/>
      <c r="AY825" s="115"/>
      <c r="AZ825" s="115"/>
      <c r="BA825" s="115"/>
      <c r="BB825" s="115"/>
      <c r="BC825" s="115"/>
      <c r="BD825" s="115"/>
      <c r="BE825" s="115"/>
      <c r="BF825" s="115"/>
      <c r="BG825" s="115"/>
      <c r="BH825" s="25"/>
      <c r="BI825" s="15"/>
      <c r="BL825" s="114"/>
    </row>
    <row r="826" spans="6:64" ht="19.5" x14ac:dyDescent="0.4">
      <c r="AJ826" s="26"/>
      <c r="AK826" s="13"/>
      <c r="AP826" s="117"/>
      <c r="AQ826" s="123"/>
      <c r="AR826" s="123"/>
      <c r="AS826" s="123"/>
      <c r="AT826" s="115"/>
      <c r="AU826" s="115"/>
      <c r="AV826" s="115"/>
      <c r="AW826" s="115"/>
      <c r="AX826" s="115"/>
      <c r="AY826" s="115"/>
      <c r="AZ826" s="115"/>
      <c r="BA826" s="115"/>
      <c r="BB826" s="115"/>
      <c r="BC826" s="115"/>
      <c r="BD826" s="115"/>
      <c r="BE826" s="115"/>
      <c r="BF826" s="115"/>
      <c r="BG826" s="115"/>
      <c r="BH826" s="25">
        <v>45274</v>
      </c>
      <c r="BI826" s="15" t="s">
        <v>162</v>
      </c>
      <c r="BL826" s="114"/>
    </row>
    <row r="827" spans="6:64" ht="19.5" x14ac:dyDescent="0.4"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26"/>
      <c r="AK827" s="13"/>
      <c r="AP827" s="117"/>
      <c r="AQ827" s="123"/>
      <c r="AR827" s="123"/>
      <c r="AS827" s="123"/>
      <c r="AT827" s="115"/>
      <c r="AU827" s="115"/>
      <c r="AV827" s="115"/>
      <c r="AW827" s="115"/>
      <c r="AX827" s="115"/>
      <c r="AY827" s="115"/>
      <c r="AZ827" s="115"/>
      <c r="BA827" s="115"/>
      <c r="BB827" s="115"/>
      <c r="BC827" s="115"/>
      <c r="BD827" s="115"/>
      <c r="BE827" s="115"/>
      <c r="BF827" s="115"/>
      <c r="BG827" s="115"/>
      <c r="BH827" s="25"/>
      <c r="BI827" s="15"/>
      <c r="BL827" s="114"/>
    </row>
    <row r="828" spans="6:64" ht="19.5" x14ac:dyDescent="0.4"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26"/>
      <c r="AK828" s="13"/>
      <c r="AP828" s="117"/>
      <c r="AQ828" s="123"/>
      <c r="AR828" s="123"/>
      <c r="AS828" s="123"/>
      <c r="AT828" s="115"/>
      <c r="AU828" s="115"/>
      <c r="AV828" s="115"/>
      <c r="AW828" s="115"/>
      <c r="AX828" s="115"/>
      <c r="AY828" s="115"/>
      <c r="AZ828" s="115"/>
      <c r="BA828" s="115"/>
      <c r="BB828" s="115"/>
      <c r="BC828" s="115"/>
      <c r="BD828" s="115"/>
      <c r="BE828" s="115"/>
      <c r="BF828" s="115"/>
      <c r="BG828" s="115"/>
      <c r="BH828" s="25"/>
      <c r="BI828" s="15"/>
      <c r="BL828" s="114"/>
    </row>
    <row r="829" spans="6:64" ht="19.5" x14ac:dyDescent="0.4"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26"/>
      <c r="AK829" s="13"/>
      <c r="AP829" s="117"/>
      <c r="AQ829" s="123"/>
      <c r="AR829" s="123"/>
      <c r="AS829" s="123"/>
      <c r="AT829" s="115"/>
      <c r="AU829" s="115"/>
      <c r="AV829" s="115"/>
      <c r="AW829" s="115"/>
      <c r="AX829" s="115"/>
      <c r="AY829" s="115"/>
      <c r="AZ829" s="115"/>
      <c r="BA829" s="115"/>
      <c r="BB829" s="115"/>
      <c r="BC829" s="115"/>
      <c r="BD829" s="115"/>
      <c r="BE829" s="115"/>
      <c r="BF829" s="115"/>
      <c r="BG829" s="115"/>
      <c r="BH829" s="25"/>
      <c r="BI829" s="15"/>
      <c r="BL829" s="114"/>
    </row>
    <row r="830" spans="6:64" ht="19.5" x14ac:dyDescent="0.4">
      <c r="AJ830" s="26"/>
      <c r="AK830" s="13"/>
      <c r="AP830" s="117"/>
      <c r="AQ830" s="123"/>
      <c r="AR830" s="123"/>
      <c r="AS830" s="123"/>
      <c r="AT830" s="115"/>
      <c r="AU830" s="115"/>
      <c r="AV830" s="115"/>
      <c r="AW830" s="115"/>
      <c r="AX830" s="115"/>
      <c r="AY830" s="115"/>
      <c r="AZ830" s="115"/>
      <c r="BA830" s="115"/>
      <c r="BB830" s="115"/>
      <c r="BC830" s="115"/>
      <c r="BD830" s="115"/>
      <c r="BE830" s="115"/>
      <c r="BF830" s="115"/>
      <c r="BG830" s="115"/>
      <c r="BH830" s="25">
        <v>45274</v>
      </c>
      <c r="BI830" s="15" t="s">
        <v>162</v>
      </c>
      <c r="BL830" s="114"/>
    </row>
    <row r="831" spans="6:64" ht="19.5" x14ac:dyDescent="0.4"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26"/>
      <c r="AK831" s="13"/>
      <c r="AP831" s="117"/>
      <c r="AQ831" s="123"/>
      <c r="AR831" s="123"/>
      <c r="AS831" s="123"/>
      <c r="AT831" s="115"/>
      <c r="AU831" s="115"/>
      <c r="AV831" s="115"/>
      <c r="AW831" s="115"/>
      <c r="AX831" s="115"/>
      <c r="AY831" s="115"/>
      <c r="AZ831" s="115"/>
      <c r="BA831" s="115"/>
      <c r="BB831" s="115"/>
      <c r="BC831" s="115"/>
      <c r="BD831" s="115"/>
      <c r="BE831" s="115"/>
      <c r="BF831" s="115"/>
      <c r="BG831" s="115"/>
      <c r="BH831" s="25"/>
      <c r="BI831" s="15"/>
      <c r="BL831" s="114"/>
    </row>
    <row r="832" spans="6:64" ht="19.5" x14ac:dyDescent="0.4">
      <c r="AJ832" s="26"/>
      <c r="AK832" s="13"/>
      <c r="AP832" s="117"/>
      <c r="AQ832" s="123"/>
      <c r="AR832" s="123"/>
      <c r="AS832" s="123"/>
      <c r="AT832" s="115"/>
      <c r="AU832" s="115"/>
      <c r="AV832" s="115"/>
      <c r="AW832" s="115"/>
      <c r="AX832" s="115"/>
      <c r="AY832" s="115"/>
      <c r="AZ832" s="115"/>
      <c r="BA832" s="115"/>
      <c r="BB832" s="115"/>
      <c r="BC832" s="115"/>
      <c r="BD832" s="115"/>
      <c r="BE832" s="115"/>
      <c r="BF832" s="115"/>
      <c r="BG832" s="115"/>
      <c r="BH832" s="25">
        <v>45274</v>
      </c>
      <c r="BI832" s="15" t="s">
        <v>162</v>
      </c>
      <c r="BL832" s="114"/>
    </row>
    <row r="833" spans="25:64" ht="19.5" x14ac:dyDescent="0.4">
      <c r="AJ833" s="26"/>
      <c r="AK833" s="13"/>
      <c r="AP833" s="117"/>
      <c r="AQ833" s="123"/>
      <c r="AR833" s="123"/>
      <c r="AS833" s="123"/>
      <c r="AT833" s="115"/>
      <c r="AU833" s="115"/>
      <c r="AV833" s="115"/>
      <c r="AW833" s="115"/>
      <c r="AX833" s="115"/>
      <c r="AY833" s="115"/>
      <c r="AZ833" s="115"/>
      <c r="BA833" s="115"/>
      <c r="BB833" s="115"/>
      <c r="BC833" s="115"/>
      <c r="BD833" s="115"/>
      <c r="BE833" s="115"/>
      <c r="BF833" s="115"/>
      <c r="BG833" s="115"/>
      <c r="BH833" s="25">
        <v>45274</v>
      </c>
      <c r="BI833" s="15" t="s">
        <v>163</v>
      </c>
      <c r="BL833" s="114"/>
    </row>
    <row r="834" spans="25:64" ht="19.5" x14ac:dyDescent="0.4">
      <c r="AB834" s="115"/>
      <c r="AC834" s="115"/>
      <c r="AD834" s="115"/>
      <c r="AE834" s="115"/>
      <c r="AF834" s="115"/>
      <c r="AG834" s="115"/>
      <c r="AH834" s="115"/>
      <c r="AI834" s="115"/>
      <c r="AJ834" s="17"/>
      <c r="AK834" s="13"/>
      <c r="AP834" s="117"/>
      <c r="AQ834" s="123"/>
      <c r="AR834" s="123"/>
      <c r="AS834" s="123"/>
      <c r="AT834" s="115"/>
      <c r="AU834" s="115"/>
      <c r="AV834" s="115"/>
      <c r="AW834" s="115"/>
      <c r="AX834" s="115"/>
      <c r="AY834" s="115"/>
      <c r="AZ834" s="115"/>
      <c r="BA834" s="115"/>
      <c r="BB834" s="115"/>
      <c r="BC834" s="115"/>
      <c r="BD834" s="115"/>
      <c r="BE834" s="115"/>
      <c r="BF834" s="115"/>
      <c r="BG834" s="115"/>
      <c r="BH834" s="25"/>
      <c r="BI834" s="15"/>
      <c r="BL834" s="114"/>
    </row>
    <row r="835" spans="25:64" ht="19.5" x14ac:dyDescent="0.4"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26"/>
      <c r="AK835" s="13"/>
      <c r="AP835" s="117"/>
      <c r="AQ835" s="123"/>
      <c r="AR835" s="123"/>
      <c r="AS835" s="123"/>
      <c r="AT835" s="115"/>
      <c r="AU835" s="115"/>
      <c r="AV835" s="115"/>
      <c r="AW835" s="115"/>
      <c r="AX835" s="115"/>
      <c r="AY835" s="115"/>
      <c r="AZ835" s="115"/>
      <c r="BA835" s="115"/>
      <c r="BB835" s="115"/>
      <c r="BC835" s="115"/>
      <c r="BD835" s="115"/>
      <c r="BE835" s="115"/>
      <c r="BF835" s="115"/>
      <c r="BG835" s="115"/>
      <c r="BH835" s="25"/>
      <c r="BI835" s="15"/>
      <c r="BL835" s="114"/>
    </row>
    <row r="836" spans="25:64" ht="19.5" x14ac:dyDescent="0.4">
      <c r="AJ836" s="26"/>
      <c r="AK836" s="25"/>
      <c r="AP836" s="117"/>
      <c r="AQ836" s="123"/>
      <c r="AR836" s="123"/>
      <c r="AS836" s="123"/>
      <c r="AT836" s="115"/>
      <c r="AU836" s="115"/>
      <c r="AV836" s="115"/>
      <c r="AW836" s="115"/>
      <c r="AX836" s="115"/>
      <c r="AY836" s="115"/>
      <c r="AZ836" s="115"/>
      <c r="BA836" s="115"/>
      <c r="BB836" s="115"/>
      <c r="BC836" s="115"/>
      <c r="BD836" s="115"/>
      <c r="BE836" s="115"/>
      <c r="BF836" s="115"/>
      <c r="BG836" s="115" t="s">
        <v>167</v>
      </c>
      <c r="BH836" s="13">
        <f>SUBTOTAL(3,BH823:BH833)</f>
        <v>5</v>
      </c>
      <c r="BI836" s="15">
        <f>SUBTOTAL(3,BI823:BI833)</f>
        <v>5</v>
      </c>
      <c r="BL836" s="114"/>
    </row>
    <row r="837" spans="25:64" ht="19.5" x14ac:dyDescent="0.4"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26"/>
      <c r="AK837" s="105"/>
      <c r="AP837" s="117"/>
      <c r="AQ837" s="123"/>
      <c r="AR837" s="123"/>
      <c r="AS837" s="123"/>
      <c r="AT837" s="115"/>
      <c r="AU837" s="115"/>
      <c r="AV837" s="115"/>
      <c r="AW837" s="115"/>
      <c r="AX837" s="115"/>
      <c r="AY837" s="115"/>
      <c r="AZ837" s="115"/>
      <c r="BA837" s="115"/>
      <c r="BB837" s="115"/>
      <c r="BC837" s="115"/>
      <c r="BD837" s="115"/>
      <c r="BE837" s="115"/>
      <c r="BF837" s="115"/>
      <c r="BG837" s="115"/>
      <c r="BH837" s="13"/>
      <c r="BI837" s="15"/>
      <c r="BL837" s="114"/>
    </row>
    <row r="838" spans="25:64" ht="19.5" x14ac:dyDescent="0.4">
      <c r="AJ838" s="26"/>
      <c r="AK838" s="105"/>
      <c r="AP838" s="117"/>
      <c r="AQ838" s="123"/>
      <c r="AR838" s="123"/>
      <c r="AS838" s="123"/>
      <c r="AT838" s="115"/>
      <c r="AU838" s="115"/>
      <c r="AV838" s="115"/>
      <c r="AW838" s="115"/>
      <c r="AX838" s="115"/>
      <c r="AY838" s="115"/>
      <c r="AZ838" s="115"/>
      <c r="BA838" s="115"/>
      <c r="BB838" s="115"/>
      <c r="BC838" s="115"/>
      <c r="BD838" s="115"/>
      <c r="BE838" s="115"/>
      <c r="BF838" s="115"/>
      <c r="BG838" s="115"/>
      <c r="BH838" s="13"/>
      <c r="BI838" s="15"/>
      <c r="BL838" s="114"/>
    </row>
    <row r="839" spans="25:64" ht="19.5" x14ac:dyDescent="0.4">
      <c r="AB839" s="115"/>
      <c r="AC839" s="115"/>
      <c r="AD839" s="115"/>
      <c r="AE839" s="115"/>
      <c r="AF839" s="115"/>
      <c r="AG839" s="115"/>
      <c r="AH839" s="115"/>
      <c r="AI839" s="115"/>
      <c r="AJ839" s="17"/>
      <c r="AK839" s="15"/>
      <c r="AP839" s="117"/>
      <c r="AQ839" s="123"/>
      <c r="AR839" s="123"/>
      <c r="AS839" s="123"/>
      <c r="AT839" s="115"/>
      <c r="AU839" s="115"/>
      <c r="AV839" s="115"/>
      <c r="AW839" s="115"/>
      <c r="AX839" s="115"/>
      <c r="AY839" s="115"/>
      <c r="AZ839" s="115"/>
      <c r="BA839" s="115"/>
      <c r="BB839" s="115"/>
      <c r="BC839" s="115"/>
      <c r="BD839" s="115"/>
      <c r="BE839" s="115"/>
      <c r="BF839" s="115"/>
      <c r="BG839" s="115"/>
      <c r="BH839" s="13"/>
      <c r="BI839" s="15"/>
      <c r="BL839" s="114"/>
    </row>
    <row r="840" spans="25:64" ht="19.5" x14ac:dyDescent="0.4"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26"/>
      <c r="AK840" s="15"/>
      <c r="AP840" s="117"/>
      <c r="AQ840" s="123"/>
      <c r="AR840" s="123"/>
      <c r="AS840" s="123"/>
      <c r="AT840" s="115"/>
      <c r="AU840" s="115"/>
      <c r="AV840" s="115"/>
      <c r="AW840" s="115"/>
      <c r="AX840" s="115"/>
      <c r="AY840" s="115"/>
      <c r="AZ840" s="115"/>
      <c r="BA840" s="115"/>
      <c r="BB840" s="115"/>
      <c r="BC840" s="115"/>
      <c r="BD840" s="115"/>
      <c r="BE840" s="115"/>
      <c r="BF840" s="115"/>
      <c r="BG840" s="115"/>
      <c r="BH840" s="13"/>
      <c r="BI840" s="15"/>
      <c r="BL840" s="114"/>
    </row>
    <row r="841" spans="25:64" ht="19.5" x14ac:dyDescent="0.4"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26"/>
      <c r="AK841" s="15"/>
      <c r="AP841" s="117"/>
      <c r="AQ841" s="123"/>
      <c r="AR841" s="123"/>
      <c r="AS841" s="123"/>
      <c r="AT841" s="115"/>
      <c r="AU841" s="115"/>
      <c r="AV841" s="115"/>
      <c r="AW841" s="115"/>
      <c r="AX841" s="115"/>
      <c r="AY841" s="115"/>
      <c r="AZ841" s="115"/>
      <c r="BA841" s="115"/>
      <c r="BB841" s="115"/>
      <c r="BC841" s="115"/>
      <c r="BD841" s="115"/>
      <c r="BE841" s="115"/>
      <c r="BF841" s="115"/>
      <c r="BG841" s="115"/>
      <c r="BH841" s="13"/>
      <c r="BI841" s="15"/>
      <c r="BL841" s="114"/>
    </row>
    <row r="842" spans="25:64" ht="19.5" x14ac:dyDescent="0.4"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26"/>
      <c r="AK842" s="15"/>
      <c r="AP842" s="117"/>
      <c r="AQ842" s="123"/>
      <c r="AR842" s="123"/>
      <c r="AS842" s="123"/>
      <c r="AT842" s="115"/>
      <c r="AU842" s="115"/>
      <c r="AV842" s="115"/>
      <c r="AW842" s="115"/>
      <c r="AX842" s="115"/>
      <c r="AY842" s="115"/>
      <c r="AZ842" s="115"/>
      <c r="BA842" s="115"/>
      <c r="BB842" s="115"/>
      <c r="BC842" s="115"/>
      <c r="BD842" s="115"/>
      <c r="BE842" s="115"/>
      <c r="BF842" s="115"/>
      <c r="BG842" s="115"/>
      <c r="BH842" s="13"/>
      <c r="BI842" s="15"/>
      <c r="BL842" s="114"/>
    </row>
    <row r="843" spans="25:64" ht="19.5" x14ac:dyDescent="0.4"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26"/>
      <c r="AK843" s="15"/>
      <c r="AP843" s="117"/>
      <c r="AQ843" s="123"/>
      <c r="AR843" s="123"/>
      <c r="AS843" s="123"/>
      <c r="AT843" s="115"/>
      <c r="AU843" s="115"/>
      <c r="AV843" s="115"/>
      <c r="AW843" s="115"/>
      <c r="AX843" s="115"/>
      <c r="AY843" s="115"/>
      <c r="AZ843" s="115"/>
      <c r="BA843" s="115"/>
      <c r="BB843" s="115"/>
      <c r="BC843" s="115"/>
      <c r="BD843" s="115"/>
      <c r="BE843" s="115"/>
      <c r="BF843" s="115"/>
      <c r="BG843" s="115"/>
      <c r="BH843" s="13"/>
      <c r="BI843" s="15"/>
      <c r="BL843" s="114"/>
    </row>
    <row r="844" spans="25:64" ht="19.5" x14ac:dyDescent="0.4">
      <c r="AJ844" s="26"/>
      <c r="AK844" s="15"/>
      <c r="AP844" s="117"/>
      <c r="AQ844" s="123"/>
      <c r="AR844" s="123"/>
      <c r="AS844" s="123"/>
      <c r="AT844" s="115"/>
      <c r="AU844" s="115"/>
      <c r="AV844" s="115"/>
      <c r="AW844" s="115"/>
      <c r="AX844" s="115"/>
      <c r="AY844" s="115"/>
      <c r="AZ844" s="115"/>
      <c r="BA844" s="115"/>
      <c r="BB844" s="115"/>
      <c r="BC844" s="115"/>
      <c r="BD844" s="115"/>
      <c r="BE844" s="115"/>
      <c r="BF844" s="115"/>
      <c r="BG844" s="115"/>
      <c r="BH844" s="25">
        <v>45275</v>
      </c>
      <c r="BI844" s="15" t="s">
        <v>163</v>
      </c>
      <c r="BL844" s="114"/>
    </row>
    <row r="845" spans="25:64" ht="19.5" x14ac:dyDescent="0.4">
      <c r="AJ845" s="26"/>
      <c r="AK845" s="15"/>
      <c r="AP845" s="117"/>
      <c r="AQ845" s="123"/>
      <c r="AR845" s="123"/>
      <c r="AS845" s="123"/>
      <c r="AT845" s="115"/>
      <c r="AU845" s="115"/>
      <c r="AV845" s="115"/>
      <c r="AW845" s="115"/>
      <c r="AX845" s="115"/>
      <c r="AY845" s="115"/>
      <c r="AZ845" s="115"/>
      <c r="BA845" s="115"/>
      <c r="BB845" s="115"/>
      <c r="BC845" s="115"/>
      <c r="BD845" s="115"/>
      <c r="BE845" s="115"/>
      <c r="BF845" s="115"/>
      <c r="BG845" s="115" t="s">
        <v>168</v>
      </c>
      <c r="BH845" s="13">
        <f>SUBTOTAL(3,BH844:BH844)</f>
        <v>1</v>
      </c>
      <c r="BI845" s="15">
        <f>SUBTOTAL(3,BI844:BI844)</f>
        <v>1</v>
      </c>
      <c r="BL845" s="114"/>
    </row>
    <row r="846" spans="25:64" ht="19.5" x14ac:dyDescent="0.4">
      <c r="AJ846" s="26"/>
      <c r="AK846" s="15"/>
      <c r="AP846" s="117"/>
      <c r="AQ846" s="123"/>
      <c r="AR846" s="123"/>
      <c r="AS846" s="123"/>
      <c r="AT846" s="115"/>
      <c r="AU846" s="115"/>
      <c r="AV846" s="115"/>
      <c r="AW846" s="115"/>
      <c r="AX846" s="115"/>
      <c r="AY846" s="115"/>
      <c r="AZ846" s="115"/>
      <c r="BA846" s="115"/>
      <c r="BB846" s="115"/>
      <c r="BC846" s="115"/>
      <c r="BD846" s="115"/>
      <c r="BE846" s="115"/>
      <c r="BF846" s="115"/>
      <c r="BG846" s="115"/>
      <c r="BH846" s="25">
        <v>45276</v>
      </c>
      <c r="BI846" s="15" t="s">
        <v>164</v>
      </c>
      <c r="BL846" s="114"/>
    </row>
    <row r="847" spans="25:64" ht="19.5" x14ac:dyDescent="0.4">
      <c r="AJ847" s="26"/>
      <c r="AK847" s="15"/>
      <c r="AP847" s="117"/>
      <c r="AQ847" s="123"/>
      <c r="AR847" s="123"/>
      <c r="AS847" s="123"/>
      <c r="AT847" s="115"/>
      <c r="AU847" s="115"/>
      <c r="AV847" s="115"/>
      <c r="AW847" s="115"/>
      <c r="AX847" s="115"/>
      <c r="AY847" s="115"/>
      <c r="AZ847" s="115"/>
      <c r="BA847" s="115"/>
      <c r="BB847" s="115"/>
      <c r="BC847" s="115"/>
      <c r="BD847" s="115"/>
      <c r="BE847" s="115"/>
      <c r="BF847" s="115"/>
      <c r="BG847" s="115"/>
      <c r="BH847" s="25">
        <v>45276</v>
      </c>
      <c r="BI847" s="15" t="s">
        <v>162</v>
      </c>
      <c r="BL847" s="114"/>
    </row>
    <row r="848" spans="25:64" ht="19.5" x14ac:dyDescent="0.4">
      <c r="AJ848" s="26"/>
      <c r="AK848" s="15"/>
      <c r="AP848" s="117"/>
      <c r="AQ848" s="123"/>
      <c r="AR848" s="123"/>
      <c r="AS848" s="123"/>
      <c r="AT848" s="115"/>
      <c r="AU848" s="115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115"/>
      <c r="BF848" s="115"/>
      <c r="BG848" s="115"/>
      <c r="BH848" s="25">
        <v>45276</v>
      </c>
      <c r="BI848" s="15" t="s">
        <v>162</v>
      </c>
      <c r="BL848" s="114"/>
    </row>
    <row r="849" spans="6:64" ht="19.5" x14ac:dyDescent="0.4">
      <c r="AJ849" s="26"/>
      <c r="AK849" s="15"/>
      <c r="AP849" s="117"/>
      <c r="AQ849" s="123"/>
      <c r="AR849" s="123"/>
      <c r="AS849" s="123"/>
      <c r="AT849" s="115"/>
      <c r="AU849" s="115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115"/>
      <c r="BF849" s="115"/>
      <c r="BG849" s="115"/>
      <c r="BH849" s="25">
        <v>45276</v>
      </c>
      <c r="BI849" s="15" t="s">
        <v>162</v>
      </c>
      <c r="BL849" s="114"/>
    </row>
    <row r="850" spans="6:64" ht="19.5" x14ac:dyDescent="0.4">
      <c r="AJ850" s="26"/>
      <c r="AK850" s="15"/>
      <c r="AP850" s="117"/>
      <c r="AQ850" s="123"/>
      <c r="AR850" s="123"/>
      <c r="AS850" s="123"/>
      <c r="AT850" s="115"/>
      <c r="AU850" s="115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115"/>
      <c r="BF850" s="115"/>
      <c r="BG850" s="115"/>
      <c r="BH850" s="25">
        <v>45276</v>
      </c>
      <c r="BI850" s="15" t="s">
        <v>162</v>
      </c>
      <c r="BL850" s="114"/>
    </row>
    <row r="851" spans="6:64" ht="19.5" x14ac:dyDescent="0.4"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26"/>
      <c r="AK851" s="15"/>
      <c r="AP851" s="117"/>
      <c r="AQ851" s="123"/>
      <c r="AR851" s="123"/>
      <c r="AS851" s="123"/>
      <c r="AT851" s="115"/>
      <c r="AU851" s="115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115"/>
      <c r="BF851" s="115"/>
      <c r="BG851" s="115"/>
      <c r="BH851" s="25"/>
      <c r="BI851" s="15"/>
      <c r="BL851" s="114"/>
    </row>
    <row r="852" spans="6:64" ht="19.5" x14ac:dyDescent="0.4">
      <c r="AJ852" s="26"/>
      <c r="AK852" s="15"/>
      <c r="AP852" s="117"/>
      <c r="AQ852" s="123"/>
      <c r="AR852" s="123"/>
      <c r="AS852" s="123"/>
      <c r="AT852" s="115"/>
      <c r="AU852" s="115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115"/>
      <c r="BF852" s="115"/>
      <c r="BG852" s="115"/>
      <c r="BH852" s="25">
        <v>45276</v>
      </c>
      <c r="BI852" s="15" t="s">
        <v>162</v>
      </c>
      <c r="BL852" s="114"/>
    </row>
    <row r="853" spans="6:64" ht="19.5" x14ac:dyDescent="0.4">
      <c r="AJ853" s="26"/>
      <c r="AK853" s="15"/>
      <c r="AP853" s="117"/>
      <c r="AQ853" s="123"/>
      <c r="AR853" s="123"/>
      <c r="AS853" s="123"/>
      <c r="AT853" s="115"/>
      <c r="AU853" s="115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115"/>
      <c r="BF853" s="115"/>
      <c r="BG853" s="115"/>
      <c r="BH853" s="25">
        <v>45276</v>
      </c>
      <c r="BI853" s="15" t="s">
        <v>162</v>
      </c>
      <c r="BL853" s="114"/>
    </row>
    <row r="854" spans="6:64" ht="19.5" x14ac:dyDescent="0.4">
      <c r="AB854" s="115"/>
      <c r="AC854" s="115"/>
      <c r="AD854" s="115"/>
      <c r="AE854" s="115"/>
      <c r="AF854" s="115"/>
      <c r="AG854" s="115"/>
      <c r="AH854" s="115"/>
      <c r="AI854" s="115"/>
      <c r="AJ854" s="17"/>
      <c r="AK854" s="15"/>
      <c r="AP854" s="117"/>
      <c r="AQ854" s="123"/>
      <c r="AR854" s="123"/>
      <c r="AS854" s="123"/>
      <c r="AT854" s="115"/>
      <c r="AU854" s="115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115"/>
      <c r="BF854" s="115"/>
      <c r="BG854" s="115"/>
      <c r="BH854" s="25"/>
      <c r="BI854" s="15"/>
      <c r="BL854" s="114"/>
    </row>
    <row r="855" spans="6:64" ht="19.5" x14ac:dyDescent="0.4"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26"/>
      <c r="AK855" s="15"/>
      <c r="AP855" s="117"/>
      <c r="AQ855" s="123"/>
      <c r="AR855" s="123"/>
      <c r="AS855" s="123"/>
      <c r="AT855" s="115"/>
      <c r="AU855" s="115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115"/>
      <c r="BF855" s="115"/>
      <c r="BG855" s="115"/>
      <c r="BH855" s="25"/>
      <c r="BI855" s="15"/>
      <c r="BL855" s="114"/>
    </row>
    <row r="856" spans="6:64" ht="19.5" x14ac:dyDescent="0.4"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26"/>
      <c r="AK856" s="15"/>
      <c r="AP856" s="117"/>
      <c r="AQ856" s="123"/>
      <c r="AR856" s="123"/>
      <c r="AS856" s="123"/>
      <c r="AT856" s="115"/>
      <c r="AU856" s="115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115"/>
      <c r="BF856" s="115"/>
      <c r="BG856" s="115"/>
      <c r="BH856" s="25"/>
      <c r="BI856" s="15"/>
      <c r="BL856" s="114"/>
    </row>
    <row r="857" spans="6:64" ht="19.5" x14ac:dyDescent="0.4"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26"/>
      <c r="AK857" s="15"/>
      <c r="AP857" s="117"/>
      <c r="AQ857" s="123"/>
      <c r="AR857" s="123"/>
      <c r="AS857" s="123"/>
      <c r="AT857" s="115"/>
      <c r="AU857" s="115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115"/>
      <c r="BF857" s="115"/>
      <c r="BG857" s="115"/>
      <c r="BH857" s="25"/>
      <c r="BI857" s="15"/>
      <c r="BL857" s="114"/>
    </row>
    <row r="858" spans="6:64" ht="19.5" x14ac:dyDescent="0.4">
      <c r="AJ858" s="26"/>
      <c r="AK858" s="15"/>
      <c r="AO858" s="115"/>
      <c r="AP858" s="117"/>
      <c r="AQ858" s="123"/>
      <c r="AR858" s="123"/>
      <c r="AS858" s="123"/>
      <c r="AT858" s="115"/>
      <c r="AU858" s="115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115"/>
      <c r="BF858" s="115"/>
      <c r="BG858" s="115"/>
      <c r="BH858" s="25">
        <v>45276</v>
      </c>
      <c r="BI858" s="15" t="s">
        <v>162</v>
      </c>
      <c r="BL858" s="114"/>
    </row>
    <row r="859" spans="6:64" ht="19.5" x14ac:dyDescent="0.4">
      <c r="AJ859" s="26"/>
      <c r="AK859" s="15"/>
      <c r="AO859" s="115"/>
      <c r="AP859" s="117"/>
      <c r="AQ859" s="123"/>
      <c r="AR859" s="123"/>
      <c r="AS859" s="123"/>
      <c r="AT859" s="115"/>
      <c r="AU859" s="115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115"/>
      <c r="BF859" s="115"/>
      <c r="BG859" s="115"/>
      <c r="BH859" s="25">
        <v>45276</v>
      </c>
      <c r="BI859" s="15" t="s">
        <v>162</v>
      </c>
      <c r="BL859" s="114"/>
    </row>
    <row r="860" spans="6:64" ht="19.5" x14ac:dyDescent="0.4">
      <c r="AJ860" s="26"/>
      <c r="AK860" s="15"/>
      <c r="AO860" s="115"/>
      <c r="AP860" s="117"/>
      <c r="AQ860" s="123"/>
      <c r="AR860" s="123"/>
      <c r="AS860" s="123"/>
      <c r="AT860" s="115"/>
      <c r="AU860" s="115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115"/>
      <c r="BF860" s="115"/>
      <c r="BG860" s="115"/>
      <c r="BH860" s="25">
        <v>45276</v>
      </c>
      <c r="BI860" s="15" t="s">
        <v>162</v>
      </c>
      <c r="BL860" s="114"/>
    </row>
    <row r="861" spans="6:64" ht="19.5" x14ac:dyDescent="0.4">
      <c r="AB861" s="115"/>
      <c r="AC861" s="115"/>
      <c r="AD861" s="115"/>
      <c r="AE861" s="115"/>
      <c r="AF861" s="115"/>
      <c r="AG861" s="115"/>
      <c r="AH861" s="115"/>
      <c r="AI861" s="115"/>
      <c r="AJ861" s="17"/>
      <c r="AK861" s="15"/>
      <c r="AO861" s="115"/>
      <c r="AP861" s="117"/>
      <c r="AQ861" s="123"/>
      <c r="AR861" s="123"/>
      <c r="AS861" s="123"/>
      <c r="AT861" s="115"/>
      <c r="AU861" s="115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115"/>
      <c r="BF861" s="115"/>
      <c r="BG861" s="115"/>
      <c r="BH861" s="25"/>
      <c r="BI861" s="15"/>
      <c r="BL861" s="114"/>
    </row>
    <row r="862" spans="6:64" ht="19.5" x14ac:dyDescent="0.4"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26"/>
      <c r="AK862" s="15"/>
      <c r="AO862" s="115"/>
      <c r="AP862" s="117"/>
      <c r="AQ862" s="123"/>
      <c r="AR862" s="123"/>
      <c r="AS862" s="123"/>
      <c r="AT862" s="115"/>
      <c r="AU862" s="115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115"/>
      <c r="BF862" s="115"/>
      <c r="BG862" s="115"/>
      <c r="BH862" s="25"/>
      <c r="BI862" s="15"/>
      <c r="BL862" s="114"/>
    </row>
    <row r="863" spans="6:64" ht="19.5" x14ac:dyDescent="0.4"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7"/>
      <c r="AK863" s="15"/>
      <c r="AO863" s="115"/>
      <c r="AP863" s="117"/>
      <c r="AQ863" s="123"/>
      <c r="AR863" s="123"/>
      <c r="AS863" s="123"/>
      <c r="AT863" s="115"/>
      <c r="AU863" s="115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115"/>
      <c r="BF863" s="115"/>
      <c r="BG863" s="115"/>
      <c r="BH863" s="25"/>
      <c r="BI863" s="15"/>
      <c r="BL863" s="114"/>
    </row>
    <row r="864" spans="6:64" ht="19.5" x14ac:dyDescent="0.4">
      <c r="AJ864" s="26"/>
      <c r="AK864" s="15"/>
      <c r="AO864" s="115"/>
      <c r="AP864" s="117"/>
      <c r="AQ864" s="123"/>
      <c r="AR864" s="123"/>
      <c r="AS864" s="123"/>
      <c r="AT864" s="115"/>
      <c r="AU864" s="115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115"/>
      <c r="BF864" s="115"/>
      <c r="BG864" s="115"/>
      <c r="BH864" s="25"/>
      <c r="BI864" s="15"/>
      <c r="BL864" s="114"/>
    </row>
    <row r="865" spans="6:64" ht="19.5" x14ac:dyDescent="0.4"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26"/>
      <c r="AK865" s="15"/>
      <c r="AO865" s="115"/>
      <c r="AP865" s="117"/>
      <c r="AQ865" s="123"/>
      <c r="AR865" s="123"/>
      <c r="AS865" s="123"/>
      <c r="AT865" s="115"/>
      <c r="AU865" s="115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115"/>
      <c r="BF865" s="115"/>
      <c r="BG865" s="115"/>
      <c r="BH865" s="25"/>
      <c r="BI865" s="15"/>
      <c r="BL865" s="114"/>
    </row>
    <row r="866" spans="6:64" ht="19.5" x14ac:dyDescent="0.4">
      <c r="AJ866" s="26"/>
      <c r="AK866" s="15"/>
      <c r="AO866" s="115"/>
      <c r="AP866" s="117"/>
      <c r="AQ866" s="123"/>
      <c r="AR866" s="123"/>
      <c r="AS866" s="123"/>
      <c r="AT866" s="115"/>
      <c r="AU866" s="115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115"/>
      <c r="BF866" s="115"/>
      <c r="BG866" s="115"/>
      <c r="BH866" s="25">
        <v>45276</v>
      </c>
      <c r="BI866" s="15" t="s">
        <v>162</v>
      </c>
      <c r="BL866" s="114"/>
    </row>
    <row r="867" spans="6:64" ht="19.5" x14ac:dyDescent="0.4">
      <c r="AB867" s="115"/>
      <c r="AC867" s="115"/>
      <c r="AD867" s="115"/>
      <c r="AE867" s="115"/>
      <c r="AF867" s="115"/>
      <c r="AG867" s="115"/>
      <c r="AH867" s="115"/>
      <c r="AI867" s="115"/>
      <c r="AJ867" s="17"/>
      <c r="AK867" s="15"/>
      <c r="AO867" s="115"/>
      <c r="AP867" s="117"/>
      <c r="AQ867" s="123"/>
      <c r="AR867" s="123"/>
      <c r="AS867" s="123"/>
      <c r="AT867" s="115"/>
      <c r="AU867" s="115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115"/>
      <c r="BF867" s="115"/>
      <c r="BG867" s="115"/>
      <c r="BH867" s="25"/>
      <c r="BI867" s="15"/>
      <c r="BL867" s="114"/>
    </row>
    <row r="868" spans="6:64" ht="19.5" x14ac:dyDescent="0.4">
      <c r="AJ868" s="26"/>
      <c r="AK868" s="15"/>
      <c r="AO868" s="115"/>
      <c r="AP868" s="117"/>
      <c r="AQ868" s="123"/>
      <c r="AR868" s="123"/>
      <c r="AS868" s="123"/>
      <c r="AT868" s="115"/>
      <c r="AU868" s="115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115"/>
      <c r="BF868" s="115"/>
      <c r="BG868" s="115"/>
      <c r="BH868" s="25">
        <v>45276</v>
      </c>
      <c r="BI868" s="15" t="s">
        <v>162</v>
      </c>
      <c r="BL868" s="114"/>
    </row>
    <row r="869" spans="6:64" ht="19.5" x14ac:dyDescent="0.4">
      <c r="AB869" s="115"/>
      <c r="AC869" s="115"/>
      <c r="AD869" s="115"/>
      <c r="AE869" s="115"/>
      <c r="AF869" s="115"/>
      <c r="AG869" s="115"/>
      <c r="AH869" s="115"/>
      <c r="AI869" s="115"/>
      <c r="AJ869" s="17"/>
      <c r="AK869" s="15"/>
      <c r="AO869" s="115"/>
      <c r="AP869" s="117"/>
      <c r="AQ869" s="123"/>
      <c r="AR869" s="123"/>
      <c r="AS869" s="123"/>
      <c r="AT869" s="115"/>
      <c r="AU869" s="115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115"/>
      <c r="BF869" s="115"/>
      <c r="BG869" s="115"/>
      <c r="BH869" s="25"/>
      <c r="BI869" s="15"/>
      <c r="BL869" s="114"/>
    </row>
    <row r="870" spans="6:64" ht="19.5" x14ac:dyDescent="0.4"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26"/>
      <c r="AK870" s="15"/>
      <c r="AO870" s="115"/>
      <c r="AP870" s="117"/>
      <c r="AQ870" s="123"/>
      <c r="AR870" s="123"/>
      <c r="AS870" s="123"/>
      <c r="AT870" s="115"/>
      <c r="AU870" s="115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115"/>
      <c r="BF870" s="115"/>
      <c r="BG870" s="115"/>
      <c r="BH870" s="25"/>
      <c r="BI870" s="15"/>
      <c r="BL870" s="114"/>
    </row>
    <row r="871" spans="6:64" ht="19.5" x14ac:dyDescent="0.4"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7"/>
      <c r="AK871" s="15"/>
      <c r="AO871" s="115"/>
      <c r="AP871" s="117"/>
      <c r="AQ871" s="123"/>
      <c r="AR871" s="123"/>
      <c r="AS871" s="123"/>
      <c r="AT871" s="115"/>
      <c r="AU871" s="115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115"/>
      <c r="BF871" s="115"/>
      <c r="BG871" s="115"/>
      <c r="BH871" s="25"/>
      <c r="BI871" s="15"/>
      <c r="BL871" s="114"/>
    </row>
    <row r="872" spans="6:64" ht="19.5" x14ac:dyDescent="0.4">
      <c r="AJ872" s="26"/>
      <c r="AK872" s="15"/>
      <c r="AO872" s="115"/>
      <c r="AP872" s="117"/>
      <c r="AQ872" s="123"/>
      <c r="AR872" s="123"/>
      <c r="AS872" s="123"/>
      <c r="AT872" s="115"/>
      <c r="AU872" s="115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115"/>
      <c r="BF872" s="115"/>
      <c r="BG872" s="115"/>
      <c r="BH872" s="25">
        <v>45276</v>
      </c>
      <c r="BI872" s="15" t="s">
        <v>162</v>
      </c>
      <c r="BL872" s="114"/>
    </row>
    <row r="873" spans="6:64" ht="19.5" x14ac:dyDescent="0.4">
      <c r="AJ873" s="26"/>
      <c r="AK873" s="15"/>
      <c r="AO873" s="115"/>
      <c r="AP873" s="117"/>
      <c r="AQ873" s="123"/>
      <c r="AR873" s="123"/>
      <c r="AS873" s="123"/>
      <c r="AT873" s="115"/>
      <c r="AU873" s="115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115"/>
      <c r="BF873" s="115"/>
      <c r="BG873" s="115"/>
      <c r="BH873" s="25">
        <v>45276</v>
      </c>
      <c r="BI873" s="15" t="s">
        <v>162</v>
      </c>
      <c r="BL873" s="114"/>
    </row>
    <row r="874" spans="6:64" ht="19.5" x14ac:dyDescent="0.4">
      <c r="AJ874" s="26"/>
      <c r="AK874" s="15"/>
      <c r="AO874" s="115"/>
      <c r="AP874" s="117"/>
      <c r="AQ874" s="123"/>
      <c r="AR874" s="123"/>
      <c r="AS874" s="123"/>
      <c r="AT874" s="115"/>
      <c r="AU874" s="115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115"/>
      <c r="BF874" s="115"/>
      <c r="BG874" s="115"/>
      <c r="BH874" s="25">
        <v>45276</v>
      </c>
      <c r="BI874" s="15" t="s">
        <v>162</v>
      </c>
      <c r="BL874" s="114"/>
    </row>
    <row r="875" spans="6:64" ht="19.5" x14ac:dyDescent="0.4">
      <c r="AJ875" s="26"/>
      <c r="AK875" s="15"/>
      <c r="AO875" s="115"/>
      <c r="AP875" s="117"/>
      <c r="AQ875" s="123"/>
      <c r="AR875" s="123"/>
      <c r="AS875" s="123"/>
      <c r="AT875" s="115"/>
      <c r="AU875" s="115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115"/>
      <c r="BF875" s="115"/>
      <c r="BG875" s="115"/>
      <c r="BH875" s="25"/>
      <c r="BI875" s="15"/>
      <c r="BL875" s="114"/>
    </row>
    <row r="876" spans="6:64" ht="19.5" x14ac:dyDescent="0.4">
      <c r="AB876" s="115"/>
      <c r="AC876" s="115"/>
      <c r="AD876" s="115"/>
      <c r="AE876" s="115"/>
      <c r="AF876" s="115"/>
      <c r="AG876" s="115"/>
      <c r="AH876" s="115"/>
      <c r="AI876" s="115"/>
      <c r="AJ876" s="17"/>
      <c r="AK876" s="15"/>
      <c r="AO876" s="115"/>
      <c r="AP876" s="117"/>
      <c r="AQ876" s="123"/>
      <c r="AR876" s="123"/>
      <c r="AS876" s="123"/>
      <c r="AT876" s="115"/>
      <c r="AU876" s="115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115"/>
      <c r="BF876" s="115"/>
      <c r="BG876" s="115"/>
      <c r="BH876" s="25"/>
      <c r="BI876" s="15"/>
      <c r="BL876" s="114"/>
    </row>
    <row r="877" spans="6:64" ht="19.5" x14ac:dyDescent="0.4">
      <c r="AJ877" s="26"/>
      <c r="AK877" s="15"/>
      <c r="AO877" s="115"/>
      <c r="AP877" s="117"/>
      <c r="AQ877" s="123"/>
      <c r="AR877" s="123"/>
      <c r="AS877" s="123"/>
      <c r="AT877" s="115"/>
      <c r="AU877" s="115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115"/>
      <c r="BF877" s="115"/>
      <c r="BG877" s="115"/>
      <c r="BH877" s="25">
        <v>45276</v>
      </c>
      <c r="BI877" s="15" t="s">
        <v>162</v>
      </c>
      <c r="BL877" s="114"/>
    </row>
    <row r="878" spans="6:64" ht="19.5" x14ac:dyDescent="0.4">
      <c r="AJ878" s="26"/>
      <c r="AK878" s="15"/>
      <c r="AO878" s="115"/>
      <c r="AP878" s="117"/>
      <c r="AQ878" s="123"/>
      <c r="AR878" s="123"/>
      <c r="AS878" s="123"/>
      <c r="AT878" s="115"/>
      <c r="AU878" s="115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115"/>
      <c r="BF878" s="115"/>
      <c r="BG878" s="115"/>
      <c r="BH878" s="25">
        <v>45276</v>
      </c>
      <c r="BI878" s="15" t="s">
        <v>162</v>
      </c>
      <c r="BL878" s="114"/>
    </row>
    <row r="879" spans="6:64" ht="19.5" x14ac:dyDescent="0.4">
      <c r="AB879" s="115"/>
      <c r="AC879" s="115"/>
      <c r="AD879" s="115"/>
      <c r="AE879" s="115"/>
      <c r="AF879" s="115"/>
      <c r="AG879" s="115"/>
      <c r="AH879" s="115"/>
      <c r="AI879" s="115"/>
      <c r="AJ879" s="17"/>
      <c r="AK879" s="15"/>
      <c r="AO879" s="115"/>
      <c r="AP879" s="117"/>
      <c r="AQ879" s="123"/>
      <c r="AR879" s="123"/>
      <c r="AS879" s="123"/>
      <c r="AT879" s="115"/>
      <c r="AU879" s="115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115"/>
      <c r="BF879" s="115"/>
      <c r="BG879" s="115"/>
      <c r="BH879" s="25"/>
      <c r="BI879" s="15"/>
      <c r="BL879" s="114"/>
    </row>
    <row r="880" spans="6:64" ht="19.5" x14ac:dyDescent="0.4"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26"/>
      <c r="AK880" s="15"/>
      <c r="AO880" s="115"/>
      <c r="AP880" s="117"/>
      <c r="AQ880" s="123"/>
      <c r="AR880" s="123"/>
      <c r="AS880" s="123"/>
      <c r="AT880" s="115"/>
      <c r="AU880" s="115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115"/>
      <c r="BF880" s="115"/>
      <c r="BG880" s="115"/>
      <c r="BH880" s="25"/>
      <c r="BI880" s="15"/>
      <c r="BL880" s="114"/>
    </row>
    <row r="881" spans="6:64" ht="19.5" x14ac:dyDescent="0.4"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7"/>
      <c r="AK881" s="15"/>
      <c r="AO881" s="115"/>
      <c r="AP881" s="117"/>
      <c r="AQ881" s="123"/>
      <c r="AR881" s="123"/>
      <c r="AS881" s="123"/>
      <c r="AT881" s="115"/>
      <c r="AU881" s="115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115"/>
      <c r="BF881" s="115"/>
      <c r="BG881" s="115"/>
      <c r="BH881" s="25"/>
      <c r="BI881" s="15"/>
      <c r="BL881" s="114"/>
    </row>
    <row r="882" spans="6:64" ht="19.5" x14ac:dyDescent="0.4"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26"/>
      <c r="AK882" s="15"/>
      <c r="AO882" s="115"/>
      <c r="AP882" s="117"/>
      <c r="AQ882" s="123"/>
      <c r="AR882" s="123"/>
      <c r="AS882" s="123"/>
      <c r="AT882" s="115"/>
      <c r="AU882" s="115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115"/>
      <c r="BF882" s="115"/>
      <c r="BG882" s="115"/>
      <c r="BH882" s="25"/>
      <c r="BI882" s="15"/>
      <c r="BL882" s="114"/>
    </row>
    <row r="883" spans="6:64" ht="19.5" x14ac:dyDescent="0.4">
      <c r="AJ883" s="26"/>
      <c r="AK883" s="15"/>
      <c r="AO883" s="115"/>
      <c r="AP883" s="117"/>
      <c r="AQ883" s="123"/>
      <c r="AR883" s="123"/>
      <c r="AS883" s="123"/>
      <c r="AT883" s="115"/>
      <c r="AU883" s="115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115"/>
      <c r="BF883" s="115"/>
      <c r="BG883" s="115" t="s">
        <v>169</v>
      </c>
      <c r="BH883" s="13">
        <f>SUBTOTAL(3,BH846:BH878)</f>
        <v>17</v>
      </c>
      <c r="BI883" s="15">
        <f>SUBTOTAL(3,BI846:BI878)</f>
        <v>17</v>
      </c>
      <c r="BL883" s="114"/>
    </row>
    <row r="884" spans="6:64" ht="19.5" x14ac:dyDescent="0.4"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26"/>
      <c r="AK884" s="15"/>
      <c r="AO884" s="115"/>
      <c r="AP884" s="117"/>
      <c r="AQ884" s="123"/>
      <c r="AR884" s="123"/>
      <c r="AS884" s="123"/>
      <c r="AT884" s="115"/>
      <c r="AU884" s="115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115"/>
      <c r="BF884" s="115"/>
      <c r="BG884" s="115"/>
      <c r="BH884" s="13"/>
      <c r="BI884" s="15"/>
      <c r="BL884" s="114"/>
    </row>
    <row r="885" spans="6:64" ht="19.5" x14ac:dyDescent="0.4">
      <c r="AJ885" s="26"/>
      <c r="AK885" s="15"/>
      <c r="AO885" s="115"/>
      <c r="AP885" s="117"/>
      <c r="AQ885" s="123"/>
      <c r="AR885" s="123"/>
      <c r="AS885" s="123"/>
      <c r="AT885" s="115"/>
      <c r="AU885" s="115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115"/>
      <c r="BF885" s="115"/>
      <c r="BG885" s="115"/>
      <c r="BH885" s="25">
        <v>45277</v>
      </c>
      <c r="BI885" s="15" t="s">
        <v>162</v>
      </c>
      <c r="BL885" s="114"/>
    </row>
    <row r="886" spans="6:64" ht="19.5" x14ac:dyDescent="0.4">
      <c r="AB886" s="115"/>
      <c r="AC886" s="115"/>
      <c r="AD886" s="115"/>
      <c r="AE886" s="115"/>
      <c r="AF886" s="115"/>
      <c r="AG886" s="115"/>
      <c r="AH886" s="115"/>
      <c r="AI886" s="115"/>
      <c r="AJ886" s="17"/>
      <c r="AK886" s="15"/>
      <c r="AO886" s="115"/>
      <c r="AP886" s="117"/>
      <c r="AQ886" s="123"/>
      <c r="AR886" s="123"/>
      <c r="AS886" s="123"/>
      <c r="AT886" s="115"/>
      <c r="AU886" s="115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115"/>
      <c r="BF886" s="115"/>
      <c r="BG886" s="115"/>
      <c r="BH886" s="25"/>
      <c r="BI886" s="15"/>
      <c r="BL886" s="114"/>
    </row>
    <row r="887" spans="6:64" ht="19.5" x14ac:dyDescent="0.4"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26"/>
      <c r="AK887" s="15"/>
      <c r="AO887" s="115"/>
      <c r="AP887" s="117"/>
      <c r="AQ887" s="123"/>
      <c r="AR887" s="123"/>
      <c r="AS887" s="123"/>
      <c r="AT887" s="115"/>
      <c r="AU887" s="115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115"/>
      <c r="BF887" s="115"/>
      <c r="BG887" s="115"/>
      <c r="BH887" s="25"/>
      <c r="BI887" s="15"/>
      <c r="BL887" s="114"/>
    </row>
    <row r="888" spans="6:64" ht="19.5" x14ac:dyDescent="0.4"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7"/>
      <c r="AK888" s="15"/>
      <c r="AO888" s="115"/>
      <c r="AP888" s="117"/>
      <c r="AQ888" s="123"/>
      <c r="AR888" s="123"/>
      <c r="AS888" s="123"/>
      <c r="AT888" s="115"/>
      <c r="AU888" s="115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115"/>
      <c r="BF888" s="115"/>
      <c r="BG888" s="115"/>
      <c r="BH888" s="25"/>
      <c r="BI888" s="15"/>
      <c r="BL888" s="114"/>
    </row>
    <row r="889" spans="6:64" ht="19.5" x14ac:dyDescent="0.4"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7"/>
      <c r="AK889" s="15"/>
      <c r="AO889" s="115"/>
      <c r="AP889" s="117"/>
      <c r="AQ889" s="123"/>
      <c r="AR889" s="123"/>
      <c r="AS889" s="123"/>
      <c r="AT889" s="115"/>
      <c r="AU889" s="115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115"/>
      <c r="BF889" s="115"/>
      <c r="BG889" s="115"/>
      <c r="BH889" s="25"/>
      <c r="BI889" s="15"/>
      <c r="BL889" s="114"/>
    </row>
    <row r="890" spans="6:64" ht="19.5" x14ac:dyDescent="0.4">
      <c r="AJ890" s="26"/>
      <c r="AK890" s="15"/>
      <c r="AO890" s="115"/>
      <c r="AP890" s="117"/>
      <c r="AQ890" s="123"/>
      <c r="AR890" s="123"/>
      <c r="AS890" s="123"/>
      <c r="AT890" s="115"/>
      <c r="AU890" s="115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115"/>
      <c r="BF890" s="115"/>
      <c r="BG890" s="115"/>
      <c r="BH890" s="25">
        <v>45277</v>
      </c>
      <c r="BI890" s="15" t="s">
        <v>162</v>
      </c>
      <c r="BL890" s="114"/>
    </row>
    <row r="891" spans="6:64" ht="19.5" x14ac:dyDescent="0.4"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7"/>
      <c r="AK891" s="15"/>
      <c r="AO891" s="115"/>
      <c r="AP891" s="117"/>
      <c r="AQ891" s="123"/>
      <c r="AR891" s="123"/>
      <c r="AS891" s="123"/>
      <c r="AT891" s="115"/>
      <c r="AU891" s="115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115"/>
      <c r="BF891" s="115"/>
      <c r="BG891" s="115"/>
      <c r="BH891" s="131"/>
      <c r="BI891" s="13"/>
      <c r="BL891" s="114"/>
    </row>
    <row r="892" spans="6:64" ht="19.5" x14ac:dyDescent="0.4">
      <c r="AJ892" s="26"/>
      <c r="AK892" s="15"/>
      <c r="AO892" s="115"/>
      <c r="AP892" s="117"/>
      <c r="AQ892" s="123"/>
      <c r="AR892" s="123"/>
      <c r="AS892" s="123"/>
      <c r="AT892" s="115"/>
      <c r="AU892" s="115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115"/>
      <c r="BF892" s="115"/>
      <c r="BG892" s="115"/>
      <c r="BH892" s="26">
        <v>45277</v>
      </c>
      <c r="BI892" s="13" t="s">
        <v>162</v>
      </c>
      <c r="BL892" s="114"/>
    </row>
    <row r="893" spans="6:64" ht="19.5" x14ac:dyDescent="0.4">
      <c r="AJ893" s="26"/>
      <c r="AK893" s="15"/>
      <c r="AO893" s="115"/>
      <c r="AP893" s="117"/>
      <c r="AQ893" s="123"/>
      <c r="AR893" s="123"/>
      <c r="AS893" s="123"/>
      <c r="AT893" s="115"/>
      <c r="AU893" s="115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115"/>
      <c r="BF893" s="115"/>
      <c r="BG893" s="115"/>
      <c r="BH893" s="26">
        <v>45277</v>
      </c>
      <c r="BI893" s="15" t="s">
        <v>162</v>
      </c>
      <c r="BL893" s="114"/>
    </row>
    <row r="894" spans="6:64" ht="19.5" x14ac:dyDescent="0.4"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26"/>
      <c r="AK894" s="15"/>
      <c r="AO894" s="115"/>
      <c r="AP894" s="117"/>
      <c r="AQ894" s="123"/>
      <c r="AR894" s="123"/>
      <c r="AS894" s="123"/>
      <c r="AT894" s="115"/>
      <c r="AU894" s="115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115"/>
      <c r="BF894" s="115"/>
      <c r="BG894" s="115"/>
      <c r="BH894" s="26"/>
      <c r="BI894" s="15"/>
      <c r="BL894" s="114"/>
    </row>
    <row r="895" spans="6:64" ht="19.5" x14ac:dyDescent="0.4">
      <c r="AJ895" s="26"/>
      <c r="AK895" s="15"/>
      <c r="AO895" s="115"/>
      <c r="AP895" s="117"/>
      <c r="AQ895" s="123"/>
      <c r="AR895" s="123"/>
      <c r="AS895" s="123"/>
      <c r="AT895" s="115"/>
      <c r="AU895" s="115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115"/>
      <c r="BF895" s="115"/>
      <c r="BG895" s="115"/>
      <c r="BH895" s="26">
        <v>45277</v>
      </c>
      <c r="BI895" s="15" t="s">
        <v>162</v>
      </c>
      <c r="BL895" s="114"/>
    </row>
    <row r="896" spans="6:64" ht="19.5" x14ac:dyDescent="0.4">
      <c r="AJ896" s="26"/>
      <c r="AK896" s="15"/>
      <c r="AO896" s="115"/>
      <c r="AP896" s="117"/>
      <c r="AQ896" s="123"/>
      <c r="AR896" s="123"/>
      <c r="AS896" s="123"/>
      <c r="AT896" s="115"/>
      <c r="AU896" s="115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115"/>
      <c r="BF896" s="115"/>
      <c r="BG896" s="115" t="s">
        <v>160</v>
      </c>
      <c r="BH896" s="17">
        <f>SUBTOTAL(3,BH885:BH895)</f>
        <v>5</v>
      </c>
      <c r="BI896" s="15">
        <f>SUBTOTAL(3,BI885:BI895)</f>
        <v>5</v>
      </c>
      <c r="BL896" s="114"/>
    </row>
    <row r="897" spans="6:64" ht="19.5" x14ac:dyDescent="0.4"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26"/>
      <c r="AK897" s="15"/>
      <c r="AO897" s="115"/>
      <c r="AP897" s="117"/>
      <c r="AQ897" s="123"/>
      <c r="AR897" s="123"/>
      <c r="AS897" s="123"/>
      <c r="AT897" s="115"/>
      <c r="AU897" s="115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115"/>
      <c r="BF897" s="115"/>
      <c r="BG897" s="115"/>
      <c r="BH897" s="17"/>
      <c r="BI897" s="15"/>
      <c r="BL897" s="114"/>
    </row>
    <row r="898" spans="6:64" ht="19.5" x14ac:dyDescent="0.4"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26"/>
      <c r="AK898" s="15"/>
      <c r="AO898" s="115"/>
      <c r="AP898" s="117"/>
      <c r="AQ898" s="123"/>
      <c r="AR898" s="123"/>
      <c r="AS898" s="123"/>
      <c r="AT898" s="115"/>
      <c r="AU898" s="115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115"/>
      <c r="BF898" s="115"/>
      <c r="BG898" s="115"/>
      <c r="BH898" s="17"/>
      <c r="BI898" s="15"/>
      <c r="BL898" s="114"/>
    </row>
    <row r="899" spans="6:64" ht="19.5" x14ac:dyDescent="0.4">
      <c r="AJ899" s="26"/>
      <c r="AK899" s="15"/>
      <c r="AO899" s="115"/>
      <c r="AP899" s="117"/>
      <c r="AQ899" s="123"/>
      <c r="AR899" s="123"/>
      <c r="AS899" s="123"/>
      <c r="AT899" s="115"/>
      <c r="AU899" s="115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115"/>
      <c r="BF899" s="115"/>
      <c r="BG899" s="115"/>
      <c r="BH899" s="26">
        <v>45278</v>
      </c>
      <c r="BI899" s="15" t="s">
        <v>164</v>
      </c>
      <c r="BL899" s="114"/>
    </row>
    <row r="900" spans="6:64" ht="19.5" x14ac:dyDescent="0.4">
      <c r="AJ900" s="26"/>
      <c r="AK900" s="15"/>
      <c r="AO900" s="115"/>
      <c r="AP900" s="117"/>
      <c r="AQ900" s="123"/>
      <c r="AR900" s="123"/>
      <c r="AS900" s="123"/>
      <c r="AT900" s="115"/>
      <c r="AU900" s="115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115"/>
      <c r="BF900" s="115"/>
      <c r="BG900" s="115"/>
      <c r="BH900" s="26">
        <v>45278</v>
      </c>
      <c r="BI900" s="15" t="s">
        <v>164</v>
      </c>
      <c r="BL900" s="114"/>
    </row>
    <row r="901" spans="6:64" ht="19.5" x14ac:dyDescent="0.4"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26"/>
      <c r="AK901" s="15"/>
      <c r="AO901" s="115"/>
      <c r="AP901" s="117"/>
      <c r="AQ901" s="123"/>
      <c r="AR901" s="123"/>
      <c r="AS901" s="123"/>
      <c r="AT901" s="115"/>
      <c r="AU901" s="115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115"/>
      <c r="BF901" s="115"/>
      <c r="BG901" s="115"/>
      <c r="BH901" s="26"/>
      <c r="BI901" s="15"/>
      <c r="BL901" s="114"/>
    </row>
    <row r="902" spans="6:64" ht="19.5" x14ac:dyDescent="0.4">
      <c r="AJ902" s="26"/>
      <c r="AK902" s="15"/>
      <c r="AO902" s="115"/>
      <c r="AP902" s="117"/>
      <c r="AQ902" s="123"/>
      <c r="AR902" s="123"/>
      <c r="AS902" s="123"/>
      <c r="AT902" s="115"/>
      <c r="AU902" s="115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115"/>
      <c r="BF902" s="115"/>
      <c r="BG902" s="115"/>
      <c r="BH902" s="26">
        <v>45278</v>
      </c>
      <c r="BI902" s="15" t="s">
        <v>162</v>
      </c>
      <c r="BL902" s="114"/>
    </row>
    <row r="903" spans="6:64" ht="19.5" x14ac:dyDescent="0.4"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7"/>
      <c r="AK903" s="15"/>
      <c r="AO903" s="115"/>
      <c r="AP903" s="117"/>
      <c r="AQ903" s="123"/>
      <c r="AR903" s="123"/>
      <c r="AS903" s="123"/>
      <c r="AT903" s="115"/>
      <c r="AU903" s="115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115"/>
      <c r="BF903" s="115"/>
      <c r="BG903" s="115"/>
      <c r="BH903" s="26"/>
      <c r="BI903" s="15"/>
      <c r="BL903" s="114"/>
    </row>
    <row r="904" spans="6:64" ht="19.5" x14ac:dyDescent="0.4"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26"/>
      <c r="AK904" s="15"/>
      <c r="AO904" s="115"/>
      <c r="AP904" s="117"/>
      <c r="AQ904" s="123"/>
      <c r="AR904" s="123"/>
      <c r="AS904" s="123"/>
      <c r="AT904" s="115"/>
      <c r="AU904" s="115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115"/>
      <c r="BF904" s="115"/>
      <c r="BG904" s="115"/>
      <c r="BH904" s="26"/>
      <c r="BI904" s="15"/>
      <c r="BL904" s="114"/>
    </row>
    <row r="905" spans="6:64" ht="19.5" x14ac:dyDescent="0.4"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7"/>
      <c r="AK905" s="15"/>
      <c r="AO905" s="115"/>
      <c r="AP905" s="117"/>
      <c r="AQ905" s="123"/>
      <c r="AR905" s="123"/>
      <c r="AS905" s="123"/>
      <c r="AT905" s="115"/>
      <c r="AU905" s="115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115"/>
      <c r="BF905" s="115"/>
      <c r="BG905" s="115"/>
      <c r="BH905" s="26"/>
      <c r="BI905" s="15"/>
      <c r="BL905" s="114"/>
    </row>
    <row r="906" spans="6:64" ht="19.5" x14ac:dyDescent="0.4">
      <c r="AJ906" s="26"/>
      <c r="AK906" s="15"/>
      <c r="AO906" s="115"/>
      <c r="AP906" s="117"/>
      <c r="AQ906" s="123"/>
      <c r="AR906" s="123"/>
      <c r="AS906" s="123"/>
      <c r="AT906" s="115"/>
      <c r="AU906" s="115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115"/>
      <c r="BF906" s="115"/>
      <c r="BG906" s="115"/>
      <c r="BH906" s="26">
        <v>45278</v>
      </c>
      <c r="BI906" s="15" t="s">
        <v>142</v>
      </c>
      <c r="BL906" s="114"/>
    </row>
    <row r="907" spans="6:64" ht="19.5" x14ac:dyDescent="0.4">
      <c r="AJ907" s="26"/>
      <c r="AK907" s="15"/>
      <c r="AO907" s="115"/>
      <c r="AP907" s="117"/>
      <c r="AQ907" s="123"/>
      <c r="AR907" s="123"/>
      <c r="AS907" s="123"/>
      <c r="AT907" s="115"/>
      <c r="AU907" s="115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115"/>
      <c r="BF907" s="115"/>
      <c r="BG907" s="115"/>
      <c r="BH907" s="26">
        <v>45278</v>
      </c>
      <c r="BI907" s="15" t="s">
        <v>162</v>
      </c>
      <c r="BL907" s="114"/>
    </row>
    <row r="908" spans="6:64" ht="19.5" x14ac:dyDescent="0.4">
      <c r="AJ908" s="26"/>
      <c r="AK908" s="15"/>
      <c r="AO908" s="115"/>
      <c r="AP908" s="117"/>
      <c r="AQ908" s="123"/>
      <c r="AR908" s="123"/>
      <c r="AS908" s="123"/>
      <c r="AT908" s="115"/>
      <c r="AU908" s="115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115"/>
      <c r="BF908" s="115"/>
      <c r="BG908" s="115"/>
      <c r="BH908" s="26">
        <v>45278</v>
      </c>
      <c r="BI908" s="15" t="s">
        <v>162</v>
      </c>
      <c r="BL908" s="114"/>
    </row>
    <row r="909" spans="6:64" ht="19.5" x14ac:dyDescent="0.4"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7"/>
      <c r="AK909" s="15"/>
      <c r="AO909" s="115"/>
      <c r="AP909" s="117"/>
      <c r="AQ909" s="123"/>
      <c r="AR909" s="123"/>
      <c r="AS909" s="123"/>
      <c r="AT909" s="115"/>
      <c r="AU909" s="115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115"/>
      <c r="BF909" s="115"/>
      <c r="BG909" s="115"/>
      <c r="BH909" s="26"/>
      <c r="BI909" s="15"/>
      <c r="BL909" s="114"/>
    </row>
    <row r="910" spans="6:64" ht="19.5" x14ac:dyDescent="0.4"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26"/>
      <c r="AK910" s="15"/>
      <c r="AO910" s="115"/>
      <c r="AP910" s="117"/>
      <c r="AQ910" s="123"/>
      <c r="AR910" s="123"/>
      <c r="AS910" s="123"/>
      <c r="AT910" s="115"/>
      <c r="AU910" s="115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115"/>
      <c r="BF910" s="115"/>
      <c r="BG910" s="115"/>
      <c r="BH910" s="26"/>
      <c r="BI910" s="15"/>
      <c r="BL910" s="114"/>
    </row>
    <row r="911" spans="6:64" ht="19.5" x14ac:dyDescent="0.4"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26"/>
      <c r="AK911" s="15"/>
      <c r="AO911" s="115"/>
      <c r="AP911" s="117"/>
      <c r="AQ911" s="123"/>
      <c r="AR911" s="123"/>
      <c r="AS911" s="123"/>
      <c r="AT911" s="115"/>
      <c r="AU911" s="115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115"/>
      <c r="BF911" s="115"/>
      <c r="BG911" s="115"/>
      <c r="BH911" s="26"/>
      <c r="BI911" s="15"/>
      <c r="BL911" s="114"/>
    </row>
    <row r="912" spans="6:64" ht="19.5" x14ac:dyDescent="0.4"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7"/>
      <c r="AK912" s="15"/>
      <c r="AO912" s="115"/>
      <c r="AP912" s="117"/>
      <c r="AQ912" s="123"/>
      <c r="AR912" s="123"/>
      <c r="AS912" s="123"/>
      <c r="AT912" s="115"/>
      <c r="AU912" s="115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115"/>
      <c r="BF912" s="115"/>
      <c r="BG912" s="115"/>
      <c r="BH912" s="26"/>
      <c r="BI912" s="15"/>
      <c r="BL912" s="114"/>
    </row>
    <row r="913" spans="6:64" ht="19.5" x14ac:dyDescent="0.4"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26"/>
      <c r="AK913" s="15"/>
      <c r="AO913" s="115"/>
      <c r="AP913" s="117"/>
      <c r="AQ913" s="123"/>
      <c r="AR913" s="123"/>
      <c r="AS913" s="123"/>
      <c r="AT913" s="115"/>
      <c r="AU913" s="115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115"/>
      <c r="BF913" s="115"/>
      <c r="BG913" s="115"/>
      <c r="BH913" s="26"/>
      <c r="BI913" s="15"/>
      <c r="BL913" s="114"/>
    </row>
    <row r="914" spans="6:64" ht="19.5" x14ac:dyDescent="0.4">
      <c r="AJ914" s="26"/>
      <c r="AK914" s="15"/>
      <c r="AO914" s="115"/>
      <c r="AP914" s="117"/>
      <c r="AQ914" s="123"/>
      <c r="AR914" s="123"/>
      <c r="AS914" s="123"/>
      <c r="AT914" s="115"/>
      <c r="AU914" s="115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115"/>
      <c r="BF914" s="115"/>
      <c r="BG914" s="115"/>
      <c r="BH914" s="26">
        <v>45278</v>
      </c>
      <c r="BI914" s="15" t="s">
        <v>162</v>
      </c>
      <c r="BL914" s="114"/>
    </row>
    <row r="915" spans="6:64" ht="19.5" x14ac:dyDescent="0.4"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26"/>
      <c r="AK915" s="15"/>
      <c r="AO915" s="115"/>
      <c r="AP915" s="117"/>
      <c r="AQ915" s="123"/>
      <c r="AR915" s="123"/>
      <c r="AS915" s="123"/>
      <c r="AT915" s="115"/>
      <c r="AU915" s="115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115"/>
      <c r="BF915" s="115"/>
      <c r="BG915" s="115"/>
      <c r="BH915" s="26"/>
      <c r="BI915" s="15"/>
      <c r="BL915" s="114"/>
    </row>
    <row r="916" spans="6:64" ht="19.5" x14ac:dyDescent="0.4">
      <c r="AJ916" s="26"/>
      <c r="AK916" s="15"/>
      <c r="AO916" s="115"/>
      <c r="AP916" s="117"/>
      <c r="AQ916" s="123"/>
      <c r="AR916" s="123"/>
      <c r="AS916" s="123"/>
      <c r="AT916" s="115"/>
      <c r="AU916" s="115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115"/>
      <c r="BF916" s="115"/>
      <c r="BG916" s="115"/>
      <c r="BH916" s="26">
        <v>45278</v>
      </c>
      <c r="BI916" s="15" t="s">
        <v>163</v>
      </c>
      <c r="BL916" s="114"/>
    </row>
    <row r="917" spans="6:64" ht="19.5" x14ac:dyDescent="0.4">
      <c r="AJ917" s="26"/>
      <c r="AK917" s="15"/>
      <c r="AO917" s="115"/>
      <c r="AP917" s="117"/>
      <c r="AQ917" s="123"/>
      <c r="AR917" s="123"/>
      <c r="AS917" s="123"/>
      <c r="AT917" s="115"/>
      <c r="AU917" s="115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115"/>
      <c r="BF917" s="115"/>
      <c r="BG917" s="115"/>
      <c r="BH917" s="26">
        <v>45278</v>
      </c>
      <c r="BI917" s="105" t="s">
        <v>163</v>
      </c>
      <c r="BL917" s="114"/>
    </row>
    <row r="918" spans="6:64" ht="19.5" x14ac:dyDescent="0.4">
      <c r="AJ918" s="25"/>
      <c r="AK918" s="13"/>
      <c r="AO918" s="115"/>
      <c r="AP918" s="117"/>
      <c r="AQ918" s="123"/>
      <c r="AR918" s="123"/>
      <c r="AS918" s="123"/>
      <c r="AT918" s="115"/>
      <c r="AU918" s="115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115"/>
      <c r="BF918" s="115"/>
      <c r="BG918" s="115"/>
      <c r="BH918" s="26">
        <v>45278</v>
      </c>
      <c r="BI918" s="15" t="s">
        <v>163</v>
      </c>
      <c r="BL918" s="114"/>
    </row>
    <row r="919" spans="6:64" ht="19.5" x14ac:dyDescent="0.4"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25"/>
      <c r="AK919" s="13"/>
      <c r="AO919" s="115"/>
      <c r="AP919" s="117"/>
      <c r="AQ919" s="123"/>
      <c r="AR919" s="123"/>
      <c r="AS919" s="123"/>
      <c r="AT919" s="115"/>
      <c r="AU919" s="115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115"/>
      <c r="BF919" s="115"/>
      <c r="BG919" s="115"/>
      <c r="BH919" s="26"/>
      <c r="BI919" s="15"/>
      <c r="BL919" s="114"/>
    </row>
    <row r="920" spans="6:64" ht="19.5" x14ac:dyDescent="0.4"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25"/>
      <c r="AK920" s="13"/>
      <c r="AO920" s="115"/>
      <c r="AP920" s="117"/>
      <c r="AQ920" s="123"/>
      <c r="AR920" s="123"/>
      <c r="AS920" s="123"/>
      <c r="AT920" s="115"/>
      <c r="AU920" s="115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115"/>
      <c r="BF920" s="115"/>
      <c r="BG920" s="115"/>
      <c r="BH920" s="26"/>
      <c r="BI920" s="15"/>
      <c r="BL920" s="114"/>
    </row>
    <row r="921" spans="6:64" ht="19.5" x14ac:dyDescent="0.4"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25"/>
      <c r="AK921" s="13"/>
      <c r="AO921" s="115"/>
      <c r="AP921" s="117"/>
      <c r="AQ921" s="123"/>
      <c r="AR921" s="123"/>
      <c r="AS921" s="123"/>
      <c r="AT921" s="115"/>
      <c r="AU921" s="115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115"/>
      <c r="BF921" s="115"/>
      <c r="BG921" s="115"/>
      <c r="BH921" s="26"/>
      <c r="BI921" s="15"/>
      <c r="BL921" s="114"/>
    </row>
    <row r="922" spans="6:64" ht="19.5" x14ac:dyDescent="0.4"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25"/>
      <c r="AK922" s="13"/>
      <c r="AO922" s="115"/>
      <c r="AP922" s="117"/>
      <c r="AQ922" s="123"/>
      <c r="AR922" s="123"/>
      <c r="AS922" s="123"/>
      <c r="AT922" s="115"/>
      <c r="AU922" s="115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115"/>
      <c r="BF922" s="115"/>
      <c r="BG922" s="115"/>
      <c r="BH922" s="26"/>
      <c r="BI922" s="15"/>
      <c r="BL922" s="114"/>
    </row>
    <row r="923" spans="6:64" ht="19.5" x14ac:dyDescent="0.4"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25"/>
      <c r="AK923" s="13"/>
      <c r="AO923" s="115"/>
      <c r="AP923" s="117"/>
      <c r="AQ923" s="123"/>
      <c r="AR923" s="123"/>
      <c r="AS923" s="123"/>
      <c r="AT923" s="115"/>
      <c r="AU923" s="115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115"/>
      <c r="BF923" s="115"/>
      <c r="BG923" s="115"/>
      <c r="BH923" s="26"/>
      <c r="BI923" s="15"/>
      <c r="BL923" s="114"/>
    </row>
    <row r="924" spans="6:64" ht="19.5" x14ac:dyDescent="0.4"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25"/>
      <c r="AK924" s="13"/>
      <c r="AO924" s="115"/>
      <c r="AP924" s="117"/>
      <c r="AQ924" s="123"/>
      <c r="AR924" s="123"/>
      <c r="AS924" s="123"/>
      <c r="AT924" s="115"/>
      <c r="AU924" s="115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115"/>
      <c r="BF924" s="115"/>
      <c r="BG924" s="115"/>
      <c r="BH924" s="26"/>
      <c r="BI924" s="15"/>
      <c r="BL924" s="114"/>
    </row>
    <row r="925" spans="6:64" ht="19.5" x14ac:dyDescent="0.4">
      <c r="AJ925" s="25"/>
      <c r="AK925" s="13"/>
      <c r="AO925" s="115"/>
      <c r="AP925" s="117"/>
      <c r="AQ925" s="123"/>
      <c r="AR925" s="123"/>
      <c r="AS925" s="123"/>
      <c r="AT925" s="115"/>
      <c r="AU925" s="115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115"/>
      <c r="BF925" s="115"/>
      <c r="BG925" s="115"/>
      <c r="BH925" s="26">
        <v>45278</v>
      </c>
      <c r="BI925" s="15" t="s">
        <v>163</v>
      </c>
      <c r="BL925" s="114"/>
    </row>
    <row r="926" spans="6:64" ht="19.5" x14ac:dyDescent="0.4">
      <c r="AJ926" s="25"/>
      <c r="AK926" s="13"/>
      <c r="AO926" s="115"/>
      <c r="AP926" s="117"/>
      <c r="AQ926" s="123"/>
      <c r="AR926" s="123"/>
      <c r="AS926" s="123"/>
      <c r="AT926" s="115"/>
      <c r="AU926" s="115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115"/>
      <c r="BF926" s="115"/>
      <c r="BG926" s="115"/>
      <c r="BH926" s="26"/>
      <c r="BI926" s="15"/>
      <c r="BL926" s="114"/>
    </row>
    <row r="927" spans="6:64" ht="19.5" x14ac:dyDescent="0.4"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3"/>
      <c r="AK927" s="13"/>
      <c r="AO927" s="115"/>
      <c r="AP927" s="117"/>
      <c r="AQ927" s="123"/>
      <c r="AR927" s="123"/>
      <c r="AS927" s="123"/>
      <c r="AT927" s="115"/>
      <c r="AU927" s="115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115"/>
      <c r="BF927" s="115"/>
      <c r="BG927" s="115"/>
      <c r="BH927" s="26"/>
      <c r="BI927" s="15"/>
      <c r="BL927" s="114"/>
    </row>
    <row r="928" spans="6:64" ht="19.5" x14ac:dyDescent="0.4">
      <c r="AJ928" s="25"/>
      <c r="AK928" s="13"/>
      <c r="AO928" s="115"/>
      <c r="AP928" s="117"/>
      <c r="AQ928" s="123"/>
      <c r="AR928" s="123"/>
      <c r="AS928" s="123"/>
      <c r="AT928" s="115"/>
      <c r="AU928" s="115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115"/>
      <c r="BF928" s="115"/>
      <c r="BG928" s="115"/>
      <c r="BH928" s="26">
        <v>45278</v>
      </c>
      <c r="BI928" s="15" t="s">
        <v>163</v>
      </c>
      <c r="BL928" s="114"/>
    </row>
    <row r="929" spans="27:64" ht="19.5" x14ac:dyDescent="0.4"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3"/>
      <c r="AK929" s="13"/>
      <c r="AO929" s="115"/>
      <c r="AP929" s="117"/>
      <c r="AQ929" s="123"/>
      <c r="AR929" s="123"/>
      <c r="AS929" s="123"/>
      <c r="AT929" s="115"/>
      <c r="AU929" s="115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115"/>
      <c r="BF929" s="115"/>
      <c r="BG929" s="115"/>
      <c r="BH929" s="26"/>
      <c r="BI929" s="13"/>
      <c r="BL929" s="114"/>
    </row>
    <row r="930" spans="27:64" ht="19.5" x14ac:dyDescent="0.4">
      <c r="AJ930" s="25"/>
      <c r="AK930" s="13"/>
      <c r="AO930" s="115"/>
      <c r="AP930" s="117"/>
      <c r="AQ930" s="123"/>
      <c r="AR930" s="123"/>
      <c r="AS930" s="123"/>
      <c r="AT930" s="115"/>
      <c r="AU930" s="115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115"/>
      <c r="BF930" s="115"/>
      <c r="BG930" s="115" t="s">
        <v>153</v>
      </c>
      <c r="BH930" s="17">
        <f>SUBTOTAL(3,BH899:BH928)</f>
        <v>12</v>
      </c>
      <c r="BI930" s="13">
        <f>SUBTOTAL(3,BI899:BI928)</f>
        <v>12</v>
      </c>
      <c r="BL930" s="114"/>
    </row>
    <row r="931" spans="27:64" ht="19.5" x14ac:dyDescent="0.4"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3"/>
      <c r="AK931" s="13"/>
      <c r="AO931" s="115"/>
      <c r="AP931" s="117"/>
      <c r="AQ931" s="123"/>
      <c r="AR931" s="123"/>
      <c r="AS931" s="123"/>
      <c r="AT931" s="115"/>
      <c r="AU931" s="115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115"/>
      <c r="BF931" s="115"/>
      <c r="BG931" s="115"/>
      <c r="BH931" s="17"/>
      <c r="BI931" s="13"/>
      <c r="BL931" s="114"/>
    </row>
    <row r="932" spans="27:64" ht="19.5" x14ac:dyDescent="0.4">
      <c r="AJ932" s="25"/>
      <c r="AK932" s="13"/>
      <c r="AO932" s="115"/>
      <c r="AP932" s="117"/>
      <c r="AQ932" s="123"/>
      <c r="AR932" s="123"/>
      <c r="AS932" s="123"/>
      <c r="AT932" s="115"/>
      <c r="AU932" s="115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115"/>
      <c r="BF932" s="115"/>
      <c r="BG932" s="115"/>
      <c r="BH932" s="26">
        <v>45279</v>
      </c>
      <c r="BI932" s="25" t="s">
        <v>162</v>
      </c>
      <c r="BL932" s="114"/>
    </row>
    <row r="933" spans="27:64" ht="19.5" x14ac:dyDescent="0.4">
      <c r="AJ933" s="25"/>
      <c r="AK933" s="13"/>
      <c r="AO933" s="115"/>
      <c r="AP933" s="117"/>
      <c r="AQ933" s="123"/>
      <c r="AR933" s="123"/>
      <c r="AS933" s="123"/>
      <c r="AT933" s="115"/>
      <c r="AU933" s="115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115"/>
      <c r="BF933" s="115"/>
      <c r="BG933" s="115"/>
      <c r="BH933" s="26">
        <v>45279</v>
      </c>
      <c r="BI933" s="13" t="s">
        <v>162</v>
      </c>
      <c r="BL933" s="114"/>
    </row>
    <row r="934" spans="27:64" ht="19.5" x14ac:dyDescent="0.4"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20"/>
      <c r="AK934" s="13"/>
      <c r="AO934" s="115"/>
      <c r="AP934" s="117"/>
      <c r="AQ934" s="123"/>
      <c r="AR934" s="123"/>
      <c r="AS934" s="123"/>
      <c r="AT934" s="115"/>
      <c r="AU934" s="115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115"/>
      <c r="BF934" s="115"/>
      <c r="BG934" s="115"/>
      <c r="BH934" s="26"/>
      <c r="BI934" s="13"/>
      <c r="BL934" s="114"/>
    </row>
    <row r="935" spans="27:64" ht="19.5" x14ac:dyDescent="0.4"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20"/>
      <c r="AK935" s="13"/>
      <c r="AO935" s="115"/>
      <c r="AP935" s="117"/>
      <c r="AQ935" s="123"/>
      <c r="AR935" s="123"/>
      <c r="AS935" s="123"/>
      <c r="AT935" s="115"/>
      <c r="AU935" s="115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115"/>
      <c r="BF935" s="115"/>
      <c r="BG935" s="115"/>
      <c r="BH935" s="26"/>
      <c r="BI935" s="13"/>
      <c r="BL935" s="114"/>
    </row>
    <row r="936" spans="27:64" ht="19.5" x14ac:dyDescent="0.4">
      <c r="AJ936" s="26"/>
      <c r="AK936" s="13"/>
      <c r="AO936" s="115"/>
      <c r="AP936" s="117"/>
      <c r="AQ936" s="123"/>
      <c r="AR936" s="123"/>
      <c r="AS936" s="123"/>
      <c r="AT936" s="115"/>
      <c r="AU936" s="115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115"/>
      <c r="BF936" s="115"/>
      <c r="BG936" s="115"/>
      <c r="BH936" s="26">
        <v>45279</v>
      </c>
      <c r="BI936" s="13" t="s">
        <v>162</v>
      </c>
      <c r="BL936" s="114"/>
    </row>
    <row r="937" spans="27:64" ht="19.5" x14ac:dyDescent="0.4">
      <c r="AJ937" s="26"/>
      <c r="AK937" s="13"/>
      <c r="AO937" s="115"/>
      <c r="AP937" s="117"/>
      <c r="AQ937" s="123"/>
      <c r="AR937" s="123"/>
      <c r="AS937" s="123"/>
      <c r="AT937" s="115"/>
      <c r="AU937" s="115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115"/>
      <c r="BF937" s="115"/>
      <c r="BG937" s="115"/>
      <c r="BH937" s="26">
        <v>45279</v>
      </c>
      <c r="BI937" s="13" t="s">
        <v>162</v>
      </c>
      <c r="BL937" s="114"/>
    </row>
    <row r="938" spans="27:64" ht="19.5" x14ac:dyDescent="0.4">
      <c r="AJ938" s="129"/>
      <c r="AK938" s="13"/>
      <c r="AO938" s="115"/>
      <c r="AP938" s="117"/>
      <c r="AQ938" s="123"/>
      <c r="AR938" s="123"/>
      <c r="AS938" s="123"/>
      <c r="AT938" s="115"/>
      <c r="AU938" s="115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115"/>
      <c r="BF938" s="115"/>
      <c r="BG938" s="115"/>
      <c r="BH938" s="26"/>
      <c r="BI938" s="13"/>
      <c r="BL938" s="114"/>
    </row>
    <row r="939" spans="27:64" ht="19.5" x14ac:dyDescent="0.4">
      <c r="AJ939" s="26"/>
      <c r="AK939" s="13"/>
      <c r="AO939" s="115"/>
      <c r="AP939" s="117"/>
      <c r="AQ939" s="123"/>
      <c r="AR939" s="123"/>
      <c r="AS939" s="123"/>
      <c r="AT939" s="115"/>
      <c r="AU939" s="115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115"/>
      <c r="BF939" s="115"/>
      <c r="BG939" s="115"/>
      <c r="BH939" s="26">
        <v>45279</v>
      </c>
      <c r="BI939" s="13" t="s">
        <v>162</v>
      </c>
      <c r="BL939" s="114"/>
    </row>
    <row r="940" spans="27:64" ht="19.5" x14ac:dyDescent="0.4">
      <c r="AJ940" s="26"/>
      <c r="AK940" s="13"/>
      <c r="AO940" s="115"/>
      <c r="AP940" s="117"/>
      <c r="AQ940" s="123"/>
      <c r="AR940" s="123"/>
      <c r="AS940" s="123"/>
      <c r="AT940" s="115"/>
      <c r="AU940" s="115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115"/>
      <c r="BF940" s="115"/>
      <c r="BG940" s="115"/>
      <c r="BH940" s="26">
        <v>45279</v>
      </c>
      <c r="BI940" s="13" t="s">
        <v>162</v>
      </c>
      <c r="BL940" s="114"/>
    </row>
    <row r="941" spans="27:64" ht="19.5" x14ac:dyDescent="0.4">
      <c r="AJ941" s="26"/>
      <c r="AK941" s="13"/>
      <c r="AO941" s="115"/>
      <c r="AP941" s="117"/>
      <c r="AQ941" s="123"/>
      <c r="AR941" s="123"/>
      <c r="AS941" s="123"/>
      <c r="AT941" s="115"/>
      <c r="AU941" s="115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115"/>
      <c r="BF941" s="115"/>
      <c r="BG941" s="115" t="s">
        <v>170</v>
      </c>
      <c r="BH941" s="17">
        <f>SUBTOTAL(3,BH932:BH940)</f>
        <v>6</v>
      </c>
      <c r="BI941" s="13">
        <f>SUBTOTAL(3,BI932:BI940)</f>
        <v>6</v>
      </c>
      <c r="BL941" s="114"/>
    </row>
    <row r="942" spans="27:64" ht="19.5" x14ac:dyDescent="0.4">
      <c r="AJ942" s="129"/>
      <c r="AK942" s="13"/>
      <c r="AO942" s="115"/>
      <c r="AP942" s="117"/>
      <c r="AQ942" s="123"/>
      <c r="AR942" s="123"/>
      <c r="AS942" s="123"/>
      <c r="AT942" s="115"/>
      <c r="AU942" s="115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115"/>
      <c r="BF942" s="115"/>
      <c r="BG942" s="115"/>
      <c r="BH942" s="17"/>
      <c r="BI942" s="13"/>
      <c r="BL942" s="114"/>
    </row>
    <row r="943" spans="27:64" ht="19.5" x14ac:dyDescent="0.4">
      <c r="AJ943" s="26"/>
      <c r="AK943" s="13"/>
      <c r="AO943" s="115"/>
      <c r="AP943" s="117"/>
      <c r="AQ943" s="123"/>
      <c r="AR943" s="123"/>
      <c r="AS943" s="123"/>
      <c r="AT943" s="115"/>
      <c r="AU943" s="115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115"/>
      <c r="BF943" s="115"/>
      <c r="BG943" s="115"/>
      <c r="BH943" s="26">
        <v>45280</v>
      </c>
      <c r="BI943" s="13" t="s">
        <v>162</v>
      </c>
      <c r="BL943" s="114"/>
    </row>
    <row r="944" spans="27:64" ht="19.5" x14ac:dyDescent="0.4">
      <c r="AJ944" s="26"/>
      <c r="AK944" s="13"/>
      <c r="AO944" s="115"/>
      <c r="AP944" s="116"/>
      <c r="AQ944" s="123"/>
      <c r="AR944" s="123"/>
      <c r="AS944" s="123"/>
      <c r="AT944" s="115"/>
      <c r="AU944" s="115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115"/>
      <c r="BF944" s="115"/>
      <c r="BG944" s="115"/>
      <c r="BH944" s="26">
        <v>45280</v>
      </c>
      <c r="BI944" s="13" t="s">
        <v>162</v>
      </c>
      <c r="BL944" s="114"/>
    </row>
    <row r="945" spans="36:64" ht="19.5" x14ac:dyDescent="0.4">
      <c r="AJ945" s="26"/>
      <c r="AK945" s="13"/>
      <c r="AO945" s="115"/>
      <c r="AP945" s="116"/>
      <c r="AQ945" s="123"/>
      <c r="AR945" s="123"/>
      <c r="AS945" s="123"/>
      <c r="AT945" s="115"/>
      <c r="AU945" s="115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115"/>
      <c r="BF945" s="115"/>
      <c r="BG945" s="115"/>
      <c r="BH945" s="26">
        <v>45280</v>
      </c>
      <c r="BI945" s="13" t="s">
        <v>162</v>
      </c>
      <c r="BL945" s="114"/>
    </row>
    <row r="946" spans="36:64" ht="19.5" x14ac:dyDescent="0.4">
      <c r="AJ946" s="26"/>
      <c r="AK946" s="13"/>
      <c r="AO946" s="115"/>
      <c r="AP946" s="116"/>
      <c r="AQ946" s="123"/>
      <c r="AR946" s="123"/>
      <c r="AS946" s="123"/>
      <c r="AT946" s="115"/>
      <c r="AU946" s="115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115"/>
      <c r="BF946" s="115"/>
      <c r="BG946" s="115"/>
      <c r="BH946" s="26">
        <v>45280</v>
      </c>
      <c r="BI946" s="13" t="s">
        <v>162</v>
      </c>
      <c r="BL946" s="114"/>
    </row>
    <row r="947" spans="36:64" ht="19.5" x14ac:dyDescent="0.4">
      <c r="AJ947" s="129"/>
      <c r="AK947" s="13"/>
      <c r="AO947" s="115"/>
      <c r="AP947" s="116"/>
      <c r="AQ947" s="123"/>
      <c r="AR947" s="123"/>
      <c r="AS947" s="123"/>
      <c r="AT947" s="115"/>
      <c r="AU947" s="115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115"/>
      <c r="BF947" s="115"/>
      <c r="BG947" s="115"/>
      <c r="BH947" s="26"/>
      <c r="BI947" s="13"/>
      <c r="BL947" s="114"/>
    </row>
    <row r="948" spans="36:64" ht="19.5" x14ac:dyDescent="0.4">
      <c r="AJ948" s="26"/>
      <c r="AK948" s="13"/>
      <c r="AO948" s="115"/>
      <c r="AP948" s="116"/>
      <c r="AQ948" s="123"/>
      <c r="AR948" s="123"/>
      <c r="AS948" s="123"/>
      <c r="AT948" s="115"/>
      <c r="AU948" s="115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115"/>
      <c r="BF948" s="115"/>
      <c r="BG948" s="115"/>
      <c r="BH948" s="26">
        <v>45280</v>
      </c>
      <c r="BI948" s="13" t="s">
        <v>162</v>
      </c>
      <c r="BL948" s="114"/>
    </row>
    <row r="949" spans="36:64" ht="19.5" x14ac:dyDescent="0.4">
      <c r="AJ949" s="130"/>
      <c r="AK949" s="119"/>
      <c r="AO949" s="115"/>
      <c r="AP949" s="116"/>
      <c r="AQ949" s="123"/>
      <c r="AR949" s="123"/>
      <c r="AS949" s="123"/>
      <c r="AT949" s="115"/>
      <c r="AU949" s="115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115"/>
      <c r="BF949" s="115"/>
      <c r="BG949" s="115"/>
      <c r="BH949" s="26"/>
      <c r="BI949" s="13"/>
      <c r="BL949" s="114"/>
    </row>
    <row r="950" spans="36:64" ht="19.5" x14ac:dyDescent="0.4">
      <c r="AJ950" s="130"/>
      <c r="AK950" s="119"/>
      <c r="AO950" s="115"/>
      <c r="AP950" s="116"/>
      <c r="AQ950" s="123"/>
      <c r="AR950" s="123"/>
      <c r="AS950" s="123"/>
      <c r="AT950" s="115"/>
      <c r="AU950" s="115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115"/>
      <c r="BF950" s="115"/>
      <c r="BG950" s="115"/>
      <c r="BH950" s="26"/>
      <c r="BI950" s="13"/>
      <c r="BL950" s="114"/>
    </row>
    <row r="951" spans="36:64" ht="19.5" x14ac:dyDescent="0.4">
      <c r="AO951" s="115"/>
      <c r="AP951" s="116"/>
      <c r="AQ951" s="123"/>
      <c r="AR951" s="123"/>
      <c r="AS951" s="123"/>
      <c r="AT951" s="115"/>
      <c r="AU951" s="115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115"/>
      <c r="BF951" s="115"/>
      <c r="BG951" s="115"/>
      <c r="BH951" s="26">
        <v>45280</v>
      </c>
      <c r="BI951" s="13" t="s">
        <v>162</v>
      </c>
      <c r="BL951" s="114"/>
    </row>
    <row r="952" spans="36:64" ht="19.5" x14ac:dyDescent="0.4">
      <c r="AO952" s="115"/>
      <c r="AP952" s="116"/>
      <c r="AQ952" s="123"/>
      <c r="AR952" s="123"/>
      <c r="AS952" s="123"/>
      <c r="AT952" s="115"/>
      <c r="AU952" s="115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115"/>
      <c r="BF952" s="115"/>
      <c r="BG952" s="115"/>
      <c r="BH952" s="26">
        <v>45280</v>
      </c>
      <c r="BI952" s="13" t="s">
        <v>162</v>
      </c>
      <c r="BL952" s="114"/>
    </row>
    <row r="953" spans="36:64" ht="19.5" x14ac:dyDescent="0.4">
      <c r="AO953" s="115"/>
      <c r="AP953" s="116"/>
      <c r="AQ953" s="123"/>
      <c r="AR953" s="123"/>
      <c r="AS953" s="123"/>
      <c r="AT953" s="115"/>
      <c r="AU953" s="115"/>
      <c r="AV953" s="115"/>
      <c r="AW953" s="115"/>
      <c r="AX953" s="115"/>
      <c r="AY953" s="115"/>
      <c r="AZ953" s="115"/>
      <c r="BA953" s="115"/>
      <c r="BB953" s="115"/>
      <c r="BC953" s="115"/>
      <c r="BD953" s="115"/>
      <c r="BE953" s="115"/>
      <c r="BF953" s="115"/>
      <c r="BG953" s="115"/>
      <c r="BH953" s="26">
        <v>45280</v>
      </c>
      <c r="BI953" s="13" t="s">
        <v>162</v>
      </c>
      <c r="BL953" s="114"/>
    </row>
    <row r="954" spans="36:64" ht="19.5" x14ac:dyDescent="0.4">
      <c r="AN954" s="115"/>
      <c r="AO954" s="115"/>
      <c r="AP954" s="116"/>
      <c r="AQ954" s="123"/>
      <c r="AR954" s="123"/>
      <c r="AS954" s="123"/>
      <c r="AT954" s="115"/>
      <c r="AU954" s="115"/>
      <c r="AV954" s="115"/>
      <c r="AW954" s="115"/>
      <c r="AX954" s="115"/>
      <c r="AY954" s="115"/>
      <c r="AZ954" s="115"/>
      <c r="BA954" s="115"/>
      <c r="BB954" s="115"/>
      <c r="BC954" s="115"/>
      <c r="BD954" s="115"/>
      <c r="BE954" s="115"/>
      <c r="BF954" s="115"/>
      <c r="BG954" s="115"/>
      <c r="BH954" s="26">
        <v>45280</v>
      </c>
      <c r="BI954" s="13" t="s">
        <v>162</v>
      </c>
      <c r="BL954" s="114"/>
    </row>
    <row r="955" spans="36:64" ht="19.5" x14ac:dyDescent="0.4">
      <c r="AN955" s="115"/>
      <c r="AO955" s="115"/>
      <c r="AP955" s="116"/>
      <c r="AQ955" s="123"/>
      <c r="AR955" s="123"/>
      <c r="AS955" s="123"/>
      <c r="AT955" s="115"/>
      <c r="AU955" s="115"/>
      <c r="AV955" s="115"/>
      <c r="AW955" s="115"/>
      <c r="AX955" s="115"/>
      <c r="AY955" s="115"/>
      <c r="AZ955" s="115"/>
      <c r="BA955" s="115"/>
      <c r="BB955" s="115"/>
      <c r="BC955" s="115"/>
      <c r="BD955" s="115"/>
      <c r="BE955" s="115"/>
      <c r="BF955" s="115"/>
      <c r="BG955" s="115"/>
      <c r="BH955" s="26">
        <v>45280</v>
      </c>
      <c r="BI955" s="13" t="s">
        <v>162</v>
      </c>
      <c r="BL955" s="114"/>
    </row>
    <row r="956" spans="36:64" ht="19.5" x14ac:dyDescent="0.4">
      <c r="AL956" s="115"/>
      <c r="AM956" s="115"/>
      <c r="AN956" s="115"/>
      <c r="AO956" s="115"/>
      <c r="AP956" s="116"/>
      <c r="AQ956" s="123"/>
      <c r="AR956" s="123"/>
      <c r="AS956" s="123"/>
      <c r="AT956" s="115"/>
      <c r="AU956" s="115"/>
      <c r="AV956" s="115"/>
      <c r="AW956" s="115"/>
      <c r="AX956" s="115"/>
      <c r="AY956" s="115"/>
      <c r="AZ956" s="115"/>
      <c r="BA956" s="115"/>
      <c r="BB956" s="115"/>
      <c r="BC956" s="115"/>
      <c r="BD956" s="115"/>
      <c r="BE956" s="115"/>
      <c r="BF956" s="115"/>
      <c r="BG956" s="115"/>
      <c r="BH956" s="26">
        <v>45280</v>
      </c>
      <c r="BI956" s="13" t="s">
        <v>162</v>
      </c>
      <c r="BL956" s="114"/>
    </row>
    <row r="957" spans="36:64" x14ac:dyDescent="0.4">
      <c r="AL957" s="115"/>
      <c r="AM957" s="115"/>
      <c r="AN957" s="115"/>
      <c r="AO957" s="115"/>
      <c r="AP957" s="115"/>
      <c r="AQ957" s="122"/>
      <c r="AR957" s="122"/>
      <c r="AS957" s="122"/>
      <c r="AT957" s="115"/>
      <c r="AU957" s="115"/>
      <c r="AV957" s="115"/>
      <c r="AW957" s="115"/>
      <c r="AX957" s="115"/>
      <c r="AY957" s="115"/>
      <c r="AZ957" s="115"/>
      <c r="BA957" s="115"/>
      <c r="BB957" s="115"/>
      <c r="BC957" s="115"/>
      <c r="BD957" s="115"/>
      <c r="BE957" s="115"/>
      <c r="BF957" s="115"/>
      <c r="BG957" s="115"/>
      <c r="BH957" s="26">
        <v>45280</v>
      </c>
      <c r="BI957" s="13" t="s">
        <v>162</v>
      </c>
      <c r="BL957" s="114"/>
    </row>
    <row r="958" spans="36:64" x14ac:dyDescent="0.4">
      <c r="AL958" s="115"/>
      <c r="AM958" s="115"/>
      <c r="AN958" s="115"/>
      <c r="AO958" s="115"/>
      <c r="AP958" s="115"/>
      <c r="AQ958" s="122"/>
      <c r="AR958" s="122"/>
      <c r="AS958" s="122"/>
      <c r="AT958" s="115"/>
      <c r="AU958" s="115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115"/>
      <c r="BF958" s="115"/>
      <c r="BG958" s="115"/>
      <c r="BH958" s="26">
        <v>45280</v>
      </c>
      <c r="BI958" s="13" t="s">
        <v>162</v>
      </c>
      <c r="BL958" s="114"/>
    </row>
    <row r="959" spans="36:64" x14ac:dyDescent="0.4">
      <c r="AL959" s="115"/>
      <c r="AM959" s="115"/>
      <c r="AN959" s="115"/>
      <c r="AO959" s="115"/>
      <c r="AP959" s="115"/>
      <c r="AQ959" s="122"/>
      <c r="AR959" s="122"/>
      <c r="AS959" s="122"/>
      <c r="AT959" s="115"/>
      <c r="AU959" s="115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115"/>
      <c r="BF959" s="115"/>
      <c r="BG959" s="115" t="s">
        <v>171</v>
      </c>
      <c r="BH959" s="17">
        <f>SUBTOTAL(3,BH943:BH958)</f>
        <v>13</v>
      </c>
      <c r="BI959" s="13">
        <f>SUBTOTAL(3,BI943:BI958)</f>
        <v>13</v>
      </c>
      <c r="BL959" s="114"/>
    </row>
    <row r="960" spans="36:64" x14ac:dyDescent="0.4">
      <c r="AL960" s="115"/>
      <c r="AM960" s="115"/>
      <c r="AN960" s="115"/>
      <c r="AO960" s="115"/>
      <c r="AP960" s="115"/>
      <c r="AQ960" s="122"/>
      <c r="AR960" s="122"/>
      <c r="AS960" s="122"/>
      <c r="AT960" s="115"/>
      <c r="AU960" s="115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115"/>
      <c r="BF960" s="115"/>
      <c r="BG960" s="115"/>
      <c r="BH960" s="26">
        <v>45283</v>
      </c>
      <c r="BI960" s="13" t="s">
        <v>162</v>
      </c>
      <c r="BL960" s="114"/>
    </row>
    <row r="961" spans="38:64" x14ac:dyDescent="0.4">
      <c r="AL961" s="115"/>
      <c r="AM961" s="115"/>
      <c r="AN961" s="115"/>
      <c r="AO961" s="115"/>
      <c r="AP961" s="115"/>
      <c r="AQ961" s="122"/>
      <c r="AR961" s="122"/>
      <c r="AS961" s="122"/>
      <c r="AT961" s="115"/>
      <c r="AU961" s="115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115"/>
      <c r="BF961" s="115"/>
      <c r="BG961" s="115"/>
      <c r="BH961" s="26">
        <v>45283</v>
      </c>
      <c r="BI961" s="13" t="s">
        <v>162</v>
      </c>
      <c r="BL961" s="114"/>
    </row>
    <row r="962" spans="38:64" x14ac:dyDescent="0.4">
      <c r="AL962" s="115"/>
      <c r="AM962" s="115"/>
      <c r="AN962" s="115"/>
      <c r="AO962" s="115"/>
      <c r="AP962" s="115"/>
      <c r="AQ962" s="122"/>
      <c r="AR962" s="122"/>
      <c r="AS962" s="122"/>
      <c r="AT962" s="115"/>
      <c r="AU962" s="115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115"/>
      <c r="BF962" s="115"/>
      <c r="BG962" s="115"/>
      <c r="BH962" s="26">
        <v>45283</v>
      </c>
      <c r="BI962" s="13" t="s">
        <v>162</v>
      </c>
      <c r="BL962" s="114"/>
    </row>
    <row r="963" spans="38:64" x14ac:dyDescent="0.4">
      <c r="AL963" s="115"/>
      <c r="AM963" s="115"/>
      <c r="AN963" s="115"/>
      <c r="AO963" s="115"/>
      <c r="AP963" s="115"/>
      <c r="AQ963" s="122"/>
      <c r="AR963" s="122"/>
      <c r="AS963" s="122"/>
      <c r="AT963" s="115"/>
      <c r="AU963" s="115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115"/>
      <c r="BF963" s="115"/>
      <c r="BG963" s="115"/>
      <c r="BH963" s="26">
        <v>45283</v>
      </c>
      <c r="BI963" s="13" t="s">
        <v>162</v>
      </c>
      <c r="BL963" s="114"/>
    </row>
    <row r="964" spans="38:64" x14ac:dyDescent="0.4">
      <c r="AL964" s="115"/>
      <c r="AM964" s="115"/>
      <c r="AN964" s="115"/>
      <c r="AO964" s="115"/>
      <c r="AP964" s="115"/>
      <c r="AQ964" s="122"/>
      <c r="AR964" s="122"/>
      <c r="AS964" s="122"/>
      <c r="AT964" s="115"/>
      <c r="AU964" s="115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115"/>
      <c r="BF964" s="115"/>
      <c r="BG964" s="115"/>
      <c r="BH964" s="26">
        <v>45283</v>
      </c>
      <c r="BI964" s="13" t="s">
        <v>162</v>
      </c>
      <c r="BL964" s="114"/>
    </row>
    <row r="965" spans="38:64" x14ac:dyDescent="0.4">
      <c r="AL965" s="115"/>
      <c r="AM965" s="115"/>
      <c r="AN965" s="115"/>
      <c r="AO965" s="115"/>
      <c r="AP965" s="115"/>
      <c r="AQ965" s="122"/>
      <c r="AR965" s="122"/>
      <c r="AS965" s="122"/>
      <c r="AT965" s="115"/>
      <c r="AU965" s="115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115"/>
      <c r="BF965" s="115"/>
      <c r="BG965" s="115"/>
      <c r="BH965" s="26">
        <v>45283</v>
      </c>
      <c r="BI965" s="13" t="s">
        <v>162</v>
      </c>
      <c r="BL965" s="114"/>
    </row>
    <row r="966" spans="38:64" x14ac:dyDescent="0.4">
      <c r="AL966" s="115"/>
      <c r="AM966" s="115"/>
      <c r="AN966" s="115"/>
      <c r="AO966" s="115"/>
      <c r="AP966" s="115"/>
      <c r="AQ966" s="122"/>
      <c r="AR966" s="122"/>
      <c r="AS966" s="122"/>
      <c r="AT966" s="115"/>
      <c r="AU966" s="115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115"/>
      <c r="BF966" s="115"/>
      <c r="BG966" s="115"/>
      <c r="BH966" s="26">
        <v>45283</v>
      </c>
      <c r="BI966" s="13" t="s">
        <v>162</v>
      </c>
      <c r="BL966" s="114"/>
    </row>
    <row r="967" spans="38:64" x14ac:dyDescent="0.4">
      <c r="AL967" s="115"/>
      <c r="AM967" s="115"/>
      <c r="AN967" s="115"/>
      <c r="AO967" s="115"/>
      <c r="AP967" s="115"/>
      <c r="AQ967" s="122"/>
      <c r="AR967" s="122"/>
      <c r="AS967" s="122"/>
      <c r="AT967" s="115"/>
      <c r="AU967" s="115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115"/>
      <c r="BF967" s="115"/>
      <c r="BG967" s="115"/>
      <c r="BH967" s="26">
        <v>45283</v>
      </c>
      <c r="BI967" s="13" t="s">
        <v>162</v>
      </c>
      <c r="BL967" s="114"/>
    </row>
    <row r="968" spans="38:64" x14ac:dyDescent="0.4">
      <c r="AL968" s="115"/>
      <c r="AM968" s="115"/>
      <c r="AN968" s="115"/>
      <c r="AO968" s="115"/>
      <c r="AP968" s="115"/>
      <c r="AQ968" s="122"/>
      <c r="AR968" s="122"/>
      <c r="AS968" s="122"/>
      <c r="AT968" s="115"/>
      <c r="AU968" s="115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115"/>
      <c r="BF968" s="115"/>
      <c r="BG968" s="115"/>
      <c r="BH968" s="26">
        <v>45283</v>
      </c>
      <c r="BI968" s="13" t="s">
        <v>162</v>
      </c>
      <c r="BL968" s="114"/>
    </row>
    <row r="969" spans="38:64" x14ac:dyDescent="0.4">
      <c r="AL969" s="115"/>
      <c r="AM969" s="115"/>
      <c r="AN969" s="115"/>
      <c r="AO969" s="115"/>
      <c r="AP969" s="115"/>
      <c r="AQ969" s="122"/>
      <c r="AR969" s="122"/>
      <c r="AS969" s="122"/>
      <c r="AT969" s="115"/>
      <c r="AU969" s="115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115"/>
      <c r="BF969" s="115"/>
      <c r="BG969" s="115"/>
      <c r="BH969" s="26">
        <v>45283</v>
      </c>
      <c r="BI969" s="13" t="s">
        <v>162</v>
      </c>
      <c r="BL969" s="114"/>
    </row>
    <row r="970" spans="38:64" x14ac:dyDescent="0.4">
      <c r="AL970" s="115"/>
      <c r="AM970" s="115"/>
      <c r="AN970" s="115"/>
      <c r="AO970" s="115"/>
      <c r="AP970" s="115"/>
      <c r="AQ970" s="122"/>
      <c r="AR970" s="122"/>
      <c r="AS970" s="122"/>
      <c r="AT970" s="115"/>
      <c r="AU970" s="115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115"/>
      <c r="BF970" s="115"/>
      <c r="BG970" s="115"/>
      <c r="BH970" s="26">
        <v>45283</v>
      </c>
      <c r="BI970" s="13" t="s">
        <v>163</v>
      </c>
      <c r="BL970" s="114"/>
    </row>
    <row r="971" spans="38:64" x14ac:dyDescent="0.4">
      <c r="AL971" s="115"/>
      <c r="AM971" s="115"/>
      <c r="AN971" s="115"/>
      <c r="AO971" s="115"/>
      <c r="AP971" s="115"/>
      <c r="AQ971" s="122"/>
      <c r="AR971" s="122"/>
      <c r="AS971" s="122"/>
      <c r="AT971" s="115"/>
      <c r="AU971" s="115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115"/>
      <c r="BF971" s="115"/>
      <c r="BG971" s="115"/>
      <c r="BH971" s="26">
        <v>45283</v>
      </c>
      <c r="BI971" s="13" t="s">
        <v>163</v>
      </c>
      <c r="BL971" s="114"/>
    </row>
    <row r="972" spans="38:64" x14ac:dyDescent="0.4">
      <c r="AL972" s="115"/>
      <c r="AM972" s="115"/>
      <c r="AN972" s="115"/>
      <c r="AO972" s="115"/>
      <c r="AP972" s="115"/>
      <c r="AQ972" s="122"/>
      <c r="AR972" s="122"/>
      <c r="AS972" s="122"/>
      <c r="AT972" s="115"/>
      <c r="AU972" s="115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115"/>
      <c r="BF972" s="115"/>
      <c r="BG972" s="115"/>
      <c r="BH972" s="26">
        <v>45283</v>
      </c>
      <c r="BI972" s="13" t="s">
        <v>163</v>
      </c>
      <c r="BL972" s="114"/>
    </row>
    <row r="973" spans="38:64" x14ac:dyDescent="0.4">
      <c r="AL973" s="115"/>
      <c r="AM973" s="115"/>
      <c r="AN973" s="115"/>
      <c r="AO973" s="115"/>
      <c r="AP973" s="115"/>
      <c r="AQ973" s="122"/>
      <c r="AR973" s="122"/>
      <c r="AS973" s="122"/>
      <c r="AT973" s="115"/>
      <c r="AU973" s="115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115"/>
      <c r="BF973" s="115"/>
      <c r="BG973" s="115" t="s">
        <v>161</v>
      </c>
      <c r="BH973" s="17">
        <f>SUBTOTAL(3,BH960:BH972)</f>
        <v>13</v>
      </c>
      <c r="BI973" s="13">
        <f>SUBTOTAL(3,BI960:BI972)</f>
        <v>13</v>
      </c>
      <c r="BL973" s="114"/>
    </row>
    <row r="974" spans="38:64" x14ac:dyDescent="0.4">
      <c r="AL974" s="115"/>
      <c r="AM974" s="115"/>
      <c r="AN974" s="115"/>
      <c r="AO974" s="115"/>
      <c r="AP974" s="115"/>
      <c r="AQ974" s="122"/>
      <c r="AR974" s="122"/>
      <c r="AS974" s="122"/>
      <c r="AT974" s="115"/>
      <c r="AU974" s="115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115"/>
      <c r="BF974" s="115"/>
      <c r="BG974" s="115"/>
      <c r="BH974" s="26">
        <v>45285</v>
      </c>
      <c r="BI974" s="13" t="s">
        <v>163</v>
      </c>
      <c r="BL974" s="114"/>
    </row>
    <row r="975" spans="38:64" x14ac:dyDescent="0.4">
      <c r="AL975" s="115"/>
      <c r="AM975" s="115"/>
      <c r="AN975" s="115"/>
      <c r="AO975" s="115"/>
      <c r="AP975" s="115"/>
      <c r="AQ975" s="122"/>
      <c r="AR975" s="122"/>
      <c r="AS975" s="122"/>
      <c r="AT975" s="115"/>
      <c r="AU975" s="115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115"/>
      <c r="BF975" s="115"/>
      <c r="BG975" s="115" t="s">
        <v>172</v>
      </c>
      <c r="BH975" s="17">
        <f>SUBTOTAL(3,BH974:BH974)</f>
        <v>1</v>
      </c>
      <c r="BI975" s="13">
        <f>SUBTOTAL(3,BI974:BI974)</f>
        <v>1</v>
      </c>
      <c r="BL975" s="114"/>
    </row>
    <row r="976" spans="38:64" x14ac:dyDescent="0.4">
      <c r="AL976" s="115"/>
      <c r="AM976" s="115"/>
      <c r="AN976" s="115"/>
      <c r="AO976" s="115"/>
      <c r="AP976" s="115"/>
      <c r="AQ976" s="122"/>
      <c r="AR976" s="122"/>
      <c r="AS976" s="122"/>
      <c r="AT976" s="115"/>
      <c r="AU976" s="115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115"/>
      <c r="BF976" s="115"/>
      <c r="BG976" s="115"/>
      <c r="BH976" s="26">
        <v>45299</v>
      </c>
      <c r="BI976" s="13" t="s">
        <v>164</v>
      </c>
      <c r="BL976" s="114"/>
    </row>
    <row r="977" spans="38:64" x14ac:dyDescent="0.4">
      <c r="AL977" s="115"/>
      <c r="AM977" s="115"/>
      <c r="AN977" s="115"/>
      <c r="AO977" s="115"/>
      <c r="AP977" s="115"/>
      <c r="AQ977" s="122"/>
      <c r="AR977" s="122"/>
      <c r="AS977" s="122"/>
      <c r="AT977" s="115"/>
      <c r="AU977" s="115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115"/>
      <c r="BF977" s="115"/>
      <c r="BG977" s="115"/>
      <c r="BH977" s="26">
        <v>45299</v>
      </c>
      <c r="BI977" s="13" t="s">
        <v>162</v>
      </c>
      <c r="BL977" s="114"/>
    </row>
    <row r="978" spans="38:64" x14ac:dyDescent="0.4">
      <c r="AL978" s="115"/>
      <c r="AM978" s="115"/>
      <c r="AN978" s="115"/>
      <c r="AO978" s="115"/>
      <c r="AP978" s="115"/>
      <c r="AQ978" s="122"/>
      <c r="AR978" s="122"/>
      <c r="AS978" s="122"/>
      <c r="AT978" s="115"/>
      <c r="AU978" s="115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115"/>
      <c r="BF978" s="115"/>
      <c r="BG978" s="115"/>
      <c r="BH978" s="26">
        <v>45299</v>
      </c>
      <c r="BI978" s="13" t="s">
        <v>162</v>
      </c>
      <c r="BL978" s="114"/>
    </row>
    <row r="979" spans="38:64" x14ac:dyDescent="0.4">
      <c r="AL979" s="115"/>
      <c r="AM979" s="115"/>
      <c r="AN979" s="115"/>
      <c r="AO979" s="115"/>
      <c r="AP979" s="115"/>
      <c r="AQ979" s="122"/>
      <c r="AR979" s="122"/>
      <c r="AS979" s="122"/>
      <c r="AT979" s="115"/>
      <c r="AU979" s="115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115"/>
      <c r="BF979" s="115"/>
      <c r="BG979" s="115"/>
      <c r="BH979" s="26">
        <v>45299</v>
      </c>
      <c r="BI979" s="15" t="s">
        <v>162</v>
      </c>
      <c r="BL979" s="114"/>
    </row>
    <row r="980" spans="38:64" x14ac:dyDescent="0.4">
      <c r="AL980" s="115"/>
      <c r="AM980" s="115"/>
      <c r="AN980" s="115"/>
      <c r="AO980" s="115"/>
      <c r="AP980" s="115"/>
      <c r="AQ980" s="122"/>
      <c r="AR980" s="122"/>
      <c r="AS980" s="122"/>
      <c r="AT980" s="115"/>
      <c r="AU980" s="115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115"/>
      <c r="BF980" s="115"/>
      <c r="BG980" s="115" t="s">
        <v>173</v>
      </c>
      <c r="BH980" s="17">
        <f>SUBTOTAL(3,BH976:BH979)</f>
        <v>4</v>
      </c>
      <c r="BI980" s="13">
        <f>SUBTOTAL(3,BI976:BI979)</f>
        <v>4</v>
      </c>
      <c r="BL980" s="114"/>
    </row>
    <row r="981" spans="38:64" x14ac:dyDescent="0.4">
      <c r="AL981" s="115"/>
      <c r="AM981" s="115"/>
      <c r="AN981" s="115"/>
      <c r="AO981" s="115"/>
      <c r="AP981" s="115"/>
      <c r="AQ981" s="122"/>
      <c r="AR981" s="122"/>
      <c r="AS981" s="122"/>
      <c r="AT981" s="115"/>
      <c r="AU981" s="115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115"/>
      <c r="BF981" s="115"/>
      <c r="BG981" s="115" t="s">
        <v>145</v>
      </c>
      <c r="BH981" s="17">
        <f>SUBTOTAL(3,BH2:BH979)</f>
        <v>136</v>
      </c>
      <c r="BI981" s="13">
        <f>SUBTOTAL(3,BI2:BI979)</f>
        <v>136</v>
      </c>
      <c r="BL981" s="114"/>
    </row>
    <row r="982" spans="38:64" x14ac:dyDescent="0.4">
      <c r="AL982" s="115"/>
      <c r="AM982" s="115"/>
      <c r="AN982" s="115"/>
      <c r="AO982" s="115"/>
      <c r="AP982" s="115"/>
      <c r="AQ982" s="122"/>
      <c r="AR982" s="122"/>
      <c r="AS982" s="122"/>
      <c r="AT982" s="115"/>
      <c r="AU982" s="115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115" t="s">
        <v>145</v>
      </c>
      <c r="BF982" s="115"/>
      <c r="BG982" s="115"/>
      <c r="BH982" s="26"/>
      <c r="BI982" s="13"/>
      <c r="BL982" s="114"/>
    </row>
    <row r="983" spans="38:64" x14ac:dyDescent="0.4">
      <c r="AL983" s="115"/>
      <c r="AM983" s="115"/>
      <c r="AN983" s="115"/>
      <c r="AO983" s="115"/>
      <c r="AP983" s="115"/>
      <c r="AQ983" s="122"/>
      <c r="AR983" s="122"/>
      <c r="AS983" s="122"/>
      <c r="AT983" s="115"/>
      <c r="AU983" s="115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115"/>
      <c r="BF983" s="115"/>
      <c r="BG983" s="115"/>
      <c r="BH983" s="17"/>
      <c r="BI983" s="13"/>
      <c r="BL983" s="114"/>
    </row>
    <row r="984" spans="38:64" x14ac:dyDescent="0.4">
      <c r="AL984" s="115"/>
      <c r="AM984" s="115"/>
      <c r="AN984" s="115"/>
      <c r="AO984" s="115"/>
      <c r="AP984" s="115"/>
      <c r="AQ984" s="122"/>
      <c r="AR984" s="122"/>
      <c r="AS984" s="122"/>
      <c r="AT984" s="115"/>
      <c r="AU984" s="115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115"/>
      <c r="BF984" s="115"/>
      <c r="BG984" s="115"/>
      <c r="BH984" s="26"/>
      <c r="BI984" s="13"/>
      <c r="BL984" s="114"/>
    </row>
    <row r="985" spans="38:64" x14ac:dyDescent="0.4">
      <c r="AL985" s="115"/>
      <c r="AM985" s="115"/>
      <c r="AN985" s="115"/>
      <c r="AO985" s="115"/>
      <c r="AP985" s="115"/>
      <c r="AQ985" s="122"/>
      <c r="AR985" s="122"/>
      <c r="AS985" s="122"/>
      <c r="AT985" s="115"/>
      <c r="AU985" s="115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115"/>
      <c r="BF985" s="115"/>
      <c r="BG985" s="115"/>
      <c r="BH985" s="17"/>
      <c r="BI985" s="13"/>
      <c r="BL985" s="114"/>
    </row>
    <row r="986" spans="38:64" x14ac:dyDescent="0.4">
      <c r="AL986" s="115"/>
      <c r="AM986" s="115"/>
      <c r="AN986" s="115"/>
      <c r="AO986" s="115"/>
      <c r="AP986" s="115"/>
      <c r="AQ986" s="122"/>
      <c r="AR986" s="122"/>
      <c r="AS986" s="122"/>
      <c r="AT986" s="115"/>
      <c r="AU986" s="115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115"/>
      <c r="BF986" s="115"/>
      <c r="BG986" s="115"/>
      <c r="BH986" s="26"/>
      <c r="BI986" s="13"/>
      <c r="BL986" s="114"/>
    </row>
    <row r="987" spans="38:64" x14ac:dyDescent="0.4">
      <c r="AL987" s="115"/>
      <c r="AM987" s="115"/>
      <c r="AN987" s="115"/>
      <c r="AO987" s="115"/>
      <c r="AP987" s="115"/>
      <c r="AQ987" s="122"/>
      <c r="AR987" s="122"/>
      <c r="AS987" s="122"/>
      <c r="AT987" s="115"/>
      <c r="AU987" s="115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115"/>
      <c r="BF987" s="115"/>
      <c r="BG987" s="115"/>
      <c r="BH987" s="26"/>
      <c r="BI987" s="13"/>
      <c r="BL987" s="114"/>
    </row>
    <row r="988" spans="38:64" x14ac:dyDescent="0.4">
      <c r="AL988" s="115"/>
      <c r="AM988" s="115"/>
      <c r="AN988" s="115"/>
      <c r="AO988" s="115"/>
      <c r="AP988" s="115"/>
      <c r="AQ988" s="122"/>
      <c r="AR988" s="122"/>
      <c r="AS988" s="122"/>
      <c r="AT988" s="115"/>
      <c r="AU988" s="115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115"/>
      <c r="BF988" s="115"/>
      <c r="BG988" s="115"/>
      <c r="BH988" s="26"/>
      <c r="BI988" s="13"/>
      <c r="BL988" s="114"/>
    </row>
    <row r="989" spans="38:64" x14ac:dyDescent="0.4">
      <c r="AL989" s="115"/>
      <c r="AM989" s="115"/>
      <c r="AN989" s="115"/>
      <c r="AO989" s="115"/>
      <c r="AP989" s="115"/>
      <c r="AQ989" s="122"/>
      <c r="AR989" s="122"/>
      <c r="AS989" s="122"/>
      <c r="AT989" s="115"/>
      <c r="AU989" s="115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115"/>
      <c r="BF989" s="115"/>
      <c r="BG989" s="115"/>
      <c r="BH989" s="17"/>
      <c r="BI989" s="13"/>
      <c r="BL989" s="114"/>
    </row>
    <row r="990" spans="38:64" x14ac:dyDescent="0.4">
      <c r="AL990" s="115"/>
      <c r="AM990" s="115"/>
      <c r="AN990" s="115"/>
      <c r="AO990" s="115"/>
      <c r="AP990" s="115"/>
      <c r="AQ990" s="122"/>
      <c r="AR990" s="122"/>
      <c r="AS990" s="122"/>
      <c r="AT990" s="115"/>
      <c r="AU990" s="115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115"/>
      <c r="BF990" s="115"/>
      <c r="BG990" s="115"/>
      <c r="BH990" s="26"/>
      <c r="BI990" s="13"/>
      <c r="BL990" s="114"/>
    </row>
    <row r="991" spans="38:64" x14ac:dyDescent="0.4">
      <c r="AL991" s="115"/>
      <c r="AM991" s="115"/>
      <c r="AN991" s="115"/>
      <c r="AO991" s="115"/>
      <c r="AP991" s="115"/>
      <c r="AQ991" s="122"/>
      <c r="AR991" s="122"/>
      <c r="AS991" s="122"/>
      <c r="AT991" s="115"/>
      <c r="AU991" s="115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115"/>
      <c r="BF991" s="115"/>
      <c r="BG991" s="115"/>
      <c r="BH991" s="17"/>
      <c r="BI991" s="13"/>
      <c r="BL991" s="114"/>
    </row>
    <row r="992" spans="38:64" x14ac:dyDescent="0.4">
      <c r="AL992" s="115"/>
      <c r="AM992" s="115"/>
      <c r="AN992" s="115"/>
      <c r="AO992" s="115"/>
      <c r="AP992" s="115"/>
      <c r="AQ992" s="122"/>
      <c r="AR992" s="122"/>
      <c r="AS992" s="122"/>
      <c r="AT992" s="115"/>
      <c r="AU992" s="115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115"/>
      <c r="BF992" s="115"/>
      <c r="BG992" s="115"/>
      <c r="BH992" s="26"/>
      <c r="BI992" s="13"/>
      <c r="BL992" s="114"/>
    </row>
    <row r="993" spans="38:64" x14ac:dyDescent="0.4">
      <c r="AL993" s="115"/>
      <c r="AM993" s="115"/>
      <c r="AN993" s="115"/>
      <c r="AO993" s="115"/>
      <c r="AP993" s="115"/>
      <c r="AQ993" s="122"/>
      <c r="AR993" s="122"/>
      <c r="AS993" s="122"/>
      <c r="AT993" s="115"/>
      <c r="AU993" s="115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115"/>
      <c r="BF993" s="115"/>
      <c r="BG993" s="115"/>
      <c r="BH993" s="17"/>
      <c r="BI993" s="13"/>
      <c r="BL993" s="114"/>
    </row>
    <row r="994" spans="38:64" x14ac:dyDescent="0.4">
      <c r="AL994" s="115"/>
      <c r="AM994" s="115"/>
      <c r="AN994" s="115"/>
      <c r="AO994" s="115"/>
      <c r="AP994" s="115"/>
      <c r="AQ994" s="122"/>
      <c r="AR994" s="122"/>
      <c r="AS994" s="122"/>
      <c r="AT994" s="115"/>
      <c r="AU994" s="115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115"/>
      <c r="BF994" s="115"/>
      <c r="BG994" s="115"/>
      <c r="BH994" s="17"/>
      <c r="BI994" s="13"/>
      <c r="BL994" s="114"/>
    </row>
    <row r="995" spans="38:64" x14ac:dyDescent="0.4">
      <c r="AL995" s="115"/>
      <c r="AM995" s="115"/>
      <c r="AN995" s="115"/>
      <c r="AO995" s="115"/>
      <c r="AP995" s="115"/>
      <c r="AQ995" s="122"/>
      <c r="AR995" s="122"/>
      <c r="AS995" s="122"/>
      <c r="AT995" s="115"/>
      <c r="AU995" s="115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115"/>
      <c r="BF995" s="115"/>
      <c r="BG995" s="115"/>
      <c r="BH995" s="17"/>
      <c r="BI995" s="13"/>
      <c r="BL995" s="114"/>
    </row>
    <row r="996" spans="38:64" x14ac:dyDescent="0.4">
      <c r="AL996" s="115"/>
      <c r="AM996" s="115"/>
      <c r="AN996" s="115"/>
      <c r="AO996" s="115"/>
      <c r="AP996" s="115"/>
      <c r="AQ996" s="122"/>
      <c r="AR996" s="122"/>
      <c r="AS996" s="122"/>
      <c r="AT996" s="115"/>
      <c r="AU996" s="115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115"/>
      <c r="BF996" s="115"/>
      <c r="BG996" s="115"/>
      <c r="BH996" s="26"/>
      <c r="BI996" s="13"/>
      <c r="BL996" s="114"/>
    </row>
    <row r="997" spans="38:64" x14ac:dyDescent="0.4">
      <c r="AL997" s="115"/>
      <c r="AM997" s="115"/>
      <c r="AN997" s="115"/>
      <c r="AO997" s="115"/>
      <c r="AP997" s="115"/>
      <c r="AQ997" s="122"/>
      <c r="AR997" s="122"/>
      <c r="AS997" s="122"/>
      <c r="AT997" s="115"/>
      <c r="AU997" s="115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115"/>
      <c r="BF997" s="115"/>
      <c r="BG997" s="115"/>
      <c r="BH997" s="17"/>
      <c r="BI997" s="13"/>
      <c r="BL997" s="114"/>
    </row>
    <row r="998" spans="38:64" x14ac:dyDescent="0.4">
      <c r="AL998" s="115"/>
      <c r="AM998" s="115"/>
      <c r="AN998" s="115"/>
      <c r="AO998" s="115"/>
      <c r="AP998" s="115"/>
      <c r="AQ998" s="122"/>
      <c r="AR998" s="122"/>
      <c r="AS998" s="122"/>
      <c r="AT998" s="115"/>
      <c r="AU998" s="115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115"/>
      <c r="BF998" s="115"/>
      <c r="BG998" s="115"/>
      <c r="BH998" s="26"/>
      <c r="BI998" s="13"/>
      <c r="BL998" s="114"/>
    </row>
    <row r="999" spans="38:64" x14ac:dyDescent="0.4">
      <c r="AL999" s="115"/>
      <c r="AM999" s="115"/>
      <c r="AN999" s="115"/>
      <c r="AO999" s="115"/>
      <c r="AP999" s="115"/>
      <c r="AQ999" s="122"/>
      <c r="AR999" s="122"/>
      <c r="AS999" s="122"/>
      <c r="AT999" s="115"/>
      <c r="AU999" s="115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115"/>
      <c r="BF999" s="115"/>
      <c r="BG999" s="115"/>
      <c r="BH999" s="17"/>
      <c r="BI999" s="13"/>
      <c r="BL999" s="114"/>
    </row>
    <row r="1000" spans="38:64" x14ac:dyDescent="0.4">
      <c r="AL1000" s="115"/>
      <c r="AM1000" s="115"/>
      <c r="AN1000" s="115"/>
      <c r="AO1000" s="115"/>
      <c r="AP1000" s="115"/>
      <c r="AQ1000" s="122"/>
      <c r="AR1000" s="122"/>
      <c r="AS1000" s="122"/>
      <c r="AT1000" s="115"/>
      <c r="AU1000" s="115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115"/>
      <c r="BF1000" s="115"/>
      <c r="BG1000" s="115"/>
      <c r="BH1000" s="26"/>
      <c r="BI1000" s="25"/>
      <c r="BL1000" s="114"/>
    </row>
    <row r="1001" spans="38:64" x14ac:dyDescent="0.4">
      <c r="AL1001" s="115"/>
      <c r="AM1001" s="115"/>
      <c r="AN1001" s="115"/>
      <c r="AO1001" s="115"/>
      <c r="AP1001" s="115"/>
      <c r="AQ1001" s="122"/>
      <c r="AR1001" s="122"/>
      <c r="AS1001" s="122"/>
      <c r="AT1001" s="115"/>
      <c r="AU1001" s="115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115"/>
      <c r="BF1001" s="115"/>
      <c r="BG1001" s="115"/>
      <c r="BH1001" s="17"/>
      <c r="BI1001" s="13"/>
      <c r="BL1001" s="114"/>
    </row>
    <row r="1002" spans="38:64" x14ac:dyDescent="0.4">
      <c r="AL1002" s="115"/>
      <c r="AM1002" s="115"/>
      <c r="AN1002" s="115"/>
      <c r="AO1002" s="115"/>
      <c r="AP1002" s="115"/>
      <c r="AQ1002" s="122"/>
      <c r="AR1002" s="122"/>
      <c r="AS1002" s="122"/>
      <c r="AT1002" s="115"/>
      <c r="AU1002" s="115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115"/>
      <c r="BF1002" s="115"/>
      <c r="BG1002" s="115"/>
      <c r="BH1002" s="17"/>
      <c r="BI1002" s="13"/>
      <c r="BL1002" s="114"/>
    </row>
    <row r="1003" spans="38:64" x14ac:dyDescent="0.4">
      <c r="AL1003" s="115"/>
      <c r="AM1003" s="115"/>
      <c r="AN1003" s="115"/>
      <c r="AO1003" s="115"/>
      <c r="AP1003" s="115"/>
      <c r="AQ1003" s="122"/>
      <c r="AR1003" s="122"/>
      <c r="AS1003" s="122"/>
      <c r="AT1003" s="115"/>
      <c r="AU1003" s="115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115"/>
      <c r="BF1003" s="115"/>
      <c r="BG1003" s="115"/>
      <c r="BH1003" s="26"/>
      <c r="BI1003" s="15"/>
      <c r="BL1003" s="114"/>
    </row>
    <row r="1004" spans="38:64" x14ac:dyDescent="0.4">
      <c r="AL1004" s="115"/>
      <c r="AM1004" s="115"/>
      <c r="AN1004" s="115"/>
      <c r="AO1004" s="115"/>
      <c r="AP1004" s="115"/>
      <c r="AQ1004" s="122"/>
      <c r="AR1004" s="122"/>
      <c r="AS1004" s="122"/>
      <c r="AT1004" s="115"/>
      <c r="AU1004" s="115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115"/>
      <c r="BF1004" s="115"/>
      <c r="BG1004" s="115"/>
      <c r="BH1004" s="26"/>
      <c r="BI1004" s="15"/>
      <c r="BL1004" s="114"/>
    </row>
    <row r="1005" spans="38:64" x14ac:dyDescent="0.4">
      <c r="AL1005" s="115"/>
      <c r="AM1005" s="115"/>
      <c r="AN1005" s="115"/>
      <c r="AO1005" s="115"/>
      <c r="AP1005" s="115"/>
      <c r="AQ1005" s="122"/>
      <c r="AR1005" s="122"/>
      <c r="AS1005" s="122"/>
      <c r="AT1005" s="115"/>
      <c r="AU1005" s="115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115"/>
      <c r="BF1005" s="115"/>
      <c r="BG1005" s="115"/>
      <c r="BH1005" s="26"/>
      <c r="BI1005" s="15"/>
      <c r="BL1005" s="114"/>
    </row>
    <row r="1006" spans="38:64" x14ac:dyDescent="0.4">
      <c r="AL1006" s="115"/>
      <c r="AM1006" s="115"/>
      <c r="AN1006" s="115"/>
      <c r="AO1006" s="115"/>
      <c r="AP1006" s="115"/>
      <c r="AQ1006" s="122"/>
      <c r="AR1006" s="122"/>
      <c r="AS1006" s="122"/>
      <c r="AT1006" s="115"/>
      <c r="AU1006" s="115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115"/>
      <c r="BF1006" s="115"/>
      <c r="BG1006" s="115"/>
      <c r="BH1006" s="26"/>
      <c r="BI1006" s="15"/>
      <c r="BL1006" s="114"/>
    </row>
    <row r="1007" spans="38:64" x14ac:dyDescent="0.4">
      <c r="AL1007" s="115"/>
      <c r="AM1007" s="115"/>
      <c r="AN1007" s="115"/>
      <c r="AO1007" s="115"/>
      <c r="AP1007" s="115"/>
      <c r="AQ1007" s="122"/>
      <c r="AR1007" s="122"/>
      <c r="AS1007" s="122"/>
      <c r="AT1007" s="115"/>
      <c r="AU1007" s="115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115"/>
      <c r="BF1007" s="115"/>
      <c r="BG1007" s="115"/>
      <c r="BH1007" s="26"/>
      <c r="BI1007" s="15"/>
      <c r="BL1007" s="114"/>
    </row>
    <row r="1008" spans="38:64" x14ac:dyDescent="0.4">
      <c r="AL1008" s="115"/>
      <c r="AM1008" s="115"/>
      <c r="AN1008" s="115"/>
      <c r="AO1008" s="115"/>
      <c r="AP1008" s="115"/>
      <c r="AQ1008" s="122"/>
      <c r="AR1008" s="122"/>
      <c r="AS1008" s="122"/>
      <c r="AT1008" s="115"/>
      <c r="AU1008" s="115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115"/>
      <c r="BF1008" s="115"/>
      <c r="BG1008" s="115"/>
      <c r="BH1008" s="26"/>
      <c r="BI1008" s="15"/>
      <c r="BL1008" s="114"/>
    </row>
    <row r="1009" spans="38:64" x14ac:dyDescent="0.4">
      <c r="AL1009" s="115"/>
      <c r="AM1009" s="115"/>
      <c r="AN1009" s="115"/>
      <c r="AO1009" s="115"/>
      <c r="AP1009" s="115"/>
      <c r="AQ1009" s="122"/>
      <c r="AR1009" s="122"/>
      <c r="AS1009" s="122"/>
      <c r="AT1009" s="115"/>
      <c r="AU1009" s="115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115"/>
      <c r="BF1009" s="115"/>
      <c r="BG1009" s="115"/>
      <c r="BH1009" s="26"/>
      <c r="BI1009" s="15"/>
      <c r="BL1009" s="114"/>
    </row>
    <row r="1010" spans="38:64" x14ac:dyDescent="0.4">
      <c r="AL1010" s="115"/>
      <c r="AM1010" s="115"/>
      <c r="AN1010" s="115"/>
      <c r="AO1010" s="115"/>
      <c r="AP1010" s="115"/>
      <c r="AQ1010" s="122"/>
      <c r="AR1010" s="122"/>
      <c r="AS1010" s="122"/>
      <c r="AT1010" s="115"/>
      <c r="AU1010" s="115"/>
      <c r="AV1010" s="115"/>
      <c r="AW1010" s="115"/>
      <c r="AX1010" s="115"/>
      <c r="AY1010" s="115"/>
      <c r="AZ1010" s="115"/>
      <c r="BA1010" s="115"/>
      <c r="BB1010" s="115"/>
      <c r="BC1010" s="115"/>
      <c r="BD1010" s="115"/>
      <c r="BE1010" s="115"/>
      <c r="BF1010" s="115"/>
      <c r="BG1010" s="115"/>
      <c r="BH1010" s="26"/>
      <c r="BI1010" s="15"/>
      <c r="BL1010" s="114"/>
    </row>
    <row r="1011" spans="38:64" x14ac:dyDescent="0.4">
      <c r="AL1011" s="115"/>
      <c r="AM1011" s="115"/>
      <c r="AN1011" s="115"/>
      <c r="AO1011" s="115"/>
      <c r="AP1011" s="115"/>
      <c r="AQ1011" s="122"/>
      <c r="AR1011" s="122"/>
      <c r="AS1011" s="122"/>
      <c r="AT1011" s="115"/>
      <c r="AU1011" s="115"/>
      <c r="AV1011" s="115"/>
      <c r="AW1011" s="115"/>
      <c r="AX1011" s="115"/>
      <c r="AY1011" s="115"/>
      <c r="AZ1011" s="115"/>
      <c r="BA1011" s="115"/>
      <c r="BB1011" s="115"/>
      <c r="BC1011" s="115"/>
      <c r="BD1011" s="115"/>
      <c r="BE1011" s="115"/>
      <c r="BF1011" s="115"/>
      <c r="BG1011" s="115"/>
      <c r="BH1011" s="17"/>
      <c r="BI1011" s="15"/>
      <c r="BL1011" s="114"/>
    </row>
    <row r="1012" spans="38:64" x14ac:dyDescent="0.4">
      <c r="AL1012" s="115"/>
      <c r="AM1012" s="115"/>
      <c r="AN1012" s="115"/>
      <c r="AO1012" s="115"/>
      <c r="AP1012" s="115"/>
      <c r="AQ1012" s="122"/>
      <c r="AR1012" s="122"/>
      <c r="AS1012" s="122"/>
      <c r="AT1012" s="115"/>
      <c r="AU1012" s="115"/>
      <c r="AV1012" s="115"/>
      <c r="AW1012" s="115"/>
      <c r="AX1012" s="115"/>
      <c r="AY1012" s="115"/>
      <c r="AZ1012" s="115"/>
      <c r="BA1012" s="115"/>
      <c r="BB1012" s="115"/>
      <c r="BC1012" s="115"/>
      <c r="BD1012" s="115"/>
      <c r="BE1012" s="115"/>
      <c r="BF1012" s="115"/>
      <c r="BG1012" s="115"/>
      <c r="BH1012" s="26"/>
      <c r="BI1012" s="15"/>
      <c r="BL1012" s="114"/>
    </row>
    <row r="1013" spans="38:64" x14ac:dyDescent="0.4">
      <c r="AL1013" s="115"/>
      <c r="AM1013" s="115"/>
      <c r="AN1013" s="115"/>
      <c r="AO1013" s="115"/>
      <c r="AP1013" s="115"/>
      <c r="AQ1013" s="122"/>
      <c r="AR1013" s="122"/>
      <c r="AS1013" s="122"/>
      <c r="AT1013" s="115"/>
      <c r="AU1013" s="115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115"/>
      <c r="BF1013" s="115"/>
      <c r="BG1013" s="115"/>
      <c r="BH1013" s="26"/>
      <c r="BI1013" s="13"/>
      <c r="BL1013" s="114"/>
    </row>
    <row r="1014" spans="38:64" x14ac:dyDescent="0.4">
      <c r="AL1014" s="115"/>
      <c r="AM1014" s="115"/>
      <c r="AN1014" s="115"/>
      <c r="AO1014" s="115"/>
      <c r="AP1014" s="115"/>
      <c r="AQ1014" s="122"/>
      <c r="AR1014" s="122"/>
      <c r="AS1014" s="122"/>
      <c r="AT1014" s="115"/>
      <c r="AU1014" s="115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115"/>
      <c r="BF1014" s="115"/>
      <c r="BG1014" s="115"/>
      <c r="BH1014" s="26"/>
      <c r="BI1014" s="13"/>
      <c r="BL1014" s="114"/>
    </row>
    <row r="1015" spans="38:64" x14ac:dyDescent="0.4">
      <c r="AL1015" s="115"/>
      <c r="AM1015" s="115"/>
      <c r="AN1015" s="115"/>
      <c r="AO1015" s="115"/>
      <c r="AP1015" s="115"/>
      <c r="AQ1015" s="122"/>
      <c r="AR1015" s="122"/>
      <c r="AS1015" s="122"/>
      <c r="AT1015" s="115"/>
      <c r="AU1015" s="115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115"/>
      <c r="BF1015" s="115"/>
      <c r="BG1015" s="115"/>
      <c r="BH1015" s="26"/>
      <c r="BI1015" s="13"/>
      <c r="BL1015" s="114"/>
    </row>
    <row r="1016" spans="38:64" x14ac:dyDescent="0.4">
      <c r="AL1016" s="115"/>
      <c r="AM1016" s="115"/>
      <c r="AN1016" s="115"/>
      <c r="AO1016" s="115"/>
      <c r="AP1016" s="115"/>
      <c r="AQ1016" s="122"/>
      <c r="AR1016" s="122"/>
      <c r="AS1016" s="122"/>
      <c r="AT1016" s="115"/>
      <c r="AU1016" s="115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115"/>
      <c r="BF1016" s="115"/>
      <c r="BG1016" s="115"/>
      <c r="BH1016" s="26"/>
      <c r="BI1016" s="13"/>
      <c r="BL1016" s="114"/>
    </row>
    <row r="1017" spans="38:64" x14ac:dyDescent="0.4">
      <c r="AL1017" s="115"/>
      <c r="AM1017" s="115"/>
      <c r="AN1017" s="115"/>
      <c r="AO1017" s="115"/>
      <c r="AP1017" s="115"/>
      <c r="AQ1017" s="122"/>
      <c r="AR1017" s="122"/>
      <c r="AS1017" s="122"/>
      <c r="AT1017" s="115"/>
      <c r="AU1017" s="115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115"/>
      <c r="BF1017" s="115"/>
      <c r="BG1017" s="115"/>
      <c r="BH1017" s="26"/>
      <c r="BI1017" s="13"/>
      <c r="BL1017" s="114"/>
    </row>
    <row r="1018" spans="38:64" x14ac:dyDescent="0.4">
      <c r="AL1018" s="115"/>
      <c r="AM1018" s="115"/>
      <c r="AN1018" s="115"/>
      <c r="AO1018" s="115"/>
      <c r="AP1018" s="115"/>
      <c r="AQ1018" s="122"/>
      <c r="AR1018" s="122"/>
      <c r="AS1018" s="122"/>
      <c r="AT1018" s="115"/>
      <c r="AU1018" s="115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115"/>
      <c r="BF1018" s="115"/>
      <c r="BG1018" s="115"/>
      <c r="BH1018" s="26"/>
      <c r="BI1018" s="13"/>
      <c r="BL1018" s="114"/>
    </row>
    <row r="1019" spans="38:64" x14ac:dyDescent="0.4">
      <c r="AL1019" s="115"/>
      <c r="AM1019" s="115"/>
      <c r="AN1019" s="115"/>
      <c r="AO1019" s="115"/>
      <c r="AP1019" s="115"/>
      <c r="AQ1019" s="122"/>
      <c r="AR1019" s="122"/>
      <c r="AS1019" s="122"/>
      <c r="AT1019" s="115"/>
      <c r="AU1019" s="115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115"/>
      <c r="BF1019" s="115"/>
      <c r="BG1019" s="115"/>
      <c r="BH1019" s="26"/>
      <c r="BI1019" s="13"/>
      <c r="BL1019" s="114"/>
    </row>
    <row r="1020" spans="38:64" x14ac:dyDescent="0.4">
      <c r="AL1020" s="115"/>
      <c r="AM1020" s="115"/>
      <c r="AN1020" s="115"/>
      <c r="AO1020" s="115"/>
      <c r="AP1020" s="115"/>
      <c r="AQ1020" s="122"/>
      <c r="AR1020" s="122"/>
      <c r="AS1020" s="122"/>
      <c r="AT1020" s="115"/>
      <c r="AU1020" s="115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115"/>
      <c r="BF1020" s="115"/>
      <c r="BG1020" s="115"/>
      <c r="BH1020" s="26"/>
      <c r="BI1020" s="13"/>
      <c r="BL1020" s="114"/>
    </row>
    <row r="1021" spans="38:64" x14ac:dyDescent="0.4">
      <c r="AL1021" s="115"/>
      <c r="AM1021" s="115"/>
      <c r="AN1021" s="115"/>
      <c r="AO1021" s="115"/>
      <c r="AP1021" s="115"/>
      <c r="AQ1021" s="122"/>
      <c r="AR1021" s="122"/>
      <c r="AS1021" s="122"/>
      <c r="AT1021" s="115"/>
      <c r="AU1021" s="115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115"/>
      <c r="BF1021" s="115"/>
      <c r="BG1021" s="115"/>
      <c r="BH1021" s="26"/>
      <c r="BI1021" s="13"/>
      <c r="BL1021" s="114"/>
    </row>
    <row r="1022" spans="38:64" x14ac:dyDescent="0.4">
      <c r="AL1022" s="115"/>
      <c r="AM1022" s="115"/>
      <c r="AN1022" s="115"/>
      <c r="AO1022" s="115"/>
      <c r="AP1022" s="115"/>
      <c r="AQ1022" s="122"/>
      <c r="AR1022" s="122"/>
      <c r="AS1022" s="122"/>
      <c r="AT1022" s="115"/>
      <c r="AU1022" s="115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115"/>
      <c r="BF1022" s="115"/>
      <c r="BG1022" s="115"/>
      <c r="BH1022" s="26"/>
      <c r="BI1022" s="13"/>
      <c r="BL1022" s="114"/>
    </row>
    <row r="1023" spans="38:64" x14ac:dyDescent="0.4">
      <c r="AL1023" s="115"/>
      <c r="AM1023" s="115"/>
      <c r="AN1023" s="115"/>
      <c r="AO1023" s="115"/>
      <c r="AP1023" s="115"/>
      <c r="AQ1023" s="122"/>
      <c r="AR1023" s="122"/>
      <c r="AS1023" s="122"/>
      <c r="AT1023" s="115"/>
      <c r="AU1023" s="115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115"/>
      <c r="BF1023" s="115"/>
      <c r="BG1023" s="115"/>
      <c r="BH1023" s="26"/>
      <c r="BI1023" s="13"/>
      <c r="BL1023" s="114"/>
    </row>
    <row r="1024" spans="38:64" x14ac:dyDescent="0.4">
      <c r="AL1024" s="115"/>
      <c r="AM1024" s="115"/>
      <c r="AN1024" s="115"/>
      <c r="AO1024" s="115"/>
      <c r="AP1024" s="115"/>
      <c r="AQ1024" s="122"/>
      <c r="AR1024" s="122"/>
      <c r="AS1024" s="122"/>
      <c r="AT1024" s="115"/>
      <c r="AU1024" s="115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115"/>
      <c r="BF1024" s="115"/>
      <c r="BG1024" s="115"/>
      <c r="BH1024" s="17"/>
      <c r="BI1024" s="13"/>
      <c r="BL1024" s="114"/>
    </row>
    <row r="1025" spans="37:64" x14ac:dyDescent="0.4">
      <c r="AL1025" s="115"/>
      <c r="AM1025" s="115"/>
      <c r="AN1025" s="115"/>
      <c r="AO1025" s="115"/>
      <c r="AP1025" s="115"/>
      <c r="AQ1025" s="122"/>
      <c r="AR1025" s="122"/>
      <c r="AS1025" s="122"/>
      <c r="AT1025" s="115"/>
      <c r="AU1025" s="115"/>
      <c r="AV1025" s="115"/>
      <c r="AW1025" s="115"/>
      <c r="AX1025" s="115"/>
      <c r="AY1025" s="115"/>
      <c r="AZ1025" s="115"/>
      <c r="BA1025" s="115"/>
      <c r="BB1025" s="115"/>
      <c r="BC1025" s="115"/>
      <c r="BD1025" s="115"/>
      <c r="BE1025" s="115"/>
      <c r="BF1025" s="115"/>
      <c r="BG1025" s="115"/>
      <c r="BH1025" s="26"/>
      <c r="BI1025" s="13"/>
      <c r="BL1025" s="114"/>
    </row>
    <row r="1026" spans="37:64" x14ac:dyDescent="0.4">
      <c r="AL1026" s="115"/>
      <c r="AM1026" s="115"/>
      <c r="AN1026" s="115"/>
      <c r="AO1026" s="115"/>
      <c r="AP1026" s="115"/>
      <c r="AQ1026" s="122"/>
      <c r="AR1026" s="122"/>
      <c r="AS1026" s="122"/>
      <c r="AT1026" s="115"/>
      <c r="AU1026" s="115"/>
      <c r="AV1026" s="115"/>
      <c r="AW1026" s="115"/>
      <c r="AX1026" s="115"/>
      <c r="AY1026" s="115"/>
      <c r="AZ1026" s="115"/>
      <c r="BA1026" s="115"/>
      <c r="BB1026" s="115"/>
      <c r="BC1026" s="115"/>
      <c r="BD1026" s="115"/>
      <c r="BE1026" s="115"/>
      <c r="BF1026" s="115"/>
      <c r="BG1026" s="115"/>
      <c r="BH1026" s="26"/>
      <c r="BI1026" s="13"/>
      <c r="BL1026" s="114"/>
    </row>
    <row r="1027" spans="37:64" x14ac:dyDescent="0.4">
      <c r="AL1027" s="115"/>
      <c r="AM1027" s="115"/>
      <c r="AN1027" s="115"/>
      <c r="AO1027" s="115"/>
      <c r="AP1027" s="115"/>
      <c r="AQ1027" s="122"/>
      <c r="AR1027" s="122"/>
      <c r="AS1027" s="122"/>
      <c r="AT1027" s="115"/>
      <c r="AU1027" s="115"/>
      <c r="AV1027" s="115"/>
      <c r="AW1027" s="115"/>
      <c r="AX1027" s="115"/>
      <c r="AY1027" s="115"/>
      <c r="AZ1027" s="115"/>
      <c r="BA1027" s="115"/>
      <c r="BB1027" s="115"/>
      <c r="BC1027" s="115"/>
      <c r="BD1027" s="115"/>
      <c r="BE1027" s="115"/>
      <c r="BF1027" s="115"/>
      <c r="BG1027" s="115"/>
      <c r="BH1027" s="26"/>
      <c r="BI1027" s="13"/>
      <c r="BL1027" s="114"/>
    </row>
    <row r="1028" spans="37:64" x14ac:dyDescent="0.4">
      <c r="AL1028" s="115"/>
      <c r="AM1028" s="115"/>
      <c r="AN1028" s="115"/>
      <c r="AO1028" s="115"/>
      <c r="AP1028" s="115"/>
      <c r="AQ1028" s="122"/>
      <c r="AR1028" s="122"/>
      <c r="AS1028" s="122"/>
      <c r="AT1028" s="115"/>
      <c r="AU1028" s="115"/>
      <c r="AV1028" s="115"/>
      <c r="AW1028" s="115"/>
      <c r="AX1028" s="115"/>
      <c r="AY1028" s="115"/>
      <c r="AZ1028" s="115"/>
      <c r="BA1028" s="115"/>
      <c r="BB1028" s="115"/>
      <c r="BC1028" s="115"/>
      <c r="BD1028" s="115"/>
      <c r="BE1028" s="115"/>
      <c r="BF1028" s="115"/>
      <c r="BG1028" s="115"/>
      <c r="BH1028" s="17"/>
      <c r="BI1028" s="13"/>
      <c r="BL1028" s="114"/>
    </row>
    <row r="1029" spans="37:64" x14ac:dyDescent="0.4">
      <c r="AL1029" s="115"/>
      <c r="AM1029" s="115"/>
      <c r="AN1029" s="115"/>
      <c r="AO1029" s="115"/>
      <c r="AP1029" s="115"/>
      <c r="AQ1029" s="122"/>
      <c r="AR1029" s="122"/>
      <c r="AS1029" s="122"/>
      <c r="AT1029" s="115"/>
      <c r="AU1029" s="115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115"/>
      <c r="BF1029" s="115"/>
      <c r="BG1029" s="115"/>
      <c r="BH1029" s="26"/>
      <c r="BI1029" s="13"/>
      <c r="BL1029" s="114"/>
    </row>
    <row r="1030" spans="37:64" x14ac:dyDescent="0.4">
      <c r="AL1030" s="115"/>
      <c r="AM1030" s="115"/>
      <c r="AN1030" s="115"/>
      <c r="AO1030" s="115"/>
      <c r="AP1030" s="115"/>
      <c r="AQ1030" s="122"/>
      <c r="AR1030" s="122"/>
      <c r="AS1030" s="122"/>
      <c r="AT1030" s="115"/>
      <c r="AU1030" s="115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115"/>
      <c r="BF1030" s="115"/>
      <c r="BG1030" s="115"/>
      <c r="BH1030" s="17"/>
      <c r="BI1030" s="13"/>
      <c r="BL1030" s="114"/>
    </row>
    <row r="1031" spans="37:64" x14ac:dyDescent="0.4">
      <c r="AL1031" s="115"/>
      <c r="AM1031" s="115"/>
      <c r="AN1031" s="115"/>
      <c r="AO1031" s="115"/>
      <c r="AP1031" s="115"/>
      <c r="AQ1031" s="122"/>
      <c r="AR1031" s="122"/>
      <c r="AS1031" s="122"/>
      <c r="AT1031" s="115"/>
      <c r="AU1031" s="115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115"/>
      <c r="BF1031" s="115"/>
      <c r="BG1031" s="115"/>
      <c r="BH1031" s="26"/>
      <c r="BI1031" s="13"/>
      <c r="BL1031" s="114"/>
    </row>
    <row r="1032" spans="37:64" x14ac:dyDescent="0.4">
      <c r="AL1032" s="115"/>
      <c r="AM1032" s="115"/>
      <c r="AN1032" s="115"/>
      <c r="AO1032" s="115"/>
      <c r="AP1032" s="115"/>
      <c r="AQ1032" s="122"/>
      <c r="AR1032" s="122"/>
      <c r="AS1032" s="122"/>
      <c r="AT1032" s="115"/>
      <c r="AU1032" s="115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115"/>
      <c r="BF1032" s="115"/>
      <c r="BG1032" s="115"/>
      <c r="BH1032" s="26"/>
      <c r="BI1032" s="15"/>
      <c r="BL1032" s="114"/>
    </row>
    <row r="1033" spans="37:64" x14ac:dyDescent="0.4">
      <c r="AL1033" s="115"/>
      <c r="AM1033" s="115"/>
      <c r="AN1033" s="115"/>
      <c r="AO1033" s="115"/>
      <c r="AP1033" s="115"/>
      <c r="AQ1033" s="122"/>
      <c r="AR1033" s="122"/>
      <c r="AS1033" s="122"/>
      <c r="AT1033" s="115"/>
      <c r="AU1033" s="115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115"/>
      <c r="BF1033" s="115"/>
      <c r="BG1033" s="115"/>
      <c r="BH1033" s="17"/>
      <c r="BI1033" s="15"/>
      <c r="BL1033" s="114"/>
    </row>
    <row r="1034" spans="37:64" x14ac:dyDescent="0.4">
      <c r="AL1034" s="115"/>
      <c r="AM1034" s="115"/>
      <c r="AN1034" s="115"/>
      <c r="AO1034" s="115"/>
      <c r="AP1034" s="115"/>
      <c r="AQ1034" s="122"/>
      <c r="AR1034" s="122"/>
      <c r="AS1034" s="122"/>
      <c r="AT1034" s="115"/>
      <c r="AU1034" s="115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115"/>
      <c r="BF1034" s="115"/>
      <c r="BG1034" s="115"/>
      <c r="BH1034" s="17"/>
      <c r="BI1034" s="15"/>
      <c r="BL1034" s="114"/>
    </row>
    <row r="1035" spans="37:64" x14ac:dyDescent="0.4">
      <c r="AK1035" s="115"/>
      <c r="AL1035" s="115"/>
      <c r="AM1035" s="115"/>
      <c r="AN1035" s="115"/>
      <c r="AO1035" s="115"/>
      <c r="AP1035" s="115"/>
      <c r="AQ1035" s="122"/>
      <c r="AR1035" s="122"/>
      <c r="AS1035" s="122"/>
      <c r="AT1035" s="115"/>
      <c r="AU1035" s="115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115"/>
      <c r="BF1035" s="115"/>
      <c r="BG1035" s="115"/>
      <c r="BH1035" s="26"/>
      <c r="BI1035" s="15"/>
      <c r="BL1035" s="114"/>
    </row>
    <row r="1036" spans="37:64" x14ac:dyDescent="0.4">
      <c r="AK1036" s="115"/>
      <c r="AL1036" s="115"/>
      <c r="AM1036" s="115"/>
      <c r="AN1036" s="115"/>
      <c r="AO1036" s="115"/>
      <c r="AP1036" s="115"/>
      <c r="AQ1036" s="122"/>
      <c r="AR1036" s="122"/>
      <c r="AS1036" s="122"/>
      <c r="AT1036" s="115"/>
      <c r="AU1036" s="115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115"/>
      <c r="BF1036" s="115"/>
      <c r="BG1036" s="115"/>
      <c r="BH1036" s="17"/>
      <c r="BI1036" s="15"/>
      <c r="BL1036" s="114"/>
    </row>
    <row r="1037" spans="37:64" x14ac:dyDescent="0.4">
      <c r="AK1037" s="115"/>
      <c r="AL1037" s="115"/>
      <c r="AM1037" s="115"/>
      <c r="AN1037" s="115"/>
      <c r="AO1037" s="115"/>
      <c r="AP1037" s="115"/>
      <c r="AQ1037" s="122"/>
      <c r="AR1037" s="122"/>
      <c r="AS1037" s="122"/>
      <c r="AT1037" s="115"/>
      <c r="AU1037" s="115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115"/>
      <c r="BF1037" s="115"/>
      <c r="BG1037" s="115"/>
      <c r="BH1037" s="26"/>
      <c r="BI1037" s="15"/>
      <c r="BL1037" s="114"/>
    </row>
    <row r="1038" spans="37:64" x14ac:dyDescent="0.4">
      <c r="AK1038" s="115"/>
      <c r="AL1038" s="115"/>
      <c r="AM1038" s="115"/>
      <c r="AN1038" s="115"/>
      <c r="AO1038" s="115"/>
      <c r="AP1038" s="115"/>
      <c r="AQ1038" s="122"/>
      <c r="AR1038" s="122"/>
      <c r="AS1038" s="122"/>
      <c r="AT1038" s="115"/>
      <c r="AU1038" s="115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115"/>
      <c r="BF1038" s="115"/>
      <c r="BG1038" s="115"/>
      <c r="BH1038" s="26"/>
      <c r="BI1038" s="15"/>
      <c r="BL1038" s="114"/>
    </row>
    <row r="1039" spans="37:64" x14ac:dyDescent="0.4">
      <c r="AK1039" s="115"/>
      <c r="AL1039" s="115"/>
      <c r="AM1039" s="115"/>
      <c r="AN1039" s="115"/>
      <c r="AO1039" s="115"/>
      <c r="AP1039" s="115"/>
      <c r="AQ1039" s="122"/>
      <c r="AR1039" s="122"/>
      <c r="AS1039" s="122"/>
      <c r="AT1039" s="115"/>
      <c r="AU1039" s="115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115"/>
      <c r="BF1039" s="115"/>
      <c r="BG1039" s="115"/>
      <c r="BH1039" s="17"/>
      <c r="BI1039" s="15"/>
      <c r="BL1039" s="114"/>
    </row>
    <row r="1040" spans="37:64" x14ac:dyDescent="0.4">
      <c r="AK1040" s="115"/>
      <c r="AL1040" s="115"/>
      <c r="AM1040" s="115"/>
      <c r="AN1040" s="115"/>
      <c r="AO1040" s="115"/>
      <c r="AP1040" s="115"/>
      <c r="AQ1040" s="122"/>
      <c r="AR1040" s="122"/>
      <c r="AS1040" s="122"/>
      <c r="AT1040" s="115"/>
      <c r="AU1040" s="115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115"/>
      <c r="BF1040" s="115"/>
      <c r="BG1040" s="115"/>
      <c r="BH1040" s="26"/>
      <c r="BI1040" s="15"/>
      <c r="BL1040" s="114"/>
    </row>
    <row r="1041" spans="37:64" x14ac:dyDescent="0.4">
      <c r="AK1041" s="115"/>
      <c r="AL1041" s="115"/>
      <c r="AM1041" s="115"/>
      <c r="AN1041" s="115"/>
      <c r="AO1041" s="115"/>
      <c r="AP1041" s="115"/>
      <c r="AQ1041" s="122"/>
      <c r="AR1041" s="122"/>
      <c r="AS1041" s="122"/>
      <c r="AT1041" s="115"/>
      <c r="AU1041" s="115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115"/>
      <c r="BF1041" s="115"/>
      <c r="BG1041" s="115"/>
      <c r="BH1041" s="17"/>
      <c r="BI1041" s="15"/>
      <c r="BL1041" s="114"/>
    </row>
    <row r="1042" spans="37:64" x14ac:dyDescent="0.4">
      <c r="AK1042" s="115"/>
      <c r="AL1042" s="115"/>
      <c r="AM1042" s="115"/>
      <c r="AN1042" s="115"/>
      <c r="AO1042" s="115"/>
      <c r="AP1042" s="115"/>
      <c r="AQ1042" s="122"/>
      <c r="AR1042" s="122"/>
      <c r="AS1042" s="122"/>
      <c r="AT1042" s="115"/>
      <c r="AU1042" s="115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115"/>
      <c r="BF1042" s="115"/>
      <c r="BG1042" s="115"/>
      <c r="BH1042" s="17"/>
      <c r="BI1042" s="15"/>
      <c r="BL1042" s="114"/>
    </row>
    <row r="1043" spans="37:64" x14ac:dyDescent="0.4">
      <c r="AK1043" s="115"/>
      <c r="AL1043" s="115"/>
      <c r="AM1043" s="115"/>
      <c r="AN1043" s="115"/>
      <c r="AO1043" s="115"/>
      <c r="AP1043" s="115"/>
      <c r="AQ1043" s="122"/>
      <c r="AR1043" s="122"/>
      <c r="AS1043" s="122"/>
      <c r="AT1043" s="115"/>
      <c r="AU1043" s="115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115"/>
      <c r="BF1043" s="115"/>
      <c r="BG1043" s="115"/>
      <c r="BH1043" s="26"/>
      <c r="BI1043" s="15"/>
      <c r="BL1043" s="114"/>
    </row>
    <row r="1044" spans="37:64" x14ac:dyDescent="0.4">
      <c r="AK1044" s="115"/>
      <c r="AL1044" s="115"/>
      <c r="AM1044" s="115"/>
      <c r="AN1044" s="115"/>
      <c r="AO1044" s="115"/>
      <c r="AP1044" s="115"/>
      <c r="AQ1044" s="122"/>
      <c r="AR1044" s="122"/>
      <c r="AS1044" s="122"/>
      <c r="AT1044" s="115"/>
      <c r="AU1044" s="115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115"/>
      <c r="BF1044" s="115"/>
      <c r="BG1044" s="115"/>
      <c r="BH1044" s="26"/>
      <c r="BI1044" s="15"/>
      <c r="BL1044" s="114"/>
    </row>
    <row r="1045" spans="37:64" x14ac:dyDescent="0.4">
      <c r="AK1045" s="115"/>
      <c r="AL1045" s="115"/>
      <c r="AM1045" s="115"/>
      <c r="AN1045" s="115"/>
      <c r="AO1045" s="115"/>
      <c r="AP1045" s="115"/>
      <c r="AQ1045" s="122"/>
      <c r="AR1045" s="122"/>
      <c r="AS1045" s="122"/>
      <c r="AT1045" s="115"/>
      <c r="AU1045" s="115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115"/>
      <c r="BF1045" s="115"/>
      <c r="BG1045" s="115"/>
      <c r="BH1045" s="26"/>
      <c r="BI1045" s="15"/>
      <c r="BL1045" s="114"/>
    </row>
    <row r="1046" spans="37:64" x14ac:dyDescent="0.4">
      <c r="AK1046" s="115"/>
      <c r="AL1046" s="115"/>
      <c r="AM1046" s="115"/>
      <c r="AN1046" s="115"/>
      <c r="AO1046" s="115"/>
      <c r="AP1046" s="115"/>
      <c r="AQ1046" s="122"/>
      <c r="AR1046" s="122"/>
      <c r="AS1046" s="122"/>
      <c r="AT1046" s="115"/>
      <c r="AU1046" s="115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115"/>
      <c r="BF1046" s="115"/>
      <c r="BG1046" s="115"/>
      <c r="BH1046" s="26"/>
      <c r="BI1046" s="15"/>
      <c r="BL1046" s="114"/>
    </row>
    <row r="1047" spans="37:64" x14ac:dyDescent="0.4">
      <c r="AK1047" s="115"/>
      <c r="AL1047" s="115"/>
      <c r="AM1047" s="115"/>
      <c r="AN1047" s="115"/>
      <c r="AO1047" s="115"/>
      <c r="AP1047" s="115"/>
      <c r="AQ1047" s="122"/>
      <c r="AR1047" s="122"/>
      <c r="AS1047" s="122"/>
      <c r="AT1047" s="115"/>
      <c r="AU1047" s="115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115"/>
      <c r="BF1047" s="115"/>
      <c r="BG1047" s="115"/>
      <c r="BH1047" s="26"/>
      <c r="BI1047" s="15"/>
      <c r="BL1047" s="114"/>
    </row>
    <row r="1048" spans="37:64" x14ac:dyDescent="0.4">
      <c r="AK1048" s="115"/>
      <c r="AL1048" s="115"/>
      <c r="AM1048" s="115"/>
      <c r="AN1048" s="115"/>
      <c r="AO1048" s="115"/>
      <c r="AP1048" s="115"/>
      <c r="AQ1048" s="122"/>
      <c r="AR1048" s="122"/>
      <c r="AS1048" s="122"/>
      <c r="AT1048" s="115"/>
      <c r="AU1048" s="115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115"/>
      <c r="BF1048" s="115"/>
      <c r="BG1048" s="115"/>
      <c r="BH1048" s="26"/>
      <c r="BI1048" s="15"/>
      <c r="BL1048" s="114"/>
    </row>
    <row r="1049" spans="37:64" x14ac:dyDescent="0.4">
      <c r="AK1049" s="115"/>
      <c r="AL1049" s="115"/>
      <c r="AM1049" s="115"/>
      <c r="AN1049" s="115"/>
      <c r="AO1049" s="115"/>
      <c r="AP1049" s="115"/>
      <c r="AQ1049" s="122"/>
      <c r="AR1049" s="122"/>
      <c r="AS1049" s="122"/>
      <c r="AT1049" s="115"/>
      <c r="AU1049" s="115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115"/>
      <c r="BF1049" s="115"/>
      <c r="BG1049" s="115"/>
      <c r="BH1049" s="26"/>
      <c r="BI1049" s="15"/>
      <c r="BL1049" s="114"/>
    </row>
    <row r="1050" spans="37:64" x14ac:dyDescent="0.4">
      <c r="AK1050" s="115"/>
      <c r="AL1050" s="115"/>
      <c r="AM1050" s="115"/>
      <c r="AN1050" s="115"/>
      <c r="AO1050" s="115"/>
      <c r="AP1050" s="115"/>
      <c r="AQ1050" s="122"/>
      <c r="AR1050" s="122"/>
      <c r="AS1050" s="122"/>
      <c r="AT1050" s="115"/>
      <c r="AU1050" s="115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115"/>
      <c r="BF1050" s="115"/>
      <c r="BG1050" s="115"/>
      <c r="BH1050" s="17"/>
      <c r="BI1050" s="15"/>
      <c r="BL1050" s="114"/>
    </row>
    <row r="1051" spans="37:64" x14ac:dyDescent="0.4">
      <c r="AK1051" s="115"/>
      <c r="AL1051" s="115"/>
      <c r="AM1051" s="115"/>
      <c r="AN1051" s="115"/>
      <c r="AO1051" s="115"/>
      <c r="AP1051" s="115"/>
      <c r="AQ1051" s="122"/>
      <c r="AR1051" s="122"/>
      <c r="AS1051" s="122"/>
      <c r="AT1051" s="115"/>
      <c r="AU1051" s="115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115"/>
      <c r="BF1051" s="115"/>
      <c r="BG1051" s="115"/>
      <c r="BH1051" s="26"/>
      <c r="BI1051" s="15"/>
      <c r="BL1051" s="114"/>
    </row>
    <row r="1052" spans="37:64" x14ac:dyDescent="0.4">
      <c r="AK1052" s="115"/>
      <c r="AL1052" s="115"/>
      <c r="AM1052" s="115"/>
      <c r="AN1052" s="115"/>
      <c r="AO1052" s="115"/>
      <c r="AP1052" s="115"/>
      <c r="AQ1052" s="122"/>
      <c r="AR1052" s="122"/>
      <c r="AS1052" s="122"/>
      <c r="AT1052" s="115"/>
      <c r="AU1052" s="115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115"/>
      <c r="BF1052" s="115"/>
      <c r="BG1052" s="115"/>
      <c r="BH1052" s="26"/>
      <c r="BI1052" s="15"/>
      <c r="BL1052" s="114"/>
    </row>
    <row r="1053" spans="37:64" x14ac:dyDescent="0.4">
      <c r="AK1053" s="115"/>
      <c r="AL1053" s="115"/>
      <c r="AM1053" s="115"/>
      <c r="AN1053" s="115"/>
      <c r="AO1053" s="115"/>
      <c r="AP1053" s="115"/>
      <c r="AQ1053" s="122"/>
      <c r="AR1053" s="122"/>
      <c r="AS1053" s="122"/>
      <c r="AT1053" s="115"/>
      <c r="AU1053" s="115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115"/>
      <c r="BF1053" s="115"/>
      <c r="BG1053" s="115"/>
      <c r="BH1053" s="26"/>
      <c r="BI1053" s="15"/>
      <c r="BL1053" s="114"/>
    </row>
    <row r="1054" spans="37:64" x14ac:dyDescent="0.4">
      <c r="AK1054" s="115"/>
      <c r="AL1054" s="115"/>
      <c r="AM1054" s="115"/>
      <c r="AN1054" s="115"/>
      <c r="AO1054" s="115"/>
      <c r="AP1054" s="115"/>
      <c r="AQ1054" s="122"/>
      <c r="AR1054" s="122"/>
      <c r="AS1054" s="122"/>
      <c r="AT1054" s="115"/>
      <c r="AU1054" s="115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115"/>
      <c r="BF1054" s="115"/>
      <c r="BG1054" s="115"/>
      <c r="BH1054" s="26"/>
      <c r="BI1054" s="13"/>
      <c r="BL1054" s="114"/>
    </row>
    <row r="1055" spans="37:64" x14ac:dyDescent="0.4">
      <c r="AK1055" s="115"/>
      <c r="AL1055" s="115"/>
      <c r="AM1055" s="115"/>
      <c r="AN1055" s="115"/>
      <c r="AO1055" s="115"/>
      <c r="AP1055" s="115"/>
      <c r="AQ1055" s="122"/>
      <c r="AR1055" s="122"/>
      <c r="AS1055" s="122"/>
      <c r="AT1055" s="115"/>
      <c r="AU1055" s="115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115"/>
      <c r="BF1055" s="115"/>
      <c r="BG1055" s="115"/>
      <c r="BH1055" s="17"/>
      <c r="BI1055" s="13"/>
      <c r="BL1055" s="114"/>
    </row>
    <row r="1056" spans="37:64" x14ac:dyDescent="0.4">
      <c r="AK1056" s="115"/>
      <c r="AL1056" s="115"/>
      <c r="AM1056" s="115"/>
      <c r="AN1056" s="115"/>
      <c r="AO1056" s="115"/>
      <c r="AP1056" s="115"/>
      <c r="AQ1056" s="122"/>
      <c r="AR1056" s="122"/>
      <c r="AS1056" s="122"/>
      <c r="AT1056" s="115"/>
      <c r="AU1056" s="115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115"/>
      <c r="BF1056" s="115"/>
      <c r="BG1056" s="115"/>
      <c r="BH1056" s="26"/>
      <c r="BI1056" s="13"/>
      <c r="BL1056" s="114"/>
    </row>
    <row r="1057" spans="5:64" x14ac:dyDescent="0.4">
      <c r="AK1057" s="115"/>
      <c r="AL1057" s="115"/>
      <c r="AM1057" s="115"/>
      <c r="AN1057" s="115"/>
      <c r="AO1057" s="115"/>
      <c r="AP1057" s="115"/>
      <c r="AQ1057" s="122"/>
      <c r="AR1057" s="122"/>
      <c r="AS1057" s="122"/>
      <c r="AT1057" s="115"/>
      <c r="AU1057" s="115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115"/>
      <c r="BF1057" s="115"/>
      <c r="BG1057" s="115"/>
      <c r="BH1057" s="26"/>
      <c r="BI1057" s="13"/>
      <c r="BL1057" s="114"/>
    </row>
    <row r="1058" spans="5:64" x14ac:dyDescent="0.4">
      <c r="AK1058" s="115"/>
      <c r="AL1058" s="115"/>
      <c r="AM1058" s="115"/>
      <c r="AN1058" s="115"/>
      <c r="AO1058" s="115"/>
      <c r="AP1058" s="115"/>
      <c r="AQ1058" s="122"/>
      <c r="AR1058" s="122"/>
      <c r="AS1058" s="122"/>
      <c r="AT1058" s="115"/>
      <c r="AU1058" s="115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115"/>
      <c r="BF1058" s="115"/>
      <c r="BG1058" s="115"/>
      <c r="BH1058" s="26"/>
      <c r="BI1058" s="13"/>
      <c r="BL1058" s="114"/>
    </row>
    <row r="1059" spans="5:64" x14ac:dyDescent="0.4">
      <c r="AK1059" s="115"/>
      <c r="AL1059" s="115"/>
      <c r="AM1059" s="115"/>
      <c r="AN1059" s="115"/>
      <c r="AO1059" s="115"/>
      <c r="AP1059" s="115"/>
      <c r="AQ1059" s="122"/>
      <c r="AR1059" s="122"/>
      <c r="AS1059" s="122"/>
      <c r="AT1059" s="115"/>
      <c r="AU1059" s="115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115"/>
      <c r="BF1059" s="115"/>
      <c r="BG1059" s="115"/>
      <c r="BH1059" s="26"/>
      <c r="BI1059" s="13"/>
      <c r="BL1059" s="114"/>
    </row>
    <row r="1060" spans="5:64" x14ac:dyDescent="0.4">
      <c r="AK1060" s="115"/>
      <c r="AL1060" s="115"/>
      <c r="AM1060" s="115"/>
      <c r="AN1060" s="115"/>
      <c r="AO1060" s="115"/>
      <c r="AP1060" s="115"/>
      <c r="AQ1060" s="122"/>
      <c r="AR1060" s="122"/>
      <c r="AS1060" s="122"/>
      <c r="AT1060" s="115"/>
      <c r="AU1060" s="115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115"/>
      <c r="BF1060" s="115"/>
      <c r="BG1060" s="115"/>
      <c r="BH1060" s="26"/>
      <c r="BI1060" s="13"/>
      <c r="BL1060" s="114"/>
    </row>
    <row r="1061" spans="5:64" x14ac:dyDescent="0.4">
      <c r="AK1061" s="115"/>
      <c r="AL1061" s="115"/>
      <c r="AM1061" s="115"/>
      <c r="AN1061" s="115"/>
      <c r="AO1061" s="115"/>
      <c r="AP1061" s="115"/>
      <c r="AQ1061" s="122"/>
      <c r="AR1061" s="122"/>
      <c r="AS1061" s="122"/>
      <c r="AT1061" s="115"/>
      <c r="AU1061" s="115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115"/>
      <c r="BF1061" s="115"/>
      <c r="BG1061" s="115"/>
      <c r="BH1061" s="26"/>
      <c r="BI1061" s="13"/>
      <c r="BL1061" s="114"/>
    </row>
    <row r="1062" spans="5:64" x14ac:dyDescent="0.4">
      <c r="AK1062" s="115"/>
      <c r="AL1062" s="115"/>
      <c r="AM1062" s="115"/>
      <c r="AN1062" s="115"/>
      <c r="AO1062" s="115"/>
      <c r="AP1062" s="115"/>
      <c r="AQ1062" s="122"/>
      <c r="AR1062" s="122"/>
      <c r="AS1062" s="122"/>
      <c r="AT1062" s="115"/>
      <c r="AU1062" s="115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115"/>
      <c r="BF1062" s="115"/>
      <c r="BG1062" s="115"/>
      <c r="BH1062" s="17"/>
      <c r="BI1062" s="13"/>
      <c r="BL1062" s="114"/>
    </row>
    <row r="1063" spans="5:64" x14ac:dyDescent="0.4">
      <c r="AK1063" s="115"/>
      <c r="AL1063" s="115"/>
      <c r="AM1063" s="115"/>
      <c r="AN1063" s="115"/>
      <c r="AO1063" s="115"/>
      <c r="AP1063" s="115"/>
      <c r="AQ1063" s="122"/>
      <c r="AR1063" s="122"/>
      <c r="AS1063" s="122"/>
      <c r="AT1063" s="115"/>
      <c r="AU1063" s="115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115"/>
      <c r="BF1063" s="115"/>
      <c r="BG1063" s="115"/>
      <c r="BH1063" s="26"/>
      <c r="BI1063" s="13"/>
      <c r="BL1063" s="114"/>
    </row>
    <row r="1064" spans="5:64" x14ac:dyDescent="0.4">
      <c r="AK1064" s="115"/>
      <c r="AL1064" s="115"/>
      <c r="AM1064" s="115"/>
      <c r="AN1064" s="115"/>
      <c r="AO1064" s="115"/>
      <c r="AP1064" s="115"/>
      <c r="AQ1064" s="122"/>
      <c r="AR1064" s="122"/>
      <c r="AS1064" s="122"/>
      <c r="AT1064" s="115"/>
      <c r="AU1064" s="115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115"/>
      <c r="BF1064" s="115"/>
      <c r="BG1064" s="115"/>
      <c r="BH1064" s="26"/>
      <c r="BI1064" s="13"/>
      <c r="BL1064" s="114"/>
    </row>
    <row r="1065" spans="5:64" x14ac:dyDescent="0.4"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22"/>
      <c r="AR1065" s="122"/>
      <c r="AS1065" s="122"/>
      <c r="AT1065" s="115"/>
      <c r="AU1065" s="115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115"/>
      <c r="BF1065" s="115"/>
      <c r="BG1065" s="115"/>
      <c r="BH1065" s="26"/>
      <c r="BI1065" s="13"/>
      <c r="BL1065" s="114"/>
    </row>
    <row r="1066" spans="5:64" x14ac:dyDescent="0.4"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22"/>
      <c r="AR1066" s="122"/>
      <c r="AS1066" s="122"/>
      <c r="AT1066" s="115"/>
      <c r="AU1066" s="115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115"/>
      <c r="BF1066" s="115"/>
      <c r="BG1066" s="115"/>
      <c r="BH1066" s="26"/>
      <c r="BI1066" s="13"/>
      <c r="BL1066" s="114"/>
    </row>
    <row r="1067" spans="5:64" x14ac:dyDescent="0.4"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22"/>
      <c r="AR1067" s="122"/>
      <c r="AS1067" s="122"/>
      <c r="AT1067" s="115"/>
      <c r="AU1067" s="115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115"/>
      <c r="BF1067" s="115"/>
      <c r="BG1067" s="115"/>
      <c r="BH1067" s="26"/>
      <c r="BI1067" s="13"/>
      <c r="BL1067" s="114"/>
    </row>
    <row r="1068" spans="5:64" x14ac:dyDescent="0.4"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22"/>
      <c r="AR1068" s="122"/>
      <c r="AS1068" s="122"/>
      <c r="AT1068" s="115"/>
      <c r="AU1068" s="115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115"/>
      <c r="BF1068" s="115"/>
      <c r="BG1068" s="115"/>
      <c r="BH1068" s="26"/>
      <c r="BI1068" s="13"/>
      <c r="BL1068" s="114"/>
    </row>
    <row r="1069" spans="5:64" x14ac:dyDescent="0.4"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22"/>
      <c r="AR1069" s="122"/>
      <c r="AS1069" s="122"/>
      <c r="AT1069" s="115"/>
      <c r="AU1069" s="115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115"/>
      <c r="BF1069" s="115"/>
      <c r="BG1069" s="115"/>
      <c r="BH1069" s="26"/>
      <c r="BI1069" s="13"/>
      <c r="BL1069" s="114"/>
    </row>
    <row r="1070" spans="5:64" x14ac:dyDescent="0.4"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22"/>
      <c r="AR1070" s="122"/>
      <c r="AS1070" s="122"/>
      <c r="AT1070" s="115"/>
      <c r="AU1070" s="115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115"/>
      <c r="BF1070" s="115"/>
      <c r="BG1070" s="115"/>
      <c r="BH1070" s="26"/>
      <c r="BI1070" s="13"/>
      <c r="BL1070" s="114"/>
    </row>
    <row r="1071" spans="5:64" x14ac:dyDescent="0.4"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15"/>
      <c r="AO1071" s="115"/>
      <c r="AP1071" s="115"/>
      <c r="AQ1071" s="122"/>
      <c r="AR1071" s="122"/>
      <c r="AS1071" s="122"/>
      <c r="AT1071" s="115"/>
      <c r="AU1071" s="115"/>
      <c r="AV1071" s="115"/>
      <c r="AW1071" s="115"/>
      <c r="AX1071" s="115"/>
      <c r="AY1071" s="115"/>
      <c r="AZ1071" s="115"/>
      <c r="BA1071" s="115"/>
      <c r="BB1071" s="115"/>
      <c r="BC1071" s="115"/>
      <c r="BD1071" s="115"/>
      <c r="BE1071" s="115"/>
      <c r="BF1071" s="115"/>
      <c r="BG1071" s="115"/>
      <c r="BH1071" s="26"/>
      <c r="BI1071" s="13"/>
      <c r="BL1071" s="114"/>
    </row>
    <row r="1072" spans="5:64" x14ac:dyDescent="0.4"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115"/>
      <c r="AQ1072" s="122"/>
      <c r="AR1072" s="122"/>
      <c r="AS1072" s="122"/>
      <c r="AT1072" s="115"/>
      <c r="AU1072" s="115"/>
      <c r="AV1072" s="115"/>
      <c r="AW1072" s="115"/>
      <c r="AX1072" s="115"/>
      <c r="AY1072" s="115"/>
      <c r="AZ1072" s="115"/>
      <c r="BA1072" s="115"/>
      <c r="BB1072" s="115"/>
      <c r="BC1072" s="115"/>
      <c r="BD1072" s="115"/>
      <c r="BE1072" s="115"/>
      <c r="BF1072" s="115"/>
      <c r="BG1072" s="115"/>
      <c r="BH1072" s="26"/>
      <c r="BI1072" s="13"/>
      <c r="BL1072" s="114"/>
    </row>
    <row r="1073" spans="3:64" x14ac:dyDescent="0.4"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122"/>
      <c r="AR1073" s="122"/>
      <c r="AS1073" s="122"/>
      <c r="AT1073" s="115"/>
      <c r="AU1073" s="115"/>
      <c r="AV1073" s="115"/>
      <c r="AW1073" s="115"/>
      <c r="AX1073" s="115"/>
      <c r="AY1073" s="115"/>
      <c r="AZ1073" s="115"/>
      <c r="BA1073" s="115"/>
      <c r="BB1073" s="115"/>
      <c r="BC1073" s="115"/>
      <c r="BD1073" s="115"/>
      <c r="BE1073" s="115"/>
      <c r="BF1073" s="115"/>
      <c r="BG1073" s="115"/>
      <c r="BH1073" s="26"/>
      <c r="BI1073" s="13"/>
      <c r="BL1073" s="114"/>
    </row>
    <row r="1074" spans="3:64" x14ac:dyDescent="0.4"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122"/>
      <c r="AR1074" s="122"/>
      <c r="AS1074" s="122"/>
      <c r="AT1074" s="115"/>
      <c r="AU1074" s="115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115"/>
      <c r="BF1074" s="115"/>
      <c r="BG1074" s="115"/>
      <c r="BH1074" s="26"/>
      <c r="BI1074" s="13"/>
      <c r="BL1074" s="114"/>
    </row>
    <row r="1075" spans="3:64" x14ac:dyDescent="0.4"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122"/>
      <c r="AR1075" s="122"/>
      <c r="AS1075" s="122"/>
      <c r="AT1075" s="115"/>
      <c r="AU1075" s="115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115"/>
      <c r="BF1075" s="115"/>
      <c r="BG1075" s="115"/>
      <c r="BH1075" s="26"/>
      <c r="BI1075" s="13"/>
      <c r="BL1075" s="114"/>
    </row>
    <row r="1076" spans="3:64" x14ac:dyDescent="0.4"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122"/>
      <c r="AR1076" s="122"/>
      <c r="AS1076" s="122"/>
      <c r="AT1076" s="115"/>
      <c r="AU1076" s="115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115"/>
      <c r="BF1076" s="115"/>
      <c r="BG1076" s="115"/>
      <c r="BH1076" s="26"/>
      <c r="BI1076" s="13"/>
      <c r="BL1076" s="114"/>
    </row>
    <row r="1077" spans="3:64" x14ac:dyDescent="0.4"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22"/>
      <c r="AR1077" s="122"/>
      <c r="AS1077" s="122"/>
      <c r="AT1077" s="115"/>
      <c r="AU1077" s="115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115"/>
      <c r="BF1077" s="115"/>
      <c r="BG1077" s="115"/>
      <c r="BH1077" s="26"/>
      <c r="BI1077" s="13"/>
      <c r="BL1077" s="114"/>
    </row>
    <row r="1078" spans="3:64" x14ac:dyDescent="0.4"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22"/>
      <c r="AR1078" s="122"/>
      <c r="AS1078" s="122"/>
      <c r="AT1078" s="115"/>
      <c r="AU1078" s="115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115"/>
      <c r="BF1078" s="115"/>
      <c r="BG1078" s="115"/>
      <c r="BH1078" s="26"/>
      <c r="BI1078" s="13"/>
      <c r="BL1078" s="114"/>
    </row>
    <row r="1079" spans="3:64" x14ac:dyDescent="0.4"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22"/>
      <c r="AR1079" s="122"/>
      <c r="AS1079" s="122"/>
      <c r="AT1079" s="115"/>
      <c r="AU1079" s="115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115"/>
      <c r="BF1079" s="115"/>
      <c r="BG1079" s="115"/>
      <c r="BH1079" s="26"/>
      <c r="BI1079" s="13"/>
      <c r="BL1079" s="114"/>
    </row>
    <row r="1080" spans="3:64" x14ac:dyDescent="0.4"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15"/>
      <c r="AP1080" s="115"/>
      <c r="AQ1080" s="122"/>
      <c r="AR1080" s="122"/>
      <c r="AS1080" s="122"/>
      <c r="AT1080" s="115"/>
      <c r="AU1080" s="115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115"/>
      <c r="BF1080" s="115"/>
      <c r="BG1080" s="115"/>
      <c r="BH1080" s="26"/>
      <c r="BI1080" s="13"/>
      <c r="BL1080" s="114"/>
    </row>
    <row r="1081" spans="3:64" x14ac:dyDescent="0.4"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  <c r="AJ1081" s="115"/>
      <c r="AK1081" s="115"/>
      <c r="AL1081" s="115"/>
      <c r="AM1081" s="115"/>
      <c r="AN1081" s="115"/>
      <c r="AO1081" s="115"/>
      <c r="AP1081" s="115"/>
      <c r="AQ1081" s="122"/>
      <c r="AR1081" s="122"/>
      <c r="AS1081" s="122"/>
      <c r="AT1081" s="115"/>
      <c r="AU1081" s="115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115"/>
      <c r="BF1081" s="115"/>
      <c r="BG1081" s="115"/>
      <c r="BH1081" s="17"/>
      <c r="BI1081" s="13"/>
      <c r="BL1081" s="114"/>
    </row>
    <row r="1082" spans="3:64" x14ac:dyDescent="0.4"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22"/>
      <c r="AR1082" s="122"/>
      <c r="AS1082" s="122"/>
      <c r="AT1082" s="115"/>
      <c r="AU1082" s="115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115"/>
      <c r="BF1082" s="115"/>
      <c r="BG1082" s="115"/>
      <c r="BH1082" s="26"/>
      <c r="BI1082" s="13"/>
      <c r="BL1082" s="114"/>
    </row>
    <row r="1083" spans="3:64" x14ac:dyDescent="0.4"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22"/>
      <c r="AR1083" s="122"/>
      <c r="AS1083" s="122"/>
      <c r="AT1083" s="115"/>
      <c r="AU1083" s="115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115"/>
      <c r="BF1083" s="115"/>
      <c r="BG1083" s="115"/>
      <c r="BH1083" s="26"/>
      <c r="BI1083" s="13"/>
      <c r="BL1083" s="114"/>
    </row>
    <row r="1084" spans="3:64" x14ac:dyDescent="0.4"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22"/>
      <c r="AR1084" s="122"/>
      <c r="AS1084" s="122"/>
      <c r="AT1084" s="115"/>
      <c r="AU1084" s="115"/>
      <c r="AV1084" s="115"/>
      <c r="AW1084" s="115"/>
      <c r="AX1084" s="115"/>
      <c r="AY1084" s="115"/>
      <c r="AZ1084" s="115"/>
      <c r="BA1084" s="115"/>
      <c r="BB1084" s="115"/>
      <c r="BC1084" s="115"/>
      <c r="BD1084" s="115"/>
      <c r="BE1084" s="115"/>
      <c r="BF1084" s="115"/>
      <c r="BG1084" s="115"/>
      <c r="BH1084" s="26"/>
      <c r="BI1084" s="13"/>
      <c r="BL1084" s="114"/>
    </row>
    <row r="1085" spans="3:64" x14ac:dyDescent="0.4"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22"/>
      <c r="AR1085" s="122"/>
      <c r="AS1085" s="122"/>
      <c r="AT1085" s="115"/>
      <c r="AU1085" s="115"/>
      <c r="AV1085" s="115"/>
      <c r="AW1085" s="115"/>
      <c r="AX1085" s="115"/>
      <c r="AY1085" s="115"/>
      <c r="AZ1085" s="115"/>
      <c r="BA1085" s="115"/>
      <c r="BB1085" s="115"/>
      <c r="BC1085" s="115"/>
      <c r="BD1085" s="115"/>
      <c r="BE1085" s="115"/>
      <c r="BF1085" s="115"/>
      <c r="BG1085" s="115"/>
      <c r="BH1085" s="26"/>
      <c r="BI1085" s="15"/>
      <c r="BL1085" s="114"/>
    </row>
    <row r="1086" spans="3:64" x14ac:dyDescent="0.4"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122"/>
      <c r="AR1086" s="122"/>
      <c r="AS1086" s="122"/>
      <c r="AT1086" s="115"/>
      <c r="AU1086" s="115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115"/>
      <c r="BF1086" s="115"/>
      <c r="BG1086" s="115"/>
      <c r="BH1086" s="26"/>
      <c r="BI1086" s="15"/>
      <c r="BL1086" s="114"/>
    </row>
    <row r="1087" spans="3:64" x14ac:dyDescent="0.4"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15"/>
      <c r="AQ1087" s="122"/>
      <c r="AR1087" s="122"/>
      <c r="AS1087" s="122"/>
      <c r="AT1087" s="115"/>
      <c r="AU1087" s="115"/>
      <c r="AV1087" s="115"/>
      <c r="AW1087" s="115"/>
      <c r="AX1087" s="115"/>
      <c r="AY1087" s="115"/>
      <c r="AZ1087" s="115"/>
      <c r="BA1087" s="115"/>
      <c r="BB1087" s="115"/>
      <c r="BC1087" s="115"/>
      <c r="BD1087" s="115"/>
      <c r="BE1087" s="115"/>
      <c r="BF1087" s="115"/>
      <c r="BG1087" s="115"/>
      <c r="BH1087" s="26"/>
      <c r="BI1087" s="15"/>
      <c r="BL1087" s="114"/>
    </row>
    <row r="1088" spans="3:64" x14ac:dyDescent="0.4"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15"/>
      <c r="AQ1088" s="122"/>
      <c r="AR1088" s="122"/>
      <c r="AS1088" s="122"/>
      <c r="AT1088" s="115"/>
      <c r="AU1088" s="115"/>
      <c r="AV1088" s="115"/>
      <c r="AW1088" s="115"/>
      <c r="AX1088" s="115"/>
      <c r="AY1088" s="115"/>
      <c r="AZ1088" s="115"/>
      <c r="BA1088" s="115"/>
      <c r="BB1088" s="115"/>
      <c r="BC1088" s="115"/>
      <c r="BD1088" s="115"/>
      <c r="BE1088" s="115"/>
      <c r="BF1088" s="115"/>
      <c r="BG1088" s="115"/>
      <c r="BH1088" s="26"/>
      <c r="BI1088" s="13"/>
      <c r="BL1088" s="114"/>
    </row>
    <row r="1089" spans="3:64" x14ac:dyDescent="0.4"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15"/>
      <c r="AP1089" s="115"/>
      <c r="AQ1089" s="122"/>
      <c r="AR1089" s="122"/>
      <c r="AS1089" s="122"/>
      <c r="AT1089" s="115"/>
      <c r="AU1089" s="115"/>
      <c r="AV1089" s="115"/>
      <c r="AW1089" s="115"/>
      <c r="AX1089" s="115"/>
      <c r="AY1089" s="115"/>
      <c r="AZ1089" s="115"/>
      <c r="BA1089" s="115"/>
      <c r="BB1089" s="115"/>
      <c r="BC1089" s="115"/>
      <c r="BD1089" s="115"/>
      <c r="BE1089" s="115"/>
      <c r="BF1089" s="115"/>
      <c r="BG1089" s="115"/>
      <c r="BH1089" s="26"/>
      <c r="BI1089" s="13"/>
      <c r="BL1089" s="114"/>
    </row>
    <row r="1090" spans="3:64" x14ac:dyDescent="0.4"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22"/>
      <c r="AR1090" s="122"/>
      <c r="AS1090" s="122"/>
      <c r="AT1090" s="115"/>
      <c r="AU1090" s="115"/>
      <c r="AV1090" s="115"/>
      <c r="AW1090" s="115"/>
      <c r="AX1090" s="115"/>
      <c r="AY1090" s="115"/>
      <c r="AZ1090" s="115"/>
      <c r="BA1090" s="115"/>
      <c r="BB1090" s="115"/>
      <c r="BC1090" s="115"/>
      <c r="BD1090" s="115"/>
      <c r="BE1090" s="115"/>
      <c r="BF1090" s="115"/>
      <c r="BG1090" s="115"/>
      <c r="BH1090" s="26"/>
      <c r="BI1090" s="13"/>
      <c r="BL1090" s="114"/>
    </row>
    <row r="1091" spans="3:64" x14ac:dyDescent="0.4"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15"/>
      <c r="AK1091" s="115"/>
      <c r="AL1091" s="115"/>
      <c r="AM1091" s="115"/>
      <c r="AN1091" s="115"/>
      <c r="AO1091" s="115"/>
      <c r="AP1091" s="115"/>
      <c r="AQ1091" s="122"/>
      <c r="AR1091" s="122"/>
      <c r="AS1091" s="122"/>
      <c r="AT1091" s="115"/>
      <c r="AU1091" s="115"/>
      <c r="AV1091" s="115"/>
      <c r="AW1091" s="115"/>
      <c r="AX1091" s="115"/>
      <c r="AY1091" s="115"/>
      <c r="AZ1091" s="115"/>
      <c r="BA1091" s="115"/>
      <c r="BB1091" s="115"/>
      <c r="BC1091" s="115"/>
      <c r="BD1091" s="115"/>
      <c r="BE1091" s="115"/>
      <c r="BF1091" s="115"/>
      <c r="BG1091" s="115"/>
      <c r="BH1091" s="17"/>
      <c r="BI1091" s="13"/>
      <c r="BL1091" s="114"/>
    </row>
    <row r="1092" spans="3:64" x14ac:dyDescent="0.4"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22"/>
      <c r="AR1092" s="122"/>
      <c r="AS1092" s="122"/>
      <c r="AT1092" s="115"/>
      <c r="AU1092" s="115"/>
      <c r="AV1092" s="115"/>
      <c r="AW1092" s="115"/>
      <c r="AX1092" s="115"/>
      <c r="AY1092" s="115"/>
      <c r="AZ1092" s="115"/>
      <c r="BA1092" s="115"/>
      <c r="BB1092" s="115"/>
      <c r="BC1092" s="115"/>
      <c r="BD1092" s="115"/>
      <c r="BE1092" s="115"/>
      <c r="BF1092" s="115"/>
      <c r="BG1092" s="115"/>
      <c r="BH1092" s="26"/>
      <c r="BI1092" s="13"/>
      <c r="BL1092" s="114"/>
    </row>
    <row r="1093" spans="3:64" x14ac:dyDescent="0.4"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22"/>
      <c r="AR1093" s="122"/>
      <c r="AS1093" s="122"/>
      <c r="AT1093" s="115"/>
      <c r="AU1093" s="115"/>
      <c r="AV1093" s="115"/>
      <c r="AW1093" s="115"/>
      <c r="AX1093" s="115"/>
      <c r="AY1093" s="115"/>
      <c r="AZ1093" s="115"/>
      <c r="BA1093" s="115"/>
      <c r="BB1093" s="115"/>
      <c r="BC1093" s="115"/>
      <c r="BD1093" s="115"/>
      <c r="BE1093" s="115"/>
      <c r="BF1093" s="115"/>
      <c r="BG1093" s="115"/>
      <c r="BH1093" s="26"/>
      <c r="BI1093" s="25"/>
      <c r="BL1093" s="114"/>
    </row>
    <row r="1094" spans="3:64" x14ac:dyDescent="0.4"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22"/>
      <c r="AR1094" s="122"/>
      <c r="AS1094" s="122"/>
      <c r="AT1094" s="115"/>
      <c r="AU1094" s="115"/>
      <c r="AV1094" s="115"/>
      <c r="AW1094" s="115"/>
      <c r="AX1094" s="115"/>
      <c r="AY1094" s="115"/>
      <c r="AZ1094" s="115"/>
      <c r="BA1094" s="115"/>
      <c r="BB1094" s="115"/>
      <c r="BC1094" s="115"/>
      <c r="BD1094" s="115"/>
      <c r="BE1094" s="115"/>
      <c r="BF1094" s="115"/>
      <c r="BG1094" s="115"/>
      <c r="BH1094" s="26"/>
      <c r="BI1094" s="13"/>
      <c r="BL1094" s="114"/>
    </row>
    <row r="1095" spans="3:64" x14ac:dyDescent="0.4"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22"/>
      <c r="AR1095" s="122"/>
      <c r="AS1095" s="122"/>
      <c r="AT1095" s="115"/>
      <c r="AU1095" s="115"/>
      <c r="AV1095" s="115"/>
      <c r="AW1095" s="115"/>
      <c r="AX1095" s="115"/>
      <c r="AY1095" s="115"/>
      <c r="AZ1095" s="115"/>
      <c r="BA1095" s="115"/>
      <c r="BB1095" s="115"/>
      <c r="BC1095" s="115"/>
      <c r="BD1095" s="115"/>
      <c r="BE1095" s="115"/>
      <c r="BF1095" s="115"/>
      <c r="BG1095" s="115"/>
      <c r="BH1095" s="26"/>
      <c r="BI1095" s="13"/>
      <c r="BL1095" s="114"/>
    </row>
    <row r="1096" spans="3:64" x14ac:dyDescent="0.4"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22"/>
      <c r="AR1096" s="122"/>
      <c r="AS1096" s="122"/>
      <c r="AT1096" s="115"/>
      <c r="AU1096" s="115"/>
      <c r="AV1096" s="115"/>
      <c r="AW1096" s="115"/>
      <c r="AX1096" s="115"/>
      <c r="AY1096" s="115"/>
      <c r="AZ1096" s="115"/>
      <c r="BA1096" s="115"/>
      <c r="BB1096" s="115"/>
      <c r="BC1096" s="115"/>
      <c r="BD1096" s="115"/>
      <c r="BE1096" s="115"/>
      <c r="BF1096" s="115"/>
      <c r="BG1096" s="115"/>
      <c r="BH1096" s="26"/>
      <c r="BI1096" s="13"/>
      <c r="BL1096" s="114"/>
    </row>
    <row r="1097" spans="3:64" x14ac:dyDescent="0.4"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22"/>
      <c r="AR1097" s="122"/>
      <c r="AS1097" s="122"/>
      <c r="AT1097" s="115"/>
      <c r="AU1097" s="115"/>
      <c r="AV1097" s="115"/>
      <c r="AW1097" s="115"/>
      <c r="AX1097" s="115"/>
      <c r="AY1097" s="115"/>
      <c r="AZ1097" s="115"/>
      <c r="BA1097" s="115"/>
      <c r="BB1097" s="115"/>
      <c r="BC1097" s="115"/>
      <c r="BD1097" s="115"/>
      <c r="BE1097" s="115"/>
      <c r="BF1097" s="115"/>
      <c r="BG1097" s="115"/>
      <c r="BH1097" s="26"/>
      <c r="BI1097" s="13"/>
      <c r="BL1097" s="114"/>
    </row>
    <row r="1098" spans="3:64" x14ac:dyDescent="0.4"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22"/>
      <c r="AR1098" s="122"/>
      <c r="AS1098" s="122"/>
      <c r="AT1098" s="115"/>
      <c r="AU1098" s="115"/>
      <c r="AV1098" s="115"/>
      <c r="AW1098" s="115"/>
      <c r="BH1098" s="26"/>
      <c r="BI1098" s="13"/>
      <c r="BL1098" s="114"/>
    </row>
    <row r="1099" spans="3:64" x14ac:dyDescent="0.4"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15"/>
      <c r="AP1099" s="115"/>
      <c r="AQ1099" s="122"/>
      <c r="AR1099" s="122"/>
      <c r="AS1099" s="122"/>
      <c r="AT1099" s="115"/>
      <c r="AU1099" s="115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115"/>
      <c r="BF1099" s="115"/>
      <c r="BG1099" s="115"/>
      <c r="BH1099" s="26"/>
      <c r="BI1099" s="13"/>
      <c r="BL1099" s="114"/>
    </row>
    <row r="1100" spans="3:64" x14ac:dyDescent="0.4"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122"/>
      <c r="AR1100" s="122"/>
      <c r="AS1100" s="122"/>
      <c r="AT1100" s="115"/>
      <c r="AU1100" s="115"/>
      <c r="AV1100" s="115"/>
      <c r="AW1100" s="115"/>
      <c r="AX1100" s="115"/>
      <c r="AY1100" s="115"/>
      <c r="AZ1100" s="115"/>
      <c r="BA1100" s="115"/>
      <c r="BB1100" s="115"/>
      <c r="BC1100" s="115"/>
      <c r="BD1100" s="115"/>
      <c r="BE1100" s="115"/>
      <c r="BF1100" s="115"/>
      <c r="BG1100" s="115"/>
      <c r="BH1100" s="17"/>
      <c r="BI1100" s="13"/>
      <c r="BL1100" s="114"/>
    </row>
    <row r="1101" spans="3:64" x14ac:dyDescent="0.4"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22"/>
      <c r="AR1101" s="122"/>
      <c r="AS1101" s="122"/>
      <c r="AT1101" s="115"/>
      <c r="AU1101" s="115"/>
      <c r="AV1101" s="115"/>
      <c r="AW1101" s="115"/>
      <c r="AX1101" s="115"/>
      <c r="AY1101" s="115"/>
      <c r="AZ1101" s="115"/>
      <c r="BA1101" s="115"/>
      <c r="BB1101" s="115"/>
      <c r="BC1101" s="115"/>
      <c r="BD1101" s="115"/>
      <c r="BE1101" s="115"/>
      <c r="BF1101" s="115"/>
      <c r="BG1101" s="115"/>
      <c r="BH1101" s="26"/>
      <c r="BI1101" s="13"/>
      <c r="BL1101" s="114"/>
    </row>
    <row r="1102" spans="3:64" x14ac:dyDescent="0.4"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15"/>
      <c r="AQ1102" s="122"/>
      <c r="AR1102" s="122"/>
      <c r="AS1102" s="122"/>
      <c r="AT1102" s="115"/>
      <c r="AU1102" s="115"/>
      <c r="AV1102" s="115"/>
      <c r="AW1102" s="115"/>
      <c r="AX1102" s="115"/>
      <c r="AY1102" s="115"/>
      <c r="AZ1102" s="115"/>
      <c r="BA1102" s="115"/>
      <c r="BB1102" s="115"/>
      <c r="BC1102" s="115"/>
      <c r="BD1102" s="115"/>
      <c r="BE1102" s="115"/>
      <c r="BF1102" s="115"/>
      <c r="BG1102" s="115"/>
      <c r="BH1102" s="26"/>
      <c r="BI1102" s="15"/>
      <c r="BL1102" s="114"/>
    </row>
    <row r="1103" spans="3:64" x14ac:dyDescent="0.4"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22"/>
      <c r="AR1103" s="122"/>
      <c r="AS1103" s="122"/>
      <c r="AT1103" s="115"/>
      <c r="AU1103" s="115"/>
      <c r="AV1103" s="115"/>
      <c r="AW1103" s="115"/>
      <c r="AX1103" s="115"/>
      <c r="AY1103" s="115"/>
      <c r="AZ1103" s="115"/>
      <c r="BA1103" s="115"/>
      <c r="BB1103" s="115"/>
      <c r="BC1103" s="115"/>
      <c r="BD1103" s="115"/>
      <c r="BE1103" s="115"/>
      <c r="BF1103" s="115"/>
      <c r="BG1103" s="115"/>
      <c r="BH1103" s="17"/>
      <c r="BI1103" s="15"/>
      <c r="BL1103" s="114"/>
    </row>
    <row r="1104" spans="3:64" x14ac:dyDescent="0.4"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15"/>
      <c r="AP1104" s="115"/>
      <c r="AQ1104" s="122"/>
      <c r="AR1104" s="122"/>
      <c r="AS1104" s="122"/>
      <c r="AT1104" s="115"/>
      <c r="AU1104" s="115"/>
      <c r="AV1104" s="115"/>
      <c r="AW1104" s="115"/>
      <c r="AX1104" s="115"/>
      <c r="AY1104" s="115"/>
      <c r="AZ1104" s="115"/>
      <c r="BA1104" s="115"/>
      <c r="BB1104" s="115"/>
      <c r="BC1104" s="115"/>
      <c r="BD1104" s="115"/>
      <c r="BE1104" s="115"/>
      <c r="BF1104" s="115"/>
      <c r="BG1104" s="115"/>
      <c r="BH1104" s="26"/>
      <c r="BI1104" s="15"/>
      <c r="BL1104" s="114"/>
    </row>
    <row r="1105" spans="1:64" x14ac:dyDescent="0.4">
      <c r="A1105" s="115"/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22"/>
      <c r="AR1105" s="122"/>
      <c r="AS1105" s="122"/>
      <c r="AT1105" s="115"/>
      <c r="AU1105" s="115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115"/>
      <c r="BF1105" s="115"/>
      <c r="BG1105" s="115"/>
      <c r="BH1105" s="26"/>
      <c r="BI1105" s="15"/>
      <c r="BL1105" s="114"/>
    </row>
    <row r="1106" spans="1:64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22"/>
      <c r="AR1106" s="122"/>
      <c r="AS1106" s="122"/>
      <c r="AT1106" s="115"/>
      <c r="AU1106" s="115"/>
      <c r="AV1106" s="115"/>
      <c r="AW1106" s="115"/>
      <c r="AX1106" s="115"/>
      <c r="AY1106" s="115"/>
      <c r="AZ1106" s="115"/>
      <c r="BA1106" s="115"/>
      <c r="BB1106" s="115"/>
      <c r="BC1106" s="115"/>
      <c r="BD1106" s="115"/>
      <c r="BE1106" s="115"/>
      <c r="BF1106" s="115"/>
      <c r="BG1106" s="115"/>
      <c r="BH1106" s="17"/>
      <c r="BI1106" s="13"/>
      <c r="BL1106" s="114"/>
    </row>
    <row r="1107" spans="1:64" x14ac:dyDescent="0.4">
      <c r="A1107" s="115"/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22"/>
      <c r="AR1107" s="122"/>
      <c r="AS1107" s="122"/>
      <c r="AT1107" s="115"/>
      <c r="AU1107" s="115"/>
      <c r="AV1107" s="115"/>
      <c r="AW1107" s="115"/>
      <c r="AX1107" s="115"/>
      <c r="AY1107" s="115"/>
      <c r="AZ1107" s="115"/>
      <c r="BA1107" s="115"/>
      <c r="BB1107" s="115"/>
      <c r="BC1107" s="115"/>
      <c r="BD1107" s="115"/>
      <c r="BE1107" s="115"/>
      <c r="BF1107" s="115"/>
      <c r="BG1107" s="115"/>
      <c r="BH1107" s="17"/>
      <c r="BI1107" s="13"/>
      <c r="BL1107" s="114"/>
    </row>
    <row r="1108" spans="1:64" x14ac:dyDescent="0.4">
      <c r="A1108" s="115"/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22"/>
      <c r="AR1108" s="122"/>
      <c r="AS1108" s="122"/>
      <c r="AT1108" s="115"/>
      <c r="AU1108" s="115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115"/>
      <c r="BF1108" s="115"/>
      <c r="BG1108" s="115"/>
      <c r="BH1108" s="26"/>
      <c r="BI1108" s="13"/>
      <c r="BL1108" s="114"/>
    </row>
    <row r="1109" spans="1:64" x14ac:dyDescent="0.4">
      <c r="A1109" s="115"/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22"/>
      <c r="AR1109" s="122"/>
      <c r="AS1109" s="122"/>
      <c r="AT1109" s="115"/>
      <c r="AU1109" s="115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115"/>
      <c r="BF1109" s="115"/>
      <c r="BG1109" s="115"/>
      <c r="BH1109" s="26"/>
      <c r="BI1109" s="13"/>
      <c r="BL1109" s="114"/>
    </row>
    <row r="1110" spans="1:64" x14ac:dyDescent="0.4">
      <c r="A1110" s="115"/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22"/>
      <c r="AR1110" s="122"/>
      <c r="AS1110" s="122"/>
      <c r="AT1110" s="115"/>
      <c r="AU1110" s="115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115"/>
      <c r="BF1110" s="115"/>
      <c r="BG1110" s="115"/>
      <c r="BH1110" s="17"/>
      <c r="BI1110" s="13"/>
      <c r="BL1110" s="114"/>
    </row>
    <row r="1111" spans="1:64" x14ac:dyDescent="0.4">
      <c r="A1111" s="115"/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22"/>
      <c r="AR1111" s="122"/>
      <c r="AS1111" s="122"/>
      <c r="AT1111" s="115"/>
      <c r="AU1111" s="115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115"/>
      <c r="BF1111" s="115"/>
      <c r="BG1111" s="115"/>
      <c r="BH1111" s="26"/>
      <c r="BI1111" s="15"/>
      <c r="BL1111" s="114"/>
    </row>
    <row r="1112" spans="1:64" x14ac:dyDescent="0.4">
      <c r="A1112" s="115"/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22"/>
      <c r="AR1112" s="122"/>
      <c r="AS1112" s="122"/>
      <c r="AT1112" s="115"/>
      <c r="AU1112" s="115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115"/>
      <c r="BF1112" s="115"/>
      <c r="BG1112" s="115"/>
      <c r="BH1112" s="26"/>
      <c r="BI1112" s="15"/>
      <c r="BL1112" s="114"/>
    </row>
    <row r="1113" spans="1:64" x14ac:dyDescent="0.4">
      <c r="A1113" s="115"/>
      <c r="B1113" s="115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22"/>
      <c r="AR1113" s="122"/>
      <c r="AS1113" s="122"/>
      <c r="AT1113" s="115"/>
      <c r="AU1113" s="115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115"/>
      <c r="BF1113" s="115"/>
      <c r="BG1113" s="115"/>
      <c r="BH1113" s="26"/>
      <c r="BI1113" s="15"/>
      <c r="BL1113" s="114"/>
    </row>
    <row r="1114" spans="1:64" x14ac:dyDescent="0.4">
      <c r="A1114" s="115"/>
      <c r="B1114" s="115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22"/>
      <c r="AR1114" s="122"/>
      <c r="AS1114" s="122"/>
      <c r="AT1114" s="115"/>
      <c r="AU1114" s="115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115"/>
      <c r="BF1114" s="115"/>
      <c r="BG1114" s="115"/>
      <c r="BH1114" s="26"/>
      <c r="BI1114" s="13"/>
      <c r="BL1114" s="114"/>
    </row>
    <row r="1115" spans="1:64" x14ac:dyDescent="0.4">
      <c r="A1115" s="115"/>
      <c r="B1115" s="115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22"/>
      <c r="AR1115" s="122"/>
      <c r="AS1115" s="122"/>
      <c r="AT1115" s="115"/>
      <c r="AU1115" s="115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115"/>
      <c r="BF1115" s="115"/>
      <c r="BG1115" s="115"/>
      <c r="BH1115" s="26"/>
      <c r="BI1115" s="25"/>
      <c r="BL1115" s="114"/>
    </row>
    <row r="1116" spans="1:64" x14ac:dyDescent="0.4">
      <c r="A1116" s="115"/>
      <c r="B1116" s="115"/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22"/>
      <c r="AR1116" s="122"/>
      <c r="AS1116" s="122"/>
      <c r="AT1116" s="115"/>
      <c r="AU1116" s="115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115"/>
      <c r="BF1116" s="115"/>
      <c r="BG1116" s="115"/>
      <c r="BH1116" s="26"/>
      <c r="BI1116" s="13"/>
      <c r="BL1116" s="114"/>
    </row>
    <row r="1117" spans="1:64" x14ac:dyDescent="0.4">
      <c r="A1117" s="115"/>
      <c r="B1117" s="115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22"/>
      <c r="AR1117" s="122"/>
      <c r="AS1117" s="122"/>
      <c r="AT1117" s="115"/>
      <c r="AU1117" s="115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115"/>
      <c r="BF1117" s="115"/>
      <c r="BG1117" s="115"/>
      <c r="BH1117" s="26"/>
      <c r="BI1117" s="13"/>
      <c r="BL1117" s="114"/>
    </row>
    <row r="1118" spans="1:64" x14ac:dyDescent="0.4">
      <c r="A1118" s="115"/>
      <c r="B1118" s="115"/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22"/>
      <c r="AR1118" s="122"/>
      <c r="AS1118" s="122"/>
      <c r="AT1118" s="115"/>
      <c r="AU1118" s="115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115"/>
      <c r="BF1118" s="115"/>
      <c r="BG1118" s="115"/>
      <c r="BH1118" s="26"/>
      <c r="BI1118" s="13"/>
      <c r="BL1118" s="114"/>
    </row>
    <row r="1119" spans="1:64" x14ac:dyDescent="0.4">
      <c r="A1119" s="115"/>
      <c r="B1119" s="115"/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15"/>
      <c r="AP1119" s="115"/>
      <c r="AQ1119" s="122"/>
      <c r="AR1119" s="122"/>
      <c r="AS1119" s="122"/>
      <c r="AT1119" s="115"/>
      <c r="AU1119" s="115"/>
      <c r="AV1119" s="115"/>
      <c r="AW1119" s="115"/>
      <c r="AX1119" s="115"/>
      <c r="AY1119" s="115"/>
      <c r="AZ1119" s="115"/>
      <c r="BA1119" s="115"/>
      <c r="BB1119" s="115"/>
      <c r="BC1119" s="115"/>
      <c r="BD1119" s="115"/>
      <c r="BE1119" s="115"/>
      <c r="BF1119" s="115"/>
      <c r="BG1119" s="115"/>
      <c r="BH1119" s="26"/>
      <c r="BI1119" s="13"/>
      <c r="BL1119" s="114"/>
    </row>
    <row r="1120" spans="1:64" x14ac:dyDescent="0.4">
      <c r="A1120" s="115"/>
      <c r="B1120" s="115"/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22"/>
      <c r="AR1120" s="122"/>
      <c r="AS1120" s="122"/>
      <c r="AT1120" s="115"/>
      <c r="AU1120" s="115"/>
      <c r="AV1120" s="115"/>
      <c r="AW1120" s="115"/>
      <c r="AX1120" s="115"/>
      <c r="AY1120" s="115"/>
      <c r="AZ1120" s="115"/>
      <c r="BA1120" s="115"/>
      <c r="BB1120" s="115"/>
      <c r="BC1120" s="115"/>
      <c r="BD1120" s="115"/>
      <c r="BE1120" s="115"/>
      <c r="BF1120" s="115"/>
      <c r="BG1120" s="115"/>
      <c r="BH1120" s="26"/>
      <c r="BI1120" s="13"/>
      <c r="BL1120" s="114"/>
    </row>
    <row r="1121" spans="1:64" x14ac:dyDescent="0.4">
      <c r="A1121" s="115"/>
      <c r="B1121" s="115"/>
      <c r="C1121" s="115"/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15"/>
      <c r="AP1121" s="115"/>
      <c r="AQ1121" s="122"/>
      <c r="AR1121" s="122"/>
      <c r="AS1121" s="122"/>
      <c r="AT1121" s="115"/>
      <c r="AU1121" s="115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115"/>
      <c r="BF1121" s="115"/>
      <c r="BG1121" s="115"/>
      <c r="BH1121" s="26"/>
      <c r="BI1121" s="13"/>
      <c r="BL1121" s="114"/>
    </row>
    <row r="1122" spans="1:64" x14ac:dyDescent="0.4">
      <c r="A1122" s="115"/>
      <c r="B1122" s="115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22"/>
      <c r="AR1122" s="122"/>
      <c r="AS1122" s="122"/>
      <c r="AT1122" s="115"/>
      <c r="AU1122" s="115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115"/>
      <c r="BF1122" s="115"/>
      <c r="BG1122" s="115"/>
      <c r="BH1122" s="26"/>
      <c r="BI1122" s="13"/>
      <c r="BL1122" s="114"/>
    </row>
    <row r="1123" spans="1:64" x14ac:dyDescent="0.4">
      <c r="A1123" s="115"/>
      <c r="B1123" s="115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22"/>
      <c r="AR1123" s="122"/>
      <c r="AS1123" s="122"/>
      <c r="AT1123" s="115"/>
      <c r="AU1123" s="115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115"/>
      <c r="BF1123" s="115"/>
      <c r="BG1123" s="115"/>
      <c r="BH1123" s="26"/>
      <c r="BI1123" s="13"/>
      <c r="BL1123" s="114"/>
    </row>
    <row r="1124" spans="1:64" x14ac:dyDescent="0.4">
      <c r="A1124" s="115"/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22"/>
      <c r="AR1124" s="122"/>
      <c r="AS1124" s="122"/>
      <c r="AT1124" s="115"/>
      <c r="AU1124" s="115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115"/>
      <c r="BF1124" s="115"/>
      <c r="BG1124" s="115"/>
      <c r="BH1124" s="26"/>
      <c r="BI1124" s="13"/>
      <c r="BL1124" s="114"/>
    </row>
    <row r="1125" spans="1:64" x14ac:dyDescent="0.4">
      <c r="A1125" s="115"/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22"/>
      <c r="AR1125" s="122"/>
      <c r="AS1125" s="122"/>
      <c r="AT1125" s="115"/>
      <c r="AU1125" s="115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115"/>
      <c r="BF1125" s="115"/>
      <c r="BG1125" s="115"/>
      <c r="BH1125" s="26"/>
      <c r="BI1125" s="13"/>
      <c r="BL1125" s="114"/>
    </row>
    <row r="1126" spans="1:64" x14ac:dyDescent="0.4">
      <c r="A1126" s="115"/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22"/>
      <c r="AR1126" s="122"/>
      <c r="AS1126" s="122"/>
      <c r="AT1126" s="115"/>
      <c r="AU1126" s="115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115"/>
      <c r="BF1126" s="115"/>
      <c r="BG1126" s="115"/>
      <c r="BH1126" s="26"/>
      <c r="BI1126" s="15"/>
      <c r="BL1126" s="114"/>
    </row>
    <row r="1127" spans="1:64" x14ac:dyDescent="0.4">
      <c r="A1127" s="115"/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22"/>
      <c r="AR1127" s="122"/>
      <c r="AS1127" s="122"/>
      <c r="AT1127" s="115"/>
      <c r="AU1127" s="115"/>
      <c r="AV1127" s="115"/>
      <c r="AW1127" s="115"/>
      <c r="AX1127" s="115"/>
      <c r="AY1127" s="115"/>
      <c r="AZ1127" s="115"/>
      <c r="BA1127" s="115"/>
      <c r="BB1127" s="115"/>
      <c r="BC1127" s="115"/>
      <c r="BD1127" s="115"/>
      <c r="BE1127" s="115"/>
      <c r="BF1127" s="115"/>
      <c r="BG1127" s="115"/>
      <c r="BH1127" s="26"/>
      <c r="BI1127" s="15"/>
      <c r="BL1127" s="114"/>
    </row>
    <row r="1128" spans="1:64" x14ac:dyDescent="0.4">
      <c r="A1128" s="115"/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22"/>
      <c r="AR1128" s="122"/>
      <c r="AS1128" s="122"/>
      <c r="AT1128" s="115"/>
      <c r="AU1128" s="115"/>
      <c r="AV1128" s="115"/>
      <c r="AW1128" s="115"/>
      <c r="AX1128" s="115"/>
      <c r="AY1128" s="115"/>
      <c r="AZ1128" s="115"/>
      <c r="BA1128" s="115"/>
      <c r="BB1128" s="115"/>
      <c r="BC1128" s="115"/>
      <c r="BD1128" s="115"/>
      <c r="BE1128" s="115"/>
      <c r="BF1128" s="115"/>
      <c r="BG1128" s="115"/>
      <c r="BH1128" s="26"/>
      <c r="BI1128" s="15"/>
      <c r="BL1128" s="114"/>
    </row>
    <row r="1129" spans="1:64" x14ac:dyDescent="0.4">
      <c r="A1129" s="115"/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22"/>
      <c r="AR1129" s="122"/>
      <c r="AS1129" s="122"/>
      <c r="AT1129" s="115"/>
      <c r="AU1129" s="115"/>
      <c r="AV1129" s="115"/>
      <c r="AW1129" s="115"/>
      <c r="AX1129" s="115"/>
      <c r="AY1129" s="115"/>
      <c r="AZ1129" s="115"/>
      <c r="BA1129" s="115"/>
      <c r="BB1129" s="115"/>
      <c r="BC1129" s="115"/>
      <c r="BD1129" s="115"/>
      <c r="BE1129" s="115"/>
      <c r="BF1129" s="115"/>
      <c r="BG1129" s="115"/>
      <c r="BH1129" s="26"/>
      <c r="BI1129" s="15"/>
      <c r="BL1129" s="114"/>
    </row>
    <row r="1130" spans="1:64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22"/>
      <c r="AR1130" s="122"/>
      <c r="AS1130" s="122"/>
      <c r="AT1130" s="115"/>
      <c r="AU1130" s="115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115"/>
      <c r="BF1130" s="115"/>
      <c r="BG1130" s="115"/>
      <c r="BH1130" s="26"/>
      <c r="BI1130" s="13"/>
      <c r="BL1130" s="114"/>
    </row>
    <row r="1131" spans="1:64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22"/>
      <c r="AR1131" s="122"/>
      <c r="AS1131" s="122"/>
      <c r="AT1131" s="115"/>
      <c r="AU1131" s="115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115"/>
      <c r="BF1131" s="115"/>
      <c r="BG1131" s="115"/>
      <c r="BH1131" s="26"/>
      <c r="BI1131" s="15"/>
      <c r="BL1131" s="114"/>
    </row>
    <row r="1132" spans="1:64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22"/>
      <c r="AR1132" s="122"/>
      <c r="AS1132" s="122"/>
      <c r="AT1132" s="115"/>
      <c r="AU1132" s="115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115"/>
      <c r="BF1132" s="115"/>
      <c r="BG1132" s="115"/>
      <c r="BH1132" s="26"/>
      <c r="BI1132" s="15"/>
      <c r="BL1132" s="114"/>
    </row>
    <row r="1133" spans="1:64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22"/>
      <c r="AR1133" s="122"/>
      <c r="AS1133" s="122"/>
      <c r="AT1133" s="115"/>
      <c r="AU1133" s="115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115"/>
      <c r="BF1133" s="115"/>
      <c r="BG1133" s="115"/>
      <c r="BH1133" s="26"/>
      <c r="BI1133" s="15"/>
      <c r="BL1133" s="114"/>
    </row>
    <row r="1134" spans="1:64" x14ac:dyDescent="0.4">
      <c r="A1134" s="115"/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22"/>
      <c r="AR1134" s="122"/>
      <c r="AS1134" s="122"/>
      <c r="AT1134" s="115"/>
      <c r="AU1134" s="115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115"/>
      <c r="BF1134" s="115"/>
      <c r="BG1134" s="115"/>
      <c r="BH1134" s="26"/>
      <c r="BI1134" s="15"/>
      <c r="BL1134" s="114"/>
    </row>
    <row r="1135" spans="1:64" x14ac:dyDescent="0.4">
      <c r="A1135" s="115"/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22"/>
      <c r="AR1135" s="122"/>
      <c r="AS1135" s="122"/>
      <c r="AT1135" s="115"/>
      <c r="AU1135" s="115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115"/>
      <c r="BF1135" s="115"/>
      <c r="BG1135" s="115"/>
      <c r="BH1135" s="26"/>
      <c r="BI1135" s="15"/>
      <c r="BL1135" s="114"/>
    </row>
    <row r="1136" spans="1:64" x14ac:dyDescent="0.4">
      <c r="A1136" s="115"/>
      <c r="B1136" s="115"/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15"/>
      <c r="AP1136" s="115"/>
      <c r="AQ1136" s="122"/>
      <c r="AR1136" s="122"/>
      <c r="AS1136" s="122"/>
      <c r="AT1136" s="115"/>
      <c r="AU1136" s="115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115"/>
      <c r="BF1136" s="115"/>
      <c r="BG1136" s="115"/>
      <c r="BH1136" s="26"/>
      <c r="BI1136" s="105"/>
      <c r="BL1136" s="114"/>
    </row>
    <row r="1137" spans="1:64" x14ac:dyDescent="0.4">
      <c r="A1137" s="115"/>
      <c r="B1137" s="115"/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22"/>
      <c r="AR1137" s="122"/>
      <c r="AS1137" s="122"/>
      <c r="AT1137" s="115"/>
      <c r="AU1137" s="115"/>
      <c r="AV1137" s="115"/>
      <c r="AW1137" s="115"/>
      <c r="AX1137" s="115"/>
      <c r="AY1137" s="115"/>
      <c r="AZ1137" s="115"/>
      <c r="BA1137" s="115"/>
      <c r="BB1137" s="115"/>
      <c r="BC1137" s="115"/>
      <c r="BD1137" s="115"/>
      <c r="BE1137" s="115"/>
      <c r="BF1137" s="115"/>
      <c r="BG1137" s="115"/>
      <c r="BH1137" s="17"/>
      <c r="BI1137" s="15"/>
      <c r="BL1137" s="114"/>
    </row>
    <row r="1138" spans="1:64" x14ac:dyDescent="0.4">
      <c r="A1138" s="115"/>
      <c r="B1138" s="115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22"/>
      <c r="AR1138" s="122"/>
      <c r="AS1138" s="122"/>
      <c r="AT1138" s="115"/>
      <c r="AU1138" s="115"/>
      <c r="AV1138" s="115"/>
      <c r="AW1138" s="115"/>
      <c r="AX1138" s="115"/>
      <c r="AY1138" s="115"/>
      <c r="AZ1138" s="115"/>
      <c r="BA1138" s="115"/>
      <c r="BB1138" s="115"/>
      <c r="BC1138" s="115"/>
      <c r="BD1138" s="115"/>
      <c r="BE1138" s="115"/>
      <c r="BF1138" s="115"/>
      <c r="BG1138" s="115"/>
      <c r="BH1138" s="26"/>
      <c r="BI1138" s="15"/>
      <c r="BL1138" s="114"/>
    </row>
    <row r="1139" spans="1:64" x14ac:dyDescent="0.4">
      <c r="A1139" s="115"/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22"/>
      <c r="AR1139" s="122"/>
      <c r="AS1139" s="122"/>
      <c r="AT1139" s="115"/>
      <c r="AU1139" s="115"/>
      <c r="AV1139" s="115"/>
      <c r="AW1139" s="115"/>
      <c r="AX1139" s="115"/>
      <c r="AY1139" s="115"/>
      <c r="AZ1139" s="115"/>
      <c r="BA1139" s="115"/>
      <c r="BB1139" s="115"/>
      <c r="BC1139" s="115"/>
      <c r="BD1139" s="115"/>
      <c r="BE1139" s="115"/>
      <c r="BF1139" s="115"/>
      <c r="BG1139" s="115"/>
      <c r="BH1139" s="26"/>
      <c r="BI1139" s="15"/>
      <c r="BL1139" s="114"/>
    </row>
    <row r="1140" spans="1:64" x14ac:dyDescent="0.4">
      <c r="A1140" s="115"/>
      <c r="B1140" s="115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22"/>
      <c r="AR1140" s="122"/>
      <c r="AS1140" s="122"/>
      <c r="AT1140" s="115"/>
      <c r="AU1140" s="115"/>
      <c r="AV1140" s="115"/>
      <c r="AW1140" s="115"/>
      <c r="AX1140" s="115"/>
      <c r="AY1140" s="115"/>
      <c r="AZ1140" s="115"/>
      <c r="BA1140" s="115"/>
      <c r="BB1140" s="115"/>
      <c r="BC1140" s="115"/>
      <c r="BD1140" s="115"/>
      <c r="BE1140" s="115"/>
      <c r="BF1140" s="115"/>
      <c r="BG1140" s="115"/>
      <c r="BH1140" s="26"/>
      <c r="BI1140" s="105"/>
      <c r="BL1140" s="114"/>
    </row>
    <row r="1141" spans="1:64" x14ac:dyDescent="0.4">
      <c r="BH1141" s="26"/>
      <c r="BI1141" s="15"/>
      <c r="BL1141" s="114"/>
    </row>
    <row r="1142" spans="1:64" x14ac:dyDescent="0.4">
      <c r="AR1142" s="122"/>
      <c r="AS1142" s="122"/>
      <c r="AT1142" s="115"/>
      <c r="AU1142" s="115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115"/>
      <c r="BF1142" s="115"/>
      <c r="BG1142" s="115"/>
      <c r="BH1142" s="26"/>
      <c r="BI1142" s="15"/>
      <c r="BL1142" s="114"/>
    </row>
    <row r="1143" spans="1:64" x14ac:dyDescent="0.4">
      <c r="AN1143" s="115"/>
      <c r="AO1143" s="115"/>
      <c r="AP1143" s="115"/>
      <c r="AQ1143" s="122"/>
      <c r="AR1143" s="122"/>
      <c r="AS1143" s="122"/>
      <c r="AT1143" s="115"/>
      <c r="AU1143" s="115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115"/>
      <c r="BF1143" s="115"/>
      <c r="BG1143" s="115"/>
      <c r="BH1143" s="26"/>
      <c r="BI1143" s="15"/>
      <c r="BL1143" s="114"/>
    </row>
    <row r="1144" spans="1:64" x14ac:dyDescent="0.4"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22"/>
      <c r="AR1144" s="122"/>
      <c r="AS1144" s="122"/>
      <c r="AT1144" s="115"/>
      <c r="AU1144" s="115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115"/>
      <c r="BF1144" s="115"/>
      <c r="BG1144" s="115"/>
      <c r="BH1144" s="26"/>
      <c r="BI1144" s="15"/>
      <c r="BL1144" s="114"/>
    </row>
    <row r="1145" spans="1:64" x14ac:dyDescent="0.4"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22"/>
      <c r="AR1145" s="122"/>
      <c r="AS1145" s="122"/>
      <c r="AT1145" s="115"/>
      <c r="AU1145" s="115"/>
      <c r="AV1145" s="115"/>
      <c r="AW1145" s="115"/>
      <c r="AX1145" s="115"/>
      <c r="AY1145" s="115"/>
      <c r="AZ1145" s="115"/>
      <c r="BA1145" s="115"/>
      <c r="BB1145" s="115"/>
      <c r="BC1145" s="115"/>
      <c r="BD1145" s="115"/>
      <c r="BE1145" s="115"/>
      <c r="BF1145" s="115"/>
      <c r="BG1145" s="115"/>
      <c r="BH1145" s="17"/>
      <c r="BI1145" s="15"/>
      <c r="BL1145" s="114"/>
    </row>
    <row r="1146" spans="1:64" x14ac:dyDescent="0.4">
      <c r="B1146" s="115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15"/>
      <c r="AQ1146" s="122"/>
      <c r="AR1146" s="122"/>
      <c r="AS1146" s="122"/>
      <c r="AT1146" s="115"/>
      <c r="AU1146" s="115"/>
      <c r="AV1146" s="115"/>
      <c r="AW1146" s="115"/>
      <c r="AX1146" s="115"/>
      <c r="AY1146" s="115"/>
      <c r="AZ1146" s="115"/>
      <c r="BA1146" s="115"/>
      <c r="BB1146" s="115"/>
      <c r="BC1146" s="115"/>
      <c r="BD1146" s="115"/>
      <c r="BE1146" s="115"/>
      <c r="BF1146" s="115"/>
      <c r="BG1146" s="115"/>
      <c r="BH1146" s="26"/>
      <c r="BI1146" s="15"/>
      <c r="BL1146" s="114"/>
    </row>
    <row r="1147" spans="1:64" x14ac:dyDescent="0.4"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15"/>
      <c r="AP1147" s="115"/>
      <c r="AQ1147" s="122"/>
      <c r="AR1147" s="122"/>
      <c r="AS1147" s="122"/>
      <c r="AT1147" s="115"/>
      <c r="AU1147" s="115"/>
      <c r="AV1147" s="115"/>
      <c r="AW1147" s="115"/>
      <c r="AX1147" s="115"/>
      <c r="AY1147" s="115"/>
      <c r="AZ1147" s="115"/>
      <c r="BA1147" s="115"/>
      <c r="BB1147" s="115"/>
      <c r="BC1147" s="115"/>
      <c r="BD1147" s="115"/>
      <c r="BE1147" s="115"/>
      <c r="BF1147" s="115"/>
      <c r="BG1147" s="115"/>
      <c r="BH1147" s="26"/>
      <c r="BI1147" s="15"/>
      <c r="BL1147" s="114"/>
    </row>
    <row r="1148" spans="1:64" x14ac:dyDescent="0.4"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22"/>
      <c r="AR1148" s="122"/>
      <c r="AS1148" s="122"/>
      <c r="AT1148" s="115"/>
      <c r="AU1148" s="115"/>
      <c r="AV1148" s="115"/>
      <c r="AW1148" s="115"/>
      <c r="AX1148" s="115"/>
      <c r="AY1148" s="115"/>
      <c r="AZ1148" s="115"/>
      <c r="BA1148" s="115"/>
      <c r="BB1148" s="115"/>
      <c r="BC1148" s="115"/>
      <c r="BD1148" s="115"/>
      <c r="BE1148" s="115"/>
      <c r="BF1148" s="115"/>
      <c r="BG1148" s="115"/>
      <c r="BH1148" s="26"/>
      <c r="BI1148" s="15"/>
      <c r="BL1148" s="114"/>
    </row>
    <row r="1149" spans="1:64" x14ac:dyDescent="0.4"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22"/>
      <c r="AR1149" s="122"/>
      <c r="AS1149" s="122"/>
      <c r="AT1149" s="115"/>
      <c r="AU1149" s="115"/>
      <c r="AV1149" s="115"/>
      <c r="AW1149" s="115"/>
      <c r="AX1149" s="115"/>
      <c r="AY1149" s="115"/>
      <c r="AZ1149" s="115"/>
      <c r="BA1149" s="115"/>
      <c r="BB1149" s="115"/>
      <c r="BC1149" s="115"/>
      <c r="BD1149" s="115"/>
      <c r="BE1149" s="115"/>
      <c r="BF1149" s="115"/>
      <c r="BG1149" s="115"/>
      <c r="BH1149" s="26"/>
      <c r="BI1149" s="15"/>
      <c r="BL1149" s="114"/>
    </row>
    <row r="1150" spans="1:64" x14ac:dyDescent="0.4"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22"/>
      <c r="AR1150" s="122"/>
      <c r="AS1150" s="122"/>
      <c r="AT1150" s="115"/>
      <c r="AU1150" s="115"/>
      <c r="AV1150" s="115"/>
      <c r="AW1150" s="115"/>
      <c r="AX1150" s="115"/>
      <c r="AY1150" s="115"/>
      <c r="AZ1150" s="115"/>
      <c r="BA1150" s="115"/>
      <c r="BB1150" s="115"/>
      <c r="BC1150" s="115"/>
      <c r="BD1150" s="115"/>
      <c r="BE1150" s="115"/>
      <c r="BF1150" s="115"/>
      <c r="BG1150" s="115"/>
      <c r="BH1150" s="26"/>
      <c r="BI1150" s="15"/>
      <c r="BL1150" s="114"/>
    </row>
    <row r="1151" spans="1:64" x14ac:dyDescent="0.4"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22"/>
      <c r="AR1151" s="122"/>
      <c r="AS1151" s="122"/>
      <c r="AT1151" s="115"/>
      <c r="AU1151" s="115"/>
      <c r="AV1151" s="115"/>
      <c r="AW1151" s="115"/>
      <c r="AX1151" s="115"/>
      <c r="AY1151" s="115"/>
      <c r="AZ1151" s="115"/>
      <c r="BA1151" s="115"/>
      <c r="BB1151" s="115"/>
      <c r="BC1151" s="115"/>
      <c r="BD1151" s="115"/>
      <c r="BE1151" s="115"/>
      <c r="BF1151" s="115"/>
      <c r="BG1151" s="115"/>
      <c r="BH1151" s="26"/>
      <c r="BI1151" s="15"/>
      <c r="BL1151" s="114"/>
    </row>
    <row r="1152" spans="1:64" x14ac:dyDescent="0.4"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22"/>
      <c r="AR1152" s="122"/>
      <c r="AS1152" s="122"/>
      <c r="AT1152" s="115"/>
      <c r="AU1152" s="115"/>
      <c r="AV1152" s="115"/>
      <c r="AW1152" s="115"/>
      <c r="AX1152" s="115"/>
      <c r="AY1152" s="115"/>
      <c r="AZ1152" s="115"/>
      <c r="BA1152" s="115"/>
      <c r="BB1152" s="115"/>
      <c r="BC1152" s="115"/>
      <c r="BD1152" s="115"/>
      <c r="BE1152" s="115"/>
      <c r="BF1152" s="115"/>
      <c r="BG1152" s="115"/>
      <c r="BH1152" s="26"/>
      <c r="BI1152" s="15"/>
      <c r="BL1152" s="114"/>
    </row>
    <row r="1153" spans="2:64" x14ac:dyDescent="0.4"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22"/>
      <c r="AR1153" s="122"/>
      <c r="AS1153" s="122"/>
      <c r="AT1153" s="115"/>
      <c r="AU1153" s="115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115"/>
      <c r="BF1153" s="115"/>
      <c r="BG1153" s="115"/>
      <c r="BH1153" s="17"/>
      <c r="BI1153" s="15"/>
      <c r="BL1153" s="114"/>
    </row>
    <row r="1154" spans="2:64" x14ac:dyDescent="0.4"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15"/>
      <c r="AQ1154" s="122"/>
      <c r="AR1154" s="122"/>
      <c r="AS1154" s="122"/>
      <c r="AT1154" s="115"/>
      <c r="AU1154" s="115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115"/>
      <c r="BF1154" s="115"/>
      <c r="BG1154" s="115"/>
      <c r="BH1154" s="26"/>
      <c r="BI1154" s="15"/>
      <c r="BL1154" s="114"/>
    </row>
    <row r="1155" spans="2:64" x14ac:dyDescent="0.4"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15"/>
      <c r="AP1155" s="115"/>
      <c r="AQ1155" s="122"/>
      <c r="AR1155" s="122"/>
      <c r="AS1155" s="122"/>
      <c r="AT1155" s="115"/>
      <c r="AU1155" s="115"/>
      <c r="AV1155" s="115"/>
      <c r="AW1155" s="115"/>
      <c r="AX1155" s="115"/>
      <c r="AY1155" s="115"/>
      <c r="AZ1155" s="115"/>
      <c r="BA1155" s="115"/>
      <c r="BB1155" s="115"/>
      <c r="BC1155" s="115"/>
      <c r="BD1155" s="115"/>
      <c r="BE1155" s="115"/>
      <c r="BF1155" s="115"/>
      <c r="BG1155" s="115"/>
      <c r="BH1155" s="26"/>
      <c r="BI1155" s="15"/>
      <c r="BL1155" s="114"/>
    </row>
    <row r="1156" spans="2:64" x14ac:dyDescent="0.4"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22"/>
      <c r="AR1156" s="122"/>
      <c r="AS1156" s="122"/>
      <c r="AT1156" s="115"/>
      <c r="AU1156" s="115"/>
      <c r="AV1156" s="115"/>
      <c r="AW1156" s="115"/>
      <c r="AX1156" s="115"/>
      <c r="AY1156" s="115"/>
      <c r="AZ1156" s="115"/>
      <c r="BA1156" s="115"/>
      <c r="BB1156" s="115"/>
      <c r="BC1156" s="115"/>
      <c r="BD1156" s="115"/>
      <c r="BE1156" s="115"/>
      <c r="BF1156" s="115"/>
      <c r="BG1156" s="115"/>
      <c r="BH1156" s="26"/>
      <c r="BI1156" s="15"/>
      <c r="BL1156" s="114"/>
    </row>
    <row r="1157" spans="2:64" x14ac:dyDescent="0.4"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22"/>
      <c r="AR1157" s="122"/>
      <c r="AS1157" s="122"/>
      <c r="AT1157" s="115"/>
      <c r="AU1157" s="115"/>
      <c r="AV1157" s="115"/>
      <c r="AW1157" s="115"/>
      <c r="AX1157" s="115"/>
      <c r="AY1157" s="115"/>
      <c r="AZ1157" s="115"/>
      <c r="BA1157" s="115"/>
      <c r="BB1157" s="115"/>
      <c r="BC1157" s="115"/>
      <c r="BD1157" s="115"/>
      <c r="BE1157" s="115"/>
      <c r="BF1157" s="115"/>
      <c r="BG1157" s="115"/>
      <c r="BH1157" s="26"/>
      <c r="BI1157" s="15"/>
      <c r="BL1157" s="114"/>
    </row>
    <row r="1158" spans="2:64" x14ac:dyDescent="0.4"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22"/>
      <c r="AR1158" s="122"/>
      <c r="AS1158" s="122"/>
      <c r="AT1158" s="115"/>
      <c r="AU1158" s="115"/>
      <c r="AV1158" s="115"/>
      <c r="AW1158" s="115"/>
      <c r="AX1158" s="115"/>
      <c r="AY1158" s="115"/>
      <c r="AZ1158" s="115"/>
      <c r="BA1158" s="115"/>
      <c r="BB1158" s="115"/>
      <c r="BC1158" s="115"/>
      <c r="BD1158" s="115"/>
      <c r="BE1158" s="115"/>
      <c r="BF1158" s="115"/>
      <c r="BG1158" s="115"/>
      <c r="BH1158" s="26"/>
      <c r="BI1158" s="15"/>
      <c r="BL1158" s="114"/>
    </row>
    <row r="1159" spans="2:64" x14ac:dyDescent="0.4"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22"/>
      <c r="AR1159" s="122"/>
      <c r="AS1159" s="122"/>
      <c r="AT1159" s="115"/>
      <c r="AU1159" s="115"/>
      <c r="AV1159" s="115"/>
      <c r="AW1159" s="115"/>
      <c r="AX1159" s="115"/>
      <c r="AY1159" s="115"/>
      <c r="AZ1159" s="115"/>
      <c r="BA1159" s="115"/>
      <c r="BB1159" s="115"/>
      <c r="BC1159" s="115"/>
      <c r="BD1159" s="115"/>
      <c r="BE1159" s="115"/>
      <c r="BF1159" s="115"/>
      <c r="BG1159" s="115"/>
      <c r="BH1159" s="26"/>
      <c r="BI1159" s="15"/>
      <c r="BL1159" s="114"/>
    </row>
    <row r="1160" spans="2:64" x14ac:dyDescent="0.4"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22"/>
      <c r="AR1160" s="122"/>
      <c r="AS1160" s="122"/>
      <c r="AT1160" s="115"/>
      <c r="AU1160" s="115"/>
      <c r="AV1160" s="115"/>
      <c r="AW1160" s="115"/>
      <c r="AX1160" s="115"/>
      <c r="AY1160" s="115"/>
      <c r="AZ1160" s="115"/>
      <c r="BA1160" s="115"/>
      <c r="BB1160" s="115"/>
      <c r="BC1160" s="115"/>
      <c r="BD1160" s="115"/>
      <c r="BE1160" s="115"/>
      <c r="BF1160" s="115"/>
      <c r="BG1160" s="115"/>
      <c r="BH1160" s="26"/>
      <c r="BI1160" s="15"/>
      <c r="BL1160" s="114"/>
    </row>
    <row r="1161" spans="2:64" x14ac:dyDescent="0.4"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22"/>
      <c r="AR1161" s="122"/>
      <c r="AS1161" s="122"/>
      <c r="AT1161" s="115"/>
      <c r="AU1161" s="115"/>
      <c r="AV1161" s="115"/>
      <c r="AW1161" s="115"/>
      <c r="AX1161" s="115"/>
      <c r="AY1161" s="115"/>
      <c r="AZ1161" s="115"/>
      <c r="BA1161" s="115"/>
      <c r="BB1161" s="115"/>
      <c r="BC1161" s="115"/>
      <c r="BD1161" s="115"/>
      <c r="BE1161" s="115"/>
      <c r="BF1161" s="115"/>
      <c r="BG1161" s="115"/>
      <c r="BH1161" s="17"/>
      <c r="BI1161" s="15"/>
      <c r="BL1161" s="114"/>
    </row>
    <row r="1162" spans="2:64" x14ac:dyDescent="0.4"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22"/>
      <c r="AR1162" s="122"/>
      <c r="AS1162" s="122"/>
      <c r="AT1162" s="115"/>
      <c r="AU1162" s="115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115"/>
      <c r="BF1162" s="115"/>
      <c r="BG1162" s="115"/>
      <c r="BH1162" s="26"/>
      <c r="BI1162" s="15"/>
      <c r="BL1162" s="114"/>
    </row>
    <row r="1163" spans="2:64" x14ac:dyDescent="0.4"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22"/>
      <c r="AR1163" s="122"/>
      <c r="AS1163" s="122"/>
      <c r="AT1163" s="115"/>
      <c r="AU1163" s="115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115"/>
      <c r="BF1163" s="115"/>
      <c r="BG1163" s="115"/>
      <c r="BH1163" s="26"/>
      <c r="BI1163" s="15"/>
      <c r="BL1163" s="114"/>
    </row>
    <row r="1164" spans="2:64" x14ac:dyDescent="0.4"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22"/>
      <c r="AR1164" s="122"/>
      <c r="AS1164" s="122"/>
      <c r="AT1164" s="115"/>
      <c r="AU1164" s="115"/>
      <c r="AV1164" s="115"/>
      <c r="AW1164" s="115"/>
      <c r="AX1164" s="115"/>
      <c r="AY1164" s="115"/>
      <c r="AZ1164" s="115"/>
      <c r="BA1164" s="115"/>
      <c r="BB1164" s="115"/>
      <c r="BC1164" s="115"/>
      <c r="BD1164" s="115"/>
      <c r="BE1164" s="115"/>
      <c r="BF1164" s="115"/>
      <c r="BG1164" s="115"/>
      <c r="BH1164" s="26"/>
      <c r="BI1164" s="15"/>
      <c r="BL1164" s="114"/>
    </row>
    <row r="1165" spans="2:64" x14ac:dyDescent="0.4">
      <c r="B1165" s="115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22"/>
      <c r="AR1165" s="122"/>
      <c r="AS1165" s="122"/>
      <c r="AT1165" s="115"/>
      <c r="AU1165" s="115"/>
      <c r="AV1165" s="115"/>
      <c r="AW1165" s="115"/>
      <c r="AX1165" s="115"/>
      <c r="AY1165" s="115"/>
      <c r="AZ1165" s="115"/>
      <c r="BA1165" s="115"/>
      <c r="BB1165" s="115"/>
      <c r="BC1165" s="115"/>
      <c r="BD1165" s="115"/>
      <c r="BE1165" s="115"/>
      <c r="BF1165" s="115"/>
      <c r="BG1165" s="115"/>
      <c r="BH1165" s="26"/>
      <c r="BI1165" s="15"/>
      <c r="BL1165" s="114"/>
    </row>
    <row r="1166" spans="2:64" x14ac:dyDescent="0.4">
      <c r="B1166" s="115"/>
      <c r="C1166" s="115"/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22"/>
      <c r="AR1166" s="122"/>
      <c r="AS1166" s="122"/>
      <c r="AT1166" s="115"/>
      <c r="AU1166" s="115"/>
      <c r="AV1166" s="115"/>
      <c r="AW1166" s="115"/>
      <c r="AX1166" s="115"/>
      <c r="AY1166" s="115"/>
      <c r="AZ1166" s="115"/>
      <c r="BA1166" s="115"/>
      <c r="BB1166" s="115"/>
      <c r="BC1166" s="115"/>
      <c r="BD1166" s="115"/>
      <c r="BE1166" s="115"/>
      <c r="BF1166" s="115"/>
      <c r="BG1166" s="115"/>
      <c r="BH1166" s="26"/>
      <c r="BI1166" s="15"/>
      <c r="BL1166" s="114"/>
    </row>
    <row r="1167" spans="2:64" x14ac:dyDescent="0.4">
      <c r="B1167" s="115"/>
      <c r="C1167" s="115"/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22"/>
      <c r="AR1167" s="122"/>
      <c r="AS1167" s="122"/>
      <c r="AT1167" s="115"/>
      <c r="AU1167" s="115"/>
      <c r="AV1167" s="115"/>
      <c r="AW1167" s="115"/>
      <c r="AX1167" s="115"/>
      <c r="AY1167" s="115"/>
      <c r="AZ1167" s="115"/>
      <c r="BA1167" s="115"/>
      <c r="BB1167" s="115"/>
      <c r="BC1167" s="115"/>
      <c r="BD1167" s="115"/>
      <c r="BE1167" s="115"/>
      <c r="BF1167" s="115"/>
      <c r="BG1167" s="115"/>
      <c r="BH1167" s="26"/>
      <c r="BI1167" s="15"/>
      <c r="BL1167" s="114"/>
    </row>
    <row r="1168" spans="2:64" x14ac:dyDescent="0.4">
      <c r="B1168" s="115"/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22"/>
      <c r="AR1168" s="122"/>
      <c r="AS1168" s="122"/>
      <c r="AT1168" s="115"/>
      <c r="AU1168" s="115"/>
      <c r="AV1168" s="115"/>
      <c r="AW1168" s="115"/>
      <c r="AX1168" s="115"/>
      <c r="AY1168" s="115"/>
      <c r="AZ1168" s="115"/>
      <c r="BA1168" s="115"/>
      <c r="BB1168" s="115"/>
      <c r="BC1168" s="115"/>
      <c r="BD1168" s="115"/>
      <c r="BE1168" s="115"/>
      <c r="BF1168" s="115"/>
      <c r="BG1168" s="115"/>
      <c r="BH1168" s="26"/>
      <c r="BI1168" s="15"/>
      <c r="BL1168" s="114"/>
    </row>
    <row r="1169" spans="1:64" x14ac:dyDescent="0.4"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15"/>
      <c r="AK1169" s="115"/>
      <c r="AL1169" s="115"/>
      <c r="AM1169" s="115"/>
      <c r="AN1169" s="115"/>
      <c r="AO1169" s="115"/>
      <c r="AP1169" s="115"/>
      <c r="AQ1169" s="122"/>
      <c r="AR1169" s="122"/>
      <c r="AS1169" s="122"/>
      <c r="AT1169" s="115"/>
      <c r="AU1169" s="115"/>
      <c r="AV1169" s="115"/>
      <c r="AW1169" s="115"/>
      <c r="AX1169" s="115"/>
      <c r="AY1169" s="115"/>
      <c r="AZ1169" s="115"/>
      <c r="BA1169" s="115"/>
      <c r="BB1169" s="115"/>
      <c r="BC1169" s="115"/>
      <c r="BD1169" s="115"/>
      <c r="BE1169" s="115"/>
      <c r="BF1169" s="115"/>
      <c r="BG1169" s="115"/>
      <c r="BH1169" s="26"/>
      <c r="BI1169" s="15"/>
      <c r="BL1169" s="114"/>
    </row>
    <row r="1170" spans="1:64" x14ac:dyDescent="0.4"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15"/>
      <c r="AP1170" s="115"/>
      <c r="AQ1170" s="122"/>
      <c r="AR1170" s="122"/>
      <c r="AS1170" s="122"/>
      <c r="AT1170" s="115"/>
      <c r="AU1170" s="115"/>
      <c r="AV1170" s="115"/>
      <c r="AW1170" s="115"/>
      <c r="AX1170" s="115"/>
      <c r="AY1170" s="115"/>
      <c r="AZ1170" s="115"/>
      <c r="BA1170" s="115"/>
      <c r="BB1170" s="115"/>
      <c r="BC1170" s="115"/>
      <c r="BD1170" s="115"/>
      <c r="BE1170" s="115"/>
      <c r="BF1170" s="115"/>
      <c r="BG1170" s="115"/>
      <c r="BH1170" s="17"/>
      <c r="BI1170" s="15"/>
      <c r="BL1170" s="114"/>
    </row>
    <row r="1171" spans="1:64" x14ac:dyDescent="0.4"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22"/>
      <c r="AR1171" s="122"/>
      <c r="AS1171" s="122"/>
      <c r="AT1171" s="115"/>
      <c r="AU1171" s="115"/>
      <c r="AV1171" s="115"/>
      <c r="AW1171" s="115"/>
      <c r="AX1171" s="115"/>
      <c r="AY1171" s="115"/>
      <c r="AZ1171" s="115"/>
      <c r="BA1171" s="115"/>
      <c r="BB1171" s="115"/>
      <c r="BC1171" s="115"/>
      <c r="BD1171" s="115"/>
      <c r="BE1171" s="115"/>
      <c r="BF1171" s="115"/>
      <c r="BG1171" s="115"/>
      <c r="BH1171" s="26"/>
      <c r="BI1171" s="15"/>
      <c r="BL1171" s="114"/>
    </row>
    <row r="1172" spans="1:64" x14ac:dyDescent="0.4"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22"/>
      <c r="AR1172" s="122"/>
      <c r="AS1172" s="122"/>
      <c r="AT1172" s="115"/>
      <c r="AU1172" s="115"/>
      <c r="AV1172" s="115"/>
      <c r="AW1172" s="115"/>
      <c r="AX1172" s="115"/>
      <c r="AY1172" s="115"/>
      <c r="AZ1172" s="115"/>
      <c r="BA1172" s="115"/>
      <c r="BB1172" s="115"/>
      <c r="BC1172" s="115"/>
      <c r="BD1172" s="115"/>
      <c r="BE1172" s="115"/>
      <c r="BF1172" s="115"/>
      <c r="BG1172" s="115"/>
      <c r="BH1172" s="17"/>
      <c r="BI1172" s="15"/>
      <c r="BL1172" s="114"/>
    </row>
    <row r="1173" spans="1:64" x14ac:dyDescent="0.4"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22"/>
      <c r="AR1173" s="122"/>
      <c r="AS1173" s="122"/>
      <c r="AT1173" s="115"/>
      <c r="AU1173" s="115"/>
      <c r="AV1173" s="115"/>
      <c r="AW1173" s="115"/>
      <c r="AX1173" s="115"/>
      <c r="AY1173" s="115"/>
      <c r="AZ1173" s="115"/>
      <c r="BA1173" s="115"/>
      <c r="BB1173" s="115"/>
      <c r="BC1173" s="115"/>
      <c r="BD1173" s="115"/>
      <c r="BE1173" s="115"/>
      <c r="BF1173" s="115"/>
      <c r="BG1173" s="115"/>
      <c r="BH1173" s="26"/>
      <c r="BI1173" s="15"/>
      <c r="BL1173" s="114"/>
    </row>
    <row r="1174" spans="1:64" x14ac:dyDescent="0.4"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22"/>
      <c r="AR1174" s="122"/>
      <c r="AS1174" s="122"/>
      <c r="AT1174" s="115"/>
      <c r="AU1174" s="115"/>
      <c r="AV1174" s="115"/>
      <c r="AW1174" s="115"/>
      <c r="AX1174" s="115"/>
      <c r="AY1174" s="115"/>
      <c r="AZ1174" s="115"/>
      <c r="BA1174" s="115"/>
      <c r="BB1174" s="115"/>
      <c r="BC1174" s="115"/>
      <c r="BD1174" s="115"/>
      <c r="BE1174" s="115"/>
      <c r="BF1174" s="115"/>
      <c r="BG1174" s="115"/>
      <c r="BH1174" s="17"/>
      <c r="BI1174" s="15"/>
      <c r="BL1174" s="114"/>
    </row>
    <row r="1175" spans="1:64" x14ac:dyDescent="0.4"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22"/>
      <c r="AR1175" s="122"/>
      <c r="AS1175" s="122"/>
      <c r="AT1175" s="115"/>
      <c r="AU1175" s="115"/>
      <c r="AV1175" s="115"/>
      <c r="AW1175" s="115"/>
      <c r="AX1175" s="115"/>
      <c r="AY1175" s="115"/>
      <c r="AZ1175" s="115"/>
      <c r="BA1175" s="115"/>
      <c r="BB1175" s="115"/>
      <c r="BC1175" s="115"/>
      <c r="BD1175" s="115"/>
      <c r="BE1175" s="115"/>
      <c r="BF1175" s="115"/>
      <c r="BG1175" s="115"/>
      <c r="BH1175" s="26"/>
      <c r="BI1175" s="15"/>
      <c r="BL1175" s="114"/>
    </row>
    <row r="1176" spans="1:64" x14ac:dyDescent="0.4"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22"/>
      <c r="AR1176" s="122"/>
      <c r="AS1176" s="122"/>
      <c r="AT1176" s="115"/>
      <c r="AU1176" s="115"/>
      <c r="AV1176" s="115"/>
      <c r="AW1176" s="115"/>
      <c r="AX1176" s="115"/>
      <c r="AY1176" s="115"/>
      <c r="AZ1176" s="115"/>
      <c r="BA1176" s="115"/>
      <c r="BB1176" s="115"/>
      <c r="BC1176" s="115"/>
      <c r="BD1176" s="115"/>
      <c r="BE1176" s="115"/>
      <c r="BF1176" s="115"/>
      <c r="BG1176" s="115"/>
      <c r="BH1176" s="26"/>
      <c r="BI1176" s="15"/>
      <c r="BL1176" s="114"/>
    </row>
    <row r="1177" spans="1:64" x14ac:dyDescent="0.4"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22"/>
      <c r="AR1177" s="122"/>
      <c r="AS1177" s="122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115"/>
      <c r="BE1177" s="115"/>
      <c r="BF1177" s="115"/>
      <c r="BG1177" s="115"/>
      <c r="BH1177" s="17"/>
      <c r="BI1177" s="15"/>
      <c r="BL1177" s="114"/>
    </row>
    <row r="1178" spans="1:64" x14ac:dyDescent="0.4"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22"/>
      <c r="AR1178" s="122"/>
      <c r="AS1178" s="122"/>
      <c r="AT1178" s="115"/>
      <c r="AU1178" s="115"/>
      <c r="AV1178" s="115"/>
      <c r="AW1178" s="115"/>
      <c r="AX1178" s="115"/>
      <c r="AY1178" s="115"/>
      <c r="AZ1178" s="115"/>
      <c r="BA1178" s="115"/>
      <c r="BB1178" s="115"/>
      <c r="BC1178" s="115"/>
      <c r="BD1178" s="115"/>
      <c r="BE1178" s="115"/>
      <c r="BF1178" s="115"/>
      <c r="BG1178" s="115"/>
      <c r="BH1178" s="26"/>
      <c r="BI1178" s="15"/>
      <c r="BL1178" s="114"/>
    </row>
    <row r="1179" spans="1:64" x14ac:dyDescent="0.4"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22"/>
      <c r="AR1179" s="122"/>
      <c r="AS1179" s="122"/>
      <c r="AT1179" s="115"/>
      <c r="AU1179" s="115"/>
      <c r="AV1179" s="115"/>
      <c r="AW1179" s="115"/>
      <c r="AX1179" s="115"/>
      <c r="AY1179" s="115"/>
      <c r="AZ1179" s="115"/>
      <c r="BA1179" s="115"/>
      <c r="BB1179" s="115"/>
      <c r="BC1179" s="115"/>
      <c r="BD1179" s="115"/>
      <c r="BE1179" s="115"/>
      <c r="BF1179" s="115"/>
      <c r="BG1179" s="115"/>
      <c r="BH1179" s="26"/>
      <c r="BI1179" s="15"/>
      <c r="BL1179" s="114"/>
    </row>
    <row r="1180" spans="1:64" x14ac:dyDescent="0.4">
      <c r="A1180" s="115"/>
      <c r="B1180" s="115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22"/>
      <c r="AR1180" s="122"/>
      <c r="AS1180" s="122"/>
      <c r="AT1180" s="115"/>
      <c r="AU1180" s="115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115"/>
      <c r="BF1180" s="115"/>
      <c r="BG1180" s="115"/>
      <c r="BH1180" s="26"/>
      <c r="BI1180" s="105"/>
      <c r="BL1180" s="114"/>
    </row>
    <row r="1181" spans="1:64" x14ac:dyDescent="0.4">
      <c r="A1181" s="115"/>
      <c r="B1181" s="115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22"/>
      <c r="AR1181" s="122"/>
      <c r="AS1181" s="122"/>
      <c r="AT1181" s="115"/>
      <c r="AU1181" s="115"/>
      <c r="AV1181" s="115"/>
      <c r="AW1181" s="115"/>
      <c r="AX1181" s="115"/>
      <c r="AY1181" s="115"/>
      <c r="AZ1181" s="115"/>
      <c r="BA1181" s="115"/>
      <c r="BB1181" s="115"/>
      <c r="BC1181" s="115"/>
      <c r="BD1181" s="115"/>
      <c r="BE1181" s="115"/>
      <c r="BF1181" s="115"/>
      <c r="BG1181" s="115"/>
      <c r="BH1181" s="17"/>
      <c r="BI1181" s="15"/>
      <c r="BL1181" s="114"/>
    </row>
    <row r="1182" spans="1:64" x14ac:dyDescent="0.4">
      <c r="A1182" s="115"/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22"/>
      <c r="AR1182" s="122"/>
      <c r="AS1182" s="122"/>
      <c r="AT1182" s="115"/>
      <c r="AU1182" s="115"/>
      <c r="AV1182" s="115"/>
      <c r="AW1182" s="115"/>
      <c r="AX1182" s="115"/>
      <c r="AY1182" s="115"/>
      <c r="AZ1182" s="115"/>
      <c r="BA1182" s="115"/>
      <c r="BB1182" s="115"/>
      <c r="BC1182" s="115"/>
      <c r="BD1182" s="115"/>
      <c r="BE1182" s="115"/>
      <c r="BF1182" s="115"/>
      <c r="BG1182" s="115"/>
      <c r="BH1182" s="17"/>
      <c r="BI1182" s="15"/>
      <c r="BL1182" s="114"/>
    </row>
    <row r="1183" spans="1:64" x14ac:dyDescent="0.4">
      <c r="A1183" s="115"/>
      <c r="B1183" s="115"/>
      <c r="C1183" s="115"/>
      <c r="D1183" s="115"/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15"/>
      <c r="AO1183" s="115"/>
      <c r="AP1183" s="115"/>
      <c r="AQ1183" s="122"/>
      <c r="AR1183" s="122"/>
      <c r="AS1183" s="122"/>
      <c r="AT1183" s="115"/>
      <c r="AU1183" s="115"/>
      <c r="AV1183" s="115"/>
      <c r="AW1183" s="115"/>
      <c r="AX1183" s="115"/>
      <c r="AY1183" s="115"/>
      <c r="AZ1183" s="115"/>
      <c r="BA1183" s="115"/>
      <c r="BB1183" s="115"/>
      <c r="BC1183" s="115"/>
      <c r="BD1183" s="115"/>
      <c r="BE1183" s="115"/>
      <c r="BF1183" s="115"/>
      <c r="BG1183" s="115"/>
      <c r="BH1183" s="26"/>
      <c r="BI1183" s="15"/>
      <c r="BL1183" s="114"/>
    </row>
    <row r="1184" spans="1:64" x14ac:dyDescent="0.4">
      <c r="A1184" s="115"/>
      <c r="B1184" s="115"/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15"/>
      <c r="AO1184" s="115"/>
      <c r="AP1184" s="115"/>
      <c r="AQ1184" s="122"/>
      <c r="AR1184" s="122"/>
      <c r="AS1184" s="122"/>
      <c r="AT1184" s="115"/>
      <c r="AU1184" s="115"/>
      <c r="AV1184" s="115"/>
      <c r="AW1184" s="115"/>
      <c r="AX1184" s="115"/>
      <c r="AY1184" s="115"/>
      <c r="AZ1184" s="115"/>
      <c r="BA1184" s="115"/>
      <c r="BB1184" s="115"/>
      <c r="BC1184" s="115"/>
      <c r="BD1184" s="115"/>
      <c r="BE1184" s="115"/>
      <c r="BF1184" s="115"/>
      <c r="BG1184" s="115"/>
      <c r="BH1184" s="26"/>
      <c r="BI1184" s="15"/>
      <c r="BL1184" s="114"/>
    </row>
    <row r="1185" spans="1:64" x14ac:dyDescent="0.4">
      <c r="A1185" s="115"/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22"/>
      <c r="AR1185" s="122"/>
      <c r="AS1185" s="122"/>
      <c r="AT1185" s="115"/>
      <c r="AU1185" s="115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115"/>
      <c r="BF1185" s="115"/>
      <c r="BG1185" s="115"/>
      <c r="BH1185" s="26"/>
      <c r="BI1185" s="15"/>
      <c r="BL1185" s="114"/>
    </row>
    <row r="1186" spans="1:64" x14ac:dyDescent="0.4">
      <c r="A1186" s="115"/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22"/>
      <c r="AR1186" s="122"/>
      <c r="AS1186" s="122"/>
      <c r="AT1186" s="115"/>
      <c r="AU1186" s="115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115"/>
      <c r="BF1186" s="115"/>
      <c r="BG1186" s="115"/>
      <c r="BH1186" s="26"/>
      <c r="BI1186" s="15"/>
      <c r="BL1186" s="114"/>
    </row>
    <row r="1187" spans="1:64" x14ac:dyDescent="0.4">
      <c r="A1187" s="115"/>
      <c r="B1187" s="115"/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22"/>
      <c r="AR1187" s="122"/>
      <c r="AS1187" s="122"/>
      <c r="AT1187" s="115"/>
      <c r="AU1187" s="115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115"/>
      <c r="BF1187" s="115"/>
      <c r="BG1187" s="115"/>
      <c r="BH1187" s="26"/>
      <c r="BI1187" s="15"/>
      <c r="BL1187" s="114"/>
    </row>
    <row r="1188" spans="1:64" x14ac:dyDescent="0.4">
      <c r="A1188" s="115"/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22"/>
      <c r="AR1188" s="122"/>
      <c r="AS1188" s="122"/>
      <c r="AT1188" s="115"/>
      <c r="AU1188" s="115"/>
      <c r="AV1188" s="115"/>
      <c r="AW1188" s="115"/>
      <c r="AX1188" s="115"/>
      <c r="AY1188" s="115"/>
      <c r="AZ1188" s="115"/>
      <c r="BA1188" s="115"/>
      <c r="BB1188" s="115"/>
      <c r="BC1188" s="115"/>
      <c r="BD1188" s="115"/>
      <c r="BE1188" s="115"/>
      <c r="BF1188" s="115"/>
      <c r="BG1188" s="115"/>
      <c r="BH1188" s="26"/>
      <c r="BI1188" s="15"/>
      <c r="BL1188" s="114"/>
    </row>
    <row r="1189" spans="1:64" x14ac:dyDescent="0.4">
      <c r="A1189" s="115"/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15"/>
      <c r="AP1189" s="115"/>
      <c r="AQ1189" s="122"/>
      <c r="AR1189" s="122"/>
      <c r="AS1189" s="122"/>
      <c r="AT1189" s="115"/>
      <c r="AU1189" s="115"/>
      <c r="AV1189" s="115"/>
      <c r="AW1189" s="115"/>
      <c r="AX1189" s="115"/>
      <c r="AY1189" s="115"/>
      <c r="AZ1189" s="115"/>
      <c r="BA1189" s="115"/>
      <c r="BB1189" s="115"/>
      <c r="BC1189" s="115"/>
      <c r="BD1189" s="115"/>
      <c r="BE1189" s="115"/>
      <c r="BF1189" s="115"/>
      <c r="BG1189" s="115"/>
      <c r="BH1189" s="26"/>
      <c r="BI1189" s="15"/>
      <c r="BL1189" s="114"/>
    </row>
    <row r="1190" spans="1:64" x14ac:dyDescent="0.4">
      <c r="A1190" s="115"/>
      <c r="B1190" s="115"/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15"/>
      <c r="AN1190" s="115"/>
      <c r="AO1190" s="115"/>
      <c r="AP1190" s="115"/>
      <c r="AQ1190" s="122"/>
      <c r="AR1190" s="122"/>
      <c r="AS1190" s="122"/>
      <c r="AT1190" s="115"/>
      <c r="AU1190" s="115"/>
      <c r="AV1190" s="115"/>
      <c r="AW1190" s="115"/>
      <c r="AX1190" s="115"/>
      <c r="AY1190" s="115"/>
      <c r="AZ1190" s="115"/>
      <c r="BA1190" s="115"/>
      <c r="BB1190" s="115"/>
      <c r="BC1190" s="115"/>
      <c r="BD1190" s="115"/>
      <c r="BE1190" s="115"/>
      <c r="BF1190" s="115"/>
      <c r="BG1190" s="115"/>
      <c r="BH1190" s="26"/>
      <c r="BI1190" s="15"/>
      <c r="BL1190" s="114"/>
    </row>
    <row r="1191" spans="1:64" x14ac:dyDescent="0.4">
      <c r="A1191" s="115"/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15"/>
      <c r="AP1191" s="115"/>
      <c r="AQ1191" s="122"/>
      <c r="AR1191" s="122"/>
      <c r="AS1191" s="122"/>
      <c r="AT1191" s="115"/>
      <c r="AU1191" s="115"/>
      <c r="AV1191" s="115"/>
      <c r="AW1191" s="115"/>
      <c r="AX1191" s="115"/>
      <c r="AY1191" s="115"/>
      <c r="AZ1191" s="115"/>
      <c r="BA1191" s="115"/>
      <c r="BB1191" s="115"/>
      <c r="BC1191" s="115"/>
      <c r="BD1191" s="115"/>
      <c r="BE1191" s="115"/>
      <c r="BF1191" s="115"/>
      <c r="BG1191" s="115"/>
      <c r="BH1191" s="26"/>
      <c r="BI1191" s="105"/>
      <c r="BL1191" s="114"/>
    </row>
    <row r="1192" spans="1:64" x14ac:dyDescent="0.4">
      <c r="A1192" s="115"/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22"/>
      <c r="AR1192" s="122"/>
      <c r="AS1192" s="122"/>
      <c r="AT1192" s="115"/>
      <c r="AU1192" s="115"/>
      <c r="AV1192" s="115"/>
      <c r="AW1192" s="115"/>
      <c r="AX1192" s="115"/>
      <c r="AY1192" s="115"/>
      <c r="AZ1192" s="115"/>
      <c r="BA1192" s="115"/>
      <c r="BB1192" s="115"/>
      <c r="BC1192" s="115"/>
      <c r="BD1192" s="115"/>
      <c r="BE1192" s="115"/>
      <c r="BF1192" s="115"/>
      <c r="BG1192" s="115"/>
      <c r="BH1192" s="26"/>
      <c r="BI1192" s="15"/>
      <c r="BL1192" s="114"/>
    </row>
    <row r="1193" spans="1:64" x14ac:dyDescent="0.4">
      <c r="A1193" s="115"/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22"/>
      <c r="AR1193" s="122"/>
      <c r="AS1193" s="122"/>
      <c r="AT1193" s="115"/>
      <c r="AU1193" s="115"/>
      <c r="AV1193" s="115"/>
      <c r="AW1193" s="115"/>
      <c r="AX1193" s="115"/>
      <c r="AY1193" s="115"/>
      <c r="AZ1193" s="115"/>
      <c r="BA1193" s="115"/>
      <c r="BB1193" s="115"/>
      <c r="BC1193" s="115"/>
      <c r="BD1193" s="115"/>
      <c r="BE1193" s="115"/>
      <c r="BF1193" s="115"/>
      <c r="BG1193" s="115"/>
      <c r="BH1193" s="26"/>
      <c r="BI1193" s="15"/>
      <c r="BL1193" s="114"/>
    </row>
    <row r="1194" spans="1:64" x14ac:dyDescent="0.4">
      <c r="A1194" s="115"/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22"/>
      <c r="AR1194" s="122"/>
      <c r="AS1194" s="122"/>
      <c r="AT1194" s="115"/>
      <c r="AU1194" s="115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115"/>
      <c r="BF1194" s="115"/>
      <c r="BG1194" s="115"/>
      <c r="BH1194" s="26"/>
      <c r="BI1194" s="13"/>
      <c r="BL1194" s="114"/>
    </row>
    <row r="1195" spans="1:64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22"/>
      <c r="AR1195" s="122"/>
      <c r="AS1195" s="122"/>
      <c r="AT1195" s="115"/>
      <c r="AU1195" s="115"/>
      <c r="AV1195" s="115"/>
      <c r="AW1195" s="115"/>
      <c r="AX1195" s="115"/>
      <c r="AY1195" s="115"/>
      <c r="AZ1195" s="115"/>
      <c r="BA1195" s="115"/>
      <c r="BB1195" s="115"/>
      <c r="BC1195" s="115"/>
      <c r="BD1195" s="115"/>
      <c r="BE1195" s="115"/>
      <c r="BF1195" s="115"/>
      <c r="BG1195" s="115"/>
      <c r="BH1195" s="17"/>
      <c r="BI1195" s="13"/>
      <c r="BL1195" s="114"/>
    </row>
    <row r="1196" spans="1:64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22"/>
      <c r="AR1196" s="122"/>
      <c r="AS1196" s="122"/>
      <c r="AT1196" s="115"/>
      <c r="AU1196" s="115"/>
      <c r="AV1196" s="115"/>
      <c r="AW1196" s="115"/>
      <c r="AX1196" s="115"/>
      <c r="AY1196" s="115"/>
      <c r="AZ1196" s="115"/>
      <c r="BA1196" s="115"/>
      <c r="BB1196" s="115"/>
      <c r="BC1196" s="115"/>
      <c r="BD1196" s="115"/>
      <c r="BE1196" s="115"/>
      <c r="BF1196" s="115"/>
      <c r="BG1196" s="115"/>
      <c r="BH1196" s="26"/>
      <c r="BI1196" s="13"/>
      <c r="BL1196" s="114"/>
    </row>
    <row r="1197" spans="1:64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22"/>
      <c r="AR1197" s="122"/>
      <c r="AS1197" s="122"/>
      <c r="AT1197" s="115"/>
      <c r="AU1197" s="115"/>
      <c r="AV1197" s="115"/>
      <c r="AW1197" s="115"/>
      <c r="AX1197" s="115"/>
      <c r="AY1197" s="115"/>
      <c r="AZ1197" s="115"/>
      <c r="BA1197" s="115"/>
      <c r="BB1197" s="115"/>
      <c r="BC1197" s="115"/>
      <c r="BD1197" s="115"/>
      <c r="BE1197" s="115"/>
      <c r="BF1197" s="115"/>
      <c r="BG1197" s="115"/>
      <c r="BH1197" s="26"/>
      <c r="BI1197" s="13"/>
      <c r="BL1197" s="114"/>
    </row>
    <row r="1198" spans="1:64" x14ac:dyDescent="0.4">
      <c r="A1198" s="115"/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15"/>
      <c r="AK1198" s="115"/>
      <c r="AL1198" s="115"/>
      <c r="AM1198" s="115"/>
      <c r="AN1198" s="115"/>
      <c r="AO1198" s="115"/>
      <c r="AP1198" s="115"/>
      <c r="AQ1198" s="122"/>
      <c r="AR1198" s="122"/>
      <c r="AS1198" s="122"/>
      <c r="AT1198" s="115"/>
      <c r="AU1198" s="115"/>
      <c r="AV1198" s="115"/>
      <c r="AW1198" s="115"/>
      <c r="AX1198" s="115"/>
      <c r="AY1198" s="115"/>
      <c r="AZ1198" s="115"/>
      <c r="BA1198" s="115"/>
      <c r="BB1198" s="115"/>
      <c r="BC1198" s="115"/>
      <c r="BD1198" s="115"/>
      <c r="BE1198" s="115"/>
      <c r="BF1198" s="115"/>
      <c r="BG1198" s="115"/>
      <c r="BH1198" s="26"/>
      <c r="BI1198" s="13"/>
      <c r="BL1198" s="114"/>
    </row>
    <row r="1199" spans="1:64" x14ac:dyDescent="0.4">
      <c r="A1199" s="115"/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22"/>
      <c r="AR1199" s="122"/>
      <c r="AS1199" s="122"/>
      <c r="AT1199" s="115"/>
      <c r="AU1199" s="115"/>
      <c r="AV1199" s="115"/>
      <c r="AW1199" s="115"/>
      <c r="AX1199" s="115"/>
      <c r="AY1199" s="115"/>
      <c r="AZ1199" s="115"/>
      <c r="BA1199" s="115"/>
      <c r="BB1199" s="115"/>
      <c r="BC1199" s="115"/>
      <c r="BD1199" s="115"/>
      <c r="BE1199" s="115"/>
      <c r="BF1199" s="115"/>
      <c r="BG1199" s="115"/>
      <c r="BH1199" s="26"/>
      <c r="BI1199" s="13"/>
      <c r="BL1199" s="114"/>
    </row>
    <row r="1200" spans="1:64" x14ac:dyDescent="0.4">
      <c r="A1200" s="115"/>
      <c r="B1200" s="115"/>
      <c r="C1200" s="115"/>
      <c r="D1200" s="115"/>
      <c r="E1200" s="115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15"/>
      <c r="AQ1200" s="122"/>
      <c r="AR1200" s="122"/>
      <c r="AS1200" s="122"/>
      <c r="AT1200" s="115"/>
      <c r="AU1200" s="115"/>
      <c r="AV1200" s="115"/>
      <c r="AW1200" s="115"/>
      <c r="AX1200" s="115"/>
      <c r="AY1200" s="115"/>
      <c r="AZ1200" s="115"/>
      <c r="BA1200" s="115"/>
      <c r="BB1200" s="115"/>
      <c r="BC1200" s="115"/>
      <c r="BD1200" s="115"/>
      <c r="BE1200" s="115"/>
      <c r="BF1200" s="115"/>
      <c r="BG1200" s="115"/>
      <c r="BH1200" s="26"/>
      <c r="BI1200" s="13"/>
      <c r="BL1200" s="114"/>
    </row>
    <row r="1201" spans="1:64" x14ac:dyDescent="0.4">
      <c r="A1201" s="115"/>
      <c r="B1201" s="115"/>
      <c r="C1201" s="115"/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22"/>
      <c r="AR1201" s="122"/>
      <c r="AS1201" s="122"/>
      <c r="AT1201" s="115"/>
      <c r="AU1201" s="115"/>
      <c r="AV1201" s="115"/>
      <c r="AW1201" s="115"/>
      <c r="AX1201" s="115"/>
      <c r="AY1201" s="115"/>
      <c r="AZ1201" s="115"/>
      <c r="BA1201" s="115"/>
      <c r="BB1201" s="115"/>
      <c r="BC1201" s="115"/>
      <c r="BD1201" s="115"/>
      <c r="BE1201" s="115"/>
      <c r="BF1201" s="115"/>
      <c r="BG1201" s="115"/>
      <c r="BH1201" s="26"/>
      <c r="BI1201" s="13"/>
      <c r="BL1201" s="114"/>
    </row>
    <row r="1202" spans="1:64" x14ac:dyDescent="0.4">
      <c r="A1202" s="115"/>
      <c r="B1202" s="115"/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22"/>
      <c r="AR1202" s="122"/>
      <c r="AS1202" s="122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115"/>
      <c r="BD1202" s="115"/>
      <c r="BE1202" s="115"/>
      <c r="BF1202" s="115"/>
      <c r="BG1202" s="115"/>
      <c r="BH1202" s="17"/>
      <c r="BI1202" s="13"/>
      <c r="BL1202" s="114"/>
    </row>
    <row r="1203" spans="1:64" x14ac:dyDescent="0.4">
      <c r="A1203" s="115"/>
      <c r="B1203" s="115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22"/>
      <c r="AR1203" s="122"/>
      <c r="AS1203" s="122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115"/>
      <c r="BF1203" s="115"/>
      <c r="BG1203" s="115"/>
      <c r="BH1203" s="26"/>
      <c r="BI1203" s="13"/>
      <c r="BL1203" s="114"/>
    </row>
    <row r="1204" spans="1:64" x14ac:dyDescent="0.4">
      <c r="A1204" s="115"/>
      <c r="B1204" s="115"/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22"/>
      <c r="AR1204" s="122"/>
      <c r="AS1204" s="122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115"/>
      <c r="BD1204" s="115"/>
      <c r="BE1204" s="115"/>
      <c r="BF1204" s="115"/>
      <c r="BG1204" s="115"/>
      <c r="BH1204" s="26"/>
      <c r="BI1204" s="13"/>
      <c r="BL1204" s="114"/>
    </row>
    <row r="1205" spans="1:64" x14ac:dyDescent="0.4">
      <c r="A1205" s="115"/>
      <c r="B1205" s="115"/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/>
      <c r="AO1205" s="115"/>
      <c r="AP1205" s="115"/>
      <c r="AQ1205" s="122"/>
      <c r="AR1205" s="122"/>
      <c r="AS1205" s="122"/>
      <c r="AT1205" s="115"/>
      <c r="AU1205" s="115"/>
      <c r="AV1205" s="115"/>
      <c r="AW1205" s="115"/>
      <c r="AX1205" s="115"/>
      <c r="AY1205" s="115"/>
      <c r="AZ1205" s="115"/>
      <c r="BA1205" s="115"/>
      <c r="BB1205" s="115"/>
      <c r="BC1205" s="115"/>
      <c r="BD1205" s="115"/>
      <c r="BE1205" s="115"/>
      <c r="BF1205" s="115"/>
      <c r="BG1205" s="115"/>
      <c r="BH1205" s="26"/>
      <c r="BI1205" s="13"/>
      <c r="BL1205" s="114"/>
    </row>
    <row r="1206" spans="1:64" x14ac:dyDescent="0.4">
      <c r="A1206" s="115"/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22"/>
      <c r="AR1206" s="122"/>
      <c r="AS1206" s="122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115"/>
      <c r="BE1206" s="115"/>
      <c r="BF1206" s="115"/>
      <c r="BG1206" s="115"/>
      <c r="BH1206" s="26"/>
      <c r="BI1206" s="13"/>
      <c r="BL1206" s="114"/>
    </row>
    <row r="1207" spans="1:64" x14ac:dyDescent="0.4">
      <c r="A1207" s="115"/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22"/>
      <c r="AR1207" s="122"/>
      <c r="AS1207" s="122"/>
      <c r="AT1207" s="115"/>
      <c r="AU1207" s="115"/>
      <c r="AV1207" s="115"/>
      <c r="AW1207" s="115"/>
      <c r="AX1207" s="115"/>
      <c r="AY1207" s="115"/>
      <c r="AZ1207" s="115"/>
      <c r="BA1207" s="115"/>
      <c r="BB1207" s="115"/>
      <c r="BC1207" s="115"/>
      <c r="BD1207" s="115"/>
      <c r="BE1207" s="115"/>
      <c r="BF1207" s="115"/>
      <c r="BG1207" s="115"/>
      <c r="BH1207" s="26"/>
      <c r="BI1207" s="25"/>
      <c r="BL1207" s="114"/>
    </row>
    <row r="1208" spans="1:64" x14ac:dyDescent="0.4">
      <c r="A1208" s="115"/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22"/>
      <c r="AR1208" s="122"/>
      <c r="AS1208" s="122"/>
      <c r="AT1208" s="115"/>
      <c r="AU1208" s="115"/>
      <c r="AV1208" s="115"/>
      <c r="AW1208" s="115"/>
      <c r="AX1208" s="115"/>
      <c r="AY1208" s="115"/>
      <c r="AZ1208" s="115"/>
      <c r="BA1208" s="115"/>
      <c r="BB1208" s="115"/>
      <c r="BC1208" s="115"/>
      <c r="BD1208" s="115"/>
      <c r="BE1208" s="115"/>
      <c r="BF1208" s="115"/>
      <c r="BG1208" s="115"/>
      <c r="BH1208" s="17"/>
      <c r="BI1208" s="13"/>
      <c r="BL1208" s="114"/>
    </row>
    <row r="1209" spans="1:64" x14ac:dyDescent="0.4">
      <c r="A1209" s="115"/>
      <c r="B1209" s="115"/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/>
      <c r="AO1209" s="115"/>
      <c r="AP1209" s="115"/>
      <c r="AQ1209" s="122"/>
      <c r="AR1209" s="122"/>
      <c r="AS1209" s="122"/>
      <c r="AT1209" s="115"/>
      <c r="AU1209" s="115"/>
      <c r="AV1209" s="115"/>
      <c r="AW1209" s="115"/>
      <c r="AX1209" s="115"/>
      <c r="AY1209" s="115"/>
      <c r="AZ1209" s="115"/>
      <c r="BA1209" s="115"/>
      <c r="BB1209" s="115"/>
      <c r="BC1209" s="115"/>
      <c r="BD1209" s="115"/>
      <c r="BE1209" s="115"/>
      <c r="BF1209" s="115"/>
      <c r="BG1209" s="115"/>
      <c r="BH1209" s="26"/>
      <c r="BI1209" s="15"/>
      <c r="BL1209" s="114"/>
    </row>
    <row r="1210" spans="1:64" x14ac:dyDescent="0.4">
      <c r="A1210" s="115"/>
      <c r="B1210" s="115"/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15"/>
      <c r="AP1210" s="115"/>
      <c r="AQ1210" s="122"/>
      <c r="AR1210" s="122"/>
      <c r="AS1210" s="122"/>
      <c r="AT1210" s="115"/>
      <c r="AU1210" s="115"/>
      <c r="AV1210" s="115"/>
      <c r="AW1210" s="115"/>
      <c r="AX1210" s="115"/>
      <c r="AY1210" s="115"/>
      <c r="AZ1210" s="115"/>
      <c r="BA1210" s="115"/>
      <c r="BB1210" s="115"/>
      <c r="BC1210" s="115"/>
      <c r="BD1210" s="115"/>
      <c r="BE1210" s="115"/>
      <c r="BF1210" s="115"/>
      <c r="BG1210" s="115"/>
      <c r="BH1210" s="26"/>
      <c r="BI1210" s="15"/>
      <c r="BL1210" s="114"/>
    </row>
    <row r="1211" spans="1:64" x14ac:dyDescent="0.4">
      <c r="A1211" s="115"/>
      <c r="B1211" s="115"/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15"/>
      <c r="AP1211" s="115"/>
      <c r="AQ1211" s="122"/>
      <c r="AR1211" s="122"/>
      <c r="AS1211" s="122"/>
      <c r="AT1211" s="115"/>
      <c r="AU1211" s="115"/>
      <c r="AV1211" s="115"/>
      <c r="AW1211" s="115"/>
      <c r="AX1211" s="115"/>
      <c r="AY1211" s="115"/>
      <c r="AZ1211" s="115"/>
      <c r="BA1211" s="115"/>
      <c r="BB1211" s="115"/>
      <c r="BC1211" s="115"/>
      <c r="BD1211" s="115"/>
      <c r="BE1211" s="115"/>
      <c r="BF1211" s="115"/>
      <c r="BG1211" s="115"/>
      <c r="BH1211" s="17"/>
      <c r="BI1211" s="15"/>
      <c r="BL1211" s="114"/>
    </row>
    <row r="1212" spans="1:64" x14ac:dyDescent="0.4">
      <c r="A1212" s="115"/>
      <c r="B1212" s="115"/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15"/>
      <c r="AP1212" s="115"/>
      <c r="AQ1212" s="122"/>
      <c r="AR1212" s="122"/>
      <c r="AS1212" s="122"/>
      <c r="AT1212" s="115"/>
      <c r="AU1212" s="115"/>
      <c r="AV1212" s="115"/>
      <c r="AW1212" s="115"/>
      <c r="AX1212" s="115"/>
      <c r="AY1212" s="115"/>
      <c r="AZ1212" s="115"/>
      <c r="BA1212" s="115"/>
      <c r="BB1212" s="115"/>
      <c r="BC1212" s="115"/>
      <c r="BD1212" s="115"/>
      <c r="BE1212" s="115"/>
      <c r="BF1212" s="115"/>
      <c r="BG1212" s="115"/>
      <c r="BH1212" s="26"/>
      <c r="BI1212" s="15"/>
      <c r="BL1212" s="114"/>
    </row>
    <row r="1213" spans="1:64" x14ac:dyDescent="0.4">
      <c r="A1213" s="115"/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15"/>
      <c r="AP1213" s="115"/>
      <c r="AQ1213" s="122"/>
      <c r="AR1213" s="122"/>
      <c r="AS1213" s="122"/>
      <c r="AT1213" s="115"/>
      <c r="AU1213" s="115"/>
      <c r="AV1213" s="115"/>
      <c r="AW1213" s="115"/>
      <c r="AX1213" s="115"/>
      <c r="AY1213" s="115"/>
      <c r="AZ1213" s="115"/>
      <c r="BA1213" s="115"/>
      <c r="BB1213" s="115"/>
      <c r="BC1213" s="115"/>
      <c r="BD1213" s="115"/>
      <c r="BE1213" s="115"/>
      <c r="BF1213" s="115"/>
      <c r="BG1213" s="115"/>
      <c r="BH1213" s="26"/>
      <c r="BI1213" s="15"/>
      <c r="BL1213" s="114"/>
    </row>
    <row r="1214" spans="1:64" x14ac:dyDescent="0.4">
      <c r="A1214" s="115"/>
      <c r="B1214" s="115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22"/>
      <c r="AR1214" s="122"/>
      <c r="AS1214" s="122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115"/>
      <c r="BF1214" s="115"/>
      <c r="BG1214" s="115"/>
      <c r="BH1214" s="26"/>
      <c r="BI1214" s="13"/>
      <c r="BL1214" s="114"/>
    </row>
    <row r="1215" spans="1:64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22"/>
      <c r="AR1215" s="122"/>
      <c r="AS1215" s="122"/>
      <c r="AT1215" s="115"/>
      <c r="AU1215" s="115"/>
      <c r="AV1215" s="115"/>
      <c r="AW1215" s="115"/>
      <c r="AX1215" s="115"/>
      <c r="AY1215" s="115"/>
      <c r="AZ1215" s="115"/>
      <c r="BA1215" s="115"/>
      <c r="BB1215" s="115"/>
      <c r="BC1215" s="115"/>
      <c r="BD1215" s="115"/>
      <c r="BE1215" s="115"/>
      <c r="BF1215" s="115"/>
      <c r="BG1215" s="115"/>
      <c r="BH1215" s="26"/>
      <c r="BI1215" s="13"/>
      <c r="BL1215" s="114"/>
    </row>
    <row r="1216" spans="1:64" x14ac:dyDescent="0.4">
      <c r="A1216" s="115"/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22"/>
      <c r="AR1216" s="122"/>
      <c r="AS1216" s="122"/>
      <c r="AT1216" s="115"/>
      <c r="AU1216" s="115"/>
      <c r="AV1216" s="115"/>
      <c r="AW1216" s="115"/>
      <c r="AX1216" s="115"/>
      <c r="AY1216" s="115"/>
      <c r="AZ1216" s="115"/>
      <c r="BA1216" s="115"/>
      <c r="BB1216" s="115"/>
      <c r="BC1216" s="115"/>
      <c r="BD1216" s="115"/>
      <c r="BE1216" s="115"/>
      <c r="BF1216" s="115"/>
      <c r="BG1216" s="115"/>
      <c r="BH1216" s="26"/>
      <c r="BI1216" s="13"/>
      <c r="BL1216" s="114"/>
    </row>
    <row r="1217" spans="1:64" x14ac:dyDescent="0.4">
      <c r="A1217" s="115"/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22"/>
      <c r="AR1217" s="122"/>
      <c r="AS1217" s="122"/>
      <c r="AT1217" s="115"/>
      <c r="AU1217" s="115"/>
      <c r="AV1217" s="115"/>
      <c r="AW1217" s="115"/>
      <c r="AX1217" s="115"/>
      <c r="AY1217" s="115"/>
      <c r="AZ1217" s="115"/>
      <c r="BA1217" s="115"/>
      <c r="BB1217" s="115"/>
      <c r="BC1217" s="115"/>
      <c r="BD1217" s="115"/>
      <c r="BE1217" s="115"/>
      <c r="BF1217" s="115"/>
      <c r="BG1217" s="115"/>
      <c r="BH1217" s="26"/>
      <c r="BI1217" s="13"/>
      <c r="BL1217" s="114"/>
    </row>
    <row r="1218" spans="1:64" x14ac:dyDescent="0.4">
      <c r="A1218" s="115"/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22"/>
      <c r="AR1218" s="122"/>
      <c r="AS1218" s="122"/>
      <c r="AT1218" s="115"/>
      <c r="AU1218" s="115"/>
      <c r="AV1218" s="115"/>
      <c r="AW1218" s="115"/>
      <c r="AX1218" s="115"/>
      <c r="AY1218" s="115"/>
      <c r="AZ1218" s="115"/>
      <c r="BA1218" s="115"/>
      <c r="BB1218" s="115"/>
      <c r="BC1218" s="115"/>
      <c r="BD1218" s="115"/>
      <c r="BE1218" s="115"/>
      <c r="BF1218" s="115"/>
      <c r="BG1218" s="115"/>
      <c r="BH1218" s="26"/>
      <c r="BI1218" s="13"/>
      <c r="BL1218" s="114"/>
    </row>
    <row r="1219" spans="1:64" x14ac:dyDescent="0.4">
      <c r="A1219" s="115"/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22"/>
      <c r="AR1219" s="122"/>
      <c r="AS1219" s="122"/>
      <c r="AT1219" s="115"/>
      <c r="AU1219" s="115"/>
      <c r="AV1219" s="115"/>
      <c r="AW1219" s="115"/>
      <c r="AX1219" s="115"/>
      <c r="AY1219" s="115"/>
      <c r="AZ1219" s="115"/>
      <c r="BA1219" s="115"/>
      <c r="BB1219" s="115"/>
      <c r="BC1219" s="115"/>
      <c r="BD1219" s="115"/>
      <c r="BE1219" s="115"/>
      <c r="BF1219" s="115"/>
      <c r="BG1219" s="115"/>
      <c r="BH1219" s="26"/>
      <c r="BI1219" s="13"/>
      <c r="BL1219" s="114"/>
    </row>
    <row r="1220" spans="1:64" x14ac:dyDescent="0.4">
      <c r="A1220" s="115"/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15"/>
      <c r="AP1220" s="115"/>
      <c r="AQ1220" s="122"/>
      <c r="AR1220" s="122"/>
      <c r="AS1220" s="122"/>
      <c r="AT1220" s="115"/>
      <c r="AU1220" s="115"/>
      <c r="AV1220" s="115"/>
      <c r="AW1220" s="115"/>
      <c r="AX1220" s="115"/>
      <c r="AY1220" s="115"/>
      <c r="AZ1220" s="115"/>
      <c r="BA1220" s="115"/>
      <c r="BB1220" s="115"/>
      <c r="BC1220" s="115"/>
      <c r="BD1220" s="115"/>
      <c r="BE1220" s="115"/>
      <c r="BF1220" s="115"/>
      <c r="BG1220" s="115"/>
      <c r="BH1220" s="26"/>
      <c r="BI1220" s="13"/>
      <c r="BL1220" s="114"/>
    </row>
    <row r="1221" spans="1:64" x14ac:dyDescent="0.4">
      <c r="A1221" s="115"/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22"/>
      <c r="AR1221" s="122"/>
      <c r="AS1221" s="122"/>
      <c r="AT1221" s="115"/>
      <c r="AU1221" s="115"/>
      <c r="AV1221" s="115"/>
      <c r="AW1221" s="115"/>
      <c r="AX1221" s="115"/>
      <c r="AY1221" s="115"/>
      <c r="AZ1221" s="115"/>
      <c r="BA1221" s="115"/>
      <c r="BB1221" s="115"/>
      <c r="BC1221" s="115"/>
      <c r="BD1221" s="115"/>
      <c r="BE1221" s="115"/>
      <c r="BF1221" s="115"/>
      <c r="BG1221" s="115"/>
      <c r="BH1221" s="26"/>
      <c r="BI1221" s="13"/>
      <c r="BL1221" s="114"/>
    </row>
    <row r="1222" spans="1:64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22"/>
      <c r="AR1222" s="122"/>
      <c r="AS1222" s="122"/>
      <c r="AT1222" s="115"/>
      <c r="AU1222" s="115"/>
      <c r="AV1222" s="115"/>
      <c r="AW1222" s="115"/>
      <c r="AX1222" s="115"/>
      <c r="AY1222" s="115"/>
      <c r="AZ1222" s="115"/>
      <c r="BA1222" s="115"/>
      <c r="BB1222" s="115"/>
      <c r="BC1222" s="115"/>
      <c r="BD1222" s="115"/>
      <c r="BE1222" s="115"/>
      <c r="BF1222" s="115"/>
      <c r="BG1222" s="115"/>
      <c r="BH1222" s="17"/>
      <c r="BI1222" s="13"/>
      <c r="BL1222" s="114"/>
    </row>
    <row r="1223" spans="1:64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22"/>
      <c r="AR1223" s="122"/>
      <c r="AS1223" s="122"/>
      <c r="AT1223" s="115"/>
      <c r="AU1223" s="115"/>
      <c r="AV1223" s="115"/>
      <c r="AW1223" s="115"/>
      <c r="AX1223" s="115"/>
      <c r="AY1223" s="115"/>
      <c r="AZ1223" s="115"/>
      <c r="BA1223" s="115"/>
      <c r="BB1223" s="115"/>
      <c r="BC1223" s="115"/>
      <c r="BD1223" s="115"/>
      <c r="BE1223" s="115"/>
      <c r="BF1223" s="115"/>
      <c r="BG1223" s="115"/>
      <c r="BH1223" s="26"/>
      <c r="BI1223" s="13"/>
      <c r="BL1223" s="114"/>
    </row>
    <row r="1224" spans="1:64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22"/>
      <c r="AR1224" s="122"/>
      <c r="AS1224" s="122"/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115"/>
      <c r="BD1224" s="115"/>
      <c r="BE1224" s="115"/>
      <c r="BF1224" s="115"/>
      <c r="BG1224" s="115"/>
      <c r="BH1224" s="17"/>
      <c r="BI1224" s="13"/>
      <c r="BL1224" s="114"/>
    </row>
    <row r="1225" spans="1:64" x14ac:dyDescent="0.4">
      <c r="A1225" s="115"/>
      <c r="B1225" s="115"/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22"/>
      <c r="AR1225" s="122"/>
      <c r="AS1225" s="122"/>
      <c r="AT1225" s="115"/>
      <c r="AU1225" s="115"/>
      <c r="AV1225" s="115"/>
      <c r="AW1225" s="115"/>
      <c r="AX1225" s="115"/>
      <c r="AY1225" s="115"/>
      <c r="AZ1225" s="115"/>
      <c r="BA1225" s="115"/>
      <c r="BB1225" s="115"/>
      <c r="BC1225" s="115"/>
      <c r="BD1225" s="115"/>
      <c r="BE1225" s="115"/>
      <c r="BF1225" s="115"/>
      <c r="BG1225" s="115"/>
      <c r="BH1225" s="26"/>
      <c r="BI1225" s="13"/>
      <c r="BL1225" s="114"/>
    </row>
    <row r="1226" spans="1:64" x14ac:dyDescent="0.4">
      <c r="A1226" s="115"/>
      <c r="B1226" s="115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22"/>
      <c r="AR1226" s="122"/>
      <c r="AS1226" s="122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115"/>
      <c r="BF1226" s="115"/>
      <c r="BG1226" s="115"/>
      <c r="BH1226" s="26"/>
      <c r="BI1226" s="13"/>
      <c r="BL1226" s="114"/>
    </row>
    <row r="1227" spans="1:64" x14ac:dyDescent="0.4">
      <c r="A1227" s="115"/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22"/>
      <c r="AR1227" s="122"/>
      <c r="AS1227" s="122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115"/>
      <c r="BF1227" s="115"/>
      <c r="BG1227" s="115"/>
      <c r="BH1227" s="26"/>
      <c r="BI1227" s="13"/>
      <c r="BL1227" s="114"/>
    </row>
    <row r="1228" spans="1:64" x14ac:dyDescent="0.4">
      <c r="A1228" s="115"/>
      <c r="B1228" s="115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22"/>
      <c r="AR1228" s="122"/>
      <c r="AS1228" s="122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15"/>
      <c r="BF1228" s="115"/>
      <c r="BG1228" s="115"/>
      <c r="BH1228" s="26"/>
      <c r="BI1228" s="15"/>
      <c r="BL1228" s="114"/>
    </row>
    <row r="1229" spans="1:64" x14ac:dyDescent="0.4">
      <c r="A1229" s="115"/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22"/>
      <c r="AR1229" s="122"/>
      <c r="AS1229" s="122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115"/>
      <c r="BF1229" s="115"/>
      <c r="BG1229" s="115"/>
      <c r="BH1229" s="26"/>
      <c r="BI1229" s="15"/>
      <c r="BL1229" s="114"/>
    </row>
    <row r="1230" spans="1:64" x14ac:dyDescent="0.4">
      <c r="A1230" s="115"/>
      <c r="B1230" s="115"/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15"/>
      <c r="AP1230" s="115"/>
      <c r="AQ1230" s="122"/>
      <c r="AR1230" s="122"/>
      <c r="AS1230" s="122"/>
      <c r="AT1230" s="115"/>
      <c r="AU1230" s="115"/>
      <c r="AV1230" s="115"/>
      <c r="AW1230" s="115"/>
      <c r="AX1230" s="115"/>
      <c r="AY1230" s="115"/>
      <c r="AZ1230" s="115"/>
      <c r="BA1230" s="115"/>
      <c r="BB1230" s="115"/>
      <c r="BC1230" s="115"/>
      <c r="BD1230" s="115"/>
      <c r="BE1230" s="115"/>
      <c r="BF1230" s="115"/>
      <c r="BG1230" s="115"/>
      <c r="BH1230" s="26"/>
      <c r="BI1230" s="15"/>
      <c r="BL1230" s="114"/>
    </row>
    <row r="1231" spans="1:64" x14ac:dyDescent="0.4">
      <c r="A1231" s="115"/>
      <c r="B1231" s="115"/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22"/>
      <c r="AR1231" s="122"/>
      <c r="AS1231" s="122"/>
      <c r="AT1231" s="115"/>
      <c r="AU1231" s="115"/>
      <c r="AV1231" s="115"/>
      <c r="AW1231" s="115"/>
      <c r="AX1231" s="115"/>
      <c r="AY1231" s="115"/>
      <c r="AZ1231" s="115"/>
      <c r="BA1231" s="115"/>
      <c r="BB1231" s="115"/>
      <c r="BC1231" s="115"/>
      <c r="BD1231" s="115"/>
      <c r="BE1231" s="115"/>
      <c r="BF1231" s="115"/>
      <c r="BG1231" s="115"/>
      <c r="BH1231" s="26"/>
      <c r="BI1231" s="13"/>
      <c r="BL1231" s="114"/>
    </row>
    <row r="1232" spans="1:64" x14ac:dyDescent="0.4">
      <c r="A1232" s="115"/>
      <c r="B1232" s="115"/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15"/>
      <c r="AP1232" s="115"/>
      <c r="AQ1232" s="122"/>
      <c r="AR1232" s="122"/>
      <c r="AS1232" s="122"/>
      <c r="AT1232" s="115"/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115"/>
      <c r="BF1232" s="115"/>
      <c r="BG1232" s="115"/>
      <c r="BH1232" s="26"/>
      <c r="BI1232" s="15"/>
      <c r="BL1232" s="114"/>
    </row>
    <row r="1233" spans="1:65" x14ac:dyDescent="0.4">
      <c r="A1233" s="115"/>
      <c r="B1233" s="115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22"/>
      <c r="AR1233" s="122"/>
      <c r="AS1233" s="122"/>
      <c r="AT1233" s="115"/>
      <c r="AU1233" s="115"/>
      <c r="AV1233" s="115"/>
      <c r="AW1233" s="115"/>
      <c r="AX1233" s="115"/>
      <c r="AY1233" s="115"/>
      <c r="AZ1233" s="115"/>
      <c r="BA1233" s="115"/>
      <c r="BB1233" s="115"/>
      <c r="BC1233" s="115"/>
      <c r="BD1233" s="115"/>
      <c r="BE1233" s="115"/>
      <c r="BF1233" s="115"/>
      <c r="BG1233" s="115"/>
      <c r="BH1233" s="26"/>
      <c r="BI1233" s="15"/>
      <c r="BL1233" s="114"/>
      <c r="BM1233" s="120"/>
    </row>
    <row r="1234" spans="1:65" x14ac:dyDescent="0.4">
      <c r="A1234" s="115"/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22"/>
      <c r="AR1234" s="122"/>
      <c r="AS1234" s="122"/>
      <c r="AT1234" s="115"/>
      <c r="AU1234" s="115"/>
      <c r="AV1234" s="115"/>
      <c r="AW1234" s="115"/>
      <c r="AX1234" s="115"/>
      <c r="AY1234" s="115"/>
      <c r="AZ1234" s="115"/>
      <c r="BA1234" s="115"/>
      <c r="BB1234" s="115"/>
      <c r="BC1234" s="115"/>
      <c r="BD1234" s="115"/>
      <c r="BE1234" s="115"/>
      <c r="BF1234" s="115"/>
      <c r="BG1234" s="115"/>
      <c r="BH1234" s="26"/>
      <c r="BI1234" s="15"/>
      <c r="BL1234" s="114"/>
      <c r="BM1234" s="120"/>
    </row>
    <row r="1235" spans="1:65" x14ac:dyDescent="0.4">
      <c r="A1235" s="115"/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22"/>
      <c r="AR1235" s="122"/>
      <c r="AS1235" s="122"/>
      <c r="AT1235" s="115"/>
      <c r="AU1235" s="115"/>
      <c r="AV1235" s="115"/>
      <c r="AW1235" s="115"/>
      <c r="AX1235" s="115"/>
      <c r="AY1235" s="115"/>
      <c r="AZ1235" s="115"/>
      <c r="BA1235" s="115"/>
      <c r="BB1235" s="115"/>
      <c r="BC1235" s="115"/>
      <c r="BD1235" s="115"/>
      <c r="BE1235" s="115"/>
      <c r="BF1235" s="115"/>
      <c r="BG1235" s="115"/>
      <c r="BH1235" s="26"/>
      <c r="BI1235" s="15"/>
      <c r="BL1235" s="114"/>
      <c r="BM1235" s="120"/>
    </row>
    <row r="1236" spans="1:65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22"/>
      <c r="AR1236" s="122"/>
      <c r="AS1236" s="122"/>
      <c r="AT1236" s="115"/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115"/>
      <c r="BF1236" s="115"/>
      <c r="BG1236" s="115"/>
      <c r="BH1236" s="26"/>
      <c r="BI1236" s="15"/>
      <c r="BL1236" s="114"/>
      <c r="BM1236" s="120"/>
    </row>
    <row r="1237" spans="1:65" x14ac:dyDescent="0.4">
      <c r="A1237" s="115"/>
      <c r="B1237" s="115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22"/>
      <c r="AR1237" s="122"/>
      <c r="AS1237" s="122"/>
      <c r="AT1237" s="115"/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15"/>
      <c r="BF1237" s="115"/>
      <c r="BG1237" s="115"/>
      <c r="BH1237" s="26"/>
      <c r="BI1237" s="15"/>
      <c r="BL1237" s="114"/>
      <c r="BM1237" s="120"/>
    </row>
    <row r="1238" spans="1:65" x14ac:dyDescent="0.4">
      <c r="A1238" s="115"/>
      <c r="B1238" s="115"/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22"/>
      <c r="AR1238" s="122"/>
      <c r="AS1238" s="122"/>
      <c r="AT1238" s="115"/>
      <c r="AU1238" s="115"/>
      <c r="AV1238" s="115"/>
      <c r="AW1238" s="115"/>
      <c r="AX1238" s="115"/>
      <c r="AY1238" s="115"/>
      <c r="AZ1238" s="115"/>
      <c r="BA1238" s="115"/>
      <c r="BB1238" s="115"/>
      <c r="BC1238" s="115"/>
      <c r="BD1238" s="115"/>
      <c r="BE1238" s="115"/>
      <c r="BF1238" s="115"/>
      <c r="BG1238" s="115"/>
      <c r="BH1238" s="26"/>
      <c r="BI1238" s="15"/>
      <c r="BL1238" s="114"/>
      <c r="BM1238" s="120"/>
    </row>
    <row r="1239" spans="1:65" x14ac:dyDescent="0.4">
      <c r="A1239" s="115"/>
      <c r="B1239" s="115"/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22"/>
      <c r="AR1239" s="122"/>
      <c r="AS1239" s="122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115"/>
      <c r="BF1239" s="115"/>
      <c r="BG1239" s="115"/>
      <c r="BH1239" s="26"/>
      <c r="BI1239" s="15"/>
      <c r="BL1239" s="114"/>
      <c r="BM1239" s="120"/>
    </row>
    <row r="1240" spans="1:65" x14ac:dyDescent="0.4">
      <c r="A1240" s="115"/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22"/>
      <c r="AR1240" s="122"/>
      <c r="AS1240" s="122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115"/>
      <c r="BF1240" s="115"/>
      <c r="BG1240" s="115"/>
      <c r="BH1240" s="17"/>
      <c r="BI1240" s="15"/>
      <c r="BL1240" s="114"/>
      <c r="BM1240" s="120"/>
    </row>
    <row r="1241" spans="1:65" x14ac:dyDescent="0.4">
      <c r="A1241" s="115"/>
      <c r="B1241" s="115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22"/>
      <c r="AR1241" s="122"/>
      <c r="AS1241" s="122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15"/>
      <c r="BF1241" s="115"/>
      <c r="BG1241" s="115"/>
      <c r="BH1241" s="26"/>
      <c r="BI1241" s="15"/>
      <c r="BL1241" s="114"/>
      <c r="BM1241" s="120"/>
    </row>
    <row r="1242" spans="1:65" x14ac:dyDescent="0.4">
      <c r="A1242" s="115"/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22"/>
      <c r="AR1242" s="122"/>
      <c r="AS1242" s="122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115"/>
      <c r="BF1242" s="115"/>
      <c r="BG1242" s="115"/>
      <c r="BH1242" s="26"/>
      <c r="BI1242" s="15"/>
      <c r="BL1242" s="114"/>
    </row>
    <row r="1243" spans="1:65" x14ac:dyDescent="0.4">
      <c r="BH1243" s="26"/>
      <c r="BI1243" s="15"/>
      <c r="BL1243" s="114"/>
    </row>
    <row r="1244" spans="1:65" x14ac:dyDescent="0.4"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115"/>
      <c r="BF1244" s="115"/>
      <c r="BG1244" s="115"/>
      <c r="BH1244" s="17"/>
      <c r="BI1244" s="15"/>
      <c r="BL1244" s="114"/>
    </row>
    <row r="1245" spans="1:65" x14ac:dyDescent="0.4">
      <c r="AU1245" s="115"/>
      <c r="AV1245" s="115"/>
      <c r="AW1245" s="115"/>
      <c r="AX1245" s="115"/>
      <c r="AY1245" s="115"/>
      <c r="AZ1245" s="115"/>
      <c r="BA1245" s="115"/>
      <c r="BB1245" s="115"/>
      <c r="BC1245" s="115"/>
      <c r="BD1245" s="115"/>
      <c r="BE1245" s="115"/>
      <c r="BF1245" s="115"/>
      <c r="BG1245" s="115"/>
      <c r="BH1245" s="17"/>
      <c r="BI1245" s="15"/>
      <c r="BL1245" s="114"/>
    </row>
    <row r="1246" spans="1:65" x14ac:dyDescent="0.4">
      <c r="AS1246" s="122"/>
      <c r="AT1246" s="115"/>
      <c r="AU1246" s="115"/>
      <c r="AV1246" s="115"/>
      <c r="AW1246" s="115"/>
      <c r="AX1246" s="115"/>
      <c r="AY1246" s="115"/>
      <c r="AZ1246" s="115"/>
      <c r="BA1246" s="115"/>
      <c r="BB1246" s="115"/>
      <c r="BC1246" s="115"/>
      <c r="BD1246" s="115"/>
      <c r="BE1246" s="115"/>
      <c r="BF1246" s="115"/>
      <c r="BG1246" s="115"/>
      <c r="BH1246" s="17"/>
      <c r="BI1246" s="15"/>
      <c r="BL1246" s="114"/>
    </row>
    <row r="1247" spans="1:65" x14ac:dyDescent="0.4">
      <c r="AN1247" s="115"/>
      <c r="AO1247" s="115"/>
      <c r="AP1247" s="115"/>
      <c r="AQ1247" s="122"/>
      <c r="AR1247" s="122"/>
      <c r="AS1247" s="122"/>
      <c r="AT1247" s="115"/>
      <c r="AU1247" s="115"/>
      <c r="AV1247" s="115"/>
      <c r="AW1247" s="115"/>
      <c r="AX1247" s="115"/>
      <c r="AY1247" s="115"/>
      <c r="AZ1247" s="115"/>
      <c r="BA1247" s="115"/>
      <c r="BB1247" s="115"/>
      <c r="BC1247" s="115"/>
      <c r="BD1247" s="115"/>
      <c r="BE1247" s="115"/>
      <c r="BF1247" s="115"/>
      <c r="BG1247" s="115"/>
      <c r="BH1247" s="26"/>
      <c r="BI1247" s="15"/>
      <c r="BL1247" s="114"/>
    </row>
    <row r="1248" spans="1:65" x14ac:dyDescent="0.4">
      <c r="AN1248" s="115"/>
      <c r="AO1248" s="115"/>
      <c r="AP1248" s="115"/>
      <c r="AQ1248" s="122"/>
      <c r="AR1248" s="122"/>
      <c r="AS1248" s="122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115"/>
      <c r="BF1248" s="115"/>
      <c r="BG1248" s="115"/>
      <c r="BH1248" s="17"/>
      <c r="BI1248" s="15"/>
      <c r="BL1248" s="114"/>
    </row>
    <row r="1249" spans="4:68" x14ac:dyDescent="0.4">
      <c r="AM1249" s="115"/>
      <c r="AN1249" s="115"/>
      <c r="AO1249" s="115"/>
      <c r="AP1249" s="115"/>
      <c r="AQ1249" s="122"/>
      <c r="AR1249" s="122"/>
      <c r="AS1249" s="122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15"/>
      <c r="BF1249" s="115"/>
      <c r="BG1249" s="115"/>
      <c r="BH1249" s="26"/>
      <c r="BI1249" s="15"/>
      <c r="BL1249" s="114"/>
    </row>
    <row r="1250" spans="4:68" x14ac:dyDescent="0.4">
      <c r="AM1250" s="115"/>
      <c r="AN1250" s="115"/>
      <c r="AO1250" s="115"/>
      <c r="AP1250" s="115"/>
      <c r="AQ1250" s="122"/>
      <c r="AR1250" s="122"/>
      <c r="AS1250" s="122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115"/>
      <c r="BF1250" s="115"/>
      <c r="BG1250" s="115"/>
      <c r="BH1250" s="17"/>
      <c r="BI1250" s="15"/>
      <c r="BL1250" s="114"/>
    </row>
    <row r="1251" spans="4:68" x14ac:dyDescent="0.4">
      <c r="AM1251" s="115"/>
      <c r="AN1251" s="115"/>
      <c r="AO1251" s="115"/>
      <c r="AP1251" s="115"/>
      <c r="AQ1251" s="122"/>
      <c r="AR1251" s="122"/>
      <c r="AS1251" s="122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15"/>
      <c r="BF1251" s="115"/>
      <c r="BG1251" s="115"/>
      <c r="BH1251" s="17"/>
      <c r="BI1251" s="15"/>
      <c r="BL1251" s="114"/>
    </row>
    <row r="1252" spans="4:68" x14ac:dyDescent="0.4">
      <c r="AM1252" s="115"/>
      <c r="AN1252" s="115"/>
      <c r="AO1252" s="115"/>
      <c r="AP1252" s="115"/>
      <c r="AQ1252" s="122"/>
      <c r="AR1252" s="122"/>
      <c r="AS1252" s="122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115"/>
      <c r="BF1252" s="115"/>
      <c r="BG1252" s="115"/>
      <c r="BH1252" s="17"/>
      <c r="BI1252" s="15"/>
      <c r="BL1252" s="114"/>
    </row>
    <row r="1253" spans="4:68" x14ac:dyDescent="0.4">
      <c r="AM1253" s="115"/>
      <c r="AN1253" s="115"/>
      <c r="AO1253" s="115"/>
      <c r="AP1253" s="115"/>
      <c r="AQ1253" s="122"/>
      <c r="AR1253" s="122"/>
      <c r="AS1253" s="122"/>
      <c r="AT1253" s="115"/>
      <c r="AU1253" s="115"/>
      <c r="AV1253" s="115"/>
      <c r="AW1253" s="115"/>
      <c r="AX1253" s="115"/>
      <c r="AY1253" s="115"/>
      <c r="AZ1253" s="115"/>
      <c r="BA1253" s="115"/>
      <c r="BB1253" s="115"/>
      <c r="BC1253" s="115"/>
      <c r="BD1253" s="115"/>
      <c r="BE1253" s="115"/>
      <c r="BF1253" s="115"/>
      <c r="BG1253" s="115"/>
      <c r="BH1253" s="26"/>
      <c r="BI1253" s="15"/>
      <c r="BL1253" s="114"/>
    </row>
    <row r="1254" spans="4:68" x14ac:dyDescent="0.4">
      <c r="AM1254" s="115"/>
      <c r="AN1254" s="115"/>
      <c r="AO1254" s="115"/>
      <c r="AP1254" s="115"/>
      <c r="AQ1254" s="122"/>
      <c r="AR1254" s="122"/>
      <c r="AS1254" s="122"/>
      <c r="AT1254" s="115"/>
      <c r="AU1254" s="115"/>
      <c r="AV1254" s="115"/>
      <c r="AW1254" s="115"/>
      <c r="AX1254" s="115"/>
      <c r="AY1254" s="115"/>
      <c r="AZ1254" s="115"/>
      <c r="BA1254" s="115"/>
      <c r="BB1254" s="115"/>
      <c r="BC1254" s="115"/>
      <c r="BD1254" s="115"/>
      <c r="BE1254" s="115"/>
      <c r="BF1254" s="115"/>
      <c r="BG1254" s="115"/>
      <c r="BH1254" s="17"/>
      <c r="BI1254" s="15"/>
      <c r="BL1254" s="114"/>
    </row>
    <row r="1255" spans="4:68" ht="19.5" x14ac:dyDescent="0.4">
      <c r="BH1255" s="26"/>
      <c r="BI1255" s="15"/>
      <c r="BM1255" s="116"/>
      <c r="BN1255" s="116"/>
      <c r="BO1255" s="116"/>
      <c r="BP1255" s="116"/>
    </row>
    <row r="1256" spans="4:68" ht="19.5" x14ac:dyDescent="0.4">
      <c r="AR1256" s="122"/>
      <c r="AS1256" s="122"/>
      <c r="AT1256" s="115"/>
      <c r="AU1256" s="115"/>
      <c r="AV1256" s="115"/>
      <c r="AW1256" s="115"/>
      <c r="AX1256" s="115"/>
      <c r="AY1256" s="115"/>
      <c r="AZ1256" s="115"/>
      <c r="BA1256" s="115"/>
      <c r="BB1256" s="115"/>
      <c r="BC1256" s="115"/>
      <c r="BD1256" s="115"/>
      <c r="BE1256" s="115"/>
      <c r="BF1256" s="115"/>
      <c r="BG1256" s="115"/>
      <c r="BH1256" s="17"/>
      <c r="BI1256" s="15"/>
      <c r="BM1256" s="117"/>
      <c r="BN1256" s="116"/>
      <c r="BO1256" s="116"/>
      <c r="BP1256" s="116"/>
    </row>
    <row r="1257" spans="4:68" ht="19.5" x14ac:dyDescent="0.4">
      <c r="AJ1257" s="115"/>
      <c r="AK1257" s="115"/>
      <c r="AL1257" s="115"/>
      <c r="AM1257" s="115"/>
      <c r="AN1257" s="115"/>
      <c r="AO1257" s="115"/>
      <c r="AP1257" s="115"/>
      <c r="AQ1257" s="122"/>
      <c r="AR1257" s="122"/>
      <c r="AS1257" s="122"/>
      <c r="AT1257" s="115"/>
      <c r="AU1257" s="115"/>
      <c r="AV1257" s="115"/>
      <c r="AW1257" s="115"/>
      <c r="AX1257" s="115"/>
      <c r="AY1257" s="115"/>
      <c r="AZ1257" s="115"/>
      <c r="BA1257" s="115"/>
      <c r="BB1257" s="115"/>
      <c r="BC1257" s="115"/>
      <c r="BD1257" s="115"/>
      <c r="BE1257" s="115"/>
      <c r="BF1257" s="115"/>
      <c r="BG1257" s="115"/>
      <c r="BH1257" s="26"/>
      <c r="BI1257" s="15"/>
      <c r="BM1257" s="117"/>
      <c r="BN1257" s="116"/>
      <c r="BO1257" s="116"/>
      <c r="BP1257" s="116"/>
    </row>
    <row r="1258" spans="4:68" ht="19.5" x14ac:dyDescent="0.4"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22"/>
      <c r="AR1258" s="122"/>
      <c r="AS1258" s="122"/>
      <c r="AT1258" s="115"/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115"/>
      <c r="BF1258" s="115"/>
      <c r="BG1258" s="115"/>
      <c r="BH1258" s="26"/>
      <c r="BI1258" s="13"/>
      <c r="BM1258" s="117"/>
      <c r="BN1258" s="116"/>
      <c r="BO1258" s="116"/>
      <c r="BP1258" s="116"/>
    </row>
    <row r="1259" spans="4:68" ht="19.5" x14ac:dyDescent="0.4"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22"/>
      <c r="AR1259" s="122"/>
      <c r="AS1259" s="122"/>
      <c r="AT1259" s="115"/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115"/>
      <c r="BF1259" s="115"/>
      <c r="BG1259" s="115"/>
      <c r="BH1259" s="26"/>
      <c r="BI1259" s="15"/>
      <c r="BM1259" s="117"/>
      <c r="BN1259" s="116"/>
      <c r="BO1259" s="116"/>
      <c r="BP1259" s="116"/>
    </row>
    <row r="1260" spans="4:68" ht="19.5" x14ac:dyDescent="0.4"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22"/>
      <c r="AR1260" s="122"/>
      <c r="AS1260" s="122"/>
      <c r="AT1260" s="115"/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115"/>
      <c r="BF1260" s="115"/>
      <c r="BG1260" s="115"/>
      <c r="BH1260" s="17"/>
      <c r="BI1260" s="15"/>
      <c r="BM1260" s="117"/>
      <c r="BN1260" s="116"/>
      <c r="BO1260" s="116"/>
      <c r="BP1260" s="116"/>
    </row>
    <row r="1261" spans="4:68" ht="19.5" x14ac:dyDescent="0.4"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22"/>
      <c r="AR1261" s="122"/>
      <c r="AS1261" s="122"/>
      <c r="AT1261" s="115"/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115"/>
      <c r="BF1261" s="115"/>
      <c r="BG1261" s="115"/>
      <c r="BH1261" s="26"/>
      <c r="BI1261" s="15"/>
      <c r="BM1261" s="117"/>
      <c r="BN1261" s="116"/>
      <c r="BO1261" s="116"/>
      <c r="BP1261" s="116"/>
    </row>
    <row r="1262" spans="4:68" ht="19.5" x14ac:dyDescent="0.4"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22"/>
      <c r="AR1262" s="122"/>
      <c r="AS1262" s="122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115"/>
      <c r="BF1262" s="115"/>
      <c r="BG1262" s="115"/>
      <c r="BH1262" s="26"/>
      <c r="BI1262" s="15"/>
      <c r="BM1262" s="117"/>
      <c r="BN1262" s="116"/>
      <c r="BO1262" s="116"/>
      <c r="BP1262" s="116"/>
    </row>
    <row r="1263" spans="4:68" ht="19.5" x14ac:dyDescent="0.4"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22"/>
      <c r="AR1263" s="122"/>
      <c r="AS1263" s="122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115"/>
      <c r="BF1263" s="115"/>
      <c r="BG1263" s="115"/>
      <c r="BH1263" s="17"/>
      <c r="BI1263" s="15"/>
      <c r="BM1263" s="117"/>
      <c r="BN1263" s="116"/>
      <c r="BO1263" s="116"/>
      <c r="BP1263" s="116"/>
    </row>
    <row r="1264" spans="4:68" ht="19.5" x14ac:dyDescent="0.4"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22"/>
      <c r="AR1264" s="122"/>
      <c r="AS1264" s="122"/>
      <c r="AT1264" s="115"/>
      <c r="AU1264" s="115"/>
      <c r="AV1264" s="115"/>
      <c r="AW1264" s="115"/>
      <c r="AX1264" s="115"/>
      <c r="AY1264" s="115"/>
      <c r="AZ1264" s="115"/>
      <c r="BA1264" s="115"/>
      <c r="BB1264" s="115"/>
      <c r="BC1264" s="115"/>
      <c r="BD1264" s="115"/>
      <c r="BE1264" s="115"/>
      <c r="BF1264" s="115"/>
      <c r="BG1264" s="115"/>
      <c r="BH1264" s="26"/>
      <c r="BI1264" s="15"/>
      <c r="BM1264" s="117"/>
      <c r="BN1264" s="116"/>
      <c r="BO1264" s="116"/>
      <c r="BP1264" s="116"/>
    </row>
    <row r="1265" spans="1:68" ht="19.5" x14ac:dyDescent="0.4">
      <c r="BH1265" s="26"/>
      <c r="BI1265" s="15"/>
      <c r="BM1265" s="117"/>
      <c r="BN1265" s="116"/>
      <c r="BO1265" s="116"/>
      <c r="BP1265" s="116"/>
    </row>
    <row r="1266" spans="1:68" ht="19.5" x14ac:dyDescent="0.4">
      <c r="AR1266" s="122"/>
      <c r="AS1266" s="122"/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115"/>
      <c r="BF1266" s="115"/>
      <c r="BG1266" s="115"/>
      <c r="BH1266" s="17"/>
      <c r="BI1266" s="15"/>
      <c r="BM1266" s="117"/>
      <c r="BN1266" s="116"/>
      <c r="BO1266" s="116"/>
      <c r="BP1266" s="116"/>
    </row>
    <row r="1267" spans="1:68" ht="19.5" x14ac:dyDescent="0.4">
      <c r="AO1267" s="115"/>
      <c r="AP1267" s="115"/>
      <c r="AQ1267" s="122"/>
      <c r="AR1267" s="122"/>
      <c r="AS1267" s="122"/>
      <c r="AT1267" s="115"/>
      <c r="AU1267" s="115"/>
      <c r="AV1267" s="115"/>
      <c r="AW1267" s="115"/>
      <c r="AX1267" s="115"/>
      <c r="AY1267" s="115"/>
      <c r="AZ1267" s="115"/>
      <c r="BA1267" s="115"/>
      <c r="BB1267" s="115"/>
      <c r="BC1267" s="115"/>
      <c r="BD1267" s="115"/>
      <c r="BE1267" s="115"/>
      <c r="BF1267" s="115"/>
      <c r="BG1267" s="115"/>
      <c r="BH1267" s="26"/>
      <c r="BI1267" s="15"/>
      <c r="BM1267" s="117"/>
      <c r="BN1267" s="116"/>
      <c r="BO1267" s="116"/>
      <c r="BP1267" s="116"/>
    </row>
    <row r="1268" spans="1:68" ht="19.5" x14ac:dyDescent="0.4">
      <c r="AO1268" s="115"/>
      <c r="AP1268" s="115"/>
      <c r="AQ1268" s="122"/>
      <c r="AR1268" s="122"/>
      <c r="AS1268" s="122"/>
      <c r="AT1268" s="115"/>
      <c r="AU1268" s="115"/>
      <c r="AV1268" s="115"/>
      <c r="AW1268" s="115"/>
      <c r="AX1268" s="115"/>
      <c r="AY1268" s="115"/>
      <c r="AZ1268" s="115"/>
      <c r="BA1268" s="115"/>
      <c r="BB1268" s="115"/>
      <c r="BC1268" s="115"/>
      <c r="BD1268" s="115"/>
      <c r="BE1268" s="115"/>
      <c r="BF1268" s="115"/>
      <c r="BG1268" s="115"/>
      <c r="BH1268" s="17"/>
      <c r="BI1268" s="15"/>
      <c r="BM1268" s="117"/>
      <c r="BN1268" s="116"/>
      <c r="BO1268" s="116"/>
      <c r="BP1268" s="116"/>
    </row>
    <row r="1269" spans="1:68" ht="19.5" x14ac:dyDescent="0.4">
      <c r="AN1269" s="115"/>
      <c r="AO1269" s="115"/>
      <c r="AP1269" s="115"/>
      <c r="AQ1269" s="122"/>
      <c r="AR1269" s="122"/>
      <c r="AS1269" s="122"/>
      <c r="AT1269" s="115"/>
      <c r="AU1269" s="115"/>
      <c r="AV1269" s="115"/>
      <c r="AW1269" s="115"/>
      <c r="AX1269" s="115"/>
      <c r="AY1269" s="115"/>
      <c r="AZ1269" s="115"/>
      <c r="BA1269" s="115"/>
      <c r="BB1269" s="115"/>
      <c r="BC1269" s="115"/>
      <c r="BD1269" s="115"/>
      <c r="BE1269" s="115"/>
      <c r="BF1269" s="115"/>
      <c r="BG1269" s="115"/>
      <c r="BH1269" s="26"/>
      <c r="BI1269" s="15"/>
      <c r="BM1269" s="117"/>
      <c r="BN1269" s="116"/>
      <c r="BO1269" s="116"/>
      <c r="BP1269" s="116"/>
    </row>
    <row r="1270" spans="1:68" ht="19.5" x14ac:dyDescent="0.4">
      <c r="A1270" s="115"/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22"/>
      <c r="AR1270" s="122"/>
      <c r="AS1270" s="122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115"/>
      <c r="BF1270" s="115"/>
      <c r="BG1270" s="115"/>
      <c r="BH1270" s="26"/>
      <c r="BI1270" s="15"/>
      <c r="BM1270" s="117"/>
      <c r="BN1270" s="116"/>
      <c r="BO1270" s="116"/>
      <c r="BP1270" s="116"/>
    </row>
    <row r="1271" spans="1:68" ht="19.5" x14ac:dyDescent="0.4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22"/>
      <c r="AR1271" s="122"/>
      <c r="AS1271" s="122"/>
      <c r="AT1271" s="115"/>
      <c r="AU1271" s="115"/>
      <c r="AV1271" s="115"/>
      <c r="AW1271" s="115"/>
      <c r="AX1271" s="115"/>
      <c r="AY1271" s="115"/>
      <c r="AZ1271" s="115"/>
      <c r="BA1271" s="115"/>
      <c r="BB1271" s="115"/>
      <c r="BC1271" s="115"/>
      <c r="BD1271" s="115"/>
      <c r="BE1271" s="115"/>
      <c r="BF1271" s="115"/>
      <c r="BG1271" s="115"/>
      <c r="BH1271" s="26"/>
      <c r="BI1271" s="15"/>
      <c r="BM1271" s="117"/>
      <c r="BN1271" s="116"/>
      <c r="BO1271" s="116"/>
      <c r="BP1271" s="116"/>
    </row>
    <row r="1272" spans="1:68" ht="19.5" x14ac:dyDescent="0.4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22"/>
      <c r="AR1272" s="122"/>
      <c r="AS1272" s="122"/>
      <c r="AT1272" s="115"/>
      <c r="AU1272" s="115"/>
      <c r="AV1272" s="115"/>
      <c r="AW1272" s="115"/>
      <c r="AX1272" s="115"/>
      <c r="AY1272" s="115"/>
      <c r="AZ1272" s="115"/>
      <c r="BA1272" s="115"/>
      <c r="BB1272" s="115"/>
      <c r="BC1272" s="115"/>
      <c r="BD1272" s="115"/>
      <c r="BE1272" s="115"/>
      <c r="BF1272" s="115"/>
      <c r="BG1272" s="115"/>
      <c r="BH1272" s="26"/>
      <c r="BI1272" s="15"/>
      <c r="BM1272" s="117"/>
      <c r="BN1272" s="116"/>
      <c r="BO1272" s="116"/>
      <c r="BP1272" s="116"/>
    </row>
    <row r="1273" spans="1:68" ht="19.5" x14ac:dyDescent="0.4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22"/>
      <c r="AR1273" s="122"/>
      <c r="AS1273" s="122"/>
      <c r="AT1273" s="115"/>
      <c r="AU1273" s="115"/>
      <c r="AV1273" s="115"/>
      <c r="AW1273" s="115"/>
      <c r="AX1273" s="115"/>
      <c r="AY1273" s="115"/>
      <c r="AZ1273" s="115"/>
      <c r="BA1273" s="115"/>
      <c r="BB1273" s="115"/>
      <c r="BC1273" s="115"/>
      <c r="BD1273" s="115"/>
      <c r="BE1273" s="115"/>
      <c r="BF1273" s="115"/>
      <c r="BG1273" s="115"/>
      <c r="BH1273" s="26"/>
      <c r="BI1273" s="105"/>
      <c r="BM1273" s="117"/>
      <c r="BN1273" s="116"/>
      <c r="BO1273" s="116"/>
      <c r="BP1273" s="116"/>
    </row>
    <row r="1274" spans="1:68" ht="19.5" x14ac:dyDescent="0.4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22"/>
      <c r="AR1274" s="122"/>
      <c r="AS1274" s="122"/>
      <c r="AT1274" s="115"/>
      <c r="AU1274" s="115"/>
      <c r="AV1274" s="115"/>
      <c r="AW1274" s="115"/>
      <c r="AX1274" s="115"/>
      <c r="AY1274" s="115"/>
      <c r="AZ1274" s="115"/>
      <c r="BA1274" s="115"/>
      <c r="BB1274" s="115"/>
      <c r="BC1274" s="115"/>
      <c r="BD1274" s="115"/>
      <c r="BE1274" s="115"/>
      <c r="BF1274" s="115"/>
      <c r="BG1274" s="115"/>
      <c r="BH1274" s="26"/>
      <c r="BI1274" s="105"/>
      <c r="BM1274" s="117"/>
      <c r="BN1274" s="116"/>
      <c r="BO1274" s="116"/>
      <c r="BP1274" s="116"/>
    </row>
    <row r="1275" spans="1:68" ht="19.5" x14ac:dyDescent="0.4">
      <c r="BH1275" s="26"/>
      <c r="BI1275" s="13"/>
      <c r="BM1275" s="117"/>
      <c r="BN1275" s="116"/>
      <c r="BO1275" s="116"/>
      <c r="BP1275" s="116"/>
    </row>
    <row r="1276" spans="1:68" ht="19.5" x14ac:dyDescent="0.4">
      <c r="AO1276" s="115"/>
      <c r="AP1276" s="115"/>
      <c r="AQ1276" s="122"/>
      <c r="AR1276" s="122"/>
      <c r="AS1276" s="122"/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115"/>
      <c r="BF1276" s="115"/>
      <c r="BG1276" s="115"/>
      <c r="BH1276" s="26"/>
      <c r="BI1276" s="13"/>
      <c r="BM1276" s="117"/>
      <c r="BN1276" s="116"/>
      <c r="BO1276" s="116"/>
      <c r="BP1276" s="116"/>
    </row>
    <row r="1277" spans="1:68" ht="19.5" x14ac:dyDescent="0.4">
      <c r="AJ1277" s="115"/>
      <c r="AK1277" s="115"/>
      <c r="AL1277" s="115"/>
      <c r="AM1277" s="115"/>
      <c r="AN1277" s="115"/>
      <c r="AO1277" s="115"/>
      <c r="AP1277" s="115"/>
      <c r="AQ1277" s="122"/>
      <c r="AR1277" s="122"/>
      <c r="AS1277" s="122"/>
      <c r="AT1277" s="115"/>
      <c r="AU1277" s="115"/>
      <c r="AV1277" s="115"/>
      <c r="AW1277" s="115"/>
      <c r="AX1277" s="115"/>
      <c r="AY1277" s="115"/>
      <c r="AZ1277" s="115"/>
      <c r="BA1277" s="115"/>
      <c r="BB1277" s="115"/>
      <c r="BC1277" s="115"/>
      <c r="BD1277" s="115"/>
      <c r="BE1277" s="115"/>
      <c r="BF1277" s="115"/>
      <c r="BG1277" s="115"/>
      <c r="BH1277" s="26"/>
      <c r="BI1277" s="13"/>
      <c r="BM1277" s="117"/>
      <c r="BN1277" s="116"/>
      <c r="BO1277" s="116"/>
      <c r="BP1277" s="116"/>
    </row>
    <row r="1278" spans="1:68" ht="19.5" x14ac:dyDescent="0.4">
      <c r="BH1278" s="26"/>
      <c r="BI1278" s="13"/>
      <c r="BM1278" s="117"/>
      <c r="BN1278" s="116"/>
      <c r="BO1278" s="116"/>
      <c r="BP1278" s="116"/>
    </row>
    <row r="1279" spans="1:68" ht="19.5" x14ac:dyDescent="0.4"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22"/>
      <c r="AR1279" s="122"/>
      <c r="AS1279" s="122"/>
      <c r="AT1279" s="115"/>
      <c r="AU1279" s="115"/>
      <c r="AV1279" s="115"/>
      <c r="AW1279" s="115"/>
      <c r="AX1279" s="115"/>
      <c r="AY1279" s="115"/>
      <c r="AZ1279" s="115"/>
      <c r="BA1279" s="115"/>
      <c r="BB1279" s="115"/>
      <c r="BC1279" s="115"/>
      <c r="BD1279" s="115"/>
      <c r="BE1279" s="115"/>
      <c r="BF1279" s="115"/>
      <c r="BG1279" s="115"/>
      <c r="BH1279" s="26"/>
      <c r="BI1279" s="13"/>
      <c r="BM1279" s="117"/>
      <c r="BN1279" s="116"/>
      <c r="BO1279" s="116"/>
      <c r="BP1279" s="116"/>
    </row>
    <row r="1280" spans="1:68" ht="19.5" x14ac:dyDescent="0.4"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22"/>
      <c r="AR1280" s="122"/>
      <c r="AS1280" s="122"/>
      <c r="AT1280" s="115"/>
      <c r="AU1280" s="115"/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115"/>
      <c r="BF1280" s="115"/>
      <c r="BG1280" s="115"/>
      <c r="BH1280" s="26"/>
      <c r="BI1280" s="13"/>
      <c r="BM1280" s="117"/>
      <c r="BN1280" s="116"/>
      <c r="BO1280" s="116"/>
      <c r="BP1280" s="116"/>
    </row>
    <row r="1281" spans="3:68" ht="19.5" x14ac:dyDescent="0.4"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22"/>
      <c r="AR1281" s="122"/>
      <c r="AS1281" s="122"/>
      <c r="AT1281" s="115"/>
      <c r="AU1281" s="115"/>
      <c r="AV1281" s="115"/>
      <c r="AW1281" s="115"/>
      <c r="AX1281" s="115"/>
      <c r="AY1281" s="115"/>
      <c r="AZ1281" s="115"/>
      <c r="BA1281" s="115"/>
      <c r="BB1281" s="115"/>
      <c r="BC1281" s="115"/>
      <c r="BD1281" s="115"/>
      <c r="BE1281" s="115"/>
      <c r="BF1281" s="115"/>
      <c r="BG1281" s="115"/>
      <c r="BH1281" s="26"/>
      <c r="BI1281" s="13"/>
      <c r="BM1281" s="117"/>
      <c r="BN1281" s="116"/>
      <c r="BO1281" s="116"/>
      <c r="BP1281" s="116"/>
    </row>
    <row r="1282" spans="3:68" ht="19.5" x14ac:dyDescent="0.4"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22"/>
      <c r="AR1282" s="122"/>
      <c r="AS1282" s="122"/>
      <c r="AT1282" s="115"/>
      <c r="AU1282" s="115"/>
      <c r="AV1282" s="115"/>
      <c r="AW1282" s="115"/>
      <c r="AX1282" s="115"/>
      <c r="AY1282" s="115"/>
      <c r="AZ1282" s="115"/>
      <c r="BA1282" s="115"/>
      <c r="BB1282" s="115"/>
      <c r="BC1282" s="115"/>
      <c r="BD1282" s="115"/>
      <c r="BE1282" s="115"/>
      <c r="BF1282" s="115"/>
      <c r="BG1282" s="115"/>
      <c r="BH1282" s="26"/>
      <c r="BI1282" s="13"/>
      <c r="BM1282" s="117"/>
      <c r="BN1282" s="116"/>
      <c r="BO1282" s="116"/>
      <c r="BP1282" s="116"/>
    </row>
    <row r="1283" spans="3:68" ht="19.5" x14ac:dyDescent="0.4"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22"/>
      <c r="AR1283" s="122"/>
      <c r="AS1283" s="122"/>
      <c r="AT1283" s="115"/>
      <c r="AU1283" s="115"/>
      <c r="AV1283" s="115"/>
      <c r="AW1283" s="115"/>
      <c r="AX1283" s="115"/>
      <c r="AY1283" s="115"/>
      <c r="AZ1283" s="115"/>
      <c r="BA1283" s="115"/>
      <c r="BB1283" s="115"/>
      <c r="BC1283" s="115"/>
      <c r="BD1283" s="115"/>
      <c r="BE1283" s="115"/>
      <c r="BF1283" s="115"/>
      <c r="BG1283" s="115"/>
      <c r="BH1283" s="26"/>
      <c r="BI1283" s="13"/>
      <c r="BM1283" s="117"/>
      <c r="BN1283" s="116"/>
      <c r="BO1283" s="116"/>
      <c r="BP1283" s="116"/>
    </row>
    <row r="1284" spans="3:68" ht="19.5" x14ac:dyDescent="0.4"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22"/>
      <c r="AR1284" s="122"/>
      <c r="AS1284" s="122"/>
      <c r="AT1284" s="115"/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115"/>
      <c r="BF1284" s="115"/>
      <c r="BG1284" s="115"/>
      <c r="BH1284" s="26"/>
      <c r="BI1284" s="13"/>
      <c r="BM1284" s="117"/>
      <c r="BN1284" s="116"/>
      <c r="BO1284" s="116"/>
      <c r="BP1284" s="116"/>
    </row>
    <row r="1285" spans="3:68" ht="19.5" x14ac:dyDescent="0.4"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22"/>
      <c r="AR1285" s="122"/>
      <c r="AS1285" s="122"/>
      <c r="AT1285" s="115"/>
      <c r="AU1285" s="115"/>
      <c r="AV1285" s="115"/>
      <c r="AW1285" s="115"/>
      <c r="AX1285" s="115"/>
      <c r="AY1285" s="115"/>
      <c r="AZ1285" s="115"/>
      <c r="BA1285" s="115"/>
      <c r="BB1285" s="115"/>
      <c r="BC1285" s="115"/>
      <c r="BD1285" s="115"/>
      <c r="BE1285" s="115"/>
      <c r="BF1285" s="115"/>
      <c r="BG1285" s="115"/>
      <c r="BH1285" s="26"/>
      <c r="BI1285" s="13"/>
      <c r="BM1285" s="117"/>
      <c r="BN1285" s="116"/>
      <c r="BO1285" s="116"/>
      <c r="BP1285" s="116"/>
    </row>
    <row r="1286" spans="3:68" ht="19.5" x14ac:dyDescent="0.4"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22"/>
      <c r="AR1286" s="122"/>
      <c r="AS1286" s="122"/>
      <c r="AT1286" s="115"/>
      <c r="AU1286" s="115"/>
      <c r="AV1286" s="115"/>
      <c r="AW1286" s="115"/>
      <c r="AX1286" s="115"/>
      <c r="AY1286" s="115"/>
      <c r="AZ1286" s="115"/>
      <c r="BA1286" s="115"/>
      <c r="BB1286" s="115"/>
      <c r="BC1286" s="115"/>
      <c r="BD1286" s="115"/>
      <c r="BE1286" s="115"/>
      <c r="BF1286" s="115"/>
      <c r="BG1286" s="115"/>
      <c r="BH1286" s="26"/>
      <c r="BI1286" s="13"/>
      <c r="BM1286" s="117"/>
      <c r="BN1286" s="116"/>
      <c r="BO1286" s="116"/>
      <c r="BP1286" s="116"/>
    </row>
    <row r="1287" spans="3:68" ht="19.5" x14ac:dyDescent="0.4">
      <c r="BH1287" s="26"/>
      <c r="BI1287" s="15"/>
      <c r="BM1287" s="117"/>
      <c r="BN1287" s="116"/>
      <c r="BO1287" s="116"/>
      <c r="BP1287" s="116"/>
    </row>
    <row r="1288" spans="3:68" ht="19.5" x14ac:dyDescent="0.4"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22"/>
      <c r="AR1288" s="122"/>
      <c r="AS1288" s="122"/>
      <c r="AT1288" s="115"/>
      <c r="AU1288" s="115"/>
      <c r="AV1288" s="115"/>
      <c r="AW1288" s="115"/>
      <c r="AX1288" s="115"/>
      <c r="AY1288" s="115"/>
      <c r="AZ1288" s="115"/>
      <c r="BA1288" s="115"/>
      <c r="BB1288" s="115"/>
      <c r="BC1288" s="115"/>
      <c r="BD1288" s="115"/>
      <c r="BE1288" s="115"/>
      <c r="BF1288" s="115"/>
      <c r="BG1288" s="115"/>
      <c r="BH1288" s="26"/>
      <c r="BI1288" s="15"/>
      <c r="BM1288" s="117"/>
      <c r="BN1288" s="116"/>
      <c r="BO1288" s="116"/>
      <c r="BP1288" s="116"/>
    </row>
    <row r="1289" spans="3:68" ht="19.5" x14ac:dyDescent="0.4"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22"/>
      <c r="AR1289" s="122"/>
      <c r="AS1289" s="122"/>
      <c r="AT1289" s="115"/>
      <c r="AU1289" s="115"/>
      <c r="AV1289" s="115"/>
      <c r="AW1289" s="115"/>
      <c r="AX1289" s="115"/>
      <c r="AY1289" s="115"/>
      <c r="AZ1289" s="115"/>
      <c r="BA1289" s="115"/>
      <c r="BB1289" s="115"/>
      <c r="BC1289" s="115"/>
      <c r="BD1289" s="115"/>
      <c r="BE1289" s="115"/>
      <c r="BF1289" s="115"/>
      <c r="BG1289" s="115"/>
      <c r="BH1289" s="17"/>
      <c r="BI1289" s="15"/>
      <c r="BM1289" s="117"/>
      <c r="BN1289" s="116"/>
      <c r="BO1289" s="116"/>
      <c r="BP1289" s="116"/>
    </row>
    <row r="1290" spans="3:68" ht="19.5" x14ac:dyDescent="0.4">
      <c r="BH1290" s="26"/>
      <c r="BI1290" s="15"/>
      <c r="BM1290" s="117"/>
      <c r="BN1290" s="116"/>
      <c r="BO1290" s="116"/>
      <c r="BP1290" s="116"/>
    </row>
    <row r="1291" spans="3:68" ht="19.5" x14ac:dyDescent="0.4">
      <c r="BH1291" s="26"/>
      <c r="BI1291" s="13"/>
      <c r="BM1291" s="117"/>
      <c r="BN1291" s="116"/>
      <c r="BO1291" s="116"/>
      <c r="BP1291" s="116"/>
    </row>
    <row r="1292" spans="3:68" ht="19.5" x14ac:dyDescent="0.4">
      <c r="AN1292" s="115"/>
      <c r="AO1292" s="115"/>
      <c r="AP1292" s="115"/>
      <c r="AQ1292" s="122"/>
      <c r="AR1292" s="122"/>
      <c r="AS1292" s="122"/>
      <c r="AT1292" s="115"/>
      <c r="AU1292" s="115"/>
      <c r="AV1292" s="115"/>
      <c r="AW1292" s="115"/>
      <c r="AX1292" s="115"/>
      <c r="AY1292" s="115"/>
      <c r="AZ1292" s="115"/>
      <c r="BA1292" s="115"/>
      <c r="BB1292" s="115"/>
      <c r="BC1292" s="115"/>
      <c r="BD1292" s="115"/>
      <c r="BE1292" s="115"/>
      <c r="BF1292" s="115"/>
      <c r="BG1292" s="115"/>
      <c r="BH1292" s="26"/>
      <c r="BI1292" s="13"/>
      <c r="BM1292" s="117"/>
      <c r="BN1292" s="116"/>
      <c r="BO1292" s="116"/>
      <c r="BP1292" s="116"/>
    </row>
    <row r="1293" spans="3:68" ht="19.5" x14ac:dyDescent="0.4"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15"/>
      <c r="AP1293" s="115"/>
      <c r="AQ1293" s="122"/>
      <c r="AR1293" s="122"/>
      <c r="AS1293" s="122"/>
      <c r="AT1293" s="115"/>
      <c r="AU1293" s="115"/>
      <c r="AV1293" s="115"/>
      <c r="AW1293" s="115"/>
      <c r="AX1293" s="115"/>
      <c r="AY1293" s="115"/>
      <c r="AZ1293" s="115"/>
      <c r="BA1293" s="115"/>
      <c r="BB1293" s="115"/>
      <c r="BC1293" s="115"/>
      <c r="BD1293" s="115"/>
      <c r="BE1293" s="115"/>
      <c r="BF1293" s="115"/>
      <c r="BG1293" s="115"/>
      <c r="BH1293" s="26"/>
      <c r="BI1293" s="13"/>
      <c r="BM1293" s="117"/>
      <c r="BN1293" s="116"/>
      <c r="BO1293" s="116"/>
      <c r="BP1293" s="116"/>
    </row>
    <row r="1294" spans="3:68" ht="19.5" x14ac:dyDescent="0.4"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15"/>
      <c r="AP1294" s="115"/>
      <c r="AQ1294" s="122"/>
      <c r="AR1294" s="122"/>
      <c r="AS1294" s="122"/>
      <c r="AT1294" s="115"/>
      <c r="AU1294" s="115"/>
      <c r="AV1294" s="115"/>
      <c r="AW1294" s="115"/>
      <c r="AX1294" s="115"/>
      <c r="AY1294" s="115"/>
      <c r="AZ1294" s="115"/>
      <c r="BA1294" s="115"/>
      <c r="BB1294" s="115"/>
      <c r="BC1294" s="115"/>
      <c r="BD1294" s="115"/>
      <c r="BE1294" s="115"/>
      <c r="BF1294" s="115"/>
      <c r="BG1294" s="115"/>
      <c r="BH1294" s="17"/>
      <c r="BI1294" s="13"/>
      <c r="BM1294" s="117"/>
      <c r="BN1294" s="116"/>
      <c r="BO1294" s="116"/>
      <c r="BP1294" s="116"/>
    </row>
    <row r="1295" spans="3:68" ht="19.5" x14ac:dyDescent="0.4"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22"/>
      <c r="AR1295" s="122"/>
      <c r="AS1295" s="122"/>
      <c r="AT1295" s="115"/>
      <c r="AU1295" s="115"/>
      <c r="AV1295" s="115"/>
      <c r="AW1295" s="115"/>
      <c r="AX1295" s="115"/>
      <c r="AY1295" s="115"/>
      <c r="AZ1295" s="115"/>
      <c r="BA1295" s="115"/>
      <c r="BB1295" s="115"/>
      <c r="BC1295" s="115"/>
      <c r="BD1295" s="115"/>
      <c r="BE1295" s="115"/>
      <c r="BF1295" s="115"/>
      <c r="BG1295" s="115"/>
      <c r="BH1295" s="26"/>
      <c r="BI1295" s="25"/>
      <c r="BM1295" s="117"/>
      <c r="BN1295" s="116"/>
      <c r="BO1295" s="116"/>
      <c r="BP1295" s="116"/>
    </row>
    <row r="1296" spans="3:68" ht="19.5" x14ac:dyDescent="0.4"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15"/>
      <c r="AP1296" s="115"/>
      <c r="AQ1296" s="122"/>
      <c r="AR1296" s="122"/>
      <c r="AS1296" s="122"/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115"/>
      <c r="BF1296" s="115"/>
      <c r="BG1296" s="115"/>
      <c r="BH1296" s="17"/>
      <c r="BI1296" s="13"/>
      <c r="BM1296" s="117"/>
      <c r="BN1296" s="116"/>
      <c r="BO1296" s="116"/>
      <c r="BP1296" s="116"/>
    </row>
    <row r="1297" spans="1:68" ht="19.5" x14ac:dyDescent="0.4"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22"/>
      <c r="AR1297" s="122"/>
      <c r="AS1297" s="122"/>
      <c r="AT1297" s="115"/>
      <c r="AU1297" s="115"/>
      <c r="AV1297" s="115"/>
      <c r="AW1297" s="115"/>
      <c r="AX1297" s="115"/>
      <c r="AY1297" s="115"/>
      <c r="AZ1297" s="115"/>
      <c r="BA1297" s="115"/>
      <c r="BB1297" s="115"/>
      <c r="BC1297" s="115"/>
      <c r="BD1297" s="115"/>
      <c r="BE1297" s="115"/>
      <c r="BF1297" s="115"/>
      <c r="BG1297" s="115"/>
      <c r="BH1297" s="26"/>
      <c r="BI1297" s="13"/>
      <c r="BM1297" s="117"/>
      <c r="BN1297" s="116"/>
      <c r="BO1297" s="116"/>
      <c r="BP1297" s="116"/>
    </row>
    <row r="1298" spans="1:68" ht="19.5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15"/>
      <c r="AQ1298" s="122"/>
      <c r="AR1298" s="122"/>
      <c r="AS1298" s="122"/>
      <c r="AT1298" s="115"/>
      <c r="AU1298" s="115"/>
      <c r="AV1298" s="115"/>
      <c r="AW1298" s="115"/>
      <c r="AX1298" s="115"/>
      <c r="AY1298" s="115"/>
      <c r="AZ1298" s="115"/>
      <c r="BA1298" s="115"/>
      <c r="BB1298" s="115"/>
      <c r="BC1298" s="115"/>
      <c r="BD1298" s="115"/>
      <c r="BE1298" s="115"/>
      <c r="BF1298" s="115"/>
      <c r="BG1298" s="115"/>
      <c r="BH1298" s="26"/>
      <c r="BI1298" s="13"/>
      <c r="BM1298" s="117"/>
      <c r="BN1298" s="116"/>
      <c r="BO1298" s="116"/>
      <c r="BP1298" s="116"/>
    </row>
    <row r="1299" spans="1:68" ht="19.5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22"/>
      <c r="AR1299" s="122"/>
      <c r="AS1299" s="122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115"/>
      <c r="BF1299" s="115"/>
      <c r="BG1299" s="115"/>
      <c r="BH1299" s="26"/>
      <c r="BI1299" s="13"/>
      <c r="BM1299" s="117"/>
      <c r="BN1299" s="116"/>
      <c r="BO1299" s="116"/>
      <c r="BP1299" s="116"/>
    </row>
    <row r="1300" spans="1:68" ht="19.5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22"/>
      <c r="AR1300" s="122"/>
      <c r="AS1300" s="122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115"/>
      <c r="BF1300" s="115"/>
      <c r="BG1300" s="115"/>
      <c r="BH1300" s="26"/>
      <c r="BI1300" s="13"/>
      <c r="BM1300" s="117"/>
      <c r="BN1300" s="116"/>
      <c r="BO1300" s="116"/>
      <c r="BP1300" s="116"/>
    </row>
    <row r="1301" spans="1:68" ht="19.5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22"/>
      <c r="AR1301" s="122"/>
      <c r="AS1301" s="122"/>
      <c r="AT1301" s="115"/>
      <c r="AU1301" s="115"/>
      <c r="AV1301" s="115"/>
      <c r="AW1301" s="115"/>
      <c r="AX1301" s="115"/>
      <c r="AY1301" s="115"/>
      <c r="AZ1301" s="115"/>
      <c r="BA1301" s="115"/>
      <c r="BB1301" s="115"/>
      <c r="BC1301" s="115"/>
      <c r="BD1301" s="115"/>
      <c r="BE1301" s="115"/>
      <c r="BF1301" s="115"/>
      <c r="BG1301" s="115"/>
      <c r="BH1301" s="26"/>
      <c r="BI1301" s="13"/>
      <c r="BM1301" s="117"/>
      <c r="BN1301" s="116"/>
      <c r="BO1301" s="116"/>
      <c r="BP1301" s="116"/>
    </row>
    <row r="1302" spans="1:68" ht="19.5" x14ac:dyDescent="0.4">
      <c r="A1302" s="115"/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22"/>
      <c r="AR1302" s="122"/>
      <c r="AS1302" s="122"/>
      <c r="AT1302" s="115"/>
      <c r="AU1302" s="115"/>
      <c r="AV1302" s="115"/>
      <c r="AW1302" s="115"/>
      <c r="AX1302" s="115"/>
      <c r="AY1302" s="115"/>
      <c r="AZ1302" s="115"/>
      <c r="BA1302" s="115"/>
      <c r="BB1302" s="115"/>
      <c r="BC1302" s="115"/>
      <c r="BD1302" s="115"/>
      <c r="BE1302" s="115"/>
      <c r="BF1302" s="115"/>
      <c r="BG1302" s="115"/>
      <c r="BH1302" s="26"/>
      <c r="BI1302" s="13"/>
      <c r="BM1302" s="117"/>
      <c r="BN1302" s="116"/>
      <c r="BO1302" s="116"/>
      <c r="BP1302" s="116"/>
    </row>
    <row r="1303" spans="1:68" ht="19.5" x14ac:dyDescent="0.4">
      <c r="A1303" s="115"/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22"/>
      <c r="AR1303" s="122"/>
      <c r="AS1303" s="122"/>
      <c r="AT1303" s="115"/>
      <c r="AU1303" s="115"/>
      <c r="AV1303" s="115"/>
      <c r="AW1303" s="115"/>
      <c r="AX1303" s="115"/>
      <c r="AY1303" s="115"/>
      <c r="AZ1303" s="115"/>
      <c r="BA1303" s="115"/>
      <c r="BB1303" s="115"/>
      <c r="BC1303" s="115"/>
      <c r="BD1303" s="115"/>
      <c r="BE1303" s="115"/>
      <c r="BF1303" s="115"/>
      <c r="BG1303" s="115"/>
      <c r="BH1303" s="26"/>
      <c r="BI1303" s="13"/>
      <c r="BM1303" s="117"/>
      <c r="BN1303" s="116"/>
      <c r="BO1303" s="116"/>
      <c r="BP1303" s="116"/>
    </row>
    <row r="1304" spans="1:68" ht="19.5" x14ac:dyDescent="0.4">
      <c r="A1304" s="115"/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22"/>
      <c r="AR1304" s="122"/>
      <c r="AS1304" s="122"/>
      <c r="AT1304" s="115"/>
      <c r="AU1304" s="115"/>
      <c r="AV1304" s="115"/>
      <c r="AW1304" s="115"/>
      <c r="AX1304" s="115"/>
      <c r="AY1304" s="115"/>
      <c r="AZ1304" s="115"/>
      <c r="BA1304" s="115"/>
      <c r="BB1304" s="115"/>
      <c r="BC1304" s="115"/>
      <c r="BD1304" s="115"/>
      <c r="BE1304" s="115"/>
      <c r="BF1304" s="115"/>
      <c r="BG1304" s="115"/>
      <c r="BH1304" s="26"/>
      <c r="BI1304" s="13"/>
      <c r="BM1304" s="117"/>
      <c r="BN1304" s="116"/>
      <c r="BO1304" s="116"/>
      <c r="BP1304" s="116"/>
    </row>
    <row r="1305" spans="1:68" ht="19.5" x14ac:dyDescent="0.4">
      <c r="A1305" s="115"/>
      <c r="B1305" s="115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22"/>
      <c r="AR1305" s="122"/>
      <c r="AS1305" s="122"/>
      <c r="AT1305" s="115"/>
      <c r="AU1305" s="115"/>
      <c r="AV1305" s="115"/>
      <c r="AW1305" s="115"/>
      <c r="AX1305" s="115"/>
      <c r="AY1305" s="115"/>
      <c r="AZ1305" s="115"/>
      <c r="BA1305" s="115"/>
      <c r="BB1305" s="115"/>
      <c r="BC1305" s="115"/>
      <c r="BD1305" s="115"/>
      <c r="BE1305" s="115"/>
      <c r="BF1305" s="115"/>
      <c r="BG1305" s="115"/>
      <c r="BH1305" s="26"/>
      <c r="BI1305" s="15"/>
      <c r="BM1305" s="117"/>
      <c r="BN1305" s="116"/>
      <c r="BO1305" s="116"/>
      <c r="BP1305" s="116"/>
    </row>
    <row r="1306" spans="1:68" ht="19.5" x14ac:dyDescent="0.4">
      <c r="A1306" s="115"/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22"/>
      <c r="AR1306" s="122"/>
      <c r="AS1306" s="122"/>
      <c r="AT1306" s="115"/>
      <c r="AU1306" s="115"/>
      <c r="AV1306" s="115"/>
      <c r="AW1306" s="115"/>
      <c r="AX1306" s="115"/>
      <c r="AY1306" s="115"/>
      <c r="AZ1306" s="115"/>
      <c r="BA1306" s="115"/>
      <c r="BB1306" s="115"/>
      <c r="BC1306" s="115"/>
      <c r="BD1306" s="115"/>
      <c r="BE1306" s="115"/>
      <c r="BF1306" s="115"/>
      <c r="BG1306" s="115"/>
      <c r="BH1306" s="26"/>
      <c r="BI1306" s="15"/>
      <c r="BM1306" s="117"/>
      <c r="BN1306" s="116"/>
      <c r="BO1306" s="116"/>
      <c r="BP1306" s="116"/>
    </row>
    <row r="1307" spans="1:68" ht="19.5" x14ac:dyDescent="0.4">
      <c r="A1307" s="115"/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22"/>
      <c r="AR1307" s="122"/>
      <c r="AS1307" s="122"/>
      <c r="AT1307" s="115"/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115"/>
      <c r="BF1307" s="115"/>
      <c r="BG1307" s="115"/>
      <c r="BH1307" s="26"/>
      <c r="BI1307" s="15"/>
      <c r="BM1307" s="117"/>
      <c r="BN1307" s="116"/>
      <c r="BO1307" s="116"/>
      <c r="BP1307" s="116"/>
    </row>
    <row r="1308" spans="1:68" ht="19.5" x14ac:dyDescent="0.4">
      <c r="A1308" s="115"/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22"/>
      <c r="AR1308" s="122"/>
      <c r="AS1308" s="122"/>
      <c r="AT1308" s="115"/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115"/>
      <c r="BF1308" s="115"/>
      <c r="BG1308" s="115"/>
      <c r="BH1308" s="26"/>
      <c r="BI1308" s="15"/>
      <c r="BM1308" s="117"/>
      <c r="BN1308" s="116"/>
      <c r="BO1308" s="116"/>
      <c r="BP1308" s="116"/>
    </row>
    <row r="1309" spans="1:68" ht="19.5" x14ac:dyDescent="0.4">
      <c r="A1309" s="115"/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22"/>
      <c r="AR1309" s="122"/>
      <c r="AS1309" s="122"/>
      <c r="AT1309" s="115"/>
      <c r="AU1309" s="115"/>
      <c r="AV1309" s="115"/>
      <c r="AW1309" s="115"/>
      <c r="AX1309" s="115"/>
      <c r="AY1309" s="115"/>
      <c r="AZ1309" s="115"/>
      <c r="BA1309" s="115"/>
      <c r="BB1309" s="115"/>
      <c r="BC1309" s="115"/>
      <c r="BD1309" s="115"/>
      <c r="BE1309" s="115"/>
      <c r="BF1309" s="115"/>
      <c r="BG1309" s="115"/>
      <c r="BH1309" s="26"/>
      <c r="BI1309" s="25"/>
      <c r="BM1309" s="117"/>
      <c r="BN1309" s="116"/>
      <c r="BO1309" s="116"/>
      <c r="BP1309" s="116"/>
    </row>
    <row r="1310" spans="1:68" ht="19.5" x14ac:dyDescent="0.4">
      <c r="BH1310" s="26"/>
      <c r="BI1310" s="15"/>
      <c r="BM1310" s="117"/>
      <c r="BN1310" s="116"/>
      <c r="BO1310" s="116"/>
      <c r="BP1310" s="116"/>
    </row>
    <row r="1311" spans="1:68" ht="19.5" x14ac:dyDescent="0.4">
      <c r="AP1311" s="115"/>
      <c r="AQ1311" s="122"/>
      <c r="AR1311" s="122"/>
      <c r="AS1311" s="122"/>
      <c r="AT1311" s="115"/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115"/>
      <c r="BF1311" s="115"/>
      <c r="BG1311" s="115"/>
      <c r="BH1311" s="26"/>
      <c r="BI1311" s="15"/>
      <c r="BM1311" s="117"/>
      <c r="BN1311" s="116"/>
      <c r="BO1311" s="116"/>
      <c r="BP1311" s="116"/>
    </row>
    <row r="1312" spans="1:68" ht="19.5" x14ac:dyDescent="0.4">
      <c r="AN1312" s="115"/>
      <c r="AO1312" s="115"/>
      <c r="AP1312" s="115"/>
      <c r="AQ1312" s="122"/>
      <c r="AR1312" s="122"/>
      <c r="AS1312" s="122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115"/>
      <c r="BF1312" s="115"/>
      <c r="BG1312" s="115"/>
      <c r="BH1312" s="26"/>
      <c r="BI1312" s="15"/>
      <c r="BM1312" s="117"/>
      <c r="BN1312" s="116"/>
      <c r="BO1312" s="116"/>
      <c r="BP1312" s="116"/>
    </row>
    <row r="1313" spans="1:68" ht="19.5" x14ac:dyDescent="0.4">
      <c r="AN1313" s="115"/>
      <c r="AO1313" s="115"/>
      <c r="AP1313" s="115"/>
      <c r="AQ1313" s="122"/>
      <c r="AR1313" s="122"/>
      <c r="AS1313" s="122"/>
      <c r="AT1313" s="115"/>
      <c r="AU1313" s="115"/>
      <c r="AV1313" s="115"/>
      <c r="AW1313" s="115"/>
      <c r="AX1313" s="115"/>
      <c r="AY1313" s="115"/>
      <c r="AZ1313" s="115"/>
      <c r="BA1313" s="115"/>
      <c r="BB1313" s="115"/>
      <c r="BC1313" s="115"/>
      <c r="BD1313" s="115"/>
      <c r="BE1313" s="115"/>
      <c r="BF1313" s="115"/>
      <c r="BG1313" s="115"/>
      <c r="BH1313" s="17"/>
      <c r="BI1313" s="15"/>
      <c r="BM1313" s="117"/>
      <c r="BN1313" s="116"/>
      <c r="BO1313" s="116"/>
      <c r="BP1313" s="116"/>
    </row>
    <row r="1314" spans="1:68" ht="19.5" x14ac:dyDescent="0.4">
      <c r="AK1314" s="115"/>
      <c r="AL1314" s="115"/>
      <c r="AM1314" s="115"/>
      <c r="AN1314" s="115"/>
      <c r="AO1314" s="115"/>
      <c r="AP1314" s="115"/>
      <c r="AQ1314" s="122"/>
      <c r="AR1314" s="122"/>
      <c r="AS1314" s="122"/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115"/>
      <c r="BF1314" s="115"/>
      <c r="BG1314" s="115"/>
      <c r="BH1314" s="26"/>
      <c r="BI1314" s="15"/>
      <c r="BM1314" s="117"/>
      <c r="BN1314" s="116"/>
      <c r="BO1314" s="116"/>
      <c r="BP1314" s="116"/>
    </row>
    <row r="1315" spans="1:68" ht="19.5" x14ac:dyDescent="0.4">
      <c r="AK1315" s="115"/>
      <c r="AL1315" s="115"/>
      <c r="AM1315" s="115"/>
      <c r="AN1315" s="115"/>
      <c r="AO1315" s="115"/>
      <c r="AP1315" s="115"/>
      <c r="AQ1315" s="122"/>
      <c r="AR1315" s="122"/>
      <c r="AS1315" s="122"/>
      <c r="AT1315" s="115"/>
      <c r="AU1315" s="115"/>
      <c r="AV1315" s="115"/>
      <c r="AW1315" s="115"/>
      <c r="AX1315" s="115"/>
      <c r="AY1315" s="115"/>
      <c r="AZ1315" s="115"/>
      <c r="BA1315" s="115"/>
      <c r="BB1315" s="115"/>
      <c r="BC1315" s="115"/>
      <c r="BD1315" s="115"/>
      <c r="BE1315" s="115"/>
      <c r="BF1315" s="115"/>
      <c r="BG1315" s="115"/>
      <c r="BH1315" s="17"/>
      <c r="BI1315" s="15"/>
      <c r="BM1315" s="117"/>
      <c r="BN1315" s="116"/>
      <c r="BO1315" s="116"/>
      <c r="BP1315" s="116"/>
    </row>
    <row r="1316" spans="1:68" ht="19.5" x14ac:dyDescent="0.4">
      <c r="AK1316" s="115"/>
      <c r="AL1316" s="115"/>
      <c r="AM1316" s="115"/>
      <c r="AN1316" s="115"/>
      <c r="AO1316" s="115"/>
      <c r="AP1316" s="115"/>
      <c r="AQ1316" s="122"/>
      <c r="AR1316" s="122"/>
      <c r="AS1316" s="122"/>
      <c r="AT1316" s="115"/>
      <c r="AU1316" s="115"/>
      <c r="AV1316" s="115"/>
      <c r="AW1316" s="115"/>
      <c r="AX1316" s="115"/>
      <c r="AY1316" s="115"/>
      <c r="AZ1316" s="115"/>
      <c r="BA1316" s="115"/>
      <c r="BB1316" s="115"/>
      <c r="BC1316" s="115"/>
      <c r="BD1316" s="115"/>
      <c r="BE1316" s="115"/>
      <c r="BF1316" s="115"/>
      <c r="BG1316" s="115"/>
      <c r="BH1316" s="26"/>
      <c r="BI1316" s="15"/>
      <c r="BM1316" s="117"/>
      <c r="BN1316" s="116"/>
      <c r="BO1316" s="116"/>
      <c r="BP1316" s="116"/>
    </row>
    <row r="1317" spans="1:68" ht="19.5" x14ac:dyDescent="0.4">
      <c r="AK1317" s="115"/>
      <c r="AL1317" s="115"/>
      <c r="AM1317" s="115"/>
      <c r="AN1317" s="115"/>
      <c r="AO1317" s="115"/>
      <c r="AP1317" s="115"/>
      <c r="AQ1317" s="122"/>
      <c r="AR1317" s="122"/>
      <c r="AS1317" s="122"/>
      <c r="AT1317" s="115"/>
      <c r="AU1317" s="115"/>
      <c r="AV1317" s="115"/>
      <c r="AW1317" s="115"/>
      <c r="AX1317" s="115"/>
      <c r="AY1317" s="115"/>
      <c r="AZ1317" s="115"/>
      <c r="BA1317" s="115"/>
      <c r="BB1317" s="115"/>
      <c r="BC1317" s="115"/>
      <c r="BD1317" s="115"/>
      <c r="BE1317" s="115"/>
      <c r="BF1317" s="115"/>
      <c r="BG1317" s="115"/>
      <c r="BH1317" s="17"/>
      <c r="BI1317" s="13"/>
      <c r="BM1317" s="117"/>
      <c r="BN1317" s="116"/>
      <c r="BO1317" s="116"/>
      <c r="BP1317" s="116"/>
    </row>
    <row r="1318" spans="1:68" ht="19.5" x14ac:dyDescent="0.4">
      <c r="AK1318" s="115"/>
      <c r="AL1318" s="115"/>
      <c r="AM1318" s="115"/>
      <c r="AN1318" s="115"/>
      <c r="AO1318" s="115"/>
      <c r="AP1318" s="115"/>
      <c r="AQ1318" s="122"/>
      <c r="AR1318" s="122"/>
      <c r="AS1318" s="122"/>
      <c r="AT1318" s="115"/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115"/>
      <c r="BF1318" s="115"/>
      <c r="BG1318" s="115"/>
      <c r="BH1318" s="17"/>
      <c r="BI1318" s="13"/>
      <c r="BM1318" s="117"/>
      <c r="BN1318" s="116"/>
      <c r="BO1318" s="116"/>
      <c r="BP1318" s="116"/>
    </row>
    <row r="1319" spans="1:68" ht="19.5" x14ac:dyDescent="0.4">
      <c r="BH1319" s="26"/>
      <c r="BI1319" s="13"/>
      <c r="BM1319" s="117"/>
      <c r="BN1319" s="116"/>
      <c r="BO1319" s="116"/>
      <c r="BP1319" s="116"/>
    </row>
    <row r="1320" spans="1:68" ht="19.5" x14ac:dyDescent="0.4">
      <c r="AP1320" s="115"/>
      <c r="AQ1320" s="122"/>
      <c r="AR1320" s="122"/>
      <c r="AS1320" s="122"/>
      <c r="AT1320" s="115"/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115"/>
      <c r="BF1320" s="115"/>
      <c r="BG1320" s="115"/>
      <c r="BH1320" s="17"/>
      <c r="BI1320" s="13"/>
      <c r="BM1320" s="117"/>
      <c r="BN1320" s="116"/>
      <c r="BO1320" s="116"/>
      <c r="BP1320" s="116"/>
    </row>
    <row r="1321" spans="1:68" ht="19.5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22"/>
      <c r="AR1321" s="122"/>
      <c r="AS1321" s="122"/>
      <c r="AT1321" s="115"/>
      <c r="AU1321" s="115"/>
      <c r="AV1321" s="115"/>
      <c r="AW1321" s="115"/>
      <c r="AX1321" s="115"/>
      <c r="AY1321" s="115"/>
      <c r="AZ1321" s="115"/>
      <c r="BA1321" s="115"/>
      <c r="BB1321" s="115"/>
      <c r="BC1321" s="115"/>
      <c r="BD1321" s="115"/>
      <c r="BE1321" s="115"/>
      <c r="BF1321" s="115"/>
      <c r="BG1321" s="115"/>
      <c r="BH1321" s="26"/>
      <c r="BI1321" s="13"/>
      <c r="BM1321" s="117"/>
      <c r="BN1321" s="116"/>
      <c r="BO1321" s="116"/>
      <c r="BP1321" s="116"/>
    </row>
    <row r="1322" spans="1:68" ht="19.5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22"/>
      <c r="AR1322" s="122"/>
      <c r="AS1322" s="122"/>
      <c r="AT1322" s="115"/>
      <c r="AU1322" s="115"/>
      <c r="AV1322" s="115"/>
      <c r="AW1322" s="115"/>
      <c r="AX1322" s="115"/>
      <c r="AY1322" s="115"/>
      <c r="AZ1322" s="115"/>
      <c r="BA1322" s="115"/>
      <c r="BB1322" s="115"/>
      <c r="BC1322" s="115"/>
      <c r="BD1322" s="115"/>
      <c r="BE1322" s="115"/>
      <c r="BF1322" s="115"/>
      <c r="BG1322" s="115"/>
      <c r="BH1322" s="26"/>
      <c r="BI1322" s="13"/>
      <c r="BM1322" s="117"/>
      <c r="BN1322" s="116"/>
      <c r="BO1322" s="116"/>
      <c r="BP1322" s="116"/>
    </row>
    <row r="1323" spans="1:68" ht="19.5" x14ac:dyDescent="0.4">
      <c r="A1323" s="115"/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22"/>
      <c r="AR1323" s="122"/>
      <c r="AS1323" s="122"/>
      <c r="AT1323" s="115"/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115"/>
      <c r="BF1323" s="115"/>
      <c r="BG1323" s="115"/>
      <c r="BH1323" s="26"/>
      <c r="BI1323" s="13"/>
      <c r="BM1323" s="117"/>
      <c r="BN1323" s="116"/>
      <c r="BO1323" s="116"/>
      <c r="BP1323" s="116"/>
    </row>
    <row r="1324" spans="1:68" ht="19.5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22"/>
      <c r="AR1324" s="122"/>
      <c r="AS1324" s="122"/>
      <c r="AT1324" s="115"/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115"/>
      <c r="BF1324" s="115"/>
      <c r="BG1324" s="115"/>
      <c r="BH1324" s="26"/>
      <c r="BI1324" s="13"/>
      <c r="BM1324" s="117"/>
      <c r="BN1324" s="116"/>
      <c r="BO1324" s="116"/>
      <c r="BP1324" s="116"/>
    </row>
    <row r="1325" spans="1:68" ht="19.5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22"/>
      <c r="AR1325" s="122"/>
      <c r="AS1325" s="122"/>
      <c r="AT1325" s="115"/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115"/>
      <c r="BF1325" s="115"/>
      <c r="BG1325" s="115"/>
      <c r="BH1325" s="17"/>
      <c r="BI1325" s="13"/>
      <c r="BM1325" s="117"/>
      <c r="BN1325" s="116"/>
      <c r="BO1325" s="116"/>
      <c r="BP1325" s="116"/>
    </row>
    <row r="1326" spans="1:68" ht="19.5" x14ac:dyDescent="0.4">
      <c r="A1326" s="115"/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22"/>
      <c r="AR1326" s="122"/>
      <c r="AS1326" s="122"/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115"/>
      <c r="BF1326" s="115"/>
      <c r="BG1326" s="115"/>
      <c r="BH1326" s="26"/>
      <c r="BI1326" s="13"/>
      <c r="BM1326" s="117"/>
      <c r="BN1326" s="116"/>
      <c r="BO1326" s="116"/>
      <c r="BP1326" s="116"/>
    </row>
    <row r="1327" spans="1:68" ht="19.5" x14ac:dyDescent="0.4">
      <c r="A1327" s="115"/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22"/>
      <c r="AR1327" s="122"/>
      <c r="AS1327" s="122"/>
      <c r="AT1327" s="115"/>
      <c r="AU1327" s="115"/>
      <c r="AV1327" s="115"/>
      <c r="AW1327" s="115"/>
      <c r="AX1327" s="115"/>
      <c r="AY1327" s="115"/>
      <c r="AZ1327" s="115"/>
      <c r="BA1327" s="115"/>
      <c r="BB1327" s="115"/>
      <c r="BC1327" s="115"/>
      <c r="BD1327" s="115"/>
      <c r="BE1327" s="115"/>
      <c r="BF1327" s="115"/>
      <c r="BG1327" s="115"/>
      <c r="BH1327" s="26"/>
      <c r="BI1327" s="15"/>
      <c r="BM1327" s="117"/>
      <c r="BN1327" s="116"/>
      <c r="BO1327" s="116"/>
      <c r="BP1327" s="116"/>
    </row>
    <row r="1328" spans="1:68" ht="19.5" x14ac:dyDescent="0.4">
      <c r="BH1328" s="26"/>
      <c r="BI1328" s="15"/>
      <c r="BM1328" s="117"/>
      <c r="BN1328" s="116"/>
      <c r="BO1328" s="116"/>
      <c r="BP1328" s="116"/>
    </row>
    <row r="1329" spans="1:68" ht="19.5" x14ac:dyDescent="0.4">
      <c r="AO1329" s="115"/>
      <c r="AP1329" s="115"/>
      <c r="AQ1329" s="122"/>
      <c r="AR1329" s="122"/>
      <c r="AS1329" s="122"/>
      <c r="AT1329" s="115"/>
      <c r="AU1329" s="115"/>
      <c r="AV1329" s="115"/>
      <c r="AW1329" s="115"/>
      <c r="AX1329" s="115"/>
      <c r="AY1329" s="115"/>
      <c r="AZ1329" s="115"/>
      <c r="BA1329" s="115"/>
      <c r="BB1329" s="115"/>
      <c r="BC1329" s="115"/>
      <c r="BD1329" s="115"/>
      <c r="BE1329" s="115"/>
      <c r="BF1329" s="115"/>
      <c r="BG1329" s="115"/>
      <c r="BH1329" s="26"/>
      <c r="BI1329" s="13"/>
      <c r="BM1329" s="117"/>
      <c r="BN1329" s="116"/>
      <c r="BO1329" s="116"/>
      <c r="BP1329" s="116"/>
    </row>
    <row r="1330" spans="1:68" ht="19.5" x14ac:dyDescent="0.4">
      <c r="AM1330" s="115"/>
      <c r="AN1330" s="115"/>
      <c r="AO1330" s="115"/>
      <c r="AP1330" s="115"/>
      <c r="AQ1330" s="122"/>
      <c r="AR1330" s="122"/>
      <c r="AS1330" s="122"/>
      <c r="AT1330" s="115"/>
      <c r="AU1330" s="115"/>
      <c r="AV1330" s="115"/>
      <c r="AW1330" s="115"/>
      <c r="AX1330" s="115"/>
      <c r="AY1330" s="115"/>
      <c r="AZ1330" s="115"/>
      <c r="BA1330" s="115"/>
      <c r="BB1330" s="115"/>
      <c r="BC1330" s="115"/>
      <c r="BD1330" s="115"/>
      <c r="BE1330" s="115"/>
      <c r="BF1330" s="115"/>
      <c r="BG1330" s="115"/>
      <c r="BH1330" s="26"/>
      <c r="BI1330" s="15"/>
      <c r="BM1330" s="117"/>
      <c r="BN1330" s="116"/>
      <c r="BO1330" s="116"/>
      <c r="BP1330" s="116"/>
    </row>
    <row r="1331" spans="1:68" ht="19.5" x14ac:dyDescent="0.4">
      <c r="AM1331" s="115"/>
      <c r="AN1331" s="115"/>
      <c r="AO1331" s="115"/>
      <c r="AP1331" s="115"/>
      <c r="AQ1331" s="122"/>
      <c r="AR1331" s="122"/>
      <c r="AS1331" s="122"/>
      <c r="AT1331" s="115"/>
      <c r="AU1331" s="115"/>
      <c r="AV1331" s="115"/>
      <c r="AW1331" s="115"/>
      <c r="AX1331" s="115"/>
      <c r="AY1331" s="115"/>
      <c r="AZ1331" s="115"/>
      <c r="BA1331" s="115"/>
      <c r="BB1331" s="115"/>
      <c r="BC1331" s="115"/>
      <c r="BD1331" s="115"/>
      <c r="BE1331" s="115"/>
      <c r="BF1331" s="115"/>
      <c r="BG1331" s="115"/>
      <c r="BH1331" s="26"/>
      <c r="BI1331" s="15"/>
      <c r="BM1331" s="117"/>
      <c r="BN1331" s="116"/>
      <c r="BO1331" s="116"/>
      <c r="BP1331" s="116"/>
    </row>
    <row r="1332" spans="1:68" ht="19.5" x14ac:dyDescent="0.4">
      <c r="AM1332" s="115"/>
      <c r="AN1332" s="115"/>
      <c r="AO1332" s="115"/>
      <c r="AP1332" s="115"/>
      <c r="AQ1332" s="122"/>
      <c r="AR1332" s="122"/>
      <c r="AS1332" s="122"/>
      <c r="AT1332" s="115"/>
      <c r="AU1332" s="115"/>
      <c r="AV1332" s="115"/>
      <c r="AW1332" s="115"/>
      <c r="AX1332" s="115"/>
      <c r="AY1332" s="115"/>
      <c r="AZ1332" s="115"/>
      <c r="BA1332" s="115"/>
      <c r="BB1332" s="115"/>
      <c r="BC1332" s="115"/>
      <c r="BD1332" s="115"/>
      <c r="BE1332" s="115"/>
      <c r="BF1332" s="115"/>
      <c r="BG1332" s="115"/>
      <c r="BH1332" s="17"/>
      <c r="BI1332" s="15"/>
      <c r="BM1332" s="117"/>
      <c r="BN1332" s="116"/>
      <c r="BO1332" s="116"/>
      <c r="BP1332" s="116"/>
    </row>
    <row r="1333" spans="1:68" ht="19.5" x14ac:dyDescent="0.4">
      <c r="AL1333" s="115"/>
      <c r="AM1333" s="115"/>
      <c r="AN1333" s="115"/>
      <c r="AO1333" s="115"/>
      <c r="AP1333" s="115"/>
      <c r="AQ1333" s="122"/>
      <c r="AR1333" s="122"/>
      <c r="AS1333" s="122"/>
      <c r="AT1333" s="115"/>
      <c r="AU1333" s="115"/>
      <c r="AV1333" s="115"/>
      <c r="AW1333" s="115"/>
      <c r="AX1333" s="115"/>
      <c r="AY1333" s="115"/>
      <c r="AZ1333" s="115"/>
      <c r="BA1333" s="115"/>
      <c r="BB1333" s="115"/>
      <c r="BC1333" s="115"/>
      <c r="BD1333" s="115"/>
      <c r="BE1333" s="115"/>
      <c r="BF1333" s="115"/>
      <c r="BG1333" s="115"/>
      <c r="BH1333" s="26"/>
      <c r="BI1333" s="15"/>
      <c r="BM1333" s="117"/>
      <c r="BN1333" s="116"/>
      <c r="BO1333" s="116"/>
      <c r="BP1333" s="116"/>
    </row>
    <row r="1334" spans="1:68" ht="19.5" x14ac:dyDescent="0.4">
      <c r="AL1334" s="115"/>
      <c r="AM1334" s="115"/>
      <c r="AN1334" s="115"/>
      <c r="AO1334" s="115"/>
      <c r="AP1334" s="115"/>
      <c r="AQ1334" s="122"/>
      <c r="AR1334" s="122"/>
      <c r="AS1334" s="122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115"/>
      <c r="BF1334" s="115"/>
      <c r="BG1334" s="115"/>
      <c r="BH1334" s="26"/>
      <c r="BI1334" s="15"/>
      <c r="BM1334" s="117"/>
      <c r="BN1334" s="116"/>
      <c r="BO1334" s="116"/>
      <c r="BP1334" s="116"/>
    </row>
    <row r="1335" spans="1:68" ht="19.5" x14ac:dyDescent="0.4">
      <c r="AL1335" s="115"/>
      <c r="AM1335" s="115"/>
      <c r="AN1335" s="115"/>
      <c r="AO1335" s="115"/>
      <c r="AP1335" s="115"/>
      <c r="AQ1335" s="122"/>
      <c r="AR1335" s="122"/>
      <c r="AS1335" s="122"/>
      <c r="AT1335" s="115"/>
      <c r="AU1335" s="115"/>
      <c r="AV1335" s="115"/>
      <c r="AW1335" s="115"/>
      <c r="AX1335" s="115"/>
      <c r="AY1335" s="115"/>
      <c r="AZ1335" s="115"/>
      <c r="BA1335" s="115"/>
      <c r="BB1335" s="115"/>
      <c r="BC1335" s="115"/>
      <c r="BD1335" s="115"/>
      <c r="BE1335" s="115"/>
      <c r="BF1335" s="115"/>
      <c r="BG1335" s="115"/>
      <c r="BH1335" s="26"/>
      <c r="BI1335" s="105"/>
      <c r="BM1335" s="117"/>
      <c r="BN1335" s="116"/>
      <c r="BO1335" s="116"/>
      <c r="BP1335" s="116"/>
    </row>
    <row r="1336" spans="1:68" ht="19.5" x14ac:dyDescent="0.4">
      <c r="AL1336" s="115"/>
      <c r="AM1336" s="115"/>
      <c r="AN1336" s="115"/>
      <c r="AO1336" s="115"/>
      <c r="AP1336" s="115"/>
      <c r="AQ1336" s="122"/>
      <c r="AR1336" s="122"/>
      <c r="AS1336" s="122"/>
      <c r="AT1336" s="115"/>
      <c r="AU1336" s="115"/>
      <c r="AV1336" s="115"/>
      <c r="AW1336" s="115"/>
      <c r="AX1336" s="115"/>
      <c r="AY1336" s="115"/>
      <c r="AZ1336" s="115"/>
      <c r="BA1336" s="115"/>
      <c r="BB1336" s="115"/>
      <c r="BC1336" s="115"/>
      <c r="BD1336" s="115"/>
      <c r="BE1336" s="115"/>
      <c r="BF1336" s="115"/>
      <c r="BG1336" s="115"/>
      <c r="BH1336" s="17"/>
      <c r="BI1336" s="15"/>
      <c r="BM1336" s="117"/>
      <c r="BN1336" s="116"/>
      <c r="BO1336" s="116"/>
      <c r="BP1336" s="116"/>
    </row>
    <row r="1337" spans="1:68" ht="19.5" x14ac:dyDescent="0.4">
      <c r="AL1337" s="115"/>
      <c r="AM1337" s="115"/>
      <c r="AN1337" s="115"/>
      <c r="AO1337" s="115"/>
      <c r="AP1337" s="115"/>
      <c r="AQ1337" s="122"/>
      <c r="AR1337" s="122"/>
      <c r="AS1337" s="122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115"/>
      <c r="BD1337" s="115"/>
      <c r="BE1337" s="115"/>
      <c r="BF1337" s="115"/>
      <c r="BG1337" s="115"/>
      <c r="BH1337" s="26"/>
      <c r="BI1337" s="15"/>
      <c r="BM1337" s="117"/>
      <c r="BN1337" s="116"/>
      <c r="BO1337" s="116"/>
      <c r="BP1337" s="116"/>
    </row>
    <row r="1338" spans="1:68" ht="19.5" x14ac:dyDescent="0.4">
      <c r="AL1338" s="115"/>
      <c r="AM1338" s="115"/>
      <c r="AN1338" s="115"/>
      <c r="AO1338" s="115"/>
      <c r="AP1338" s="115"/>
      <c r="AQ1338" s="122"/>
      <c r="AR1338" s="122"/>
      <c r="AS1338" s="122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115"/>
      <c r="BF1338" s="115"/>
      <c r="BG1338" s="115"/>
      <c r="BH1338" s="17"/>
      <c r="BI1338" s="15"/>
      <c r="BM1338" s="117"/>
      <c r="BN1338" s="116"/>
      <c r="BO1338" s="116"/>
      <c r="BP1338" s="116"/>
    </row>
    <row r="1339" spans="1:68" ht="19.5" x14ac:dyDescent="0.4"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22"/>
      <c r="AR1339" s="122"/>
      <c r="AS1339" s="122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115"/>
      <c r="BF1339" s="115"/>
      <c r="BG1339" s="115"/>
      <c r="BH1339" s="26"/>
      <c r="BI1339" s="15"/>
      <c r="BM1339" s="117"/>
      <c r="BN1339" s="116"/>
      <c r="BO1339" s="116"/>
      <c r="BP1339" s="116"/>
    </row>
    <row r="1340" spans="1:68" ht="19.5" x14ac:dyDescent="0.4"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22"/>
      <c r="AR1340" s="122"/>
      <c r="AS1340" s="122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115"/>
      <c r="BF1340" s="115"/>
      <c r="BG1340" s="115"/>
      <c r="BH1340" s="17"/>
      <c r="BI1340" s="15"/>
      <c r="BM1340" s="117"/>
      <c r="BN1340" s="116"/>
      <c r="BO1340" s="116"/>
      <c r="BP1340" s="116"/>
    </row>
    <row r="1341" spans="1:68" ht="19.5" x14ac:dyDescent="0.4"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22"/>
      <c r="AR1341" s="122"/>
      <c r="AS1341" s="122"/>
      <c r="AT1341" s="115"/>
      <c r="AU1341" s="115"/>
      <c r="AV1341" s="115"/>
      <c r="AW1341" s="115"/>
      <c r="AX1341" s="115"/>
      <c r="AY1341" s="115"/>
      <c r="AZ1341" s="115"/>
      <c r="BA1341" s="115"/>
      <c r="BB1341" s="115"/>
      <c r="BC1341" s="115"/>
      <c r="BD1341" s="115"/>
      <c r="BE1341" s="115"/>
      <c r="BF1341" s="115"/>
      <c r="BG1341" s="115"/>
      <c r="BH1341" s="26"/>
      <c r="BI1341" s="15"/>
      <c r="BM1341" s="117"/>
      <c r="BN1341" s="116"/>
      <c r="BO1341" s="116"/>
      <c r="BP1341" s="116"/>
    </row>
    <row r="1342" spans="1:68" ht="19.5" x14ac:dyDescent="0.4"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22"/>
      <c r="AR1342" s="122"/>
      <c r="AS1342" s="122"/>
      <c r="AT1342" s="115"/>
      <c r="AU1342" s="115"/>
      <c r="AV1342" s="115"/>
      <c r="AW1342" s="115"/>
      <c r="AX1342" s="115"/>
      <c r="AY1342" s="115"/>
      <c r="AZ1342" s="115"/>
      <c r="BA1342" s="115"/>
      <c r="BB1342" s="115"/>
      <c r="BC1342" s="115"/>
      <c r="BD1342" s="115"/>
      <c r="BE1342" s="115"/>
      <c r="BF1342" s="115"/>
      <c r="BG1342" s="115"/>
      <c r="BH1342" s="17"/>
      <c r="BI1342" s="15"/>
      <c r="BM1342" s="117"/>
      <c r="BN1342" s="116"/>
      <c r="BO1342" s="116"/>
      <c r="BP1342" s="116"/>
    </row>
    <row r="1343" spans="1:68" ht="19.5" x14ac:dyDescent="0.4">
      <c r="A1343" s="115"/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22"/>
      <c r="AR1343" s="122"/>
      <c r="AS1343" s="122"/>
      <c r="AT1343" s="115"/>
      <c r="AU1343" s="115"/>
      <c r="AV1343" s="115"/>
      <c r="AW1343" s="115"/>
      <c r="AX1343" s="115"/>
      <c r="AY1343" s="115"/>
      <c r="AZ1343" s="115"/>
      <c r="BA1343" s="115"/>
      <c r="BB1343" s="115"/>
      <c r="BC1343" s="115"/>
      <c r="BD1343" s="115"/>
      <c r="BE1343" s="115"/>
      <c r="BF1343" s="115"/>
      <c r="BG1343" s="115"/>
      <c r="BH1343" s="26"/>
      <c r="BI1343" s="15"/>
      <c r="BM1343" s="117"/>
      <c r="BN1343" s="116"/>
      <c r="BO1343" s="116"/>
      <c r="BP1343" s="116"/>
    </row>
    <row r="1344" spans="1:68" ht="19.5" x14ac:dyDescent="0.4">
      <c r="A1344" s="115"/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22"/>
      <c r="AR1344" s="122"/>
      <c r="AS1344" s="122"/>
      <c r="AT1344" s="115"/>
      <c r="AU1344" s="115"/>
      <c r="AV1344" s="115"/>
      <c r="AW1344" s="115"/>
      <c r="AX1344" s="115"/>
      <c r="AY1344" s="115"/>
      <c r="AZ1344" s="115"/>
      <c r="BA1344" s="115"/>
      <c r="BB1344" s="115"/>
      <c r="BC1344" s="115"/>
      <c r="BD1344" s="115"/>
      <c r="BE1344" s="115"/>
      <c r="BF1344" s="115"/>
      <c r="BG1344" s="115"/>
      <c r="BH1344" s="26"/>
      <c r="BI1344" s="15"/>
      <c r="BM1344" s="117"/>
      <c r="BN1344" s="116"/>
      <c r="BO1344" s="116"/>
      <c r="BP1344" s="116"/>
    </row>
    <row r="1345" spans="1:68" ht="19.5" x14ac:dyDescent="0.4">
      <c r="A1345" s="115"/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22"/>
      <c r="AR1345" s="122"/>
      <c r="AS1345" s="122"/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115"/>
      <c r="BF1345" s="115"/>
      <c r="BG1345" s="115"/>
      <c r="BH1345" s="26"/>
      <c r="BI1345" s="15"/>
      <c r="BM1345" s="117"/>
      <c r="BN1345" s="116"/>
      <c r="BO1345" s="116"/>
      <c r="BP1345" s="116"/>
    </row>
    <row r="1346" spans="1:68" ht="19.5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22"/>
      <c r="AR1346" s="122"/>
      <c r="AS1346" s="122"/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15"/>
      <c r="BF1346" s="115"/>
      <c r="BG1346" s="115"/>
      <c r="BH1346" s="26"/>
      <c r="BI1346" s="15"/>
      <c r="BM1346" s="117"/>
      <c r="BN1346" s="116"/>
      <c r="BO1346" s="116"/>
      <c r="BP1346" s="116"/>
    </row>
    <row r="1347" spans="1:68" ht="19.5" x14ac:dyDescent="0.4">
      <c r="A1347" s="115"/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22"/>
      <c r="AR1347" s="122"/>
      <c r="AS1347" s="122"/>
      <c r="AT1347" s="115"/>
      <c r="AU1347" s="115"/>
      <c r="AV1347" s="115"/>
      <c r="AW1347" s="115"/>
      <c r="AX1347" s="115"/>
      <c r="AY1347" s="115"/>
      <c r="AZ1347" s="115"/>
      <c r="BA1347" s="115"/>
      <c r="BB1347" s="115"/>
      <c r="BC1347" s="115"/>
      <c r="BD1347" s="115"/>
      <c r="BE1347" s="115"/>
      <c r="BF1347" s="115"/>
      <c r="BG1347" s="115"/>
      <c r="BH1347" s="26"/>
      <c r="BI1347" s="15"/>
      <c r="BM1347" s="117"/>
      <c r="BN1347" s="116"/>
      <c r="BO1347" s="116"/>
      <c r="BP1347" s="116"/>
    </row>
    <row r="1348" spans="1:68" ht="19.5" x14ac:dyDescent="0.4">
      <c r="A1348" s="115"/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22"/>
      <c r="AR1348" s="122"/>
      <c r="AS1348" s="122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115"/>
      <c r="BF1348" s="115"/>
      <c r="BG1348" s="115"/>
      <c r="BH1348" s="26"/>
      <c r="BI1348" s="15"/>
      <c r="BM1348" s="117"/>
      <c r="BN1348" s="116"/>
      <c r="BO1348" s="116"/>
      <c r="BP1348" s="116"/>
    </row>
    <row r="1349" spans="1:68" ht="19.5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22"/>
      <c r="AR1349" s="122"/>
      <c r="AS1349" s="122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115"/>
      <c r="BD1349" s="115"/>
      <c r="BE1349" s="115"/>
      <c r="BF1349" s="115"/>
      <c r="BG1349" s="115"/>
      <c r="BH1349" s="17"/>
      <c r="BI1349" s="15"/>
      <c r="BM1349" s="117"/>
      <c r="BN1349" s="116"/>
      <c r="BO1349" s="116"/>
      <c r="BP1349" s="116"/>
    </row>
    <row r="1350" spans="1:68" ht="19.5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22"/>
      <c r="AR1350" s="122"/>
      <c r="AS1350" s="122"/>
      <c r="AT1350" s="115"/>
      <c r="AU1350" s="115"/>
      <c r="AV1350" s="115"/>
      <c r="AW1350" s="115"/>
      <c r="AX1350" s="115"/>
      <c r="AY1350" s="115"/>
      <c r="AZ1350" s="115"/>
      <c r="BA1350" s="115"/>
      <c r="BB1350" s="115"/>
      <c r="BC1350" s="115"/>
      <c r="BD1350" s="115"/>
      <c r="BE1350" s="115"/>
      <c r="BF1350" s="115"/>
      <c r="BG1350" s="115"/>
      <c r="BH1350" s="26"/>
      <c r="BI1350" s="15"/>
      <c r="BM1350" s="117"/>
      <c r="BN1350" s="116"/>
      <c r="BO1350" s="116"/>
      <c r="BP1350" s="116"/>
    </row>
    <row r="1351" spans="1:68" ht="19.5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22"/>
      <c r="AR1351" s="122"/>
      <c r="AS1351" s="122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15"/>
      <c r="BD1351" s="115"/>
      <c r="BE1351" s="115"/>
      <c r="BF1351" s="115"/>
      <c r="BG1351" s="115"/>
      <c r="BH1351" s="17"/>
      <c r="BI1351" s="15"/>
      <c r="BM1351" s="117"/>
      <c r="BN1351" s="116"/>
      <c r="BO1351" s="116"/>
      <c r="BP1351" s="116"/>
    </row>
    <row r="1352" spans="1:68" ht="19.5" x14ac:dyDescent="0.4">
      <c r="A1352" s="115"/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22"/>
      <c r="AR1352" s="122"/>
      <c r="AS1352" s="122"/>
      <c r="AT1352" s="115"/>
      <c r="AU1352" s="115"/>
      <c r="AV1352" s="115"/>
      <c r="AW1352" s="115"/>
      <c r="AX1352" s="115"/>
      <c r="AY1352" s="115"/>
      <c r="AZ1352" s="115"/>
      <c r="BA1352" s="115"/>
      <c r="BB1352" s="115"/>
      <c r="BC1352" s="115"/>
      <c r="BD1352" s="115"/>
      <c r="BE1352" s="115"/>
      <c r="BF1352" s="115"/>
      <c r="BG1352" s="115"/>
      <c r="BH1352" s="26"/>
      <c r="BI1352" s="15"/>
      <c r="BM1352" s="117"/>
      <c r="BN1352" s="116"/>
      <c r="BO1352" s="116"/>
      <c r="BP1352" s="116"/>
    </row>
    <row r="1353" spans="1:68" ht="19.5" x14ac:dyDescent="0.4">
      <c r="A1353" s="115"/>
      <c r="B1353" s="115"/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22"/>
      <c r="AR1353" s="122"/>
      <c r="AS1353" s="122"/>
      <c r="AT1353" s="115"/>
      <c r="AU1353" s="115"/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115"/>
      <c r="BF1353" s="115"/>
      <c r="BG1353" s="115"/>
      <c r="BH1353" s="20"/>
      <c r="BI1353" s="15"/>
      <c r="BM1353" s="117"/>
      <c r="BN1353" s="116"/>
      <c r="BO1353" s="116"/>
      <c r="BP1353" s="116"/>
    </row>
    <row r="1354" spans="1:68" ht="19.5" x14ac:dyDescent="0.4">
      <c r="A1354" s="115"/>
      <c r="B1354" s="115"/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22"/>
      <c r="AR1354" s="122"/>
      <c r="AS1354" s="122"/>
      <c r="AT1354" s="115"/>
      <c r="AU1354" s="115"/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15"/>
      <c r="BF1354" s="115"/>
      <c r="BG1354" s="115"/>
      <c r="BH1354" s="20"/>
      <c r="BI1354" s="15"/>
      <c r="BM1354" s="117"/>
      <c r="BN1354" s="116"/>
      <c r="BO1354" s="116"/>
      <c r="BP1354" s="116"/>
    </row>
    <row r="1355" spans="1:68" ht="19.5" x14ac:dyDescent="0.4">
      <c r="A1355" s="115"/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22"/>
      <c r="AR1355" s="122"/>
      <c r="AS1355" s="122"/>
      <c r="AT1355" s="115"/>
      <c r="AU1355" s="115"/>
      <c r="AV1355" s="115"/>
      <c r="AW1355" s="115"/>
      <c r="AX1355" s="115"/>
      <c r="AY1355" s="115"/>
      <c r="AZ1355" s="115"/>
      <c r="BA1355" s="115"/>
      <c r="BB1355" s="115"/>
      <c r="BC1355" s="115"/>
      <c r="BD1355" s="115"/>
      <c r="BE1355" s="115"/>
      <c r="BF1355" s="115"/>
      <c r="BG1355" s="115"/>
      <c r="BH1355" s="20"/>
      <c r="BI1355" s="15"/>
      <c r="BM1355" s="117"/>
      <c r="BN1355" s="116"/>
      <c r="BO1355" s="116"/>
      <c r="BP1355" s="116"/>
    </row>
    <row r="1356" spans="1:68" ht="19.5" x14ac:dyDescent="0.4">
      <c r="A1356" s="115"/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22"/>
      <c r="AR1356" s="122"/>
      <c r="AS1356" s="122"/>
      <c r="AT1356" s="115"/>
      <c r="AU1356" s="115"/>
      <c r="AV1356" s="115"/>
      <c r="AW1356" s="115"/>
      <c r="AX1356" s="115"/>
      <c r="AY1356" s="115"/>
      <c r="AZ1356" s="115"/>
      <c r="BA1356" s="115"/>
      <c r="BB1356" s="115"/>
      <c r="BC1356" s="115"/>
      <c r="BD1356" s="115"/>
      <c r="BE1356" s="115"/>
      <c r="BF1356" s="115"/>
      <c r="BG1356" s="115"/>
      <c r="BH1356" s="20"/>
      <c r="BI1356" s="15"/>
      <c r="BM1356" s="117"/>
      <c r="BN1356" s="116"/>
      <c r="BO1356" s="116"/>
      <c r="BP1356" s="116"/>
    </row>
    <row r="1357" spans="1:68" ht="19.5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22"/>
      <c r="AR1357" s="122"/>
      <c r="AS1357" s="122"/>
      <c r="AT1357" s="115"/>
      <c r="AU1357" s="115"/>
      <c r="AV1357" s="115"/>
      <c r="AW1357" s="115"/>
      <c r="AX1357" s="115"/>
      <c r="AY1357" s="115"/>
      <c r="AZ1357" s="115"/>
      <c r="BA1357" s="115"/>
      <c r="BB1357" s="115"/>
      <c r="BC1357" s="115"/>
      <c r="BD1357" s="115"/>
      <c r="BE1357" s="115"/>
      <c r="BF1357" s="115"/>
      <c r="BG1357" s="115"/>
      <c r="BH1357" s="25"/>
      <c r="BI1357" s="15"/>
      <c r="BM1357" s="117"/>
      <c r="BN1357" s="116"/>
      <c r="BO1357" s="116"/>
      <c r="BP1357" s="116"/>
    </row>
    <row r="1358" spans="1:68" ht="19.5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22"/>
      <c r="AR1358" s="122"/>
      <c r="AS1358" s="122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15"/>
      <c r="BD1358" s="115"/>
      <c r="BE1358" s="115"/>
      <c r="BF1358" s="115"/>
      <c r="BG1358" s="115"/>
      <c r="BH1358" s="13"/>
      <c r="BI1358" s="15"/>
      <c r="BM1358" s="117"/>
      <c r="BN1358" s="116"/>
      <c r="BO1358" s="116"/>
      <c r="BP1358" s="116"/>
    </row>
    <row r="1359" spans="1:68" ht="19.5" x14ac:dyDescent="0.4">
      <c r="BH1359" s="25"/>
      <c r="BI1359" s="15"/>
      <c r="BM1359" s="117"/>
      <c r="BN1359" s="116"/>
      <c r="BO1359" s="116"/>
      <c r="BP1359" s="116"/>
    </row>
    <row r="1360" spans="1:68" ht="19.5" x14ac:dyDescent="0.4">
      <c r="AN1360" s="115"/>
      <c r="AO1360" s="115"/>
      <c r="AP1360" s="115"/>
      <c r="AQ1360" s="122"/>
      <c r="AR1360" s="122"/>
      <c r="AS1360" s="122"/>
      <c r="AT1360" s="115"/>
      <c r="AU1360" s="115"/>
      <c r="AV1360" s="115"/>
      <c r="AW1360" s="115"/>
      <c r="AX1360" s="115"/>
      <c r="AY1360" s="115"/>
      <c r="AZ1360" s="115"/>
      <c r="BA1360" s="115"/>
      <c r="BB1360" s="115"/>
      <c r="BC1360" s="115"/>
      <c r="BD1360" s="115"/>
      <c r="BE1360" s="115"/>
      <c r="BF1360" s="115"/>
      <c r="BG1360" s="115"/>
      <c r="BH1360" s="13"/>
      <c r="BI1360" s="15"/>
      <c r="BM1360" s="117"/>
      <c r="BN1360" s="116"/>
      <c r="BO1360" s="116"/>
      <c r="BP1360" s="116"/>
    </row>
    <row r="1361" spans="1:68" ht="19.5" x14ac:dyDescent="0.4"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22"/>
      <c r="AR1361" s="122"/>
      <c r="AS1361" s="122"/>
      <c r="AT1361" s="115"/>
      <c r="AU1361" s="115"/>
      <c r="AV1361" s="115"/>
      <c r="AW1361" s="115"/>
      <c r="AX1361" s="115"/>
      <c r="AY1361" s="115"/>
      <c r="AZ1361" s="115"/>
      <c r="BA1361" s="115"/>
      <c r="BB1361" s="115"/>
      <c r="BC1361" s="115"/>
      <c r="BD1361" s="115"/>
      <c r="BE1361" s="115"/>
      <c r="BF1361" s="115"/>
      <c r="BG1361" s="115"/>
      <c r="BH1361" s="25"/>
      <c r="BI1361" s="15"/>
      <c r="BM1361" s="117"/>
      <c r="BN1361" s="116"/>
      <c r="BO1361" s="116"/>
      <c r="BP1361" s="116"/>
    </row>
    <row r="1362" spans="1:68" ht="19.5" x14ac:dyDescent="0.4">
      <c r="A1362" s="115"/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22"/>
      <c r="AR1362" s="122"/>
      <c r="AS1362" s="122"/>
      <c r="AT1362" s="115"/>
      <c r="AU1362" s="115"/>
      <c r="AV1362" s="115"/>
      <c r="AW1362" s="115"/>
      <c r="AX1362" s="115"/>
      <c r="AY1362" s="115"/>
      <c r="AZ1362" s="115"/>
      <c r="BA1362" s="115"/>
      <c r="BB1362" s="115"/>
      <c r="BC1362" s="115"/>
      <c r="BD1362" s="115"/>
      <c r="BE1362" s="115"/>
      <c r="BF1362" s="115"/>
      <c r="BG1362" s="115"/>
      <c r="BH1362" s="25"/>
      <c r="BI1362" s="15"/>
      <c r="BM1362" s="117"/>
      <c r="BN1362" s="116"/>
      <c r="BO1362" s="116"/>
      <c r="BP1362" s="116"/>
    </row>
    <row r="1363" spans="1:68" ht="19.5" x14ac:dyDescent="0.4">
      <c r="A1363" s="115"/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22"/>
      <c r="AR1363" s="122"/>
      <c r="AS1363" s="122"/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115"/>
      <c r="BF1363" s="115"/>
      <c r="BG1363" s="115"/>
      <c r="BH1363" s="13"/>
      <c r="BI1363" s="15"/>
      <c r="BM1363" s="117"/>
      <c r="BN1363" s="116"/>
      <c r="BO1363" s="116"/>
      <c r="BP1363" s="116"/>
    </row>
    <row r="1364" spans="1:68" ht="19.5" x14ac:dyDescent="0.4">
      <c r="A1364" s="115"/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22"/>
      <c r="AR1364" s="122"/>
      <c r="AS1364" s="122"/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15"/>
      <c r="BF1364" s="115"/>
      <c r="BG1364" s="115"/>
      <c r="BH1364" s="25"/>
      <c r="BI1364" s="15"/>
      <c r="BM1364" s="117"/>
      <c r="BN1364" s="116"/>
      <c r="BO1364" s="116"/>
      <c r="BP1364" s="116"/>
    </row>
    <row r="1365" spans="1:68" ht="19.5" x14ac:dyDescent="0.4">
      <c r="A1365" s="115"/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22"/>
      <c r="AR1365" s="122"/>
      <c r="AS1365" s="122"/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115"/>
      <c r="BF1365" s="115"/>
      <c r="BG1365" s="115"/>
      <c r="BH1365" s="13"/>
      <c r="BI1365" s="15"/>
      <c r="BM1365" s="117"/>
      <c r="BN1365" s="116"/>
      <c r="BO1365" s="116"/>
      <c r="BP1365" s="116"/>
    </row>
    <row r="1366" spans="1:68" ht="19.5" x14ac:dyDescent="0.4">
      <c r="A1366" s="115"/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22"/>
      <c r="AR1366" s="122"/>
      <c r="AS1366" s="122"/>
      <c r="AT1366" s="115"/>
      <c r="AU1366" s="115"/>
      <c r="AV1366" s="115"/>
      <c r="AW1366" s="115"/>
      <c r="AX1366" s="115"/>
      <c r="AY1366" s="115"/>
      <c r="AZ1366" s="115"/>
      <c r="BA1366" s="115"/>
      <c r="BB1366" s="115"/>
      <c r="BC1366" s="115"/>
      <c r="BD1366" s="115"/>
      <c r="BE1366" s="115"/>
      <c r="BF1366" s="115"/>
      <c r="BG1366" s="115"/>
      <c r="BH1366" s="25"/>
      <c r="BI1366" s="15"/>
      <c r="BM1366" s="117"/>
      <c r="BN1366" s="116"/>
      <c r="BO1366" s="116"/>
      <c r="BP1366" s="116"/>
    </row>
    <row r="1367" spans="1:68" ht="19.5" x14ac:dyDescent="0.4">
      <c r="A1367" s="115"/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22"/>
      <c r="AR1367" s="122"/>
      <c r="AS1367" s="122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115"/>
      <c r="BF1367" s="115"/>
      <c r="BG1367" s="115"/>
      <c r="BH1367" s="26"/>
      <c r="BI1367" s="15"/>
      <c r="BM1367" s="117"/>
      <c r="BN1367" s="116"/>
      <c r="BO1367" s="116"/>
      <c r="BP1367" s="116"/>
    </row>
    <row r="1368" spans="1:68" ht="19.5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22"/>
      <c r="AR1368" s="122"/>
      <c r="AS1368" s="122"/>
      <c r="AT1368" s="115"/>
      <c r="AU1368" s="115"/>
      <c r="AV1368" s="115"/>
      <c r="AW1368" s="115"/>
      <c r="AX1368" s="115"/>
      <c r="AY1368" s="115"/>
      <c r="AZ1368" s="115"/>
      <c r="BA1368" s="115"/>
      <c r="BB1368" s="115"/>
      <c r="BC1368" s="115"/>
      <c r="BD1368" s="115"/>
      <c r="BE1368" s="115"/>
      <c r="BF1368" s="115"/>
      <c r="BG1368" s="115"/>
      <c r="BH1368" s="17"/>
      <c r="BI1368" s="13"/>
      <c r="BM1368" s="117"/>
      <c r="BN1368" s="116"/>
      <c r="BO1368" s="116"/>
      <c r="BP1368" s="116"/>
    </row>
    <row r="1369" spans="1:68" ht="19.5" x14ac:dyDescent="0.4">
      <c r="A1369" s="115"/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22"/>
      <c r="AR1369" s="122"/>
      <c r="AS1369" s="122"/>
      <c r="AT1369" s="115"/>
      <c r="AU1369" s="115"/>
      <c r="AV1369" s="115"/>
      <c r="AW1369" s="115"/>
      <c r="AX1369" s="115"/>
      <c r="AY1369" s="115"/>
      <c r="AZ1369" s="115"/>
      <c r="BA1369" s="115"/>
      <c r="BB1369" s="115"/>
      <c r="BC1369" s="115"/>
      <c r="BD1369" s="115"/>
      <c r="BE1369" s="115"/>
      <c r="BF1369" s="115"/>
      <c r="BG1369" s="115"/>
      <c r="BH1369" s="26"/>
      <c r="BI1369" s="13"/>
      <c r="BM1369" s="117"/>
      <c r="BN1369" s="116"/>
      <c r="BO1369" s="116"/>
      <c r="BP1369" s="116"/>
    </row>
    <row r="1370" spans="1:68" ht="19.5" x14ac:dyDescent="0.4">
      <c r="A1370" s="115"/>
      <c r="B1370" s="115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22"/>
      <c r="AR1370" s="122"/>
      <c r="AS1370" s="122"/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115"/>
      <c r="BF1370" s="115"/>
      <c r="BG1370" s="115"/>
      <c r="BH1370" s="17"/>
      <c r="BI1370" s="13"/>
      <c r="BM1370" s="117"/>
      <c r="BN1370" s="116"/>
      <c r="BO1370" s="116"/>
      <c r="BP1370" s="116"/>
    </row>
    <row r="1371" spans="1:68" ht="19.5" x14ac:dyDescent="0.4">
      <c r="A1371" s="115"/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22"/>
      <c r="AR1371" s="122"/>
      <c r="AS1371" s="122"/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15"/>
      <c r="BF1371" s="115"/>
      <c r="BG1371" s="115"/>
      <c r="BH1371" s="26"/>
      <c r="BI1371" s="15"/>
      <c r="BM1371" s="117"/>
      <c r="BN1371" s="116"/>
      <c r="BO1371" s="116"/>
      <c r="BP1371" s="116"/>
    </row>
    <row r="1372" spans="1:68" ht="19.5" x14ac:dyDescent="0.4">
      <c r="A1372" s="115"/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22"/>
      <c r="AR1372" s="122"/>
      <c r="AS1372" s="122"/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15"/>
      <c r="BF1372" s="115"/>
      <c r="BG1372" s="115"/>
      <c r="BH1372" s="17"/>
      <c r="BI1372" s="15"/>
      <c r="BM1372" s="117"/>
      <c r="BN1372" s="116"/>
      <c r="BO1372" s="116"/>
      <c r="BP1372" s="116"/>
    </row>
    <row r="1373" spans="1:68" ht="19.5" x14ac:dyDescent="0.4">
      <c r="BH1373" s="26"/>
      <c r="BI1373" s="105"/>
      <c r="BM1373" s="117"/>
      <c r="BN1373" s="116"/>
      <c r="BO1373" s="116"/>
      <c r="BP1373" s="116"/>
    </row>
    <row r="1374" spans="1:68" ht="19.5" x14ac:dyDescent="0.4">
      <c r="AN1374" s="115"/>
      <c r="AO1374" s="115"/>
      <c r="AP1374" s="115"/>
      <c r="AQ1374" s="122"/>
      <c r="AR1374" s="122"/>
      <c r="AS1374" s="122"/>
      <c r="AT1374" s="115"/>
      <c r="AU1374" s="115"/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15"/>
      <c r="BF1374" s="115"/>
      <c r="BG1374" s="115"/>
      <c r="BH1374" s="17"/>
      <c r="BI1374" s="15"/>
      <c r="BM1374" s="117"/>
      <c r="BN1374" s="116"/>
      <c r="BO1374" s="116"/>
      <c r="BP1374" s="116"/>
    </row>
    <row r="1375" spans="1:68" ht="19.5" x14ac:dyDescent="0.4">
      <c r="AK1375" s="115"/>
      <c r="AL1375" s="115"/>
      <c r="AM1375" s="115"/>
      <c r="AN1375" s="115"/>
      <c r="AO1375" s="115"/>
      <c r="AP1375" s="115"/>
      <c r="AQ1375" s="122"/>
      <c r="AR1375" s="122"/>
      <c r="AS1375" s="122"/>
      <c r="AT1375" s="115"/>
      <c r="AU1375" s="115"/>
      <c r="AV1375" s="115"/>
      <c r="AW1375" s="115"/>
      <c r="AX1375" s="115"/>
      <c r="AY1375" s="115"/>
      <c r="AZ1375" s="115"/>
      <c r="BA1375" s="115"/>
      <c r="BB1375" s="115"/>
      <c r="BC1375" s="115"/>
      <c r="BD1375" s="115"/>
      <c r="BE1375" s="115"/>
      <c r="BF1375" s="115"/>
      <c r="BG1375" s="115"/>
      <c r="BH1375" s="26"/>
      <c r="BI1375" s="15"/>
      <c r="BM1375" s="117"/>
      <c r="BN1375" s="116"/>
      <c r="BO1375" s="116"/>
      <c r="BP1375" s="116"/>
    </row>
    <row r="1376" spans="1:68" ht="19.5" x14ac:dyDescent="0.4">
      <c r="AK1376" s="115"/>
      <c r="AL1376" s="115"/>
      <c r="AM1376" s="115"/>
      <c r="AN1376" s="115"/>
      <c r="AO1376" s="115"/>
      <c r="AP1376" s="115"/>
      <c r="AQ1376" s="122"/>
      <c r="AR1376" s="122"/>
      <c r="AS1376" s="122"/>
      <c r="AT1376" s="115"/>
      <c r="AU1376" s="115"/>
      <c r="AV1376" s="115"/>
      <c r="AW1376" s="115"/>
      <c r="AX1376" s="115"/>
      <c r="AY1376" s="115"/>
      <c r="AZ1376" s="115"/>
      <c r="BA1376" s="115"/>
      <c r="BB1376" s="115"/>
      <c r="BC1376" s="115"/>
      <c r="BD1376" s="115"/>
      <c r="BE1376" s="115"/>
      <c r="BF1376" s="115"/>
      <c r="BG1376" s="115"/>
      <c r="BH1376" s="17"/>
      <c r="BI1376" s="15"/>
      <c r="BM1376" s="117"/>
      <c r="BN1376" s="116"/>
      <c r="BO1376" s="116"/>
      <c r="BP1376" s="116"/>
    </row>
    <row r="1377" spans="1:68" ht="19.5" x14ac:dyDescent="0.4"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22"/>
      <c r="AR1377" s="122"/>
      <c r="AS1377" s="122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115"/>
      <c r="BF1377" s="115"/>
      <c r="BG1377" s="115"/>
      <c r="BH1377" s="26"/>
      <c r="BI1377" s="15"/>
      <c r="BM1377" s="117"/>
      <c r="BN1377" s="116"/>
      <c r="BO1377" s="116"/>
      <c r="BP1377" s="116"/>
    </row>
    <row r="1378" spans="1:68" ht="19.5" x14ac:dyDescent="0.4"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22"/>
      <c r="AR1378" s="122"/>
      <c r="AS1378" s="122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115"/>
      <c r="BE1378" s="115"/>
      <c r="BF1378" s="115"/>
      <c r="BG1378" s="115"/>
      <c r="BH1378" s="17"/>
      <c r="BI1378" s="15"/>
      <c r="BM1378" s="117"/>
      <c r="BN1378" s="116"/>
      <c r="BO1378" s="116"/>
      <c r="BP1378" s="116"/>
    </row>
    <row r="1379" spans="1:68" ht="19.5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22"/>
      <c r="AR1379" s="122"/>
      <c r="AS1379" s="122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115"/>
      <c r="BE1379" s="115"/>
      <c r="BF1379" s="115"/>
      <c r="BG1379" s="115"/>
      <c r="BH1379" s="26"/>
      <c r="BI1379" s="15"/>
      <c r="BM1379" s="117"/>
      <c r="BN1379" s="116"/>
      <c r="BO1379" s="116"/>
      <c r="BP1379" s="116"/>
    </row>
    <row r="1380" spans="1:68" ht="19.5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22"/>
      <c r="AR1380" s="122"/>
      <c r="AS1380" s="122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115"/>
      <c r="BF1380" s="115"/>
      <c r="BG1380" s="115"/>
      <c r="BH1380" s="26"/>
      <c r="BI1380" s="15"/>
      <c r="BM1380" s="117"/>
      <c r="BN1380" s="116"/>
      <c r="BO1380" s="116"/>
      <c r="BP1380" s="116"/>
    </row>
    <row r="1381" spans="1:68" ht="19.5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22"/>
      <c r="AR1381" s="122"/>
      <c r="AS1381" s="122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115"/>
      <c r="BF1381" s="115"/>
      <c r="BG1381" s="115"/>
      <c r="BH1381" s="17"/>
      <c r="BI1381" s="15"/>
      <c r="BM1381" s="117"/>
      <c r="BN1381" s="116"/>
      <c r="BO1381" s="116"/>
      <c r="BP1381" s="116"/>
    </row>
    <row r="1382" spans="1:68" ht="19.5" x14ac:dyDescent="0.4">
      <c r="A1382" s="115"/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22"/>
      <c r="AR1382" s="122"/>
      <c r="AS1382" s="122"/>
      <c r="AT1382" s="115"/>
      <c r="AU1382" s="115"/>
      <c r="AV1382" s="115"/>
      <c r="AW1382" s="115"/>
      <c r="AX1382" s="115"/>
      <c r="AY1382" s="115"/>
      <c r="AZ1382" s="115"/>
      <c r="BA1382" s="115"/>
      <c r="BB1382" s="115"/>
      <c r="BC1382" s="115"/>
      <c r="BD1382" s="115"/>
      <c r="BE1382" s="115"/>
      <c r="BF1382" s="115"/>
      <c r="BG1382" s="115"/>
      <c r="BH1382" s="26"/>
      <c r="BI1382" s="15"/>
      <c r="BM1382" s="117"/>
      <c r="BN1382" s="116"/>
      <c r="BO1382" s="116"/>
      <c r="BP1382" s="116"/>
    </row>
    <row r="1383" spans="1:68" ht="19.5" x14ac:dyDescent="0.4">
      <c r="A1383" s="115"/>
      <c r="B1383" s="115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22"/>
      <c r="AR1383" s="122"/>
      <c r="AS1383" s="122"/>
      <c r="AT1383" s="115"/>
      <c r="AU1383" s="115"/>
      <c r="AV1383" s="115"/>
      <c r="AW1383" s="115"/>
      <c r="AX1383" s="115"/>
      <c r="AY1383" s="115"/>
      <c r="AZ1383" s="115"/>
      <c r="BA1383" s="115"/>
      <c r="BB1383" s="115"/>
      <c r="BC1383" s="115"/>
      <c r="BD1383" s="115"/>
      <c r="BE1383" s="115"/>
      <c r="BF1383" s="115"/>
      <c r="BG1383" s="115"/>
      <c r="BH1383" s="17"/>
      <c r="BI1383" s="15"/>
      <c r="BM1383" s="117"/>
      <c r="BN1383" s="116"/>
      <c r="BO1383" s="116"/>
      <c r="BP1383" s="116"/>
    </row>
    <row r="1384" spans="1:68" ht="19.5" x14ac:dyDescent="0.4">
      <c r="BH1384" s="26"/>
      <c r="BI1384" s="15"/>
      <c r="BM1384" s="117"/>
      <c r="BN1384" s="116"/>
      <c r="BO1384" s="116"/>
      <c r="BP1384" s="116"/>
    </row>
    <row r="1385" spans="1:68" ht="19.5" x14ac:dyDescent="0.4">
      <c r="AN1385" s="115"/>
      <c r="AO1385" s="115"/>
      <c r="AP1385" s="115"/>
      <c r="AQ1385" s="122"/>
      <c r="AR1385" s="122"/>
      <c r="AS1385" s="122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15"/>
      <c r="BD1385" s="115"/>
      <c r="BE1385" s="115"/>
      <c r="BF1385" s="115"/>
      <c r="BG1385" s="115"/>
      <c r="BH1385" s="17"/>
      <c r="BI1385" s="15"/>
      <c r="BM1385" s="117"/>
      <c r="BN1385" s="116"/>
      <c r="BO1385" s="116"/>
      <c r="BP1385" s="116"/>
    </row>
    <row r="1386" spans="1:68" ht="19.5" x14ac:dyDescent="0.4">
      <c r="BH1386" s="26"/>
      <c r="BI1386" s="15"/>
      <c r="BM1386" s="117"/>
      <c r="BN1386" s="116"/>
      <c r="BO1386" s="116"/>
      <c r="BP1386" s="116"/>
    </row>
    <row r="1387" spans="1:68" ht="19.5" x14ac:dyDescent="0.4">
      <c r="AN1387" s="115"/>
      <c r="AO1387" s="115"/>
      <c r="AP1387" s="115"/>
      <c r="AQ1387" s="122"/>
      <c r="AR1387" s="122"/>
      <c r="AS1387" s="122"/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115"/>
      <c r="BF1387" s="115"/>
      <c r="BG1387" s="115"/>
      <c r="BH1387" s="17"/>
      <c r="BI1387" s="15"/>
      <c r="BM1387" s="117"/>
      <c r="BN1387" s="116"/>
      <c r="BO1387" s="116"/>
      <c r="BP1387" s="116"/>
    </row>
    <row r="1388" spans="1:68" ht="19.5" x14ac:dyDescent="0.4">
      <c r="BH1388" s="26"/>
      <c r="BI1388" s="15"/>
      <c r="BM1388" s="117"/>
      <c r="BN1388" s="116"/>
      <c r="BO1388" s="116"/>
      <c r="BP1388" s="116"/>
    </row>
    <row r="1389" spans="1:68" ht="19.5" x14ac:dyDescent="0.4">
      <c r="AN1389" s="115"/>
      <c r="AO1389" s="115"/>
      <c r="AP1389" s="115"/>
      <c r="AQ1389" s="122"/>
      <c r="AR1389" s="122"/>
      <c r="AS1389" s="122"/>
      <c r="AT1389" s="115"/>
      <c r="AU1389" s="115"/>
      <c r="AV1389" s="115"/>
      <c r="AW1389" s="115"/>
      <c r="AX1389" s="115"/>
      <c r="AY1389" s="115"/>
      <c r="AZ1389" s="115"/>
      <c r="BA1389" s="115"/>
      <c r="BB1389" s="115"/>
      <c r="BC1389" s="115"/>
      <c r="BD1389" s="115"/>
      <c r="BE1389" s="115"/>
      <c r="BF1389" s="115"/>
      <c r="BG1389" s="115"/>
      <c r="BH1389" s="17"/>
      <c r="BI1389" s="15"/>
      <c r="BM1389" s="117"/>
      <c r="BN1389" s="116"/>
      <c r="BO1389" s="116"/>
      <c r="BP1389" s="116"/>
    </row>
    <row r="1390" spans="1:68" ht="19.5" x14ac:dyDescent="0.4"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22"/>
      <c r="AR1390" s="122"/>
      <c r="AS1390" s="122"/>
      <c r="AT1390" s="115"/>
      <c r="AU1390" s="115"/>
      <c r="AV1390" s="115"/>
      <c r="AW1390" s="115"/>
      <c r="AX1390" s="115"/>
      <c r="AY1390" s="115"/>
      <c r="AZ1390" s="115"/>
      <c r="BA1390" s="115"/>
      <c r="BB1390" s="115"/>
      <c r="BC1390" s="115"/>
      <c r="BD1390" s="115"/>
      <c r="BE1390" s="115"/>
      <c r="BF1390" s="115"/>
      <c r="BG1390" s="115"/>
      <c r="BH1390" s="26"/>
      <c r="BI1390" s="15"/>
      <c r="BM1390" s="117"/>
      <c r="BN1390" s="116"/>
      <c r="BO1390" s="116"/>
      <c r="BP1390" s="116"/>
    </row>
    <row r="1391" spans="1:68" ht="19.5" x14ac:dyDescent="0.4"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22"/>
      <c r="AR1391" s="122"/>
      <c r="AS1391" s="122"/>
      <c r="AT1391" s="115"/>
      <c r="AU1391" s="115"/>
      <c r="AV1391" s="115"/>
      <c r="AW1391" s="115"/>
      <c r="AX1391" s="115"/>
      <c r="AY1391" s="115"/>
      <c r="AZ1391" s="115"/>
      <c r="BA1391" s="115"/>
      <c r="BB1391" s="115"/>
      <c r="BC1391" s="115"/>
      <c r="BD1391" s="115"/>
      <c r="BE1391" s="115"/>
      <c r="BF1391" s="115"/>
      <c r="BG1391" s="115"/>
      <c r="BH1391" s="17"/>
      <c r="BI1391" s="15"/>
      <c r="BM1391" s="117"/>
      <c r="BN1391" s="116"/>
      <c r="BO1391" s="116"/>
      <c r="BP1391" s="116"/>
    </row>
    <row r="1392" spans="1:68" ht="19.5" x14ac:dyDescent="0.4"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22"/>
      <c r="AR1392" s="122"/>
      <c r="AS1392" s="122"/>
      <c r="AT1392" s="115"/>
      <c r="AU1392" s="115"/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15"/>
      <c r="BF1392" s="115"/>
      <c r="BG1392" s="115"/>
      <c r="BH1392" s="26"/>
      <c r="BI1392" s="15"/>
      <c r="BM1392" s="117"/>
      <c r="BN1392" s="116"/>
      <c r="BO1392" s="116"/>
      <c r="BP1392" s="116"/>
    </row>
    <row r="1393" spans="1:68" ht="19.5" x14ac:dyDescent="0.4">
      <c r="BH1393" s="26"/>
      <c r="BI1393" s="15"/>
      <c r="BM1393" s="117"/>
      <c r="BN1393" s="116"/>
      <c r="BO1393" s="116"/>
      <c r="BP1393" s="116"/>
    </row>
    <row r="1394" spans="1:68" ht="19.5" x14ac:dyDescent="0.4">
      <c r="AN1394" s="115"/>
      <c r="AO1394" s="115"/>
      <c r="AP1394" s="115"/>
      <c r="AQ1394" s="122"/>
      <c r="AR1394" s="122"/>
      <c r="AS1394" s="122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115"/>
      <c r="BF1394" s="115"/>
      <c r="BG1394" s="115"/>
      <c r="BH1394" s="17"/>
      <c r="BI1394" s="15"/>
      <c r="BM1394" s="117"/>
      <c r="BN1394" s="116"/>
      <c r="BO1394" s="116"/>
      <c r="BP1394" s="116"/>
    </row>
    <row r="1395" spans="1:68" ht="19.5" x14ac:dyDescent="0.4">
      <c r="AL1395" s="115"/>
      <c r="AM1395" s="115"/>
      <c r="AN1395" s="115"/>
      <c r="AO1395" s="115"/>
      <c r="AP1395" s="115"/>
      <c r="AQ1395" s="122"/>
      <c r="AR1395" s="122"/>
      <c r="AS1395" s="122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15"/>
      <c r="BF1395" s="115"/>
      <c r="BG1395" s="115"/>
      <c r="BH1395" s="26"/>
      <c r="BI1395" s="15"/>
      <c r="BM1395" s="117"/>
      <c r="BN1395" s="116"/>
      <c r="BO1395" s="116"/>
      <c r="BP1395" s="116"/>
    </row>
    <row r="1396" spans="1:68" ht="19.5" x14ac:dyDescent="0.4">
      <c r="AL1396" s="115"/>
      <c r="AM1396" s="115"/>
      <c r="AN1396" s="115"/>
      <c r="AO1396" s="115"/>
      <c r="AP1396" s="115"/>
      <c r="AQ1396" s="122"/>
      <c r="AR1396" s="122"/>
      <c r="AS1396" s="122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115"/>
      <c r="BF1396" s="115"/>
      <c r="BG1396" s="115"/>
      <c r="BH1396" s="17"/>
      <c r="BI1396" s="13"/>
      <c r="BM1396" s="117"/>
      <c r="BN1396" s="116"/>
      <c r="BO1396" s="116"/>
      <c r="BP1396" s="116"/>
    </row>
    <row r="1397" spans="1:68" ht="19.5" x14ac:dyDescent="0.4">
      <c r="AK1397" s="115"/>
      <c r="AL1397" s="115"/>
      <c r="AM1397" s="115"/>
      <c r="AN1397" s="115"/>
      <c r="AO1397" s="115"/>
      <c r="AP1397" s="115"/>
      <c r="AQ1397" s="122"/>
      <c r="AR1397" s="122"/>
      <c r="AS1397" s="122"/>
      <c r="AT1397" s="115"/>
      <c r="AU1397" s="115"/>
      <c r="AV1397" s="115"/>
      <c r="AW1397" s="115"/>
      <c r="AX1397" s="115"/>
      <c r="AY1397" s="115"/>
      <c r="AZ1397" s="115"/>
      <c r="BA1397" s="115"/>
      <c r="BB1397" s="115"/>
      <c r="BC1397" s="115"/>
      <c r="BD1397" s="115"/>
      <c r="BE1397" s="115"/>
      <c r="BF1397" s="115"/>
      <c r="BG1397" s="115"/>
      <c r="BH1397" s="26"/>
      <c r="BI1397" s="13"/>
      <c r="BM1397" s="117"/>
      <c r="BN1397" s="116"/>
      <c r="BO1397" s="116"/>
      <c r="BP1397" s="116"/>
    </row>
    <row r="1398" spans="1:68" ht="19.5" x14ac:dyDescent="0.4">
      <c r="AK1398" s="115"/>
      <c r="AL1398" s="115"/>
      <c r="AM1398" s="115"/>
      <c r="AN1398" s="115"/>
      <c r="AO1398" s="115"/>
      <c r="AP1398" s="115"/>
      <c r="AQ1398" s="122"/>
      <c r="AR1398" s="122"/>
      <c r="AS1398" s="122"/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115"/>
      <c r="BF1398" s="115"/>
      <c r="BG1398" s="115"/>
      <c r="BH1398" s="17"/>
      <c r="BI1398" s="13"/>
      <c r="BM1398" s="117"/>
      <c r="BN1398" s="116"/>
      <c r="BO1398" s="116"/>
      <c r="BP1398" s="116"/>
    </row>
    <row r="1399" spans="1:68" ht="19.5" x14ac:dyDescent="0.4"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22"/>
      <c r="AR1399" s="122"/>
      <c r="AS1399" s="122"/>
      <c r="AT1399" s="115"/>
      <c r="AU1399" s="115"/>
      <c r="AV1399" s="115"/>
      <c r="AW1399" s="115"/>
      <c r="AX1399" s="115"/>
      <c r="AY1399" s="115"/>
      <c r="AZ1399" s="115"/>
      <c r="BA1399" s="115"/>
      <c r="BB1399" s="115"/>
      <c r="BC1399" s="115"/>
      <c r="BD1399" s="115"/>
      <c r="BE1399" s="115"/>
      <c r="BF1399" s="115"/>
      <c r="BG1399" s="115"/>
      <c r="BH1399" s="26"/>
      <c r="BI1399" s="15"/>
      <c r="BM1399" s="117"/>
      <c r="BN1399" s="116"/>
      <c r="BO1399" s="116"/>
      <c r="BP1399" s="116"/>
    </row>
    <row r="1400" spans="1:68" ht="19.5" x14ac:dyDescent="0.4"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22"/>
      <c r="AR1400" s="122"/>
      <c r="AS1400" s="122"/>
      <c r="AT1400" s="115"/>
      <c r="AU1400" s="115"/>
      <c r="AV1400" s="115"/>
      <c r="AW1400" s="115"/>
      <c r="AX1400" s="115"/>
      <c r="AY1400" s="115"/>
      <c r="AZ1400" s="115"/>
      <c r="BA1400" s="115"/>
      <c r="BB1400" s="115"/>
      <c r="BC1400" s="115"/>
      <c r="BD1400" s="115"/>
      <c r="BE1400" s="115"/>
      <c r="BF1400" s="115"/>
      <c r="BG1400" s="115"/>
      <c r="BH1400" s="17"/>
      <c r="BI1400" s="15"/>
      <c r="BM1400" s="117"/>
      <c r="BN1400" s="116"/>
      <c r="BO1400" s="116"/>
      <c r="BP1400" s="116"/>
    </row>
    <row r="1401" spans="1:68" ht="19.5" x14ac:dyDescent="0.4"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22"/>
      <c r="AR1401" s="122"/>
      <c r="AS1401" s="122"/>
      <c r="AT1401" s="115"/>
      <c r="AU1401" s="115"/>
      <c r="AV1401" s="115"/>
      <c r="AW1401" s="115"/>
      <c r="AX1401" s="115"/>
      <c r="AY1401" s="115"/>
      <c r="AZ1401" s="115"/>
      <c r="BA1401" s="115"/>
      <c r="BB1401" s="115"/>
      <c r="BC1401" s="115"/>
      <c r="BD1401" s="115"/>
      <c r="BE1401" s="115"/>
      <c r="BF1401" s="115"/>
      <c r="BG1401" s="115"/>
      <c r="BH1401" s="26"/>
      <c r="BI1401" s="105"/>
      <c r="BM1401" s="117"/>
      <c r="BN1401" s="116"/>
      <c r="BO1401" s="116"/>
      <c r="BP1401" s="116"/>
    </row>
    <row r="1402" spans="1:68" ht="19.5" x14ac:dyDescent="0.4"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22"/>
      <c r="AR1402" s="122"/>
      <c r="AS1402" s="122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115"/>
      <c r="BF1402" s="115"/>
      <c r="BG1402" s="115"/>
      <c r="BH1402" s="17"/>
      <c r="BI1402" s="15"/>
      <c r="BM1402" s="117"/>
      <c r="BN1402" s="116"/>
      <c r="BO1402" s="116"/>
      <c r="BP1402" s="116"/>
    </row>
    <row r="1403" spans="1:68" ht="19.5" x14ac:dyDescent="0.4"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22"/>
      <c r="AR1403" s="122"/>
      <c r="AS1403" s="122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115"/>
      <c r="BF1403" s="115"/>
      <c r="BG1403" s="115"/>
      <c r="BH1403" s="26"/>
      <c r="BI1403" s="15"/>
      <c r="BM1403" s="117"/>
      <c r="BN1403" s="116"/>
      <c r="BO1403" s="116"/>
      <c r="BP1403" s="116"/>
    </row>
    <row r="1404" spans="1:68" ht="19.5" x14ac:dyDescent="0.4"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22"/>
      <c r="AR1404" s="122"/>
      <c r="AS1404" s="122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115"/>
      <c r="BF1404" s="115"/>
      <c r="BG1404" s="115"/>
      <c r="BH1404" s="26"/>
      <c r="BI1404" s="15"/>
      <c r="BM1404" s="117"/>
      <c r="BN1404" s="116"/>
      <c r="BO1404" s="116"/>
      <c r="BP1404" s="116"/>
    </row>
    <row r="1405" spans="1:68" ht="19.5" x14ac:dyDescent="0.4">
      <c r="BH1405" s="26"/>
      <c r="BI1405" s="15"/>
      <c r="BM1405" s="117"/>
      <c r="BN1405" s="116"/>
      <c r="BO1405" s="116"/>
      <c r="BP1405" s="116"/>
    </row>
    <row r="1406" spans="1:68" ht="19.5" x14ac:dyDescent="0.4">
      <c r="AM1406" s="115"/>
      <c r="AN1406" s="115"/>
      <c r="AO1406" s="115"/>
      <c r="AP1406" s="115"/>
      <c r="AQ1406" s="122"/>
      <c r="AR1406" s="122"/>
      <c r="AS1406" s="122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115"/>
      <c r="BF1406" s="115"/>
      <c r="BG1406" s="115"/>
      <c r="BH1406" s="26"/>
      <c r="BI1406" s="15"/>
      <c r="BM1406" s="117"/>
      <c r="BN1406" s="116"/>
      <c r="BO1406" s="116"/>
      <c r="BP1406" s="116"/>
    </row>
    <row r="1407" spans="1:68" ht="19.5" x14ac:dyDescent="0.4">
      <c r="A1407" s="115"/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22"/>
      <c r="AR1407" s="122"/>
      <c r="AS1407" s="122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115"/>
      <c r="BF1407" s="115"/>
      <c r="BG1407" s="115"/>
      <c r="BH1407" s="26"/>
      <c r="BI1407" s="15"/>
      <c r="BM1407" s="117"/>
      <c r="BN1407" s="116"/>
      <c r="BO1407" s="116"/>
      <c r="BP1407" s="116"/>
    </row>
    <row r="1408" spans="1:68" ht="19.5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22"/>
      <c r="AR1408" s="122"/>
      <c r="AS1408" s="122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115"/>
      <c r="BD1408" s="115"/>
      <c r="BE1408" s="115"/>
      <c r="BF1408" s="115"/>
      <c r="BG1408" s="115"/>
      <c r="BH1408" s="26"/>
      <c r="BI1408" s="15"/>
      <c r="BM1408" s="117"/>
      <c r="BN1408" s="116"/>
      <c r="BO1408" s="116"/>
      <c r="BP1408" s="116"/>
    </row>
    <row r="1409" spans="1:68" ht="19.5" x14ac:dyDescent="0.4">
      <c r="A1409" s="115"/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22"/>
      <c r="AR1409" s="122"/>
      <c r="AS1409" s="122"/>
      <c r="AT1409" s="115"/>
      <c r="AU1409" s="115"/>
      <c r="AV1409" s="115"/>
      <c r="AW1409" s="115"/>
      <c r="AX1409" s="115"/>
      <c r="AY1409" s="115"/>
      <c r="AZ1409" s="115"/>
      <c r="BA1409" s="115"/>
      <c r="BB1409" s="115"/>
      <c r="BC1409" s="115"/>
      <c r="BD1409" s="115"/>
      <c r="BE1409" s="115"/>
      <c r="BF1409" s="115"/>
      <c r="BG1409" s="115"/>
      <c r="BH1409" s="17"/>
      <c r="BI1409" s="15"/>
      <c r="BM1409" s="117"/>
      <c r="BN1409" s="116"/>
      <c r="BO1409" s="116"/>
      <c r="BP1409" s="116"/>
    </row>
    <row r="1410" spans="1:68" ht="19.5" x14ac:dyDescent="0.4">
      <c r="BH1410" s="26"/>
      <c r="BI1410" s="15"/>
      <c r="BM1410" s="117"/>
      <c r="BN1410" s="116"/>
      <c r="BO1410" s="116"/>
      <c r="BP1410" s="116"/>
    </row>
    <row r="1411" spans="1:68" ht="19.5" x14ac:dyDescent="0.4">
      <c r="AN1411" s="115"/>
      <c r="AO1411" s="115"/>
      <c r="AP1411" s="115"/>
      <c r="AQ1411" s="122"/>
      <c r="AR1411" s="122"/>
      <c r="AS1411" s="122"/>
      <c r="AT1411" s="115"/>
      <c r="AU1411" s="115"/>
      <c r="AV1411" s="115"/>
      <c r="AW1411" s="115"/>
      <c r="AX1411" s="115"/>
      <c r="AY1411" s="115"/>
      <c r="AZ1411" s="115"/>
      <c r="BA1411" s="115"/>
      <c r="BB1411" s="115"/>
      <c r="BC1411" s="115"/>
      <c r="BD1411" s="115"/>
      <c r="BE1411" s="115"/>
      <c r="BF1411" s="115"/>
      <c r="BG1411" s="115"/>
      <c r="BH1411" s="17"/>
      <c r="BI1411" s="15"/>
      <c r="BM1411" s="117"/>
      <c r="BN1411" s="116"/>
      <c r="BO1411" s="116"/>
      <c r="BP1411" s="116"/>
    </row>
    <row r="1412" spans="1:68" ht="19.5" x14ac:dyDescent="0.4">
      <c r="AM1412" s="115"/>
      <c r="AN1412" s="115"/>
      <c r="AO1412" s="115"/>
      <c r="AP1412" s="115"/>
      <c r="AQ1412" s="122"/>
      <c r="AR1412" s="122"/>
      <c r="AS1412" s="122"/>
      <c r="AT1412" s="115"/>
      <c r="AU1412" s="115"/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15"/>
      <c r="BF1412" s="115"/>
      <c r="BG1412" s="115"/>
      <c r="BH1412" s="26"/>
      <c r="BI1412" s="15"/>
      <c r="BM1412" s="117"/>
      <c r="BN1412" s="116"/>
      <c r="BO1412" s="116"/>
      <c r="BP1412" s="116"/>
    </row>
    <row r="1413" spans="1:68" ht="19.5" x14ac:dyDescent="0.4"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22"/>
      <c r="AR1413" s="122"/>
      <c r="AS1413" s="122"/>
      <c r="AT1413" s="115"/>
      <c r="AU1413" s="115"/>
      <c r="AV1413" s="115"/>
      <c r="AW1413" s="115"/>
      <c r="AX1413" s="115"/>
      <c r="AY1413" s="115"/>
      <c r="AZ1413" s="115"/>
      <c r="BA1413" s="115"/>
      <c r="BB1413" s="115"/>
      <c r="BC1413" s="115"/>
      <c r="BD1413" s="115"/>
      <c r="BE1413" s="115"/>
      <c r="BF1413" s="115"/>
      <c r="BG1413" s="115"/>
      <c r="BH1413" s="26"/>
      <c r="BI1413" s="15"/>
      <c r="BM1413" s="117"/>
      <c r="BN1413" s="116"/>
      <c r="BO1413" s="116"/>
      <c r="BP1413" s="116"/>
    </row>
    <row r="1414" spans="1:68" ht="19.5" x14ac:dyDescent="0.4"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22"/>
      <c r="AR1414" s="122"/>
      <c r="AS1414" s="122"/>
      <c r="AT1414" s="115"/>
      <c r="AU1414" s="115"/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15"/>
      <c r="BF1414" s="115"/>
      <c r="BG1414" s="115"/>
      <c r="BH1414" s="26"/>
      <c r="BI1414" s="15"/>
      <c r="BM1414" s="117"/>
      <c r="BN1414" s="116"/>
      <c r="BO1414" s="116"/>
      <c r="BP1414" s="116"/>
    </row>
    <row r="1415" spans="1:68" ht="19.5" x14ac:dyDescent="0.4"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22"/>
      <c r="AR1415" s="122"/>
      <c r="AS1415" s="122"/>
      <c r="AT1415" s="115"/>
      <c r="AU1415" s="115"/>
      <c r="AV1415" s="115"/>
      <c r="AW1415" s="115"/>
      <c r="AX1415" s="115"/>
      <c r="AY1415" s="115"/>
      <c r="AZ1415" s="115"/>
      <c r="BA1415" s="115"/>
      <c r="BB1415" s="115"/>
      <c r="BC1415" s="115"/>
      <c r="BD1415" s="115"/>
      <c r="BE1415" s="115"/>
      <c r="BF1415" s="115"/>
      <c r="BG1415" s="115"/>
      <c r="BH1415" s="26"/>
      <c r="BI1415" s="15"/>
      <c r="BM1415" s="117"/>
      <c r="BN1415" s="116"/>
      <c r="BO1415" s="116"/>
      <c r="BP1415" s="116"/>
    </row>
    <row r="1416" spans="1:68" ht="19.5" x14ac:dyDescent="0.4">
      <c r="A1416" s="115"/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22"/>
      <c r="AR1416" s="122"/>
      <c r="AS1416" s="122"/>
      <c r="AT1416" s="115"/>
      <c r="AU1416" s="115"/>
      <c r="AV1416" s="115"/>
      <c r="AW1416" s="115"/>
      <c r="AX1416" s="115"/>
      <c r="AY1416" s="115"/>
      <c r="AZ1416" s="115"/>
      <c r="BA1416" s="115"/>
      <c r="BB1416" s="115"/>
      <c r="BC1416" s="115"/>
      <c r="BD1416" s="115"/>
      <c r="BE1416" s="115"/>
      <c r="BF1416" s="115"/>
      <c r="BG1416" s="115"/>
      <c r="BH1416" s="26"/>
      <c r="BI1416" s="15"/>
      <c r="BM1416" s="117"/>
      <c r="BN1416" s="116"/>
      <c r="BO1416" s="116"/>
      <c r="BP1416" s="116"/>
    </row>
    <row r="1417" spans="1:68" ht="19.5" x14ac:dyDescent="0.4">
      <c r="A1417" s="115"/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22"/>
      <c r="AR1417" s="122"/>
      <c r="AS1417" s="122"/>
      <c r="AT1417" s="115"/>
      <c r="AU1417" s="115"/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115"/>
      <c r="BF1417" s="115"/>
      <c r="BG1417" s="115"/>
      <c r="BH1417" s="26"/>
      <c r="BI1417" s="15"/>
      <c r="BM1417" s="117"/>
      <c r="BN1417" s="116"/>
      <c r="BO1417" s="116"/>
      <c r="BP1417" s="116"/>
    </row>
    <row r="1418" spans="1:68" ht="19.5" x14ac:dyDescent="0.4">
      <c r="A1418" s="115"/>
      <c r="B1418" s="115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22"/>
      <c r="AR1418" s="122"/>
      <c r="AS1418" s="122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115"/>
      <c r="BF1418" s="115"/>
      <c r="BG1418" s="115"/>
      <c r="BH1418" s="17"/>
      <c r="BI1418" s="15"/>
      <c r="BM1418" s="117"/>
      <c r="BN1418" s="116"/>
      <c r="BO1418" s="116"/>
      <c r="BP1418" s="116"/>
    </row>
    <row r="1419" spans="1:68" ht="19.5" x14ac:dyDescent="0.4">
      <c r="BH1419" s="26"/>
      <c r="BI1419" s="15"/>
      <c r="BM1419" s="117"/>
      <c r="BN1419" s="116"/>
      <c r="BO1419" s="116"/>
      <c r="BP1419" s="116"/>
    </row>
    <row r="1420" spans="1:68" ht="19.5" x14ac:dyDescent="0.4">
      <c r="AN1420" s="115"/>
      <c r="AO1420" s="115"/>
      <c r="AP1420" s="115"/>
      <c r="AQ1420" s="122"/>
      <c r="AR1420" s="122"/>
      <c r="AS1420" s="122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15"/>
      <c r="BD1420" s="115"/>
      <c r="BE1420" s="115"/>
      <c r="BF1420" s="115"/>
      <c r="BG1420" s="115"/>
      <c r="BH1420" s="17"/>
      <c r="BI1420" s="13"/>
      <c r="BM1420" s="117"/>
      <c r="BN1420" s="116"/>
      <c r="BO1420" s="116"/>
      <c r="BP1420" s="116"/>
    </row>
    <row r="1421" spans="1:68" ht="19.5" x14ac:dyDescent="0.4">
      <c r="AN1421" s="115"/>
      <c r="AO1421" s="115"/>
      <c r="AP1421" s="115"/>
      <c r="AQ1421" s="122"/>
      <c r="AR1421" s="122"/>
      <c r="AS1421" s="122"/>
      <c r="AT1421" s="115"/>
      <c r="AU1421" s="115"/>
      <c r="AV1421" s="115"/>
      <c r="AW1421" s="115"/>
      <c r="AX1421" s="115"/>
      <c r="AY1421" s="115"/>
      <c r="AZ1421" s="115"/>
      <c r="BA1421" s="115"/>
      <c r="BB1421" s="115"/>
      <c r="BC1421" s="115"/>
      <c r="BD1421" s="115"/>
      <c r="BE1421" s="115"/>
      <c r="BF1421" s="115"/>
      <c r="BG1421" s="115"/>
      <c r="BH1421" s="17"/>
      <c r="BI1421" s="13"/>
      <c r="BM1421" s="117"/>
      <c r="BN1421" s="116"/>
      <c r="BO1421" s="116"/>
      <c r="BP1421" s="116"/>
    </row>
    <row r="1422" spans="1:68" ht="19.5" x14ac:dyDescent="0.4">
      <c r="BH1422" s="26"/>
      <c r="BI1422" s="13"/>
      <c r="BM1422" s="117"/>
      <c r="BN1422" s="116"/>
      <c r="BO1422" s="116"/>
      <c r="BP1422" s="116"/>
    </row>
    <row r="1423" spans="1:68" ht="19.5" x14ac:dyDescent="0.4">
      <c r="BH1423" s="26"/>
      <c r="BI1423" s="13"/>
      <c r="BM1423" s="116"/>
      <c r="BN1423" s="116"/>
      <c r="BO1423" s="116"/>
      <c r="BP1423" s="116"/>
    </row>
    <row r="1424" spans="1:68" ht="19.5" x14ac:dyDescent="0.4"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22"/>
      <c r="AR1424" s="122"/>
      <c r="AS1424" s="122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115"/>
      <c r="BF1424" s="115"/>
      <c r="BG1424" s="115"/>
      <c r="BH1424" s="26"/>
      <c r="BI1424" s="13"/>
      <c r="BM1424" s="118"/>
      <c r="BN1424" s="118"/>
      <c r="BO1424" s="118"/>
      <c r="BP1424" s="118"/>
    </row>
    <row r="1425" spans="1:68" ht="19.5" x14ac:dyDescent="0.4"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22"/>
      <c r="AR1425" s="122"/>
      <c r="AS1425" s="122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115"/>
      <c r="BF1425" s="115"/>
      <c r="BG1425" s="115"/>
      <c r="BH1425" s="26"/>
      <c r="BI1425" s="13"/>
      <c r="BM1425" s="118"/>
      <c r="BN1425" s="118"/>
      <c r="BO1425" s="118"/>
      <c r="BP1425" s="118"/>
    </row>
    <row r="1426" spans="1:68" ht="19.5" x14ac:dyDescent="0.4">
      <c r="B1426" s="115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22"/>
      <c r="AR1426" s="122"/>
      <c r="AS1426" s="122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115"/>
      <c r="BE1426" s="115"/>
      <c r="BF1426" s="115"/>
      <c r="BG1426" s="115"/>
      <c r="BH1426" s="26"/>
      <c r="BI1426" s="13"/>
      <c r="BM1426" s="118"/>
      <c r="BN1426" s="118"/>
      <c r="BO1426" s="118"/>
      <c r="BP1426" s="118"/>
    </row>
    <row r="1427" spans="1:68" ht="19.5" x14ac:dyDescent="0.4"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22"/>
      <c r="AR1427" s="122"/>
      <c r="AS1427" s="122"/>
      <c r="AT1427" s="115"/>
      <c r="AU1427" s="115"/>
      <c r="AV1427" s="115"/>
      <c r="AW1427" s="115"/>
      <c r="AX1427" s="115"/>
      <c r="AY1427" s="115"/>
      <c r="AZ1427" s="115"/>
      <c r="BA1427" s="115"/>
      <c r="BB1427" s="115"/>
      <c r="BC1427" s="115"/>
      <c r="BD1427" s="115"/>
      <c r="BE1427" s="115"/>
      <c r="BF1427" s="115"/>
      <c r="BG1427" s="115"/>
      <c r="BH1427" s="26"/>
      <c r="BI1427" s="15"/>
      <c r="BM1427" s="118"/>
      <c r="BN1427" s="118"/>
      <c r="BO1427" s="118"/>
      <c r="BP1427" s="118"/>
    </row>
    <row r="1428" spans="1:68" ht="19.5" x14ac:dyDescent="0.4"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22"/>
      <c r="AR1428" s="122"/>
      <c r="AS1428" s="122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115"/>
      <c r="BE1428" s="115"/>
      <c r="BF1428" s="115"/>
      <c r="BG1428" s="115"/>
      <c r="BH1428" s="26"/>
      <c r="BI1428" s="15"/>
      <c r="BM1428" s="118"/>
      <c r="BN1428" s="118"/>
      <c r="BO1428" s="118"/>
      <c r="BP1428" s="118"/>
    </row>
    <row r="1429" spans="1:68" ht="19.5" x14ac:dyDescent="0.4">
      <c r="A1429" s="115"/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22"/>
      <c r="AR1429" s="122"/>
      <c r="AS1429" s="122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115"/>
      <c r="BE1429" s="115"/>
      <c r="BF1429" s="115"/>
      <c r="BG1429" s="115"/>
      <c r="BH1429" s="26"/>
      <c r="BI1429" s="15"/>
      <c r="BM1429" s="118"/>
      <c r="BN1429" s="118"/>
      <c r="BO1429" s="118"/>
      <c r="BP1429" s="118"/>
    </row>
    <row r="1430" spans="1:68" ht="19.5" x14ac:dyDescent="0.4">
      <c r="A1430" s="115"/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22"/>
      <c r="AR1430" s="122"/>
      <c r="AS1430" s="122"/>
      <c r="AT1430" s="115"/>
      <c r="AU1430" s="115"/>
      <c r="AV1430" s="115"/>
      <c r="AW1430" s="115"/>
      <c r="AX1430" s="115"/>
      <c r="AY1430" s="115"/>
      <c r="AZ1430" s="115"/>
      <c r="BA1430" s="115"/>
      <c r="BB1430" s="115"/>
      <c r="BC1430" s="115"/>
      <c r="BD1430" s="115"/>
      <c r="BE1430" s="115"/>
      <c r="BF1430" s="115"/>
      <c r="BG1430" s="115"/>
      <c r="BH1430" s="26"/>
      <c r="BI1430" s="15"/>
      <c r="BM1430" s="118"/>
      <c r="BN1430" s="118"/>
      <c r="BO1430" s="118"/>
      <c r="BP1430" s="118"/>
    </row>
    <row r="1431" spans="1:68" ht="20.25" customHeight="1" x14ac:dyDescent="0.4">
      <c r="A1431" s="115"/>
      <c r="B1431" s="115"/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22"/>
      <c r="AR1431" s="122"/>
      <c r="AS1431" s="122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15"/>
      <c r="BF1431" s="115"/>
      <c r="BG1431" s="115"/>
      <c r="BH1431" s="26"/>
      <c r="BI1431" s="15"/>
      <c r="BM1431" s="118"/>
      <c r="BN1431" s="118"/>
      <c r="BO1431" s="118"/>
      <c r="BP1431" s="118"/>
    </row>
    <row r="1432" spans="1:68" x14ac:dyDescent="0.4">
      <c r="BH1432" s="26"/>
      <c r="BI1432" s="15"/>
    </row>
    <row r="1433" spans="1:68" x14ac:dyDescent="0.4">
      <c r="BH1433" s="26"/>
      <c r="BI1433" s="13"/>
    </row>
    <row r="1434" spans="1:68" x14ac:dyDescent="0.4">
      <c r="AL1434" s="115"/>
      <c r="AM1434" s="115"/>
      <c r="AN1434" s="115"/>
      <c r="AO1434" s="115"/>
      <c r="AP1434" s="115"/>
      <c r="AQ1434" s="122"/>
      <c r="AR1434" s="122"/>
      <c r="AS1434" s="122"/>
      <c r="AT1434" s="115"/>
      <c r="AU1434" s="115"/>
      <c r="AV1434" s="115"/>
      <c r="AW1434" s="115"/>
      <c r="AX1434" s="115"/>
      <c r="AY1434" s="115"/>
      <c r="AZ1434" s="115"/>
      <c r="BA1434" s="115"/>
      <c r="BB1434" s="115"/>
      <c r="BC1434" s="115"/>
      <c r="BD1434" s="115"/>
      <c r="BE1434" s="115"/>
      <c r="BF1434" s="115"/>
      <c r="BG1434" s="115"/>
      <c r="BH1434" s="26"/>
      <c r="BI1434" s="13"/>
    </row>
    <row r="1435" spans="1:68" x14ac:dyDescent="0.4">
      <c r="AL1435" s="115"/>
      <c r="AM1435" s="115"/>
      <c r="AN1435" s="115"/>
      <c r="AO1435" s="115"/>
      <c r="AP1435" s="115"/>
      <c r="AQ1435" s="122"/>
      <c r="AR1435" s="122"/>
      <c r="AS1435" s="122"/>
      <c r="AT1435" s="115"/>
      <c r="AU1435" s="115"/>
      <c r="AV1435" s="115"/>
      <c r="AW1435" s="115"/>
      <c r="AX1435" s="115"/>
      <c r="AY1435" s="115"/>
      <c r="AZ1435" s="115"/>
      <c r="BA1435" s="115"/>
      <c r="BB1435" s="115"/>
      <c r="BC1435" s="115"/>
      <c r="BD1435" s="115"/>
      <c r="BE1435" s="115"/>
      <c r="BF1435" s="115"/>
      <c r="BG1435" s="115"/>
      <c r="BH1435" s="17"/>
      <c r="BI1435" s="13"/>
    </row>
    <row r="1436" spans="1:68" x14ac:dyDescent="0.4"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22"/>
      <c r="AR1436" s="122"/>
      <c r="AS1436" s="122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15"/>
      <c r="BF1436" s="115"/>
      <c r="BG1436" s="115"/>
      <c r="BH1436" s="26"/>
      <c r="BI1436" s="13"/>
    </row>
    <row r="1437" spans="1:68" x14ac:dyDescent="0.4"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22"/>
      <c r="AR1437" s="122"/>
      <c r="AS1437" s="122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15"/>
      <c r="BF1437" s="115"/>
      <c r="BG1437" s="115"/>
      <c r="BH1437" s="26"/>
      <c r="BI1437" s="13"/>
    </row>
    <row r="1438" spans="1:68" x14ac:dyDescent="0.4">
      <c r="BH1438" s="26"/>
      <c r="BI1438" s="13"/>
    </row>
    <row r="1439" spans="1:68" x14ac:dyDescent="0.4"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22"/>
      <c r="AR1439" s="122"/>
      <c r="AS1439" s="122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115"/>
      <c r="BF1439" s="115"/>
      <c r="BG1439" s="115"/>
      <c r="BH1439" s="26"/>
      <c r="BI1439" s="13"/>
    </row>
    <row r="1440" spans="1:68" x14ac:dyDescent="0.4"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22"/>
      <c r="AR1440" s="122"/>
      <c r="AS1440" s="122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115"/>
      <c r="BD1440" s="115"/>
      <c r="BE1440" s="115"/>
      <c r="BF1440" s="115"/>
      <c r="BG1440" s="115"/>
      <c r="BH1440" s="26"/>
      <c r="BI1440" s="13"/>
    </row>
    <row r="1441" spans="1:61" x14ac:dyDescent="0.4">
      <c r="BH1441" s="26"/>
      <c r="BI1441" s="13"/>
    </row>
    <row r="1442" spans="1:61" x14ac:dyDescent="0.4"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22"/>
      <c r="AR1442" s="122"/>
      <c r="AS1442" s="122"/>
      <c r="AT1442" s="115"/>
      <c r="AU1442" s="115"/>
      <c r="AV1442" s="115"/>
      <c r="AW1442" s="115"/>
      <c r="AX1442" s="115"/>
      <c r="AY1442" s="115"/>
      <c r="AZ1442" s="115"/>
      <c r="BA1442" s="115"/>
      <c r="BB1442" s="115"/>
      <c r="BC1442" s="115"/>
      <c r="BD1442" s="115"/>
      <c r="BE1442" s="115"/>
      <c r="BF1442" s="115"/>
      <c r="BG1442" s="115"/>
      <c r="BH1442" s="26"/>
      <c r="BI1442" s="13"/>
    </row>
    <row r="1443" spans="1:61" x14ac:dyDescent="0.4">
      <c r="BH1443" s="26"/>
      <c r="BI1443" s="13"/>
    </row>
    <row r="1444" spans="1:61" x14ac:dyDescent="0.4">
      <c r="AK1444" s="115"/>
      <c r="AL1444" s="115"/>
      <c r="AM1444" s="115"/>
      <c r="AN1444" s="115"/>
      <c r="AO1444" s="115"/>
      <c r="AP1444" s="115"/>
      <c r="AQ1444" s="122"/>
      <c r="AR1444" s="122"/>
      <c r="AS1444" s="122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15"/>
      <c r="BD1444" s="115"/>
      <c r="BE1444" s="115"/>
      <c r="BF1444" s="115"/>
      <c r="BG1444" s="115"/>
      <c r="BH1444" s="26"/>
      <c r="BI1444" s="13"/>
    </row>
    <row r="1445" spans="1:61" x14ac:dyDescent="0.4">
      <c r="BH1445" s="26"/>
      <c r="BI1445" s="13"/>
    </row>
    <row r="1446" spans="1:61" x14ac:dyDescent="0.4"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22"/>
      <c r="AR1446" s="122"/>
      <c r="AS1446" s="122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15"/>
      <c r="BF1446" s="115"/>
      <c r="BG1446" s="115"/>
      <c r="BH1446" s="26"/>
      <c r="BI1446" s="15"/>
    </row>
    <row r="1447" spans="1:61" x14ac:dyDescent="0.4"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22"/>
      <c r="AR1447" s="122"/>
      <c r="AS1447" s="122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15"/>
      <c r="BD1447" s="115"/>
      <c r="BE1447" s="115"/>
      <c r="BF1447" s="115"/>
      <c r="BG1447" s="115"/>
      <c r="BH1447" s="26"/>
      <c r="BI1447" s="15"/>
    </row>
    <row r="1448" spans="1:61" x14ac:dyDescent="0.4"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22"/>
      <c r="AR1448" s="122"/>
      <c r="AS1448" s="122"/>
      <c r="AT1448" s="115"/>
      <c r="AU1448" s="115"/>
      <c r="AV1448" s="115"/>
      <c r="AW1448" s="115"/>
      <c r="AX1448" s="115"/>
      <c r="AY1448" s="115"/>
      <c r="AZ1448" s="115"/>
      <c r="BA1448" s="115"/>
      <c r="BB1448" s="115"/>
      <c r="BC1448" s="115"/>
      <c r="BD1448" s="115"/>
      <c r="BE1448" s="115"/>
      <c r="BF1448" s="115"/>
      <c r="BG1448" s="115"/>
      <c r="BH1448" s="26"/>
      <c r="BI1448" s="15"/>
    </row>
    <row r="1449" spans="1:61" x14ac:dyDescent="0.4">
      <c r="BH1449" s="26"/>
      <c r="BI1449" s="13"/>
    </row>
    <row r="1450" spans="1:61" x14ac:dyDescent="0.4">
      <c r="A1450" s="115"/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22"/>
      <c r="AR1450" s="122"/>
      <c r="AS1450" s="122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115"/>
      <c r="BF1450" s="115"/>
      <c r="BG1450" s="115"/>
      <c r="BH1450" s="26"/>
      <c r="BI1450" s="15"/>
    </row>
    <row r="1451" spans="1:61" x14ac:dyDescent="0.4">
      <c r="BH1451" s="26"/>
      <c r="BI1451" s="15"/>
    </row>
    <row r="1452" spans="1:61" x14ac:dyDescent="0.4">
      <c r="BH1452" s="26"/>
      <c r="BI1452" s="15"/>
    </row>
    <row r="1453" spans="1:61" x14ac:dyDescent="0.4"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22"/>
      <c r="AR1453" s="122"/>
      <c r="AS1453" s="122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115"/>
      <c r="BF1453" s="115"/>
      <c r="BG1453" s="115"/>
      <c r="BH1453" s="26"/>
      <c r="BI1453" s="15"/>
    </row>
    <row r="1454" spans="1:61" x14ac:dyDescent="0.4"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22"/>
      <c r="AR1454" s="122"/>
      <c r="AS1454" s="122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115"/>
      <c r="BF1454" s="115"/>
      <c r="BG1454" s="115"/>
      <c r="BH1454" s="26"/>
      <c r="BI1454" s="15"/>
    </row>
    <row r="1455" spans="1:61" x14ac:dyDescent="0.4">
      <c r="BH1455" s="26"/>
      <c r="BI1455" s="15"/>
    </row>
    <row r="1456" spans="1:61" x14ac:dyDescent="0.4">
      <c r="AJ1456" s="115"/>
      <c r="AK1456" s="115"/>
      <c r="AL1456" s="115"/>
      <c r="AM1456" s="115"/>
      <c r="AN1456" s="115"/>
      <c r="AO1456" s="115"/>
      <c r="AP1456" s="115"/>
      <c r="AQ1456" s="122"/>
      <c r="AR1456" s="122"/>
      <c r="AS1456" s="122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15"/>
      <c r="BF1456" s="115"/>
      <c r="BG1456" s="115"/>
      <c r="BH1456" s="26"/>
      <c r="BI1456" s="15"/>
    </row>
    <row r="1457" spans="1:61" x14ac:dyDescent="0.4"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22"/>
      <c r="AR1457" s="122"/>
      <c r="AS1457" s="122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115"/>
      <c r="BE1457" s="115"/>
      <c r="BF1457" s="115"/>
      <c r="BG1457" s="115"/>
      <c r="BH1457" s="26"/>
      <c r="BI1457" s="15"/>
    </row>
    <row r="1458" spans="1:61" x14ac:dyDescent="0.4"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22"/>
      <c r="AR1458" s="122"/>
      <c r="AS1458" s="122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115"/>
      <c r="BF1458" s="115"/>
      <c r="BG1458" s="115"/>
      <c r="BH1458" s="26"/>
      <c r="BI1458" s="15"/>
    </row>
    <row r="1459" spans="1:61" x14ac:dyDescent="0.4"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22"/>
      <c r="AR1459" s="122"/>
      <c r="AS1459" s="122"/>
      <c r="AT1459" s="115"/>
      <c r="AU1459" s="115"/>
      <c r="AV1459" s="115"/>
      <c r="AW1459" s="115"/>
      <c r="AX1459" s="115"/>
      <c r="AY1459" s="115"/>
      <c r="AZ1459" s="115"/>
      <c r="BA1459" s="115"/>
      <c r="BB1459" s="115"/>
      <c r="BC1459" s="115"/>
      <c r="BD1459" s="115"/>
      <c r="BE1459" s="115"/>
      <c r="BF1459" s="115"/>
      <c r="BG1459" s="115"/>
      <c r="BH1459" s="26"/>
      <c r="BI1459" s="15"/>
    </row>
    <row r="1460" spans="1:61" x14ac:dyDescent="0.4"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22"/>
      <c r="AR1460" s="122"/>
      <c r="AS1460" s="122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15"/>
      <c r="BF1460" s="115"/>
      <c r="BG1460" s="115"/>
      <c r="BH1460" s="26"/>
      <c r="BI1460" s="15"/>
    </row>
    <row r="1461" spans="1:61" x14ac:dyDescent="0.4">
      <c r="BH1461" s="26"/>
      <c r="BI1461" s="15"/>
    </row>
    <row r="1462" spans="1:61" x14ac:dyDescent="0.4">
      <c r="AM1462" s="115"/>
      <c r="AN1462" s="115"/>
      <c r="AO1462" s="115"/>
      <c r="AP1462" s="115"/>
      <c r="AQ1462" s="122"/>
      <c r="AR1462" s="122"/>
      <c r="AS1462" s="122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115"/>
      <c r="BF1462" s="115"/>
      <c r="BG1462" s="115"/>
      <c r="BH1462" s="17"/>
      <c r="BI1462" s="15"/>
    </row>
    <row r="1463" spans="1:61" x14ac:dyDescent="0.4">
      <c r="BH1463" s="26"/>
      <c r="BI1463" s="15"/>
    </row>
    <row r="1464" spans="1:61" x14ac:dyDescent="0.4">
      <c r="AK1464" s="115"/>
      <c r="AL1464" s="115"/>
      <c r="AM1464" s="115"/>
      <c r="AN1464" s="115"/>
      <c r="AO1464" s="115"/>
      <c r="AP1464" s="115"/>
      <c r="AQ1464" s="122"/>
      <c r="AR1464" s="122"/>
      <c r="AS1464" s="122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115"/>
      <c r="BD1464" s="115"/>
      <c r="BE1464" s="115"/>
      <c r="BF1464" s="115"/>
      <c r="BG1464" s="115"/>
      <c r="BH1464" s="26"/>
      <c r="BI1464" s="15"/>
    </row>
    <row r="1465" spans="1:61" x14ac:dyDescent="0.4">
      <c r="BH1465" s="26"/>
      <c r="BI1465" s="15"/>
    </row>
    <row r="1466" spans="1:61" x14ac:dyDescent="0.4">
      <c r="BH1466" s="26"/>
      <c r="BI1466" s="15"/>
    </row>
    <row r="1467" spans="1:61" x14ac:dyDescent="0.4"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22"/>
      <c r="AR1467" s="122"/>
      <c r="AS1467" s="122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115"/>
      <c r="BD1467" s="115"/>
      <c r="BE1467" s="115"/>
      <c r="BF1467" s="115"/>
      <c r="BG1467" s="115"/>
      <c r="BH1467" s="26"/>
      <c r="BI1467" s="15"/>
    </row>
    <row r="1468" spans="1:61" x14ac:dyDescent="0.4"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22"/>
      <c r="AR1468" s="122"/>
      <c r="AS1468" s="122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15"/>
      <c r="BD1468" s="115"/>
      <c r="BE1468" s="115"/>
      <c r="BF1468" s="115"/>
      <c r="BG1468" s="115"/>
      <c r="BH1468" s="26"/>
      <c r="BI1468" s="15"/>
    </row>
    <row r="1469" spans="1:61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22"/>
      <c r="AR1469" s="122"/>
      <c r="AS1469" s="122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15"/>
      <c r="BF1469" s="115"/>
      <c r="BG1469" s="115"/>
      <c r="BH1469" s="26"/>
      <c r="BI1469" s="15"/>
    </row>
    <row r="1470" spans="1:61" x14ac:dyDescent="0.4">
      <c r="A1470" s="115"/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22"/>
      <c r="AR1470" s="122"/>
      <c r="AS1470" s="122"/>
      <c r="AT1470" s="115"/>
      <c r="AU1470" s="115"/>
      <c r="AV1470" s="115"/>
      <c r="AW1470" s="115"/>
      <c r="AX1470" s="115"/>
      <c r="AY1470" s="115"/>
      <c r="AZ1470" s="115"/>
      <c r="BA1470" s="115"/>
      <c r="BB1470" s="115"/>
      <c r="BC1470" s="115"/>
      <c r="BD1470" s="115"/>
      <c r="BE1470" s="115"/>
      <c r="BF1470" s="115"/>
      <c r="BG1470" s="115"/>
      <c r="BH1470" s="26"/>
      <c r="BI1470" s="15"/>
    </row>
    <row r="1471" spans="1:61" x14ac:dyDescent="0.4">
      <c r="BH1471" s="26"/>
      <c r="BI1471" s="15"/>
    </row>
    <row r="1472" spans="1:61" x14ac:dyDescent="0.4">
      <c r="AM1472" s="115"/>
      <c r="AN1472" s="115"/>
      <c r="AO1472" s="115"/>
      <c r="AP1472" s="115"/>
      <c r="AQ1472" s="122"/>
      <c r="AR1472" s="122"/>
      <c r="AS1472" s="122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115"/>
      <c r="BG1472" s="115"/>
      <c r="BH1472" s="17"/>
      <c r="BI1472" s="15"/>
    </row>
    <row r="1473" spans="3:61" x14ac:dyDescent="0.4">
      <c r="BH1473" s="26"/>
      <c r="BI1473" s="15"/>
    </row>
    <row r="1474" spans="3:61" x14ac:dyDescent="0.4"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22"/>
      <c r="AR1474" s="122"/>
      <c r="AS1474" s="122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15"/>
      <c r="BF1474" s="115"/>
      <c r="BG1474" s="115"/>
      <c r="BH1474" s="26"/>
      <c r="BI1474" s="15"/>
    </row>
    <row r="1475" spans="3:61" x14ac:dyDescent="0.4"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22"/>
      <c r="AR1475" s="122"/>
      <c r="AS1475" s="122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15"/>
      <c r="BF1475" s="115"/>
      <c r="BG1475" s="115"/>
      <c r="BH1475" s="26"/>
      <c r="BI1475" s="15"/>
    </row>
    <row r="1476" spans="3:61" x14ac:dyDescent="0.4"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22"/>
      <c r="AR1476" s="122"/>
      <c r="AS1476" s="122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115"/>
      <c r="BF1476" s="115"/>
      <c r="BG1476" s="115"/>
      <c r="BH1476" s="17"/>
      <c r="BI1476" s="15"/>
    </row>
    <row r="1477" spans="3:61" x14ac:dyDescent="0.4">
      <c r="BH1477" s="26"/>
      <c r="BI1477" s="15"/>
    </row>
    <row r="1478" spans="3:61" x14ac:dyDescent="0.4"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22"/>
      <c r="AR1478" s="122"/>
      <c r="AS1478" s="122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115"/>
      <c r="BG1478" s="115"/>
      <c r="BH1478" s="26"/>
      <c r="BI1478" s="15"/>
    </row>
    <row r="1479" spans="3:61" x14ac:dyDescent="0.4"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22"/>
      <c r="AR1479" s="122"/>
      <c r="AS1479" s="122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115"/>
      <c r="BG1479" s="115"/>
      <c r="BH1479" s="17"/>
      <c r="BI1479" s="15"/>
    </row>
    <row r="1480" spans="3:61" x14ac:dyDescent="0.4">
      <c r="BH1480" s="26"/>
      <c r="BI1480" s="15"/>
    </row>
    <row r="1481" spans="3:61" x14ac:dyDescent="0.4">
      <c r="AM1481" s="115"/>
      <c r="AN1481" s="115"/>
      <c r="AO1481" s="115"/>
      <c r="AP1481" s="115"/>
      <c r="AQ1481" s="122"/>
      <c r="AR1481" s="122"/>
      <c r="AS1481" s="122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115"/>
      <c r="BG1481" s="115"/>
      <c r="BH1481" s="17"/>
      <c r="BI1481" s="15"/>
    </row>
    <row r="1482" spans="3:61" x14ac:dyDescent="0.4"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22"/>
      <c r="AR1482" s="122"/>
      <c r="AS1482" s="122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115"/>
      <c r="BG1482" s="115"/>
      <c r="BH1482" s="26"/>
      <c r="BI1482" s="15"/>
    </row>
    <row r="1483" spans="3:61" x14ac:dyDescent="0.4"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22"/>
      <c r="AR1483" s="122"/>
      <c r="AS1483" s="122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15"/>
      <c r="BF1483" s="115"/>
      <c r="BG1483" s="115"/>
      <c r="BH1483" s="17"/>
      <c r="BI1483" s="15"/>
    </row>
    <row r="1484" spans="3:61" x14ac:dyDescent="0.4">
      <c r="BH1484" s="26"/>
      <c r="BI1484" s="15"/>
    </row>
    <row r="1485" spans="3:61" x14ac:dyDescent="0.4">
      <c r="BH1485" s="26"/>
      <c r="BI1485" s="15"/>
    </row>
    <row r="1486" spans="3:61" x14ac:dyDescent="0.4">
      <c r="AL1486" s="115"/>
      <c r="AM1486" s="115"/>
      <c r="AN1486" s="115"/>
      <c r="AO1486" s="115"/>
      <c r="AP1486" s="115"/>
      <c r="AQ1486" s="122"/>
      <c r="AR1486" s="122"/>
      <c r="AS1486" s="122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115"/>
      <c r="BF1486" s="115"/>
      <c r="BG1486" s="115"/>
      <c r="BH1486" s="26"/>
      <c r="BI1486" s="15"/>
    </row>
    <row r="1487" spans="3:61" x14ac:dyDescent="0.4">
      <c r="AJ1487" s="115"/>
      <c r="AK1487" s="115"/>
      <c r="AL1487" s="115"/>
      <c r="AM1487" s="115"/>
      <c r="AN1487" s="115"/>
      <c r="AO1487" s="115"/>
      <c r="AP1487" s="115"/>
      <c r="AQ1487" s="122"/>
      <c r="AR1487" s="122"/>
      <c r="AS1487" s="122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15"/>
      <c r="BF1487" s="115"/>
      <c r="BG1487" s="115"/>
      <c r="BH1487" s="26"/>
      <c r="BI1487" s="15"/>
    </row>
    <row r="1488" spans="3:61" x14ac:dyDescent="0.4">
      <c r="AJ1488" s="115"/>
      <c r="AK1488" s="115"/>
      <c r="AL1488" s="115"/>
      <c r="AM1488" s="115"/>
      <c r="AN1488" s="115"/>
      <c r="AO1488" s="115"/>
      <c r="AP1488" s="115"/>
      <c r="AQ1488" s="122"/>
      <c r="AR1488" s="122"/>
      <c r="AS1488" s="122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15"/>
      <c r="BF1488" s="115"/>
      <c r="BG1488" s="115"/>
      <c r="BH1488" s="26"/>
      <c r="BI1488" s="15"/>
    </row>
    <row r="1489" spans="3:61" x14ac:dyDescent="0.4"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22"/>
      <c r="AR1489" s="122"/>
      <c r="AS1489" s="122"/>
      <c r="AT1489" s="115"/>
      <c r="AU1489" s="115"/>
      <c r="AV1489" s="115"/>
      <c r="AW1489" s="115"/>
      <c r="AX1489" s="115"/>
      <c r="AY1489" s="115"/>
      <c r="AZ1489" s="115"/>
      <c r="BA1489" s="115"/>
      <c r="BB1489" s="115"/>
      <c r="BC1489" s="115"/>
      <c r="BD1489" s="115"/>
      <c r="BE1489" s="115"/>
      <c r="BF1489" s="115"/>
      <c r="BG1489" s="115"/>
      <c r="BH1489" s="26"/>
      <c r="BI1489" s="15"/>
    </row>
    <row r="1490" spans="3:61" x14ac:dyDescent="0.4"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22"/>
      <c r="AR1490" s="122"/>
      <c r="AS1490" s="122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15"/>
      <c r="BF1490" s="115"/>
      <c r="BG1490" s="115"/>
      <c r="BH1490" s="26"/>
      <c r="BI1490" s="15"/>
    </row>
    <row r="1491" spans="3:61" x14ac:dyDescent="0.4">
      <c r="BH1491" s="26"/>
      <c r="BI1491" s="15"/>
    </row>
    <row r="1492" spans="3:61" x14ac:dyDescent="0.4">
      <c r="AL1492" s="115"/>
      <c r="AM1492" s="115"/>
      <c r="AN1492" s="115"/>
      <c r="AO1492" s="115"/>
      <c r="AP1492" s="115"/>
      <c r="AQ1492" s="122"/>
      <c r="AR1492" s="122"/>
      <c r="AS1492" s="122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15"/>
      <c r="BG1492" s="115"/>
      <c r="BH1492" s="26"/>
      <c r="BI1492" s="15"/>
    </row>
    <row r="1493" spans="3:61" x14ac:dyDescent="0.4">
      <c r="BH1493" s="26"/>
      <c r="BI1493" s="15"/>
    </row>
    <row r="1494" spans="3:61" x14ac:dyDescent="0.4">
      <c r="AM1494" s="115"/>
      <c r="AN1494" s="115"/>
      <c r="AO1494" s="115"/>
      <c r="AP1494" s="115"/>
      <c r="AQ1494" s="122"/>
      <c r="AR1494" s="122"/>
      <c r="AS1494" s="122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15"/>
      <c r="BF1494" s="115"/>
      <c r="BG1494" s="115"/>
      <c r="BH1494" s="17"/>
      <c r="BI1494" s="15"/>
    </row>
    <row r="1495" spans="3:61" x14ac:dyDescent="0.4">
      <c r="AL1495" s="115"/>
      <c r="AM1495" s="115"/>
      <c r="AN1495" s="115"/>
      <c r="AO1495" s="115"/>
      <c r="AP1495" s="115"/>
      <c r="AQ1495" s="122"/>
      <c r="AR1495" s="122"/>
      <c r="AS1495" s="122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115"/>
      <c r="BG1495" s="115"/>
      <c r="BH1495" s="26"/>
      <c r="BI1495" s="15"/>
    </row>
    <row r="1496" spans="3:61" x14ac:dyDescent="0.4"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22"/>
      <c r="AR1496" s="122"/>
      <c r="AS1496" s="122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15"/>
      <c r="BF1496" s="115"/>
      <c r="BG1496" s="115"/>
      <c r="BH1496" s="26"/>
      <c r="BI1496" s="15"/>
    </row>
    <row r="1497" spans="3:61" x14ac:dyDescent="0.4"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22"/>
      <c r="AR1497" s="122"/>
      <c r="AS1497" s="122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15"/>
      <c r="BE1497" s="115"/>
      <c r="BF1497" s="115"/>
      <c r="BG1497" s="115"/>
      <c r="BH1497" s="17"/>
      <c r="BI1497" s="15"/>
    </row>
    <row r="1498" spans="3:61" x14ac:dyDescent="0.4">
      <c r="BH1498" s="26"/>
      <c r="BI1498" s="15"/>
    </row>
    <row r="1499" spans="3:61" x14ac:dyDescent="0.4">
      <c r="AM1499" s="115"/>
      <c r="AN1499" s="115"/>
      <c r="AO1499" s="115"/>
      <c r="AP1499" s="115"/>
      <c r="AQ1499" s="122"/>
      <c r="AR1499" s="122"/>
      <c r="AS1499" s="122"/>
      <c r="AT1499" s="115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15"/>
      <c r="BF1499" s="115"/>
      <c r="BG1499" s="115"/>
      <c r="BH1499" s="17"/>
      <c r="BI1499" s="15"/>
    </row>
    <row r="1500" spans="3:61" x14ac:dyDescent="0.4">
      <c r="AL1500" s="115"/>
      <c r="AM1500" s="115"/>
      <c r="AN1500" s="115"/>
      <c r="AO1500" s="115"/>
      <c r="AP1500" s="115"/>
      <c r="AQ1500" s="122"/>
      <c r="AR1500" s="122"/>
      <c r="AS1500" s="122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15"/>
      <c r="BF1500" s="115"/>
      <c r="BG1500" s="115"/>
      <c r="BH1500" s="26"/>
      <c r="BI1500" s="15"/>
    </row>
    <row r="1501" spans="3:61" x14ac:dyDescent="0.4">
      <c r="AL1501" s="115"/>
      <c r="AM1501" s="115"/>
      <c r="AN1501" s="115"/>
      <c r="AO1501" s="115"/>
      <c r="AP1501" s="115"/>
      <c r="AQ1501" s="122"/>
      <c r="AR1501" s="122"/>
      <c r="AS1501" s="122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115"/>
      <c r="BG1501" s="115"/>
      <c r="BH1501" s="17"/>
      <c r="BI1501" s="15"/>
    </row>
    <row r="1502" spans="3:61" x14ac:dyDescent="0.4">
      <c r="AL1502" s="115"/>
      <c r="AM1502" s="115"/>
      <c r="AN1502" s="115"/>
      <c r="AO1502" s="115"/>
      <c r="AP1502" s="115"/>
      <c r="AQ1502" s="122"/>
      <c r="AR1502" s="122"/>
      <c r="AS1502" s="122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15"/>
      <c r="BF1502" s="115"/>
      <c r="BG1502" s="115"/>
      <c r="BH1502" s="17"/>
      <c r="BI1502" s="15"/>
    </row>
    <row r="1503" spans="3:61" x14ac:dyDescent="0.4"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22"/>
      <c r="AR1503" s="122"/>
      <c r="AS1503" s="122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15"/>
      <c r="BF1503" s="115"/>
      <c r="BG1503" s="115"/>
      <c r="BH1503" s="26"/>
      <c r="BI1503" s="15"/>
    </row>
    <row r="1504" spans="3:61" x14ac:dyDescent="0.4"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22"/>
      <c r="AR1504" s="122"/>
      <c r="AS1504" s="122"/>
      <c r="AT1504" s="115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15"/>
      <c r="BF1504" s="115"/>
      <c r="BG1504" s="115"/>
      <c r="BH1504" s="26"/>
      <c r="BI1504" s="15"/>
    </row>
    <row r="1505" spans="3:61" x14ac:dyDescent="0.4"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22"/>
      <c r="AR1505" s="122"/>
      <c r="AS1505" s="122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115"/>
      <c r="BG1505" s="115"/>
      <c r="BH1505" s="26"/>
      <c r="BI1505" s="15"/>
    </row>
    <row r="1506" spans="3:61" x14ac:dyDescent="0.4"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22"/>
      <c r="AR1506" s="122"/>
      <c r="AS1506" s="122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115"/>
      <c r="BG1506" s="115"/>
      <c r="BH1506" s="26"/>
      <c r="BI1506" s="15"/>
    </row>
    <row r="1507" spans="3:61" x14ac:dyDescent="0.4"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22"/>
      <c r="AR1507" s="122"/>
      <c r="AS1507" s="122"/>
      <c r="AT1507" s="115"/>
      <c r="AU1507" s="115"/>
      <c r="AV1507" s="115"/>
      <c r="AW1507" s="115"/>
      <c r="AX1507" s="115"/>
      <c r="AY1507" s="115"/>
      <c r="AZ1507" s="115"/>
      <c r="BA1507" s="115"/>
      <c r="BB1507" s="115"/>
      <c r="BC1507" s="115"/>
      <c r="BD1507" s="115"/>
      <c r="BE1507" s="115"/>
      <c r="BF1507" s="115"/>
      <c r="BG1507" s="115"/>
      <c r="BH1507" s="26"/>
      <c r="BI1507" s="15"/>
    </row>
    <row r="1508" spans="3:61" x14ac:dyDescent="0.4"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22"/>
      <c r="AR1508" s="122"/>
      <c r="AS1508" s="122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115"/>
      <c r="BG1508" s="115"/>
      <c r="BH1508" s="17"/>
      <c r="BI1508" s="15"/>
    </row>
    <row r="1509" spans="3:61" x14ac:dyDescent="0.4">
      <c r="BH1509" s="26"/>
      <c r="BI1509" s="15"/>
    </row>
    <row r="1510" spans="3:61" x14ac:dyDescent="0.4">
      <c r="AL1510" s="115"/>
      <c r="AM1510" s="115"/>
      <c r="AN1510" s="115"/>
      <c r="AO1510" s="115"/>
      <c r="AP1510" s="115"/>
      <c r="AQ1510" s="122"/>
      <c r="AR1510" s="122"/>
      <c r="AS1510" s="122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115"/>
      <c r="BG1510" s="115"/>
      <c r="BH1510" s="17"/>
      <c r="BI1510" s="13"/>
    </row>
    <row r="1511" spans="3:61" x14ac:dyDescent="0.4">
      <c r="AL1511" s="115"/>
      <c r="AM1511" s="115"/>
      <c r="AN1511" s="115"/>
      <c r="AO1511" s="115"/>
      <c r="AP1511" s="115"/>
      <c r="AQ1511" s="122"/>
      <c r="AR1511" s="122"/>
      <c r="AS1511" s="122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115"/>
      <c r="BG1511" s="115"/>
      <c r="BH1511" s="17"/>
      <c r="BI1511" s="13"/>
    </row>
    <row r="1512" spans="3:61" x14ac:dyDescent="0.4">
      <c r="AJ1512" s="115"/>
      <c r="AK1512" s="115"/>
      <c r="AL1512" s="115"/>
      <c r="AM1512" s="115"/>
      <c r="AN1512" s="115"/>
      <c r="AO1512" s="115"/>
      <c r="AP1512" s="115"/>
      <c r="AQ1512" s="122"/>
      <c r="AR1512" s="122"/>
      <c r="AS1512" s="122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15"/>
      <c r="BF1512" s="115"/>
      <c r="BG1512" s="115"/>
      <c r="BH1512" s="26"/>
      <c r="BI1512" s="13"/>
    </row>
    <row r="1513" spans="3:61" x14ac:dyDescent="0.4">
      <c r="AJ1513" s="115"/>
      <c r="AK1513" s="115"/>
      <c r="AL1513" s="115"/>
      <c r="AM1513" s="115"/>
      <c r="AN1513" s="115"/>
      <c r="AO1513" s="115"/>
      <c r="AP1513" s="115"/>
      <c r="AQ1513" s="122"/>
      <c r="AR1513" s="122"/>
      <c r="AS1513" s="122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115"/>
      <c r="BG1513" s="115"/>
      <c r="BH1513" s="17"/>
      <c r="BI1513" s="13"/>
    </row>
    <row r="1514" spans="3:61" x14ac:dyDescent="0.4">
      <c r="BH1514" s="26"/>
      <c r="BI1514" s="13"/>
    </row>
    <row r="1515" spans="3:61" x14ac:dyDescent="0.4">
      <c r="AK1515" s="115"/>
      <c r="AL1515" s="115"/>
      <c r="AM1515" s="115"/>
      <c r="AN1515" s="115"/>
      <c r="AO1515" s="115"/>
      <c r="AP1515" s="115"/>
      <c r="AQ1515" s="122"/>
      <c r="AR1515" s="122"/>
      <c r="AS1515" s="122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115"/>
      <c r="BG1515" s="115"/>
      <c r="BH1515" s="17"/>
      <c r="BI1515" s="13"/>
    </row>
    <row r="1516" spans="3:61" x14ac:dyDescent="0.4">
      <c r="BH1516" s="26"/>
      <c r="BI1516" s="13"/>
    </row>
    <row r="1517" spans="3:61" x14ac:dyDescent="0.4">
      <c r="BH1517" s="26"/>
      <c r="BI1517" s="13"/>
    </row>
    <row r="1518" spans="3:61" x14ac:dyDescent="0.4"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22"/>
      <c r="AR1518" s="122"/>
      <c r="AS1518" s="122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115"/>
      <c r="BF1518" s="115"/>
      <c r="BG1518" s="115"/>
      <c r="BH1518" s="26"/>
      <c r="BI1518" s="13"/>
    </row>
    <row r="1519" spans="3:61" x14ac:dyDescent="0.4"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22"/>
      <c r="AR1519" s="122"/>
      <c r="AS1519" s="122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15"/>
      <c r="BE1519" s="115"/>
      <c r="BF1519" s="115"/>
      <c r="BG1519" s="115"/>
      <c r="BH1519" s="26"/>
      <c r="BI1519" s="13"/>
    </row>
    <row r="1520" spans="3:61" x14ac:dyDescent="0.4">
      <c r="BH1520" s="26"/>
      <c r="BI1520" s="13"/>
    </row>
    <row r="1521" spans="3:61" x14ac:dyDescent="0.4">
      <c r="BH1521" s="26"/>
      <c r="BI1521" s="13"/>
    </row>
    <row r="1522" spans="3:61" x14ac:dyDescent="0.4"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22"/>
      <c r="AR1522" s="122"/>
      <c r="AS1522" s="122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15"/>
      <c r="BF1522" s="115"/>
      <c r="BG1522" s="115"/>
      <c r="BH1522" s="26"/>
      <c r="BI1522" s="13"/>
    </row>
    <row r="1523" spans="3:61" x14ac:dyDescent="0.4">
      <c r="BH1523" s="26"/>
      <c r="BI1523" s="105"/>
    </row>
    <row r="1524" spans="3:61" x14ac:dyDescent="0.4"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22"/>
      <c r="AR1524" s="122"/>
      <c r="AS1524" s="122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115"/>
      <c r="BF1524" s="115"/>
      <c r="BG1524" s="115"/>
      <c r="BH1524" s="26"/>
      <c r="BI1524" s="15"/>
    </row>
    <row r="1525" spans="3:61" x14ac:dyDescent="0.4"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22"/>
      <c r="AR1525" s="122"/>
      <c r="AS1525" s="122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15"/>
      <c r="BG1525" s="115"/>
      <c r="BH1525" s="17"/>
      <c r="BI1525" s="15"/>
    </row>
    <row r="1526" spans="3:61" x14ac:dyDescent="0.4">
      <c r="BH1526" s="26"/>
      <c r="BI1526" s="15"/>
    </row>
    <row r="1527" spans="3:61" x14ac:dyDescent="0.4"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22"/>
      <c r="AR1527" s="122"/>
      <c r="AS1527" s="122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115"/>
      <c r="BG1527" s="115"/>
      <c r="BH1527" s="26"/>
      <c r="BI1527" s="15"/>
    </row>
    <row r="1528" spans="3:61" x14ac:dyDescent="0.4"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22"/>
      <c r="AR1528" s="122"/>
      <c r="AS1528" s="122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15"/>
      <c r="BG1528" s="115"/>
      <c r="BH1528" s="26"/>
      <c r="BI1528" s="15"/>
    </row>
    <row r="1529" spans="3:61" x14ac:dyDescent="0.4"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22"/>
      <c r="AR1529" s="122"/>
      <c r="AS1529" s="122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15"/>
      <c r="BH1529" s="26"/>
      <c r="BI1529" s="13"/>
    </row>
    <row r="1530" spans="3:61" x14ac:dyDescent="0.4">
      <c r="BH1530" s="26"/>
      <c r="BI1530" s="15"/>
    </row>
    <row r="1531" spans="3:61" x14ac:dyDescent="0.4"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22"/>
      <c r="AR1531" s="122"/>
      <c r="AS1531" s="122"/>
      <c r="AT1531" s="115"/>
      <c r="AU1531" s="115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15"/>
      <c r="BF1531" s="115"/>
      <c r="BG1531" s="115"/>
      <c r="BH1531" s="26"/>
      <c r="BI1531" s="15"/>
    </row>
    <row r="1532" spans="3:61" x14ac:dyDescent="0.4"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22"/>
      <c r="AR1532" s="122"/>
      <c r="AS1532" s="122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115"/>
      <c r="BH1532" s="26"/>
      <c r="BI1532" s="15"/>
    </row>
    <row r="1533" spans="3:61" x14ac:dyDescent="0.4"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22"/>
      <c r="AR1533" s="122"/>
      <c r="AS1533" s="122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15"/>
      <c r="BF1533" s="115"/>
      <c r="BG1533" s="115"/>
      <c r="BH1533" s="26"/>
      <c r="BI1533" s="15"/>
    </row>
    <row r="1534" spans="3:61" x14ac:dyDescent="0.4"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22"/>
      <c r="AR1534" s="122"/>
      <c r="AS1534" s="122"/>
      <c r="AT1534" s="115"/>
      <c r="AU1534" s="115"/>
      <c r="AV1534" s="115"/>
      <c r="AW1534" s="115"/>
      <c r="AX1534" s="115"/>
      <c r="AY1534" s="115"/>
      <c r="AZ1534" s="115"/>
      <c r="BA1534" s="115"/>
      <c r="BB1534" s="115"/>
      <c r="BC1534" s="115"/>
      <c r="BD1534" s="115"/>
      <c r="BE1534" s="115"/>
      <c r="BF1534" s="115"/>
      <c r="BG1534" s="115"/>
      <c r="BH1534" s="26"/>
      <c r="BI1534" s="15"/>
    </row>
    <row r="1535" spans="3:61" x14ac:dyDescent="0.4"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22"/>
      <c r="AR1535" s="122"/>
      <c r="AS1535" s="122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115"/>
      <c r="BG1535" s="115"/>
      <c r="BH1535" s="26"/>
      <c r="BI1535" s="15"/>
    </row>
    <row r="1536" spans="3:61" x14ac:dyDescent="0.4"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22"/>
      <c r="AR1536" s="122"/>
      <c r="AS1536" s="122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115"/>
      <c r="BH1536" s="26"/>
      <c r="BI1536" s="15"/>
    </row>
    <row r="1537" spans="1:61" ht="19.5" customHeight="1" x14ac:dyDescent="0.4"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22"/>
      <c r="AR1537" s="122"/>
      <c r="AS1537" s="122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115"/>
      <c r="BH1537" s="26"/>
      <c r="BI1537" s="15"/>
    </row>
    <row r="1538" spans="1:61" ht="19.5" customHeight="1" x14ac:dyDescent="0.4"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22"/>
      <c r="AR1538" s="122"/>
      <c r="AS1538" s="122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115"/>
      <c r="BH1538" s="26"/>
      <c r="BI1538" s="15"/>
    </row>
    <row r="1539" spans="1:61" x14ac:dyDescent="0.4">
      <c r="BH1539" s="26"/>
      <c r="BI1539" s="15"/>
    </row>
    <row r="1540" spans="1:61" x14ac:dyDescent="0.4"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22"/>
      <c r="AR1540" s="122"/>
      <c r="AS1540" s="122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115"/>
      <c r="BG1540" s="115"/>
      <c r="BH1540" s="26"/>
      <c r="BI1540" s="15"/>
    </row>
    <row r="1541" spans="1:61" x14ac:dyDescent="0.4"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22"/>
      <c r="AR1541" s="122"/>
      <c r="AS1541" s="122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15"/>
      <c r="BF1541" s="115"/>
      <c r="BG1541" s="115"/>
      <c r="BH1541" s="26"/>
      <c r="BI1541" s="15"/>
    </row>
    <row r="1542" spans="1:61" x14ac:dyDescent="0.4"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22"/>
      <c r="AR1542" s="122"/>
      <c r="AS1542" s="122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15"/>
      <c r="BF1542" s="115"/>
      <c r="BG1542" s="115"/>
      <c r="BH1542" s="17"/>
      <c r="BI1542" s="15"/>
    </row>
    <row r="1543" spans="1:61" x14ac:dyDescent="0.4">
      <c r="BH1543" s="26"/>
      <c r="BI1543" s="15"/>
    </row>
    <row r="1544" spans="1:61" x14ac:dyDescent="0.4">
      <c r="AK1544" s="115"/>
      <c r="AL1544" s="115"/>
      <c r="AM1544" s="115"/>
      <c r="AN1544" s="115"/>
      <c r="AO1544" s="115"/>
      <c r="AP1544" s="115"/>
      <c r="AQ1544" s="122"/>
      <c r="AR1544" s="122"/>
      <c r="AS1544" s="122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15"/>
      <c r="BH1544" s="17"/>
      <c r="BI1544" s="15"/>
    </row>
    <row r="1545" spans="1:61" x14ac:dyDescent="0.4"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22"/>
      <c r="AR1545" s="122"/>
      <c r="AS1545" s="122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115"/>
      <c r="BF1545" s="115"/>
      <c r="BG1545" s="115"/>
      <c r="BH1545" s="26"/>
      <c r="BI1545" s="15"/>
    </row>
    <row r="1546" spans="1:61" x14ac:dyDescent="0.4">
      <c r="BH1546" s="26"/>
      <c r="BI1546" s="15"/>
    </row>
    <row r="1547" spans="1:61" x14ac:dyDescent="0.4">
      <c r="BH1547" s="26"/>
      <c r="BI1547" s="15"/>
    </row>
    <row r="1548" spans="1:61" x14ac:dyDescent="0.4">
      <c r="AJ1548" s="115"/>
      <c r="AK1548" s="115"/>
      <c r="AL1548" s="115"/>
      <c r="AM1548" s="115"/>
      <c r="AN1548" s="115"/>
      <c r="AO1548" s="115"/>
      <c r="AP1548" s="115"/>
      <c r="AQ1548" s="122"/>
      <c r="AR1548" s="122"/>
      <c r="AS1548" s="122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26"/>
      <c r="BI1548" s="15"/>
    </row>
    <row r="1549" spans="1:61" x14ac:dyDescent="0.4">
      <c r="BH1549" s="26"/>
      <c r="BI1549" s="15"/>
    </row>
    <row r="1550" spans="1:61" x14ac:dyDescent="0.4">
      <c r="AK1550" s="115"/>
      <c r="AL1550" s="115"/>
      <c r="AM1550" s="115"/>
      <c r="AN1550" s="115"/>
      <c r="AO1550" s="115"/>
      <c r="AP1550" s="115"/>
      <c r="AQ1550" s="122"/>
      <c r="AR1550" s="122"/>
      <c r="AS1550" s="122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7"/>
      <c r="BI1550" s="15"/>
    </row>
    <row r="1551" spans="1:61" x14ac:dyDescent="0.4">
      <c r="A1551" s="115"/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22"/>
      <c r="AR1551" s="122"/>
      <c r="AS1551" s="122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26"/>
      <c r="BI1551" s="15"/>
    </row>
    <row r="1552" spans="1:61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22"/>
      <c r="AR1552" s="122"/>
      <c r="AS1552" s="122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7"/>
      <c r="BI1552" s="13"/>
    </row>
    <row r="1553" spans="1:61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22"/>
      <c r="AR1553" s="122"/>
      <c r="AS1553" s="122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7"/>
      <c r="BI1553" s="13"/>
    </row>
    <row r="1554" spans="1:61" x14ac:dyDescent="0.4">
      <c r="BH1554" s="26"/>
      <c r="BI1554" s="13"/>
    </row>
    <row r="1555" spans="1:61" x14ac:dyDescent="0.4"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22"/>
      <c r="AR1555" s="122"/>
      <c r="AS1555" s="122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26"/>
      <c r="BI1555" s="15"/>
    </row>
    <row r="1556" spans="1:61" x14ac:dyDescent="0.4"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22"/>
      <c r="AR1556" s="122"/>
      <c r="AS1556" s="122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26"/>
      <c r="BI1556" s="15"/>
    </row>
    <row r="1557" spans="1:61" x14ac:dyDescent="0.4">
      <c r="BH1557" s="26"/>
      <c r="BI1557" s="15"/>
    </row>
    <row r="1558" spans="1:61" x14ac:dyDescent="0.4"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22"/>
      <c r="AR1558" s="122"/>
      <c r="AS1558" s="122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26"/>
      <c r="BI1558" s="15"/>
    </row>
    <row r="1559" spans="1:61" x14ac:dyDescent="0.4"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22"/>
      <c r="AR1559" s="122"/>
      <c r="AS1559" s="122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26"/>
      <c r="BI1559" s="15"/>
    </row>
    <row r="1560" spans="1:61" x14ac:dyDescent="0.4"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22"/>
      <c r="AR1560" s="122"/>
      <c r="AS1560" s="122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26"/>
      <c r="BI1560" s="15"/>
    </row>
    <row r="1561" spans="1:61" x14ac:dyDescent="0.4"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22"/>
      <c r="AR1561" s="122"/>
      <c r="AS1561" s="122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26"/>
      <c r="BI1561" s="15"/>
    </row>
    <row r="1562" spans="1:61" x14ac:dyDescent="0.4">
      <c r="BH1562" s="26"/>
      <c r="BI1562" s="15"/>
    </row>
    <row r="1563" spans="1:61" x14ac:dyDescent="0.4"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22"/>
      <c r="AR1563" s="122"/>
      <c r="AS1563" s="122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26"/>
      <c r="BI1563" s="15"/>
    </row>
    <row r="1564" spans="1:61" x14ac:dyDescent="0.4">
      <c r="BH1564" s="26"/>
      <c r="BI1564" s="15"/>
    </row>
    <row r="1565" spans="1:61" x14ac:dyDescent="0.4"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22"/>
      <c r="AR1565" s="122"/>
      <c r="AS1565" s="122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26"/>
      <c r="BI1565" s="15"/>
    </row>
    <row r="1566" spans="1:61" x14ac:dyDescent="0.4"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22"/>
      <c r="AR1566" s="122"/>
      <c r="AS1566" s="122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26"/>
      <c r="BI1566" s="15"/>
    </row>
    <row r="1567" spans="1:61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22"/>
      <c r="AR1567" s="122"/>
      <c r="AS1567" s="122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7"/>
      <c r="BI1567" s="15"/>
    </row>
    <row r="1568" spans="1:61" x14ac:dyDescent="0.4">
      <c r="BH1568" s="26"/>
      <c r="BI1568" s="15"/>
    </row>
    <row r="1569" spans="1:61" x14ac:dyDescent="0.4">
      <c r="BH1569" s="26"/>
      <c r="BI1569" s="15"/>
    </row>
    <row r="1570" spans="1:61" x14ac:dyDescent="0.4">
      <c r="A1570" s="115"/>
      <c r="B1570" s="115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22"/>
      <c r="AR1570" s="122"/>
      <c r="AS1570" s="122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26"/>
      <c r="BI1570" s="15"/>
    </row>
    <row r="1571" spans="1:61" x14ac:dyDescent="0.4">
      <c r="A1571" s="115"/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22"/>
      <c r="AR1571" s="122"/>
      <c r="AS1571" s="122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7"/>
      <c r="BI1571" s="15"/>
    </row>
    <row r="1572" spans="1:61" x14ac:dyDescent="0.4">
      <c r="BH1572" s="26"/>
      <c r="BI1572" s="15"/>
    </row>
    <row r="1573" spans="1:61" ht="17.25" customHeight="1" x14ac:dyDescent="0.4">
      <c r="B1573" s="115"/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22"/>
      <c r="AR1573" s="122"/>
      <c r="AS1573" s="122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26"/>
      <c r="BI1573" s="15"/>
    </row>
    <row r="1574" spans="1:61" x14ac:dyDescent="0.4">
      <c r="BH1574" s="26"/>
      <c r="BI1574" s="15"/>
    </row>
    <row r="1575" spans="1:61" x14ac:dyDescent="0.4">
      <c r="AJ1575" s="115"/>
      <c r="AK1575" s="115"/>
      <c r="AL1575" s="115"/>
      <c r="AM1575" s="115"/>
      <c r="AN1575" s="115"/>
      <c r="AO1575" s="115"/>
      <c r="AP1575" s="115"/>
      <c r="AQ1575" s="122"/>
      <c r="AR1575" s="122"/>
      <c r="AS1575" s="122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7"/>
      <c r="BI1575" s="15"/>
    </row>
    <row r="1576" spans="1:61" ht="16.5" customHeight="1" x14ac:dyDescent="0.4">
      <c r="A1576" s="115"/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22"/>
      <c r="AR1576" s="122"/>
      <c r="AS1576" s="122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26"/>
      <c r="BI1576" s="15"/>
    </row>
    <row r="1577" spans="1:61" ht="22.5" customHeight="1" x14ac:dyDescent="0.4">
      <c r="A1577" s="115"/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22"/>
      <c r="AR1577" s="122"/>
      <c r="AS1577" s="122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26"/>
      <c r="BI1577" s="15"/>
    </row>
    <row r="1578" spans="1:61" x14ac:dyDescent="0.4">
      <c r="BH1578" s="26"/>
      <c r="BI1578" s="15"/>
    </row>
    <row r="1579" spans="1:61" x14ac:dyDescent="0.4">
      <c r="BH1579" s="26"/>
      <c r="BI1579" s="105"/>
    </row>
    <row r="1580" spans="1:61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22"/>
      <c r="AR1580" s="122"/>
      <c r="AS1580" s="122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26"/>
      <c r="BI1580" s="15"/>
    </row>
    <row r="1581" spans="1:61" x14ac:dyDescent="0.4">
      <c r="BH1581" s="26"/>
      <c r="BI1581" s="15"/>
    </row>
    <row r="1582" spans="1:61" x14ac:dyDescent="0.4">
      <c r="BH1582" s="26"/>
      <c r="BI1582" s="15"/>
    </row>
    <row r="1583" spans="1:61" x14ac:dyDescent="0.4">
      <c r="BH1583" s="26"/>
      <c r="BI1583" s="15"/>
    </row>
    <row r="1584" spans="1:61" x14ac:dyDescent="0.4">
      <c r="BH1584" s="26"/>
      <c r="BI1584" s="15"/>
    </row>
    <row r="1585" spans="1:61" x14ac:dyDescent="0.4">
      <c r="A1585" s="115"/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22"/>
      <c r="AR1585" s="122"/>
      <c r="AS1585" s="122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26"/>
      <c r="BI1585" s="15"/>
    </row>
    <row r="1586" spans="1:61" x14ac:dyDescent="0.4">
      <c r="BH1586" s="26"/>
      <c r="BI1586" s="15"/>
    </row>
    <row r="1587" spans="1:61" x14ac:dyDescent="0.4">
      <c r="BH1587" s="26"/>
      <c r="BI1587" s="15"/>
    </row>
    <row r="1588" spans="1:61" x14ac:dyDescent="0.4">
      <c r="BH1588" s="26"/>
      <c r="BI1588" s="15"/>
    </row>
    <row r="1589" spans="1:61" x14ac:dyDescent="0.4">
      <c r="BH1589" s="26"/>
      <c r="BI1589" s="15"/>
    </row>
    <row r="1590" spans="1:61" ht="18.75" customHeight="1" x14ac:dyDescent="0.4"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22"/>
      <c r="AR1590" s="122"/>
      <c r="AS1590" s="122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26"/>
      <c r="BI1590" s="15"/>
    </row>
    <row r="1591" spans="1:61" x14ac:dyDescent="0.4">
      <c r="BH1591" s="26"/>
      <c r="BI1591" s="15"/>
    </row>
    <row r="1592" spans="1:61" x14ac:dyDescent="0.4">
      <c r="BH1592" s="26"/>
      <c r="BI1592" s="15"/>
    </row>
    <row r="1593" spans="1:61" x14ac:dyDescent="0.4"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22"/>
      <c r="AR1593" s="122"/>
      <c r="AS1593" s="122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26"/>
      <c r="BI1593" s="15"/>
    </row>
    <row r="1594" spans="1:61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22"/>
      <c r="AR1594" s="122"/>
      <c r="AS1594" s="122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26"/>
      <c r="BI1594" s="15"/>
    </row>
    <row r="1595" spans="1:61" x14ac:dyDescent="0.4">
      <c r="BH1595" s="26"/>
      <c r="BI1595" s="15"/>
    </row>
    <row r="1596" spans="1:61" x14ac:dyDescent="0.4">
      <c r="AJ1596" s="115"/>
      <c r="AK1596" s="115"/>
      <c r="AL1596" s="115"/>
      <c r="AM1596" s="115"/>
      <c r="AN1596" s="115"/>
      <c r="AO1596" s="115"/>
      <c r="AP1596" s="115"/>
      <c r="AQ1596" s="122"/>
      <c r="AR1596" s="122"/>
      <c r="AS1596" s="122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7"/>
      <c r="BI1596" s="15"/>
    </row>
    <row r="1597" spans="1:61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22"/>
      <c r="AR1597" s="122"/>
      <c r="AS1597" s="122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26"/>
      <c r="BI1597" s="15"/>
    </row>
    <row r="1598" spans="1:61" x14ac:dyDescent="0.4">
      <c r="BH1598" s="26"/>
      <c r="BI1598" s="15"/>
    </row>
    <row r="1599" spans="1:61" x14ac:dyDescent="0.4">
      <c r="AJ1599" s="115"/>
      <c r="AK1599" s="115"/>
      <c r="AL1599" s="115"/>
      <c r="AM1599" s="115"/>
      <c r="AN1599" s="115"/>
      <c r="AO1599" s="115"/>
      <c r="AP1599" s="115"/>
      <c r="AQ1599" s="122"/>
      <c r="AR1599" s="122"/>
      <c r="AS1599" s="122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7"/>
      <c r="BI1599" s="15"/>
    </row>
    <row r="1600" spans="1:61" x14ac:dyDescent="0.4">
      <c r="BH1600" s="26"/>
      <c r="BI1600" s="15"/>
    </row>
    <row r="1601" spans="1:61" x14ac:dyDescent="0.4"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22"/>
      <c r="AR1601" s="122"/>
      <c r="AS1601" s="122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26"/>
      <c r="BI1601" s="15"/>
    </row>
    <row r="1602" spans="1:61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22"/>
      <c r="AR1602" s="122"/>
      <c r="AS1602" s="122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26"/>
      <c r="BI1602" s="15"/>
    </row>
    <row r="1603" spans="1:61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22"/>
      <c r="AR1603" s="122"/>
      <c r="AS1603" s="122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26"/>
      <c r="BI1603" s="15"/>
    </row>
    <row r="1604" spans="1:61" x14ac:dyDescent="0.4">
      <c r="BH1604" s="26"/>
      <c r="BI1604" s="15"/>
    </row>
    <row r="1605" spans="1:61" x14ac:dyDescent="0.4"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22"/>
      <c r="AR1605" s="122"/>
      <c r="AS1605" s="122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26"/>
      <c r="BI1605" s="15"/>
    </row>
    <row r="1606" spans="1:61" x14ac:dyDescent="0.4">
      <c r="BH1606" s="26"/>
      <c r="BI1606" s="15"/>
    </row>
    <row r="1607" spans="1:61" x14ac:dyDescent="0.4"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22"/>
      <c r="AR1607" s="122"/>
      <c r="AS1607" s="122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26"/>
      <c r="BI1607" s="15"/>
    </row>
    <row r="1608" spans="1:61" x14ac:dyDescent="0.4">
      <c r="BH1608" s="26"/>
      <c r="BI1608" s="15"/>
    </row>
    <row r="1609" spans="1:61" x14ac:dyDescent="0.4">
      <c r="BH1609" s="26"/>
      <c r="BI1609" s="15"/>
    </row>
    <row r="1610" spans="1:61" x14ac:dyDescent="0.4">
      <c r="BH1610" s="26"/>
      <c r="BI1610" s="15"/>
    </row>
    <row r="1611" spans="1:61" x14ac:dyDescent="0.4">
      <c r="BH1611" s="26"/>
      <c r="BI1611" s="15"/>
    </row>
    <row r="1612" spans="1:61" x14ac:dyDescent="0.4">
      <c r="BH1612" s="26"/>
      <c r="BI1612" s="15"/>
    </row>
    <row r="1613" spans="1:61" x14ac:dyDescent="0.4">
      <c r="BH1613" s="26"/>
      <c r="BI1613" s="15"/>
    </row>
    <row r="1614" spans="1:61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22"/>
      <c r="AR1614" s="122"/>
      <c r="AS1614" s="122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26"/>
      <c r="BI1614" s="15"/>
    </row>
    <row r="1615" spans="1:61" x14ac:dyDescent="0.4">
      <c r="BH1615" s="26"/>
      <c r="BI1615" s="15"/>
    </row>
    <row r="1616" spans="1:61" x14ac:dyDescent="0.4">
      <c r="BH1616" s="26"/>
      <c r="BI1616" s="15"/>
    </row>
    <row r="1617" spans="1:61" x14ac:dyDescent="0.4">
      <c r="BH1617" s="26"/>
      <c r="BI1617" s="15"/>
    </row>
    <row r="1618" spans="1:61" x14ac:dyDescent="0.4">
      <c r="BH1618" s="26"/>
      <c r="BI1618" s="15"/>
    </row>
    <row r="1619" spans="1:61" x14ac:dyDescent="0.4">
      <c r="BH1619" s="26"/>
      <c r="BI1619" s="15"/>
    </row>
    <row r="1620" spans="1:61" x14ac:dyDescent="0.4">
      <c r="AJ1620" s="115"/>
      <c r="AK1620" s="115"/>
      <c r="AL1620" s="115"/>
      <c r="AM1620" s="115"/>
      <c r="AN1620" s="115"/>
      <c r="AO1620" s="115"/>
      <c r="AP1620" s="115"/>
      <c r="AQ1620" s="122"/>
      <c r="AR1620" s="122"/>
      <c r="AS1620" s="122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7"/>
      <c r="BI1620" s="15"/>
    </row>
    <row r="1621" spans="1:61" x14ac:dyDescent="0.4">
      <c r="AJ1621" s="115"/>
      <c r="AK1621" s="115"/>
      <c r="AL1621" s="115"/>
      <c r="AM1621" s="115"/>
      <c r="AN1621" s="115"/>
      <c r="AO1621" s="115"/>
      <c r="AP1621" s="115"/>
      <c r="AQ1621" s="122"/>
      <c r="AR1621" s="122"/>
      <c r="AS1621" s="122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7"/>
      <c r="BI1621" s="15"/>
    </row>
    <row r="1622" spans="1:61" x14ac:dyDescent="0.4">
      <c r="BH1622" s="26"/>
      <c r="BI1622" s="15"/>
    </row>
    <row r="1623" spans="1:61" x14ac:dyDescent="0.4">
      <c r="BH1623" s="26"/>
      <c r="BI1623" s="15"/>
    </row>
    <row r="1624" spans="1:61" x14ac:dyDescent="0.4">
      <c r="A1624" s="115"/>
      <c r="B1624" s="115"/>
      <c r="C1624" s="115"/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22"/>
      <c r="AR1624" s="122"/>
      <c r="AS1624" s="122"/>
      <c r="AT1624" s="115"/>
      <c r="AU1624" s="115"/>
      <c r="AV1624" s="115"/>
      <c r="AW1624" s="115"/>
      <c r="AX1624" s="115"/>
      <c r="AY1624" s="115"/>
      <c r="AZ1624" s="115"/>
      <c r="BA1624" s="115"/>
      <c r="BB1624" s="115"/>
      <c r="BC1624" s="115"/>
      <c r="BD1624" s="115"/>
      <c r="BE1624" s="115"/>
      <c r="BF1624" s="115"/>
      <c r="BG1624" s="115"/>
      <c r="BH1624" s="26"/>
      <c r="BI1624" s="15"/>
    </row>
    <row r="1625" spans="1:61" x14ac:dyDescent="0.4">
      <c r="A1625" s="115"/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22"/>
      <c r="AR1625" s="122"/>
      <c r="AS1625" s="122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15"/>
      <c r="BD1625" s="115"/>
      <c r="BE1625" s="115"/>
      <c r="BF1625" s="115"/>
      <c r="BG1625" s="115"/>
      <c r="BH1625" s="26"/>
      <c r="BI1625" s="13"/>
    </row>
    <row r="1626" spans="1:61" x14ac:dyDescent="0.4">
      <c r="BH1626" s="26"/>
      <c r="BI1626" s="15"/>
    </row>
    <row r="1627" spans="1:61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22"/>
      <c r="AR1627" s="122"/>
      <c r="AS1627" s="122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26"/>
      <c r="BI1627" s="15"/>
    </row>
    <row r="1628" spans="1:61" x14ac:dyDescent="0.4">
      <c r="BH1628" s="26"/>
      <c r="BI1628" s="15"/>
    </row>
    <row r="1629" spans="1:61" x14ac:dyDescent="0.4">
      <c r="BH1629" s="26"/>
      <c r="BI1629" s="15"/>
    </row>
    <row r="1630" spans="1:61" x14ac:dyDescent="0.4">
      <c r="A1630" s="115"/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22"/>
      <c r="AR1630" s="122"/>
      <c r="AS1630" s="122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26"/>
      <c r="BI1630" s="15"/>
    </row>
    <row r="1631" spans="1:61" x14ac:dyDescent="0.4">
      <c r="BH1631" s="26"/>
      <c r="BI1631" s="13"/>
    </row>
    <row r="1632" spans="1:61" x14ac:dyDescent="0.4">
      <c r="BH1632" s="26"/>
      <c r="BI1632" s="13"/>
    </row>
    <row r="1633" spans="1:61" x14ac:dyDescent="0.4">
      <c r="A1633" s="115"/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22"/>
      <c r="AR1633" s="122"/>
      <c r="AS1633" s="122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26"/>
      <c r="BI1633" s="13"/>
    </row>
    <row r="1634" spans="1:61" x14ac:dyDescent="0.4">
      <c r="BH1634" s="26"/>
      <c r="BI1634" s="13"/>
    </row>
    <row r="1635" spans="1:61" x14ac:dyDescent="0.4">
      <c r="BH1635" s="26"/>
      <c r="BI1635" s="13"/>
    </row>
    <row r="1636" spans="1:61" x14ac:dyDescent="0.4">
      <c r="BH1636" s="26"/>
      <c r="BI1636" s="13"/>
    </row>
    <row r="1637" spans="1:61" x14ac:dyDescent="0.4">
      <c r="BH1637" s="26"/>
      <c r="BI1637" s="13"/>
    </row>
    <row r="1638" spans="1:61" x14ac:dyDescent="0.4">
      <c r="BH1638" s="26"/>
      <c r="BI1638" s="13"/>
    </row>
    <row r="1639" spans="1:61" x14ac:dyDescent="0.4">
      <c r="A1639" s="115"/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22"/>
      <c r="AR1639" s="122"/>
      <c r="AS1639" s="122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26"/>
      <c r="BI1639" s="25"/>
    </row>
    <row r="1640" spans="1:61" x14ac:dyDescent="0.4">
      <c r="BH1640" s="26"/>
      <c r="BI1640" s="13"/>
    </row>
    <row r="1641" spans="1:61" x14ac:dyDescent="0.4">
      <c r="A1641" s="115"/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22"/>
      <c r="AR1641" s="122"/>
      <c r="AS1641" s="122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26"/>
      <c r="BI1641" s="13"/>
    </row>
    <row r="1642" spans="1:61" x14ac:dyDescent="0.4">
      <c r="A1642" s="115"/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22"/>
      <c r="AR1642" s="122"/>
      <c r="AS1642" s="122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26"/>
      <c r="BI1642" s="13"/>
    </row>
    <row r="1643" spans="1:61" x14ac:dyDescent="0.4">
      <c r="BH1643" s="26"/>
      <c r="BI1643" s="15"/>
    </row>
    <row r="1644" spans="1:61" x14ac:dyDescent="0.4">
      <c r="BH1644" s="26"/>
      <c r="BI1644" s="15"/>
    </row>
    <row r="1645" spans="1:61" x14ac:dyDescent="0.4">
      <c r="BH1645" s="26"/>
      <c r="BI1645" s="15"/>
    </row>
    <row r="1646" spans="1:61" x14ac:dyDescent="0.4">
      <c r="BH1646" s="26"/>
      <c r="BI1646" s="13"/>
    </row>
    <row r="1647" spans="1:61" x14ac:dyDescent="0.4">
      <c r="BH1647" s="26"/>
      <c r="BI1647" s="15"/>
    </row>
    <row r="1648" spans="1:61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22"/>
      <c r="AR1648" s="122"/>
      <c r="AS1648" s="122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7"/>
      <c r="BI1648" s="15"/>
    </row>
    <row r="1649" spans="2:61" x14ac:dyDescent="0.4">
      <c r="BH1649" s="26"/>
      <c r="BI1649" s="15"/>
    </row>
    <row r="1650" spans="2:61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22"/>
      <c r="AR1650" s="122"/>
      <c r="AS1650" s="122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7"/>
      <c r="BI1650" s="15"/>
    </row>
    <row r="1651" spans="2:61" x14ac:dyDescent="0.4">
      <c r="BH1651" s="26"/>
      <c r="BI1651" s="15"/>
    </row>
    <row r="1652" spans="2:61" x14ac:dyDescent="0.4">
      <c r="BH1652" s="26"/>
      <c r="BI1652" s="15"/>
    </row>
    <row r="1653" spans="2:61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22"/>
      <c r="AR1653" s="122"/>
      <c r="AS1653" s="122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7"/>
      <c r="BI1653" s="15"/>
    </row>
    <row r="1654" spans="2:61" x14ac:dyDescent="0.4">
      <c r="BH1654" s="26"/>
      <c r="BI1654" s="15"/>
    </row>
    <row r="1655" spans="2:61" x14ac:dyDescent="0.4">
      <c r="BH1655" s="26"/>
      <c r="BI1655" s="15"/>
    </row>
    <row r="1656" spans="2:61" x14ac:dyDescent="0.4">
      <c r="BH1656" s="26"/>
      <c r="BI1656" s="105"/>
    </row>
    <row r="1657" spans="2:61" x14ac:dyDescent="0.4">
      <c r="BH1657" s="26"/>
      <c r="BI1657" s="15"/>
    </row>
    <row r="1658" spans="2:61" x14ac:dyDescent="0.4">
      <c r="BH1658" s="26"/>
      <c r="BI1658" s="15"/>
    </row>
    <row r="1659" spans="2:61" x14ac:dyDescent="0.4">
      <c r="BH1659" s="26"/>
      <c r="BI1659" s="15"/>
    </row>
    <row r="1660" spans="2:61" x14ac:dyDescent="0.4">
      <c r="BH1660" s="26"/>
      <c r="BI1660" s="15"/>
    </row>
    <row r="1661" spans="2:61" x14ac:dyDescent="0.4">
      <c r="BH1661" s="26"/>
      <c r="BI1661" s="15"/>
    </row>
    <row r="1662" spans="2:61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22"/>
      <c r="AR1662" s="122"/>
      <c r="AS1662" s="122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9"/>
      <c r="BI1662" s="119"/>
    </row>
    <row r="1663" spans="2:61" x14ac:dyDescent="0.4"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22"/>
      <c r="AR1663" s="122"/>
      <c r="AS1663" s="122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9"/>
      <c r="BI1663" s="119"/>
    </row>
  </sheetData>
  <sortState xmlns:xlrd2="http://schemas.microsoft.com/office/spreadsheetml/2017/richdata2" ref="I2:J150">
    <sortCondition ref="I2:I150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2025-09-01T07:32:34Z</cp:lastPrinted>
  <dcterms:created xsi:type="dcterms:W3CDTF">2020-05-08T06:29:04Z</dcterms:created>
  <dcterms:modified xsi:type="dcterms:W3CDTF">2025-09-02T02:26:56Z</dcterms:modified>
</cp:coreProperties>
</file>