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B77EC1B9-6004-4CF5-8AB9-2BAE14E263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D31" i="3"/>
  <c r="C31" i="3"/>
  <c r="B31" i="3"/>
  <c r="S147" i="3"/>
  <c r="Q147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Q425" i="3"/>
  <c r="AP425" i="3"/>
  <c r="AQ420" i="3"/>
  <c r="AP420" i="3"/>
  <c r="AQ418" i="3"/>
  <c r="AP418" i="3"/>
  <c r="AQ404" i="3"/>
  <c r="AP404" i="3"/>
  <c r="AQ386" i="3"/>
  <c r="AP386" i="3"/>
  <c r="AQ375" i="3"/>
  <c r="AP375" i="3"/>
  <c r="AQ341" i="3"/>
  <c r="AP341" i="3"/>
  <c r="AQ328" i="3"/>
  <c r="AP328" i="3"/>
  <c r="AQ290" i="3"/>
  <c r="AP290" i="3"/>
  <c r="AQ281" i="3"/>
  <c r="AP281" i="3"/>
  <c r="AQ267" i="3"/>
  <c r="AP267" i="3"/>
  <c r="AQ234" i="3"/>
  <c r="AP234" i="3"/>
  <c r="AQ181" i="3"/>
  <c r="AP181" i="3"/>
  <c r="AQ169" i="3"/>
  <c r="AP169" i="3"/>
  <c r="AQ150" i="3"/>
  <c r="AP150" i="3"/>
  <c r="AQ138" i="3"/>
  <c r="AP138" i="3"/>
  <c r="AQ121" i="3"/>
  <c r="AP121" i="3"/>
  <c r="AQ113" i="3"/>
  <c r="AP113" i="3"/>
  <c r="AQ98" i="3"/>
  <c r="AP98" i="3"/>
  <c r="AQ88" i="3"/>
  <c r="AP88" i="3"/>
  <c r="AQ82" i="3"/>
  <c r="AP82" i="3"/>
  <c r="AQ51" i="3"/>
  <c r="AP51" i="3"/>
  <c r="B61" i="1"/>
  <c r="A241" i="1"/>
  <c r="A151" i="1"/>
  <c r="AB43" i="1"/>
  <c r="AP426" i="3" l="1"/>
  <c r="AQ426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<sst xmlns="http://schemas.openxmlformats.org/spreadsheetml/2006/main" count="2469" uniqueCount="351">
  <si>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</si>
  <si>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</si>
  <si>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</si>
  <si>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</si>
  <si>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</si>
  <si>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</si>
  <si>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</si>
  <si>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</si>
  <si>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</si>
  <si>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</si>
  <si>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</si>
  <si>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</si>
  <si>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</si>
  <si>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</si>
  <si>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</si>
  <si>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</si>
  <si>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</si>
  <si>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</si>
  <si>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</si>
  <si>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</si>
  <si>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</si>
  <si>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</si>
  <si>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</si>
  <si>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</si>
  <si>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</si>
  <si>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</si>
  <si>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</si>
  <si>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</si>
  <si>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</si>
  <si>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</si>
  <si>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</si>
  <si>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</si>
  <si>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</si>
  <si>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</si>
  <si>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</si>
  <si>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</si>
  <si>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</si>
  <si>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</si>
  <si>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</si>
  <si>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</si>
  <si>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</si>
  <si>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</si>
  <si>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</si>
  <si>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</si>
  <si>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</si>
  <si>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</si>
  <si>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</si>
  <si>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</si>
  <si>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</si>
  <si>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</si>
  <si>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</si>
  <si>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</si>
  <si>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</si>
  <si>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</si>
  <si>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</si>
  <si>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</si>
  <si>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</si>
  <si>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</si>
  <si>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</si>
  <si>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</si>
  <si>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</si>
  <si>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</si>
  <si>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</si>
  <si>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</si>
  <si>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</si>
  <si>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</si>
  <si>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</si>
  <si>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</si>
  <si>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</si>
  <si>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</si>
  <si>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</si>
  <si>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</si>
  <si>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</si>
  <si>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</si>
  <si>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</si>
  <si>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</si>
  <si>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</si>
  <si>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</si>
  <si>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</si>
  <si>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</si>
  <si>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</si>
  <si>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</si>
  <si>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</si>
  <si>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</si>
  <si>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</si>
  <si>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</si>
  <si>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</si>
  <si>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</si>
  <si>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</si>
  <si>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</si>
  <si>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</si>
  <si>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</si>
  <si>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</si>
  <si>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</si>
  <si>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</si>
  <si>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</si>
  <si>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</si>
  <si>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</si>
  <si>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</si>
  <si>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</si>
  <si>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</si>
  <si>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</si>
  <si>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</si>
  <si>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</si>
  <si>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</si>
  <si>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</si>
  <si>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</si>
  <si>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</si>
  <si>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</si>
  <si>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</si>
  <si>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</si>
  <si>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</si>
  <si>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</si>
  <si>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</si>
  <si>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</si>
  <si>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</si>
  <si>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</si>
  <si>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</si>
  <si>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</si>
  <si>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</si>
  <si>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</si>
  <si>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</si>
  <si>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</si>
  <si>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</si>
  <si>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</si>
  <si>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</si>
  <si>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</si>
  <si>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</si>
  <si>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</si>
  <si>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</si>
  <si>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</si>
  <si>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</si>
  <si>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</si>
  <si>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</si>
  <si>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</si>
  <si>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</si>
  <si>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</si>
  <si>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</si>
  <si>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</si>
  <si>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</si>
  <si>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</si>
  <si>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</si>
  <si>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</si>
  <si>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</si>
  <si>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</si>
  <si>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</si>
  <si>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</si>
  <si>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</si>
  <si>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</si>
  <si>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</si>
  <si>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</si>
  <si>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</si>
  <si>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</si>
  <si>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</si>
  <si>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</si>
  <si>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</si>
  <si>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</si>
  <si>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</si>
  <si>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</si>
  <si>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</si>
  <si>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</si>
  <si>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</si>
  <si>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</si>
  <si>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</si>
  <si>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</si>
  <si>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</si>
  <si>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</si>
  <si>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</si>
  <si>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</si>
  <si>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</si>
  <si>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</si>
  <si>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</si>
  <si>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</si>
  <si>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</si>
  <si>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</si>
  <si>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</si>
  <si>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</si>
  <si>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</si>
  <si>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</si>
  <si>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</si>
  <si>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A335</t>
    <phoneticPr fontId="1"/>
  </si>
  <si>
    <t>M078</t>
    <phoneticPr fontId="1"/>
  </si>
  <si>
    <t>A505</t>
    <phoneticPr fontId="1"/>
  </si>
  <si>
    <t>A913</t>
    <phoneticPr fontId="1"/>
  </si>
  <si>
    <t>A128</t>
    <phoneticPr fontId="1"/>
  </si>
  <si>
    <t>A120</t>
    <phoneticPr fontId="1"/>
  </si>
  <si>
    <t>A307</t>
    <phoneticPr fontId="1"/>
  </si>
  <si>
    <t>A523</t>
    <phoneticPr fontId="1"/>
  </si>
  <si>
    <t>A700</t>
    <phoneticPr fontId="1"/>
  </si>
  <si>
    <t>M079</t>
    <phoneticPr fontId="1"/>
  </si>
  <si>
    <t>M070</t>
    <phoneticPr fontId="1"/>
  </si>
  <si>
    <t>M100</t>
    <phoneticPr fontId="1"/>
  </si>
  <si>
    <t>A127</t>
    <phoneticPr fontId="1"/>
  </si>
  <si>
    <t>A997</t>
    <phoneticPr fontId="1"/>
  </si>
  <si>
    <t>A550</t>
    <phoneticPr fontId="1"/>
  </si>
  <si>
    <t>AYG097</t>
    <phoneticPr fontId="1"/>
  </si>
  <si>
    <t>06120072</t>
    <phoneticPr fontId="1"/>
  </si>
  <si>
    <t>06120073</t>
    <phoneticPr fontId="1"/>
  </si>
  <si>
    <t>06120116</t>
    <phoneticPr fontId="1"/>
  </si>
  <si>
    <t>M037</t>
    <phoneticPr fontId="1"/>
  </si>
  <si>
    <t>06120117</t>
    <phoneticPr fontId="1"/>
  </si>
  <si>
    <t>06120160</t>
    <phoneticPr fontId="1"/>
  </si>
  <si>
    <t>06120199</t>
    <phoneticPr fontId="1"/>
  </si>
  <si>
    <t>06120244</t>
    <phoneticPr fontId="1"/>
  </si>
  <si>
    <t>06120260</t>
    <phoneticPr fontId="1"/>
  </si>
  <si>
    <t>06120266</t>
    <phoneticPr fontId="1"/>
  </si>
  <si>
    <t>A336</t>
    <phoneticPr fontId="1"/>
  </si>
  <si>
    <t>06120267</t>
    <phoneticPr fontId="1"/>
  </si>
  <si>
    <t>06120268</t>
    <phoneticPr fontId="1"/>
  </si>
  <si>
    <t>06120269</t>
    <phoneticPr fontId="1"/>
  </si>
  <si>
    <t>06120270</t>
    <phoneticPr fontId="1"/>
  </si>
  <si>
    <t>06120271</t>
    <phoneticPr fontId="1"/>
  </si>
  <si>
    <t>06120273</t>
    <phoneticPr fontId="1"/>
  </si>
  <si>
    <t>E</t>
    <phoneticPr fontId="1"/>
  </si>
  <si>
    <t>06120306</t>
    <phoneticPr fontId="1"/>
  </si>
  <si>
    <t>A740</t>
    <phoneticPr fontId="1"/>
  </si>
  <si>
    <t>06120307</t>
    <phoneticPr fontId="1"/>
  </si>
  <si>
    <t>06120272</t>
    <phoneticPr fontId="1"/>
  </si>
  <si>
    <t>06120301</t>
    <phoneticPr fontId="1"/>
  </si>
  <si>
    <t>06120274</t>
    <phoneticPr fontId="1"/>
  </si>
  <si>
    <t>06120310</t>
    <phoneticPr fontId="1"/>
  </si>
  <si>
    <t>06120291</t>
    <phoneticPr fontId="1"/>
  </si>
  <si>
    <t>06120292</t>
    <phoneticPr fontId="1"/>
  </si>
  <si>
    <t>06120281</t>
    <phoneticPr fontId="1"/>
  </si>
  <si>
    <t>06120282</t>
    <phoneticPr fontId="1"/>
  </si>
  <si>
    <t>06120302</t>
    <phoneticPr fontId="1"/>
  </si>
  <si>
    <t>06120283</t>
    <phoneticPr fontId="1"/>
  </si>
  <si>
    <t>06120200</t>
    <phoneticPr fontId="1"/>
  </si>
  <si>
    <t>06120097</t>
    <phoneticPr fontId="1"/>
  </si>
  <si>
    <t>06120309</t>
    <phoneticPr fontId="1"/>
  </si>
  <si>
    <t>06120295</t>
    <phoneticPr fontId="1"/>
  </si>
  <si>
    <t>06120142</t>
    <phoneticPr fontId="1"/>
  </si>
  <si>
    <t>M050</t>
    <phoneticPr fontId="1"/>
  </si>
  <si>
    <t>06120143</t>
    <phoneticPr fontId="1"/>
  </si>
  <si>
    <t>06120146</t>
    <phoneticPr fontId="1"/>
  </si>
  <si>
    <t>06120147</t>
    <phoneticPr fontId="1"/>
  </si>
  <si>
    <t>06120148</t>
    <phoneticPr fontId="1"/>
  </si>
  <si>
    <t>06120232</t>
    <phoneticPr fontId="1"/>
  </si>
  <si>
    <t>06120234</t>
    <phoneticPr fontId="1"/>
  </si>
  <si>
    <t>06120245</t>
    <phoneticPr fontId="1"/>
  </si>
  <si>
    <t>06120256</t>
    <phoneticPr fontId="1"/>
  </si>
  <si>
    <t>06120335</t>
    <phoneticPr fontId="1"/>
  </si>
  <si>
    <t>06120337</t>
    <phoneticPr fontId="1"/>
  </si>
  <si>
    <t>A630</t>
    <phoneticPr fontId="1"/>
  </si>
  <si>
    <t>06120338</t>
    <phoneticPr fontId="1"/>
  </si>
  <si>
    <t>06120342</t>
    <phoneticPr fontId="1"/>
  </si>
  <si>
    <t>06120347</t>
    <phoneticPr fontId="1"/>
  </si>
  <si>
    <t>06120352</t>
    <phoneticPr fontId="1"/>
  </si>
  <si>
    <t>06120118</t>
    <phoneticPr fontId="1"/>
  </si>
  <si>
    <t>06120119</t>
  </si>
  <si>
    <t>06120120</t>
  </si>
  <si>
    <t>06120121</t>
  </si>
  <si>
    <t>06120128</t>
    <phoneticPr fontId="1"/>
  </si>
  <si>
    <t>06120264</t>
    <phoneticPr fontId="1"/>
  </si>
  <si>
    <t>06120263</t>
    <phoneticPr fontId="1"/>
  </si>
  <si>
    <t>06120246</t>
    <phoneticPr fontId="1"/>
  </si>
  <si>
    <t>06120343</t>
    <phoneticPr fontId="1"/>
  </si>
  <si>
    <t>06120344</t>
    <phoneticPr fontId="1"/>
  </si>
  <si>
    <t>06120345</t>
    <phoneticPr fontId="1"/>
  </si>
  <si>
    <t>06120346</t>
    <phoneticPr fontId="1"/>
  </si>
  <si>
    <t>A199</t>
    <phoneticPr fontId="1"/>
  </si>
  <si>
    <t>06120351</t>
    <phoneticPr fontId="1"/>
  </si>
  <si>
    <t>06120370</t>
    <phoneticPr fontId="1"/>
  </si>
  <si>
    <t>06120371</t>
    <phoneticPr fontId="1"/>
  </si>
  <si>
    <t>06120372</t>
    <phoneticPr fontId="1"/>
  </si>
  <si>
    <t>06120285</t>
    <phoneticPr fontId="1"/>
  </si>
  <si>
    <t>06120293</t>
    <phoneticPr fontId="1"/>
  </si>
  <si>
    <t>06120294</t>
    <phoneticPr fontId="1"/>
  </si>
  <si>
    <t>06120322</t>
    <phoneticPr fontId="1"/>
  </si>
  <si>
    <t>06120323</t>
    <phoneticPr fontId="1"/>
  </si>
  <si>
    <t>06120324</t>
    <phoneticPr fontId="1"/>
  </si>
  <si>
    <t>06120325</t>
  </si>
  <si>
    <t>06120326</t>
  </si>
  <si>
    <t>P</t>
    <phoneticPr fontId="1"/>
  </si>
  <si>
    <t>06120358</t>
    <phoneticPr fontId="1"/>
  </si>
  <si>
    <t>06120359</t>
    <phoneticPr fontId="1"/>
  </si>
  <si>
    <t>06120361</t>
    <phoneticPr fontId="1"/>
  </si>
  <si>
    <t>06120375</t>
    <phoneticPr fontId="1"/>
  </si>
  <si>
    <t>06120376</t>
    <phoneticPr fontId="1"/>
  </si>
  <si>
    <t>06120377</t>
    <phoneticPr fontId="1"/>
  </si>
  <si>
    <t>06120340</t>
    <phoneticPr fontId="1"/>
  </si>
  <si>
    <t>06120341</t>
    <phoneticPr fontId="1"/>
  </si>
  <si>
    <t>06120365</t>
    <phoneticPr fontId="1"/>
  </si>
  <si>
    <t>A730</t>
    <phoneticPr fontId="1"/>
  </si>
  <si>
    <t>06120366</t>
    <phoneticPr fontId="1"/>
  </si>
  <si>
    <t>06120367</t>
    <phoneticPr fontId="1"/>
  </si>
  <si>
    <t>06120368</t>
    <phoneticPr fontId="1"/>
  </si>
  <si>
    <t>06120369</t>
    <phoneticPr fontId="1"/>
  </si>
  <si>
    <t>06120373</t>
    <phoneticPr fontId="1"/>
  </si>
  <si>
    <t>06120374</t>
    <phoneticPr fontId="1"/>
  </si>
  <si>
    <t>06120384</t>
    <phoneticPr fontId="1"/>
  </si>
  <si>
    <t>06120385</t>
    <phoneticPr fontId="1"/>
  </si>
  <si>
    <t>06120395</t>
    <phoneticPr fontId="1"/>
  </si>
  <si>
    <t>06120396</t>
    <phoneticPr fontId="1"/>
  </si>
  <si>
    <t>06120400</t>
    <phoneticPr fontId="1"/>
  </si>
  <si>
    <t>06120426</t>
    <phoneticPr fontId="1"/>
  </si>
  <si>
    <t>06120071</t>
    <phoneticPr fontId="1"/>
  </si>
  <si>
    <t>06120141</t>
    <phoneticPr fontId="1"/>
  </si>
  <si>
    <t>06120203</t>
    <phoneticPr fontId="1"/>
  </si>
  <si>
    <t>M025</t>
    <phoneticPr fontId="1"/>
  </si>
  <si>
    <t>06120204</t>
    <phoneticPr fontId="1"/>
  </si>
  <si>
    <t>06120286</t>
    <phoneticPr fontId="1"/>
  </si>
  <si>
    <t>06120353</t>
    <phoneticPr fontId="1"/>
  </si>
  <si>
    <t>06120418</t>
    <phoneticPr fontId="1"/>
  </si>
  <si>
    <t>06120419</t>
    <phoneticPr fontId="1"/>
  </si>
  <si>
    <t>06120420</t>
    <phoneticPr fontId="1"/>
  </si>
  <si>
    <t>06120421</t>
  </si>
  <si>
    <t>06120422</t>
  </si>
  <si>
    <t>06120423</t>
  </si>
  <si>
    <t>06120424</t>
  </si>
  <si>
    <t>06120425</t>
  </si>
  <si>
    <t>06120428</t>
    <phoneticPr fontId="1"/>
  </si>
  <si>
    <t>06120429</t>
  </si>
  <si>
    <t>06120430</t>
  </si>
  <si>
    <t>06120440</t>
    <phoneticPr fontId="1"/>
  </si>
  <si>
    <t>06120144</t>
    <phoneticPr fontId="1"/>
  </si>
  <si>
    <t>06120145</t>
    <phoneticPr fontId="1"/>
  </si>
  <si>
    <t>06120308</t>
    <phoneticPr fontId="1"/>
  </si>
  <si>
    <t>06120360</t>
    <phoneticPr fontId="1"/>
  </si>
  <si>
    <t>06120397</t>
    <phoneticPr fontId="1"/>
  </si>
  <si>
    <t>06120413</t>
    <phoneticPr fontId="1"/>
  </si>
  <si>
    <t>06120414</t>
    <phoneticPr fontId="1"/>
  </si>
  <si>
    <t>06120415</t>
    <phoneticPr fontId="1"/>
  </si>
  <si>
    <t>06120416</t>
    <phoneticPr fontId="1"/>
  </si>
  <si>
    <t>06120437</t>
    <phoneticPr fontId="1"/>
  </si>
  <si>
    <t>06120438</t>
    <phoneticPr fontId="1"/>
  </si>
  <si>
    <t>06120439</t>
    <phoneticPr fontId="1"/>
  </si>
  <si>
    <t>06120442</t>
    <phoneticPr fontId="1"/>
  </si>
  <si>
    <t>06120443</t>
    <phoneticPr fontId="1"/>
  </si>
  <si>
    <t>06120444</t>
    <phoneticPr fontId="1"/>
  </si>
  <si>
    <t>06120445</t>
    <phoneticPr fontId="1"/>
  </si>
  <si>
    <t>06120450</t>
    <phoneticPr fontId="1"/>
  </si>
  <si>
    <t>06120451</t>
  </si>
  <si>
    <t>06120452</t>
  </si>
  <si>
    <t>06120453</t>
  </si>
  <si>
    <t>06120454</t>
  </si>
  <si>
    <t>06120435</t>
    <phoneticPr fontId="1"/>
  </si>
  <si>
    <t>06120447</t>
    <phoneticPr fontId="1"/>
  </si>
  <si>
    <t>06120448</t>
    <phoneticPr fontId="1"/>
  </si>
  <si>
    <t>06120449</t>
    <phoneticPr fontId="1"/>
  </si>
  <si>
    <t>06120398</t>
    <phoneticPr fontId="1"/>
  </si>
  <si>
    <t>06120399</t>
    <phoneticPr fontId="1"/>
  </si>
  <si>
    <t>06120455</t>
    <phoneticPr fontId="1"/>
  </si>
  <si>
    <t>06120457</t>
    <phoneticPr fontId="1"/>
  </si>
  <si>
    <t>06120458</t>
    <phoneticPr fontId="1"/>
  </si>
  <si>
    <t>06120461</t>
    <phoneticPr fontId="1"/>
  </si>
  <si>
    <t>06120462</t>
    <phoneticPr fontId="1"/>
  </si>
  <si>
    <t>06120463</t>
    <phoneticPr fontId="1"/>
  </si>
  <si>
    <t>06120464</t>
    <phoneticPr fontId="1"/>
  </si>
  <si>
    <t>06120465</t>
    <phoneticPr fontId="1"/>
  </si>
  <si>
    <t>06120466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</si>
</sst>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0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8" sqref="F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195</v>
      </c>
      <c r="B1" s="24">
        <v>45650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6" t="s">
        <v>105</v>
      </c>
      <c r="Y2" s="14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3">
        <v>1</v>
      </c>
      <c r="B3" s="133">
        <v>19.2</v>
      </c>
      <c r="C3" s="85" t="s">
        <v>196</v>
      </c>
      <c r="D3" s="109" t="s">
        <v>179</v>
      </c>
      <c r="E3" s="15" t="s">
        <v>38</v>
      </c>
      <c r="F3" s="14"/>
      <c r="G3" s="12" t="s">
        <v>178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45671</v>
      </c>
      <c r="U3" s="13" t="s">
        <v>146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4"/>
      <c r="B4" s="134"/>
      <c r="C4" s="85" t="s">
        <v>197</v>
      </c>
      <c r="D4" s="109" t="s">
        <v>179</v>
      </c>
      <c r="E4" s="15" t="s">
        <v>40</v>
      </c>
      <c r="F4" s="16"/>
      <c r="G4" s="12" t="s">
        <v>178</v>
      </c>
      <c r="H4" s="15"/>
      <c r="I4" s="13"/>
      <c r="J4" s="15"/>
      <c r="K4" s="15"/>
      <c r="L4" s="17"/>
      <c r="M4" s="17"/>
      <c r="N4" s="13">
        <v>1</v>
      </c>
      <c r="O4" s="17">
        <v>1</v>
      </c>
      <c r="P4" s="17">
        <v>1</v>
      </c>
      <c r="Q4" s="17"/>
      <c r="R4" s="17"/>
      <c r="S4" s="15"/>
      <c r="T4" s="25">
        <v>45671</v>
      </c>
      <c r="U4" s="13" t="s">
        <v>148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4"/>
      <c r="B5" s="134"/>
      <c r="C5" s="85" t="s">
        <v>198</v>
      </c>
      <c r="D5" s="109" t="s">
        <v>179</v>
      </c>
      <c r="E5" s="15" t="s">
        <v>36</v>
      </c>
      <c r="F5" s="16"/>
      <c r="G5" s="12" t="s">
        <v>178</v>
      </c>
      <c r="H5" s="13"/>
      <c r="I5" s="13"/>
      <c r="J5" s="15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45675</v>
      </c>
      <c r="U5" s="13" t="s">
        <v>147</v>
      </c>
      <c r="V5">
        <v>3</v>
      </c>
      <c r="X5" s="53" t="s">
        <v>108</v>
      </c>
      <c r="Y5" s="54">
        <f>COUNTIF(U3:U27,"J")</f>
        <v>5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4"/>
      <c r="B6" s="134"/>
      <c r="C6" s="85" t="s">
        <v>200</v>
      </c>
      <c r="D6" s="109" t="s">
        <v>199</v>
      </c>
      <c r="E6" s="15" t="s">
        <v>40</v>
      </c>
      <c r="F6" s="16"/>
      <c r="G6" s="12" t="s">
        <v>178</v>
      </c>
      <c r="H6" s="15"/>
      <c r="I6" s="13"/>
      <c r="J6" s="13"/>
      <c r="K6" s="15"/>
      <c r="L6" s="17"/>
      <c r="M6" s="17"/>
      <c r="N6" s="13"/>
      <c r="O6" s="17">
        <v>1</v>
      </c>
      <c r="P6" s="17">
        <v>1</v>
      </c>
      <c r="Q6" s="17">
        <v>1</v>
      </c>
      <c r="R6" s="17">
        <v>1</v>
      </c>
      <c r="S6" s="15"/>
      <c r="T6" s="25">
        <v>45680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4"/>
      <c r="B7" s="134"/>
      <c r="C7" s="85" t="s">
        <v>201</v>
      </c>
      <c r="D7" s="109" t="s">
        <v>179</v>
      </c>
      <c r="E7" s="15" t="s">
        <v>74</v>
      </c>
      <c r="F7" s="16"/>
      <c r="G7" s="12" t="s">
        <v>178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/>
      <c r="R7" s="17"/>
      <c r="S7" s="15"/>
      <c r="T7" s="25">
        <v>45669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4"/>
      <c r="B8" s="134"/>
      <c r="C8" s="85" t="s">
        <v>202</v>
      </c>
      <c r="D8" s="109" t="s">
        <v>183</v>
      </c>
      <c r="E8" s="15" t="s">
        <v>40</v>
      </c>
      <c r="F8" s="16"/>
      <c r="G8" s="12" t="s">
        <v>178</v>
      </c>
      <c r="H8" s="13"/>
      <c r="I8" s="13"/>
      <c r="J8" s="15"/>
      <c r="K8" s="15"/>
      <c r="L8" s="17"/>
      <c r="M8" s="17"/>
      <c r="N8" s="13"/>
      <c r="O8" s="17">
        <v>1</v>
      </c>
      <c r="P8" s="17">
        <v>1</v>
      </c>
      <c r="Q8" s="17"/>
      <c r="R8" s="17">
        <v>1</v>
      </c>
      <c r="S8" s="15"/>
      <c r="T8" s="25">
        <v>45676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4"/>
      <c r="B9" s="134"/>
      <c r="C9" s="85" t="s">
        <v>203</v>
      </c>
      <c r="D9" s="109" t="s">
        <v>183</v>
      </c>
      <c r="E9" s="15" t="s">
        <v>38</v>
      </c>
      <c r="F9" s="16"/>
      <c r="G9" s="12" t="s">
        <v>178</v>
      </c>
      <c r="H9" s="15"/>
      <c r="I9" s="13"/>
      <c r="J9" s="15"/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45677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4"/>
      <c r="B10" s="134"/>
      <c r="C10" s="85" t="s">
        <v>204</v>
      </c>
      <c r="D10" s="109" t="s">
        <v>177</v>
      </c>
      <c r="E10" s="15" t="s">
        <v>133</v>
      </c>
      <c r="F10" s="16"/>
      <c r="G10" s="12" t="s">
        <v>178</v>
      </c>
      <c r="H10" s="15"/>
      <c r="I10" s="13"/>
      <c r="J10" s="15"/>
      <c r="K10" s="15"/>
      <c r="L10" s="17"/>
      <c r="M10" s="17"/>
      <c r="N10" s="13"/>
      <c r="O10" s="17">
        <v>1</v>
      </c>
      <c r="P10" s="17">
        <v>1</v>
      </c>
      <c r="Q10" s="17">
        <v>1</v>
      </c>
      <c r="R10" s="17">
        <v>1</v>
      </c>
      <c r="S10" s="15"/>
      <c r="T10" s="25">
        <v>45686</v>
      </c>
      <c r="U10" s="13" t="s">
        <v>148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4"/>
      <c r="B11" s="134"/>
      <c r="C11" s="85" t="s">
        <v>205</v>
      </c>
      <c r="D11" s="109" t="s">
        <v>186</v>
      </c>
      <c r="E11" s="15" t="s">
        <v>36</v>
      </c>
      <c r="F11" s="16"/>
      <c r="G11" s="12" t="s">
        <v>178</v>
      </c>
      <c r="H11" s="15"/>
      <c r="I11" s="13"/>
      <c r="J11" s="15"/>
      <c r="K11" s="15"/>
      <c r="L11" s="17"/>
      <c r="M11" s="17">
        <v>1</v>
      </c>
      <c r="N11" s="13">
        <v>1</v>
      </c>
      <c r="O11" s="17"/>
      <c r="P11" s="17"/>
      <c r="Q11" s="17">
        <v>1</v>
      </c>
      <c r="R11" s="17"/>
      <c r="S11" s="15"/>
      <c r="T11" s="25">
        <v>45682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4"/>
      <c r="B12" s="134"/>
      <c r="C12" s="85" t="s">
        <v>207</v>
      </c>
      <c r="D12" s="109" t="s">
        <v>206</v>
      </c>
      <c r="E12" s="15" t="s">
        <v>36</v>
      </c>
      <c r="F12" s="16"/>
      <c r="G12" s="12" t="s">
        <v>178</v>
      </c>
      <c r="H12" s="15"/>
      <c r="I12" s="15"/>
      <c r="J12" s="15"/>
      <c r="K12" s="15"/>
      <c r="L12" s="17"/>
      <c r="M12" s="17">
        <v>1</v>
      </c>
      <c r="N12" s="17">
        <v>1</v>
      </c>
      <c r="O12" s="17"/>
      <c r="P12" s="17"/>
      <c r="Q12" s="17">
        <v>1</v>
      </c>
      <c r="R12" s="17"/>
      <c r="S12" s="15"/>
      <c r="T12" s="25">
        <v>45673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4"/>
      <c r="B13" s="134"/>
      <c r="C13" s="85" t="s">
        <v>208</v>
      </c>
      <c r="D13" s="109" t="s">
        <v>206</v>
      </c>
      <c r="E13" s="15" t="s">
        <v>36</v>
      </c>
      <c r="F13" s="16"/>
      <c r="G13" s="12" t="s">
        <v>178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45673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4"/>
      <c r="B14" s="134"/>
      <c r="C14" s="85" t="s">
        <v>209</v>
      </c>
      <c r="D14" s="109" t="s">
        <v>206</v>
      </c>
      <c r="E14" s="15" t="s">
        <v>40</v>
      </c>
      <c r="F14" s="16"/>
      <c r="G14" s="12" t="s">
        <v>178</v>
      </c>
      <c r="H14" s="15"/>
      <c r="I14" s="15"/>
      <c r="J14" s="15"/>
      <c r="K14" s="15"/>
      <c r="L14" s="17"/>
      <c r="M14" s="17"/>
      <c r="N14" s="17"/>
      <c r="O14" s="17"/>
      <c r="P14" s="17">
        <v>1</v>
      </c>
      <c r="Q14" s="17"/>
      <c r="R14" s="17"/>
      <c r="S14" s="15"/>
      <c r="T14" s="25">
        <v>45673</v>
      </c>
      <c r="U14" s="13" t="s">
        <v>148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4"/>
      <c r="B15" s="134"/>
      <c r="C15" s="85" t="s">
        <v>210</v>
      </c>
      <c r="D15" s="109" t="s">
        <v>206</v>
      </c>
      <c r="E15" s="15" t="s">
        <v>36</v>
      </c>
      <c r="F15" s="16"/>
      <c r="G15" s="12" t="s">
        <v>178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45673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4"/>
      <c r="B16" s="134"/>
      <c r="C16" s="85" t="s">
        <v>211</v>
      </c>
      <c r="D16" s="109" t="s">
        <v>206</v>
      </c>
      <c r="E16" s="15" t="s">
        <v>37</v>
      </c>
      <c r="F16" s="16"/>
      <c r="G16" s="12" t="s">
        <v>178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45307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4"/>
      <c r="B17" s="134"/>
      <c r="C17" s="85" t="s">
        <v>212</v>
      </c>
      <c r="D17" s="106" t="s">
        <v>188</v>
      </c>
      <c r="E17" s="15" t="s">
        <v>59</v>
      </c>
      <c r="F17" s="16"/>
      <c r="G17" s="15" t="s">
        <v>178</v>
      </c>
      <c r="H17" s="15" t="s">
        <v>213</v>
      </c>
      <c r="I17" s="15"/>
      <c r="J17" s="15">
        <v>2</v>
      </c>
      <c r="K17" s="15"/>
      <c r="L17" s="17"/>
      <c r="M17" s="17"/>
      <c r="N17" s="17"/>
      <c r="O17" s="17"/>
      <c r="P17" s="17"/>
      <c r="Q17" s="17"/>
      <c r="R17" s="17"/>
      <c r="S17" s="15"/>
      <c r="T17" s="25">
        <v>45682</v>
      </c>
      <c r="U17" s="15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4"/>
      <c r="B18" s="134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4"/>
      <c r="B19" s="134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4"/>
      <c r="B20" s="134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4"/>
      <c r="B21" s="134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4"/>
      <c r="B22" s="134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4"/>
      <c r="B23" s="134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4"/>
      <c r="B24" s="134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4"/>
      <c r="B25" s="134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284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4"/>
      <c r="B26" s="134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5"/>
      <c r="B27" s="135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145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1</v>
      </c>
      <c r="I28" s="29">
        <f t="shared" ref="I28:S28" si="0">SUM(I3:I27)</f>
        <v>0</v>
      </c>
      <c r="J28" s="29">
        <f t="shared" si="0"/>
        <v>4</v>
      </c>
      <c r="K28" s="29">
        <f t="shared" si="0"/>
        <v>3</v>
      </c>
      <c r="L28" s="29">
        <f t="shared" si="0"/>
        <v>0</v>
      </c>
      <c r="M28" s="29">
        <f t="shared" si="0"/>
        <v>6</v>
      </c>
      <c r="N28" s="29">
        <f t="shared" si="0"/>
        <v>7</v>
      </c>
      <c r="O28" s="29">
        <f t="shared" si="0"/>
        <v>4</v>
      </c>
      <c r="P28" s="29">
        <f t="shared" si="0"/>
        <v>5</v>
      </c>
      <c r="Q28" s="29">
        <f t="shared" si="0"/>
        <v>7</v>
      </c>
      <c r="R28" s="29">
        <f t="shared" si="0"/>
        <v>3</v>
      </c>
      <c r="S28" s="29">
        <f t="shared" si="0"/>
        <v>0</v>
      </c>
      <c r="T28" s="29" t="s">
        <v>64</v>
      </c>
      <c r="U28" s="29">
        <f>COUNTIF(H3:H27,"M")</f>
        <v>0</v>
      </c>
      <c r="AA28" s="138" t="s">
        <v>104</v>
      </c>
      <c r="AB28" s="13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39</v>
      </c>
      <c r="T29" s="29"/>
      <c r="U29" s="29"/>
      <c r="X29" t="s">
        <v>136</v>
      </c>
      <c r="AA29" s="140"/>
      <c r="AB29" s="141"/>
      <c r="AC29" s="154">
        <f>SUM(AC28:AE28)</f>
        <v>0</v>
      </c>
      <c r="AD29" s="155"/>
      <c r="AE29" s="156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AYG097</v>
      </c>
      <c r="B31" s="24">
        <f>B1</f>
        <v>45650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6" t="s">
        <v>119</v>
      </c>
      <c r="Y32" s="142"/>
      <c r="AA32" s="149" t="s">
        <v>47</v>
      </c>
      <c r="AB32" s="150"/>
    </row>
    <row r="33" spans="1:29" ht="19.5" thickTop="1" x14ac:dyDescent="0.4">
      <c r="A33" s="143">
        <v>2</v>
      </c>
      <c r="B33" s="133">
        <v>22.2</v>
      </c>
      <c r="C33" s="85" t="s">
        <v>214</v>
      </c>
      <c r="D33" s="109" t="s">
        <v>215</v>
      </c>
      <c r="E33" s="15" t="s">
        <v>74</v>
      </c>
      <c r="F33" s="14"/>
      <c r="G33" s="12" t="s">
        <v>178</v>
      </c>
      <c r="H33" s="13"/>
      <c r="I33" s="13"/>
      <c r="J33" s="13">
        <v>1</v>
      </c>
      <c r="K33" s="13"/>
      <c r="L33" s="13"/>
      <c r="M33" s="13"/>
      <c r="N33" s="13"/>
      <c r="O33" s="13"/>
      <c r="P33" s="13"/>
      <c r="Q33" s="13"/>
      <c r="R33" s="13"/>
      <c r="S33" s="13"/>
      <c r="T33" s="25">
        <v>45677</v>
      </c>
      <c r="U33" s="13" t="s">
        <v>146</v>
      </c>
      <c r="V33">
        <v>1</v>
      </c>
      <c r="X33" s="51" t="s">
        <v>106</v>
      </c>
      <c r="Y33" s="52">
        <f>COUNTIF(U33:U57,"K")</f>
        <v>5</v>
      </c>
      <c r="AA33" s="31" t="s">
        <v>46</v>
      </c>
      <c r="AB33" s="32">
        <f>J28+J178+J148+J118+J208+J238+J268+J298+J328+J358</f>
        <v>59</v>
      </c>
    </row>
    <row r="34" spans="1:29" x14ac:dyDescent="0.4">
      <c r="A34" s="144"/>
      <c r="B34" s="134"/>
      <c r="C34" s="85" t="s">
        <v>216</v>
      </c>
      <c r="D34" s="109" t="s">
        <v>215</v>
      </c>
      <c r="E34" s="15" t="s">
        <v>40</v>
      </c>
      <c r="F34" s="16"/>
      <c r="G34" s="12" t="s">
        <v>178</v>
      </c>
      <c r="H34" s="15"/>
      <c r="I34" s="13"/>
      <c r="J34" s="15">
        <v>1</v>
      </c>
      <c r="K34" s="15"/>
      <c r="L34" s="17"/>
      <c r="M34" s="17"/>
      <c r="N34" s="13"/>
      <c r="O34" s="17">
        <v>1</v>
      </c>
      <c r="P34" s="17">
        <v>1</v>
      </c>
      <c r="Q34" s="17"/>
      <c r="R34" s="17"/>
      <c r="S34" s="15"/>
      <c r="T34" s="25">
        <v>45677</v>
      </c>
      <c r="U34" s="13" t="s">
        <v>148</v>
      </c>
      <c r="V34">
        <v>2</v>
      </c>
      <c r="X34" s="51" t="s">
        <v>107</v>
      </c>
      <c r="Y34" s="52">
        <f>COUNTIF(U33:U57,"R")</f>
        <v>8</v>
      </c>
      <c r="AA34" s="31" t="s">
        <v>48</v>
      </c>
      <c r="AB34" s="32">
        <f>K28+K178+K148+K118+K208+K238+K268+K298+K328+K358</f>
        <v>26</v>
      </c>
    </row>
    <row r="35" spans="1:29" ht="19.5" thickBot="1" x14ac:dyDescent="0.45">
      <c r="A35" s="144"/>
      <c r="B35" s="134"/>
      <c r="C35" s="85" t="s">
        <v>217</v>
      </c>
      <c r="D35" s="109" t="s">
        <v>206</v>
      </c>
      <c r="E35" s="15" t="s">
        <v>36</v>
      </c>
      <c r="F35" s="16"/>
      <c r="G35" s="12" t="s">
        <v>178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>
        <v>1</v>
      </c>
      <c r="R35" s="17"/>
      <c r="S35" s="15"/>
      <c r="T35" s="25">
        <v>45673</v>
      </c>
      <c r="U35" s="13" t="s">
        <v>147</v>
      </c>
      <c r="V35">
        <v>3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11</v>
      </c>
    </row>
    <row r="36" spans="1:29" x14ac:dyDescent="0.4">
      <c r="A36" s="144"/>
      <c r="B36" s="134"/>
      <c r="C36" s="85" t="s">
        <v>218</v>
      </c>
      <c r="D36" s="109" t="s">
        <v>189</v>
      </c>
      <c r="E36" s="15" t="s">
        <v>40</v>
      </c>
      <c r="F36" s="16"/>
      <c r="G36" s="12" t="s">
        <v>178</v>
      </c>
      <c r="H36" s="15"/>
      <c r="I36" s="13"/>
      <c r="J36" s="13"/>
      <c r="K36" s="15"/>
      <c r="L36" s="17"/>
      <c r="M36" s="17"/>
      <c r="N36" s="13"/>
      <c r="O36" s="17">
        <v>1</v>
      </c>
      <c r="P36" s="17"/>
      <c r="Q36" s="17">
        <v>1</v>
      </c>
      <c r="R36" s="17">
        <v>1</v>
      </c>
      <c r="S36" s="15"/>
      <c r="T36" s="25">
        <v>45709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21</v>
      </c>
    </row>
    <row r="37" spans="1:29" x14ac:dyDescent="0.4">
      <c r="A37" s="144"/>
      <c r="B37" s="134"/>
      <c r="C37" s="85" t="s">
        <v>219</v>
      </c>
      <c r="D37" s="109" t="s">
        <v>188</v>
      </c>
      <c r="E37" s="15" t="s">
        <v>39</v>
      </c>
      <c r="F37" s="16"/>
      <c r="G37" s="12" t="s">
        <v>178</v>
      </c>
      <c r="H37" s="15"/>
      <c r="I37" s="13"/>
      <c r="J37" s="15">
        <v>1</v>
      </c>
      <c r="K37" s="15"/>
      <c r="L37" s="17">
        <v>1</v>
      </c>
      <c r="M37" s="17"/>
      <c r="N37" s="13"/>
      <c r="O37" s="17"/>
      <c r="P37" s="17"/>
      <c r="Q37" s="17"/>
      <c r="R37" s="17"/>
      <c r="S37" s="15"/>
      <c r="T37" s="25">
        <v>45677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20</v>
      </c>
    </row>
    <row r="38" spans="1:29" x14ac:dyDescent="0.4">
      <c r="A38" s="144"/>
      <c r="B38" s="134"/>
      <c r="C38" s="85" t="s">
        <v>220</v>
      </c>
      <c r="D38" s="109" t="s">
        <v>193</v>
      </c>
      <c r="E38" s="15" t="s">
        <v>36</v>
      </c>
      <c r="F38" s="16"/>
      <c r="G38" s="12" t="s">
        <v>178</v>
      </c>
      <c r="H38" s="13"/>
      <c r="I38" s="13"/>
      <c r="J38" s="15"/>
      <c r="K38" s="15"/>
      <c r="L38" s="17"/>
      <c r="M38" s="17">
        <v>1</v>
      </c>
      <c r="N38" s="13">
        <v>1</v>
      </c>
      <c r="O38" s="17"/>
      <c r="P38" s="17"/>
      <c r="Q38" s="17">
        <v>1</v>
      </c>
      <c r="R38" s="17"/>
      <c r="S38" s="15"/>
      <c r="T38" s="25">
        <v>45683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25</v>
      </c>
    </row>
    <row r="39" spans="1:29" x14ac:dyDescent="0.4">
      <c r="A39" s="144"/>
      <c r="B39" s="134"/>
      <c r="C39" s="85" t="s">
        <v>221</v>
      </c>
      <c r="D39" s="109" t="s">
        <v>180</v>
      </c>
      <c r="E39" s="15" t="s">
        <v>37</v>
      </c>
      <c r="F39" s="16"/>
      <c r="G39" s="12" t="s">
        <v>178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>
        <v>1</v>
      </c>
      <c r="R39" s="17"/>
      <c r="S39" s="15"/>
      <c r="T39" s="25">
        <v>45680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25</v>
      </c>
    </row>
    <row r="40" spans="1:29" x14ac:dyDescent="0.4">
      <c r="A40" s="144"/>
      <c r="B40" s="134"/>
      <c r="C40" s="85" t="s">
        <v>222</v>
      </c>
      <c r="D40" s="109" t="s">
        <v>180</v>
      </c>
      <c r="E40" s="15" t="s">
        <v>37</v>
      </c>
      <c r="F40" s="16"/>
      <c r="G40" s="12" t="s">
        <v>178</v>
      </c>
      <c r="H40" s="15"/>
      <c r="I40" s="13"/>
      <c r="J40" s="15"/>
      <c r="K40" s="15"/>
      <c r="L40" s="17"/>
      <c r="M40" s="17"/>
      <c r="N40" s="13">
        <v>1</v>
      </c>
      <c r="O40" s="17"/>
      <c r="P40" s="17"/>
      <c r="Q40" s="17">
        <v>1</v>
      </c>
      <c r="R40" s="17"/>
      <c r="S40" s="15"/>
      <c r="T40" s="25">
        <v>45680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26</v>
      </c>
    </row>
    <row r="41" spans="1:29" x14ac:dyDescent="0.4">
      <c r="A41" s="144"/>
      <c r="B41" s="134"/>
      <c r="C41" s="85" t="s">
        <v>223</v>
      </c>
      <c r="D41" s="109" t="s">
        <v>179</v>
      </c>
      <c r="E41" s="15" t="s">
        <v>75</v>
      </c>
      <c r="F41" s="16"/>
      <c r="G41" s="12" t="s">
        <v>178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/>
      <c r="T41" s="25">
        <v>45675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14</v>
      </c>
      <c r="AC41" t="s">
        <v>123</v>
      </c>
    </row>
    <row r="42" spans="1:29" ht="19.5" thickBot="1" x14ac:dyDescent="0.45">
      <c r="A42" s="144"/>
      <c r="B42" s="134"/>
      <c r="C42" s="85" t="s">
        <v>224</v>
      </c>
      <c r="D42" s="109" t="s">
        <v>179</v>
      </c>
      <c r="E42" s="15" t="s">
        <v>37</v>
      </c>
      <c r="F42" s="16"/>
      <c r="G42" s="12" t="s">
        <v>178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45679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229</v>
      </c>
    </row>
    <row r="43" spans="1:29" ht="19.5" thickBot="1" x14ac:dyDescent="0.45">
      <c r="A43" s="144"/>
      <c r="B43" s="134"/>
      <c r="C43" s="85" t="s">
        <v>225</v>
      </c>
      <c r="D43" s="109" t="s">
        <v>189</v>
      </c>
      <c r="E43" s="15" t="s">
        <v>58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>
        <v>45709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4"/>
      <c r="B44" s="134"/>
      <c r="C44" s="85" t="s">
        <v>226</v>
      </c>
      <c r="D44" s="109" t="s">
        <v>179</v>
      </c>
      <c r="E44" s="15" t="s">
        <v>40</v>
      </c>
      <c r="F44" s="16"/>
      <c r="G44" s="12" t="s">
        <v>178</v>
      </c>
      <c r="H44" s="15"/>
      <c r="I44" s="15"/>
      <c r="J44" s="15"/>
      <c r="K44" s="15"/>
      <c r="L44" s="17"/>
      <c r="M44" s="17"/>
      <c r="N44" s="17"/>
      <c r="O44" s="17">
        <v>1</v>
      </c>
      <c r="P44" s="17">
        <v>1</v>
      </c>
      <c r="Q44" s="17"/>
      <c r="R44" s="17">
        <v>1</v>
      </c>
      <c r="S44" s="15"/>
      <c r="T44" s="25">
        <v>45679</v>
      </c>
      <c r="U44" s="13" t="s">
        <v>148</v>
      </c>
      <c r="V44">
        <v>12</v>
      </c>
      <c r="AA44" s="103" t="s">
        <v>66</v>
      </c>
      <c r="AB44" s="104">
        <f>H28+H58+H88+H118+H148+H178+H208+H238+H268+H298+H328+H358</f>
        <v>3</v>
      </c>
    </row>
    <row r="45" spans="1:29" x14ac:dyDescent="0.4">
      <c r="A45" s="144"/>
      <c r="B45" s="134"/>
      <c r="C45" s="85" t="s">
        <v>227</v>
      </c>
      <c r="D45" s="109" t="s">
        <v>179</v>
      </c>
      <c r="E45" s="15" t="s">
        <v>37</v>
      </c>
      <c r="F45" s="16"/>
      <c r="G45" s="12" t="s">
        <v>178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45672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44"/>
      <c r="B46" s="134"/>
      <c r="C46" s="85" t="s">
        <v>228</v>
      </c>
      <c r="D46" s="109" t="s">
        <v>179</v>
      </c>
      <c r="E46" s="15" t="s">
        <v>36</v>
      </c>
      <c r="F46" s="16"/>
      <c r="G46" s="12" t="s">
        <v>178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45669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4"/>
      <c r="B47" s="134"/>
      <c r="C47" s="85" t="s">
        <v>229</v>
      </c>
      <c r="D47" s="106" t="s">
        <v>193</v>
      </c>
      <c r="E47" s="15" t="s">
        <v>37</v>
      </c>
      <c r="F47" s="16"/>
      <c r="G47" s="15" t="s">
        <v>178</v>
      </c>
      <c r="H47" s="15"/>
      <c r="I47" s="15"/>
      <c r="J47" s="15">
        <v>1</v>
      </c>
      <c r="K47" s="15">
        <v>1</v>
      </c>
      <c r="L47" s="17"/>
      <c r="M47" s="17"/>
      <c r="N47" s="17"/>
      <c r="O47" s="17"/>
      <c r="P47" s="17"/>
      <c r="Q47" s="17"/>
      <c r="R47" s="17"/>
      <c r="S47" s="15"/>
      <c r="T47" s="25">
        <v>45683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4"/>
      <c r="B48" s="134"/>
      <c r="C48" s="85" t="s">
        <v>230</v>
      </c>
      <c r="D48" s="110" t="s">
        <v>180</v>
      </c>
      <c r="E48" s="18" t="s">
        <v>44</v>
      </c>
      <c r="F48" s="16"/>
      <c r="G48" s="18" t="s">
        <v>178</v>
      </c>
      <c r="H48" s="15"/>
      <c r="I48" s="15"/>
      <c r="J48" s="18">
        <v>1</v>
      </c>
      <c r="K48" s="15">
        <v>1</v>
      </c>
      <c r="L48" s="19"/>
      <c r="M48" s="19"/>
      <c r="N48" s="19"/>
      <c r="O48" s="19"/>
      <c r="P48" s="19"/>
      <c r="Q48" s="19"/>
      <c r="R48" s="19"/>
      <c r="S48" s="15"/>
      <c r="T48" s="25">
        <v>45680</v>
      </c>
      <c r="U48" s="15" t="s">
        <v>146</v>
      </c>
      <c r="V48" s="73">
        <v>16</v>
      </c>
    </row>
    <row r="49" spans="1:28" x14ac:dyDescent="0.4">
      <c r="A49" s="144"/>
      <c r="B49" s="134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135</v>
      </c>
    </row>
    <row r="50" spans="1:28" ht="19.5" thickBot="1" x14ac:dyDescent="0.45">
      <c r="A50" s="144"/>
      <c r="B50" s="134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10</v>
      </c>
    </row>
    <row r="51" spans="1:28" ht="19.5" thickBot="1" x14ac:dyDescent="0.45">
      <c r="A51" s="144"/>
      <c r="B51" s="134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4"/>
      <c r="B52" s="134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1">
        <v>76</v>
      </c>
    </row>
    <row r="53" spans="1:28" ht="19.5" thickBot="1" x14ac:dyDescent="0.45">
      <c r="A53" s="144"/>
      <c r="B53" s="134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2"/>
    </row>
    <row r="54" spans="1:28" ht="19.5" thickBot="1" x14ac:dyDescent="0.45">
      <c r="A54" s="144"/>
      <c r="B54" s="134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4"/>
      <c r="B55" s="134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6" t="s">
        <v>73</v>
      </c>
      <c r="AB55" s="45"/>
    </row>
    <row r="56" spans="1:28" ht="19.5" thickBot="1" x14ac:dyDescent="0.45">
      <c r="A56" s="144"/>
      <c r="B56" s="134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7"/>
      <c r="AB56" s="46"/>
    </row>
    <row r="57" spans="1:28" ht="19.5" thickBot="1" x14ac:dyDescent="0.45">
      <c r="A57" s="145"/>
      <c r="B57" s="135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6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16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7</v>
      </c>
      <c r="K58" s="29">
        <f t="shared" si="1"/>
        <v>3</v>
      </c>
      <c r="L58" s="29">
        <f t="shared" si="1"/>
        <v>1</v>
      </c>
      <c r="M58" s="29">
        <f t="shared" si="1"/>
        <v>4</v>
      </c>
      <c r="N58" s="29">
        <f t="shared" si="1"/>
        <v>5</v>
      </c>
      <c r="O58" s="29">
        <f t="shared" si="1"/>
        <v>3</v>
      </c>
      <c r="P58" s="29">
        <f t="shared" si="1"/>
        <v>2</v>
      </c>
      <c r="Q58" s="29">
        <f t="shared" si="1"/>
        <v>6</v>
      </c>
      <c r="R58" s="29">
        <f t="shared" si="1"/>
        <v>2</v>
      </c>
      <c r="S58" s="29">
        <f t="shared" si="1"/>
        <v>0</v>
      </c>
      <c r="T58" s="29" t="s">
        <v>64</v>
      </c>
      <c r="U58" s="29">
        <f>COUNTIF(H33:H57,"M")</f>
        <v>0</v>
      </c>
      <c r="AA58" s="13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33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AYG097</v>
      </c>
      <c r="B61" s="24">
        <f>B1</f>
        <v>45650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6" t="s">
        <v>118</v>
      </c>
      <c r="Y62" s="142"/>
    </row>
    <row r="63" spans="1:28" ht="20.25" thickTop="1" thickBot="1" x14ac:dyDescent="0.45">
      <c r="A63" s="143">
        <v>3</v>
      </c>
      <c r="B63" s="146">
        <v>22.8</v>
      </c>
      <c r="C63" s="85" t="s">
        <v>231</v>
      </c>
      <c r="D63" s="109" t="s">
        <v>232</v>
      </c>
      <c r="E63" s="15" t="s">
        <v>75</v>
      </c>
      <c r="F63" s="14"/>
      <c r="G63" s="12" t="s">
        <v>178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25">
        <v>45714</v>
      </c>
      <c r="U63" s="13" t="s">
        <v>147</v>
      </c>
      <c r="V63">
        <v>1</v>
      </c>
      <c r="X63" s="51" t="s">
        <v>106</v>
      </c>
      <c r="Y63" s="52">
        <f>COUNTIF(U63:U87,"K")</f>
        <v>5</v>
      </c>
      <c r="AA63" s="59" t="s">
        <v>120</v>
      </c>
      <c r="AB63" s="60" t="s">
        <v>121</v>
      </c>
    </row>
    <row r="64" spans="1:28" x14ac:dyDescent="0.4">
      <c r="A64" s="144"/>
      <c r="B64" s="147"/>
      <c r="C64" s="85" t="s">
        <v>233</v>
      </c>
      <c r="D64" s="109" t="s">
        <v>232</v>
      </c>
      <c r="E64" s="15" t="s">
        <v>36</v>
      </c>
      <c r="F64" s="16"/>
      <c r="G64" s="12" t="s">
        <v>178</v>
      </c>
      <c r="H64" s="15"/>
      <c r="I64" s="15"/>
      <c r="J64" s="13"/>
      <c r="K64" s="15"/>
      <c r="L64" s="13"/>
      <c r="M64" s="17">
        <v>1</v>
      </c>
      <c r="N64" s="17">
        <v>1</v>
      </c>
      <c r="O64" s="17"/>
      <c r="P64" s="17"/>
      <c r="Q64" s="17">
        <v>1</v>
      </c>
      <c r="R64" s="17"/>
      <c r="S64" s="15"/>
      <c r="T64" s="25">
        <v>45714</v>
      </c>
      <c r="U64" s="13" t="s">
        <v>147</v>
      </c>
      <c r="V64">
        <v>2</v>
      </c>
      <c r="X64" s="51" t="s">
        <v>107</v>
      </c>
      <c r="Y64" s="52">
        <f>COUNTIF(U63:U87,"R")</f>
        <v>8</v>
      </c>
      <c r="AA64" s="47" t="s">
        <v>81</v>
      </c>
      <c r="AB64" s="48" t="s">
        <v>60</v>
      </c>
    </row>
    <row r="65" spans="1:28" ht="19.5" thickBot="1" x14ac:dyDescent="0.45">
      <c r="A65" s="144"/>
      <c r="B65" s="147"/>
      <c r="C65" s="85" t="s">
        <v>234</v>
      </c>
      <c r="D65" s="109" t="s">
        <v>232</v>
      </c>
      <c r="E65" s="15" t="s">
        <v>58</v>
      </c>
      <c r="F65" s="16"/>
      <c r="G65" s="12" t="s">
        <v>178</v>
      </c>
      <c r="H65" s="15"/>
      <c r="I65" s="15"/>
      <c r="J65" s="13"/>
      <c r="K65" s="15"/>
      <c r="L65" s="13"/>
      <c r="M65" s="17"/>
      <c r="N65" s="17"/>
      <c r="O65" s="17"/>
      <c r="P65" s="17"/>
      <c r="Q65" s="17"/>
      <c r="R65" s="17"/>
      <c r="S65" s="15"/>
      <c r="T65" s="25">
        <v>45714</v>
      </c>
      <c r="U65" s="13" t="s">
        <v>147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44"/>
      <c r="B66" s="147"/>
      <c r="C66" s="85" t="s">
        <v>235</v>
      </c>
      <c r="D66" s="109" t="s">
        <v>232</v>
      </c>
      <c r="E66" s="15" t="s">
        <v>39</v>
      </c>
      <c r="F66" s="16"/>
      <c r="G66" s="12" t="s">
        <v>178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45686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4"/>
      <c r="B67" s="147"/>
      <c r="C67" s="85" t="s">
        <v>236</v>
      </c>
      <c r="D67" s="109" t="s">
        <v>232</v>
      </c>
      <c r="E67" s="15" t="s">
        <v>133</v>
      </c>
      <c r="F67" s="16"/>
      <c r="G67" s="12" t="s">
        <v>178</v>
      </c>
      <c r="H67" s="15"/>
      <c r="I67" s="15"/>
      <c r="J67" s="13"/>
      <c r="K67" s="15"/>
      <c r="L67" s="13"/>
      <c r="M67" s="17"/>
      <c r="N67" s="17"/>
      <c r="O67" s="17">
        <v>1</v>
      </c>
      <c r="P67" s="17">
        <v>1</v>
      </c>
      <c r="Q67" s="17"/>
      <c r="R67" s="17">
        <v>1</v>
      </c>
      <c r="S67" s="15"/>
      <c r="T67" s="25">
        <v>45686</v>
      </c>
      <c r="U67" s="13" t="s">
        <v>148</v>
      </c>
      <c r="V67">
        <v>5</v>
      </c>
      <c r="AA67" s="49" t="s">
        <v>84</v>
      </c>
      <c r="AB67" s="50" t="s">
        <v>44</v>
      </c>
    </row>
    <row r="68" spans="1:28" x14ac:dyDescent="0.4">
      <c r="A68" s="144"/>
      <c r="B68" s="147"/>
      <c r="C68" s="85" t="s">
        <v>237</v>
      </c>
      <c r="D68" s="109" t="s">
        <v>181</v>
      </c>
      <c r="E68" s="15" t="s">
        <v>38</v>
      </c>
      <c r="F68" s="16"/>
      <c r="G68" s="12" t="s">
        <v>178</v>
      </c>
      <c r="H68" s="15"/>
      <c r="I68" s="15"/>
      <c r="J68" s="13">
        <v>1</v>
      </c>
      <c r="K68" s="15">
        <v>1</v>
      </c>
      <c r="L68" s="13"/>
      <c r="M68" s="17"/>
      <c r="N68" s="17"/>
      <c r="O68" s="17"/>
      <c r="P68" s="17"/>
      <c r="Q68" s="17"/>
      <c r="R68" s="17"/>
      <c r="S68" s="15"/>
      <c r="T68" s="25">
        <v>45684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4"/>
      <c r="B69" s="147"/>
      <c r="C69" s="85" t="s">
        <v>238</v>
      </c>
      <c r="D69" s="109" t="s">
        <v>181</v>
      </c>
      <c r="E69" s="15" t="s">
        <v>40</v>
      </c>
      <c r="F69" s="16"/>
      <c r="G69" s="12" t="s">
        <v>178</v>
      </c>
      <c r="H69" s="15"/>
      <c r="I69" s="15"/>
      <c r="J69" s="13"/>
      <c r="K69" s="15"/>
      <c r="L69" s="13"/>
      <c r="M69" s="17"/>
      <c r="N69" s="17"/>
      <c r="O69" s="17">
        <v>1</v>
      </c>
      <c r="P69" s="17">
        <v>1</v>
      </c>
      <c r="Q69" s="17">
        <v>1</v>
      </c>
      <c r="R69" s="17">
        <v>1</v>
      </c>
      <c r="S69" s="15"/>
      <c r="T69" s="25">
        <v>45684</v>
      </c>
      <c r="U69" s="13" t="s">
        <v>148</v>
      </c>
      <c r="V69">
        <v>7</v>
      </c>
      <c r="AA69" s="49" t="s">
        <v>86</v>
      </c>
      <c r="AB69" s="50" t="s">
        <v>45</v>
      </c>
    </row>
    <row r="70" spans="1:28" x14ac:dyDescent="0.4">
      <c r="A70" s="144"/>
      <c r="B70" s="147"/>
      <c r="C70" s="85" t="s">
        <v>239</v>
      </c>
      <c r="D70" s="109" t="s">
        <v>179</v>
      </c>
      <c r="E70" s="15" t="s">
        <v>36</v>
      </c>
      <c r="F70" s="16"/>
      <c r="G70" s="12" t="s">
        <v>178</v>
      </c>
      <c r="H70" s="15"/>
      <c r="I70" s="15"/>
      <c r="J70" s="13"/>
      <c r="K70" s="15">
        <v>1</v>
      </c>
      <c r="L70" s="13"/>
      <c r="M70" s="17"/>
      <c r="N70" s="17"/>
      <c r="O70" s="17"/>
      <c r="P70" s="17"/>
      <c r="Q70" s="17">
        <v>1</v>
      </c>
      <c r="R70" s="17"/>
      <c r="S70" s="15"/>
      <c r="T70" s="25">
        <v>45675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4"/>
      <c r="B71" s="147"/>
      <c r="C71" s="85" t="s">
        <v>240</v>
      </c>
      <c r="D71" s="109" t="s">
        <v>181</v>
      </c>
      <c r="E71" s="15" t="s">
        <v>58</v>
      </c>
      <c r="F71" s="16"/>
      <c r="G71" s="12" t="s">
        <v>178</v>
      </c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>
        <v>45694</v>
      </c>
      <c r="U71" s="13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44"/>
      <c r="B72" s="147"/>
      <c r="C72" s="85" t="s">
        <v>241</v>
      </c>
      <c r="D72" s="109" t="s">
        <v>187</v>
      </c>
      <c r="E72" s="15" t="s">
        <v>38</v>
      </c>
      <c r="F72" s="16"/>
      <c r="G72" s="12" t="s">
        <v>178</v>
      </c>
      <c r="H72" s="15"/>
      <c r="I72" s="15"/>
      <c r="J72" s="13">
        <v>1</v>
      </c>
      <c r="K72" s="15">
        <v>1</v>
      </c>
      <c r="L72" s="13"/>
      <c r="M72" s="17"/>
      <c r="N72" s="17"/>
      <c r="O72" s="17"/>
      <c r="P72" s="17"/>
      <c r="Q72" s="17"/>
      <c r="R72" s="17"/>
      <c r="S72" s="15"/>
      <c r="T72" s="25">
        <v>45675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4"/>
      <c r="B73" s="147"/>
      <c r="C73" s="85" t="s">
        <v>242</v>
      </c>
      <c r="D73" s="109" t="s">
        <v>243</v>
      </c>
      <c r="E73" s="15" t="s">
        <v>36</v>
      </c>
      <c r="F73" s="16"/>
      <c r="G73" s="15" t="s">
        <v>178</v>
      </c>
      <c r="H73" s="15"/>
      <c r="I73" s="15"/>
      <c r="J73" s="15"/>
      <c r="K73" s="15"/>
      <c r="L73" s="17"/>
      <c r="M73" s="17">
        <v>1</v>
      </c>
      <c r="N73" s="17"/>
      <c r="O73" s="17"/>
      <c r="P73" s="17"/>
      <c r="Q73" s="17">
        <v>1</v>
      </c>
      <c r="R73" s="17"/>
      <c r="S73" s="15"/>
      <c r="T73" s="25">
        <v>45682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44"/>
      <c r="B74" s="147"/>
      <c r="C74" s="85" t="s">
        <v>244</v>
      </c>
      <c r="D74" s="109" t="s">
        <v>243</v>
      </c>
      <c r="E74" s="15" t="s">
        <v>38</v>
      </c>
      <c r="F74" s="16"/>
      <c r="G74" s="15" t="s">
        <v>178</v>
      </c>
      <c r="H74" s="15"/>
      <c r="I74" s="15"/>
      <c r="J74" s="15"/>
      <c r="K74" s="15">
        <v>1</v>
      </c>
      <c r="L74" s="17"/>
      <c r="M74" s="17"/>
      <c r="N74" s="17"/>
      <c r="O74" s="17"/>
      <c r="P74" s="17"/>
      <c r="Q74" s="17"/>
      <c r="R74" s="17"/>
      <c r="S74" s="15"/>
      <c r="T74" s="25">
        <v>45682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4"/>
      <c r="B75" s="147"/>
      <c r="C75" s="85" t="s">
        <v>245</v>
      </c>
      <c r="D75" s="109" t="s">
        <v>243</v>
      </c>
      <c r="E75" s="15" t="s">
        <v>37</v>
      </c>
      <c r="F75" s="16"/>
      <c r="G75" s="15" t="s">
        <v>178</v>
      </c>
      <c r="H75" s="15"/>
      <c r="I75" s="15"/>
      <c r="J75" s="15">
        <v>1</v>
      </c>
      <c r="K75" s="15">
        <v>1</v>
      </c>
      <c r="L75" s="17"/>
      <c r="M75" s="17"/>
      <c r="N75" s="17"/>
      <c r="O75" s="17"/>
      <c r="P75" s="17"/>
      <c r="Q75" s="17"/>
      <c r="R75" s="17"/>
      <c r="S75" s="15"/>
      <c r="T75" s="25">
        <v>45682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4"/>
      <c r="B76" s="147"/>
      <c r="C76" s="85" t="s">
        <v>246</v>
      </c>
      <c r="D76" s="109" t="s">
        <v>179</v>
      </c>
      <c r="E76" s="15" t="s">
        <v>44</v>
      </c>
      <c r="F76" s="16"/>
      <c r="G76" s="15" t="s">
        <v>178</v>
      </c>
      <c r="H76" s="15"/>
      <c r="I76" s="15"/>
      <c r="J76" s="15"/>
      <c r="K76" s="15"/>
      <c r="L76" s="17"/>
      <c r="M76" s="17">
        <v>1</v>
      </c>
      <c r="N76" s="17">
        <v>1</v>
      </c>
      <c r="O76" s="17"/>
      <c r="P76" s="17"/>
      <c r="Q76" s="17">
        <v>1</v>
      </c>
      <c r="R76" s="17"/>
      <c r="S76" s="15"/>
      <c r="T76" s="25">
        <v>45673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4"/>
      <c r="B77" s="147"/>
      <c r="C77" s="85" t="s">
        <v>247</v>
      </c>
      <c r="D77" s="109" t="s">
        <v>190</v>
      </c>
      <c r="E77" s="15" t="s">
        <v>75</v>
      </c>
      <c r="F77" s="16"/>
      <c r="G77" s="15" t="s">
        <v>178</v>
      </c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>
        <v>45684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4"/>
      <c r="B78" s="147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4"/>
      <c r="B79" s="147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4"/>
      <c r="B80" s="147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4"/>
      <c r="B81" s="147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4"/>
      <c r="B82" s="147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4"/>
      <c r="B83" s="147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4"/>
      <c r="B84" s="147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4"/>
      <c r="B85" s="147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4"/>
      <c r="B86" s="147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5"/>
      <c r="B87" s="148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6</v>
      </c>
      <c r="L88" s="29">
        <f t="shared" si="2"/>
        <v>0</v>
      </c>
      <c r="M88" s="29">
        <f t="shared" si="2"/>
        <v>3</v>
      </c>
      <c r="N88" s="29">
        <f t="shared" si="2"/>
        <v>2</v>
      </c>
      <c r="O88" s="29">
        <f t="shared" si="2"/>
        <v>2</v>
      </c>
      <c r="P88" s="29">
        <f t="shared" si="2"/>
        <v>2</v>
      </c>
      <c r="Q88" s="29">
        <f t="shared" si="2"/>
        <v>5</v>
      </c>
      <c r="R88" s="29">
        <f t="shared" si="2"/>
        <v>2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22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AYG097</v>
      </c>
      <c r="B91" s="24">
        <f>B1</f>
        <v>45650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6" t="s">
        <v>117</v>
      </c>
      <c r="Y92" s="142"/>
    </row>
    <row r="93" spans="1:28" ht="20.25" thickTop="1" thickBot="1" x14ac:dyDescent="0.45">
      <c r="A93" s="143">
        <v>4</v>
      </c>
      <c r="B93" s="133">
        <v>24.4</v>
      </c>
      <c r="C93" s="85" t="s">
        <v>248</v>
      </c>
      <c r="D93" s="109" t="s">
        <v>188</v>
      </c>
      <c r="E93" s="15" t="s">
        <v>60</v>
      </c>
      <c r="F93" s="14"/>
      <c r="G93" s="12" t="s">
        <v>178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45686</v>
      </c>
      <c r="U93" s="13" t="s">
        <v>146</v>
      </c>
      <c r="V93">
        <v>1</v>
      </c>
      <c r="X93" s="51" t="s">
        <v>106</v>
      </c>
      <c r="Y93" s="52">
        <f>COUNTIF(U93:U117,"K")</f>
        <v>9</v>
      </c>
      <c r="AA93" s="59" t="s">
        <v>120</v>
      </c>
      <c r="AB93" s="60" t="s">
        <v>121</v>
      </c>
    </row>
    <row r="94" spans="1:28" x14ac:dyDescent="0.4">
      <c r="A94" s="144"/>
      <c r="B94" s="134"/>
      <c r="C94" s="85" t="s">
        <v>249</v>
      </c>
      <c r="D94" s="109" t="s">
        <v>188</v>
      </c>
      <c r="E94" s="15" t="s">
        <v>60</v>
      </c>
      <c r="F94" s="16"/>
      <c r="G94" s="12" t="s">
        <v>178</v>
      </c>
      <c r="H94" s="15"/>
      <c r="I94" s="15"/>
      <c r="J94" s="15">
        <v>1</v>
      </c>
      <c r="K94" s="15"/>
      <c r="L94" s="17">
        <v>1</v>
      </c>
      <c r="M94" s="17"/>
      <c r="N94" s="17"/>
      <c r="O94" s="17"/>
      <c r="P94" s="17"/>
      <c r="Q94" s="17"/>
      <c r="R94" s="17"/>
      <c r="S94" s="15"/>
      <c r="T94" s="25">
        <v>45686</v>
      </c>
      <c r="U94" s="13" t="s">
        <v>146</v>
      </c>
      <c r="V94">
        <v>2</v>
      </c>
      <c r="X94" s="51" t="s">
        <v>107</v>
      </c>
      <c r="Y94" s="52">
        <f>COUNTIF(U93:U117,"R")</f>
        <v>4</v>
      </c>
      <c r="AA94" s="47" t="s">
        <v>81</v>
      </c>
      <c r="AB94" s="48" t="s">
        <v>60</v>
      </c>
    </row>
    <row r="95" spans="1:28" ht="19.5" thickBot="1" x14ac:dyDescent="0.45">
      <c r="A95" s="144"/>
      <c r="B95" s="134"/>
      <c r="C95" s="85" t="s">
        <v>250</v>
      </c>
      <c r="D95" s="109" t="s">
        <v>188</v>
      </c>
      <c r="E95" s="15" t="s">
        <v>60</v>
      </c>
      <c r="F95" s="16"/>
      <c r="G95" s="12" t="s">
        <v>178</v>
      </c>
      <c r="H95" s="15"/>
      <c r="I95" s="15"/>
      <c r="J95" s="15">
        <v>1</v>
      </c>
      <c r="K95" s="15"/>
      <c r="L95" s="17">
        <v>1</v>
      </c>
      <c r="M95" s="17"/>
      <c r="N95" s="17"/>
      <c r="O95" s="17"/>
      <c r="P95" s="17"/>
      <c r="Q95" s="17"/>
      <c r="R95" s="17"/>
      <c r="S95" s="15"/>
      <c r="T95" s="25">
        <v>45686</v>
      </c>
      <c r="U95" s="13" t="s">
        <v>146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44"/>
      <c r="B96" s="134"/>
      <c r="C96" s="85" t="s">
        <v>251</v>
      </c>
      <c r="D96" s="109" t="s">
        <v>188</v>
      </c>
      <c r="E96" s="15" t="s">
        <v>60</v>
      </c>
      <c r="F96" s="16"/>
      <c r="G96" s="12" t="s">
        <v>178</v>
      </c>
      <c r="H96" s="15"/>
      <c r="I96" s="15"/>
      <c r="J96" s="15">
        <v>1</v>
      </c>
      <c r="K96" s="15"/>
      <c r="L96" s="17">
        <v>1</v>
      </c>
      <c r="M96" s="17"/>
      <c r="N96" s="17"/>
      <c r="O96" s="17"/>
      <c r="P96" s="17"/>
      <c r="Q96" s="17"/>
      <c r="R96" s="17"/>
      <c r="S96" s="15"/>
      <c r="T96" s="25">
        <v>45686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4"/>
      <c r="B97" s="134"/>
      <c r="C97" s="85" t="s">
        <v>252</v>
      </c>
      <c r="D97" s="109" t="s">
        <v>182</v>
      </c>
      <c r="E97" s="15" t="s">
        <v>60</v>
      </c>
      <c r="F97" s="16"/>
      <c r="G97" s="12" t="s">
        <v>178</v>
      </c>
      <c r="H97" s="15"/>
      <c r="I97" s="15"/>
      <c r="J97" s="15"/>
      <c r="K97" s="15"/>
      <c r="L97" s="17">
        <v>1</v>
      </c>
      <c r="M97" s="17">
        <v>1</v>
      </c>
      <c r="N97" s="17">
        <v>1</v>
      </c>
      <c r="O97" s="17"/>
      <c r="P97" s="17"/>
      <c r="Q97" s="17"/>
      <c r="R97" s="17"/>
      <c r="S97" s="15"/>
      <c r="T97" s="25">
        <v>45679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44"/>
      <c r="B98" s="134"/>
      <c r="C98" s="85" t="s">
        <v>253</v>
      </c>
      <c r="D98" s="109" t="s">
        <v>188</v>
      </c>
      <c r="E98" s="15" t="s">
        <v>60</v>
      </c>
      <c r="F98" s="16"/>
      <c r="G98" s="12" t="s">
        <v>178</v>
      </c>
      <c r="H98" s="13"/>
      <c r="I98" s="15"/>
      <c r="J98" s="15">
        <v>1</v>
      </c>
      <c r="K98" s="15"/>
      <c r="L98" s="17">
        <v>1</v>
      </c>
      <c r="M98" s="17"/>
      <c r="N98" s="17"/>
      <c r="O98" s="17"/>
      <c r="P98" s="17"/>
      <c r="Q98" s="17"/>
      <c r="R98" s="17"/>
      <c r="S98" s="15"/>
      <c r="T98" s="25">
        <v>45686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4"/>
      <c r="B99" s="134"/>
      <c r="C99" s="85" t="s">
        <v>254</v>
      </c>
      <c r="D99" s="109" t="s">
        <v>188</v>
      </c>
      <c r="E99" s="15" t="s">
        <v>60</v>
      </c>
      <c r="F99" s="16"/>
      <c r="G99" s="12" t="s">
        <v>178</v>
      </c>
      <c r="H99" s="15"/>
      <c r="I99" s="15"/>
      <c r="J99" s="15">
        <v>1</v>
      </c>
      <c r="K99" s="15"/>
      <c r="L99" s="17">
        <v>1</v>
      </c>
      <c r="M99" s="17"/>
      <c r="N99" s="17"/>
      <c r="O99" s="17"/>
      <c r="P99" s="17"/>
      <c r="Q99" s="17"/>
      <c r="R99" s="17"/>
      <c r="S99" s="15"/>
      <c r="T99" s="25">
        <v>45686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4"/>
      <c r="B100" s="134"/>
      <c r="C100" s="85" t="s">
        <v>255</v>
      </c>
      <c r="D100" s="109" t="s">
        <v>179</v>
      </c>
      <c r="E100" s="15" t="s">
        <v>36</v>
      </c>
      <c r="F100" s="16"/>
      <c r="G100" s="12" t="s">
        <v>178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45680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4"/>
      <c r="B101" s="134"/>
      <c r="C101" s="85" t="s">
        <v>256</v>
      </c>
      <c r="D101" s="109" t="s">
        <v>184</v>
      </c>
      <c r="E101" s="15" t="s">
        <v>38</v>
      </c>
      <c r="F101" s="16"/>
      <c r="G101" s="12" t="s">
        <v>178</v>
      </c>
      <c r="H101" s="15"/>
      <c r="I101" s="15"/>
      <c r="J101" s="15">
        <v>1</v>
      </c>
      <c r="K101" s="15">
        <v>1</v>
      </c>
      <c r="L101" s="17"/>
      <c r="M101" s="17"/>
      <c r="N101" s="17"/>
      <c r="O101" s="17"/>
      <c r="P101" s="17"/>
      <c r="Q101" s="17"/>
      <c r="R101" s="17"/>
      <c r="S101" s="15"/>
      <c r="T101" s="25">
        <v>45685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4"/>
      <c r="B102" s="134"/>
      <c r="C102" s="85" t="s">
        <v>257</v>
      </c>
      <c r="D102" s="109" t="s">
        <v>192</v>
      </c>
      <c r="E102" s="15" t="s">
        <v>36</v>
      </c>
      <c r="F102" s="16"/>
      <c r="G102" s="12" t="s">
        <v>178</v>
      </c>
      <c r="H102" s="15"/>
      <c r="I102" s="15"/>
      <c r="J102" s="15"/>
      <c r="K102" s="15"/>
      <c r="L102" s="17"/>
      <c r="M102" s="17">
        <v>1</v>
      </c>
      <c r="N102" s="17">
        <v>1</v>
      </c>
      <c r="O102" s="17"/>
      <c r="P102" s="17"/>
      <c r="Q102" s="17">
        <v>1</v>
      </c>
      <c r="R102" s="17"/>
      <c r="S102" s="15"/>
      <c r="T102" s="25">
        <v>45685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44"/>
      <c r="B103" s="134"/>
      <c r="C103" s="85" t="s">
        <v>258</v>
      </c>
      <c r="D103" s="109" t="s">
        <v>185</v>
      </c>
      <c r="E103" s="15" t="s">
        <v>38</v>
      </c>
      <c r="F103" s="16"/>
      <c r="G103" s="12" t="s">
        <v>178</v>
      </c>
      <c r="H103" s="15"/>
      <c r="I103" s="15"/>
      <c r="J103" s="15">
        <v>1</v>
      </c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45684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4"/>
      <c r="B104" s="134"/>
      <c r="C104" s="85" t="s">
        <v>259</v>
      </c>
      <c r="D104" s="109" t="s">
        <v>185</v>
      </c>
      <c r="E104" s="15" t="s">
        <v>36</v>
      </c>
      <c r="F104" s="16"/>
      <c r="G104" s="12" t="s">
        <v>178</v>
      </c>
      <c r="H104" s="15"/>
      <c r="I104" s="15"/>
      <c r="J104" s="15"/>
      <c r="K104" s="15"/>
      <c r="L104" s="17"/>
      <c r="M104" s="17">
        <v>1</v>
      </c>
      <c r="N104" s="17">
        <v>1</v>
      </c>
      <c r="O104" s="17"/>
      <c r="P104" s="17"/>
      <c r="Q104" s="17">
        <v>1</v>
      </c>
      <c r="R104" s="17"/>
      <c r="S104" s="15"/>
      <c r="T104" s="25">
        <v>45685</v>
      </c>
      <c r="U104" s="15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44"/>
      <c r="B105" s="134"/>
      <c r="C105" s="85" t="s">
        <v>261</v>
      </c>
      <c r="D105" s="109" t="s">
        <v>260</v>
      </c>
      <c r="E105" s="15" t="s">
        <v>75</v>
      </c>
      <c r="F105" s="16"/>
      <c r="G105" s="12" t="s">
        <v>178</v>
      </c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>
        <v>45684</v>
      </c>
      <c r="U105" s="15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4"/>
      <c r="B106" s="134"/>
      <c r="C106" s="85" t="s">
        <v>262</v>
      </c>
      <c r="D106" s="109" t="s">
        <v>179</v>
      </c>
      <c r="E106" s="15" t="s">
        <v>40</v>
      </c>
      <c r="F106" s="16"/>
      <c r="G106" s="12" t="s">
        <v>178</v>
      </c>
      <c r="H106" s="15"/>
      <c r="I106" s="15"/>
      <c r="J106" s="15"/>
      <c r="K106" s="15"/>
      <c r="L106" s="17"/>
      <c r="M106" s="17"/>
      <c r="N106" s="17"/>
      <c r="O106" s="17">
        <v>1</v>
      </c>
      <c r="P106" s="17">
        <v>1</v>
      </c>
      <c r="Q106" s="17"/>
      <c r="R106" s="17">
        <v>1</v>
      </c>
      <c r="S106" s="15"/>
      <c r="T106" s="25">
        <v>45685</v>
      </c>
      <c r="U106" s="15" t="s">
        <v>148</v>
      </c>
      <c r="V106">
        <v>14</v>
      </c>
      <c r="AA106" s="49" t="s">
        <v>93</v>
      </c>
      <c r="AB106" s="50" t="s">
        <v>57</v>
      </c>
    </row>
    <row r="107" spans="1:28" x14ac:dyDescent="0.4">
      <c r="A107" s="144"/>
      <c r="B107" s="134"/>
      <c r="C107" s="85" t="s">
        <v>263</v>
      </c>
      <c r="D107" s="109" t="s">
        <v>179</v>
      </c>
      <c r="E107" s="15" t="s">
        <v>40</v>
      </c>
      <c r="F107" s="16"/>
      <c r="G107" s="15" t="s">
        <v>178</v>
      </c>
      <c r="H107" s="15"/>
      <c r="I107" s="15"/>
      <c r="J107" s="15"/>
      <c r="K107" s="15"/>
      <c r="L107" s="17"/>
      <c r="M107" s="17"/>
      <c r="N107" s="17"/>
      <c r="O107" s="17">
        <v>1</v>
      </c>
      <c r="P107" s="17">
        <v>1</v>
      </c>
      <c r="Q107" s="17"/>
      <c r="R107" s="17">
        <v>1</v>
      </c>
      <c r="S107" s="15"/>
      <c r="T107" s="25">
        <v>45685</v>
      </c>
      <c r="U107" s="15" t="s">
        <v>148</v>
      </c>
      <c r="V107">
        <v>15</v>
      </c>
      <c r="AA107" s="49" t="s">
        <v>94</v>
      </c>
      <c r="AB107" s="50" t="s">
        <v>41</v>
      </c>
    </row>
    <row r="108" spans="1:28" x14ac:dyDescent="0.4">
      <c r="A108" s="144"/>
      <c r="B108" s="134"/>
      <c r="C108" s="85" t="s">
        <v>264</v>
      </c>
      <c r="D108" s="109" t="s">
        <v>179</v>
      </c>
      <c r="E108" s="15" t="s">
        <v>40</v>
      </c>
      <c r="F108" s="16"/>
      <c r="G108" s="15" t="s">
        <v>178</v>
      </c>
      <c r="H108" s="15"/>
      <c r="I108" s="15"/>
      <c r="J108" s="18"/>
      <c r="K108" s="15"/>
      <c r="L108" s="19"/>
      <c r="M108" s="19"/>
      <c r="N108" s="19"/>
      <c r="O108" s="19">
        <v>1</v>
      </c>
      <c r="P108" s="19">
        <v>1</v>
      </c>
      <c r="Q108" s="19"/>
      <c r="R108" s="19">
        <v>1</v>
      </c>
      <c r="S108" s="15"/>
      <c r="T108" s="25">
        <v>45685</v>
      </c>
      <c r="U108" s="15" t="s">
        <v>148</v>
      </c>
      <c r="V108">
        <v>16</v>
      </c>
      <c r="AA108" s="49" t="s">
        <v>95</v>
      </c>
      <c r="AB108" s="50" t="s">
        <v>42</v>
      </c>
    </row>
    <row r="109" spans="1:28" x14ac:dyDescent="0.4">
      <c r="A109" s="144"/>
      <c r="B109" s="134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4"/>
      <c r="B110" s="134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4"/>
      <c r="B111" s="134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4"/>
      <c r="B112" s="134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4"/>
      <c r="B113" s="134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4"/>
      <c r="B114" s="134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4"/>
      <c r="B115" s="134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4"/>
      <c r="B116" s="134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5"/>
      <c r="B117" s="135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16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9</v>
      </c>
      <c r="K118" s="29">
        <f t="shared" ref="K118" si="4">SUM(K93:K117)</f>
        <v>3</v>
      </c>
      <c r="L118" s="29">
        <f t="shared" ref="L118" si="5">SUM(L93:L117)</f>
        <v>7</v>
      </c>
      <c r="M118" s="29">
        <f t="shared" ref="M118" si="6">SUM(M93:M117)</f>
        <v>3</v>
      </c>
      <c r="N118" s="29">
        <f t="shared" ref="N118" si="7">SUM(N93:N117)</f>
        <v>3</v>
      </c>
      <c r="O118" s="29">
        <f t="shared" ref="O118" si="8">SUM(O93:O117)</f>
        <v>3</v>
      </c>
      <c r="P118" s="29">
        <f t="shared" ref="P118" si="9">SUM(P93:P117)</f>
        <v>3</v>
      </c>
      <c r="Q118" s="29">
        <f t="shared" ref="Q118" si="10">SUM(Q93:Q117)</f>
        <v>2</v>
      </c>
      <c r="R118" s="29">
        <f t="shared" ref="R118" si="11">SUM(R93:R117)</f>
        <v>3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36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AYG097</v>
      </c>
      <c r="B121" s="24">
        <f>B1</f>
        <v>45650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6" t="s">
        <v>116</v>
      </c>
      <c r="Y122" s="142"/>
    </row>
    <row r="123" spans="1:28" ht="20.25" thickTop="1" thickBot="1" x14ac:dyDescent="0.45">
      <c r="A123" s="143">
        <v>5</v>
      </c>
      <c r="B123" s="133">
        <v>20.2</v>
      </c>
      <c r="C123" s="85" t="s">
        <v>265</v>
      </c>
      <c r="D123" s="106" t="s">
        <v>183</v>
      </c>
      <c r="E123" s="106" t="s">
        <v>40</v>
      </c>
      <c r="F123" s="14"/>
      <c r="G123" s="12" t="s">
        <v>178</v>
      </c>
      <c r="H123" s="13"/>
      <c r="I123" s="13"/>
      <c r="J123" s="13"/>
      <c r="K123" s="13"/>
      <c r="L123" s="13"/>
      <c r="M123" s="13"/>
      <c r="N123" s="13"/>
      <c r="O123" s="13">
        <v>1</v>
      </c>
      <c r="P123" s="13">
        <v>1</v>
      </c>
      <c r="Q123" s="13"/>
      <c r="R123" s="13"/>
      <c r="S123" s="13"/>
      <c r="T123" s="25">
        <v>45682</v>
      </c>
      <c r="U123" s="13" t="s">
        <v>148</v>
      </c>
      <c r="V123">
        <v>1</v>
      </c>
      <c r="X123" s="51" t="s">
        <v>106</v>
      </c>
      <c r="Y123" s="52">
        <f>COUNTIF(U123:U147,"K")</f>
        <v>3</v>
      </c>
      <c r="AA123" s="59" t="s">
        <v>120</v>
      </c>
      <c r="AB123" s="60" t="s">
        <v>121</v>
      </c>
    </row>
    <row r="124" spans="1:28" x14ac:dyDescent="0.4">
      <c r="A124" s="144"/>
      <c r="B124" s="134"/>
      <c r="C124" s="85" t="s">
        <v>266</v>
      </c>
      <c r="D124" s="106" t="s">
        <v>180</v>
      </c>
      <c r="E124" s="106" t="s">
        <v>36</v>
      </c>
      <c r="F124" s="16"/>
      <c r="G124" s="12" t="s">
        <v>178</v>
      </c>
      <c r="H124" s="15"/>
      <c r="I124" s="15"/>
      <c r="J124" s="13"/>
      <c r="K124" s="15"/>
      <c r="L124" s="13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45680</v>
      </c>
      <c r="U124" s="13" t="s">
        <v>147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44"/>
      <c r="B125" s="134"/>
      <c r="C125" s="85" t="s">
        <v>267</v>
      </c>
      <c r="D125" s="106" t="s">
        <v>180</v>
      </c>
      <c r="E125" s="106" t="s">
        <v>37</v>
      </c>
      <c r="F125" s="16"/>
      <c r="G125" s="12" t="s">
        <v>178</v>
      </c>
      <c r="H125" s="13"/>
      <c r="I125" s="15"/>
      <c r="J125" s="13">
        <v>1</v>
      </c>
      <c r="K125" s="15">
        <v>1</v>
      </c>
      <c r="L125" s="13"/>
      <c r="M125" s="17"/>
      <c r="N125" s="17"/>
      <c r="O125" s="17"/>
      <c r="P125" s="17"/>
      <c r="Q125" s="17"/>
      <c r="R125" s="17"/>
      <c r="S125" s="15"/>
      <c r="T125" s="25">
        <v>45680</v>
      </c>
      <c r="U125" s="13" t="s">
        <v>142</v>
      </c>
      <c r="V125">
        <v>3</v>
      </c>
      <c r="X125" s="53" t="s">
        <v>108</v>
      </c>
      <c r="Y125" s="54">
        <f>COUNTIF(U123:U147,"J")</f>
        <v>7</v>
      </c>
      <c r="AA125" s="49" t="s">
        <v>82</v>
      </c>
      <c r="AB125" s="50" t="s">
        <v>39</v>
      </c>
    </row>
    <row r="126" spans="1:28" x14ac:dyDescent="0.4">
      <c r="A126" s="144"/>
      <c r="B126" s="134"/>
      <c r="C126" s="85" t="s">
        <v>268</v>
      </c>
      <c r="D126" s="106" t="s">
        <v>181</v>
      </c>
      <c r="E126" s="106" t="s">
        <v>40</v>
      </c>
      <c r="F126" s="16"/>
      <c r="G126" s="12" t="s">
        <v>273</v>
      </c>
      <c r="H126" s="15"/>
      <c r="I126" s="15"/>
      <c r="J126" s="13"/>
      <c r="K126" s="15"/>
      <c r="L126" s="13"/>
      <c r="M126" s="17"/>
      <c r="N126" s="17"/>
      <c r="O126" s="17">
        <v>1</v>
      </c>
      <c r="P126" s="17">
        <v>1</v>
      </c>
      <c r="Q126" s="17"/>
      <c r="R126" s="17"/>
      <c r="S126" s="15"/>
      <c r="T126" s="25">
        <v>45699</v>
      </c>
      <c r="U126" s="13" t="s">
        <v>148</v>
      </c>
      <c r="V126">
        <v>4</v>
      </c>
      <c r="AA126" s="49" t="s">
        <v>83</v>
      </c>
      <c r="AB126" s="50" t="s">
        <v>38</v>
      </c>
    </row>
    <row r="127" spans="1:28" x14ac:dyDescent="0.4">
      <c r="A127" s="144"/>
      <c r="B127" s="134"/>
      <c r="C127" s="85" t="s">
        <v>269</v>
      </c>
      <c r="D127" s="106" t="s">
        <v>181</v>
      </c>
      <c r="E127" s="106" t="s">
        <v>40</v>
      </c>
      <c r="F127" s="16"/>
      <c r="G127" s="12" t="s">
        <v>273</v>
      </c>
      <c r="H127" s="15"/>
      <c r="I127" s="15"/>
      <c r="J127" s="13"/>
      <c r="K127" s="15"/>
      <c r="L127" s="13"/>
      <c r="M127" s="17"/>
      <c r="N127" s="17"/>
      <c r="O127" s="17">
        <v>1</v>
      </c>
      <c r="P127" s="17">
        <v>1</v>
      </c>
      <c r="Q127" s="17"/>
      <c r="R127" s="17"/>
      <c r="S127" s="15"/>
      <c r="T127" s="25">
        <v>45699</v>
      </c>
      <c r="U127" s="13" t="s">
        <v>148</v>
      </c>
      <c r="V127">
        <v>5</v>
      </c>
      <c r="AA127" s="49" t="s">
        <v>84</v>
      </c>
      <c r="AB127" s="50" t="s">
        <v>44</v>
      </c>
    </row>
    <row r="128" spans="1:28" x14ac:dyDescent="0.4">
      <c r="A128" s="144"/>
      <c r="B128" s="134"/>
      <c r="C128" s="85" t="s">
        <v>270</v>
      </c>
      <c r="D128" s="106" t="s">
        <v>181</v>
      </c>
      <c r="E128" s="106" t="s">
        <v>40</v>
      </c>
      <c r="F128" s="16"/>
      <c r="G128" s="12" t="s">
        <v>273</v>
      </c>
      <c r="H128" s="13"/>
      <c r="I128" s="15"/>
      <c r="J128" s="13"/>
      <c r="K128" s="15"/>
      <c r="L128" s="13"/>
      <c r="M128" s="17"/>
      <c r="N128" s="17"/>
      <c r="O128" s="17">
        <v>1</v>
      </c>
      <c r="P128" s="17">
        <v>1</v>
      </c>
      <c r="Q128" s="17"/>
      <c r="R128" s="17"/>
      <c r="S128" s="15"/>
      <c r="T128" s="25">
        <v>45699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44"/>
      <c r="B129" s="134"/>
      <c r="C129" s="85" t="s">
        <v>271</v>
      </c>
      <c r="D129" s="106" t="s">
        <v>181</v>
      </c>
      <c r="E129" s="106" t="s">
        <v>40</v>
      </c>
      <c r="F129" s="16"/>
      <c r="G129" s="12" t="s">
        <v>273</v>
      </c>
      <c r="H129" s="15"/>
      <c r="I129" s="15"/>
      <c r="J129" s="13"/>
      <c r="K129" s="15"/>
      <c r="L129" s="13"/>
      <c r="M129" s="17"/>
      <c r="N129" s="17"/>
      <c r="O129" s="17">
        <v>1</v>
      </c>
      <c r="P129" s="17">
        <v>1</v>
      </c>
      <c r="Q129" s="17"/>
      <c r="R129" s="17"/>
      <c r="S129" s="15"/>
      <c r="T129" s="25">
        <v>45699</v>
      </c>
      <c r="U129" s="13" t="s">
        <v>148</v>
      </c>
      <c r="V129">
        <v>7</v>
      </c>
      <c r="AA129" s="49" t="s">
        <v>86</v>
      </c>
      <c r="AB129" s="50" t="s">
        <v>45</v>
      </c>
    </row>
    <row r="130" spans="1:28" x14ac:dyDescent="0.4">
      <c r="A130" s="144"/>
      <c r="B130" s="134"/>
      <c r="C130" s="85" t="s">
        <v>272</v>
      </c>
      <c r="D130" s="106" t="s">
        <v>181</v>
      </c>
      <c r="E130" s="106" t="s">
        <v>40</v>
      </c>
      <c r="F130" s="16"/>
      <c r="G130" s="12" t="s">
        <v>273</v>
      </c>
      <c r="H130" s="15"/>
      <c r="I130" s="15"/>
      <c r="J130" s="13"/>
      <c r="K130" s="15"/>
      <c r="L130" s="13"/>
      <c r="M130" s="17"/>
      <c r="N130" s="17"/>
      <c r="O130" s="17">
        <v>1</v>
      </c>
      <c r="P130" s="17">
        <v>1</v>
      </c>
      <c r="Q130" s="17"/>
      <c r="R130" s="17"/>
      <c r="S130" s="15"/>
      <c r="T130" s="25">
        <v>45699</v>
      </c>
      <c r="U130" s="13" t="s">
        <v>148</v>
      </c>
      <c r="V130">
        <v>8</v>
      </c>
      <c r="AA130" s="49" t="s">
        <v>87</v>
      </c>
      <c r="AB130" s="50" t="s">
        <v>37</v>
      </c>
    </row>
    <row r="131" spans="1:28" x14ac:dyDescent="0.4">
      <c r="A131" s="144"/>
      <c r="B131" s="134"/>
      <c r="C131" s="85" t="s">
        <v>274</v>
      </c>
      <c r="D131" s="106" t="s">
        <v>188</v>
      </c>
      <c r="E131" s="106" t="s">
        <v>59</v>
      </c>
      <c r="F131" s="16"/>
      <c r="G131" s="12" t="s">
        <v>178</v>
      </c>
      <c r="H131" s="15" t="s">
        <v>213</v>
      </c>
      <c r="I131" s="15"/>
      <c r="J131" s="13">
        <v>2</v>
      </c>
      <c r="K131" s="15"/>
      <c r="L131" s="13"/>
      <c r="M131" s="17"/>
      <c r="N131" s="17"/>
      <c r="O131" s="17"/>
      <c r="P131" s="17"/>
      <c r="Q131" s="17"/>
      <c r="R131" s="17"/>
      <c r="S131" s="15"/>
      <c r="T131" s="25">
        <v>45684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4"/>
      <c r="B132" s="134"/>
      <c r="C132" s="85" t="s">
        <v>275</v>
      </c>
      <c r="D132" s="106" t="s">
        <v>188</v>
      </c>
      <c r="E132" s="106" t="s">
        <v>59</v>
      </c>
      <c r="F132" s="106"/>
      <c r="G132" s="12" t="s">
        <v>178</v>
      </c>
      <c r="H132" s="15" t="s">
        <v>213</v>
      </c>
      <c r="I132" s="15"/>
      <c r="J132" s="13">
        <v>2</v>
      </c>
      <c r="K132" s="15"/>
      <c r="L132" s="13"/>
      <c r="M132" s="17"/>
      <c r="N132" s="17"/>
      <c r="O132" s="17"/>
      <c r="P132" s="17"/>
      <c r="Q132" s="17"/>
      <c r="R132" s="17"/>
      <c r="S132" s="15"/>
      <c r="T132" s="25">
        <v>45684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4"/>
      <c r="B133" s="134"/>
      <c r="C133" s="85" t="s">
        <v>276</v>
      </c>
      <c r="D133" s="106" t="s">
        <v>190</v>
      </c>
      <c r="E133" s="106" t="s">
        <v>40</v>
      </c>
      <c r="F133" s="16"/>
      <c r="G133" s="12" t="s">
        <v>273</v>
      </c>
      <c r="H133" s="15"/>
      <c r="I133" s="15"/>
      <c r="J133" s="15"/>
      <c r="K133" s="15"/>
      <c r="L133" s="17"/>
      <c r="M133" s="17"/>
      <c r="N133" s="17"/>
      <c r="O133" s="17">
        <v>1</v>
      </c>
      <c r="P133" s="17">
        <v>1</v>
      </c>
      <c r="Q133" s="17"/>
      <c r="R133" s="17"/>
      <c r="S133" s="15"/>
      <c r="T133" s="25">
        <v>45685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44"/>
      <c r="B134" s="134"/>
      <c r="C134" s="85" t="s">
        <v>277</v>
      </c>
      <c r="D134" s="106" t="s">
        <v>179</v>
      </c>
      <c r="E134" s="106" t="s">
        <v>36</v>
      </c>
      <c r="F134" s="16"/>
      <c r="G134" s="12" t="s">
        <v>273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/>
      <c r="R134" s="17"/>
      <c r="S134" s="15"/>
      <c r="T134" s="25">
        <v>45684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4"/>
      <c r="B135" s="134"/>
      <c r="C135" s="85" t="s">
        <v>278</v>
      </c>
      <c r="D135" s="106" t="s">
        <v>187</v>
      </c>
      <c r="E135" s="106" t="s">
        <v>74</v>
      </c>
      <c r="F135" s="16"/>
      <c r="G135" s="12" t="s">
        <v>178</v>
      </c>
      <c r="H135" s="15"/>
      <c r="I135" s="15"/>
      <c r="J135" s="15"/>
      <c r="K135" s="15"/>
      <c r="L135" s="17"/>
      <c r="M135" s="17">
        <v>1</v>
      </c>
      <c r="N135" s="17">
        <v>1</v>
      </c>
      <c r="O135" s="17"/>
      <c r="P135" s="17"/>
      <c r="Q135" s="17">
        <v>1</v>
      </c>
      <c r="R135" s="17"/>
      <c r="S135" s="15"/>
      <c r="T135" s="25">
        <v>45686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44"/>
      <c r="B136" s="134"/>
      <c r="C136" s="85" t="s">
        <v>279</v>
      </c>
      <c r="D136" s="106" t="s">
        <v>187</v>
      </c>
      <c r="E136" s="106" t="s">
        <v>74</v>
      </c>
      <c r="F136" s="16"/>
      <c r="G136" s="12" t="s">
        <v>178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45686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4"/>
      <c r="B137" s="134"/>
      <c r="C137" s="85"/>
      <c r="D137" s="106"/>
      <c r="E137" s="106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44"/>
      <c r="B138" s="134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4"/>
      <c r="B139" s="134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4"/>
      <c r="B140" s="134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4"/>
      <c r="B141" s="134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4"/>
      <c r="B142" s="134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4"/>
      <c r="B143" s="134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4"/>
      <c r="B144" s="134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4"/>
      <c r="B145" s="134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4"/>
      <c r="B146" s="134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5"/>
      <c r="B147" s="135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14</v>
      </c>
      <c r="D148" s="112"/>
      <c r="E148" s="29"/>
      <c r="F148" s="29" t="s">
        <v>34</v>
      </c>
      <c r="G148" s="29">
        <f>COUNTIF(G123:G147,"S")</f>
        <v>7</v>
      </c>
      <c r="H148" s="29">
        <f>COUNTIF(H123:H147,"E")</f>
        <v>2</v>
      </c>
      <c r="I148" s="29">
        <f>SUM(I123:I147)</f>
        <v>0</v>
      </c>
      <c r="J148" s="29">
        <f t="shared" ref="J148" si="13">SUM(J123:J147)</f>
        <v>5</v>
      </c>
      <c r="K148" s="29">
        <f t="shared" ref="K148" si="14">SUM(K123:K147)</f>
        <v>1</v>
      </c>
      <c r="L148" s="29">
        <f t="shared" ref="L148" si="15">SUM(L123:L147)</f>
        <v>0</v>
      </c>
      <c r="M148" s="29">
        <f t="shared" ref="M148" si="16">SUM(M123:M147)</f>
        <v>4</v>
      </c>
      <c r="N148" s="29">
        <f t="shared" ref="N148" si="17">SUM(N123:N147)</f>
        <v>4</v>
      </c>
      <c r="O148" s="29">
        <f t="shared" ref="O148" si="18">SUM(O123:O147)</f>
        <v>7</v>
      </c>
      <c r="P148" s="29">
        <f t="shared" ref="P148" si="19">SUM(P123:P147)</f>
        <v>7</v>
      </c>
      <c r="Q148" s="29">
        <f t="shared" ref="Q148" si="20">SUM(Q123:Q147)</f>
        <v>3</v>
      </c>
      <c r="R148" s="29">
        <f t="shared" ref="R148" si="21">SUM(R123:R147)</f>
        <v>0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7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31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AYG097</v>
      </c>
      <c r="B151" s="24">
        <f>B1</f>
        <v>45650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6" t="s">
        <v>115</v>
      </c>
      <c r="Y152" s="142"/>
    </row>
    <row r="153" spans="1:28" ht="20.25" thickTop="1" thickBot="1" x14ac:dyDescent="0.45">
      <c r="A153" s="143">
        <v>6</v>
      </c>
      <c r="B153" s="146">
        <v>19.8</v>
      </c>
      <c r="C153" s="85" t="s">
        <v>280</v>
      </c>
      <c r="D153" s="106" t="s">
        <v>243</v>
      </c>
      <c r="E153" s="15" t="s">
        <v>38</v>
      </c>
      <c r="F153" s="14"/>
      <c r="G153" s="12" t="s">
        <v>178</v>
      </c>
      <c r="H153" s="13"/>
      <c r="I153" s="13"/>
      <c r="J153" s="13"/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5">
        <v>45682</v>
      </c>
      <c r="U153" s="13" t="s">
        <v>146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44"/>
      <c r="B154" s="147"/>
      <c r="C154" s="85" t="s">
        <v>281</v>
      </c>
      <c r="D154" s="106" t="s">
        <v>243</v>
      </c>
      <c r="E154" s="15" t="s">
        <v>40</v>
      </c>
      <c r="F154" s="16"/>
      <c r="G154" s="15" t="s">
        <v>178</v>
      </c>
      <c r="H154" s="15"/>
      <c r="I154" s="15"/>
      <c r="J154" s="15"/>
      <c r="K154" s="15"/>
      <c r="L154" s="17"/>
      <c r="M154" s="17"/>
      <c r="N154" s="17"/>
      <c r="O154" s="17">
        <v>1</v>
      </c>
      <c r="P154" s="17">
        <v>1</v>
      </c>
      <c r="Q154" s="17">
        <v>1</v>
      </c>
      <c r="R154" s="17">
        <v>1</v>
      </c>
      <c r="S154" s="15"/>
      <c r="T154" s="25">
        <v>45682</v>
      </c>
      <c r="U154" s="13" t="s">
        <v>148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44"/>
      <c r="B155" s="147"/>
      <c r="C155" s="85" t="s">
        <v>282</v>
      </c>
      <c r="D155" s="106" t="s">
        <v>283</v>
      </c>
      <c r="E155" s="15" t="s">
        <v>38</v>
      </c>
      <c r="F155" s="16"/>
      <c r="G155" s="15" t="s">
        <v>178</v>
      </c>
      <c r="H155" s="13"/>
      <c r="I155" s="15"/>
      <c r="J155" s="15">
        <v>1</v>
      </c>
      <c r="K155" s="15">
        <v>1</v>
      </c>
      <c r="L155" s="17"/>
      <c r="M155" s="17"/>
      <c r="N155" s="17"/>
      <c r="O155" s="17"/>
      <c r="P155" s="17"/>
      <c r="Q155" s="17"/>
      <c r="R155" s="17"/>
      <c r="S155" s="15"/>
      <c r="T155" s="25">
        <v>45686</v>
      </c>
      <c r="U155" s="13" t="s">
        <v>146</v>
      </c>
      <c r="V155">
        <v>3</v>
      </c>
      <c r="X155" s="53" t="s">
        <v>108</v>
      </c>
      <c r="Y155" s="54">
        <f>COUNTIF(U153:U177,"J")</f>
        <v>4</v>
      </c>
      <c r="AA155" s="49" t="s">
        <v>82</v>
      </c>
      <c r="AB155" s="50" t="s">
        <v>39</v>
      </c>
    </row>
    <row r="156" spans="1:28" x14ac:dyDescent="0.4">
      <c r="A156" s="144"/>
      <c r="B156" s="147"/>
      <c r="C156" s="85" t="s">
        <v>284</v>
      </c>
      <c r="D156" s="106" t="s">
        <v>180</v>
      </c>
      <c r="E156" s="15" t="s">
        <v>39</v>
      </c>
      <c r="F156" s="16"/>
      <c r="G156" s="15" t="s">
        <v>178</v>
      </c>
      <c r="H156" s="15"/>
      <c r="I156" s="15"/>
      <c r="J156" s="15">
        <v>1</v>
      </c>
      <c r="K156" s="15">
        <v>1</v>
      </c>
      <c r="L156" s="17"/>
      <c r="M156" s="17"/>
      <c r="N156" s="17"/>
      <c r="O156" s="17"/>
      <c r="P156" s="17"/>
      <c r="Q156" s="17"/>
      <c r="R156" s="17"/>
      <c r="S156" s="15"/>
      <c r="T156" s="25">
        <v>45680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4"/>
      <c r="B157" s="147"/>
      <c r="C157" s="85" t="s">
        <v>285</v>
      </c>
      <c r="D157" s="106" t="s">
        <v>180</v>
      </c>
      <c r="E157" s="15" t="s">
        <v>39</v>
      </c>
      <c r="F157" s="16"/>
      <c r="G157" s="15" t="s">
        <v>178</v>
      </c>
      <c r="H157" s="15"/>
      <c r="I157" s="15"/>
      <c r="J157" s="15">
        <v>1</v>
      </c>
      <c r="K157" s="15">
        <v>1</v>
      </c>
      <c r="L157" s="17"/>
      <c r="M157" s="17"/>
      <c r="N157" s="17"/>
      <c r="O157" s="17"/>
      <c r="P157" s="17"/>
      <c r="Q157" s="17"/>
      <c r="R157" s="17"/>
      <c r="S157" s="15"/>
      <c r="T157" s="25">
        <v>45680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4"/>
      <c r="B158" s="147"/>
      <c r="C158" s="85" t="s">
        <v>286</v>
      </c>
      <c r="D158" s="106" t="s">
        <v>180</v>
      </c>
      <c r="E158" s="15" t="s">
        <v>36</v>
      </c>
      <c r="F158" s="16"/>
      <c r="G158" s="13" t="s">
        <v>178</v>
      </c>
      <c r="H158" s="13"/>
      <c r="I158" s="15"/>
      <c r="J158" s="15">
        <v>1</v>
      </c>
      <c r="K158" s="15">
        <v>1</v>
      </c>
      <c r="L158" s="17"/>
      <c r="M158" s="17"/>
      <c r="N158" s="17"/>
      <c r="O158" s="17"/>
      <c r="P158" s="17"/>
      <c r="Q158" s="17"/>
      <c r="R158" s="17"/>
      <c r="S158" s="15"/>
      <c r="T158" s="25">
        <v>45680</v>
      </c>
      <c r="U158" s="15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4"/>
      <c r="B159" s="147"/>
      <c r="C159" s="85" t="s">
        <v>287</v>
      </c>
      <c r="D159" s="106" t="s">
        <v>180</v>
      </c>
      <c r="E159" s="15" t="s">
        <v>37</v>
      </c>
      <c r="F159" s="16"/>
      <c r="G159" s="15" t="s">
        <v>178</v>
      </c>
      <c r="H159" s="15"/>
      <c r="I159" s="15"/>
      <c r="J159" s="15"/>
      <c r="K159" s="15"/>
      <c r="L159" s="17"/>
      <c r="M159" s="17">
        <v>1</v>
      </c>
      <c r="N159" s="17">
        <v>1</v>
      </c>
      <c r="O159" s="17"/>
      <c r="P159" s="17"/>
      <c r="Q159" s="17">
        <v>1</v>
      </c>
      <c r="R159" s="17"/>
      <c r="S159" s="15"/>
      <c r="T159" s="25">
        <v>45680</v>
      </c>
      <c r="U159" s="15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4"/>
      <c r="B160" s="147"/>
      <c r="C160" s="85" t="s">
        <v>288</v>
      </c>
      <c r="D160" s="106" t="s">
        <v>183</v>
      </c>
      <c r="E160" s="15" t="s">
        <v>74</v>
      </c>
      <c r="F160" s="16"/>
      <c r="G160" s="15" t="s">
        <v>178</v>
      </c>
      <c r="H160" s="15"/>
      <c r="I160" s="15"/>
      <c r="J160" s="15">
        <v>1</v>
      </c>
      <c r="K160" s="15">
        <v>1</v>
      </c>
      <c r="L160" s="17"/>
      <c r="M160" s="17"/>
      <c r="N160" s="17"/>
      <c r="O160" s="17"/>
      <c r="P160" s="17"/>
      <c r="Q160" s="17"/>
      <c r="R160" s="17"/>
      <c r="S160" s="15"/>
      <c r="T160" s="25">
        <v>45685</v>
      </c>
      <c r="U160" s="15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4"/>
      <c r="B161" s="147"/>
      <c r="C161" s="85" t="s">
        <v>289</v>
      </c>
      <c r="D161" s="106" t="s">
        <v>183</v>
      </c>
      <c r="E161" s="15" t="s">
        <v>40</v>
      </c>
      <c r="F161" s="16"/>
      <c r="G161" s="15" t="s">
        <v>178</v>
      </c>
      <c r="H161" s="15"/>
      <c r="I161" s="15"/>
      <c r="J161" s="15"/>
      <c r="K161" s="15"/>
      <c r="L161" s="17"/>
      <c r="M161" s="17"/>
      <c r="N161" s="17"/>
      <c r="O161" s="17">
        <v>1</v>
      </c>
      <c r="P161" s="17">
        <v>1</v>
      </c>
      <c r="Q161" s="17">
        <v>1</v>
      </c>
      <c r="R161" s="17">
        <v>1</v>
      </c>
      <c r="S161" s="132"/>
      <c r="T161" s="25">
        <v>45685</v>
      </c>
      <c r="U161" s="15" t="s">
        <v>148</v>
      </c>
      <c r="V161">
        <v>9</v>
      </c>
      <c r="AA161" s="49" t="s">
        <v>88</v>
      </c>
      <c r="AB161" s="50" t="s">
        <v>74</v>
      </c>
    </row>
    <row r="162" spans="1:28" x14ac:dyDescent="0.4">
      <c r="A162" s="144"/>
      <c r="B162" s="147"/>
      <c r="C162" s="85" t="s">
        <v>290</v>
      </c>
      <c r="D162" s="106" t="s">
        <v>191</v>
      </c>
      <c r="E162" s="15" t="s">
        <v>41</v>
      </c>
      <c r="F162" s="16"/>
      <c r="G162" s="15" t="s">
        <v>178</v>
      </c>
      <c r="H162" s="15"/>
      <c r="I162" s="15"/>
      <c r="J162" s="15"/>
      <c r="K162" s="15"/>
      <c r="L162" s="17"/>
      <c r="M162" s="17"/>
      <c r="N162" s="17"/>
      <c r="O162" s="17"/>
      <c r="P162" s="17"/>
      <c r="Q162" s="17">
        <v>1</v>
      </c>
      <c r="R162" s="17"/>
      <c r="S162" s="15"/>
      <c r="T162" s="25">
        <v>45698</v>
      </c>
      <c r="U162" s="15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4"/>
      <c r="B163" s="147"/>
      <c r="C163" s="85" t="s">
        <v>291</v>
      </c>
      <c r="D163" s="106" t="s">
        <v>191</v>
      </c>
      <c r="E163" s="15" t="s">
        <v>41</v>
      </c>
      <c r="F163" s="16"/>
      <c r="G163" s="15" t="s">
        <v>178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>
        <v>1</v>
      </c>
      <c r="R163" s="17"/>
      <c r="S163" s="15"/>
      <c r="T163" s="25">
        <v>45698</v>
      </c>
      <c r="U163" s="15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4"/>
      <c r="B164" s="147"/>
      <c r="C164" s="85" t="s">
        <v>292</v>
      </c>
      <c r="D164" s="106" t="s">
        <v>199</v>
      </c>
      <c r="E164" s="15" t="s">
        <v>40</v>
      </c>
      <c r="F164" s="16"/>
      <c r="G164" s="15" t="s">
        <v>178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>
        <v>1</v>
      </c>
      <c r="R164" s="17">
        <v>1</v>
      </c>
      <c r="S164" s="15"/>
      <c r="T164" s="25">
        <v>45682</v>
      </c>
      <c r="U164" s="15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44"/>
      <c r="B165" s="147"/>
      <c r="C165" s="85" t="s">
        <v>293</v>
      </c>
      <c r="D165" s="106" t="s">
        <v>199</v>
      </c>
      <c r="E165" s="15" t="s">
        <v>40</v>
      </c>
      <c r="F165" s="16"/>
      <c r="G165" s="15" t="s">
        <v>178</v>
      </c>
      <c r="H165" s="15"/>
      <c r="I165" s="15"/>
      <c r="J165" s="15"/>
      <c r="K165" s="15"/>
      <c r="L165" s="17"/>
      <c r="M165" s="17"/>
      <c r="N165" s="17"/>
      <c r="O165" s="17">
        <v>1</v>
      </c>
      <c r="P165" s="17">
        <v>1</v>
      </c>
      <c r="Q165" s="17">
        <v>1</v>
      </c>
      <c r="R165" s="17">
        <v>1</v>
      </c>
      <c r="S165" s="15"/>
      <c r="T165" s="25">
        <v>45682</v>
      </c>
      <c r="U165" s="105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44"/>
      <c r="B166" s="147"/>
      <c r="C166" s="85" t="s">
        <v>294</v>
      </c>
      <c r="D166" s="106" t="s">
        <v>179</v>
      </c>
      <c r="E166" s="15" t="s">
        <v>36</v>
      </c>
      <c r="F166" s="16"/>
      <c r="G166" s="15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/>
      <c r="R166" s="17">
        <v>1</v>
      </c>
      <c r="S166" s="15"/>
      <c r="T166" s="25">
        <v>45679</v>
      </c>
      <c r="U166" s="15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4"/>
      <c r="B167" s="147"/>
      <c r="C167" s="85" t="s">
        <v>295</v>
      </c>
      <c r="D167" s="106" t="s">
        <v>206</v>
      </c>
      <c r="E167" s="15" t="s">
        <v>38</v>
      </c>
      <c r="F167" s="16"/>
      <c r="G167" s="15" t="s">
        <v>178</v>
      </c>
      <c r="H167" s="15"/>
      <c r="I167" s="15"/>
      <c r="J167" s="15">
        <v>1</v>
      </c>
      <c r="K167" s="15">
        <v>1</v>
      </c>
      <c r="L167" s="17"/>
      <c r="M167" s="17"/>
      <c r="N167" s="17"/>
      <c r="O167" s="17"/>
      <c r="P167" s="17"/>
      <c r="Q167" s="17"/>
      <c r="R167" s="17"/>
      <c r="S167" s="15"/>
      <c r="T167" s="25">
        <v>45686</v>
      </c>
      <c r="U167" s="25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44"/>
      <c r="B168" s="147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44"/>
      <c r="B169" s="147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4"/>
      <c r="B170" s="147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4"/>
      <c r="B171" s="147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4"/>
      <c r="B172" s="147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4"/>
      <c r="B173" s="147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4"/>
      <c r="B174" s="147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4"/>
      <c r="B175" s="147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4"/>
      <c r="B176" s="147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5"/>
      <c r="B177" s="148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7</v>
      </c>
      <c r="L178" s="29">
        <f t="shared" ref="L178" si="25">SUM(L153:L177)</f>
        <v>0</v>
      </c>
      <c r="M178" s="29">
        <f t="shared" ref="M178" si="26">SUM(M153:M177)</f>
        <v>2</v>
      </c>
      <c r="N178" s="29">
        <f t="shared" ref="N178" si="27">SUM(N153:N177)</f>
        <v>2</v>
      </c>
      <c r="O178" s="29">
        <f t="shared" ref="O178" si="28">SUM(O153:O177)</f>
        <v>4</v>
      </c>
      <c r="P178" s="29">
        <f t="shared" ref="P178" si="29">SUM(P153:P177)</f>
        <v>4</v>
      </c>
      <c r="Q178" s="29">
        <f t="shared" ref="Q178" si="30">SUM(Q153:Q177)</f>
        <v>7</v>
      </c>
      <c r="R178" s="29">
        <f t="shared" ref="R178" si="31">SUM(R153:R177)</f>
        <v>5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37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6" t="s">
        <v>114</v>
      </c>
      <c r="Y182" s="142"/>
    </row>
    <row r="183" spans="1:28" ht="20.25" thickTop="1" thickBot="1" x14ac:dyDescent="0.45">
      <c r="A183" s="143">
        <v>7</v>
      </c>
      <c r="B183" s="146">
        <v>18.899999999999999</v>
      </c>
      <c r="C183" s="85" t="s">
        <v>296</v>
      </c>
      <c r="D183" s="110" t="s">
        <v>179</v>
      </c>
      <c r="E183" s="18" t="s">
        <v>36</v>
      </c>
      <c r="F183" s="16"/>
      <c r="G183" s="18" t="s">
        <v>178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45679</v>
      </c>
      <c r="U183" s="15" t="s">
        <v>146</v>
      </c>
      <c r="V183">
        <v>1</v>
      </c>
      <c r="X183" s="51" t="s">
        <v>106</v>
      </c>
      <c r="Y183" s="52">
        <f>COUNTIF(U183:U207,"K")</f>
        <v>5</v>
      </c>
      <c r="AA183" s="59" t="s">
        <v>120</v>
      </c>
      <c r="AB183" s="60" t="s">
        <v>121</v>
      </c>
    </row>
    <row r="184" spans="1:28" x14ac:dyDescent="0.4">
      <c r="A184" s="144"/>
      <c r="B184" s="147"/>
      <c r="C184" s="85" t="s">
        <v>297</v>
      </c>
      <c r="D184" s="110" t="s">
        <v>179</v>
      </c>
      <c r="E184" s="15" t="s">
        <v>37</v>
      </c>
      <c r="F184" s="16"/>
      <c r="G184" s="18" t="s">
        <v>178</v>
      </c>
      <c r="H184" s="15"/>
      <c r="I184" s="15"/>
      <c r="J184" s="18">
        <v>1</v>
      </c>
      <c r="K184" s="15">
        <v>1</v>
      </c>
      <c r="L184" s="19"/>
      <c r="M184" s="19"/>
      <c r="N184" s="19"/>
      <c r="O184" s="19"/>
      <c r="P184" s="19"/>
      <c r="Q184" s="19"/>
      <c r="R184" s="19"/>
      <c r="S184" s="15"/>
      <c r="T184" s="25">
        <v>45680</v>
      </c>
      <c r="U184" s="15" t="s">
        <v>146</v>
      </c>
      <c r="V184">
        <v>2</v>
      </c>
      <c r="X184" s="51" t="s">
        <v>107</v>
      </c>
      <c r="Y184" s="52">
        <f>COUNTIF(U183:U207,"R")</f>
        <v>8</v>
      </c>
      <c r="AA184" s="47" t="s">
        <v>81</v>
      </c>
      <c r="AB184" s="48" t="s">
        <v>60</v>
      </c>
    </row>
    <row r="185" spans="1:28" ht="19.5" thickBot="1" x14ac:dyDescent="0.45">
      <c r="A185" s="144"/>
      <c r="B185" s="147"/>
      <c r="C185" s="85" t="s">
        <v>298</v>
      </c>
      <c r="D185" s="110" t="s">
        <v>299</v>
      </c>
      <c r="E185" s="15" t="s">
        <v>41</v>
      </c>
      <c r="F185" s="16"/>
      <c r="G185" s="18" t="s">
        <v>178</v>
      </c>
      <c r="H185" s="15"/>
      <c r="I185" s="15"/>
      <c r="J185" s="15"/>
      <c r="K185" s="15"/>
      <c r="L185" s="17"/>
      <c r="M185" s="17"/>
      <c r="N185" s="17"/>
      <c r="O185" s="17"/>
      <c r="P185" s="17"/>
      <c r="Q185" s="17">
        <v>1</v>
      </c>
      <c r="R185" s="17"/>
      <c r="S185" s="15"/>
      <c r="T185" s="25">
        <v>45677</v>
      </c>
      <c r="U185" s="15" t="s">
        <v>147</v>
      </c>
      <c r="V185">
        <v>3</v>
      </c>
      <c r="X185" s="53" t="s">
        <v>108</v>
      </c>
      <c r="Y185" s="54">
        <f>COUNTIF(U183:U207,"J")</f>
        <v>5</v>
      </c>
      <c r="AA185" s="49" t="s">
        <v>82</v>
      </c>
      <c r="AB185" s="50" t="s">
        <v>39</v>
      </c>
    </row>
    <row r="186" spans="1:28" x14ac:dyDescent="0.4">
      <c r="A186" s="144"/>
      <c r="B186" s="147"/>
      <c r="C186" s="85" t="s">
        <v>300</v>
      </c>
      <c r="D186" s="110" t="s">
        <v>299</v>
      </c>
      <c r="E186" s="15" t="s">
        <v>41</v>
      </c>
      <c r="F186" s="16"/>
      <c r="G186" s="18" t="s">
        <v>178</v>
      </c>
      <c r="H186" s="15"/>
      <c r="I186" s="15"/>
      <c r="J186" s="15"/>
      <c r="K186" s="15"/>
      <c r="L186" s="17"/>
      <c r="M186" s="17"/>
      <c r="N186" s="17"/>
      <c r="O186" s="17"/>
      <c r="P186" s="17"/>
      <c r="Q186" s="17">
        <v>1</v>
      </c>
      <c r="R186" s="17"/>
      <c r="S186" s="15"/>
      <c r="T186" s="25">
        <v>45677</v>
      </c>
      <c r="U186" s="2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44"/>
      <c r="B187" s="147"/>
      <c r="C187" s="85" t="s">
        <v>301</v>
      </c>
      <c r="D187" s="106" t="s">
        <v>183</v>
      </c>
      <c r="E187" s="13" t="s">
        <v>75</v>
      </c>
      <c r="F187" s="16"/>
      <c r="G187" s="18" t="s">
        <v>178</v>
      </c>
      <c r="H187" s="15"/>
      <c r="I187" s="15"/>
      <c r="J187" s="15"/>
      <c r="K187" s="15"/>
      <c r="L187" s="17"/>
      <c r="M187" s="17"/>
      <c r="N187" s="17"/>
      <c r="O187" s="17"/>
      <c r="P187" s="17"/>
      <c r="Q187" s="17"/>
      <c r="R187" s="17"/>
      <c r="S187" s="15">
        <v>1</v>
      </c>
      <c r="T187" s="25">
        <v>45682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4"/>
      <c r="B188" s="147"/>
      <c r="C188" s="85" t="s">
        <v>302</v>
      </c>
      <c r="D188" s="106" t="s">
        <v>179</v>
      </c>
      <c r="E188" s="13" t="s">
        <v>75</v>
      </c>
      <c r="F188" s="16"/>
      <c r="G188" s="18" t="s">
        <v>178</v>
      </c>
      <c r="H188" s="13"/>
      <c r="I188" s="15"/>
      <c r="J188" s="15"/>
      <c r="K188" s="15"/>
      <c r="L188" s="17"/>
      <c r="M188" s="17"/>
      <c r="N188" s="17"/>
      <c r="O188" s="17"/>
      <c r="P188" s="17"/>
      <c r="Q188" s="17"/>
      <c r="R188" s="17"/>
      <c r="S188" s="15"/>
      <c r="T188" s="25">
        <v>45672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44"/>
      <c r="B189" s="147"/>
      <c r="C189" s="85" t="s">
        <v>303</v>
      </c>
      <c r="D189" s="106" t="s">
        <v>194</v>
      </c>
      <c r="E189" s="13" t="s">
        <v>36</v>
      </c>
      <c r="F189" s="16"/>
      <c r="G189" s="18" t="s">
        <v>178</v>
      </c>
      <c r="H189" s="15"/>
      <c r="I189" s="15"/>
      <c r="J189" s="15"/>
      <c r="K189" s="15"/>
      <c r="L189" s="17"/>
      <c r="M189" s="17"/>
      <c r="N189" s="17"/>
      <c r="O189" s="17"/>
      <c r="P189" s="17"/>
      <c r="Q189" s="17"/>
      <c r="R189" s="17"/>
      <c r="S189" s="15"/>
      <c r="T189" s="25">
        <v>45694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4"/>
      <c r="B190" s="147"/>
      <c r="C190" s="85" t="s">
        <v>304</v>
      </c>
      <c r="D190" s="106" t="s">
        <v>194</v>
      </c>
      <c r="E190" s="13" t="s">
        <v>74</v>
      </c>
      <c r="F190" s="16"/>
      <c r="G190" s="18" t="s">
        <v>178</v>
      </c>
      <c r="H190" s="15" t="s">
        <v>147</v>
      </c>
      <c r="I190" s="15"/>
      <c r="J190" s="15"/>
      <c r="K190" s="15"/>
      <c r="L190" s="17"/>
      <c r="M190" s="17">
        <v>1</v>
      </c>
      <c r="N190" s="17"/>
      <c r="O190" s="17"/>
      <c r="P190" s="17"/>
      <c r="Q190" s="17"/>
      <c r="R190" s="17"/>
      <c r="S190" s="15"/>
      <c r="T190" s="25">
        <v>45686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4"/>
      <c r="B191" s="147"/>
      <c r="C191" s="85" t="s">
        <v>305</v>
      </c>
      <c r="D191" s="106" t="s">
        <v>194</v>
      </c>
      <c r="E191" s="13" t="s">
        <v>40</v>
      </c>
      <c r="F191" s="16"/>
      <c r="G191" s="18" t="s">
        <v>178</v>
      </c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>
        <v>45686</v>
      </c>
      <c r="U191" s="25" t="s">
        <v>148</v>
      </c>
      <c r="V191">
        <v>9</v>
      </c>
      <c r="AA191" s="49" t="s">
        <v>88</v>
      </c>
      <c r="AB191" s="50" t="s">
        <v>74</v>
      </c>
    </row>
    <row r="192" spans="1:28" x14ac:dyDescent="0.4">
      <c r="A192" s="144"/>
      <c r="B192" s="147"/>
      <c r="C192" s="85" t="s">
        <v>306</v>
      </c>
      <c r="D192" s="106" t="s">
        <v>194</v>
      </c>
      <c r="E192" s="13" t="s">
        <v>75</v>
      </c>
      <c r="F192" s="16"/>
      <c r="G192" s="18" t="s">
        <v>178</v>
      </c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>
        <v>45694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44"/>
      <c r="B193" s="147"/>
      <c r="C193" s="85" t="s">
        <v>307</v>
      </c>
      <c r="D193" s="106" t="s">
        <v>194</v>
      </c>
      <c r="E193" s="13" t="s">
        <v>40</v>
      </c>
      <c r="F193" s="16"/>
      <c r="G193" s="18" t="s">
        <v>178</v>
      </c>
      <c r="H193" s="15"/>
      <c r="I193" s="15"/>
      <c r="J193" s="15"/>
      <c r="K193" s="15"/>
      <c r="L193" s="17"/>
      <c r="M193" s="17"/>
      <c r="N193" s="17"/>
      <c r="O193" s="17">
        <v>1</v>
      </c>
      <c r="P193" s="17"/>
      <c r="Q193" s="17"/>
      <c r="R193" s="17"/>
      <c r="S193" s="15"/>
      <c r="T193" s="25">
        <v>45694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44"/>
      <c r="B194" s="147"/>
      <c r="C194" s="85" t="s">
        <v>308</v>
      </c>
      <c r="D194" s="106" t="s">
        <v>194</v>
      </c>
      <c r="E194" s="13" t="s">
        <v>58</v>
      </c>
      <c r="F194" s="16"/>
      <c r="G194" s="18" t="s">
        <v>178</v>
      </c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>
        <v>45694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44"/>
      <c r="B195" s="147"/>
      <c r="C195" s="85" t="s">
        <v>309</v>
      </c>
      <c r="D195" s="106" t="s">
        <v>194</v>
      </c>
      <c r="E195" s="15" t="s">
        <v>36</v>
      </c>
      <c r="F195" s="16"/>
      <c r="G195" s="18" t="s">
        <v>178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45686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4"/>
      <c r="B196" s="147"/>
      <c r="C196" s="85" t="s">
        <v>310</v>
      </c>
      <c r="D196" s="106" t="s">
        <v>194</v>
      </c>
      <c r="E196" s="15" t="s">
        <v>58</v>
      </c>
      <c r="F196" s="16"/>
      <c r="G196" s="18" t="s">
        <v>178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>
        <v>1</v>
      </c>
      <c r="T196" s="25">
        <v>45686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4"/>
      <c r="B197" s="147"/>
      <c r="C197" s="85" t="s">
        <v>311</v>
      </c>
      <c r="D197" s="106" t="s">
        <v>194</v>
      </c>
      <c r="E197" s="15" t="s">
        <v>40</v>
      </c>
      <c r="F197" s="16"/>
      <c r="G197" s="15" t="s">
        <v>178</v>
      </c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>
        <v>45686</v>
      </c>
      <c r="U197" s="15" t="s">
        <v>148</v>
      </c>
      <c r="V197">
        <v>15</v>
      </c>
      <c r="AA197" s="49" t="s">
        <v>94</v>
      </c>
      <c r="AB197" s="50" t="s">
        <v>41</v>
      </c>
    </row>
    <row r="198" spans="1:28" x14ac:dyDescent="0.4">
      <c r="A198" s="144"/>
      <c r="B198" s="147"/>
      <c r="C198" s="85" t="s">
        <v>312</v>
      </c>
      <c r="D198" s="106" t="s">
        <v>194</v>
      </c>
      <c r="E198" s="15" t="s">
        <v>40</v>
      </c>
      <c r="F198" s="16"/>
      <c r="G198" s="15" t="s">
        <v>178</v>
      </c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>
        <v>45686</v>
      </c>
      <c r="U198" s="15" t="s">
        <v>148</v>
      </c>
      <c r="V198">
        <v>16</v>
      </c>
      <c r="AA198" s="49" t="s">
        <v>95</v>
      </c>
      <c r="AB198" s="50" t="s">
        <v>42</v>
      </c>
    </row>
    <row r="199" spans="1:28" x14ac:dyDescent="0.4">
      <c r="A199" s="144"/>
      <c r="B199" s="147"/>
      <c r="C199" s="85" t="s">
        <v>313</v>
      </c>
      <c r="D199" s="106" t="s">
        <v>194</v>
      </c>
      <c r="E199" s="18" t="s">
        <v>40</v>
      </c>
      <c r="F199" s="16"/>
      <c r="G199" s="18" t="s">
        <v>178</v>
      </c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>
        <v>45686</v>
      </c>
      <c r="U199" s="15" t="s">
        <v>148</v>
      </c>
      <c r="V199">
        <v>17</v>
      </c>
      <c r="AA199" s="49" t="s">
        <v>96</v>
      </c>
      <c r="AB199" s="50" t="s">
        <v>61</v>
      </c>
    </row>
    <row r="200" spans="1:28" x14ac:dyDescent="0.4">
      <c r="A200" s="144"/>
      <c r="B200" s="147"/>
      <c r="C200" s="85" t="s">
        <v>314</v>
      </c>
      <c r="D200" s="110" t="s">
        <v>180</v>
      </c>
      <c r="E200" s="18" t="s">
        <v>37</v>
      </c>
      <c r="F200" s="16"/>
      <c r="G200" s="18" t="s">
        <v>178</v>
      </c>
      <c r="H200" s="15"/>
      <c r="I200" s="15"/>
      <c r="J200" s="18"/>
      <c r="K200" s="15"/>
      <c r="L200" s="19">
        <v>1</v>
      </c>
      <c r="M200" s="19">
        <v>1</v>
      </c>
      <c r="N200" s="19"/>
      <c r="O200" s="19"/>
      <c r="P200" s="19"/>
      <c r="Q200" s="19"/>
      <c r="R200" s="19"/>
      <c r="S200" s="15"/>
      <c r="T200" s="25">
        <v>45680</v>
      </c>
      <c r="U200" s="15" t="s">
        <v>147</v>
      </c>
      <c r="V200">
        <v>18</v>
      </c>
      <c r="AA200" s="49" t="s">
        <v>97</v>
      </c>
      <c r="AB200" s="50" t="s">
        <v>76</v>
      </c>
    </row>
    <row r="201" spans="1:28" x14ac:dyDescent="0.4">
      <c r="A201" s="144"/>
      <c r="B201" s="147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4"/>
      <c r="B202" s="147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4"/>
      <c r="B203" s="147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4"/>
      <c r="B204" s="147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4"/>
      <c r="B205" s="147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4"/>
      <c r="B206" s="147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5"/>
      <c r="B207" s="148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18</v>
      </c>
      <c r="D208" s="112"/>
      <c r="E208" s="29"/>
      <c r="F208" s="29" t="s">
        <v>34</v>
      </c>
      <c r="G208" s="29">
        <f>COUNTIF(G183:G207,"S")</f>
        <v>18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3</v>
      </c>
      <c r="K208" s="29">
        <f t="shared" ref="K208" si="34">SUM(K183:K207)</f>
        <v>3</v>
      </c>
      <c r="L208" s="29">
        <f t="shared" ref="L208" si="35">SUM(L183:L207)</f>
        <v>1</v>
      </c>
      <c r="M208" s="29">
        <f t="shared" ref="M208" si="36">SUM(M183:M207)</f>
        <v>2</v>
      </c>
      <c r="N208" s="29">
        <f t="shared" ref="N208" si="37">SUM(N183:N207)</f>
        <v>0</v>
      </c>
      <c r="O208" s="29">
        <f t="shared" ref="O208" si="38">SUM(O183:O207)</f>
        <v>1</v>
      </c>
      <c r="P208" s="29">
        <f t="shared" ref="P208" si="39">SUM(P183:P207)</f>
        <v>0</v>
      </c>
      <c r="Q208" s="29">
        <f t="shared" ref="Q208" si="40">SUM(Q183:Q207)</f>
        <v>2</v>
      </c>
      <c r="R208" s="29">
        <f t="shared" ref="R208" si="41">SUM(R183:R207)</f>
        <v>0</v>
      </c>
      <c r="S208" s="29">
        <f t="shared" ref="S208" si="42">SUM(S183:S207)</f>
        <v>2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1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14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AYG097</v>
      </c>
      <c r="B211" s="24">
        <f>B1</f>
        <v>45650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6" t="s">
        <v>113</v>
      </c>
      <c r="Y212" s="142"/>
    </row>
    <row r="213" spans="1:28" ht="20.25" thickTop="1" thickBot="1" x14ac:dyDescent="0.45">
      <c r="A213" s="143">
        <v>8</v>
      </c>
      <c r="B213" s="146">
        <v>20.2</v>
      </c>
      <c r="C213" s="85" t="s">
        <v>315</v>
      </c>
      <c r="D213" s="106" t="s">
        <v>232</v>
      </c>
      <c r="E213" s="15" t="s">
        <v>60</v>
      </c>
      <c r="F213" s="16"/>
      <c r="G213" s="15" t="s">
        <v>178</v>
      </c>
      <c r="H213" s="15"/>
      <c r="I213" s="15"/>
      <c r="J213" s="15">
        <v>1</v>
      </c>
      <c r="K213" s="15">
        <v>1</v>
      </c>
      <c r="L213" s="17">
        <v>1</v>
      </c>
      <c r="M213" s="17"/>
      <c r="N213" s="17"/>
      <c r="O213" s="17"/>
      <c r="P213" s="17"/>
      <c r="Q213" s="17"/>
      <c r="R213" s="17"/>
      <c r="S213" s="15"/>
      <c r="T213" s="25">
        <v>45712</v>
      </c>
      <c r="U213" s="15" t="s">
        <v>146</v>
      </c>
      <c r="V213">
        <v>1</v>
      </c>
      <c r="X213" s="51" t="s">
        <v>106</v>
      </c>
      <c r="Y213" s="52">
        <f>COUNTIF(U213:U237,"K")</f>
        <v>9</v>
      </c>
      <c r="AA213" s="59" t="s">
        <v>120</v>
      </c>
      <c r="AB213" s="60" t="s">
        <v>121</v>
      </c>
    </row>
    <row r="214" spans="1:28" x14ac:dyDescent="0.4">
      <c r="A214" s="144"/>
      <c r="B214" s="147"/>
      <c r="C214" s="85" t="s">
        <v>316</v>
      </c>
      <c r="D214" s="106" t="s">
        <v>232</v>
      </c>
      <c r="E214" s="15" t="s">
        <v>40</v>
      </c>
      <c r="F214" s="16"/>
      <c r="G214" s="15" t="s">
        <v>178</v>
      </c>
      <c r="H214" s="15"/>
      <c r="I214" s="15"/>
      <c r="J214" s="15"/>
      <c r="K214" s="15"/>
      <c r="L214" s="17"/>
      <c r="M214" s="17"/>
      <c r="N214" s="17"/>
      <c r="O214" s="17">
        <v>1</v>
      </c>
      <c r="P214" s="17">
        <v>1</v>
      </c>
      <c r="Q214" s="17">
        <v>1</v>
      </c>
      <c r="R214" s="17">
        <v>1</v>
      </c>
      <c r="S214" s="15"/>
      <c r="T214" s="25">
        <v>45712</v>
      </c>
      <c r="U214" s="15" t="s">
        <v>148</v>
      </c>
      <c r="V214">
        <v>2</v>
      </c>
      <c r="X214" s="51" t="s">
        <v>107</v>
      </c>
      <c r="Y214" s="52">
        <f>COUNTIF(U213:U237,"R")</f>
        <v>4</v>
      </c>
      <c r="AA214" s="47" t="s">
        <v>81</v>
      </c>
      <c r="AB214" s="48" t="s">
        <v>60</v>
      </c>
    </row>
    <row r="215" spans="1:28" ht="19.5" thickBot="1" x14ac:dyDescent="0.45">
      <c r="A215" s="144"/>
      <c r="B215" s="147"/>
      <c r="C215" s="85" t="s">
        <v>317</v>
      </c>
      <c r="D215" s="106" t="s">
        <v>188</v>
      </c>
      <c r="E215" s="15" t="s">
        <v>60</v>
      </c>
      <c r="F215" s="16"/>
      <c r="G215" s="15" t="s">
        <v>178</v>
      </c>
      <c r="H215" s="15"/>
      <c r="I215" s="15"/>
      <c r="J215" s="15">
        <v>1</v>
      </c>
      <c r="K215" s="15"/>
      <c r="L215" s="17">
        <v>1</v>
      </c>
      <c r="M215" s="17"/>
      <c r="N215" s="17"/>
      <c r="O215" s="17"/>
      <c r="P215" s="17"/>
      <c r="Q215" s="17"/>
      <c r="R215" s="17"/>
      <c r="S215" s="15"/>
      <c r="T215" s="25">
        <v>45691</v>
      </c>
      <c r="U215" s="15" t="s">
        <v>146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44"/>
      <c r="B216" s="147"/>
      <c r="C216" s="85" t="s">
        <v>318</v>
      </c>
      <c r="D216" s="106" t="s">
        <v>179</v>
      </c>
      <c r="E216" s="15" t="s">
        <v>37</v>
      </c>
      <c r="F216" s="16"/>
      <c r="G216" s="15" t="s">
        <v>178</v>
      </c>
      <c r="H216" s="15"/>
      <c r="I216" s="15"/>
      <c r="J216" s="15"/>
      <c r="K216" s="15"/>
      <c r="L216" s="19"/>
      <c r="M216" s="19">
        <v>1</v>
      </c>
      <c r="N216" s="19">
        <v>1</v>
      </c>
      <c r="O216" s="19"/>
      <c r="P216" s="19"/>
      <c r="Q216" s="19"/>
      <c r="R216" s="19"/>
      <c r="S216" s="15"/>
      <c r="T216" s="25">
        <v>45678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4"/>
      <c r="B217" s="147"/>
      <c r="C217" s="85" t="s">
        <v>319</v>
      </c>
      <c r="D217" s="106" t="s">
        <v>179</v>
      </c>
      <c r="E217" s="15" t="s">
        <v>37</v>
      </c>
      <c r="F217" s="16"/>
      <c r="G217" s="15" t="s">
        <v>178</v>
      </c>
      <c r="H217" s="15"/>
      <c r="I217" s="15"/>
      <c r="J217" s="18"/>
      <c r="K217" s="15"/>
      <c r="L217" s="19"/>
      <c r="M217" s="19">
        <v>1</v>
      </c>
      <c r="N217" s="19">
        <v>1</v>
      </c>
      <c r="O217" s="19"/>
      <c r="P217" s="19"/>
      <c r="Q217" s="19">
        <v>1</v>
      </c>
      <c r="R217" s="19"/>
      <c r="S217" s="15"/>
      <c r="T217" s="25">
        <v>45679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44"/>
      <c r="B218" s="147"/>
      <c r="C218" s="85" t="s">
        <v>320</v>
      </c>
      <c r="D218" s="106" t="s">
        <v>192</v>
      </c>
      <c r="E218" s="15" t="s">
        <v>58</v>
      </c>
      <c r="F218" s="16"/>
      <c r="G218" s="15" t="s">
        <v>178</v>
      </c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45689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44"/>
      <c r="B219" s="147"/>
      <c r="C219" s="85" t="s">
        <v>321</v>
      </c>
      <c r="D219" s="106" t="s">
        <v>185</v>
      </c>
      <c r="E219" s="15" t="s">
        <v>37</v>
      </c>
      <c r="F219" s="16"/>
      <c r="G219" s="15" t="s">
        <v>178</v>
      </c>
      <c r="H219" s="15"/>
      <c r="I219" s="15"/>
      <c r="J219" s="18"/>
      <c r="K219" s="15"/>
      <c r="L219" s="19"/>
      <c r="M219" s="19">
        <v>1</v>
      </c>
      <c r="N219" s="19">
        <v>1</v>
      </c>
      <c r="O219" s="19"/>
      <c r="P219" s="19"/>
      <c r="Q219" s="19">
        <v>1</v>
      </c>
      <c r="R219" s="19"/>
      <c r="S219" s="15"/>
      <c r="T219" s="25">
        <v>45689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44"/>
      <c r="B220" s="147"/>
      <c r="C220" s="85" t="s">
        <v>322</v>
      </c>
      <c r="D220" s="106" t="s">
        <v>192</v>
      </c>
      <c r="E220" s="15" t="s">
        <v>37</v>
      </c>
      <c r="F220" s="16"/>
      <c r="G220" s="15" t="s">
        <v>178</v>
      </c>
      <c r="H220" s="15"/>
      <c r="I220" s="15"/>
      <c r="J220" s="18">
        <v>1</v>
      </c>
      <c r="K220" s="15">
        <v>1</v>
      </c>
      <c r="L220" s="19"/>
      <c r="M220" s="19"/>
      <c r="N220" s="19"/>
      <c r="O220" s="19"/>
      <c r="P220" s="19"/>
      <c r="Q220" s="19"/>
      <c r="R220" s="19"/>
      <c r="S220" s="15"/>
      <c r="T220" s="25">
        <v>45689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4"/>
      <c r="B221" s="147"/>
      <c r="C221" s="85" t="s">
        <v>323</v>
      </c>
      <c r="D221" s="106" t="s">
        <v>192</v>
      </c>
      <c r="E221" s="15" t="s">
        <v>38</v>
      </c>
      <c r="F221" s="16"/>
      <c r="G221" s="15" t="s">
        <v>178</v>
      </c>
      <c r="H221" s="15"/>
      <c r="I221" s="15"/>
      <c r="J221" s="18">
        <v>1</v>
      </c>
      <c r="K221" s="15">
        <v>1</v>
      </c>
      <c r="L221" s="19"/>
      <c r="M221" s="19"/>
      <c r="N221" s="19"/>
      <c r="O221" s="19"/>
      <c r="P221" s="19"/>
      <c r="Q221" s="19"/>
      <c r="R221" s="19"/>
      <c r="S221" s="15"/>
      <c r="T221" s="25">
        <v>45689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4"/>
      <c r="B222" s="147"/>
      <c r="C222" s="85" t="s">
        <v>324</v>
      </c>
      <c r="D222" s="106" t="s">
        <v>187</v>
      </c>
      <c r="E222" s="15" t="s">
        <v>74</v>
      </c>
      <c r="F222" s="16"/>
      <c r="G222" s="15" t="s">
        <v>178</v>
      </c>
      <c r="H222" s="15"/>
      <c r="I222" s="15"/>
      <c r="J222" s="15">
        <v>1</v>
      </c>
      <c r="K222" s="15">
        <v>1</v>
      </c>
      <c r="L222" s="17"/>
      <c r="M222" s="17"/>
      <c r="N222" s="17"/>
      <c r="O222" s="17"/>
      <c r="P222" s="17"/>
      <c r="Q222" s="17"/>
      <c r="R222" s="17"/>
      <c r="S222" s="15"/>
      <c r="T222" s="25">
        <v>45706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4"/>
      <c r="B223" s="147"/>
      <c r="C223" s="85" t="s">
        <v>325</v>
      </c>
      <c r="D223" s="106" t="s">
        <v>180</v>
      </c>
      <c r="E223" s="15" t="s">
        <v>44</v>
      </c>
      <c r="F223" s="16"/>
      <c r="G223" s="15" t="s">
        <v>178</v>
      </c>
      <c r="H223" s="15"/>
      <c r="I223" s="15"/>
      <c r="J223" s="15">
        <v>1</v>
      </c>
      <c r="K223" s="15">
        <v>1</v>
      </c>
      <c r="L223" s="17"/>
      <c r="M223" s="17"/>
      <c r="N223" s="17"/>
      <c r="O223" s="17"/>
      <c r="P223" s="17"/>
      <c r="Q223" s="17"/>
      <c r="R223" s="17"/>
      <c r="S223" s="15"/>
      <c r="T223" s="25">
        <v>45680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4"/>
      <c r="B224" s="147"/>
      <c r="C224" s="85" t="s">
        <v>326</v>
      </c>
      <c r="D224" s="106" t="s">
        <v>180</v>
      </c>
      <c r="E224" s="15" t="s">
        <v>44</v>
      </c>
      <c r="F224" s="16"/>
      <c r="G224" s="15" t="s">
        <v>178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45680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4"/>
      <c r="B225" s="147"/>
      <c r="C225" s="85" t="s">
        <v>327</v>
      </c>
      <c r="D225" s="106" t="s">
        <v>179</v>
      </c>
      <c r="E225" s="13" t="s">
        <v>38</v>
      </c>
      <c r="F225" s="16"/>
      <c r="G225" s="15" t="s">
        <v>178</v>
      </c>
      <c r="H225" s="15"/>
      <c r="I225" s="15"/>
      <c r="J225" s="15">
        <v>1</v>
      </c>
      <c r="K225" s="15">
        <v>1</v>
      </c>
      <c r="L225" s="17"/>
      <c r="M225" s="17"/>
      <c r="N225" s="17"/>
      <c r="O225" s="17"/>
      <c r="P225" s="17"/>
      <c r="Q225" s="17"/>
      <c r="R225" s="17"/>
      <c r="S225" s="15"/>
      <c r="T225" s="25">
        <v>45678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4"/>
      <c r="B226" s="147"/>
      <c r="C226" s="85" t="s">
        <v>328</v>
      </c>
      <c r="D226" s="106" t="s">
        <v>179</v>
      </c>
      <c r="E226" s="13" t="s">
        <v>40</v>
      </c>
      <c r="F226" s="16"/>
      <c r="G226" s="15" t="s">
        <v>178</v>
      </c>
      <c r="H226" s="15"/>
      <c r="I226" s="15"/>
      <c r="J226" s="15"/>
      <c r="K226" s="15"/>
      <c r="L226" s="17"/>
      <c r="M226" s="17"/>
      <c r="N226" s="17"/>
      <c r="O226" s="17">
        <v>1</v>
      </c>
      <c r="P226" s="17">
        <v>1</v>
      </c>
      <c r="Q226" s="17">
        <v>1</v>
      </c>
      <c r="R226" s="17">
        <v>1</v>
      </c>
      <c r="S226" s="15"/>
      <c r="T226" s="25">
        <v>45678</v>
      </c>
      <c r="U226" s="15" t="s">
        <v>148</v>
      </c>
      <c r="V226">
        <v>14</v>
      </c>
      <c r="AA226" s="49" t="s">
        <v>93</v>
      </c>
      <c r="AB226" s="50" t="s">
        <v>57</v>
      </c>
    </row>
    <row r="227" spans="1:28" x14ac:dyDescent="0.4">
      <c r="A227" s="144"/>
      <c r="B227" s="147"/>
      <c r="C227" s="85" t="s">
        <v>329</v>
      </c>
      <c r="D227" s="109" t="s">
        <v>179</v>
      </c>
      <c r="E227" s="15" t="s">
        <v>37</v>
      </c>
      <c r="F227" s="16"/>
      <c r="G227" s="15" t="s">
        <v>178</v>
      </c>
      <c r="H227" s="15"/>
      <c r="I227" s="15"/>
      <c r="J227" s="15">
        <v>1</v>
      </c>
      <c r="K227" s="15"/>
      <c r="L227" s="17"/>
      <c r="M227" s="17"/>
      <c r="N227" s="17"/>
      <c r="O227" s="17"/>
      <c r="P227" s="17"/>
      <c r="Q227" s="17"/>
      <c r="R227" s="17"/>
      <c r="S227" s="15"/>
      <c r="T227" s="25">
        <v>45686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44"/>
      <c r="B228" s="147"/>
      <c r="C228" s="85" t="s">
        <v>330</v>
      </c>
      <c r="D228" s="109" t="s">
        <v>179</v>
      </c>
      <c r="E228" s="15" t="s">
        <v>40</v>
      </c>
      <c r="F228" s="16"/>
      <c r="G228" s="15" t="s">
        <v>178</v>
      </c>
      <c r="H228" s="15"/>
      <c r="I228" s="15"/>
      <c r="J228" s="15"/>
      <c r="K228" s="15"/>
      <c r="L228" s="19"/>
      <c r="M228" s="19"/>
      <c r="N228" s="19"/>
      <c r="O228" s="19">
        <v>1</v>
      </c>
      <c r="P228" s="19">
        <v>1</v>
      </c>
      <c r="Q228" s="19">
        <v>1</v>
      </c>
      <c r="R228" s="19">
        <v>1</v>
      </c>
      <c r="S228" s="15"/>
      <c r="T228" s="26">
        <v>45686</v>
      </c>
      <c r="U228" s="15" t="s">
        <v>148</v>
      </c>
      <c r="V228">
        <v>16</v>
      </c>
      <c r="AA228" s="49" t="s">
        <v>95</v>
      </c>
      <c r="AB228" s="50" t="s">
        <v>42</v>
      </c>
    </row>
    <row r="229" spans="1:28" x14ac:dyDescent="0.4">
      <c r="A229" s="144"/>
      <c r="B229" s="147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44"/>
      <c r="B230" s="147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4"/>
      <c r="B231" s="147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4"/>
      <c r="B232" s="147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4"/>
      <c r="B233" s="147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4"/>
      <c r="B234" s="147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4"/>
      <c r="B235" s="147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4"/>
      <c r="B236" s="147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5"/>
      <c r="B237" s="148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9</v>
      </c>
      <c r="K238" s="29">
        <f t="shared" ref="K238" si="44">SUM(K213:K237)</f>
        <v>7</v>
      </c>
      <c r="L238" s="29">
        <f t="shared" ref="L238" si="45">SUM(L213:L237)</f>
        <v>2</v>
      </c>
      <c r="M238" s="29">
        <f t="shared" ref="M238" si="46">SUM(M213:M237)</f>
        <v>3</v>
      </c>
      <c r="N238" s="29">
        <f t="shared" ref="N238" si="47">SUM(N213:N237)</f>
        <v>3</v>
      </c>
      <c r="O238" s="29">
        <f t="shared" ref="O238" si="48">SUM(O213:O237)</f>
        <v>3</v>
      </c>
      <c r="P238" s="29">
        <f t="shared" ref="P238" si="49">SUM(P213:P237)</f>
        <v>3</v>
      </c>
      <c r="Q238" s="29">
        <f t="shared" ref="Q238" si="50">SUM(Q213:Q237)</f>
        <v>5</v>
      </c>
      <c r="R238" s="29">
        <f t="shared" ref="R238" si="51">SUM(R213:R237)</f>
        <v>3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38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AYG097</v>
      </c>
      <c r="B241" s="24">
        <f>B1</f>
        <v>45650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3" t="s">
        <v>112</v>
      </c>
      <c r="Y242" s="153"/>
    </row>
    <row r="243" spans="1:28" ht="20.25" thickTop="1" thickBot="1" x14ac:dyDescent="0.45">
      <c r="A243" s="143">
        <v>9</v>
      </c>
      <c r="B243" s="146">
        <v>22</v>
      </c>
      <c r="C243" s="85" t="s">
        <v>331</v>
      </c>
      <c r="D243" s="109" t="s">
        <v>188</v>
      </c>
      <c r="E243" s="13" t="s">
        <v>59</v>
      </c>
      <c r="F243" s="14"/>
      <c r="G243" s="12" t="s">
        <v>178</v>
      </c>
      <c r="H243" s="13"/>
      <c r="I243" s="13"/>
      <c r="J243" s="13">
        <v>2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6">
        <v>45692</v>
      </c>
      <c r="U243" s="13" t="s">
        <v>146</v>
      </c>
      <c r="V243">
        <v>1</v>
      </c>
      <c r="X243" t="s">
        <v>106</v>
      </c>
      <c r="Y243">
        <f>COUNTIF(U243:U267,"K")</f>
        <v>5</v>
      </c>
      <c r="AA243" s="59" t="s">
        <v>120</v>
      </c>
      <c r="AB243" s="60" t="s">
        <v>121</v>
      </c>
    </row>
    <row r="244" spans="1:28" x14ac:dyDescent="0.4">
      <c r="A244" s="144"/>
      <c r="B244" s="147"/>
      <c r="C244" s="85" t="s">
        <v>332</v>
      </c>
      <c r="D244" s="109" t="s">
        <v>188</v>
      </c>
      <c r="E244" s="13" t="s">
        <v>59</v>
      </c>
      <c r="F244" s="16"/>
      <c r="G244" s="12" t="s">
        <v>178</v>
      </c>
      <c r="H244" s="15"/>
      <c r="I244" s="15"/>
      <c r="J244" s="15">
        <v>2</v>
      </c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45691</v>
      </c>
      <c r="U244" s="13" t="s">
        <v>146</v>
      </c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4"/>
      <c r="B245" s="147"/>
      <c r="C245" s="85" t="s">
        <v>333</v>
      </c>
      <c r="D245" s="109" t="s">
        <v>188</v>
      </c>
      <c r="E245" s="13" t="s">
        <v>59</v>
      </c>
      <c r="F245" s="16"/>
      <c r="G245" s="12" t="s">
        <v>178</v>
      </c>
      <c r="H245" s="15"/>
      <c r="I245" s="15"/>
      <c r="J245" s="15">
        <v>2</v>
      </c>
      <c r="K245" s="15"/>
      <c r="L245" s="17"/>
      <c r="M245" s="17"/>
      <c r="N245" s="17"/>
      <c r="O245" s="17"/>
      <c r="P245" s="17"/>
      <c r="Q245" s="17"/>
      <c r="R245" s="17"/>
      <c r="S245" s="15"/>
      <c r="T245" s="26">
        <v>45692</v>
      </c>
      <c r="U245" s="13" t="s">
        <v>146</v>
      </c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4"/>
      <c r="B246" s="147"/>
      <c r="C246" s="85" t="s">
        <v>334</v>
      </c>
      <c r="D246" s="109" t="s">
        <v>188</v>
      </c>
      <c r="E246" s="13" t="s">
        <v>59</v>
      </c>
      <c r="F246" s="16"/>
      <c r="G246" s="12" t="s">
        <v>178</v>
      </c>
      <c r="H246" s="15"/>
      <c r="I246" s="15"/>
      <c r="J246" s="15">
        <v>2</v>
      </c>
      <c r="K246" s="15"/>
      <c r="L246" s="17"/>
      <c r="M246" s="17"/>
      <c r="N246" s="17"/>
      <c r="O246" s="17"/>
      <c r="P246" s="17"/>
      <c r="Q246" s="17"/>
      <c r="R246" s="17"/>
      <c r="S246" s="15"/>
      <c r="T246" s="26">
        <v>45693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4"/>
      <c r="B247" s="147"/>
      <c r="C247" s="85" t="s">
        <v>335</v>
      </c>
      <c r="D247" s="109" t="s">
        <v>188</v>
      </c>
      <c r="E247" s="13" t="s">
        <v>59</v>
      </c>
      <c r="F247" s="16"/>
      <c r="G247" s="12" t="s">
        <v>178</v>
      </c>
      <c r="H247" s="15"/>
      <c r="I247" s="15"/>
      <c r="J247" s="15">
        <v>2</v>
      </c>
      <c r="K247" s="15"/>
      <c r="L247" s="17"/>
      <c r="M247" s="17"/>
      <c r="N247" s="17"/>
      <c r="O247" s="17"/>
      <c r="P247" s="17"/>
      <c r="Q247" s="17"/>
      <c r="R247" s="17"/>
      <c r="S247" s="15"/>
      <c r="T247" s="26">
        <v>45692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4"/>
      <c r="B248" s="147"/>
      <c r="C248" s="85"/>
      <c r="D248" s="109"/>
      <c r="E248" s="13"/>
      <c r="F248" s="16"/>
      <c r="G248" s="12"/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/>
      <c r="T248" s="26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44"/>
      <c r="B249" s="147"/>
      <c r="C249" s="85"/>
      <c r="D249" s="109"/>
      <c r="E249" s="13"/>
      <c r="F249" s="16"/>
      <c r="G249" s="12"/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4"/>
      <c r="B250" s="147"/>
      <c r="C250" s="85"/>
      <c r="D250" s="109"/>
      <c r="E250" s="13"/>
      <c r="F250" s="16"/>
      <c r="G250" s="12"/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4"/>
      <c r="B251" s="147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4"/>
      <c r="B252" s="147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4"/>
      <c r="B253" s="147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4"/>
      <c r="B254" s="147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4"/>
      <c r="B255" s="147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4"/>
      <c r="B256" s="147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4"/>
      <c r="B257" s="147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4"/>
      <c r="B258" s="147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4"/>
      <c r="B259" s="147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4"/>
      <c r="B260" s="147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4"/>
      <c r="B261" s="147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4"/>
      <c r="B262" s="147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4"/>
      <c r="B263" s="147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4"/>
      <c r="B264" s="147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4"/>
      <c r="B265" s="147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4"/>
      <c r="B266" s="147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5"/>
      <c r="B267" s="148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5</v>
      </c>
      <c r="D268" s="112"/>
      <c r="E268" s="29"/>
      <c r="F268" s="29" t="s">
        <v>34</v>
      </c>
      <c r="G268" s="29">
        <f>COUNTIF(G243:G267,"S")</f>
        <v>5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10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AYG097</v>
      </c>
      <c r="B271" s="24">
        <f>B1</f>
        <v>45650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6" t="s">
        <v>111</v>
      </c>
      <c r="Y272" s="142"/>
    </row>
    <row r="273" spans="1:28" ht="20.25" thickTop="1" thickBot="1" x14ac:dyDescent="0.45">
      <c r="A273" s="143">
        <v>10</v>
      </c>
      <c r="B273" s="146">
        <v>17.2</v>
      </c>
      <c r="C273" s="85" t="s">
        <v>336</v>
      </c>
      <c r="D273" s="109" t="s">
        <v>188</v>
      </c>
      <c r="E273" s="13" t="s">
        <v>59</v>
      </c>
      <c r="F273" s="14"/>
      <c r="G273" s="12" t="s">
        <v>178</v>
      </c>
      <c r="H273" s="13"/>
      <c r="I273" s="13"/>
      <c r="J273" s="13">
        <v>2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45693</v>
      </c>
      <c r="U273" s="13" t="s">
        <v>146</v>
      </c>
      <c r="V273">
        <v>1</v>
      </c>
      <c r="X273" s="51" t="s">
        <v>106</v>
      </c>
      <c r="Y273" s="52">
        <f>COUNTIF(U273:U297,"K")</f>
        <v>4</v>
      </c>
      <c r="AA273" s="59" t="s">
        <v>120</v>
      </c>
      <c r="AB273" s="60" t="s">
        <v>121</v>
      </c>
    </row>
    <row r="274" spans="1:28" x14ac:dyDescent="0.4">
      <c r="A274" s="144"/>
      <c r="B274" s="147"/>
      <c r="C274" s="85" t="s">
        <v>337</v>
      </c>
      <c r="D274" s="109" t="s">
        <v>188</v>
      </c>
      <c r="E274" s="13" t="s">
        <v>59</v>
      </c>
      <c r="F274" s="16"/>
      <c r="G274" s="12" t="s">
        <v>178</v>
      </c>
      <c r="H274" s="15"/>
      <c r="I274" s="15"/>
      <c r="J274" s="15">
        <v>2</v>
      </c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45693</v>
      </c>
      <c r="U274" s="13" t="s">
        <v>146</v>
      </c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4"/>
      <c r="B275" s="147"/>
      <c r="C275" s="85" t="s">
        <v>338</v>
      </c>
      <c r="D275" s="109" t="s">
        <v>188</v>
      </c>
      <c r="E275" s="13" t="s">
        <v>59</v>
      </c>
      <c r="F275" s="16"/>
      <c r="G275" s="12" t="s">
        <v>178</v>
      </c>
      <c r="H275" s="15"/>
      <c r="I275" s="15"/>
      <c r="J275" s="15">
        <v>2</v>
      </c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45691</v>
      </c>
      <c r="U275" s="13" t="s">
        <v>146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4"/>
      <c r="B276" s="147"/>
      <c r="C276" s="85" t="s">
        <v>339</v>
      </c>
      <c r="D276" s="109" t="s">
        <v>188</v>
      </c>
      <c r="E276" s="13" t="s">
        <v>59</v>
      </c>
      <c r="F276" s="16"/>
      <c r="G276" s="12" t="s">
        <v>178</v>
      </c>
      <c r="H276" s="15"/>
      <c r="I276" s="15"/>
      <c r="J276" s="15">
        <v>2</v>
      </c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45692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44"/>
      <c r="B277" s="147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4"/>
      <c r="B278" s="147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4"/>
      <c r="B279" s="147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4"/>
      <c r="B280" s="147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4"/>
      <c r="B281" s="147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4"/>
      <c r="B282" s="147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4"/>
      <c r="B283" s="147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4"/>
      <c r="B284" s="147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4"/>
      <c r="B285" s="147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4"/>
      <c r="B286" s="147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4"/>
      <c r="B287" s="147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4"/>
      <c r="B288" s="147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4"/>
      <c r="B289" s="147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4"/>
      <c r="B290" s="147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4"/>
      <c r="B291" s="147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4"/>
      <c r="B292" s="147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4"/>
      <c r="B293" s="147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4"/>
      <c r="B294" s="147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4"/>
      <c r="B295" s="147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4"/>
      <c r="B296" s="147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5"/>
      <c r="B297" s="148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4</v>
      </c>
      <c r="D298" s="112"/>
      <c r="E298" s="29"/>
      <c r="F298" s="29" t="s">
        <v>34</v>
      </c>
      <c r="G298" s="29">
        <f>COUNTIF(G273:G297,"S")</f>
        <v>4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8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8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AYG097</v>
      </c>
      <c r="B301" s="24">
        <f>B1</f>
        <v>45650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6" t="s">
        <v>110</v>
      </c>
      <c r="Y302" s="142"/>
    </row>
    <row r="303" spans="1:28" ht="20.25" thickTop="1" thickBot="1" x14ac:dyDescent="0.45">
      <c r="A303" s="143">
        <v>11</v>
      </c>
      <c r="B303" s="146">
        <v>18.100000000000001</v>
      </c>
      <c r="C303" s="85" t="s">
        <v>340</v>
      </c>
      <c r="D303" s="109" t="s">
        <v>199</v>
      </c>
      <c r="E303" s="13" t="s">
        <v>36</v>
      </c>
      <c r="F303" s="14"/>
      <c r="G303" s="12" t="s">
        <v>178</v>
      </c>
      <c r="H303" s="13"/>
      <c r="I303" s="13"/>
      <c r="J303" s="13">
        <v>1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45682</v>
      </c>
      <c r="U303" s="13" t="s">
        <v>146</v>
      </c>
      <c r="V303">
        <v>1</v>
      </c>
      <c r="X303" s="51" t="s">
        <v>106</v>
      </c>
      <c r="Y303" s="52">
        <f>COUNTIF(U303:U327,"K")</f>
        <v>5</v>
      </c>
      <c r="AA303" s="59" t="s">
        <v>120</v>
      </c>
      <c r="AB303" s="60" t="s">
        <v>121</v>
      </c>
    </row>
    <row r="304" spans="1:28" x14ac:dyDescent="0.4">
      <c r="A304" s="144"/>
      <c r="B304" s="147"/>
      <c r="C304" s="85" t="s">
        <v>341</v>
      </c>
      <c r="D304" s="109" t="s">
        <v>199</v>
      </c>
      <c r="E304" s="13" t="s">
        <v>36</v>
      </c>
      <c r="F304" s="16"/>
      <c r="G304" s="12" t="s">
        <v>178</v>
      </c>
      <c r="H304" s="15"/>
      <c r="I304" s="15"/>
      <c r="J304" s="15">
        <v>1</v>
      </c>
      <c r="K304" s="15"/>
      <c r="L304" s="17"/>
      <c r="M304" s="13"/>
      <c r="N304" s="13"/>
      <c r="O304" s="17"/>
      <c r="P304" s="17"/>
      <c r="Q304" s="17"/>
      <c r="R304" s="17"/>
      <c r="S304" s="15"/>
      <c r="T304" s="26">
        <v>45685</v>
      </c>
      <c r="U304" s="13" t="s">
        <v>146</v>
      </c>
      <c r="V304">
        <v>2</v>
      </c>
      <c r="X304" s="51" t="s">
        <v>107</v>
      </c>
      <c r="Y304" s="52">
        <f>COUNTIF(U303:U327,"R")</f>
        <v>3</v>
      </c>
      <c r="AA304" s="47" t="s">
        <v>81</v>
      </c>
      <c r="AB304" s="48" t="s">
        <v>60</v>
      </c>
    </row>
    <row r="305" spans="1:28" ht="19.5" thickBot="1" x14ac:dyDescent="0.45">
      <c r="A305" s="144"/>
      <c r="B305" s="147"/>
      <c r="C305" s="85" t="s">
        <v>342</v>
      </c>
      <c r="D305" s="109" t="s">
        <v>177</v>
      </c>
      <c r="E305" s="13" t="s">
        <v>44</v>
      </c>
      <c r="F305" s="16"/>
      <c r="G305" s="12" t="s">
        <v>178</v>
      </c>
      <c r="H305" s="15"/>
      <c r="I305" s="15"/>
      <c r="J305" s="15">
        <v>1</v>
      </c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45690</v>
      </c>
      <c r="U305" s="13" t="s">
        <v>146</v>
      </c>
      <c r="V305">
        <v>3</v>
      </c>
      <c r="X305" s="53" t="s">
        <v>108</v>
      </c>
      <c r="Y305" s="54">
        <f>COUNTIF(U303:U327,"J")</f>
        <v>3</v>
      </c>
      <c r="AA305" s="49" t="s">
        <v>82</v>
      </c>
      <c r="AB305" s="50" t="s">
        <v>39</v>
      </c>
    </row>
    <row r="306" spans="1:28" x14ac:dyDescent="0.4">
      <c r="A306" s="144"/>
      <c r="B306" s="147"/>
      <c r="C306" s="85" t="s">
        <v>343</v>
      </c>
      <c r="D306" s="109" t="s">
        <v>194</v>
      </c>
      <c r="E306" s="13" t="s">
        <v>36</v>
      </c>
      <c r="F306" s="16"/>
      <c r="G306" s="12" t="s">
        <v>178</v>
      </c>
      <c r="H306" s="15"/>
      <c r="I306" s="15"/>
      <c r="J306" s="15"/>
      <c r="K306" s="15"/>
      <c r="L306" s="17"/>
      <c r="M306" s="13">
        <v>1</v>
      </c>
      <c r="N306" s="13">
        <v>1</v>
      </c>
      <c r="O306" s="17"/>
      <c r="P306" s="17"/>
      <c r="Q306" s="17"/>
      <c r="R306" s="17"/>
      <c r="S306" s="15"/>
      <c r="T306" s="26">
        <v>45696</v>
      </c>
      <c r="U306" s="13" t="s">
        <v>147</v>
      </c>
      <c r="V306">
        <v>4</v>
      </c>
      <c r="AA306" s="49" t="s">
        <v>83</v>
      </c>
      <c r="AB306" s="50" t="s">
        <v>38</v>
      </c>
    </row>
    <row r="307" spans="1:28" x14ac:dyDescent="0.4">
      <c r="A307" s="144"/>
      <c r="B307" s="147"/>
      <c r="C307" s="85" t="s">
        <v>344</v>
      </c>
      <c r="D307" s="109" t="s">
        <v>194</v>
      </c>
      <c r="E307" s="13" t="s">
        <v>74</v>
      </c>
      <c r="F307" s="16"/>
      <c r="G307" s="12" t="s">
        <v>178</v>
      </c>
      <c r="H307" s="15"/>
      <c r="I307" s="15"/>
      <c r="J307" s="15">
        <v>1</v>
      </c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45685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44"/>
      <c r="B308" s="147"/>
      <c r="C308" s="85" t="s">
        <v>345</v>
      </c>
      <c r="D308" s="109" t="s">
        <v>188</v>
      </c>
      <c r="E308" s="13" t="s">
        <v>39</v>
      </c>
      <c r="F308" s="16"/>
      <c r="G308" s="12" t="s">
        <v>178</v>
      </c>
      <c r="H308" s="13"/>
      <c r="I308" s="15"/>
      <c r="J308" s="15">
        <v>1</v>
      </c>
      <c r="K308" s="15"/>
      <c r="L308" s="17">
        <v>1</v>
      </c>
      <c r="M308" s="13"/>
      <c r="N308" s="13"/>
      <c r="O308" s="17"/>
      <c r="P308" s="17"/>
      <c r="Q308" s="17"/>
      <c r="R308" s="17"/>
      <c r="S308" s="15"/>
      <c r="T308" s="26">
        <v>45691</v>
      </c>
      <c r="U308" s="13" t="s">
        <v>146</v>
      </c>
      <c r="V308">
        <v>6</v>
      </c>
      <c r="AA308" s="49" t="s">
        <v>85</v>
      </c>
      <c r="AB308" s="50" t="s">
        <v>43</v>
      </c>
    </row>
    <row r="309" spans="1:28" x14ac:dyDescent="0.4">
      <c r="A309" s="144"/>
      <c r="B309" s="147"/>
      <c r="C309" s="85" t="s">
        <v>346</v>
      </c>
      <c r="D309" s="109" t="s">
        <v>181</v>
      </c>
      <c r="E309" s="13" t="s">
        <v>40</v>
      </c>
      <c r="F309" s="16"/>
      <c r="G309" s="12" t="s">
        <v>273</v>
      </c>
      <c r="H309" s="15"/>
      <c r="I309" s="15"/>
      <c r="J309" s="15"/>
      <c r="K309" s="15"/>
      <c r="L309" s="17"/>
      <c r="M309" s="13"/>
      <c r="N309" s="13"/>
      <c r="O309" s="17">
        <v>1</v>
      </c>
      <c r="P309" s="17">
        <v>1</v>
      </c>
      <c r="Q309" s="17"/>
      <c r="R309" s="17"/>
      <c r="S309" s="15"/>
      <c r="T309" s="26">
        <v>45678</v>
      </c>
      <c r="U309" s="13" t="s">
        <v>148</v>
      </c>
      <c r="V309">
        <v>7</v>
      </c>
      <c r="AA309" s="49" t="s">
        <v>86</v>
      </c>
      <c r="AB309" s="50" t="s">
        <v>45</v>
      </c>
    </row>
    <row r="310" spans="1:28" x14ac:dyDescent="0.4">
      <c r="A310" s="144"/>
      <c r="B310" s="147"/>
      <c r="C310" s="85" t="s">
        <v>347</v>
      </c>
      <c r="D310" s="109" t="s">
        <v>181</v>
      </c>
      <c r="E310" s="13" t="s">
        <v>40</v>
      </c>
      <c r="F310" s="16"/>
      <c r="G310" s="12" t="s">
        <v>273</v>
      </c>
      <c r="H310" s="15"/>
      <c r="I310" s="15"/>
      <c r="J310" s="15"/>
      <c r="K310" s="15"/>
      <c r="L310" s="17"/>
      <c r="M310" s="13"/>
      <c r="N310" s="13"/>
      <c r="O310" s="17">
        <v>1</v>
      </c>
      <c r="P310" s="17">
        <v>1</v>
      </c>
      <c r="Q310" s="17"/>
      <c r="R310" s="17"/>
      <c r="S310" s="15"/>
      <c r="T310" s="26">
        <v>45699</v>
      </c>
      <c r="U310" s="13" t="s">
        <v>148</v>
      </c>
      <c r="V310">
        <v>8</v>
      </c>
      <c r="AA310" s="49" t="s">
        <v>87</v>
      </c>
      <c r="AB310" s="50" t="s">
        <v>37</v>
      </c>
    </row>
    <row r="311" spans="1:28" x14ac:dyDescent="0.4">
      <c r="A311" s="144"/>
      <c r="B311" s="147"/>
      <c r="C311" s="85" t="s">
        <v>348</v>
      </c>
      <c r="D311" s="109" t="s">
        <v>181</v>
      </c>
      <c r="E311" s="13" t="s">
        <v>40</v>
      </c>
      <c r="F311" s="16"/>
      <c r="G311" s="12" t="s">
        <v>273</v>
      </c>
      <c r="H311" s="15"/>
      <c r="I311" s="15"/>
      <c r="J311" s="15"/>
      <c r="K311" s="15"/>
      <c r="L311" s="17"/>
      <c r="M311" s="13"/>
      <c r="N311" s="13"/>
      <c r="O311" s="17">
        <v>1</v>
      </c>
      <c r="P311" s="17">
        <v>1</v>
      </c>
      <c r="Q311" s="17"/>
      <c r="R311" s="17"/>
      <c r="S311" s="15"/>
      <c r="T311" s="26">
        <v>45678</v>
      </c>
      <c r="U311" s="13" t="s">
        <v>148</v>
      </c>
      <c r="V311">
        <v>9</v>
      </c>
      <c r="AA311" s="49" t="s">
        <v>88</v>
      </c>
      <c r="AB311" s="50" t="s">
        <v>74</v>
      </c>
    </row>
    <row r="312" spans="1:28" x14ac:dyDescent="0.4">
      <c r="A312" s="144"/>
      <c r="B312" s="147"/>
      <c r="C312" s="85" t="s">
        <v>349</v>
      </c>
      <c r="D312" s="109" t="s">
        <v>181</v>
      </c>
      <c r="E312" s="13" t="s">
        <v>75</v>
      </c>
      <c r="F312" s="16"/>
      <c r="G312" s="12" t="s">
        <v>178</v>
      </c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>
        <v>45694</v>
      </c>
      <c r="U312" s="13" t="s">
        <v>147</v>
      </c>
      <c r="V312">
        <v>10</v>
      </c>
      <c r="AA312" s="49" t="s">
        <v>89</v>
      </c>
      <c r="AB312" s="50" t="s">
        <v>36</v>
      </c>
    </row>
    <row r="313" spans="1:28" x14ac:dyDescent="0.4">
      <c r="A313" s="144"/>
      <c r="B313" s="147"/>
      <c r="C313" s="85" t="s">
        <v>350</v>
      </c>
      <c r="D313" s="109" t="s">
        <v>181</v>
      </c>
      <c r="E313" s="13" t="s">
        <v>75</v>
      </c>
      <c r="F313" s="16"/>
      <c r="G313" s="12" t="s">
        <v>178</v>
      </c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>
        <v>45694</v>
      </c>
      <c r="U313" s="13" t="s">
        <v>147</v>
      </c>
      <c r="V313">
        <v>11</v>
      </c>
      <c r="AA313" s="49" t="s">
        <v>90</v>
      </c>
      <c r="AB313" s="50" t="s">
        <v>58</v>
      </c>
    </row>
    <row r="314" spans="1:28" x14ac:dyDescent="0.4">
      <c r="A314" s="144"/>
      <c r="B314" s="147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4"/>
      <c r="B315" s="147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4"/>
      <c r="B316" s="147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4"/>
      <c r="B317" s="147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4"/>
      <c r="B318" s="147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4"/>
      <c r="B319" s="147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4"/>
      <c r="B320" s="147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4"/>
      <c r="B321" s="147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4"/>
      <c r="B322" s="147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4"/>
      <c r="B323" s="147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4"/>
      <c r="B324" s="147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4"/>
      <c r="B325" s="147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4"/>
      <c r="B326" s="147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5"/>
      <c r="B327" s="148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11</v>
      </c>
      <c r="D328" s="112"/>
      <c r="E328" s="29"/>
      <c r="F328" s="29" t="s">
        <v>34</v>
      </c>
      <c r="G328" s="29">
        <f>COUNTIF(G303:G327,"S")</f>
        <v>8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5</v>
      </c>
      <c r="K328" s="29">
        <f t="shared" ref="K328" si="74">SUM(K303:K327)</f>
        <v>2</v>
      </c>
      <c r="L328" s="29">
        <f t="shared" ref="L328" si="75">SUM(L303:L327)</f>
        <v>1</v>
      </c>
      <c r="M328" s="29">
        <f t="shared" ref="M328" si="76">SUM(M303:M327)</f>
        <v>1</v>
      </c>
      <c r="N328" s="29">
        <f t="shared" ref="N328" si="77">SUM(N303:N327)</f>
        <v>1</v>
      </c>
      <c r="O328" s="29">
        <f t="shared" ref="O328" si="78">SUM(O303:O327)</f>
        <v>3</v>
      </c>
      <c r="P328" s="29">
        <f t="shared" ref="P328" si="79">SUM(P303:P327)</f>
        <v>3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3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16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AYG097</v>
      </c>
      <c r="B331" s="24">
        <f>B151</f>
        <v>45650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6" t="s">
        <v>109</v>
      </c>
      <c r="Y332" s="142"/>
    </row>
    <row r="333" spans="1:28" ht="20.25" thickTop="1" thickBot="1" x14ac:dyDescent="0.45">
      <c r="A333" s="143">
        <v>12</v>
      </c>
      <c r="B333" s="146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4"/>
      <c r="B334" s="147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4"/>
      <c r="B335" s="147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4"/>
      <c r="B336" s="147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4"/>
      <c r="B337" s="147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4"/>
      <c r="B338" s="147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4"/>
      <c r="B339" s="147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4"/>
      <c r="B340" s="147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4"/>
      <c r="B341" s="147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4"/>
      <c r="B342" s="147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4"/>
      <c r="B343" s="147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4"/>
      <c r="B344" s="147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4"/>
      <c r="B345" s="147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4"/>
      <c r="B346" s="147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4"/>
      <c r="B347" s="147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4"/>
      <c r="B348" s="147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4"/>
      <c r="B349" s="147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4"/>
      <c r="B350" s="147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4"/>
      <c r="B351" s="147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4"/>
      <c r="B352" s="147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4"/>
      <c r="B353" s="147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4"/>
      <c r="B354" s="147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4"/>
      <c r="B355" s="147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4"/>
      <c r="B356" s="147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5"/>
      <c r="B357" s="148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6" t="s">
        <v>138</v>
      </c>
      <c r="Y362" s="142"/>
    </row>
    <row r="363" spans="1:28" ht="19.5" thickTop="1" x14ac:dyDescent="0.4">
      <c r="A363" s="143">
        <v>13</v>
      </c>
      <c r="B363" s="146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4"/>
      <c r="B364" s="147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4"/>
      <c r="B365" s="147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4"/>
      <c r="B366" s="147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4"/>
      <c r="B367" s="147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4"/>
      <c r="B368" s="147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4"/>
      <c r="B369" s="147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4"/>
      <c r="B370" s="147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4"/>
      <c r="B371" s="147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4"/>
      <c r="B372" s="147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4"/>
      <c r="B373" s="147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4"/>
      <c r="B374" s="147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4"/>
      <c r="B375" s="147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4"/>
      <c r="B376" s="147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4"/>
      <c r="B377" s="147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4"/>
      <c r="B378" s="147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4"/>
      <c r="B379" s="147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4"/>
      <c r="B380" s="147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4"/>
      <c r="B381" s="147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4"/>
      <c r="B382" s="147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4"/>
      <c r="B383" s="147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4"/>
      <c r="B384" s="147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4"/>
      <c r="B385" s="147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4"/>
      <c r="B386" s="147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5"/>
      <c r="B387" s="148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6" t="s">
        <v>139</v>
      </c>
      <c r="Y392" s="142"/>
    </row>
    <row r="393" spans="1:25" ht="19.5" thickTop="1" x14ac:dyDescent="0.4">
      <c r="A393" s="143">
        <v>14</v>
      </c>
      <c r="B393" s="146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4"/>
      <c r="B394" s="147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4"/>
      <c r="B395" s="147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4"/>
      <c r="B396" s="147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4"/>
      <c r="B397" s="147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4"/>
      <c r="B398" s="147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4"/>
      <c r="B399" s="147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4"/>
      <c r="B400" s="147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4"/>
      <c r="B401" s="147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4"/>
      <c r="B402" s="147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4"/>
      <c r="B403" s="147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4"/>
      <c r="B404" s="147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4"/>
      <c r="B405" s="147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4"/>
      <c r="B406" s="147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4"/>
      <c r="B407" s="147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4"/>
      <c r="B408" s="147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4"/>
      <c r="B409" s="147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4"/>
      <c r="B410" s="147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4"/>
      <c r="B411" s="147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4"/>
      <c r="B412" s="147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4"/>
      <c r="B413" s="147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4"/>
      <c r="B414" s="147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4"/>
      <c r="B415" s="147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4"/>
      <c r="B416" s="147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5"/>
      <c r="B417" s="148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6" t="s">
        <v>140</v>
      </c>
      <c r="Y422" s="142"/>
    </row>
    <row r="423" spans="1:25" ht="19.5" thickTop="1" x14ac:dyDescent="0.4">
      <c r="A423" s="143">
        <v>15</v>
      </c>
      <c r="B423" s="146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4"/>
      <c r="B424" s="147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4"/>
      <c r="B425" s="147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4"/>
      <c r="B426" s="147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4"/>
      <c r="B427" s="147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4"/>
      <c r="B428" s="147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4"/>
      <c r="B429" s="147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4"/>
      <c r="B430" s="147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4"/>
      <c r="B431" s="147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4"/>
      <c r="B432" s="147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4"/>
      <c r="B433" s="147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4"/>
      <c r="B434" s="147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4"/>
      <c r="B435" s="147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4"/>
      <c r="B436" s="147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4"/>
      <c r="B437" s="147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4"/>
      <c r="B438" s="147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4"/>
      <c r="B439" s="147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4"/>
      <c r="B440" s="147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4"/>
      <c r="B441" s="147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4"/>
      <c r="B442" s="147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4"/>
      <c r="B443" s="147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4"/>
      <c r="B444" s="147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4"/>
      <c r="B445" s="147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4"/>
      <c r="B446" s="147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5"/>
      <c r="B447" s="148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6" t="s">
        <v>105</v>
      </c>
      <c r="Y451" s="142"/>
    </row>
    <row r="452" spans="1:25" ht="19.5" thickTop="1" x14ac:dyDescent="0.4">
      <c r="A452" s="143">
        <v>16</v>
      </c>
      <c r="B452" s="133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4"/>
      <c r="B453" s="134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4"/>
      <c r="B454" s="134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4"/>
      <c r="B455" s="134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4"/>
      <c r="B456" s="134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4"/>
      <c r="B457" s="134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4"/>
      <c r="B458" s="134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4"/>
      <c r="B459" s="134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4"/>
      <c r="B460" s="134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4"/>
      <c r="B461" s="134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4"/>
      <c r="B462" s="134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4"/>
      <c r="B463" s="134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4"/>
      <c r="B464" s="134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4"/>
      <c r="B465" s="134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4"/>
      <c r="B466" s="134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4"/>
      <c r="B467" s="134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4"/>
      <c r="B468" s="134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4"/>
      <c r="B469" s="134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4"/>
      <c r="B470" s="134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4"/>
      <c r="B471" s="134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4"/>
      <c r="B472" s="134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4"/>
      <c r="B473" s="134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4"/>
      <c r="B474" s="134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4"/>
      <c r="B475" s="134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5"/>
      <c r="B476" s="135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7" t="s">
        <v>47</v>
      </c>
      <c r="C26" s="157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8"/>
      <c r="C27" s="158"/>
      <c r="D27" s="159">
        <f>SUM(D26:F26)</f>
        <v>116</v>
      </c>
      <c r="E27" s="159"/>
      <c r="F27" s="159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X1108"/>
  <sheetViews>
    <sheetView zoomScaleNormal="100" workbookViewId="0">
      <selection activeCell="H21" sqref="H21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3" width="16.625" customWidth="1"/>
    <col min="24" max="24" width="11" customWidth="1"/>
    <col min="25" max="25" width="10.5" style="121" customWidth="1"/>
    <col min="26" max="26" width="10.25" style="121" customWidth="1"/>
    <col min="27" max="27" width="10.875" style="121" customWidth="1"/>
    <col min="28" max="41" width="16.625" customWidth="1"/>
    <col min="42" max="42" width="20.5" customWidth="1"/>
    <col min="47" max="47" width="12.375" customWidth="1"/>
    <col min="48" max="48" width="11.25" customWidth="1"/>
    <col min="49" max="49" width="10.5" customWidth="1"/>
    <col min="50" max="50" width="10.25" customWidth="1"/>
  </cols>
  <sheetData>
    <row r="1" spans="1:46" x14ac:dyDescent="0.4">
      <c r="A1" s="120" t="s">
        <v>195</v>
      </c>
      <c r="B1" s="121"/>
      <c r="C1" s="121"/>
      <c r="D1" s="121"/>
      <c r="R1" t="s">
        <v>143</v>
      </c>
      <c r="S1" t="s">
        <v>144</v>
      </c>
      <c r="X1" s="120"/>
      <c r="AP1" t="s">
        <v>143</v>
      </c>
      <c r="AQ1" t="s">
        <v>144</v>
      </c>
    </row>
    <row r="2" spans="1:46" ht="19.5" x14ac:dyDescent="0.4">
      <c r="A2" s="116"/>
      <c r="B2" s="123" t="s">
        <v>146</v>
      </c>
      <c r="C2" s="123" t="s">
        <v>147</v>
      </c>
      <c r="D2" s="123" t="s">
        <v>148</v>
      </c>
      <c r="R2" s="25">
        <v>45669</v>
      </c>
      <c r="S2" s="13" t="s">
        <v>147</v>
      </c>
      <c r="X2" s="116"/>
      <c r="Y2" s="123"/>
      <c r="Z2" s="123"/>
      <c r="AA2" s="123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25">
        <v>45258</v>
      </c>
      <c r="AQ2" s="13" t="s">
        <v>162</v>
      </c>
      <c r="AT2" s="114"/>
    </row>
    <row r="3" spans="1:46" ht="19.5" x14ac:dyDescent="0.4">
      <c r="A3" s="117">
        <v>45303</v>
      </c>
      <c r="B3" s="123"/>
      <c r="C3" s="123">
        <v>2</v>
      </c>
      <c r="D3" s="123"/>
      <c r="N3" s="115"/>
      <c r="O3" s="115"/>
      <c r="P3" s="115"/>
      <c r="Q3" s="115"/>
      <c r="R3" s="25">
        <v>45669</v>
      </c>
      <c r="S3" s="13" t="s">
        <v>147</v>
      </c>
      <c r="X3" s="116"/>
      <c r="Y3" s="123"/>
      <c r="Z3" s="123"/>
      <c r="AA3" s="123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25"/>
      <c r="AQ3" s="13"/>
      <c r="AT3" s="114"/>
    </row>
    <row r="4" spans="1:46" ht="19.5" x14ac:dyDescent="0.4">
      <c r="A4" s="117">
        <v>45305</v>
      </c>
      <c r="B4" s="123">
        <v>1</v>
      </c>
      <c r="C4" s="123"/>
      <c r="D4" s="123">
        <v>1</v>
      </c>
      <c r="N4" s="115"/>
      <c r="O4" s="115"/>
      <c r="P4" s="115"/>
      <c r="Q4" s="115"/>
      <c r="R4" s="25">
        <v>45671</v>
      </c>
      <c r="S4" s="13" t="s">
        <v>146</v>
      </c>
      <c r="X4" s="116"/>
      <c r="Y4" s="123"/>
      <c r="Z4" s="123"/>
      <c r="AA4" s="123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25"/>
      <c r="AQ4" s="13"/>
      <c r="AT4" s="114"/>
    </row>
    <row r="5" spans="1:46" ht="19.5" x14ac:dyDescent="0.4">
      <c r="A5" s="117">
        <v>45306</v>
      </c>
      <c r="B5" s="123">
        <v>2</v>
      </c>
      <c r="C5" s="123">
        <v>1</v>
      </c>
      <c r="D5" s="123"/>
      <c r="L5" s="115"/>
      <c r="M5" s="115"/>
      <c r="N5" s="115"/>
      <c r="O5" s="115"/>
      <c r="P5" s="115"/>
      <c r="Q5" s="115"/>
      <c r="R5" s="25">
        <v>45671</v>
      </c>
      <c r="S5" s="13" t="s">
        <v>148</v>
      </c>
      <c r="X5" s="116"/>
      <c r="Y5" s="123"/>
      <c r="Z5" s="123"/>
      <c r="AA5" s="123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25"/>
      <c r="AQ5" s="13"/>
      <c r="AT5" s="114"/>
    </row>
    <row r="6" spans="1:46" ht="19.5" x14ac:dyDescent="0.4">
      <c r="A6" s="117">
        <v>45307</v>
      </c>
      <c r="B6" s="123"/>
      <c r="C6" s="123">
        <v>5</v>
      </c>
      <c r="D6" s="123">
        <v>1</v>
      </c>
      <c r="L6" s="115"/>
      <c r="M6" s="115"/>
      <c r="N6" s="115"/>
      <c r="O6" s="115"/>
      <c r="P6" s="115"/>
      <c r="Q6" s="115"/>
      <c r="R6" s="25">
        <v>45672</v>
      </c>
      <c r="S6" s="13" t="s">
        <v>146</v>
      </c>
      <c r="X6" s="116"/>
      <c r="Y6" s="123"/>
      <c r="Z6" s="123"/>
      <c r="AA6" s="123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25"/>
      <c r="AQ6" s="13"/>
      <c r="AT6" s="114"/>
    </row>
    <row r="7" spans="1:46" ht="19.5" x14ac:dyDescent="0.4">
      <c r="A7" s="117">
        <v>45309</v>
      </c>
      <c r="B7" s="123">
        <v>1</v>
      </c>
      <c r="C7" s="123">
        <v>3</v>
      </c>
      <c r="D7" s="123"/>
      <c r="L7" s="115"/>
      <c r="M7" s="115"/>
      <c r="N7" s="115"/>
      <c r="O7" s="115"/>
      <c r="P7" s="115"/>
      <c r="Q7" s="115"/>
      <c r="R7" s="25">
        <v>45672</v>
      </c>
      <c r="S7" s="13" t="s">
        <v>146</v>
      </c>
      <c r="X7" s="116"/>
      <c r="Y7" s="123"/>
      <c r="Z7" s="123"/>
      <c r="AA7" s="123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25"/>
      <c r="AQ7" s="13"/>
      <c r="AT7" s="114"/>
    </row>
    <row r="8" spans="1:46" ht="19.5" x14ac:dyDescent="0.4">
      <c r="A8" s="117">
        <v>45310</v>
      </c>
      <c r="B8" s="123"/>
      <c r="C8" s="123"/>
      <c r="D8" s="123">
        <v>1</v>
      </c>
      <c r="L8" s="115"/>
      <c r="M8" s="115"/>
      <c r="N8" s="115"/>
      <c r="O8" s="115"/>
      <c r="P8" s="115"/>
      <c r="Q8" s="115"/>
      <c r="R8" s="25">
        <v>45672</v>
      </c>
      <c r="S8" s="25" t="s">
        <v>147</v>
      </c>
      <c r="X8" s="116"/>
      <c r="Y8" s="123"/>
      <c r="Z8" s="123"/>
      <c r="AA8" s="123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25"/>
      <c r="AQ8" s="13"/>
      <c r="AT8" s="114"/>
    </row>
    <row r="9" spans="1:46" ht="19.5" x14ac:dyDescent="0.4">
      <c r="A9" s="117">
        <v>45311</v>
      </c>
      <c r="B9" s="123">
        <v>3</v>
      </c>
      <c r="C9" s="123">
        <v>2</v>
      </c>
      <c r="D9" s="123">
        <v>1</v>
      </c>
      <c r="L9" s="115"/>
      <c r="M9" s="115"/>
      <c r="N9" s="115"/>
      <c r="O9" s="115"/>
      <c r="P9" s="115"/>
      <c r="Q9" s="115"/>
      <c r="R9" s="25">
        <v>45673</v>
      </c>
      <c r="S9" s="13" t="s">
        <v>147</v>
      </c>
      <c r="X9" s="116"/>
      <c r="Y9" s="123"/>
      <c r="Z9" s="123"/>
      <c r="AA9" s="123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25"/>
      <c r="AQ9" s="13"/>
      <c r="AT9" s="114"/>
    </row>
    <row r="10" spans="1:46" ht="19.5" x14ac:dyDescent="0.4">
      <c r="A10" s="117">
        <v>45312</v>
      </c>
      <c r="B10" s="123">
        <v>1</v>
      </c>
      <c r="C10" s="123">
        <v>1</v>
      </c>
      <c r="D10" s="123">
        <v>3</v>
      </c>
      <c r="L10" s="115"/>
      <c r="M10" s="115"/>
      <c r="N10" s="115"/>
      <c r="O10" s="115"/>
      <c r="P10" s="115"/>
      <c r="Q10" s="115"/>
      <c r="R10" s="25">
        <v>45673</v>
      </c>
      <c r="S10" s="13" t="s">
        <v>147</v>
      </c>
      <c r="X10" s="116"/>
      <c r="Y10" s="123"/>
      <c r="Z10" s="123"/>
      <c r="AA10" s="123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25"/>
      <c r="AQ10" s="13"/>
      <c r="AT10" s="114"/>
    </row>
    <row r="11" spans="1:46" ht="19.5" x14ac:dyDescent="0.4">
      <c r="A11" s="117">
        <v>45313</v>
      </c>
      <c r="B11" s="123">
        <v>2</v>
      </c>
      <c r="C11" s="123">
        <v>3</v>
      </c>
      <c r="D11" s="123">
        <v>1</v>
      </c>
      <c r="J11" s="115"/>
      <c r="K11" s="115"/>
      <c r="L11" s="115"/>
      <c r="M11" s="115"/>
      <c r="N11" s="115"/>
      <c r="O11" s="115"/>
      <c r="P11" s="115"/>
      <c r="Q11" s="115"/>
      <c r="R11" s="25">
        <v>45673</v>
      </c>
      <c r="S11" s="13" t="s">
        <v>148</v>
      </c>
      <c r="X11" s="116"/>
      <c r="Y11" s="123"/>
      <c r="Z11" s="123"/>
      <c r="AA11" s="123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25"/>
      <c r="AQ11" s="13"/>
      <c r="AT11" s="114"/>
    </row>
    <row r="12" spans="1:46" ht="19.5" x14ac:dyDescent="0.4">
      <c r="A12" s="117">
        <v>45314</v>
      </c>
      <c r="B12" s="123">
        <v>9</v>
      </c>
      <c r="C12" s="123">
        <v>5</v>
      </c>
      <c r="D12" s="123">
        <v>1</v>
      </c>
      <c r="J12" s="115"/>
      <c r="K12" s="115"/>
      <c r="L12" s="115"/>
      <c r="M12" s="115"/>
      <c r="N12" s="115"/>
      <c r="O12" s="115"/>
      <c r="P12" s="115"/>
      <c r="Q12" s="115"/>
      <c r="R12" s="25">
        <v>45673</v>
      </c>
      <c r="S12" s="13" t="s">
        <v>147</v>
      </c>
      <c r="X12" s="116"/>
      <c r="Y12" s="123"/>
      <c r="Z12" s="123"/>
      <c r="AA12" s="123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25"/>
      <c r="AQ12" s="13"/>
      <c r="AT12" s="114"/>
    </row>
    <row r="13" spans="1:46" ht="19.5" x14ac:dyDescent="0.4">
      <c r="A13" s="117">
        <v>45316</v>
      </c>
      <c r="B13" s="123">
        <v>6</v>
      </c>
      <c r="C13" s="123">
        <v>2</v>
      </c>
      <c r="D13" s="123">
        <v>4</v>
      </c>
      <c r="J13" s="115"/>
      <c r="K13" s="115"/>
      <c r="L13" s="115"/>
      <c r="M13" s="115"/>
      <c r="N13" s="115"/>
      <c r="O13" s="115"/>
      <c r="P13" s="115"/>
      <c r="Q13" s="115"/>
      <c r="R13" s="25">
        <v>45673</v>
      </c>
      <c r="S13" s="13" t="s">
        <v>147</v>
      </c>
      <c r="X13" s="116"/>
      <c r="Y13" s="123"/>
      <c r="Z13" s="123"/>
      <c r="AA13" s="123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25"/>
      <c r="AQ13" s="13"/>
      <c r="AT13" s="114"/>
    </row>
    <row r="14" spans="1:46" ht="19.5" x14ac:dyDescent="0.4">
      <c r="A14" s="117">
        <v>45317</v>
      </c>
      <c r="B14" s="123"/>
      <c r="C14" s="123">
        <v>2</v>
      </c>
      <c r="D14" s="123"/>
      <c r="J14" s="115"/>
      <c r="K14" s="115"/>
      <c r="L14" s="115"/>
      <c r="M14" s="115"/>
      <c r="N14" s="115"/>
      <c r="O14" s="115"/>
      <c r="P14" s="115"/>
      <c r="Q14" s="115"/>
      <c r="R14" s="25">
        <v>45673</v>
      </c>
      <c r="S14" s="13" t="s">
        <v>147</v>
      </c>
      <c r="X14" s="116"/>
      <c r="Y14" s="123"/>
      <c r="Z14" s="123"/>
      <c r="AA14" s="123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25"/>
      <c r="AQ14" s="13"/>
      <c r="AT14" s="114"/>
    </row>
    <row r="15" spans="1:46" ht="19.5" x14ac:dyDescent="0.4">
      <c r="A15" s="117">
        <v>45318</v>
      </c>
      <c r="B15" s="123">
        <v>4</v>
      </c>
      <c r="C15" s="123">
        <v>3</v>
      </c>
      <c r="D15" s="123">
        <v>1</v>
      </c>
      <c r="J15" s="115"/>
      <c r="K15" s="115"/>
      <c r="L15" s="115"/>
      <c r="M15" s="115"/>
      <c r="N15" s="115"/>
      <c r="O15" s="115"/>
      <c r="P15" s="115"/>
      <c r="Q15" s="115"/>
      <c r="R15" s="25">
        <v>45675</v>
      </c>
      <c r="S15" s="13" t="s">
        <v>147</v>
      </c>
      <c r="X15" s="116"/>
      <c r="Y15" s="123"/>
      <c r="Z15" s="123"/>
      <c r="AA15" s="123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25"/>
      <c r="AQ15" s="13"/>
      <c r="AT15" s="114"/>
    </row>
    <row r="16" spans="1:46" ht="19.5" x14ac:dyDescent="0.4">
      <c r="A16" s="117">
        <v>45319</v>
      </c>
      <c r="B16" s="123">
        <v>4</v>
      </c>
      <c r="C16" s="123">
        <v>2</v>
      </c>
      <c r="D16" s="123">
        <v>5</v>
      </c>
      <c r="J16" s="115"/>
      <c r="K16" s="115"/>
      <c r="L16" s="115"/>
      <c r="M16" s="115"/>
      <c r="N16" s="115"/>
      <c r="O16" s="115"/>
      <c r="P16" s="115"/>
      <c r="Q16" s="115"/>
      <c r="R16" s="25">
        <v>45675</v>
      </c>
      <c r="S16" s="15" t="s">
        <v>147</v>
      </c>
      <c r="X16" s="116"/>
      <c r="Y16" s="123"/>
      <c r="Z16" s="123"/>
      <c r="AA16" s="123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25"/>
      <c r="AQ16" s="13"/>
      <c r="AT16" s="114"/>
    </row>
    <row r="17" spans="1:46" ht="19.5" x14ac:dyDescent="0.4">
      <c r="A17" s="117">
        <v>45320</v>
      </c>
      <c r="B17" s="123">
        <v>12</v>
      </c>
      <c r="C17" s="123">
        <v>3</v>
      </c>
      <c r="D17" s="123">
        <v>7</v>
      </c>
      <c r="J17" s="115"/>
      <c r="K17" s="115"/>
      <c r="L17" s="115"/>
      <c r="M17" s="115"/>
      <c r="N17" s="115"/>
      <c r="O17" s="115"/>
      <c r="P17" s="115"/>
      <c r="Q17" s="115"/>
      <c r="R17" s="25">
        <v>45675</v>
      </c>
      <c r="S17" s="13" t="s">
        <v>147</v>
      </c>
      <c r="X17" s="116"/>
      <c r="Y17" s="123"/>
      <c r="Z17" s="123"/>
      <c r="AA17" s="123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25"/>
      <c r="AQ17" s="13"/>
      <c r="AT17" s="114"/>
    </row>
    <row r="18" spans="1:46" ht="19.5" x14ac:dyDescent="0.4">
      <c r="A18" s="117">
        <v>45323</v>
      </c>
      <c r="B18" s="123">
        <v>2</v>
      </c>
      <c r="C18" s="123">
        <v>2</v>
      </c>
      <c r="D18" s="123"/>
      <c r="I18" s="115"/>
      <c r="J18" s="115"/>
      <c r="K18" s="115"/>
      <c r="L18" s="115"/>
      <c r="M18" s="115"/>
      <c r="N18" s="115"/>
      <c r="O18" s="115"/>
      <c r="P18" s="115"/>
      <c r="Q18" s="115"/>
      <c r="R18" s="25">
        <v>45675</v>
      </c>
      <c r="S18" s="13" t="s">
        <v>146</v>
      </c>
      <c r="X18" s="116"/>
      <c r="Y18" s="123"/>
      <c r="Z18" s="123"/>
      <c r="AA18" s="123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25"/>
      <c r="AQ18" s="13"/>
      <c r="AT18" s="114"/>
    </row>
    <row r="19" spans="1:46" ht="19.5" x14ac:dyDescent="0.4">
      <c r="A19" s="117">
        <v>45324</v>
      </c>
      <c r="B19" s="123">
        <v>1</v>
      </c>
      <c r="C19" s="123"/>
      <c r="D19" s="123"/>
      <c r="I19" s="115"/>
      <c r="J19" s="115"/>
      <c r="K19" s="115"/>
      <c r="L19" s="115"/>
      <c r="M19" s="115"/>
      <c r="N19" s="115"/>
      <c r="O19" s="115"/>
      <c r="P19" s="115"/>
      <c r="Q19" s="115"/>
      <c r="R19" s="25">
        <v>45676</v>
      </c>
      <c r="S19" s="13" t="s">
        <v>148</v>
      </c>
      <c r="X19" s="116"/>
      <c r="Y19" s="123"/>
      <c r="Z19" s="123"/>
      <c r="AA19" s="123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25"/>
      <c r="AQ19" s="13"/>
      <c r="AT19" s="114"/>
    </row>
    <row r="20" spans="1:46" ht="19.5" x14ac:dyDescent="0.4">
      <c r="A20" s="117">
        <v>45325</v>
      </c>
      <c r="B20" s="123">
        <v>4</v>
      </c>
      <c r="C20" s="123"/>
      <c r="D20" s="123"/>
      <c r="I20" s="115"/>
      <c r="J20" s="115"/>
      <c r="K20" s="115"/>
      <c r="L20" s="115"/>
      <c r="M20" s="115"/>
      <c r="N20" s="115"/>
      <c r="O20" s="115"/>
      <c r="P20" s="115"/>
      <c r="Q20" s="115"/>
      <c r="R20" s="25">
        <v>45677</v>
      </c>
      <c r="S20" s="13" t="s">
        <v>146</v>
      </c>
      <c r="X20" s="116"/>
      <c r="Y20" s="123"/>
      <c r="Z20" s="123"/>
      <c r="AA20" s="123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25"/>
      <c r="AQ20" s="13"/>
      <c r="AT20" s="114"/>
    </row>
    <row r="21" spans="1:46" ht="19.5" x14ac:dyDescent="0.4">
      <c r="A21" s="117">
        <v>45326</v>
      </c>
      <c r="B21" s="123">
        <v>4</v>
      </c>
      <c r="C21" s="123"/>
      <c r="D21" s="123"/>
      <c r="I21" s="115"/>
      <c r="J21" s="115"/>
      <c r="K21" s="115"/>
      <c r="L21" s="115"/>
      <c r="M21" s="115"/>
      <c r="N21" s="115"/>
      <c r="O21" s="115"/>
      <c r="P21" s="115"/>
      <c r="Q21" s="115"/>
      <c r="R21" s="25">
        <v>45677</v>
      </c>
      <c r="S21" s="13" t="s">
        <v>146</v>
      </c>
      <c r="X21" s="116"/>
      <c r="Y21" s="123"/>
      <c r="Z21" s="123"/>
      <c r="AA21" s="123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25"/>
      <c r="AQ21" s="13"/>
      <c r="AT21" s="114"/>
    </row>
    <row r="22" spans="1:46" ht="19.5" x14ac:dyDescent="0.4">
      <c r="A22" s="117">
        <v>45327</v>
      </c>
      <c r="B22" s="123">
        <v>3</v>
      </c>
      <c r="C22" s="123"/>
      <c r="D22" s="123"/>
      <c r="I22" s="115"/>
      <c r="J22" s="115"/>
      <c r="K22" s="115"/>
      <c r="L22" s="115"/>
      <c r="M22" s="115"/>
      <c r="N22" s="115"/>
      <c r="O22" s="115"/>
      <c r="P22" s="115"/>
      <c r="Q22" s="115"/>
      <c r="R22" s="25">
        <v>45677</v>
      </c>
      <c r="S22" s="13" t="s">
        <v>148</v>
      </c>
      <c r="X22" s="116"/>
      <c r="Y22" s="123"/>
      <c r="Z22" s="123"/>
      <c r="AA22" s="123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25"/>
      <c r="AQ22" s="13"/>
      <c r="AT22" s="114"/>
    </row>
    <row r="23" spans="1:46" ht="19.5" x14ac:dyDescent="0.4">
      <c r="A23" s="117">
        <v>45328</v>
      </c>
      <c r="B23" s="123"/>
      <c r="C23" s="123">
        <v>6</v>
      </c>
      <c r="D23" s="123">
        <v>1</v>
      </c>
      <c r="I23" s="115"/>
      <c r="J23" s="115"/>
      <c r="K23" s="115"/>
      <c r="L23" s="115"/>
      <c r="M23" s="115"/>
      <c r="N23" s="115"/>
      <c r="O23" s="115"/>
      <c r="P23" s="115"/>
      <c r="Q23" s="115"/>
      <c r="R23" s="25">
        <v>45677</v>
      </c>
      <c r="S23" s="13" t="s">
        <v>146</v>
      </c>
      <c r="X23" s="116"/>
      <c r="Y23" s="123"/>
      <c r="Z23" s="123"/>
      <c r="AA23" s="123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25"/>
      <c r="AQ23" s="13"/>
      <c r="AT23" s="114"/>
    </row>
    <row r="24" spans="1:46" ht="19.5" x14ac:dyDescent="0.4">
      <c r="A24" s="117">
        <v>45329</v>
      </c>
      <c r="B24" s="123"/>
      <c r="C24" s="123">
        <v>1</v>
      </c>
      <c r="D24" s="123"/>
      <c r="I24" s="115"/>
      <c r="J24" s="115"/>
      <c r="K24" s="115"/>
      <c r="L24" s="115"/>
      <c r="M24" s="115"/>
      <c r="N24" s="115"/>
      <c r="O24" s="115"/>
      <c r="P24" s="115"/>
      <c r="Q24" s="115"/>
      <c r="R24" s="25">
        <v>45677</v>
      </c>
      <c r="S24" s="13" t="s">
        <v>147</v>
      </c>
      <c r="X24" s="116"/>
      <c r="Y24" s="123"/>
      <c r="Z24" s="123"/>
      <c r="AA24" s="123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25"/>
      <c r="AQ24" s="13"/>
      <c r="AT24" s="114"/>
    </row>
    <row r="25" spans="1:46" ht="19.5" x14ac:dyDescent="0.4">
      <c r="A25" s="117">
        <v>45332</v>
      </c>
      <c r="B25" s="123"/>
      <c r="C25" s="123">
        <v>2</v>
      </c>
      <c r="D25" s="123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25">
        <v>45677</v>
      </c>
      <c r="S25" s="25" t="s">
        <v>147</v>
      </c>
      <c r="X25" s="116"/>
      <c r="Y25" s="123"/>
      <c r="Z25" s="123"/>
      <c r="AA25" s="123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25"/>
      <c r="AQ25" s="13"/>
      <c r="AT25" s="114"/>
    </row>
    <row r="26" spans="1:46" ht="19.5" x14ac:dyDescent="0.4">
      <c r="A26" s="117">
        <v>45333</v>
      </c>
      <c r="B26" s="123"/>
      <c r="C26" s="123"/>
      <c r="D26" s="123">
        <v>6</v>
      </c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25">
        <v>45678</v>
      </c>
      <c r="S26" s="13" t="s">
        <v>147</v>
      </c>
      <c r="X26" s="116"/>
      <c r="Y26" s="123"/>
      <c r="Z26" s="123"/>
      <c r="AA26" s="123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25"/>
      <c r="AQ26" s="13"/>
      <c r="AT26" s="114"/>
    </row>
    <row r="27" spans="1:46" ht="19.5" x14ac:dyDescent="0.4">
      <c r="A27" s="117">
        <v>45340</v>
      </c>
      <c r="B27" s="123">
        <v>1</v>
      </c>
      <c r="C27" s="123"/>
      <c r="D27" s="123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25">
        <v>45678</v>
      </c>
      <c r="S27" s="13" t="s">
        <v>146</v>
      </c>
      <c r="X27" s="116"/>
      <c r="Y27" s="123"/>
      <c r="Z27" s="123"/>
      <c r="AA27" s="123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25"/>
      <c r="AQ27" s="13"/>
      <c r="AT27" s="114"/>
    </row>
    <row r="28" spans="1:46" ht="19.5" x14ac:dyDescent="0.4">
      <c r="A28" s="117">
        <v>45343</v>
      </c>
      <c r="B28" s="123"/>
      <c r="C28" s="123">
        <v>1</v>
      </c>
      <c r="D28" s="123">
        <v>1</v>
      </c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25">
        <v>45678</v>
      </c>
      <c r="S28" s="13" t="s">
        <v>148</v>
      </c>
      <c r="X28" s="116"/>
      <c r="Y28" s="123"/>
      <c r="Z28" s="123"/>
      <c r="AA28" s="123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25"/>
      <c r="AQ28" s="13"/>
      <c r="AT28" s="114"/>
    </row>
    <row r="29" spans="1:46" ht="19.5" x14ac:dyDescent="0.4">
      <c r="A29" s="117">
        <v>45346</v>
      </c>
      <c r="B29" s="123">
        <v>1</v>
      </c>
      <c r="C29" s="123"/>
      <c r="D29" s="123">
        <v>1</v>
      </c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25">
        <v>45678</v>
      </c>
      <c r="S29" s="13" t="s">
        <v>148</v>
      </c>
      <c r="X29" s="116"/>
      <c r="Y29" s="123"/>
      <c r="Z29" s="123"/>
      <c r="AA29" s="123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25"/>
      <c r="AQ29" s="13"/>
      <c r="AT29" s="114"/>
    </row>
    <row r="30" spans="1:46" ht="19.5" x14ac:dyDescent="0.4">
      <c r="A30" s="117">
        <v>45348</v>
      </c>
      <c r="B30" s="123"/>
      <c r="C30" s="123">
        <v>3</v>
      </c>
      <c r="D30" s="123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25">
        <v>45678</v>
      </c>
      <c r="S30" s="13" t="s">
        <v>148</v>
      </c>
      <c r="X30" s="116"/>
      <c r="Y30" s="123"/>
      <c r="Z30" s="123"/>
      <c r="AA30" s="123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25"/>
      <c r="AQ30" s="13"/>
      <c r="AT30" s="114"/>
    </row>
    <row r="31" spans="1:46" ht="19.5" x14ac:dyDescent="0.4">
      <c r="A31" s="117"/>
      <c r="B31" s="123">
        <f>SUM(B3:B30)</f>
        <v>61</v>
      </c>
      <c r="C31" s="123">
        <f>SUM(C3:C30)</f>
        <v>49</v>
      </c>
      <c r="D31" s="123">
        <f>SUM(D3:D30)</f>
        <v>35</v>
      </c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25">
        <v>45679</v>
      </c>
      <c r="S31" s="15" t="s">
        <v>146</v>
      </c>
      <c r="X31" s="116"/>
      <c r="Y31" s="123"/>
      <c r="Z31" s="123"/>
      <c r="AA31" s="123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25"/>
      <c r="AQ31" s="13"/>
      <c r="AT31" s="114"/>
    </row>
    <row r="32" spans="1:46" ht="19.5" x14ac:dyDescent="0.4">
      <c r="A32" s="117"/>
      <c r="B32" s="123"/>
      <c r="C32" s="123"/>
      <c r="D32" s="123">
        <f>SUM(B31:D31)</f>
        <v>145</v>
      </c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25">
        <v>45679</v>
      </c>
      <c r="S32" s="15" t="s">
        <v>148</v>
      </c>
      <c r="X32" s="116"/>
      <c r="Y32" s="123"/>
      <c r="Z32" s="123"/>
      <c r="AA32" s="123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25"/>
      <c r="AQ32" s="13"/>
      <c r="AT32" s="114"/>
    </row>
    <row r="33" spans="1:46" ht="19.5" x14ac:dyDescent="0.4">
      <c r="A33" s="117"/>
      <c r="B33" s="123"/>
      <c r="C33" s="123"/>
      <c r="D33" s="123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25">
        <v>45679</v>
      </c>
      <c r="S33" s="13" t="s">
        <v>147</v>
      </c>
      <c r="X33" s="116"/>
      <c r="Y33" s="123"/>
      <c r="Z33" s="123"/>
      <c r="AA33" s="123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25"/>
      <c r="AQ33" s="13"/>
      <c r="AT33" s="114"/>
    </row>
    <row r="34" spans="1:46" ht="19.5" x14ac:dyDescent="0.4">
      <c r="A34" s="117"/>
      <c r="B34" s="123"/>
      <c r="C34" s="123"/>
      <c r="D34" s="123"/>
      <c r="R34" s="25">
        <v>45679</v>
      </c>
      <c r="S34" s="13" t="s">
        <v>147</v>
      </c>
      <c r="X34" s="116"/>
      <c r="Y34" s="123"/>
      <c r="Z34" s="123"/>
      <c r="AA34" s="123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25"/>
      <c r="AQ34" s="13"/>
      <c r="AT34" s="114"/>
    </row>
    <row r="35" spans="1:46" ht="19.5" x14ac:dyDescent="0.4">
      <c r="A35" s="117"/>
      <c r="B35" s="123"/>
      <c r="C35" s="123"/>
      <c r="D35" s="123"/>
      <c r="I35" s="115"/>
      <c r="J35" s="115"/>
      <c r="K35" s="115"/>
      <c r="L35" s="115"/>
      <c r="M35" s="115"/>
      <c r="N35" s="115"/>
      <c r="O35" s="115"/>
      <c r="P35" s="115"/>
      <c r="Q35" s="115"/>
      <c r="R35" s="25">
        <v>45679</v>
      </c>
      <c r="S35" s="13" t="s">
        <v>146</v>
      </c>
      <c r="X35" s="116"/>
      <c r="Y35" s="123"/>
      <c r="Z35" s="123"/>
      <c r="AA35" s="123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25"/>
      <c r="AQ35" s="13"/>
      <c r="AT35" s="114"/>
    </row>
    <row r="36" spans="1:46" ht="19.5" x14ac:dyDescent="0.4">
      <c r="A36" s="117"/>
      <c r="B36" s="123"/>
      <c r="C36" s="123"/>
      <c r="D36" s="123"/>
      <c r="I36" s="115"/>
      <c r="J36" s="115"/>
      <c r="K36" s="115"/>
      <c r="L36" s="115"/>
      <c r="M36" s="115"/>
      <c r="N36" s="115"/>
      <c r="O36" s="115"/>
      <c r="P36" s="115"/>
      <c r="Q36" s="115"/>
      <c r="R36" s="25">
        <v>45679</v>
      </c>
      <c r="S36" s="13" t="s">
        <v>147</v>
      </c>
      <c r="X36" s="116"/>
      <c r="Y36" s="123"/>
      <c r="Z36" s="123"/>
      <c r="AA36" s="123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25"/>
      <c r="AQ36" s="13"/>
      <c r="AT36" s="114"/>
    </row>
    <row r="37" spans="1:46" ht="19.5" x14ac:dyDescent="0.4">
      <c r="A37" s="117"/>
      <c r="B37" s="123"/>
      <c r="C37" s="123"/>
      <c r="D37" s="123"/>
      <c r="I37" s="115"/>
      <c r="J37" s="115"/>
      <c r="K37" s="115"/>
      <c r="L37" s="115"/>
      <c r="M37" s="115"/>
      <c r="N37" s="115"/>
      <c r="O37" s="115"/>
      <c r="P37" s="115"/>
      <c r="Q37" s="115"/>
      <c r="R37" s="25">
        <v>45680</v>
      </c>
      <c r="S37" s="13" t="s">
        <v>148</v>
      </c>
      <c r="X37" s="116"/>
      <c r="Y37" s="123"/>
      <c r="Z37" s="123"/>
      <c r="AA37" s="123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25"/>
      <c r="AQ37" s="13"/>
      <c r="AT37" s="114"/>
    </row>
    <row r="38" spans="1:46" ht="19.5" x14ac:dyDescent="0.4">
      <c r="A38" s="117"/>
      <c r="B38" s="123"/>
      <c r="C38" s="123"/>
      <c r="D38" s="123"/>
      <c r="I38" s="115"/>
      <c r="J38" s="115"/>
      <c r="K38" s="115"/>
      <c r="L38" s="115"/>
      <c r="M38" s="115"/>
      <c r="N38" s="115"/>
      <c r="O38" s="115"/>
      <c r="P38" s="115"/>
      <c r="Q38" s="115"/>
      <c r="R38" s="25">
        <v>45680</v>
      </c>
      <c r="S38" s="13" t="s">
        <v>147</v>
      </c>
      <c r="X38" s="116"/>
      <c r="Y38" s="123"/>
      <c r="Z38" s="123"/>
      <c r="AA38" s="123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25"/>
      <c r="AQ38" s="13"/>
      <c r="AT38" s="114"/>
    </row>
    <row r="39" spans="1:46" ht="19.5" x14ac:dyDescent="0.4">
      <c r="A39" s="117"/>
      <c r="B39" s="123"/>
      <c r="C39" s="123"/>
      <c r="D39" s="123"/>
      <c r="I39" s="115"/>
      <c r="J39" s="115"/>
      <c r="K39" s="115"/>
      <c r="L39" s="115"/>
      <c r="M39" s="115"/>
      <c r="N39" s="115"/>
      <c r="O39" s="115"/>
      <c r="P39" s="115"/>
      <c r="Q39" s="115"/>
      <c r="R39" s="25">
        <v>45680</v>
      </c>
      <c r="S39" s="13" t="s">
        <v>147</v>
      </c>
      <c r="X39" s="116"/>
      <c r="Y39" s="123"/>
      <c r="Z39" s="123"/>
      <c r="AA39" s="123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25"/>
      <c r="AQ39" s="13"/>
      <c r="AT39" s="114"/>
    </row>
    <row r="40" spans="1:46" ht="19.5" x14ac:dyDescent="0.4">
      <c r="A40" s="117"/>
      <c r="B40" s="123"/>
      <c r="C40" s="123"/>
      <c r="D40" s="123"/>
      <c r="I40" s="115"/>
      <c r="J40" s="115"/>
      <c r="K40" s="115"/>
      <c r="L40" s="115"/>
      <c r="M40" s="115"/>
      <c r="N40" s="115"/>
      <c r="O40" s="115"/>
      <c r="P40" s="115"/>
      <c r="Q40" s="115"/>
      <c r="R40" s="25">
        <v>45680</v>
      </c>
      <c r="S40" s="13" t="s">
        <v>146</v>
      </c>
      <c r="X40" s="116"/>
      <c r="Y40" s="123"/>
      <c r="Z40" s="123"/>
      <c r="AA40" s="123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25"/>
      <c r="AQ40" s="13"/>
      <c r="AT40" s="114"/>
    </row>
    <row r="41" spans="1:46" ht="19.5" x14ac:dyDescent="0.4">
      <c r="A41" s="117"/>
      <c r="B41" s="123"/>
      <c r="C41" s="123"/>
      <c r="D41" s="123"/>
      <c r="I41" s="115"/>
      <c r="J41" s="115"/>
      <c r="K41" s="115"/>
      <c r="L41" s="115"/>
      <c r="M41" s="115"/>
      <c r="N41" s="115"/>
      <c r="O41" s="115"/>
      <c r="P41" s="115"/>
      <c r="Q41" s="115"/>
      <c r="R41" s="25">
        <v>45680</v>
      </c>
      <c r="S41" s="13" t="s">
        <v>146</v>
      </c>
      <c r="X41" s="116"/>
      <c r="Y41" s="123"/>
      <c r="Z41" s="123"/>
      <c r="AA41" s="123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25"/>
      <c r="AQ41" s="13"/>
      <c r="AT41" s="114"/>
    </row>
    <row r="42" spans="1:46" ht="19.5" x14ac:dyDescent="0.4">
      <c r="A42" s="117"/>
      <c r="B42" s="123"/>
      <c r="C42" s="123"/>
      <c r="D42" s="123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25">
        <v>45680</v>
      </c>
      <c r="S42" s="13" t="s">
        <v>147</v>
      </c>
      <c r="X42" s="116"/>
      <c r="Y42" s="123"/>
      <c r="Z42" s="123"/>
      <c r="AA42" s="123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25"/>
      <c r="AQ42" s="13"/>
      <c r="AT42" s="114"/>
    </row>
    <row r="43" spans="1:46" ht="19.5" x14ac:dyDescent="0.4">
      <c r="A43" s="117"/>
      <c r="B43" s="123"/>
      <c r="C43" s="123"/>
      <c r="D43" s="123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25">
        <v>45680</v>
      </c>
      <c r="S43" s="15" t="s">
        <v>142</v>
      </c>
      <c r="X43" s="116"/>
      <c r="Y43" s="123"/>
      <c r="Z43" s="123"/>
      <c r="AA43" s="123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25"/>
      <c r="AQ43" s="13"/>
      <c r="AT43" s="114"/>
    </row>
    <row r="44" spans="1:46" ht="19.5" x14ac:dyDescent="0.4">
      <c r="A44" s="117"/>
      <c r="B44" s="123"/>
      <c r="C44" s="123"/>
      <c r="D44" s="123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25">
        <v>45680</v>
      </c>
      <c r="S44" s="15" t="s">
        <v>146</v>
      </c>
      <c r="X44" s="116"/>
      <c r="Y44" s="123"/>
      <c r="Z44" s="123"/>
      <c r="AA44" s="123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25"/>
      <c r="AQ44" s="13"/>
      <c r="AT44" s="114"/>
    </row>
    <row r="45" spans="1:46" ht="19.5" x14ac:dyDescent="0.4">
      <c r="A45" s="117"/>
      <c r="B45" s="123"/>
      <c r="C45" s="123"/>
      <c r="D45" s="123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25">
        <v>45680</v>
      </c>
      <c r="S45" s="15" t="s">
        <v>146</v>
      </c>
      <c r="X45" s="116"/>
      <c r="Y45" s="123"/>
      <c r="Z45" s="123"/>
      <c r="AA45" s="123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25"/>
      <c r="AQ45" s="13"/>
      <c r="AT45" s="114"/>
    </row>
    <row r="46" spans="1:46" ht="19.5" x14ac:dyDescent="0.4">
      <c r="A46" s="117"/>
      <c r="B46" s="123"/>
      <c r="C46" s="123"/>
      <c r="D46" s="123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25">
        <v>45680</v>
      </c>
      <c r="S46" s="15" t="s">
        <v>146</v>
      </c>
      <c r="X46" s="116"/>
      <c r="Y46" s="123"/>
      <c r="Z46" s="123"/>
      <c r="AA46" s="123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25"/>
      <c r="AQ46" s="13"/>
      <c r="AT46" s="114"/>
    </row>
    <row r="47" spans="1:46" ht="19.5" x14ac:dyDescent="0.4">
      <c r="A47" s="117"/>
      <c r="B47" s="123"/>
      <c r="C47" s="123"/>
      <c r="D47" s="123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25">
        <v>45680</v>
      </c>
      <c r="S47" s="15" t="s">
        <v>147</v>
      </c>
      <c r="X47" s="116"/>
      <c r="Y47" s="123"/>
      <c r="Z47" s="123"/>
      <c r="AA47" s="123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25"/>
      <c r="AQ47" s="13"/>
      <c r="AT47" s="114"/>
    </row>
    <row r="48" spans="1:46" ht="19.5" x14ac:dyDescent="0.4">
      <c r="A48" s="117"/>
      <c r="B48" s="123"/>
      <c r="C48" s="123"/>
      <c r="D48" s="123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25">
        <v>45680</v>
      </c>
      <c r="S48" s="13" t="s">
        <v>146</v>
      </c>
      <c r="X48" s="116"/>
      <c r="Y48" s="123"/>
      <c r="Z48" s="123"/>
      <c r="AA48" s="123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25"/>
      <c r="AQ48" s="13"/>
      <c r="AT48" s="114"/>
    </row>
    <row r="49" spans="1:46" ht="19.5" x14ac:dyDescent="0.4">
      <c r="A49" s="117"/>
      <c r="B49" s="123"/>
      <c r="C49" s="123"/>
      <c r="D49" s="123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25">
        <v>45680</v>
      </c>
      <c r="S49" s="13" t="s">
        <v>147</v>
      </c>
      <c r="X49" s="116"/>
      <c r="Y49" s="123"/>
      <c r="Z49" s="123"/>
      <c r="AA49" s="123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25"/>
      <c r="AQ49" s="13"/>
      <c r="AT49" s="114"/>
    </row>
    <row r="50" spans="1:46" ht="19.5" x14ac:dyDescent="0.4">
      <c r="A50" s="117"/>
      <c r="B50" s="123"/>
      <c r="C50" s="123"/>
      <c r="D50" s="123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25">
        <v>45680</v>
      </c>
      <c r="S50" s="13" t="s">
        <v>146</v>
      </c>
      <c r="X50" s="116"/>
      <c r="Y50" s="123"/>
      <c r="Z50" s="123"/>
      <c r="AA50" s="123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25"/>
      <c r="AQ50" s="13"/>
      <c r="AT50" s="114"/>
    </row>
    <row r="51" spans="1:46" ht="19.5" x14ac:dyDescent="0.4">
      <c r="A51" s="117"/>
      <c r="B51" s="123"/>
      <c r="C51" s="123"/>
      <c r="D51" s="123"/>
      <c r="R51" s="25">
        <v>45680</v>
      </c>
      <c r="S51" s="13" t="s">
        <v>146</v>
      </c>
      <c r="X51" s="117"/>
      <c r="Y51" s="123"/>
      <c r="Z51" s="123"/>
      <c r="AA51" s="123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 t="s">
        <v>149</v>
      </c>
      <c r="AP51" s="13">
        <f>SUBTOTAL(3,AP2:AP2)</f>
        <v>1</v>
      </c>
      <c r="AQ51" s="13">
        <f>SUBTOTAL(3,AQ2:AQ2)</f>
        <v>1</v>
      </c>
      <c r="AT51" s="114"/>
    </row>
    <row r="52" spans="1:46" ht="19.5" x14ac:dyDescent="0.4">
      <c r="A52" s="117"/>
      <c r="B52" s="123"/>
      <c r="C52" s="123"/>
      <c r="D52" s="123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25">
        <v>45682</v>
      </c>
      <c r="S52" s="13" t="s">
        <v>147</v>
      </c>
      <c r="X52" s="117"/>
      <c r="Y52" s="123"/>
      <c r="Z52" s="123"/>
      <c r="AA52" s="123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3"/>
      <c r="AQ52" s="13"/>
      <c r="AT52" s="114"/>
    </row>
    <row r="53" spans="1:46" ht="19.5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25">
        <v>45682</v>
      </c>
      <c r="S53" s="13" t="s">
        <v>146</v>
      </c>
      <c r="X53" s="117"/>
      <c r="Y53" s="123"/>
      <c r="Z53" s="123"/>
      <c r="AA53" s="123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3"/>
      <c r="AQ53" s="13"/>
      <c r="AT53" s="114"/>
    </row>
    <row r="54" spans="1:46" ht="19.5" x14ac:dyDescent="0.4">
      <c r="A54" s="117"/>
      <c r="B54" s="123"/>
      <c r="C54" s="123"/>
      <c r="D54" s="123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25">
        <v>45682</v>
      </c>
      <c r="S54" s="13" t="s">
        <v>147</v>
      </c>
      <c r="X54" s="117"/>
      <c r="Y54" s="123"/>
      <c r="Z54" s="123"/>
      <c r="AA54" s="123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3"/>
      <c r="AQ54" s="13"/>
      <c r="AT54" s="114"/>
    </row>
    <row r="55" spans="1:46" ht="19.5" x14ac:dyDescent="0.4">
      <c r="A55" s="117"/>
      <c r="B55" s="123"/>
      <c r="C55" s="123"/>
      <c r="D55" s="123"/>
      <c r="R55" s="25">
        <v>45682</v>
      </c>
      <c r="S55" s="15" t="s">
        <v>146</v>
      </c>
      <c r="X55" s="117"/>
      <c r="Y55" s="123"/>
      <c r="Z55" s="123"/>
      <c r="AA55" s="123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3"/>
      <c r="AQ55" s="13"/>
      <c r="AT55" s="114"/>
    </row>
    <row r="56" spans="1:46" ht="19.5" x14ac:dyDescent="0.4">
      <c r="A56" s="117"/>
      <c r="B56" s="123"/>
      <c r="C56" s="123"/>
      <c r="D56" s="123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25">
        <v>45682</v>
      </c>
      <c r="S56" s="15" t="s">
        <v>146</v>
      </c>
      <c r="X56" s="117"/>
      <c r="Y56" s="123"/>
      <c r="Z56" s="123"/>
      <c r="AA56" s="123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3"/>
      <c r="AQ56" s="13"/>
      <c r="AT56" s="114"/>
    </row>
    <row r="57" spans="1:46" ht="19.5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25">
        <v>45682</v>
      </c>
      <c r="S57" s="15" t="s">
        <v>148</v>
      </c>
      <c r="X57" s="117"/>
      <c r="Y57" s="123"/>
      <c r="Z57" s="123"/>
      <c r="AA57" s="123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3"/>
      <c r="AQ57" s="13"/>
      <c r="AT57" s="114"/>
    </row>
    <row r="58" spans="1:46" ht="19.5" x14ac:dyDescent="0.4">
      <c r="A58" s="117"/>
      <c r="B58" s="123"/>
      <c r="C58" s="123"/>
      <c r="D58" s="123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25">
        <v>45682</v>
      </c>
      <c r="S58" s="15" t="s">
        <v>146</v>
      </c>
      <c r="X58" s="117"/>
      <c r="Y58" s="123"/>
      <c r="Z58" s="123"/>
      <c r="AA58" s="123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3"/>
      <c r="AQ58" s="13"/>
      <c r="AT58" s="114"/>
    </row>
    <row r="59" spans="1:46" ht="19.5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25">
        <v>45682</v>
      </c>
      <c r="S59" s="15" t="s">
        <v>148</v>
      </c>
      <c r="X59" s="117"/>
      <c r="Y59" s="123"/>
      <c r="Z59" s="123"/>
      <c r="AA59" s="123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3"/>
      <c r="AQ59" s="13"/>
      <c r="AT59" s="114"/>
    </row>
    <row r="60" spans="1:46" ht="19.5" x14ac:dyDescent="0.4">
      <c r="A60" s="117"/>
      <c r="B60" s="123"/>
      <c r="C60" s="123"/>
      <c r="D60" s="123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25">
        <v>45682</v>
      </c>
      <c r="S60" s="15" t="s">
        <v>148</v>
      </c>
      <c r="X60" s="117"/>
      <c r="Y60" s="123"/>
      <c r="Z60" s="123"/>
      <c r="AA60" s="123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3"/>
      <c r="AQ60" s="13"/>
      <c r="AT60" s="114"/>
    </row>
    <row r="61" spans="1:46" ht="19.5" x14ac:dyDescent="0.4">
      <c r="A61" s="117"/>
      <c r="B61" s="123"/>
      <c r="C61" s="123"/>
      <c r="D61" s="123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25">
        <v>45682</v>
      </c>
      <c r="S61" s="105" t="s">
        <v>148</v>
      </c>
      <c r="X61" s="117"/>
      <c r="Y61" s="123"/>
      <c r="Z61" s="123"/>
      <c r="AA61" s="123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3"/>
      <c r="AQ61" s="13"/>
      <c r="AT61" s="114"/>
    </row>
    <row r="62" spans="1:46" ht="19.5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25">
        <v>45682</v>
      </c>
      <c r="S62" s="105" t="s">
        <v>146</v>
      </c>
      <c r="X62" s="117"/>
      <c r="Y62" s="123"/>
      <c r="Z62" s="123"/>
      <c r="AA62" s="123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3"/>
      <c r="AQ62" s="13"/>
      <c r="AT62" s="114"/>
    </row>
    <row r="63" spans="1:46" ht="19.5" x14ac:dyDescent="0.4">
      <c r="A63" s="117"/>
      <c r="B63" s="123"/>
      <c r="C63" s="123"/>
      <c r="D63" s="123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25">
        <v>45682</v>
      </c>
      <c r="S63" s="15" t="s">
        <v>146</v>
      </c>
      <c r="X63" s="117"/>
      <c r="Y63" s="123"/>
      <c r="Z63" s="123"/>
      <c r="AA63" s="123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3"/>
      <c r="AQ63" s="13"/>
      <c r="AT63" s="114"/>
    </row>
    <row r="64" spans="1:46" ht="19.5" x14ac:dyDescent="0.4">
      <c r="A64" s="117"/>
      <c r="B64" s="123"/>
      <c r="C64" s="123"/>
      <c r="D64" s="123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25">
        <v>45683</v>
      </c>
      <c r="S64" s="13" t="s">
        <v>147</v>
      </c>
      <c r="X64" s="117"/>
      <c r="Y64" s="123"/>
      <c r="Z64" s="123"/>
      <c r="AA64" s="123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3"/>
      <c r="AQ64" s="13"/>
      <c r="AT64" s="114"/>
    </row>
    <row r="65" spans="1:46" ht="19.5" x14ac:dyDescent="0.4">
      <c r="A65" s="117"/>
      <c r="B65" s="123"/>
      <c r="C65" s="123"/>
      <c r="D65" s="123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25">
        <v>45683</v>
      </c>
      <c r="S65" s="13" t="s">
        <v>147</v>
      </c>
      <c r="X65" s="117"/>
      <c r="Y65" s="123"/>
      <c r="Z65" s="123"/>
      <c r="AA65" s="123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3"/>
      <c r="AQ65" s="13"/>
      <c r="AT65" s="114"/>
    </row>
    <row r="66" spans="1:46" ht="19.5" x14ac:dyDescent="0.4">
      <c r="A66" s="117"/>
      <c r="B66" s="123"/>
      <c r="C66" s="123"/>
      <c r="D66" s="123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25">
        <v>45684</v>
      </c>
      <c r="S66" s="13" t="s">
        <v>146</v>
      </c>
      <c r="X66" s="117"/>
      <c r="Y66" s="123"/>
      <c r="Z66" s="123"/>
      <c r="AA66" s="123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3"/>
      <c r="AQ66" s="13"/>
      <c r="AT66" s="114"/>
    </row>
    <row r="67" spans="1:46" ht="19.5" x14ac:dyDescent="0.4">
      <c r="A67" s="117"/>
      <c r="B67" s="123"/>
      <c r="C67" s="123"/>
      <c r="D67" s="123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25">
        <v>45684</v>
      </c>
      <c r="S67" s="13" t="s">
        <v>148</v>
      </c>
      <c r="X67" s="117"/>
      <c r="Y67" s="123"/>
      <c r="Z67" s="123"/>
      <c r="AA67" s="123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3"/>
      <c r="AQ67" s="13"/>
      <c r="AT67" s="114"/>
    </row>
    <row r="68" spans="1:46" ht="19.5" x14ac:dyDescent="0.4">
      <c r="A68" s="117"/>
      <c r="B68" s="123"/>
      <c r="C68" s="123"/>
      <c r="D68" s="123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25">
        <v>45684</v>
      </c>
      <c r="S68" s="13" t="s">
        <v>147</v>
      </c>
      <c r="X68" s="117"/>
      <c r="Y68" s="123"/>
      <c r="Z68" s="123"/>
      <c r="AA68" s="123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3"/>
      <c r="AQ68" s="13"/>
      <c r="AT68" s="114"/>
    </row>
    <row r="69" spans="1:46" ht="19.5" x14ac:dyDescent="0.4">
      <c r="A69" s="117"/>
      <c r="B69" s="123"/>
      <c r="C69" s="123"/>
      <c r="D69" s="123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25">
        <v>45684</v>
      </c>
      <c r="S69" s="13" t="s">
        <v>146</v>
      </c>
      <c r="X69" s="117"/>
      <c r="Y69" s="123"/>
      <c r="Z69" s="123"/>
      <c r="AA69" s="123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3"/>
      <c r="AQ69" s="13"/>
      <c r="AT69" s="114"/>
    </row>
    <row r="70" spans="1:46" ht="19.5" x14ac:dyDescent="0.4">
      <c r="A70" s="117"/>
      <c r="B70" s="123"/>
      <c r="C70" s="123"/>
      <c r="D70" s="123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25">
        <v>45684</v>
      </c>
      <c r="S70" s="13" t="s">
        <v>147</v>
      </c>
      <c r="X70" s="117"/>
      <c r="Y70" s="123"/>
      <c r="Z70" s="123"/>
      <c r="AA70" s="123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3"/>
      <c r="AQ70" s="13"/>
      <c r="AT70" s="114"/>
    </row>
    <row r="71" spans="1:46" ht="19.5" x14ac:dyDescent="0.4">
      <c r="A71" s="117"/>
      <c r="B71" s="123"/>
      <c r="C71" s="123"/>
      <c r="D71" s="123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25">
        <v>45684</v>
      </c>
      <c r="S71" s="13" t="s">
        <v>146</v>
      </c>
      <c r="X71" s="117"/>
      <c r="Y71" s="123"/>
      <c r="Z71" s="123"/>
      <c r="AA71" s="123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3"/>
      <c r="AQ71" s="13"/>
      <c r="AT71" s="114"/>
    </row>
    <row r="72" spans="1:46" ht="19.5" x14ac:dyDescent="0.4">
      <c r="A72" s="117"/>
      <c r="B72" s="123"/>
      <c r="C72" s="123"/>
      <c r="D72" s="123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25">
        <v>45684</v>
      </c>
      <c r="S72" s="13" t="s">
        <v>146</v>
      </c>
      <c r="X72" s="117"/>
      <c r="Y72" s="123"/>
      <c r="Z72" s="123"/>
      <c r="AA72" s="123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3"/>
      <c r="AQ72" s="13"/>
      <c r="AT72" s="114"/>
    </row>
    <row r="73" spans="1:46" ht="19.5" x14ac:dyDescent="0.4">
      <c r="A73" s="117"/>
      <c r="B73" s="123"/>
      <c r="C73" s="123"/>
      <c r="D73" s="123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25">
        <v>45684</v>
      </c>
      <c r="S73" s="13" t="s">
        <v>147</v>
      </c>
      <c r="X73" s="117"/>
      <c r="Y73" s="123"/>
      <c r="Z73" s="123"/>
      <c r="AA73" s="123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3"/>
      <c r="AQ73" s="13"/>
      <c r="AT73" s="114"/>
    </row>
    <row r="74" spans="1:46" ht="19.5" x14ac:dyDescent="0.4">
      <c r="A74" s="117"/>
      <c r="B74" s="123"/>
      <c r="C74" s="123"/>
      <c r="D74" s="123"/>
      <c r="R74" s="25">
        <v>45685</v>
      </c>
      <c r="S74" s="13" t="s">
        <v>146</v>
      </c>
      <c r="X74" s="117"/>
      <c r="Y74" s="123"/>
      <c r="Z74" s="123"/>
      <c r="AA74" s="123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25">
        <v>45263</v>
      </c>
      <c r="AQ74" s="13" t="s">
        <v>162</v>
      </c>
      <c r="AT74" s="114"/>
    </row>
    <row r="75" spans="1:46" ht="19.5" x14ac:dyDescent="0.4">
      <c r="A75" s="117"/>
      <c r="B75" s="123"/>
      <c r="C75" s="123"/>
      <c r="D75" s="123"/>
      <c r="O75" s="115"/>
      <c r="P75" s="115"/>
      <c r="Q75" s="115"/>
      <c r="R75" s="25">
        <v>45685</v>
      </c>
      <c r="S75" s="13" t="s">
        <v>147</v>
      </c>
      <c r="X75" s="117"/>
      <c r="Y75" s="123"/>
      <c r="Z75" s="123"/>
      <c r="AA75" s="123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25"/>
      <c r="AQ75" s="13"/>
      <c r="AT75" s="114"/>
    </row>
    <row r="76" spans="1:46" ht="19.5" x14ac:dyDescent="0.4">
      <c r="A76" s="117"/>
      <c r="B76" s="123"/>
      <c r="C76" s="123"/>
      <c r="D76" s="123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25">
        <v>45685</v>
      </c>
      <c r="S76" s="13" t="s">
        <v>147</v>
      </c>
      <c r="X76" s="117"/>
      <c r="Y76" s="123"/>
      <c r="Z76" s="123"/>
      <c r="AA76" s="123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25"/>
      <c r="AQ76" s="13"/>
      <c r="AT76" s="114"/>
    </row>
    <row r="77" spans="1:46" ht="19.5" x14ac:dyDescent="0.4">
      <c r="A77" s="117"/>
      <c r="B77" s="123"/>
      <c r="C77" s="123"/>
      <c r="D77" s="123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25">
        <v>45685</v>
      </c>
      <c r="S77" s="13" t="s">
        <v>148</v>
      </c>
      <c r="X77" s="117"/>
      <c r="Y77" s="123"/>
      <c r="Z77" s="123"/>
      <c r="AA77" s="123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25"/>
      <c r="AQ77" s="13"/>
      <c r="AT77" s="114"/>
    </row>
    <row r="78" spans="1:46" ht="19.5" x14ac:dyDescent="0.4">
      <c r="A78" s="117"/>
      <c r="B78" s="123"/>
      <c r="C78" s="123"/>
      <c r="D78" s="123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25">
        <v>45685</v>
      </c>
      <c r="S78" s="13" t="s">
        <v>148</v>
      </c>
      <c r="X78" s="117"/>
      <c r="Y78" s="123"/>
      <c r="Z78" s="123"/>
      <c r="AA78" s="123"/>
      <c r="AF78" s="115"/>
      <c r="AG78" s="115"/>
      <c r="AH78" s="115"/>
      <c r="AI78" s="115"/>
      <c r="AJ78" s="115"/>
      <c r="AK78" s="115"/>
      <c r="AL78" s="115"/>
      <c r="AM78" s="115"/>
      <c r="AN78" s="115"/>
      <c r="AO78" s="115"/>
      <c r="AP78" s="25"/>
      <c r="AQ78" s="13"/>
      <c r="AT78" s="114"/>
    </row>
    <row r="79" spans="1:46" ht="19.5" x14ac:dyDescent="0.4">
      <c r="A79" s="117"/>
      <c r="B79" s="123"/>
      <c r="C79" s="123"/>
      <c r="D79" s="123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25">
        <v>45685</v>
      </c>
      <c r="S79" s="13" t="s">
        <v>148</v>
      </c>
      <c r="X79" s="117"/>
      <c r="Y79" s="123"/>
      <c r="Z79" s="123"/>
      <c r="AA79" s="123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25"/>
      <c r="AQ79" s="13"/>
      <c r="AT79" s="114"/>
    </row>
    <row r="80" spans="1:46" ht="19.5" x14ac:dyDescent="0.4">
      <c r="A80" s="117"/>
      <c r="B80" s="123"/>
      <c r="C80" s="123"/>
      <c r="D80" s="123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25">
        <v>45685</v>
      </c>
      <c r="S80" s="13" t="s">
        <v>148</v>
      </c>
      <c r="X80" s="117"/>
      <c r="Y80" s="123"/>
      <c r="Z80" s="123"/>
      <c r="AA80" s="123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25"/>
      <c r="AQ80" s="13"/>
      <c r="AT80" s="114"/>
    </row>
    <row r="81" spans="1:46" ht="19.5" x14ac:dyDescent="0.4">
      <c r="A81" s="117"/>
      <c r="B81" s="123"/>
      <c r="C81" s="123"/>
      <c r="D81" s="123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25">
        <v>45685</v>
      </c>
      <c r="S81" s="13" t="s">
        <v>146</v>
      </c>
      <c r="X81" s="117"/>
      <c r="Y81" s="123"/>
      <c r="Z81" s="123"/>
      <c r="AA81" s="123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25"/>
      <c r="AQ81" s="13"/>
      <c r="AT81" s="114"/>
    </row>
    <row r="82" spans="1:46" ht="19.5" x14ac:dyDescent="0.4">
      <c r="A82" s="117"/>
      <c r="B82" s="123"/>
      <c r="C82" s="123"/>
      <c r="D82" s="123"/>
      <c r="R82" s="25">
        <v>45685</v>
      </c>
      <c r="S82" s="13" t="s">
        <v>148</v>
      </c>
      <c r="X82" s="117"/>
      <c r="Y82" s="123"/>
      <c r="Z82" s="123"/>
      <c r="AA82" s="123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 t="s">
        <v>150</v>
      </c>
      <c r="AP82" s="13">
        <f>SUBTOTAL(3,AP74:AP74)</f>
        <v>1</v>
      </c>
      <c r="AQ82" s="13">
        <f>SUBTOTAL(3,AQ74:AQ74)</f>
        <v>1</v>
      </c>
      <c r="AT82" s="114"/>
    </row>
    <row r="83" spans="1:46" ht="19.5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25">
        <v>45685</v>
      </c>
      <c r="S83" s="15" t="s">
        <v>146</v>
      </c>
      <c r="X83" s="117"/>
      <c r="Y83" s="123"/>
      <c r="Z83" s="123"/>
      <c r="AA83" s="123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3"/>
      <c r="AQ83" s="13"/>
      <c r="AT83" s="114"/>
    </row>
    <row r="84" spans="1:46" ht="19.5" x14ac:dyDescent="0.4">
      <c r="A84" s="117"/>
      <c r="B84" s="123"/>
      <c r="C84" s="123"/>
      <c r="D84" s="123"/>
      <c r="R84" s="25">
        <v>45685</v>
      </c>
      <c r="S84" s="15" t="s">
        <v>146</v>
      </c>
      <c r="X84" s="117"/>
      <c r="Y84" s="123"/>
      <c r="Z84" s="123"/>
      <c r="AA84" s="123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25">
        <v>45264</v>
      </c>
      <c r="AQ84" s="13" t="s">
        <v>162</v>
      </c>
      <c r="AT84" s="114"/>
    </row>
    <row r="85" spans="1:46" ht="19.5" x14ac:dyDescent="0.4">
      <c r="A85" s="117"/>
      <c r="B85" s="123"/>
      <c r="C85" s="123"/>
      <c r="D85" s="123"/>
      <c r="N85" s="115"/>
      <c r="O85" s="115"/>
      <c r="P85" s="115"/>
      <c r="Q85" s="115"/>
      <c r="R85" s="25">
        <v>45686</v>
      </c>
      <c r="S85" s="15" t="s">
        <v>148</v>
      </c>
      <c r="X85" s="117"/>
      <c r="Y85" s="123"/>
      <c r="Z85" s="123"/>
      <c r="AA85" s="123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  <c r="AP85" s="25"/>
      <c r="AQ85" s="13"/>
      <c r="AT85" s="114"/>
    </row>
    <row r="86" spans="1:46" ht="19.5" x14ac:dyDescent="0.4">
      <c r="A86" s="117"/>
      <c r="B86" s="123"/>
      <c r="C86" s="123"/>
      <c r="D86" s="123"/>
      <c r="L86" s="115"/>
      <c r="M86" s="115"/>
      <c r="N86" s="115"/>
      <c r="O86" s="115"/>
      <c r="P86" s="115"/>
      <c r="Q86" s="115"/>
      <c r="R86" s="25">
        <v>45686</v>
      </c>
      <c r="S86" s="15" t="s">
        <v>146</v>
      </c>
      <c r="X86" s="117"/>
      <c r="Y86" s="123"/>
      <c r="Z86" s="123"/>
      <c r="AA86" s="123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25"/>
      <c r="AQ86" s="13"/>
      <c r="AT86" s="114"/>
    </row>
    <row r="87" spans="1:46" ht="19.5" x14ac:dyDescent="0.4">
      <c r="A87" s="117"/>
      <c r="B87" s="123"/>
      <c r="C87" s="123"/>
      <c r="D87" s="123"/>
      <c r="L87" s="115"/>
      <c r="M87" s="115"/>
      <c r="N87" s="115"/>
      <c r="O87" s="115"/>
      <c r="P87" s="115"/>
      <c r="Q87" s="115"/>
      <c r="R87" s="25">
        <v>45686</v>
      </c>
      <c r="S87" s="15" t="s">
        <v>148</v>
      </c>
      <c r="X87" s="117"/>
      <c r="Y87" s="123"/>
      <c r="Z87" s="123"/>
      <c r="AA87" s="123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25"/>
      <c r="AQ87" s="13"/>
      <c r="AT87" s="114"/>
    </row>
    <row r="88" spans="1:46" ht="19.5" x14ac:dyDescent="0.4">
      <c r="A88" s="117"/>
      <c r="B88" s="123"/>
      <c r="C88" s="123"/>
      <c r="D88" s="123"/>
      <c r="R88" s="25">
        <v>45686</v>
      </c>
      <c r="S88" s="15" t="s">
        <v>146</v>
      </c>
      <c r="X88" s="117"/>
      <c r="Y88" s="123"/>
      <c r="Z88" s="123"/>
      <c r="AA88" s="123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 t="s">
        <v>154</v>
      </c>
      <c r="AP88" s="13">
        <f>SUBTOTAL(3,AP84:AP84)</f>
        <v>1</v>
      </c>
      <c r="AQ88" s="13">
        <f>SUBTOTAL(3,AQ84:AQ84)</f>
        <v>1</v>
      </c>
      <c r="AT88" s="114"/>
    </row>
    <row r="89" spans="1:46" ht="19.5" x14ac:dyDescent="0.4">
      <c r="A89" s="117"/>
      <c r="B89" s="123"/>
      <c r="C89" s="123"/>
      <c r="D89" s="123"/>
      <c r="R89" s="25">
        <v>45686</v>
      </c>
      <c r="S89" s="15" t="s">
        <v>146</v>
      </c>
      <c r="X89" s="117"/>
      <c r="Y89" s="123"/>
      <c r="Z89" s="123"/>
      <c r="AA89" s="123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25">
        <v>45265</v>
      </c>
      <c r="AQ89" s="13" t="s">
        <v>162</v>
      </c>
      <c r="AT89" s="114"/>
    </row>
    <row r="90" spans="1:46" ht="19.5" x14ac:dyDescent="0.4">
      <c r="A90" s="117"/>
      <c r="B90" s="123"/>
      <c r="C90" s="123"/>
      <c r="D90" s="123"/>
      <c r="R90" s="25">
        <v>45686</v>
      </c>
      <c r="S90" s="15" t="s">
        <v>146</v>
      </c>
      <c r="X90" s="117"/>
      <c r="Y90" s="123"/>
      <c r="Z90" s="123"/>
      <c r="AA90" s="123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  <c r="AP90" s="25">
        <v>45265</v>
      </c>
      <c r="AQ90" s="25" t="s">
        <v>162</v>
      </c>
      <c r="AT90" s="114"/>
    </row>
    <row r="91" spans="1:46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25">
        <v>45686</v>
      </c>
      <c r="S91" s="15" t="s">
        <v>146</v>
      </c>
      <c r="X91" s="117"/>
      <c r="Y91" s="123"/>
      <c r="Z91" s="123"/>
      <c r="AA91" s="123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25"/>
      <c r="AQ91" s="25"/>
      <c r="AT91" s="114"/>
    </row>
    <row r="92" spans="1:46" ht="19.5" x14ac:dyDescent="0.4">
      <c r="A92" s="117"/>
      <c r="B92" s="123"/>
      <c r="C92" s="123"/>
      <c r="D92" s="123"/>
      <c r="R92" s="25">
        <v>45686</v>
      </c>
      <c r="S92" s="13" t="s">
        <v>146</v>
      </c>
      <c r="X92" s="117"/>
      <c r="Y92" s="123"/>
      <c r="Z92" s="123"/>
      <c r="AA92" s="123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25">
        <v>45265</v>
      </c>
      <c r="AQ92" s="13" t="s">
        <v>162</v>
      </c>
      <c r="AT92" s="114"/>
    </row>
    <row r="93" spans="1:46" ht="19.5" x14ac:dyDescent="0.4">
      <c r="A93" s="117"/>
      <c r="B93" s="123"/>
      <c r="C93" s="123"/>
      <c r="D93" s="123"/>
      <c r="N93" s="115"/>
      <c r="O93" s="115"/>
      <c r="P93" s="115"/>
      <c r="Q93" s="115"/>
      <c r="R93" s="25">
        <v>45686</v>
      </c>
      <c r="S93" s="15" t="s">
        <v>146</v>
      </c>
      <c r="X93" s="117"/>
      <c r="Y93" s="123"/>
      <c r="Z93" s="123"/>
      <c r="AA93" s="123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25"/>
      <c r="AQ93" s="13"/>
      <c r="AT93" s="114"/>
    </row>
    <row r="94" spans="1:46" ht="19.5" x14ac:dyDescent="0.4">
      <c r="A94" s="117"/>
      <c r="B94" s="123"/>
      <c r="C94" s="123"/>
      <c r="D94" s="123"/>
      <c r="R94" s="25">
        <v>45686</v>
      </c>
      <c r="S94" s="15" t="s">
        <v>147</v>
      </c>
      <c r="X94" s="117"/>
      <c r="Y94" s="123"/>
      <c r="Z94" s="123"/>
      <c r="AA94" s="123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25">
        <v>45265</v>
      </c>
      <c r="AQ94" s="13" t="s">
        <v>162</v>
      </c>
      <c r="AT94" s="114"/>
    </row>
    <row r="95" spans="1:46" ht="19.5" x14ac:dyDescent="0.4">
      <c r="A95" s="117"/>
      <c r="B95" s="123"/>
      <c r="C95" s="123"/>
      <c r="D95" s="123"/>
      <c r="O95" s="115"/>
      <c r="P95" s="115"/>
      <c r="Q95" s="115"/>
      <c r="R95" s="25">
        <v>45686</v>
      </c>
      <c r="S95" s="15" t="s">
        <v>147</v>
      </c>
      <c r="X95" s="117"/>
      <c r="Y95" s="123"/>
      <c r="Z95" s="123"/>
      <c r="AA95" s="123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  <c r="AP95" s="25"/>
      <c r="AQ95" s="13"/>
      <c r="AT95" s="114"/>
    </row>
    <row r="96" spans="1:46" ht="19.5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25">
        <v>45686</v>
      </c>
      <c r="S96" s="13" t="s">
        <v>146</v>
      </c>
      <c r="X96" s="117"/>
      <c r="Y96" s="123"/>
      <c r="Z96" s="123"/>
      <c r="AA96" s="123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  <c r="AP96" s="25"/>
      <c r="AQ96" s="13"/>
      <c r="AT96" s="114"/>
    </row>
    <row r="97" spans="1:46" ht="19.5" x14ac:dyDescent="0.4">
      <c r="A97" s="117"/>
      <c r="B97" s="123"/>
      <c r="C97" s="123"/>
      <c r="D97" s="123"/>
      <c r="R97" s="25">
        <v>45686</v>
      </c>
      <c r="S97" s="25" t="s">
        <v>146</v>
      </c>
      <c r="X97" s="117"/>
      <c r="Y97" s="123"/>
      <c r="Z97" s="123"/>
      <c r="AA97" s="123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25">
        <v>45265</v>
      </c>
      <c r="AQ97" s="13" t="s">
        <v>163</v>
      </c>
      <c r="AT97" s="114"/>
    </row>
    <row r="98" spans="1:46" ht="19.5" x14ac:dyDescent="0.4">
      <c r="A98" s="117"/>
      <c r="B98" s="123"/>
      <c r="C98" s="123"/>
      <c r="D98" s="123"/>
      <c r="R98" s="25">
        <v>45686</v>
      </c>
      <c r="S98" s="25" t="s">
        <v>147</v>
      </c>
      <c r="X98" s="117"/>
      <c r="Y98" s="123"/>
      <c r="Z98" s="123"/>
      <c r="AA98" s="123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 t="s">
        <v>155</v>
      </c>
      <c r="AP98" s="13">
        <f>SUBTOTAL(3,AP89:AP97)</f>
        <v>5</v>
      </c>
      <c r="AQ98" s="13">
        <f>SUBTOTAL(3,AQ89:AQ97)</f>
        <v>5</v>
      </c>
      <c r="AT98" s="114"/>
    </row>
    <row r="99" spans="1:46" ht="19.5" x14ac:dyDescent="0.4">
      <c r="A99" s="117"/>
      <c r="B99" s="123"/>
      <c r="C99" s="123"/>
      <c r="D99" s="123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25">
        <v>45686</v>
      </c>
      <c r="S99" s="25" t="s">
        <v>148</v>
      </c>
      <c r="X99" s="117"/>
      <c r="Y99" s="123"/>
      <c r="Z99" s="123"/>
      <c r="AA99" s="123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  <c r="AP99" s="13"/>
      <c r="AQ99" s="13"/>
      <c r="AT99" s="114"/>
    </row>
    <row r="100" spans="1:46" ht="19.5" x14ac:dyDescent="0.4">
      <c r="A100" s="117"/>
      <c r="B100" s="123"/>
      <c r="C100" s="123"/>
      <c r="D100" s="123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25">
        <v>45686</v>
      </c>
      <c r="S100" s="13" t="s">
        <v>146</v>
      </c>
      <c r="X100" s="117"/>
      <c r="Y100" s="123"/>
      <c r="Z100" s="123"/>
      <c r="AA100" s="123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5"/>
      <c r="AP100" s="13"/>
      <c r="AQ100" s="13"/>
      <c r="AT100" s="114"/>
    </row>
    <row r="101" spans="1:46" ht="19.5" x14ac:dyDescent="0.4">
      <c r="A101" s="117"/>
      <c r="B101" s="123"/>
      <c r="C101" s="123"/>
      <c r="D101" s="123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25">
        <v>45686</v>
      </c>
      <c r="S101" s="13" t="s">
        <v>146</v>
      </c>
      <c r="X101" s="117"/>
      <c r="Y101" s="123"/>
      <c r="Z101" s="123"/>
      <c r="AA101" s="123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3"/>
      <c r="AQ101" s="13"/>
      <c r="AT101" s="114"/>
    </row>
    <row r="102" spans="1:46" ht="19.5" x14ac:dyDescent="0.4">
      <c r="A102" s="117"/>
      <c r="B102" s="123"/>
      <c r="C102" s="123"/>
      <c r="D102" s="123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25">
        <v>45686</v>
      </c>
      <c r="S102" s="15" t="s">
        <v>148</v>
      </c>
      <c r="X102" s="117"/>
      <c r="Y102" s="123"/>
      <c r="Z102" s="123"/>
      <c r="AA102" s="123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3"/>
      <c r="AQ102" s="13"/>
      <c r="AT102" s="114"/>
    </row>
    <row r="103" spans="1:46" ht="19.5" x14ac:dyDescent="0.4">
      <c r="A103" s="117"/>
      <c r="B103" s="123"/>
      <c r="C103" s="123"/>
      <c r="D103" s="123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25">
        <v>45686</v>
      </c>
      <c r="S103" s="15" t="s">
        <v>148</v>
      </c>
      <c r="X103" s="117"/>
      <c r="Y103" s="123"/>
      <c r="Z103" s="123"/>
      <c r="AA103" s="123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3"/>
      <c r="AQ103" s="13"/>
      <c r="AT103" s="114"/>
    </row>
    <row r="104" spans="1:46" ht="19.5" x14ac:dyDescent="0.4">
      <c r="A104" s="117"/>
      <c r="B104" s="123"/>
      <c r="C104" s="123"/>
      <c r="D104" s="123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25">
        <v>45686</v>
      </c>
      <c r="S104" s="15" t="s">
        <v>148</v>
      </c>
      <c r="X104" s="117"/>
      <c r="Y104" s="123"/>
      <c r="Z104" s="123"/>
      <c r="AA104" s="123"/>
      <c r="AF104" s="115"/>
      <c r="AG104" s="115"/>
      <c r="AH104" s="115"/>
      <c r="AI104" s="115"/>
      <c r="AJ104" s="115"/>
      <c r="AK104" s="115"/>
      <c r="AL104" s="115"/>
      <c r="AM104" s="115"/>
      <c r="AN104" s="115"/>
      <c r="AO104" s="115"/>
      <c r="AP104" s="13"/>
      <c r="AQ104" s="13"/>
      <c r="AT104" s="114"/>
    </row>
    <row r="105" spans="1:46" ht="19.5" x14ac:dyDescent="0.4">
      <c r="A105" s="117"/>
      <c r="B105" s="123"/>
      <c r="C105" s="123"/>
      <c r="D105" s="123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25">
        <v>45686</v>
      </c>
      <c r="S105" s="15" t="s">
        <v>146</v>
      </c>
      <c r="X105" s="117"/>
      <c r="Y105" s="123"/>
      <c r="Z105" s="123"/>
      <c r="AA105" s="123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3"/>
      <c r="AQ105" s="13"/>
      <c r="AT105" s="114"/>
    </row>
    <row r="106" spans="1:46" ht="19.5" x14ac:dyDescent="0.4">
      <c r="A106" s="117"/>
      <c r="B106" s="123"/>
      <c r="C106" s="123"/>
      <c r="D106" s="123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25">
        <v>45686</v>
      </c>
      <c r="S106" s="15" t="s">
        <v>148</v>
      </c>
      <c r="X106" s="117"/>
      <c r="Y106" s="123"/>
      <c r="Z106" s="123"/>
      <c r="AA106" s="123"/>
      <c r="AF106" s="115"/>
      <c r="AG106" s="115"/>
      <c r="AH106" s="115"/>
      <c r="AI106" s="115"/>
      <c r="AJ106" s="115"/>
      <c r="AK106" s="115"/>
      <c r="AL106" s="115"/>
      <c r="AM106" s="115"/>
      <c r="AN106" s="115"/>
      <c r="AO106" s="115"/>
      <c r="AP106" s="13"/>
      <c r="AQ106" s="13"/>
      <c r="AT106" s="114"/>
    </row>
    <row r="107" spans="1:46" ht="19.5" x14ac:dyDescent="0.4">
      <c r="A107" s="117"/>
      <c r="B107" s="123"/>
      <c r="C107" s="123"/>
      <c r="D107" s="123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25">
        <v>45689</v>
      </c>
      <c r="S107" s="15" t="s">
        <v>147</v>
      </c>
      <c r="X107" s="117"/>
      <c r="Y107" s="123"/>
      <c r="Z107" s="123"/>
      <c r="AA107" s="123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115"/>
      <c r="AP107" s="13"/>
      <c r="AQ107" s="13"/>
      <c r="AT107" s="114"/>
    </row>
    <row r="108" spans="1:46" ht="19.5" x14ac:dyDescent="0.4">
      <c r="A108" s="117"/>
      <c r="B108" s="123"/>
      <c r="C108" s="123"/>
      <c r="D108" s="123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25">
        <v>45689</v>
      </c>
      <c r="S108" s="15" t="s">
        <v>147</v>
      </c>
      <c r="X108" s="117"/>
      <c r="Y108" s="123"/>
      <c r="Z108" s="123"/>
      <c r="AA108" s="123"/>
      <c r="AF108" s="115"/>
      <c r="AG108" s="115"/>
      <c r="AH108" s="115"/>
      <c r="AI108" s="115"/>
      <c r="AJ108" s="115"/>
      <c r="AK108" s="115"/>
      <c r="AL108" s="115"/>
      <c r="AM108" s="115"/>
      <c r="AN108" s="115"/>
      <c r="AO108" s="115"/>
      <c r="AP108" s="13"/>
      <c r="AQ108" s="13"/>
      <c r="AT108" s="114"/>
    </row>
    <row r="109" spans="1:46" ht="19.5" x14ac:dyDescent="0.4">
      <c r="A109" s="117"/>
      <c r="B109" s="123"/>
      <c r="C109" s="123"/>
      <c r="D109" s="123"/>
      <c r="R109" s="25">
        <v>45689</v>
      </c>
      <c r="S109" s="15" t="s">
        <v>146</v>
      </c>
      <c r="X109" s="117"/>
      <c r="Y109" s="123"/>
      <c r="Z109" s="123"/>
      <c r="AA109" s="123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25">
        <v>45266</v>
      </c>
      <c r="AQ109" s="25" t="s">
        <v>162</v>
      </c>
      <c r="AT109" s="114"/>
    </row>
    <row r="110" spans="1:46" ht="19.5" x14ac:dyDescent="0.4">
      <c r="A110" s="117"/>
      <c r="B110" s="123"/>
      <c r="C110" s="123"/>
      <c r="D110" s="123"/>
      <c r="I110" s="115"/>
      <c r="J110" s="115"/>
      <c r="K110" s="115"/>
      <c r="L110" s="115"/>
      <c r="M110" s="115"/>
      <c r="N110" s="115"/>
      <c r="O110" s="115"/>
      <c r="P110" s="115"/>
      <c r="Q110" s="115"/>
      <c r="R110" s="25">
        <v>45689</v>
      </c>
      <c r="S110" s="15" t="s">
        <v>146</v>
      </c>
      <c r="X110" s="117"/>
      <c r="Y110" s="123"/>
      <c r="Z110" s="123"/>
      <c r="AA110" s="123"/>
      <c r="AC110" s="115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115"/>
      <c r="AN110" s="115"/>
      <c r="AO110" s="115"/>
      <c r="AP110" s="25"/>
      <c r="AQ110" s="25"/>
      <c r="AT110" s="114"/>
    </row>
    <row r="111" spans="1:46" ht="19.5" x14ac:dyDescent="0.4">
      <c r="A111" s="117"/>
      <c r="B111" s="123"/>
      <c r="C111" s="123"/>
      <c r="D111" s="123"/>
      <c r="I111" s="115"/>
      <c r="J111" s="115"/>
      <c r="K111" s="115"/>
      <c r="L111" s="115"/>
      <c r="M111" s="115"/>
      <c r="N111" s="115"/>
      <c r="O111" s="115"/>
      <c r="P111" s="115"/>
      <c r="Q111" s="115"/>
      <c r="R111" s="25">
        <v>45690</v>
      </c>
      <c r="S111" s="15" t="s">
        <v>146</v>
      </c>
      <c r="X111" s="117"/>
      <c r="Y111" s="123"/>
      <c r="Z111" s="123"/>
      <c r="AA111" s="123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25"/>
      <c r="AQ111" s="25"/>
      <c r="AT111" s="114"/>
    </row>
    <row r="112" spans="1:46" ht="19.5" x14ac:dyDescent="0.4">
      <c r="A112" s="117"/>
      <c r="B112" s="123"/>
      <c r="C112" s="123"/>
      <c r="D112" s="123"/>
      <c r="I112" s="115"/>
      <c r="J112" s="115"/>
      <c r="K112" s="115"/>
      <c r="L112" s="115"/>
      <c r="M112" s="115"/>
      <c r="N112" s="115"/>
      <c r="O112" s="115"/>
      <c r="P112" s="115"/>
      <c r="Q112" s="115"/>
      <c r="R112" s="25">
        <v>45691</v>
      </c>
      <c r="S112" s="15" t="s">
        <v>146</v>
      </c>
      <c r="X112" s="117"/>
      <c r="Y112" s="123"/>
      <c r="Z112" s="123"/>
      <c r="AA112" s="123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25"/>
      <c r="AQ112" s="25"/>
      <c r="AT112" s="114"/>
    </row>
    <row r="113" spans="1:46" ht="19.5" x14ac:dyDescent="0.4">
      <c r="A113" s="117"/>
      <c r="B113" s="123"/>
      <c r="C113" s="123"/>
      <c r="D113" s="123"/>
      <c r="R113" s="25">
        <v>45691</v>
      </c>
      <c r="S113" s="15" t="s">
        <v>146</v>
      </c>
      <c r="X113" s="117"/>
      <c r="Y113" s="123"/>
      <c r="Z113" s="123"/>
      <c r="AA113" s="123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 t="s">
        <v>156</v>
      </c>
      <c r="AP113" s="13">
        <f>SUBTOTAL(3,AP109:AP109)</f>
        <v>1</v>
      </c>
      <c r="AQ113" s="13">
        <f>SUBTOTAL(3,AQ109:AQ109)</f>
        <v>1</v>
      </c>
      <c r="AT113" s="114"/>
    </row>
    <row r="114" spans="1:46" ht="19.5" x14ac:dyDescent="0.4">
      <c r="A114" s="117"/>
      <c r="B114" s="123"/>
      <c r="C114" s="123"/>
      <c r="D114" s="123"/>
      <c r="N114" s="115"/>
      <c r="O114" s="115"/>
      <c r="P114" s="115"/>
      <c r="Q114" s="115"/>
      <c r="R114" s="25">
        <v>45691</v>
      </c>
      <c r="S114" s="15" t="s">
        <v>146</v>
      </c>
      <c r="X114" s="117"/>
      <c r="Y114" s="123"/>
      <c r="Z114" s="123"/>
      <c r="AA114" s="123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3"/>
      <c r="AQ114" s="13"/>
      <c r="AT114" s="114"/>
    </row>
    <row r="115" spans="1:46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25">
        <v>45691</v>
      </c>
      <c r="S115" s="15" t="s">
        <v>146</v>
      </c>
      <c r="X115" s="117"/>
      <c r="Y115" s="123"/>
      <c r="Z115" s="123"/>
      <c r="AA115" s="123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3"/>
      <c r="AQ115" s="13"/>
      <c r="AT115" s="114"/>
    </row>
    <row r="116" spans="1:46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25">
        <v>45692</v>
      </c>
      <c r="S116" s="15" t="s">
        <v>146</v>
      </c>
      <c r="X116" s="117"/>
      <c r="Y116" s="123"/>
      <c r="Z116" s="123"/>
      <c r="AA116" s="123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3"/>
      <c r="AQ116" s="13"/>
      <c r="AT116" s="114"/>
    </row>
    <row r="117" spans="1:46" ht="19.5" x14ac:dyDescent="0.4">
      <c r="A117" s="117"/>
      <c r="B117" s="123"/>
      <c r="C117" s="123"/>
      <c r="D117" s="123"/>
      <c r="R117" s="25">
        <v>45692</v>
      </c>
      <c r="S117" s="15" t="s">
        <v>146</v>
      </c>
      <c r="X117" s="117"/>
      <c r="Y117" s="123"/>
      <c r="Z117" s="123"/>
      <c r="AA117" s="123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25">
        <v>45267</v>
      </c>
      <c r="AQ117" s="13" t="s">
        <v>142</v>
      </c>
      <c r="AT117" s="114"/>
    </row>
    <row r="118" spans="1:46" ht="19.5" x14ac:dyDescent="0.4">
      <c r="A118" s="117"/>
      <c r="B118" s="123"/>
      <c r="C118" s="123"/>
      <c r="D118" s="123"/>
      <c r="N118" s="115"/>
      <c r="O118" s="115"/>
      <c r="P118" s="115"/>
      <c r="Q118" s="115"/>
      <c r="R118" s="25">
        <v>45692</v>
      </c>
      <c r="S118" s="15" t="s">
        <v>146</v>
      </c>
      <c r="X118" s="117"/>
      <c r="Y118" s="123"/>
      <c r="Z118" s="123"/>
      <c r="AA118" s="123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25"/>
      <c r="AQ118" s="13"/>
      <c r="AT118" s="114"/>
    </row>
    <row r="119" spans="1:46" ht="19.5" x14ac:dyDescent="0.4">
      <c r="A119" s="117"/>
      <c r="B119" s="123"/>
      <c r="C119" s="123"/>
      <c r="D119" s="123"/>
      <c r="J119" s="115"/>
      <c r="K119" s="115"/>
      <c r="L119" s="115"/>
      <c r="M119" s="115"/>
      <c r="N119" s="115"/>
      <c r="O119" s="115"/>
      <c r="P119" s="115"/>
      <c r="Q119" s="115"/>
      <c r="R119" s="25">
        <v>45692</v>
      </c>
      <c r="S119" s="15" t="s">
        <v>146</v>
      </c>
      <c r="X119" s="117"/>
      <c r="Y119" s="123"/>
      <c r="Z119" s="123"/>
      <c r="AA119" s="123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15"/>
      <c r="AO119" s="115"/>
      <c r="AP119" s="25"/>
      <c r="AQ119" s="13"/>
      <c r="AT119" s="114"/>
    </row>
    <row r="120" spans="1:46" ht="19.5" x14ac:dyDescent="0.4">
      <c r="A120" s="117"/>
      <c r="B120" s="123"/>
      <c r="C120" s="123"/>
      <c r="D120" s="123"/>
      <c r="I120" s="115"/>
      <c r="J120" s="115"/>
      <c r="K120" s="115"/>
      <c r="L120" s="115"/>
      <c r="M120" s="115"/>
      <c r="N120" s="115"/>
      <c r="O120" s="115"/>
      <c r="P120" s="115"/>
      <c r="Q120" s="115"/>
      <c r="R120" s="25">
        <v>45693</v>
      </c>
      <c r="S120" s="15" t="s">
        <v>146</v>
      </c>
      <c r="X120" s="117"/>
      <c r="Y120" s="123"/>
      <c r="Z120" s="123"/>
      <c r="AA120" s="123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115"/>
      <c r="AM120" s="115"/>
      <c r="AN120" s="115"/>
      <c r="AO120" s="115"/>
      <c r="AP120" s="25"/>
      <c r="AQ120" s="13"/>
      <c r="AT120" s="114"/>
    </row>
    <row r="121" spans="1:46" ht="19.5" x14ac:dyDescent="0.4">
      <c r="A121" s="117"/>
      <c r="B121" s="123"/>
      <c r="C121" s="123"/>
      <c r="D121" s="123"/>
      <c r="R121" s="25">
        <v>45693</v>
      </c>
      <c r="S121" s="15" t="s">
        <v>146</v>
      </c>
      <c r="X121" s="117"/>
      <c r="Y121" s="123"/>
      <c r="Z121" s="123"/>
      <c r="AA121" s="123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/>
      <c r="AN121" s="115"/>
      <c r="AO121" s="115" t="s">
        <v>157</v>
      </c>
      <c r="AP121" s="13">
        <f>SUBTOTAL(3,AP117:AP117)</f>
        <v>1</v>
      </c>
      <c r="AQ121" s="13">
        <f>SUBTOTAL(3,AQ117:AQ117)</f>
        <v>1</v>
      </c>
      <c r="AT121" s="114"/>
    </row>
    <row r="122" spans="1:46" ht="19.5" x14ac:dyDescent="0.4">
      <c r="A122" s="117"/>
      <c r="B122" s="123"/>
      <c r="C122" s="123"/>
      <c r="D122" s="123"/>
      <c r="J122" s="115"/>
      <c r="K122" s="115"/>
      <c r="L122" s="115"/>
      <c r="M122" s="115"/>
      <c r="N122" s="115"/>
      <c r="O122" s="115"/>
      <c r="P122" s="115"/>
      <c r="Q122" s="115"/>
      <c r="R122" s="25">
        <v>45693</v>
      </c>
      <c r="S122" s="15" t="s">
        <v>146</v>
      </c>
      <c r="X122" s="117"/>
      <c r="Y122" s="123"/>
      <c r="Z122" s="123"/>
      <c r="AA122" s="123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M122" s="115"/>
      <c r="AN122" s="115"/>
      <c r="AO122" s="115"/>
      <c r="AP122" s="13"/>
      <c r="AQ122" s="13"/>
      <c r="AT122" s="114"/>
    </row>
    <row r="123" spans="1:46" ht="19.5" x14ac:dyDescent="0.4">
      <c r="A123" s="117"/>
      <c r="B123" s="123"/>
      <c r="C123" s="123"/>
      <c r="D123" s="123"/>
      <c r="J123" s="115"/>
      <c r="K123" s="115"/>
      <c r="L123" s="115"/>
      <c r="M123" s="115"/>
      <c r="N123" s="115"/>
      <c r="O123" s="115"/>
      <c r="P123" s="115"/>
      <c r="Q123" s="115"/>
      <c r="R123" s="25">
        <v>45694</v>
      </c>
      <c r="S123" s="15" t="s">
        <v>147</v>
      </c>
      <c r="X123" s="117"/>
      <c r="Y123" s="123"/>
      <c r="Z123" s="123"/>
      <c r="AA123" s="123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  <c r="AN123" s="115"/>
      <c r="AO123" s="115"/>
      <c r="AP123" s="13"/>
      <c r="AQ123" s="13"/>
      <c r="AT123" s="114"/>
    </row>
    <row r="124" spans="1:46" ht="19.5" x14ac:dyDescent="0.4">
      <c r="A124" s="117"/>
      <c r="B124" s="123"/>
      <c r="C124" s="123"/>
      <c r="D124" s="123"/>
      <c r="J124" s="115"/>
      <c r="K124" s="115"/>
      <c r="L124" s="115"/>
      <c r="M124" s="115"/>
      <c r="N124" s="115"/>
      <c r="O124" s="115"/>
      <c r="P124" s="115"/>
      <c r="Q124" s="115"/>
      <c r="R124" s="25">
        <v>45694</v>
      </c>
      <c r="S124" s="105" t="s">
        <v>147</v>
      </c>
      <c r="X124" s="117"/>
      <c r="Y124" s="123"/>
      <c r="Z124" s="123"/>
      <c r="AA124" s="123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115"/>
      <c r="AN124" s="115"/>
      <c r="AO124" s="115"/>
      <c r="AP124" s="13"/>
      <c r="AQ124" s="13"/>
      <c r="AT124" s="114"/>
    </row>
    <row r="125" spans="1:46" ht="19.5" x14ac:dyDescent="0.4">
      <c r="A125" s="117"/>
      <c r="B125" s="123"/>
      <c r="C125" s="123"/>
      <c r="D125" s="123"/>
      <c r="I125" s="115"/>
      <c r="J125" s="115"/>
      <c r="K125" s="115"/>
      <c r="L125" s="115"/>
      <c r="M125" s="115"/>
      <c r="N125" s="115"/>
      <c r="O125" s="115"/>
      <c r="P125" s="115"/>
      <c r="Q125" s="115"/>
      <c r="R125" s="25">
        <v>45694</v>
      </c>
      <c r="S125" s="15" t="s">
        <v>147</v>
      </c>
      <c r="X125" s="117"/>
      <c r="Y125" s="123"/>
      <c r="Z125" s="123"/>
      <c r="AA125" s="123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/>
      <c r="AM125" s="115"/>
      <c r="AN125" s="115"/>
      <c r="AO125" s="115"/>
      <c r="AP125" s="13"/>
      <c r="AQ125" s="13"/>
      <c r="AT125" s="114"/>
    </row>
    <row r="126" spans="1:46" ht="19.5" x14ac:dyDescent="0.4">
      <c r="A126" s="117"/>
      <c r="B126" s="123"/>
      <c r="C126" s="123"/>
      <c r="D126" s="123"/>
      <c r="I126" s="115"/>
      <c r="J126" s="115"/>
      <c r="K126" s="115"/>
      <c r="L126" s="115"/>
      <c r="M126" s="115"/>
      <c r="N126" s="115"/>
      <c r="O126" s="115"/>
      <c r="P126" s="115"/>
      <c r="Q126" s="115"/>
      <c r="R126" s="26">
        <v>45694</v>
      </c>
      <c r="S126" s="15" t="s">
        <v>148</v>
      </c>
      <c r="X126" s="117"/>
      <c r="Y126" s="123"/>
      <c r="Z126" s="123"/>
      <c r="AA126" s="123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  <c r="AN126" s="115"/>
      <c r="AO126" s="115"/>
      <c r="AP126" s="13"/>
      <c r="AQ126" s="13"/>
      <c r="AT126" s="114"/>
    </row>
    <row r="127" spans="1:46" ht="19.5" x14ac:dyDescent="0.4">
      <c r="A127" s="117"/>
      <c r="B127" s="123"/>
      <c r="C127" s="123"/>
      <c r="D127" s="123"/>
      <c r="R127" s="26">
        <v>45694</v>
      </c>
      <c r="S127" s="13" t="s">
        <v>147</v>
      </c>
      <c r="X127" s="117"/>
      <c r="Y127" s="123"/>
      <c r="Z127" s="123"/>
      <c r="AA127" s="123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15"/>
      <c r="AN127" s="115"/>
      <c r="AO127" s="115"/>
      <c r="AP127" s="25">
        <v>45268</v>
      </c>
      <c r="AQ127" s="13" t="s">
        <v>162</v>
      </c>
      <c r="AT127" s="114"/>
    </row>
    <row r="128" spans="1:46" ht="19.5" x14ac:dyDescent="0.4">
      <c r="A128" s="117"/>
      <c r="B128" s="123"/>
      <c r="C128" s="123"/>
      <c r="D128" s="123"/>
      <c r="J128" s="115"/>
      <c r="K128" s="115"/>
      <c r="L128" s="115"/>
      <c r="M128" s="115"/>
      <c r="N128" s="115"/>
      <c r="O128" s="115"/>
      <c r="P128" s="115"/>
      <c r="Q128" s="115"/>
      <c r="R128" s="26">
        <v>45694</v>
      </c>
      <c r="S128" s="13" t="s">
        <v>147</v>
      </c>
      <c r="X128" s="117"/>
      <c r="Y128" s="123"/>
      <c r="Z128" s="123"/>
      <c r="AA128" s="123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  <c r="AN128" s="115"/>
      <c r="AO128" s="115"/>
      <c r="AP128" s="25"/>
      <c r="AQ128" s="13"/>
      <c r="AT128" s="114"/>
    </row>
    <row r="129" spans="1:46" ht="19.5" x14ac:dyDescent="0.4">
      <c r="A129" s="117"/>
      <c r="B129" s="123"/>
      <c r="C129" s="123"/>
      <c r="D129" s="123"/>
      <c r="R129" s="26">
        <v>45694</v>
      </c>
      <c r="S129" s="13" t="s">
        <v>147</v>
      </c>
      <c r="X129" s="117"/>
      <c r="Y129" s="123"/>
      <c r="Z129" s="123"/>
      <c r="AA129" s="123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25">
        <v>45268</v>
      </c>
      <c r="AQ129" s="13" t="s">
        <v>162</v>
      </c>
      <c r="AT129" s="114"/>
    </row>
    <row r="130" spans="1:46" ht="19.5" x14ac:dyDescent="0.4">
      <c r="A130" s="117"/>
      <c r="B130" s="123"/>
      <c r="C130" s="123"/>
      <c r="D130" s="123"/>
      <c r="O130" s="115"/>
      <c r="P130" s="115"/>
      <c r="Q130" s="115"/>
      <c r="R130" s="26">
        <v>45696</v>
      </c>
      <c r="S130" s="13" t="s">
        <v>147</v>
      </c>
      <c r="X130" s="117"/>
      <c r="Y130" s="123"/>
      <c r="Z130" s="123"/>
      <c r="AA130" s="123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5"/>
      <c r="AP130" s="25"/>
      <c r="AQ130" s="13"/>
      <c r="AT130" s="114"/>
    </row>
    <row r="131" spans="1:46" ht="19.5" x14ac:dyDescent="0.4">
      <c r="A131" s="117"/>
      <c r="B131" s="123"/>
      <c r="C131" s="123"/>
      <c r="D131" s="123"/>
      <c r="R131" s="26">
        <v>45698</v>
      </c>
      <c r="S131" s="13" t="s">
        <v>147</v>
      </c>
      <c r="X131" s="117"/>
      <c r="Y131" s="123"/>
      <c r="Z131" s="123"/>
      <c r="AA131" s="123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  <c r="AN131" s="115"/>
      <c r="AO131" s="115"/>
      <c r="AP131" s="25">
        <v>45268</v>
      </c>
      <c r="AQ131" s="13" t="s">
        <v>163</v>
      </c>
      <c r="AT131" s="114"/>
    </row>
    <row r="132" spans="1:46" ht="19.5" x14ac:dyDescent="0.4">
      <c r="A132" s="117"/>
      <c r="B132" s="123"/>
      <c r="C132" s="123"/>
      <c r="D132" s="123"/>
      <c r="O132" s="115"/>
      <c r="P132" s="115"/>
      <c r="Q132" s="115"/>
      <c r="R132" s="26">
        <v>45698</v>
      </c>
      <c r="S132" s="13" t="s">
        <v>147</v>
      </c>
      <c r="X132" s="117"/>
      <c r="Y132" s="123"/>
      <c r="Z132" s="123"/>
      <c r="AA132" s="123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115"/>
      <c r="AN132" s="115"/>
      <c r="AO132" s="115"/>
      <c r="AP132" s="25"/>
      <c r="AQ132" s="13"/>
      <c r="AT132" s="114"/>
    </row>
    <row r="133" spans="1:46" ht="19.5" x14ac:dyDescent="0.4">
      <c r="A133" s="117"/>
      <c r="B133" s="123"/>
      <c r="C133" s="123"/>
      <c r="D133" s="123"/>
      <c r="I133" s="115"/>
      <c r="J133" s="115"/>
      <c r="K133" s="115"/>
      <c r="L133" s="115"/>
      <c r="M133" s="115"/>
      <c r="N133" s="115"/>
      <c r="O133" s="115"/>
      <c r="P133" s="115"/>
      <c r="Q133" s="115"/>
      <c r="R133" s="26">
        <v>45699</v>
      </c>
      <c r="S133" s="13" t="s">
        <v>148</v>
      </c>
      <c r="X133" s="117"/>
      <c r="Y133" s="123"/>
      <c r="Z133" s="123"/>
      <c r="AA133" s="123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25"/>
      <c r="AQ133" s="13"/>
      <c r="AT133" s="114"/>
    </row>
    <row r="134" spans="1:46" ht="19.5" x14ac:dyDescent="0.4">
      <c r="A134" s="117"/>
      <c r="B134" s="123"/>
      <c r="C134" s="123"/>
      <c r="D134" s="123"/>
      <c r="R134" s="26">
        <v>45699</v>
      </c>
      <c r="S134" s="13" t="s">
        <v>148</v>
      </c>
      <c r="X134" s="117"/>
      <c r="Y134" s="123"/>
      <c r="Z134" s="123"/>
      <c r="AA134" s="123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5"/>
      <c r="AP134" s="25">
        <v>45268</v>
      </c>
      <c r="AQ134" s="13" t="s">
        <v>163</v>
      </c>
      <c r="AT134" s="114"/>
    </row>
    <row r="135" spans="1:46" ht="19.5" x14ac:dyDescent="0.4">
      <c r="A135" s="117"/>
      <c r="B135" s="123"/>
      <c r="C135" s="123"/>
      <c r="D135" s="123"/>
      <c r="K135" s="115"/>
      <c r="L135" s="115"/>
      <c r="M135" s="115"/>
      <c r="N135" s="115"/>
      <c r="O135" s="115"/>
      <c r="P135" s="115"/>
      <c r="Q135" s="115"/>
      <c r="R135" s="26">
        <v>45699</v>
      </c>
      <c r="S135" s="13" t="s">
        <v>148</v>
      </c>
      <c r="X135" s="117"/>
      <c r="Y135" s="123"/>
      <c r="Z135" s="123"/>
      <c r="AA135" s="123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115"/>
      <c r="AN135" s="115"/>
      <c r="AO135" s="115"/>
      <c r="AP135" s="25"/>
      <c r="AQ135" s="13"/>
      <c r="AT135" s="114"/>
    </row>
    <row r="136" spans="1:46" ht="19.5" x14ac:dyDescent="0.4">
      <c r="A136" s="117"/>
      <c r="B136" s="123"/>
      <c r="C136" s="123"/>
      <c r="D136" s="123"/>
      <c r="K136" s="115"/>
      <c r="L136" s="115"/>
      <c r="M136" s="115"/>
      <c r="N136" s="115"/>
      <c r="O136" s="115"/>
      <c r="P136" s="115"/>
      <c r="Q136" s="115"/>
      <c r="R136" s="26">
        <v>45699</v>
      </c>
      <c r="S136" s="13" t="s">
        <v>148</v>
      </c>
      <c r="X136" s="117"/>
      <c r="Y136" s="123"/>
      <c r="Z136" s="123"/>
      <c r="AA136" s="123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  <c r="AN136" s="115"/>
      <c r="AO136" s="115"/>
      <c r="AP136" s="25"/>
      <c r="AQ136" s="13"/>
      <c r="AT136" s="114"/>
    </row>
    <row r="137" spans="1:46" ht="19.5" x14ac:dyDescent="0.4">
      <c r="A137" s="117"/>
      <c r="B137" s="123"/>
      <c r="C137" s="123"/>
      <c r="D137" s="123"/>
      <c r="K137" s="115"/>
      <c r="L137" s="115"/>
      <c r="M137" s="115"/>
      <c r="N137" s="115"/>
      <c r="O137" s="115"/>
      <c r="P137" s="115"/>
      <c r="Q137" s="115"/>
      <c r="R137" s="26">
        <v>45699</v>
      </c>
      <c r="S137" s="13" t="s">
        <v>148</v>
      </c>
      <c r="X137" s="117"/>
      <c r="Y137" s="123"/>
      <c r="Z137" s="123"/>
      <c r="AA137" s="123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25"/>
      <c r="AQ137" s="13"/>
      <c r="AT137" s="114"/>
    </row>
    <row r="138" spans="1:46" ht="19.5" x14ac:dyDescent="0.4">
      <c r="A138" s="117"/>
      <c r="B138" s="123"/>
      <c r="C138" s="123"/>
      <c r="D138" s="123"/>
      <c r="R138" s="26">
        <v>45699</v>
      </c>
      <c r="S138" s="13" t="s">
        <v>148</v>
      </c>
      <c r="X138" s="117"/>
      <c r="Y138" s="123"/>
      <c r="Z138" s="123"/>
      <c r="AA138" s="123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 t="s">
        <v>158</v>
      </c>
      <c r="AP138" s="13">
        <f>SUBTOTAL(3,AP127:AP134)</f>
        <v>4</v>
      </c>
      <c r="AQ138" s="13">
        <f>SUBTOTAL(3,AQ127:AQ134)</f>
        <v>4</v>
      </c>
      <c r="AT138" s="114"/>
    </row>
    <row r="139" spans="1:46" ht="19.5" x14ac:dyDescent="0.4">
      <c r="A139" s="117"/>
      <c r="B139" s="123"/>
      <c r="C139" s="123"/>
      <c r="D139" s="123"/>
      <c r="O139" s="115"/>
      <c r="P139" s="115"/>
      <c r="Q139" s="115"/>
      <c r="R139" s="26">
        <v>45706</v>
      </c>
      <c r="S139" s="13" t="s">
        <v>146</v>
      </c>
      <c r="X139" s="117"/>
      <c r="Y139" s="123"/>
      <c r="Z139" s="123"/>
      <c r="AA139" s="123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3"/>
      <c r="AQ139" s="13"/>
      <c r="AT139" s="114"/>
    </row>
    <row r="140" spans="1:46" ht="19.5" x14ac:dyDescent="0.4">
      <c r="A140" s="117"/>
      <c r="B140" s="123"/>
      <c r="C140" s="123"/>
      <c r="D140" s="123"/>
      <c r="N140" s="115"/>
      <c r="O140" s="115"/>
      <c r="P140" s="115"/>
      <c r="Q140" s="115"/>
      <c r="R140" s="26">
        <v>45709</v>
      </c>
      <c r="S140" s="13" t="s">
        <v>148</v>
      </c>
      <c r="X140" s="117"/>
      <c r="Y140" s="123"/>
      <c r="Z140" s="123"/>
      <c r="AA140" s="123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115"/>
      <c r="AN140" s="115"/>
      <c r="AO140" s="115"/>
      <c r="AP140" s="13"/>
      <c r="AQ140" s="13"/>
      <c r="AT140" s="114"/>
    </row>
    <row r="141" spans="1:46" ht="19.5" x14ac:dyDescent="0.4">
      <c r="A141" s="117"/>
      <c r="B141" s="123"/>
      <c r="C141" s="123"/>
      <c r="D141" s="123"/>
      <c r="N141" s="115"/>
      <c r="O141" s="115"/>
      <c r="P141" s="115"/>
      <c r="Q141" s="115"/>
      <c r="R141" s="26">
        <v>45709</v>
      </c>
      <c r="S141" s="13" t="s">
        <v>147</v>
      </c>
      <c r="X141" s="117"/>
      <c r="Y141" s="123"/>
      <c r="Z141" s="123"/>
      <c r="AA141" s="123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5"/>
      <c r="AP141" s="13"/>
      <c r="AQ141" s="13"/>
      <c r="AT141" s="114"/>
    </row>
    <row r="142" spans="1:46" ht="19.5" x14ac:dyDescent="0.4">
      <c r="A142" s="117"/>
      <c r="B142" s="123"/>
      <c r="C142" s="123"/>
      <c r="D142" s="123"/>
      <c r="N142" s="115"/>
      <c r="O142" s="115"/>
      <c r="P142" s="115"/>
      <c r="Q142" s="115"/>
      <c r="R142" s="26">
        <v>45712</v>
      </c>
      <c r="S142" s="13" t="s">
        <v>146</v>
      </c>
      <c r="X142" s="117"/>
      <c r="Y142" s="123"/>
      <c r="Z142" s="123"/>
      <c r="AA142" s="123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3"/>
      <c r="AQ142" s="13"/>
      <c r="AT142" s="114"/>
    </row>
    <row r="143" spans="1:46" ht="19.5" x14ac:dyDescent="0.4">
      <c r="A143" s="117"/>
      <c r="B143" s="123"/>
      <c r="C143" s="123"/>
      <c r="D143" s="123"/>
      <c r="N143" s="115"/>
      <c r="O143" s="115"/>
      <c r="P143" s="115"/>
      <c r="Q143" s="115"/>
      <c r="R143" s="26">
        <v>45712</v>
      </c>
      <c r="S143" s="13" t="s">
        <v>148</v>
      </c>
      <c r="X143" s="117"/>
      <c r="Y143" s="123"/>
      <c r="Z143" s="123"/>
      <c r="AA143" s="123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3"/>
      <c r="AQ143" s="13"/>
      <c r="AT143" s="114"/>
    </row>
    <row r="144" spans="1:46" ht="19.5" x14ac:dyDescent="0.4">
      <c r="A144" s="117"/>
      <c r="B144" s="123"/>
      <c r="C144" s="123"/>
      <c r="D144" s="123"/>
      <c r="L144" s="115"/>
      <c r="M144" s="115"/>
      <c r="N144" s="115"/>
      <c r="O144" s="115"/>
      <c r="P144" s="115"/>
      <c r="Q144" s="115"/>
      <c r="R144" s="26">
        <v>45714</v>
      </c>
      <c r="S144" s="13" t="s">
        <v>147</v>
      </c>
      <c r="X144" s="117"/>
      <c r="Y144" s="123"/>
      <c r="Z144" s="123"/>
      <c r="AA144" s="123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5"/>
      <c r="AN144" s="115"/>
      <c r="AO144" s="115"/>
      <c r="AP144" s="13"/>
      <c r="AQ144" s="13"/>
      <c r="AT144" s="114"/>
    </row>
    <row r="145" spans="1:46" ht="19.5" x14ac:dyDescent="0.4">
      <c r="A145" s="117"/>
      <c r="B145" s="123"/>
      <c r="C145" s="123"/>
      <c r="D145" s="123"/>
      <c r="R145" s="26">
        <v>45714</v>
      </c>
      <c r="S145" s="13" t="s">
        <v>147</v>
      </c>
      <c r="X145" s="117"/>
      <c r="Y145" s="123"/>
      <c r="Z145" s="123"/>
      <c r="AA145" s="123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5"/>
      <c r="AP145" s="25">
        <v>45269</v>
      </c>
      <c r="AQ145" s="13" t="s">
        <v>163</v>
      </c>
      <c r="AT145" s="114"/>
    </row>
    <row r="146" spans="1:46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26">
        <v>45714</v>
      </c>
      <c r="S146" s="13" t="s">
        <v>147</v>
      </c>
      <c r="X146" s="117"/>
      <c r="Y146" s="123"/>
      <c r="Z146" s="123"/>
      <c r="AA146" s="123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5"/>
      <c r="AP146" s="25"/>
      <c r="AQ146" s="13"/>
      <c r="AT146" s="114"/>
    </row>
    <row r="147" spans="1:46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115"/>
      <c r="O147" s="115"/>
      <c r="P147" s="115" t="s">
        <v>145</v>
      </c>
      <c r="Q147" s="115">
        <f>SUBTOTAL(3,Q2:Q146)</f>
        <v>0</v>
      </c>
      <c r="R147" s="26"/>
      <c r="S147" s="13">
        <f>SUBTOTAL(3,S2:S146)</f>
        <v>145</v>
      </c>
      <c r="X147" s="117"/>
      <c r="Y147" s="123"/>
      <c r="Z147" s="123"/>
      <c r="AA147" s="123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5"/>
      <c r="AN147" s="115"/>
      <c r="AO147" s="115"/>
      <c r="AP147" s="25"/>
      <c r="AQ147" s="13"/>
      <c r="AT147" s="114"/>
    </row>
    <row r="148" spans="1:46" ht="19.5" x14ac:dyDescent="0.4">
      <c r="A148" s="117"/>
      <c r="B148" s="123"/>
      <c r="C148" s="123"/>
      <c r="D148" s="123"/>
      <c r="R148" s="26"/>
      <c r="S148" s="13"/>
      <c r="X148" s="117"/>
      <c r="Y148" s="123"/>
      <c r="Z148" s="123"/>
      <c r="AA148" s="123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25">
        <v>45269</v>
      </c>
      <c r="AQ148" s="13" t="s">
        <v>163</v>
      </c>
      <c r="AT148" s="114"/>
    </row>
    <row r="149" spans="1:46" ht="19.5" x14ac:dyDescent="0.4">
      <c r="A149" s="117"/>
      <c r="B149" s="123"/>
      <c r="C149" s="123"/>
      <c r="D149" s="123"/>
      <c r="K149" s="115"/>
      <c r="L149" s="115"/>
      <c r="M149" s="115"/>
      <c r="N149" s="115"/>
      <c r="O149" s="115"/>
      <c r="P149" s="115"/>
      <c r="Q149" s="115"/>
      <c r="R149" s="26"/>
      <c r="S149" s="13"/>
      <c r="X149" s="117"/>
      <c r="Y149" s="123"/>
      <c r="Z149" s="123"/>
      <c r="AA149" s="123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25"/>
      <c r="AQ149" s="13"/>
      <c r="AT149" s="114"/>
    </row>
    <row r="150" spans="1:46" ht="19.5" x14ac:dyDescent="0.4">
      <c r="A150" s="117"/>
      <c r="B150" s="123"/>
      <c r="C150" s="123"/>
      <c r="D150" s="123"/>
      <c r="R150" s="26"/>
      <c r="S150" s="13"/>
      <c r="X150" s="117"/>
      <c r="Y150" s="123"/>
      <c r="Z150" s="123"/>
      <c r="AA150" s="123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5"/>
      <c r="AN150" s="115"/>
      <c r="AO150" s="115" t="s">
        <v>159</v>
      </c>
      <c r="AP150" s="13">
        <f>SUBTOTAL(3,AP145:AP148)</f>
        <v>2</v>
      </c>
      <c r="AQ150" s="13">
        <f>SUBTOTAL(3,AQ145:AQ148)</f>
        <v>2</v>
      </c>
      <c r="AT150" s="114"/>
    </row>
    <row r="151" spans="1:46" ht="19.5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26"/>
      <c r="S151" s="13"/>
      <c r="X151" s="117"/>
      <c r="Y151" s="123"/>
      <c r="Z151" s="123"/>
      <c r="AA151" s="123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115"/>
      <c r="AN151" s="115"/>
      <c r="AO151" s="115"/>
      <c r="AP151" s="13"/>
      <c r="AQ151" s="13"/>
      <c r="AT151" s="114"/>
    </row>
    <row r="152" spans="1:46" ht="19.5" x14ac:dyDescent="0.4">
      <c r="A152" s="117"/>
      <c r="B152" s="123"/>
      <c r="C152" s="123"/>
      <c r="D152" s="123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26"/>
      <c r="S152" s="13"/>
      <c r="X152" s="117"/>
      <c r="Y152" s="123"/>
      <c r="Z152" s="123"/>
      <c r="AA152" s="123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3"/>
      <c r="AQ152" s="13"/>
      <c r="AT152" s="114"/>
    </row>
    <row r="153" spans="1:46" ht="19.5" x14ac:dyDescent="0.4">
      <c r="A153" s="117"/>
      <c r="B153" s="123"/>
      <c r="C153" s="123"/>
      <c r="D153" s="123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26"/>
      <c r="S153" s="13"/>
      <c r="X153" s="117"/>
      <c r="Y153" s="123"/>
      <c r="Z153" s="123"/>
      <c r="AA153" s="123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3"/>
      <c r="AQ153" s="13"/>
      <c r="AT153" s="114"/>
    </row>
    <row r="154" spans="1:46" ht="19.5" x14ac:dyDescent="0.4">
      <c r="A154" s="117"/>
      <c r="B154" s="123"/>
      <c r="C154" s="123"/>
      <c r="D154" s="123"/>
      <c r="R154" s="26"/>
      <c r="S154" s="13"/>
      <c r="X154" s="117"/>
      <c r="Y154" s="123"/>
      <c r="Z154" s="123"/>
      <c r="AA154" s="123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25">
        <v>45270</v>
      </c>
      <c r="AQ154" s="13" t="s">
        <v>164</v>
      </c>
      <c r="AT154" s="114"/>
    </row>
    <row r="155" spans="1:46" ht="19.5" x14ac:dyDescent="0.4">
      <c r="A155" s="117"/>
      <c r="B155" s="123"/>
      <c r="C155" s="123"/>
      <c r="D155" s="123"/>
      <c r="M155" s="115"/>
      <c r="N155" s="115"/>
      <c r="O155" s="115"/>
      <c r="P155" s="115"/>
      <c r="Q155" s="115"/>
      <c r="R155" s="17"/>
      <c r="S155" s="13"/>
      <c r="X155" s="117"/>
      <c r="Y155" s="123"/>
      <c r="Z155" s="123"/>
      <c r="AA155" s="123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25"/>
      <c r="AQ155" s="13"/>
      <c r="AT155" s="114"/>
    </row>
    <row r="156" spans="1:46" ht="19.5" x14ac:dyDescent="0.4">
      <c r="A156" s="117"/>
      <c r="B156" s="123"/>
      <c r="C156" s="123"/>
      <c r="D156" s="123"/>
      <c r="R156" s="26"/>
      <c r="S156" s="13"/>
      <c r="X156" s="117"/>
      <c r="Y156" s="123"/>
      <c r="Z156" s="123"/>
      <c r="AA156" s="123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25"/>
      <c r="AQ156" s="13"/>
      <c r="AT156" s="114"/>
    </row>
    <row r="157" spans="1:46" ht="19.5" x14ac:dyDescent="0.4">
      <c r="A157" s="117"/>
      <c r="B157" s="123"/>
      <c r="C157" s="123"/>
      <c r="D157" s="123"/>
      <c r="J157" s="115"/>
      <c r="K157" s="115"/>
      <c r="L157" s="115"/>
      <c r="M157" s="115"/>
      <c r="N157" s="115"/>
      <c r="O157" s="115"/>
      <c r="P157" s="115"/>
      <c r="Q157" s="115"/>
      <c r="R157" s="26"/>
      <c r="S157" s="13"/>
      <c r="X157" s="117"/>
      <c r="Y157" s="123"/>
      <c r="Z157" s="123"/>
      <c r="AA157" s="123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25"/>
      <c r="AQ157" s="13"/>
      <c r="AT157" s="114"/>
    </row>
    <row r="158" spans="1:46" ht="19.5" x14ac:dyDescent="0.4">
      <c r="A158" s="117"/>
      <c r="B158" s="123"/>
      <c r="C158" s="123"/>
      <c r="D158" s="123"/>
      <c r="R158" s="26"/>
      <c r="S158" s="13"/>
      <c r="X158" s="117"/>
      <c r="Y158" s="123"/>
      <c r="Z158" s="123"/>
      <c r="AA158" s="123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25">
        <v>45270</v>
      </c>
      <c r="AQ158" s="13" t="s">
        <v>164</v>
      </c>
      <c r="AT158" s="114"/>
    </row>
    <row r="159" spans="1:46" ht="19.5" x14ac:dyDescent="0.4">
      <c r="A159" s="117"/>
      <c r="B159" s="123"/>
      <c r="C159" s="123"/>
      <c r="D159" s="123"/>
      <c r="L159" s="115"/>
      <c r="M159" s="115"/>
      <c r="N159" s="115"/>
      <c r="O159" s="115"/>
      <c r="P159" s="115"/>
      <c r="Q159" s="115"/>
      <c r="R159" s="26"/>
      <c r="S159" s="13"/>
      <c r="X159" s="117"/>
      <c r="Y159" s="123"/>
      <c r="Z159" s="123"/>
      <c r="AA159" s="123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25"/>
      <c r="AQ159" s="13"/>
      <c r="AT159" s="114"/>
    </row>
    <row r="160" spans="1:46" ht="19.5" x14ac:dyDescent="0.4">
      <c r="A160" s="117"/>
      <c r="B160" s="123"/>
      <c r="C160" s="123"/>
      <c r="D160" s="123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26"/>
      <c r="S160" s="13"/>
      <c r="X160" s="117"/>
      <c r="Y160" s="123"/>
      <c r="Z160" s="123"/>
      <c r="AA160" s="123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25"/>
      <c r="AQ160" s="13"/>
      <c r="AT160" s="114"/>
    </row>
    <row r="161" spans="1:46" ht="19.5" x14ac:dyDescent="0.4">
      <c r="A161" s="117"/>
      <c r="B161" s="123"/>
      <c r="C161" s="123"/>
      <c r="D161" s="123"/>
      <c r="R161" s="26"/>
      <c r="S161" s="13"/>
      <c r="X161" s="117"/>
      <c r="Y161" s="123"/>
      <c r="Z161" s="123"/>
      <c r="AA161" s="123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25">
        <v>45270</v>
      </c>
      <c r="AQ161" s="13" t="s">
        <v>162</v>
      </c>
      <c r="AT161" s="114"/>
    </row>
    <row r="162" spans="1:46" ht="19.5" x14ac:dyDescent="0.4">
      <c r="A162" s="117"/>
      <c r="B162" s="123"/>
      <c r="C162" s="123"/>
      <c r="D162" s="123"/>
      <c r="K162" s="115"/>
      <c r="L162" s="115"/>
      <c r="M162" s="115"/>
      <c r="N162" s="115"/>
      <c r="O162" s="115"/>
      <c r="P162" s="115"/>
      <c r="Q162" s="115"/>
      <c r="R162" s="26"/>
      <c r="S162" s="15"/>
      <c r="X162" s="117"/>
      <c r="Y162" s="123"/>
      <c r="Z162" s="123"/>
      <c r="AA162" s="123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25"/>
      <c r="AQ162" s="13"/>
      <c r="AT162" s="114"/>
    </row>
    <row r="163" spans="1:46" ht="19.5" x14ac:dyDescent="0.4">
      <c r="A163" s="117"/>
      <c r="B163" s="123"/>
      <c r="C163" s="123"/>
      <c r="D163" s="123"/>
      <c r="R163" s="26"/>
      <c r="S163" s="13"/>
      <c r="X163" s="117"/>
      <c r="Y163" s="123"/>
      <c r="Z163" s="123"/>
      <c r="AA163" s="123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25">
        <v>45270</v>
      </c>
      <c r="AQ163" s="13" t="s">
        <v>162</v>
      </c>
      <c r="AT163" s="114"/>
    </row>
    <row r="164" spans="1:46" ht="19.5" x14ac:dyDescent="0.4">
      <c r="A164" s="117"/>
      <c r="B164" s="123"/>
      <c r="C164" s="123"/>
      <c r="D164" s="123"/>
      <c r="M164" s="115"/>
      <c r="N164" s="115"/>
      <c r="O164" s="115"/>
      <c r="P164" s="115"/>
      <c r="Q164" s="115"/>
      <c r="R164" s="17"/>
      <c r="S164" s="13"/>
      <c r="X164" s="117"/>
      <c r="Y164" s="123"/>
      <c r="Z164" s="123"/>
      <c r="AA164" s="123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25"/>
      <c r="AQ164" s="13"/>
      <c r="AT164" s="114"/>
    </row>
    <row r="165" spans="1:46" ht="19.5" x14ac:dyDescent="0.4">
      <c r="A165" s="117"/>
      <c r="B165" s="123"/>
      <c r="C165" s="123"/>
      <c r="D165" s="123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26"/>
      <c r="S165" s="13"/>
      <c r="X165" s="117"/>
      <c r="Y165" s="123"/>
      <c r="Z165" s="123"/>
      <c r="AA165" s="123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25"/>
      <c r="AQ165" s="13"/>
      <c r="AT165" s="114"/>
    </row>
    <row r="166" spans="1:46" ht="19.5" x14ac:dyDescent="0.4">
      <c r="A166" s="117"/>
      <c r="B166" s="123"/>
      <c r="C166" s="123"/>
      <c r="D166" s="123"/>
      <c r="R166" s="26"/>
      <c r="S166" s="13"/>
      <c r="X166" s="117"/>
      <c r="Y166" s="123"/>
      <c r="Z166" s="123"/>
      <c r="AA166" s="123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25"/>
      <c r="AQ166" s="13"/>
      <c r="AT166" s="114"/>
    </row>
    <row r="167" spans="1:46" ht="19.5" x14ac:dyDescent="0.4">
      <c r="A167" s="117"/>
      <c r="B167" s="123"/>
      <c r="C167" s="123"/>
      <c r="D167" s="123"/>
      <c r="R167" s="26"/>
      <c r="S167" s="13"/>
      <c r="X167" s="117"/>
      <c r="Y167" s="123"/>
      <c r="Z167" s="123"/>
      <c r="AA167" s="123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25">
        <v>45270</v>
      </c>
      <c r="AQ167" s="13" t="s">
        <v>163</v>
      </c>
      <c r="AT167" s="114"/>
    </row>
    <row r="168" spans="1:46" ht="19.5" x14ac:dyDescent="0.4">
      <c r="A168" s="117"/>
      <c r="B168" s="123"/>
      <c r="C168" s="123"/>
      <c r="D168" s="123"/>
      <c r="M168" s="115"/>
      <c r="N168" s="115"/>
      <c r="O168" s="115"/>
      <c r="P168" s="115"/>
      <c r="Q168" s="115"/>
      <c r="R168" s="17"/>
      <c r="S168" s="13"/>
      <c r="X168" s="117"/>
      <c r="Y168" s="123"/>
      <c r="Z168" s="123"/>
      <c r="AA168" s="123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25"/>
      <c r="AQ168" s="13"/>
      <c r="AT168" s="114"/>
    </row>
    <row r="169" spans="1:46" ht="19.5" x14ac:dyDescent="0.4">
      <c r="A169" s="117"/>
      <c r="B169" s="123"/>
      <c r="C169" s="123"/>
      <c r="D169" s="123"/>
      <c r="R169" s="26"/>
      <c r="S169" s="13"/>
      <c r="X169" s="117"/>
      <c r="Y169" s="123"/>
      <c r="Z169" s="123"/>
      <c r="AA169" s="123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5" t="s">
        <v>151</v>
      </c>
      <c r="AP169" s="13">
        <f>SUBTOTAL(3,AP154:AP167)</f>
        <v>5</v>
      </c>
      <c r="AQ169" s="13">
        <f>SUBTOTAL(3,AQ154:AQ167)</f>
        <v>5</v>
      </c>
      <c r="AT169" s="114"/>
    </row>
    <row r="170" spans="1:46" ht="19.5" x14ac:dyDescent="0.4">
      <c r="A170" s="117"/>
      <c r="B170" s="123"/>
      <c r="C170" s="123"/>
      <c r="D170" s="123"/>
      <c r="L170" s="115"/>
      <c r="M170" s="115"/>
      <c r="N170" s="115"/>
      <c r="O170" s="115"/>
      <c r="P170" s="115"/>
      <c r="Q170" s="115"/>
      <c r="R170" s="26"/>
      <c r="S170" s="13"/>
      <c r="X170" s="117"/>
      <c r="Y170" s="123"/>
      <c r="Z170" s="123"/>
      <c r="AA170" s="123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3"/>
      <c r="AQ170" s="13"/>
      <c r="AT170" s="114"/>
    </row>
    <row r="171" spans="1:46" ht="19.5" x14ac:dyDescent="0.4">
      <c r="A171" s="117"/>
      <c r="B171" s="123"/>
      <c r="C171" s="123"/>
      <c r="D171" s="123"/>
      <c r="R171" s="26"/>
      <c r="S171" s="13"/>
      <c r="X171" s="117"/>
      <c r="Y171" s="123"/>
      <c r="Z171" s="123"/>
      <c r="AA171" s="123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15"/>
      <c r="AL171" s="115"/>
      <c r="AM171" s="115"/>
      <c r="AN171" s="115"/>
      <c r="AO171" s="115"/>
      <c r="AP171" s="25">
        <v>45271</v>
      </c>
      <c r="AQ171" s="13" t="s">
        <v>162</v>
      </c>
      <c r="AT171" s="114"/>
    </row>
    <row r="172" spans="1:46" ht="19.5" x14ac:dyDescent="0.4">
      <c r="A172" s="117"/>
      <c r="B172" s="123"/>
      <c r="C172" s="123"/>
      <c r="D172" s="123"/>
      <c r="R172" s="26"/>
      <c r="S172" s="13"/>
      <c r="X172" s="117"/>
      <c r="Y172" s="123"/>
      <c r="Z172" s="123"/>
      <c r="AA172" s="123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25">
        <v>45271</v>
      </c>
      <c r="AQ172" s="13" t="s">
        <v>163</v>
      </c>
      <c r="AT172" s="114"/>
    </row>
    <row r="173" spans="1:46" ht="19.5" x14ac:dyDescent="0.4">
      <c r="A173" s="117"/>
      <c r="B173" s="123"/>
      <c r="C173" s="123"/>
      <c r="D173" s="123"/>
      <c r="L173" s="115"/>
      <c r="M173" s="115"/>
      <c r="N173" s="115"/>
      <c r="O173" s="115"/>
      <c r="P173" s="115"/>
      <c r="Q173" s="115"/>
      <c r="R173" s="26"/>
      <c r="S173" s="13"/>
      <c r="X173" s="117"/>
      <c r="Y173" s="123"/>
      <c r="Z173" s="123"/>
      <c r="AA173" s="123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115"/>
      <c r="AN173" s="115"/>
      <c r="AO173" s="115"/>
      <c r="AP173" s="25"/>
      <c r="AQ173" s="13"/>
      <c r="AT173" s="114"/>
    </row>
    <row r="174" spans="1:46" ht="19.5" x14ac:dyDescent="0.4">
      <c r="A174" s="117"/>
      <c r="B174" s="123"/>
      <c r="C174" s="123"/>
      <c r="D174" s="123"/>
      <c r="K174" s="115"/>
      <c r="L174" s="115"/>
      <c r="M174" s="115"/>
      <c r="N174" s="115"/>
      <c r="O174" s="115"/>
      <c r="P174" s="115"/>
      <c r="Q174" s="115"/>
      <c r="R174" s="26"/>
      <c r="S174" s="13"/>
      <c r="X174" s="117"/>
      <c r="Y174" s="123"/>
      <c r="Z174" s="123"/>
      <c r="AA174" s="123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25"/>
      <c r="AQ174" s="13"/>
      <c r="AT174" s="114"/>
    </row>
    <row r="175" spans="1:46" ht="19.5" x14ac:dyDescent="0.4">
      <c r="A175" s="117"/>
      <c r="B175" s="123"/>
      <c r="C175" s="123"/>
      <c r="D175" s="123"/>
      <c r="K175" s="115"/>
      <c r="L175" s="115"/>
      <c r="M175" s="115"/>
      <c r="N175" s="115"/>
      <c r="O175" s="115"/>
      <c r="P175" s="115"/>
      <c r="Q175" s="115"/>
      <c r="R175" s="17"/>
      <c r="S175" s="13"/>
      <c r="X175" s="117"/>
      <c r="Y175" s="123"/>
      <c r="Z175" s="123"/>
      <c r="AA175" s="123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25"/>
      <c r="AQ175" s="13"/>
      <c r="AT175" s="114"/>
    </row>
    <row r="176" spans="1:46" ht="19.5" x14ac:dyDescent="0.4">
      <c r="A176" s="117"/>
      <c r="B176" s="123"/>
      <c r="C176" s="123"/>
      <c r="D176" s="123"/>
      <c r="I176" s="115"/>
      <c r="J176" s="115"/>
      <c r="K176" s="115"/>
      <c r="L176" s="115"/>
      <c r="M176" s="115"/>
      <c r="N176" s="115"/>
      <c r="O176" s="115"/>
      <c r="P176" s="115"/>
      <c r="Q176" s="115"/>
      <c r="R176" s="26"/>
      <c r="S176" s="13"/>
      <c r="X176" s="117"/>
      <c r="Y176" s="123"/>
      <c r="Z176" s="123"/>
      <c r="AA176" s="123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25"/>
      <c r="AQ176" s="13"/>
      <c r="AT176" s="114"/>
    </row>
    <row r="177" spans="1:46" ht="19.5" x14ac:dyDescent="0.4">
      <c r="A177" s="117"/>
      <c r="B177" s="123"/>
      <c r="C177" s="123"/>
      <c r="D177" s="123"/>
      <c r="R177" s="26"/>
      <c r="S177" s="13"/>
      <c r="X177" s="117"/>
      <c r="Y177" s="123"/>
      <c r="Z177" s="123"/>
      <c r="AA177" s="123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5"/>
      <c r="AP177" s="25">
        <v>45271</v>
      </c>
      <c r="AQ177" s="13" t="s">
        <v>163</v>
      </c>
      <c r="AT177" s="114"/>
    </row>
    <row r="178" spans="1:46" ht="19.5" x14ac:dyDescent="0.4">
      <c r="A178" s="117"/>
      <c r="B178" s="123"/>
      <c r="C178" s="123"/>
      <c r="D178" s="123"/>
      <c r="L178" s="115"/>
      <c r="M178" s="115"/>
      <c r="N178" s="115"/>
      <c r="O178" s="115"/>
      <c r="P178" s="115"/>
      <c r="Q178" s="115"/>
      <c r="R178" s="26"/>
      <c r="S178" s="13"/>
      <c r="X178" s="117"/>
      <c r="Y178" s="123"/>
      <c r="Z178" s="123"/>
      <c r="AA178" s="123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25"/>
      <c r="AQ178" s="13"/>
      <c r="AT178" s="114"/>
    </row>
    <row r="179" spans="1:46" ht="19.5" x14ac:dyDescent="0.4">
      <c r="A179" s="117"/>
      <c r="B179" s="123"/>
      <c r="C179" s="123"/>
      <c r="D179" s="123"/>
      <c r="J179" s="115"/>
      <c r="K179" s="115"/>
      <c r="L179" s="115"/>
      <c r="M179" s="115"/>
      <c r="N179" s="115"/>
      <c r="O179" s="115"/>
      <c r="P179" s="115"/>
      <c r="Q179" s="115"/>
      <c r="R179" s="26"/>
      <c r="S179" s="13"/>
      <c r="X179" s="117"/>
      <c r="Y179" s="123"/>
      <c r="Z179" s="123"/>
      <c r="AA179" s="123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25"/>
      <c r="AQ179" s="13"/>
      <c r="AT179" s="114"/>
    </row>
    <row r="180" spans="1:46" ht="19.5" x14ac:dyDescent="0.4">
      <c r="A180" s="117"/>
      <c r="B180" s="123"/>
      <c r="C180" s="123"/>
      <c r="D180" s="123"/>
      <c r="J180" s="115"/>
      <c r="K180" s="115"/>
      <c r="L180" s="115"/>
      <c r="M180" s="115"/>
      <c r="N180" s="115"/>
      <c r="O180" s="115"/>
      <c r="P180" s="115"/>
      <c r="Q180" s="115"/>
      <c r="R180" s="17"/>
      <c r="S180" s="13"/>
      <c r="X180" s="117"/>
      <c r="Y180" s="123"/>
      <c r="Z180" s="123"/>
      <c r="AA180" s="123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5"/>
      <c r="AP180" s="25"/>
      <c r="AQ180" s="13"/>
      <c r="AT180" s="114"/>
    </row>
    <row r="181" spans="1:46" ht="19.5" x14ac:dyDescent="0.4">
      <c r="A181" s="117"/>
      <c r="B181" s="123"/>
      <c r="C181" s="123"/>
      <c r="D181" s="123"/>
      <c r="R181" s="26"/>
      <c r="S181" s="13"/>
      <c r="X181" s="117"/>
      <c r="Y181" s="123"/>
      <c r="Z181" s="123"/>
      <c r="AA181" s="123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5" t="s">
        <v>165</v>
      </c>
      <c r="AP181" s="13">
        <f>SUBTOTAL(3,AP171:AP177)</f>
        <v>3</v>
      </c>
      <c r="AQ181" s="13">
        <f>SUBTOTAL(3,AQ171:AQ177)</f>
        <v>3</v>
      </c>
      <c r="AT181" s="114"/>
    </row>
    <row r="182" spans="1:46" ht="19.5" x14ac:dyDescent="0.4">
      <c r="A182" s="117"/>
      <c r="B182" s="123"/>
      <c r="C182" s="123"/>
      <c r="D182" s="123"/>
      <c r="R182" s="26"/>
      <c r="S182" s="13"/>
      <c r="X182" s="117"/>
      <c r="Y182" s="123"/>
      <c r="Z182" s="123"/>
      <c r="AA182" s="123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25">
        <v>45272</v>
      </c>
      <c r="AQ182" s="13" t="s">
        <v>162</v>
      </c>
      <c r="AT182" s="114"/>
    </row>
    <row r="183" spans="1:46" ht="19.5" x14ac:dyDescent="0.4">
      <c r="A183" s="117"/>
      <c r="B183" s="123"/>
      <c r="C183" s="123"/>
      <c r="D183" s="123"/>
      <c r="M183" s="115"/>
      <c r="N183" s="115"/>
      <c r="O183" s="115"/>
      <c r="P183" s="115"/>
      <c r="Q183" s="115"/>
      <c r="R183" s="17"/>
      <c r="S183" s="13"/>
      <c r="X183" s="117"/>
      <c r="Y183" s="123"/>
      <c r="Z183" s="123"/>
      <c r="AA183" s="123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15"/>
      <c r="AO183" s="115"/>
      <c r="AP183" s="25"/>
      <c r="AQ183" s="13"/>
      <c r="AT183" s="114"/>
    </row>
    <row r="184" spans="1:46" ht="19.5" x14ac:dyDescent="0.4">
      <c r="A184" s="117"/>
      <c r="B184" s="123"/>
      <c r="C184" s="123"/>
      <c r="D184" s="123"/>
      <c r="R184" s="26"/>
      <c r="S184" s="15"/>
      <c r="X184" s="117"/>
      <c r="Y184" s="123"/>
      <c r="Z184" s="123"/>
      <c r="AA184" s="123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5"/>
      <c r="AP184" s="25">
        <v>45272</v>
      </c>
      <c r="AQ184" s="13" t="s">
        <v>162</v>
      </c>
      <c r="AT184" s="114"/>
    </row>
    <row r="185" spans="1:46" ht="19.5" x14ac:dyDescent="0.4">
      <c r="A185" s="117"/>
      <c r="B185" s="123"/>
      <c r="C185" s="123"/>
      <c r="D185" s="123"/>
      <c r="M185" s="115"/>
      <c r="N185" s="115"/>
      <c r="O185" s="115"/>
      <c r="P185" s="115"/>
      <c r="Q185" s="115"/>
      <c r="R185" s="17"/>
      <c r="S185" s="13"/>
      <c r="X185" s="117"/>
      <c r="Y185" s="123"/>
      <c r="Z185" s="123"/>
      <c r="AA185" s="123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25"/>
      <c r="AQ185" s="13"/>
      <c r="AT185" s="114"/>
    </row>
    <row r="186" spans="1:46" ht="19.5" x14ac:dyDescent="0.4">
      <c r="A186" s="117"/>
      <c r="B186" s="123"/>
      <c r="C186" s="123"/>
      <c r="D186" s="123"/>
      <c r="M186" s="115"/>
      <c r="N186" s="115"/>
      <c r="O186" s="115"/>
      <c r="P186" s="115"/>
      <c r="Q186" s="115"/>
      <c r="R186" s="17"/>
      <c r="S186" s="13"/>
      <c r="X186" s="117"/>
      <c r="Y186" s="123"/>
      <c r="Z186" s="123"/>
      <c r="AA186" s="123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15"/>
      <c r="AO186" s="115"/>
      <c r="AP186" s="25"/>
      <c r="AQ186" s="13"/>
      <c r="AT186" s="114"/>
    </row>
    <row r="187" spans="1:46" ht="19.5" x14ac:dyDescent="0.4">
      <c r="A187" s="117"/>
      <c r="B187" s="123"/>
      <c r="C187" s="123"/>
      <c r="D187" s="123"/>
      <c r="R187" s="26"/>
      <c r="S187" s="13"/>
      <c r="X187" s="117"/>
      <c r="Y187" s="123"/>
      <c r="Z187" s="123"/>
      <c r="AA187" s="123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5"/>
      <c r="AP187" s="25">
        <v>45272</v>
      </c>
      <c r="AQ187" s="13" t="s">
        <v>162</v>
      </c>
      <c r="AT187" s="114"/>
    </row>
    <row r="188" spans="1:46" ht="19.5" x14ac:dyDescent="0.4">
      <c r="A188" s="125"/>
      <c r="B188" s="126"/>
      <c r="C188" s="126"/>
      <c r="D188" s="126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26"/>
      <c r="S188" s="13"/>
      <c r="X188" s="117"/>
      <c r="Y188" s="123"/>
      <c r="Z188" s="123"/>
      <c r="AA188" s="123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25"/>
      <c r="AQ188" s="13"/>
      <c r="AT188" s="114"/>
    </row>
    <row r="189" spans="1:46" ht="19.5" x14ac:dyDescent="0.4">
      <c r="A189" s="125"/>
      <c r="B189" s="126"/>
      <c r="C189" s="126"/>
      <c r="D189" s="126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26"/>
      <c r="S189" s="13"/>
      <c r="X189" s="117"/>
      <c r="Y189" s="123"/>
      <c r="Z189" s="123"/>
      <c r="AA189" s="123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25"/>
      <c r="AQ189" s="13"/>
      <c r="AT189" s="114"/>
    </row>
    <row r="190" spans="1:46" ht="19.5" x14ac:dyDescent="0.4">
      <c r="A190" s="125"/>
      <c r="B190" s="126"/>
      <c r="C190" s="126"/>
      <c r="D190" s="126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7"/>
      <c r="S190" s="13"/>
      <c r="X190" s="117"/>
      <c r="Y190" s="123"/>
      <c r="Z190" s="123"/>
      <c r="AA190" s="123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15"/>
      <c r="AO190" s="115"/>
      <c r="AP190" s="25"/>
      <c r="AQ190" s="13"/>
      <c r="AT190" s="114"/>
    </row>
    <row r="191" spans="1:46" ht="19.5" x14ac:dyDescent="0.4">
      <c r="A191" s="125"/>
      <c r="B191" s="126"/>
      <c r="C191" s="126"/>
      <c r="D191" s="126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26"/>
      <c r="S191" s="13"/>
      <c r="X191" s="117"/>
      <c r="Y191" s="123"/>
      <c r="Z191" s="123"/>
      <c r="AA191" s="123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5"/>
      <c r="AP191" s="25"/>
      <c r="AQ191" s="13"/>
      <c r="AT191" s="114"/>
    </row>
    <row r="192" spans="1:46" ht="19.5" x14ac:dyDescent="0.4">
      <c r="R192" s="26"/>
      <c r="S192" s="13"/>
      <c r="X192" s="117"/>
      <c r="Y192" s="123"/>
      <c r="Z192" s="123"/>
      <c r="AA192" s="123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5"/>
      <c r="AP192" s="25">
        <v>45272</v>
      </c>
      <c r="AQ192" s="13" t="s">
        <v>162</v>
      </c>
      <c r="AT192" s="114"/>
    </row>
    <row r="193" spans="6:46" ht="19.5" x14ac:dyDescent="0.4">
      <c r="R193" s="26"/>
      <c r="S193" s="13"/>
      <c r="X193" s="117"/>
      <c r="Y193" s="123"/>
      <c r="Z193" s="123"/>
      <c r="AA193" s="123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5"/>
      <c r="AP193" s="25"/>
      <c r="AQ193" s="13"/>
      <c r="AT193" s="114"/>
    </row>
    <row r="194" spans="6:46" ht="19.5" x14ac:dyDescent="0.4"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26"/>
      <c r="S194" s="25"/>
      <c r="X194" s="117"/>
      <c r="Y194" s="123"/>
      <c r="Z194" s="123"/>
      <c r="AA194" s="123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5"/>
      <c r="AP194" s="25"/>
      <c r="AQ194" s="13"/>
      <c r="AT194" s="114"/>
    </row>
    <row r="195" spans="6:46" ht="19.5" x14ac:dyDescent="0.4">
      <c r="R195" s="26"/>
      <c r="S195" s="25"/>
      <c r="X195" s="117"/>
      <c r="Y195" s="123"/>
      <c r="Z195" s="123"/>
      <c r="AA195" s="123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25">
        <v>45272</v>
      </c>
      <c r="AQ195" s="13" t="s">
        <v>162</v>
      </c>
      <c r="AT195" s="114"/>
    </row>
    <row r="196" spans="6:46" ht="19.5" x14ac:dyDescent="0.4">
      <c r="R196" s="26"/>
      <c r="S196" s="13"/>
      <c r="X196" s="117"/>
      <c r="Y196" s="123"/>
      <c r="Z196" s="123"/>
      <c r="AA196" s="123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115"/>
      <c r="AO196" s="115"/>
      <c r="AP196" s="25">
        <v>45272</v>
      </c>
      <c r="AQ196" s="15" t="s">
        <v>162</v>
      </c>
      <c r="AT196" s="114"/>
    </row>
    <row r="197" spans="6:46" ht="19.5" x14ac:dyDescent="0.4">
      <c r="R197" s="26"/>
      <c r="S197" s="13"/>
      <c r="X197" s="117"/>
      <c r="Y197" s="123"/>
      <c r="Z197" s="123"/>
      <c r="AA197" s="123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25">
        <v>45272</v>
      </c>
      <c r="AQ197" s="15" t="s">
        <v>162</v>
      </c>
      <c r="AT197" s="114"/>
    </row>
    <row r="198" spans="6:46" ht="19.5" x14ac:dyDescent="0.4"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26"/>
      <c r="S198" s="13"/>
      <c r="X198" s="117"/>
      <c r="Y198" s="123"/>
      <c r="Z198" s="123"/>
      <c r="AA198" s="123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5"/>
      <c r="AP198" s="25"/>
      <c r="AQ198" s="15"/>
      <c r="AT198" s="114"/>
    </row>
    <row r="199" spans="6:46" ht="19.5" x14ac:dyDescent="0.4"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7"/>
      <c r="S199" s="13"/>
      <c r="X199" s="117"/>
      <c r="Y199" s="123"/>
      <c r="Z199" s="123"/>
      <c r="AA199" s="123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25"/>
      <c r="AQ199" s="15"/>
      <c r="AT199" s="114"/>
    </row>
    <row r="200" spans="6:46" ht="19.5" x14ac:dyDescent="0.4">
      <c r="R200" s="26"/>
      <c r="S200" s="13"/>
      <c r="X200" s="117"/>
      <c r="Y200" s="123"/>
      <c r="Z200" s="123"/>
      <c r="AA200" s="123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115"/>
      <c r="AO200" s="115"/>
      <c r="AP200" s="25">
        <v>45272</v>
      </c>
      <c r="AQ200" s="15" t="s">
        <v>162</v>
      </c>
      <c r="AT200" s="114"/>
    </row>
    <row r="201" spans="6:46" ht="19.5" x14ac:dyDescent="0.4"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26"/>
      <c r="S201" s="13"/>
      <c r="X201" s="117"/>
      <c r="Y201" s="123"/>
      <c r="Z201" s="123"/>
      <c r="AA201" s="123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25"/>
      <c r="AQ201" s="15"/>
      <c r="AT201" s="114"/>
    </row>
    <row r="202" spans="6:46" ht="19.5" x14ac:dyDescent="0.4"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26"/>
      <c r="S202" s="13"/>
      <c r="X202" s="117"/>
      <c r="Y202" s="123"/>
      <c r="Z202" s="123"/>
      <c r="AA202" s="123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25"/>
      <c r="AQ202" s="15"/>
      <c r="AT202" s="114"/>
    </row>
    <row r="203" spans="6:46" ht="19.5" x14ac:dyDescent="0.4"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7"/>
      <c r="S203" s="13"/>
      <c r="X203" s="117"/>
      <c r="Y203" s="123"/>
      <c r="Z203" s="123"/>
      <c r="AA203" s="123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25"/>
      <c r="AQ203" s="15"/>
      <c r="AT203" s="114"/>
    </row>
    <row r="204" spans="6:46" ht="19.5" x14ac:dyDescent="0.4"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26"/>
      <c r="S204" s="13"/>
      <c r="X204" s="117"/>
      <c r="Y204" s="123"/>
      <c r="Z204" s="123"/>
      <c r="AA204" s="123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15"/>
      <c r="AO204" s="115"/>
      <c r="AP204" s="25"/>
      <c r="AQ204" s="15"/>
      <c r="AT204" s="114"/>
    </row>
    <row r="205" spans="6:46" ht="19.5" x14ac:dyDescent="0.4"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7"/>
      <c r="S205" s="13"/>
      <c r="X205" s="117"/>
      <c r="Y205" s="123"/>
      <c r="Z205" s="123"/>
      <c r="AA205" s="123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15"/>
      <c r="AO205" s="115"/>
      <c r="AP205" s="25"/>
      <c r="AQ205" s="15"/>
      <c r="AT205" s="114"/>
    </row>
    <row r="206" spans="6:46" ht="19.5" x14ac:dyDescent="0.4"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26"/>
      <c r="S206" s="13"/>
      <c r="X206" s="117"/>
      <c r="Y206" s="123"/>
      <c r="Z206" s="123"/>
      <c r="AA206" s="123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25"/>
      <c r="AQ206" s="15"/>
      <c r="AT206" s="114"/>
    </row>
    <row r="207" spans="6:46" ht="19.5" x14ac:dyDescent="0.4">
      <c r="R207" s="26"/>
      <c r="S207" s="13"/>
      <c r="X207" s="117"/>
      <c r="Y207" s="123"/>
      <c r="Z207" s="123"/>
      <c r="AA207" s="123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25">
        <v>45272</v>
      </c>
      <c r="AQ207" s="15" t="s">
        <v>162</v>
      </c>
      <c r="AT207" s="114"/>
    </row>
    <row r="208" spans="6:46" ht="19.5" x14ac:dyDescent="0.4">
      <c r="K208" s="115"/>
      <c r="L208" s="115"/>
      <c r="M208" s="115"/>
      <c r="N208" s="115"/>
      <c r="O208" s="115"/>
      <c r="P208" s="115"/>
      <c r="Q208" s="115"/>
      <c r="R208" s="26"/>
      <c r="S208" s="13"/>
      <c r="X208" s="117"/>
      <c r="Y208" s="123"/>
      <c r="Z208" s="123"/>
      <c r="AA208" s="123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25"/>
      <c r="AQ208" s="15"/>
      <c r="AT208" s="114"/>
    </row>
    <row r="209" spans="6:46" ht="19.5" x14ac:dyDescent="0.4">
      <c r="K209" s="115"/>
      <c r="L209" s="115"/>
      <c r="M209" s="115"/>
      <c r="N209" s="115"/>
      <c r="O209" s="115"/>
      <c r="P209" s="115"/>
      <c r="Q209" s="115"/>
      <c r="R209" s="17"/>
      <c r="S209" s="13"/>
      <c r="X209" s="117"/>
      <c r="Y209" s="123"/>
      <c r="Z209" s="123"/>
      <c r="AA209" s="123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25"/>
      <c r="AQ209" s="15"/>
      <c r="AT209" s="114"/>
    </row>
    <row r="210" spans="6:46" ht="19.5" x14ac:dyDescent="0.4"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26"/>
      <c r="S210" s="13"/>
      <c r="X210" s="117"/>
      <c r="Y210" s="123"/>
      <c r="Z210" s="123"/>
      <c r="AA210" s="123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  <c r="AP210" s="25"/>
      <c r="AQ210" s="15"/>
      <c r="AT210" s="114"/>
    </row>
    <row r="211" spans="6:46" ht="19.5" x14ac:dyDescent="0.4"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7"/>
      <c r="S211" s="13"/>
      <c r="X211" s="117"/>
      <c r="Y211" s="123"/>
      <c r="Z211" s="123"/>
      <c r="AA211" s="123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25"/>
      <c r="AQ211" s="15"/>
      <c r="AT211" s="114"/>
    </row>
    <row r="212" spans="6:46" ht="19.5" x14ac:dyDescent="0.4"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26"/>
      <c r="S212" s="25"/>
      <c r="X212" s="117"/>
      <c r="Y212" s="123"/>
      <c r="Z212" s="123"/>
      <c r="AA212" s="123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115"/>
      <c r="AO212" s="115"/>
      <c r="AP212" s="25"/>
      <c r="AQ212" s="15"/>
      <c r="AT212" s="114"/>
    </row>
    <row r="213" spans="6:46" ht="19.5" x14ac:dyDescent="0.4"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7"/>
      <c r="S213" s="13"/>
      <c r="X213" s="117"/>
      <c r="Y213" s="123"/>
      <c r="Z213" s="123"/>
      <c r="AA213" s="123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25"/>
      <c r="AQ213" s="15"/>
      <c r="AT213" s="114"/>
    </row>
    <row r="214" spans="6:46" ht="19.5" x14ac:dyDescent="0.4"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26"/>
      <c r="S214" s="13"/>
      <c r="X214" s="117"/>
      <c r="Y214" s="123"/>
      <c r="Z214" s="123"/>
      <c r="AA214" s="123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25"/>
      <c r="AQ214" s="15"/>
      <c r="AT214" s="114"/>
    </row>
    <row r="215" spans="6:46" ht="19.5" x14ac:dyDescent="0.4">
      <c r="R215" s="26"/>
      <c r="S215" s="13"/>
      <c r="X215" s="117"/>
      <c r="Y215" s="123"/>
      <c r="Z215" s="123"/>
      <c r="AA215" s="123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25">
        <v>45272</v>
      </c>
      <c r="AQ215" s="15" t="s">
        <v>162</v>
      </c>
      <c r="AT215" s="114"/>
    </row>
    <row r="216" spans="6:46" ht="19.5" x14ac:dyDescent="0.4">
      <c r="L216" s="115"/>
      <c r="M216" s="115"/>
      <c r="N216" s="115"/>
      <c r="O216" s="115"/>
      <c r="P216" s="115"/>
      <c r="Q216" s="115"/>
      <c r="R216" s="17"/>
      <c r="S216" s="13"/>
      <c r="X216" s="117"/>
      <c r="Y216" s="123"/>
      <c r="Z216" s="123"/>
      <c r="AA216" s="123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115"/>
      <c r="AO216" s="115"/>
      <c r="AP216" s="25"/>
      <c r="AQ216" s="15"/>
      <c r="AT216" s="114"/>
    </row>
    <row r="217" spans="6:46" ht="19.5" x14ac:dyDescent="0.4">
      <c r="K217" s="115"/>
      <c r="L217" s="115"/>
      <c r="M217" s="115"/>
      <c r="N217" s="115"/>
      <c r="O217" s="115"/>
      <c r="P217" s="115"/>
      <c r="Q217" s="115"/>
      <c r="R217" s="26"/>
      <c r="S217" s="13"/>
      <c r="X217" s="117"/>
      <c r="Y217" s="123"/>
      <c r="Z217" s="123"/>
      <c r="AA217" s="123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115"/>
      <c r="AO217" s="115"/>
      <c r="AP217" s="25"/>
      <c r="AQ217" s="15"/>
      <c r="AT217" s="114"/>
    </row>
    <row r="218" spans="6:46" ht="19.5" x14ac:dyDescent="0.4">
      <c r="K218" s="115"/>
      <c r="L218" s="115"/>
      <c r="M218" s="115"/>
      <c r="N218" s="115"/>
      <c r="O218" s="115"/>
      <c r="P218" s="115"/>
      <c r="Q218" s="115"/>
      <c r="R218" s="17"/>
      <c r="S218" s="13"/>
      <c r="X218" s="117"/>
      <c r="Y218" s="123"/>
      <c r="Z218" s="123"/>
      <c r="AA218" s="123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25"/>
      <c r="AQ218" s="15"/>
      <c r="AT218" s="114"/>
    </row>
    <row r="219" spans="6:46" ht="19.5" x14ac:dyDescent="0.4">
      <c r="K219" s="115"/>
      <c r="L219" s="115"/>
      <c r="M219" s="115"/>
      <c r="N219" s="115"/>
      <c r="O219" s="115"/>
      <c r="P219" s="115"/>
      <c r="Q219" s="115"/>
      <c r="R219" s="17"/>
      <c r="S219" s="13"/>
      <c r="X219" s="117"/>
      <c r="Y219" s="123"/>
      <c r="Z219" s="123"/>
      <c r="AA219" s="123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15"/>
      <c r="AO219" s="115"/>
      <c r="AP219" s="25"/>
      <c r="AQ219" s="15"/>
      <c r="AT219" s="114"/>
    </row>
    <row r="220" spans="6:46" ht="19.5" x14ac:dyDescent="0.4"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26"/>
      <c r="S220" s="13"/>
      <c r="X220" s="117"/>
      <c r="Y220" s="123"/>
      <c r="Z220" s="123"/>
      <c r="AA220" s="123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25"/>
      <c r="AQ220" s="15"/>
      <c r="AT220" s="114"/>
    </row>
    <row r="221" spans="6:46" ht="19.5" x14ac:dyDescent="0.4"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20"/>
      <c r="S221" s="13"/>
      <c r="X221" s="117"/>
      <c r="Y221" s="123"/>
      <c r="Z221" s="123"/>
      <c r="AA221" s="123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115"/>
      <c r="AO221" s="115"/>
      <c r="AP221" s="25"/>
      <c r="AQ221" s="15"/>
      <c r="AT221" s="114"/>
    </row>
    <row r="222" spans="6:46" ht="19.5" x14ac:dyDescent="0.4"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20"/>
      <c r="S222" s="13"/>
      <c r="X222" s="117"/>
      <c r="Y222" s="123"/>
      <c r="Z222" s="123"/>
      <c r="AA222" s="123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25"/>
      <c r="AQ222" s="15"/>
      <c r="AT222" s="114"/>
    </row>
    <row r="223" spans="6:46" ht="19.5" x14ac:dyDescent="0.4"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25"/>
      <c r="S223" s="15"/>
      <c r="X223" s="117"/>
      <c r="Y223" s="123"/>
      <c r="Z223" s="123"/>
      <c r="AA223" s="123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25"/>
      <c r="AQ223" s="15"/>
      <c r="AT223" s="114"/>
    </row>
    <row r="224" spans="6:46" ht="19.5" x14ac:dyDescent="0.4"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25"/>
      <c r="S224" s="15"/>
      <c r="X224" s="117"/>
      <c r="Y224" s="123"/>
      <c r="Z224" s="123"/>
      <c r="AA224" s="123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25"/>
      <c r="AQ224" s="15"/>
      <c r="AT224" s="114"/>
    </row>
    <row r="225" spans="6:46" ht="19.5" x14ac:dyDescent="0.4"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25"/>
      <c r="S225" s="15"/>
      <c r="X225" s="117"/>
      <c r="Y225" s="123"/>
      <c r="Z225" s="123"/>
      <c r="AA225" s="123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25"/>
      <c r="AQ225" s="15"/>
      <c r="AT225" s="114"/>
    </row>
    <row r="226" spans="6:46" ht="19.5" x14ac:dyDescent="0.4">
      <c r="R226" s="26"/>
      <c r="S226" s="15"/>
      <c r="X226" s="117"/>
      <c r="Y226" s="123"/>
      <c r="Z226" s="123"/>
      <c r="AA226" s="123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25">
        <v>45272</v>
      </c>
      <c r="AQ226" s="15" t="s">
        <v>162</v>
      </c>
      <c r="AT226" s="114"/>
    </row>
    <row r="227" spans="6:46" ht="19.5" x14ac:dyDescent="0.4">
      <c r="R227" s="26"/>
      <c r="S227" s="13"/>
      <c r="X227" s="117"/>
      <c r="Y227" s="123"/>
      <c r="Z227" s="123"/>
      <c r="AA227" s="123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25"/>
      <c r="AQ227" s="15"/>
      <c r="AT227" s="114"/>
    </row>
    <row r="228" spans="6:46" ht="19.5" x14ac:dyDescent="0.4"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26"/>
      <c r="S228" s="13"/>
      <c r="X228" s="117"/>
      <c r="Y228" s="123"/>
      <c r="Z228" s="123"/>
      <c r="AA228" s="123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25"/>
      <c r="AQ228" s="15"/>
      <c r="AT228" s="114"/>
    </row>
    <row r="229" spans="6:46" ht="19.5" x14ac:dyDescent="0.4">
      <c r="R229" s="26"/>
      <c r="S229" s="13"/>
      <c r="X229" s="117"/>
      <c r="Y229" s="123"/>
      <c r="Z229" s="123"/>
      <c r="AA229" s="123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25">
        <v>45272</v>
      </c>
      <c r="AQ229" s="15" t="s">
        <v>162</v>
      </c>
      <c r="AT229" s="114"/>
    </row>
    <row r="230" spans="6:46" ht="19.5" x14ac:dyDescent="0.4">
      <c r="J230" s="115"/>
      <c r="K230" s="115"/>
      <c r="L230" s="115"/>
      <c r="M230" s="115"/>
      <c r="N230" s="115"/>
      <c r="O230" s="115"/>
      <c r="P230" s="115"/>
      <c r="Q230" s="115"/>
      <c r="R230" s="17"/>
      <c r="S230" s="13"/>
      <c r="X230" s="117"/>
      <c r="Y230" s="123"/>
      <c r="Z230" s="123"/>
      <c r="AA230" s="123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25"/>
      <c r="AQ230" s="15"/>
      <c r="AT230" s="114"/>
    </row>
    <row r="231" spans="6:46" ht="19.5" x14ac:dyDescent="0.4">
      <c r="R231" s="26"/>
      <c r="S231" s="13"/>
      <c r="X231" s="117"/>
      <c r="Y231" s="123"/>
      <c r="Z231" s="123"/>
      <c r="AA231" s="123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25"/>
      <c r="AQ231" s="15"/>
      <c r="AT231" s="114"/>
    </row>
    <row r="232" spans="6:46" ht="19.5" x14ac:dyDescent="0.4"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26"/>
      <c r="S232" s="13"/>
      <c r="X232" s="117"/>
      <c r="Y232" s="123"/>
      <c r="Z232" s="123"/>
      <c r="AA232" s="123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25"/>
      <c r="AQ232" s="15"/>
      <c r="AT232" s="114"/>
    </row>
    <row r="233" spans="6:46" ht="19.5" x14ac:dyDescent="0.4">
      <c r="R233" s="26"/>
      <c r="S233" s="13"/>
      <c r="X233" s="117"/>
      <c r="Y233" s="123"/>
      <c r="Z233" s="123"/>
      <c r="AA233" s="123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25">
        <v>45272</v>
      </c>
      <c r="AQ233" s="15" t="s">
        <v>162</v>
      </c>
      <c r="AT233" s="114"/>
    </row>
    <row r="234" spans="6:46" ht="19.5" x14ac:dyDescent="0.4">
      <c r="R234" s="26"/>
      <c r="S234" s="13"/>
      <c r="X234" s="117"/>
      <c r="Y234" s="123"/>
      <c r="Z234" s="123"/>
      <c r="AA234" s="123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 t="s">
        <v>166</v>
      </c>
      <c r="AP234" s="13">
        <f>SUBTOTAL(3,AP182:AP233)</f>
        <v>13</v>
      </c>
      <c r="AQ234" s="15">
        <f>SUBTOTAL(3,AQ182:AQ233)</f>
        <v>13</v>
      </c>
      <c r="AT234" s="114"/>
    </row>
    <row r="235" spans="6:46" ht="19.5" x14ac:dyDescent="0.4">
      <c r="J235" s="115"/>
      <c r="K235" s="115"/>
      <c r="L235" s="115"/>
      <c r="M235" s="115"/>
      <c r="N235" s="115"/>
      <c r="O235" s="115"/>
      <c r="P235" s="115"/>
      <c r="Q235" s="115"/>
      <c r="R235" s="17"/>
      <c r="S235" s="13"/>
      <c r="X235" s="117"/>
      <c r="Y235" s="123"/>
      <c r="Z235" s="123"/>
      <c r="AA235" s="123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3"/>
      <c r="AQ235" s="15"/>
      <c r="AT235" s="114"/>
    </row>
    <row r="236" spans="6:46" ht="19.5" x14ac:dyDescent="0.4">
      <c r="R236" s="26"/>
      <c r="S236" s="13"/>
      <c r="X236" s="117"/>
      <c r="Y236" s="123"/>
      <c r="Z236" s="123"/>
      <c r="AA236" s="123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25">
        <v>45273</v>
      </c>
      <c r="AQ236" s="105" t="s">
        <v>164</v>
      </c>
      <c r="AT236" s="114"/>
    </row>
    <row r="237" spans="6:46" ht="19.5" x14ac:dyDescent="0.4">
      <c r="R237" s="26"/>
      <c r="S237" s="13"/>
      <c r="X237" s="117"/>
      <c r="Y237" s="123"/>
      <c r="Z237" s="123"/>
      <c r="AA237" s="123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25">
        <v>45273</v>
      </c>
      <c r="AQ237" s="15" t="s">
        <v>164</v>
      </c>
      <c r="AT237" s="114"/>
    </row>
    <row r="238" spans="6:46" ht="19.5" x14ac:dyDescent="0.4"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26"/>
      <c r="S238" s="13"/>
      <c r="X238" s="117"/>
      <c r="Y238" s="123"/>
      <c r="Z238" s="123"/>
      <c r="AA238" s="123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25"/>
      <c r="AQ238" s="13"/>
      <c r="AT238" s="114"/>
    </row>
    <row r="239" spans="6:46" ht="19.5" x14ac:dyDescent="0.4">
      <c r="R239" s="26"/>
      <c r="S239" s="13"/>
      <c r="X239" s="117"/>
      <c r="Y239" s="123"/>
      <c r="Z239" s="123"/>
      <c r="AA239" s="123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15"/>
      <c r="AM239" s="115"/>
      <c r="AN239" s="115"/>
      <c r="AO239" s="115"/>
      <c r="AP239" s="25">
        <v>45273</v>
      </c>
      <c r="AQ239" s="13" t="s">
        <v>164</v>
      </c>
      <c r="AT239" s="114"/>
    </row>
    <row r="240" spans="6:46" ht="19.5" x14ac:dyDescent="0.4">
      <c r="R240" s="26"/>
      <c r="S240" s="13"/>
      <c r="X240" s="117"/>
      <c r="Y240" s="123"/>
      <c r="Z240" s="123"/>
      <c r="AA240" s="123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15"/>
      <c r="AM240" s="115"/>
      <c r="AN240" s="115"/>
      <c r="AO240" s="115"/>
      <c r="AP240" s="25">
        <v>45273</v>
      </c>
      <c r="AQ240" s="15" t="s">
        <v>164</v>
      </c>
      <c r="AT240" s="114"/>
    </row>
    <row r="241" spans="8:46" ht="19.5" x14ac:dyDescent="0.4">
      <c r="R241" s="26"/>
      <c r="S241" s="13"/>
      <c r="X241" s="117"/>
      <c r="Y241" s="123"/>
      <c r="Z241" s="123"/>
      <c r="AA241" s="123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25">
        <v>45273</v>
      </c>
      <c r="AQ241" s="15" t="s">
        <v>162</v>
      </c>
      <c r="AT241" s="114"/>
    </row>
    <row r="242" spans="8:46" ht="19.5" x14ac:dyDescent="0.4">
      <c r="I242" s="115"/>
      <c r="J242" s="115"/>
      <c r="K242" s="115"/>
      <c r="L242" s="115"/>
      <c r="M242" s="115"/>
      <c r="N242" s="115"/>
      <c r="O242" s="115"/>
      <c r="P242" s="115"/>
      <c r="Q242" s="115"/>
      <c r="R242" s="26"/>
      <c r="S242" s="13"/>
      <c r="X242" s="117"/>
      <c r="Y242" s="123"/>
      <c r="Z242" s="123"/>
      <c r="AA242" s="123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25"/>
      <c r="AQ242" s="15"/>
      <c r="AT242" s="114"/>
    </row>
    <row r="243" spans="8:46" ht="19.5" x14ac:dyDescent="0.4">
      <c r="R243" s="26"/>
      <c r="S243" s="13"/>
      <c r="X243" s="117"/>
      <c r="Y243" s="123"/>
      <c r="Z243" s="123"/>
      <c r="AA243" s="123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25">
        <v>45273</v>
      </c>
      <c r="AQ243" s="15" t="s">
        <v>162</v>
      </c>
      <c r="AT243" s="114"/>
    </row>
    <row r="244" spans="8:46" ht="19.5" x14ac:dyDescent="0.4">
      <c r="R244" s="26"/>
      <c r="S244" s="13"/>
      <c r="X244" s="117"/>
      <c r="Y244" s="123"/>
      <c r="Z244" s="123"/>
      <c r="AA244" s="123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25">
        <v>45273</v>
      </c>
      <c r="AQ244" s="15" t="s">
        <v>162</v>
      </c>
      <c r="AT244" s="114"/>
    </row>
    <row r="245" spans="8:46" ht="19.5" x14ac:dyDescent="0.4">
      <c r="R245" s="26"/>
      <c r="S245" s="13"/>
      <c r="X245" s="117"/>
      <c r="Y245" s="123"/>
      <c r="Z245" s="123"/>
      <c r="AA245" s="123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25">
        <v>45273</v>
      </c>
      <c r="AQ245" s="15" t="s">
        <v>162</v>
      </c>
      <c r="AT245" s="114"/>
    </row>
    <row r="246" spans="8:46" ht="19.5" x14ac:dyDescent="0.4"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26"/>
      <c r="S246" s="13"/>
      <c r="X246" s="117"/>
      <c r="Y246" s="123"/>
      <c r="Z246" s="123"/>
      <c r="AA246" s="123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25"/>
      <c r="AQ246" s="15"/>
      <c r="AT246" s="114"/>
    </row>
    <row r="247" spans="8:46" ht="19.5" x14ac:dyDescent="0.4">
      <c r="R247" s="26"/>
      <c r="S247" s="13"/>
      <c r="X247" s="117"/>
      <c r="Y247" s="123"/>
      <c r="Z247" s="123"/>
      <c r="AA247" s="123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25">
        <v>45273</v>
      </c>
      <c r="AQ247" s="15" t="s">
        <v>162</v>
      </c>
      <c r="AT247" s="114"/>
    </row>
    <row r="248" spans="8:46" ht="19.5" x14ac:dyDescent="0.4">
      <c r="R248" s="26"/>
      <c r="S248" s="13"/>
      <c r="X248" s="117"/>
      <c r="Y248" s="123"/>
      <c r="Z248" s="123"/>
      <c r="AA248" s="123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25">
        <v>45273</v>
      </c>
      <c r="AQ248" s="15" t="s">
        <v>162</v>
      </c>
      <c r="AT248" s="114"/>
    </row>
    <row r="249" spans="8:46" ht="19.5" x14ac:dyDescent="0.4">
      <c r="R249" s="26"/>
      <c r="S249" s="13"/>
      <c r="X249" s="117"/>
      <c r="Y249" s="123"/>
      <c r="Z249" s="123"/>
      <c r="AA249" s="123"/>
      <c r="AB249" s="115"/>
      <c r="AC249" s="115"/>
      <c r="AD249" s="115"/>
      <c r="AE249" s="115"/>
      <c r="AF249" s="124"/>
      <c r="AG249" s="124"/>
      <c r="AH249" s="124"/>
      <c r="AI249" s="124"/>
      <c r="AJ249" s="124"/>
      <c r="AK249" s="124"/>
      <c r="AL249" s="124"/>
      <c r="AM249" s="124"/>
      <c r="AN249" s="124"/>
      <c r="AO249" s="124"/>
      <c r="AP249" s="25">
        <v>45273</v>
      </c>
      <c r="AQ249" s="15" t="s">
        <v>162</v>
      </c>
      <c r="AT249" s="114"/>
    </row>
    <row r="250" spans="8:46" ht="19.5" x14ac:dyDescent="0.4">
      <c r="R250" s="26"/>
      <c r="S250" s="13"/>
      <c r="X250" s="117"/>
      <c r="Y250" s="123"/>
      <c r="Z250" s="123"/>
      <c r="AA250" s="123"/>
      <c r="AB250" s="115"/>
      <c r="AC250" s="115"/>
      <c r="AD250" s="115"/>
      <c r="AE250" s="115"/>
      <c r="AF250" s="124"/>
      <c r="AG250" s="124"/>
      <c r="AH250" s="124"/>
      <c r="AI250" s="124"/>
      <c r="AJ250" s="124"/>
      <c r="AK250" s="124"/>
      <c r="AL250" s="124"/>
      <c r="AM250" s="124"/>
      <c r="AN250" s="124"/>
      <c r="AO250" s="124"/>
      <c r="AP250" s="25">
        <v>45273</v>
      </c>
      <c r="AQ250" s="15" t="s">
        <v>162</v>
      </c>
      <c r="AT250" s="114"/>
    </row>
    <row r="251" spans="8:46" ht="19.5" x14ac:dyDescent="0.4">
      <c r="J251" s="115"/>
      <c r="K251" s="115"/>
      <c r="L251" s="115"/>
      <c r="M251" s="115"/>
      <c r="N251" s="115"/>
      <c r="O251" s="115"/>
      <c r="P251" s="115"/>
      <c r="Q251" s="115"/>
      <c r="R251" s="17"/>
      <c r="S251" s="13"/>
      <c r="X251" s="117"/>
      <c r="Y251" s="123"/>
      <c r="Z251" s="123"/>
      <c r="AA251" s="123"/>
      <c r="AB251" s="115"/>
      <c r="AC251" s="115"/>
      <c r="AD251" s="115"/>
      <c r="AE251" s="115"/>
      <c r="AF251" s="124"/>
      <c r="AG251" s="124"/>
      <c r="AH251" s="124"/>
      <c r="AI251" s="124"/>
      <c r="AJ251" s="124"/>
      <c r="AK251" s="124"/>
      <c r="AL251" s="124"/>
      <c r="AM251" s="124"/>
      <c r="AN251" s="124"/>
      <c r="AO251" s="124"/>
      <c r="AP251" s="25"/>
      <c r="AQ251" s="15"/>
      <c r="AT251" s="114"/>
    </row>
    <row r="252" spans="8:46" ht="19.5" x14ac:dyDescent="0.4">
      <c r="R252" s="26"/>
      <c r="S252" s="13"/>
      <c r="X252" s="117"/>
      <c r="Y252" s="123"/>
      <c r="Z252" s="123"/>
      <c r="AA252" s="123"/>
      <c r="AB252" s="115"/>
      <c r="AC252" s="115"/>
      <c r="AD252" s="115"/>
      <c r="AE252" s="115"/>
      <c r="AF252" s="124"/>
      <c r="AG252" s="124"/>
      <c r="AH252" s="124"/>
      <c r="AI252" s="124"/>
      <c r="AJ252" s="124"/>
      <c r="AK252" s="124"/>
      <c r="AL252" s="124"/>
      <c r="AM252" s="124"/>
      <c r="AN252" s="124"/>
      <c r="AO252" s="124"/>
      <c r="AP252" s="25">
        <v>45273</v>
      </c>
      <c r="AQ252" s="15" t="s">
        <v>162</v>
      </c>
      <c r="AT252" s="114"/>
    </row>
    <row r="253" spans="8:46" ht="19.5" x14ac:dyDescent="0.4">
      <c r="J253" s="115"/>
      <c r="K253" s="115"/>
      <c r="L253" s="115"/>
      <c r="M253" s="115"/>
      <c r="N253" s="115"/>
      <c r="O253" s="115"/>
      <c r="P253" s="115"/>
      <c r="Q253" s="115"/>
      <c r="R253" s="17"/>
      <c r="S253" s="13"/>
      <c r="X253" s="117"/>
      <c r="Y253" s="123"/>
      <c r="Z253" s="123"/>
      <c r="AA253" s="123"/>
      <c r="AB253" s="115"/>
      <c r="AC253" s="115"/>
      <c r="AD253" s="115"/>
      <c r="AE253" s="115"/>
      <c r="AF253" s="124"/>
      <c r="AG253" s="124"/>
      <c r="AH253" s="124"/>
      <c r="AI253" s="124"/>
      <c r="AJ253" s="124"/>
      <c r="AK253" s="124"/>
      <c r="AL253" s="124"/>
      <c r="AM253" s="124"/>
      <c r="AN253" s="124"/>
      <c r="AO253" s="124"/>
      <c r="AP253" s="25"/>
      <c r="AQ253" s="15"/>
      <c r="AT253" s="114"/>
    </row>
    <row r="254" spans="8:46" ht="19.5" x14ac:dyDescent="0.4">
      <c r="R254" s="26"/>
      <c r="S254" s="13"/>
      <c r="X254" s="117"/>
      <c r="Y254" s="123"/>
      <c r="Z254" s="123"/>
      <c r="AA254" s="123"/>
      <c r="AB254" s="115"/>
      <c r="AC254" s="115"/>
      <c r="AD254" s="115"/>
      <c r="AE254" s="115"/>
      <c r="AF254" s="124"/>
      <c r="AG254" s="124"/>
      <c r="AH254" s="124"/>
      <c r="AI254" s="124"/>
      <c r="AJ254" s="124"/>
      <c r="AK254" s="124"/>
      <c r="AL254" s="124"/>
      <c r="AM254" s="124"/>
      <c r="AN254" s="124"/>
      <c r="AO254" s="124"/>
      <c r="AP254" s="25">
        <v>45273</v>
      </c>
      <c r="AQ254" s="15" t="s">
        <v>162</v>
      </c>
      <c r="AT254" s="114"/>
    </row>
    <row r="255" spans="8:46" ht="19.5" x14ac:dyDescent="0.4">
      <c r="R255" s="26"/>
      <c r="S255" s="13"/>
      <c r="X255" s="117"/>
      <c r="Y255" s="123"/>
      <c r="Z255" s="123"/>
      <c r="AA255" s="123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25">
        <v>45273</v>
      </c>
      <c r="AQ255" s="13" t="s">
        <v>162</v>
      </c>
      <c r="AT255" s="114"/>
    </row>
    <row r="256" spans="8:46" ht="19.5" x14ac:dyDescent="0.4">
      <c r="R256" s="26"/>
      <c r="S256" s="13"/>
      <c r="X256" s="117"/>
      <c r="Y256" s="123"/>
      <c r="Z256" s="123"/>
      <c r="AA256" s="123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115"/>
      <c r="AO256" s="115"/>
      <c r="AP256" s="25">
        <v>45273</v>
      </c>
      <c r="AQ256" s="15" t="s">
        <v>162</v>
      </c>
      <c r="AT256" s="114"/>
    </row>
    <row r="257" spans="6:46" ht="19.5" x14ac:dyDescent="0.4">
      <c r="R257" s="26"/>
      <c r="S257" s="13"/>
      <c r="X257" s="117"/>
      <c r="Y257" s="123"/>
      <c r="Z257" s="123"/>
      <c r="AA257" s="123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25">
        <v>45273</v>
      </c>
      <c r="AQ257" s="15" t="s">
        <v>162</v>
      </c>
      <c r="AT257" s="114"/>
    </row>
    <row r="258" spans="6:46" ht="19.5" x14ac:dyDescent="0.4"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26"/>
      <c r="S258" s="25"/>
      <c r="X258" s="117"/>
      <c r="Y258" s="123"/>
      <c r="Z258" s="123"/>
      <c r="AA258" s="123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15"/>
      <c r="AM258" s="115"/>
      <c r="AN258" s="115"/>
      <c r="AO258" s="115"/>
      <c r="AP258" s="25"/>
      <c r="AQ258" s="15"/>
      <c r="AT258" s="114"/>
    </row>
    <row r="259" spans="6:46" ht="19.5" x14ac:dyDescent="0.4">
      <c r="R259" s="26"/>
      <c r="S259" s="25"/>
      <c r="X259" s="117"/>
      <c r="Y259" s="123"/>
      <c r="Z259" s="123"/>
      <c r="AA259" s="123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115"/>
      <c r="AM259" s="115"/>
      <c r="AN259" s="115"/>
      <c r="AO259" s="115"/>
      <c r="AP259" s="25">
        <v>45273</v>
      </c>
      <c r="AQ259" s="15" t="s">
        <v>162</v>
      </c>
      <c r="AT259" s="114"/>
    </row>
    <row r="260" spans="6:46" ht="19.5" x14ac:dyDescent="0.4">
      <c r="R260" s="26"/>
      <c r="S260" s="13"/>
      <c r="X260" s="117"/>
      <c r="Y260" s="123"/>
      <c r="Z260" s="123"/>
      <c r="AA260" s="123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115"/>
      <c r="AO260" s="115"/>
      <c r="AP260" s="25">
        <v>45273</v>
      </c>
      <c r="AQ260" s="15" t="s">
        <v>162</v>
      </c>
      <c r="AT260" s="114"/>
    </row>
    <row r="261" spans="6:46" ht="19.5" x14ac:dyDescent="0.4"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26"/>
      <c r="S261" s="13"/>
      <c r="X261" s="117"/>
      <c r="Y261" s="123"/>
      <c r="Z261" s="123"/>
      <c r="AA261" s="123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115"/>
      <c r="AO261" s="115"/>
      <c r="AP261" s="25"/>
      <c r="AQ261" s="15"/>
      <c r="AT261" s="114"/>
    </row>
    <row r="262" spans="6:46" ht="19.5" x14ac:dyDescent="0.4"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26"/>
      <c r="S262" s="13"/>
      <c r="X262" s="117"/>
      <c r="Y262" s="123"/>
      <c r="Z262" s="123"/>
      <c r="AA262" s="123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25"/>
      <c r="AQ262" s="15"/>
      <c r="AT262" s="114"/>
    </row>
    <row r="263" spans="6:46" ht="19.5" x14ac:dyDescent="0.4">
      <c r="R263" s="26"/>
      <c r="S263" s="13"/>
      <c r="X263" s="117"/>
      <c r="Y263" s="123"/>
      <c r="Z263" s="123"/>
      <c r="AA263" s="123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15"/>
      <c r="AN263" s="115"/>
      <c r="AO263" s="115"/>
      <c r="AP263" s="25">
        <v>45273</v>
      </c>
      <c r="AQ263" s="15" t="s">
        <v>162</v>
      </c>
      <c r="AT263" s="114"/>
    </row>
    <row r="264" spans="6:46" ht="19.5" x14ac:dyDescent="0.4">
      <c r="R264" s="26"/>
      <c r="S264" s="13"/>
      <c r="X264" s="117"/>
      <c r="Y264" s="123"/>
      <c r="Z264" s="123"/>
      <c r="AA264" s="123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115"/>
      <c r="AN264" s="115"/>
      <c r="AO264" s="115"/>
      <c r="AP264" s="25">
        <v>45273</v>
      </c>
      <c r="AQ264" s="15" t="s">
        <v>162</v>
      </c>
      <c r="AT264" s="114"/>
    </row>
    <row r="265" spans="6:46" ht="19.5" x14ac:dyDescent="0.4">
      <c r="R265" s="26"/>
      <c r="S265" s="13"/>
      <c r="X265" s="117"/>
      <c r="Y265" s="123"/>
      <c r="Z265" s="123"/>
      <c r="AA265" s="123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115"/>
      <c r="AM265" s="115"/>
      <c r="AN265" s="115"/>
      <c r="AO265" s="115"/>
      <c r="AP265" s="25">
        <v>45273</v>
      </c>
      <c r="AQ265" s="13" t="s">
        <v>163</v>
      </c>
      <c r="AT265" s="114"/>
    </row>
    <row r="266" spans="6:46" ht="19.5" x14ac:dyDescent="0.4">
      <c r="R266" s="26"/>
      <c r="S266" s="13"/>
      <c r="X266" s="117"/>
      <c r="Y266" s="123"/>
      <c r="Z266" s="123"/>
      <c r="AA266" s="123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25"/>
      <c r="AQ266" s="13"/>
      <c r="AT266" s="114"/>
    </row>
    <row r="267" spans="6:46" ht="19.5" x14ac:dyDescent="0.4">
      <c r="R267" s="26"/>
      <c r="S267" s="13"/>
      <c r="X267" s="117"/>
      <c r="Y267" s="123"/>
      <c r="Z267" s="123"/>
      <c r="AA267" s="123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115"/>
      <c r="AN267" s="115"/>
      <c r="AO267" s="115" t="s">
        <v>152</v>
      </c>
      <c r="AP267" s="13">
        <f>SUBTOTAL(3,AP236:AP265)</f>
        <v>22</v>
      </c>
      <c r="AQ267" s="13">
        <f>SUBTOTAL(3,AQ236:AQ265)</f>
        <v>22</v>
      </c>
      <c r="AT267" s="114"/>
    </row>
    <row r="268" spans="6:46" ht="19.5" x14ac:dyDescent="0.4">
      <c r="R268" s="26"/>
      <c r="S268" s="13"/>
      <c r="X268" s="117"/>
      <c r="Y268" s="123"/>
      <c r="Z268" s="123"/>
      <c r="AA268" s="123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25">
        <v>45274</v>
      </c>
      <c r="AQ268" s="15" t="s">
        <v>162</v>
      </c>
      <c r="AT268" s="114"/>
    </row>
    <row r="269" spans="6:46" ht="19.5" x14ac:dyDescent="0.4"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26"/>
      <c r="S269" s="13"/>
      <c r="X269" s="117"/>
      <c r="Y269" s="123"/>
      <c r="Z269" s="123"/>
      <c r="AA269" s="123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25"/>
      <c r="AQ269" s="15"/>
      <c r="AT269" s="114"/>
    </row>
    <row r="270" spans="6:46" ht="19.5" x14ac:dyDescent="0.4"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26"/>
      <c r="S270" s="13"/>
      <c r="X270" s="117"/>
      <c r="Y270" s="123"/>
      <c r="Z270" s="123"/>
      <c r="AA270" s="123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25"/>
      <c r="AQ270" s="15"/>
      <c r="AT270" s="114"/>
    </row>
    <row r="271" spans="6:46" ht="19.5" x14ac:dyDescent="0.4">
      <c r="R271" s="26"/>
      <c r="S271" s="13"/>
      <c r="X271" s="117"/>
      <c r="Y271" s="123"/>
      <c r="Z271" s="123"/>
      <c r="AA271" s="123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115"/>
      <c r="AN271" s="115"/>
      <c r="AO271" s="115"/>
      <c r="AP271" s="25">
        <v>45274</v>
      </c>
      <c r="AQ271" s="15" t="s">
        <v>162</v>
      </c>
      <c r="AT271" s="114"/>
    </row>
    <row r="272" spans="6:46" ht="19.5" x14ac:dyDescent="0.4">
      <c r="I272" s="115"/>
      <c r="J272" s="115"/>
      <c r="K272" s="115"/>
      <c r="L272" s="115"/>
      <c r="M272" s="115"/>
      <c r="N272" s="115"/>
      <c r="O272" s="115"/>
      <c r="P272" s="115"/>
      <c r="Q272" s="115"/>
      <c r="R272" s="26"/>
      <c r="S272" s="13"/>
      <c r="X272" s="117"/>
      <c r="Y272" s="123"/>
      <c r="Z272" s="123"/>
      <c r="AA272" s="123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115"/>
      <c r="AN272" s="115"/>
      <c r="AO272" s="115"/>
      <c r="AP272" s="25"/>
      <c r="AQ272" s="15"/>
      <c r="AT272" s="114"/>
    </row>
    <row r="273" spans="6:46" ht="19.5" x14ac:dyDescent="0.4"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26"/>
      <c r="S273" s="13"/>
      <c r="X273" s="117"/>
      <c r="Y273" s="123"/>
      <c r="Z273" s="123"/>
      <c r="AA273" s="123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25"/>
      <c r="AQ273" s="15"/>
      <c r="AT273" s="114"/>
    </row>
    <row r="274" spans="6:46" ht="19.5" x14ac:dyDescent="0.4"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26"/>
      <c r="S274" s="13"/>
      <c r="X274" s="117"/>
      <c r="Y274" s="123"/>
      <c r="Z274" s="123"/>
      <c r="AA274" s="123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115"/>
      <c r="AN274" s="115"/>
      <c r="AO274" s="115"/>
      <c r="AP274" s="25"/>
      <c r="AQ274" s="15"/>
      <c r="AT274" s="114"/>
    </row>
    <row r="275" spans="6:46" ht="19.5" x14ac:dyDescent="0.4">
      <c r="R275" s="26"/>
      <c r="S275" s="13"/>
      <c r="X275" s="117"/>
      <c r="Y275" s="123"/>
      <c r="Z275" s="123"/>
      <c r="AA275" s="123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25">
        <v>45274</v>
      </c>
      <c r="AQ275" s="15" t="s">
        <v>162</v>
      </c>
      <c r="AT275" s="114"/>
    </row>
    <row r="276" spans="6:46" ht="19.5" x14ac:dyDescent="0.4"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26"/>
      <c r="S276" s="13"/>
      <c r="X276" s="117"/>
      <c r="Y276" s="123"/>
      <c r="Z276" s="123"/>
      <c r="AA276" s="123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115"/>
      <c r="AN276" s="115"/>
      <c r="AO276" s="115"/>
      <c r="AP276" s="25"/>
      <c r="AQ276" s="15"/>
      <c r="AT276" s="114"/>
    </row>
    <row r="277" spans="6:46" ht="19.5" x14ac:dyDescent="0.4">
      <c r="R277" s="26"/>
      <c r="S277" s="13"/>
      <c r="X277" s="117"/>
      <c r="Y277" s="123"/>
      <c r="Z277" s="123"/>
      <c r="AA277" s="123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25">
        <v>45274</v>
      </c>
      <c r="AQ277" s="15" t="s">
        <v>162</v>
      </c>
      <c r="AT277" s="114"/>
    </row>
    <row r="278" spans="6:46" ht="19.5" x14ac:dyDescent="0.4">
      <c r="R278" s="26"/>
      <c r="S278" s="13"/>
      <c r="X278" s="117"/>
      <c r="Y278" s="123"/>
      <c r="Z278" s="123"/>
      <c r="AA278" s="123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25">
        <v>45274</v>
      </c>
      <c r="AQ278" s="15" t="s">
        <v>163</v>
      </c>
      <c r="AT278" s="114"/>
    </row>
    <row r="279" spans="6:46" ht="19.5" x14ac:dyDescent="0.4">
      <c r="J279" s="115"/>
      <c r="K279" s="115"/>
      <c r="L279" s="115"/>
      <c r="M279" s="115"/>
      <c r="N279" s="115"/>
      <c r="O279" s="115"/>
      <c r="P279" s="115"/>
      <c r="Q279" s="115"/>
      <c r="R279" s="17"/>
      <c r="S279" s="13"/>
      <c r="X279" s="117"/>
      <c r="Y279" s="123"/>
      <c r="Z279" s="123"/>
      <c r="AA279" s="123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25"/>
      <c r="AQ279" s="15"/>
      <c r="AT279" s="114"/>
    </row>
    <row r="280" spans="6:46" ht="19.5" x14ac:dyDescent="0.4"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26"/>
      <c r="S280" s="13"/>
      <c r="X280" s="117"/>
      <c r="Y280" s="123"/>
      <c r="Z280" s="123"/>
      <c r="AA280" s="123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5"/>
      <c r="AL280" s="115"/>
      <c r="AM280" s="115"/>
      <c r="AN280" s="115"/>
      <c r="AO280" s="115"/>
      <c r="AP280" s="25"/>
      <c r="AQ280" s="15"/>
      <c r="AT280" s="114"/>
    </row>
    <row r="281" spans="6:46" ht="19.5" x14ac:dyDescent="0.4">
      <c r="R281" s="26"/>
      <c r="S281" s="25"/>
      <c r="X281" s="117"/>
      <c r="Y281" s="123"/>
      <c r="Z281" s="123"/>
      <c r="AA281" s="123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15"/>
      <c r="AO281" s="115" t="s">
        <v>167</v>
      </c>
      <c r="AP281" s="13">
        <f>SUBTOTAL(3,AP268:AP278)</f>
        <v>5</v>
      </c>
      <c r="AQ281" s="15">
        <f>SUBTOTAL(3,AQ268:AQ278)</f>
        <v>5</v>
      </c>
      <c r="AT281" s="114"/>
    </row>
    <row r="282" spans="6:46" ht="19.5" x14ac:dyDescent="0.4"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26"/>
      <c r="S282" s="105"/>
      <c r="X282" s="117"/>
      <c r="Y282" s="123"/>
      <c r="Z282" s="123"/>
      <c r="AA282" s="123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15"/>
      <c r="AO282" s="115"/>
      <c r="AP282" s="13"/>
      <c r="AQ282" s="15"/>
      <c r="AT282" s="114"/>
    </row>
    <row r="283" spans="6:46" ht="19.5" x14ac:dyDescent="0.4">
      <c r="R283" s="26"/>
      <c r="S283" s="105"/>
      <c r="X283" s="117"/>
      <c r="Y283" s="123"/>
      <c r="Z283" s="123"/>
      <c r="AA283" s="123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15"/>
      <c r="AO283" s="115"/>
      <c r="AP283" s="13"/>
      <c r="AQ283" s="15"/>
      <c r="AT283" s="114"/>
    </row>
    <row r="284" spans="6:46" ht="19.5" x14ac:dyDescent="0.4">
      <c r="J284" s="115"/>
      <c r="K284" s="115"/>
      <c r="L284" s="115"/>
      <c r="M284" s="115"/>
      <c r="N284" s="115"/>
      <c r="O284" s="115"/>
      <c r="P284" s="115"/>
      <c r="Q284" s="115"/>
      <c r="R284" s="17"/>
      <c r="S284" s="15"/>
      <c r="X284" s="117"/>
      <c r="Y284" s="123"/>
      <c r="Z284" s="123"/>
      <c r="AA284" s="123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3"/>
      <c r="AQ284" s="15"/>
      <c r="AT284" s="114"/>
    </row>
    <row r="285" spans="6:46" ht="19.5" x14ac:dyDescent="0.4"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26"/>
      <c r="S285" s="15"/>
      <c r="X285" s="117"/>
      <c r="Y285" s="123"/>
      <c r="Z285" s="123"/>
      <c r="AA285" s="123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3"/>
      <c r="AQ285" s="15"/>
      <c r="AT285" s="114"/>
    </row>
    <row r="286" spans="6:46" ht="19.5" x14ac:dyDescent="0.4"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26"/>
      <c r="S286" s="15"/>
      <c r="X286" s="117"/>
      <c r="Y286" s="123"/>
      <c r="Z286" s="123"/>
      <c r="AA286" s="123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3"/>
      <c r="AQ286" s="15"/>
      <c r="AT286" s="114"/>
    </row>
    <row r="287" spans="6:46" ht="19.5" x14ac:dyDescent="0.4"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26"/>
      <c r="S287" s="15"/>
      <c r="X287" s="117"/>
      <c r="Y287" s="123"/>
      <c r="Z287" s="123"/>
      <c r="AA287" s="123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3"/>
      <c r="AQ287" s="15"/>
      <c r="AT287" s="114"/>
    </row>
    <row r="288" spans="6:46" ht="19.5" x14ac:dyDescent="0.4"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26"/>
      <c r="S288" s="15"/>
      <c r="X288" s="117"/>
      <c r="Y288" s="123"/>
      <c r="Z288" s="123"/>
      <c r="AA288" s="123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3"/>
      <c r="AQ288" s="15"/>
      <c r="AT288" s="114"/>
    </row>
    <row r="289" spans="6:46" ht="19.5" x14ac:dyDescent="0.4">
      <c r="R289" s="26"/>
      <c r="S289" s="15"/>
      <c r="X289" s="117"/>
      <c r="Y289" s="123"/>
      <c r="Z289" s="123"/>
      <c r="AA289" s="123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25">
        <v>45275</v>
      </c>
      <c r="AQ289" s="15" t="s">
        <v>163</v>
      </c>
      <c r="AT289" s="114"/>
    </row>
    <row r="290" spans="6:46" ht="19.5" x14ac:dyDescent="0.4">
      <c r="R290" s="26"/>
      <c r="S290" s="15"/>
      <c r="X290" s="117"/>
      <c r="Y290" s="123"/>
      <c r="Z290" s="123"/>
      <c r="AA290" s="123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 t="s">
        <v>168</v>
      </c>
      <c r="AP290" s="13">
        <f>SUBTOTAL(3,AP289:AP289)</f>
        <v>1</v>
      </c>
      <c r="AQ290" s="15">
        <f>SUBTOTAL(3,AQ289:AQ289)</f>
        <v>1</v>
      </c>
      <c r="AT290" s="114"/>
    </row>
    <row r="291" spans="6:46" ht="19.5" x14ac:dyDescent="0.4">
      <c r="R291" s="26"/>
      <c r="S291" s="15"/>
      <c r="X291" s="117"/>
      <c r="Y291" s="123"/>
      <c r="Z291" s="123"/>
      <c r="AA291" s="123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25">
        <v>45276</v>
      </c>
      <c r="AQ291" s="15" t="s">
        <v>164</v>
      </c>
      <c r="AT291" s="114"/>
    </row>
    <row r="292" spans="6:46" ht="19.5" x14ac:dyDescent="0.4">
      <c r="R292" s="26"/>
      <c r="S292" s="15"/>
      <c r="X292" s="117"/>
      <c r="Y292" s="123"/>
      <c r="Z292" s="123"/>
      <c r="AA292" s="123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25">
        <v>45276</v>
      </c>
      <c r="AQ292" s="15" t="s">
        <v>162</v>
      </c>
      <c r="AT292" s="114"/>
    </row>
    <row r="293" spans="6:46" ht="19.5" x14ac:dyDescent="0.4">
      <c r="R293" s="26"/>
      <c r="S293" s="15"/>
      <c r="X293" s="117"/>
      <c r="Y293" s="123"/>
      <c r="Z293" s="123"/>
      <c r="AA293" s="123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25">
        <v>45276</v>
      </c>
      <c r="AQ293" s="15" t="s">
        <v>162</v>
      </c>
      <c r="AT293" s="114"/>
    </row>
    <row r="294" spans="6:46" ht="19.5" x14ac:dyDescent="0.4">
      <c r="R294" s="26"/>
      <c r="S294" s="15"/>
      <c r="X294" s="117"/>
      <c r="Y294" s="123"/>
      <c r="Z294" s="123"/>
      <c r="AA294" s="123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25">
        <v>45276</v>
      </c>
      <c r="AQ294" s="15" t="s">
        <v>162</v>
      </c>
      <c r="AT294" s="114"/>
    </row>
    <row r="295" spans="6:46" ht="19.5" x14ac:dyDescent="0.4">
      <c r="R295" s="26"/>
      <c r="S295" s="15"/>
      <c r="X295" s="117"/>
      <c r="Y295" s="123"/>
      <c r="Z295" s="123"/>
      <c r="AA295" s="123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25">
        <v>45276</v>
      </c>
      <c r="AQ295" s="15" t="s">
        <v>162</v>
      </c>
      <c r="AT295" s="114"/>
    </row>
    <row r="296" spans="6:46" ht="19.5" x14ac:dyDescent="0.4"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26"/>
      <c r="S296" s="15"/>
      <c r="X296" s="117"/>
      <c r="Y296" s="123"/>
      <c r="Z296" s="123"/>
      <c r="AA296" s="123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25"/>
      <c r="AQ296" s="15"/>
      <c r="AT296" s="114"/>
    </row>
    <row r="297" spans="6:46" ht="19.5" x14ac:dyDescent="0.4">
      <c r="R297" s="26"/>
      <c r="S297" s="15"/>
      <c r="X297" s="117"/>
      <c r="Y297" s="123"/>
      <c r="Z297" s="123"/>
      <c r="AA297" s="123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25">
        <v>45276</v>
      </c>
      <c r="AQ297" s="15" t="s">
        <v>162</v>
      </c>
      <c r="AT297" s="114"/>
    </row>
    <row r="298" spans="6:46" ht="19.5" x14ac:dyDescent="0.4">
      <c r="R298" s="26"/>
      <c r="S298" s="15"/>
      <c r="X298" s="117"/>
      <c r="Y298" s="123"/>
      <c r="Z298" s="123"/>
      <c r="AA298" s="123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25">
        <v>45276</v>
      </c>
      <c r="AQ298" s="15" t="s">
        <v>162</v>
      </c>
      <c r="AT298" s="114"/>
    </row>
    <row r="299" spans="6:46" ht="19.5" x14ac:dyDescent="0.4">
      <c r="J299" s="115"/>
      <c r="K299" s="115"/>
      <c r="L299" s="115"/>
      <c r="M299" s="115"/>
      <c r="N299" s="115"/>
      <c r="O299" s="115"/>
      <c r="P299" s="115"/>
      <c r="Q299" s="115"/>
      <c r="R299" s="17"/>
      <c r="S299" s="15"/>
      <c r="X299" s="117"/>
      <c r="Y299" s="123"/>
      <c r="Z299" s="123"/>
      <c r="AA299" s="123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25"/>
      <c r="AQ299" s="15"/>
      <c r="AT299" s="114"/>
    </row>
    <row r="300" spans="6:46" ht="19.5" x14ac:dyDescent="0.4"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26"/>
      <c r="S300" s="15"/>
      <c r="X300" s="117"/>
      <c r="Y300" s="123"/>
      <c r="Z300" s="123"/>
      <c r="AA300" s="123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25"/>
      <c r="AQ300" s="15"/>
      <c r="AT300" s="114"/>
    </row>
    <row r="301" spans="6:46" ht="19.5" x14ac:dyDescent="0.4"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26"/>
      <c r="S301" s="15"/>
      <c r="X301" s="117"/>
      <c r="Y301" s="123"/>
      <c r="Z301" s="123"/>
      <c r="AA301" s="123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25"/>
      <c r="AQ301" s="15"/>
      <c r="AT301" s="114"/>
    </row>
    <row r="302" spans="6:46" ht="19.5" x14ac:dyDescent="0.4"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26"/>
      <c r="S302" s="15"/>
      <c r="X302" s="117"/>
      <c r="Y302" s="123"/>
      <c r="Z302" s="123"/>
      <c r="AA302" s="123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  <c r="AO302" s="115"/>
      <c r="AP302" s="25"/>
      <c r="AQ302" s="15"/>
      <c r="AT302" s="114"/>
    </row>
    <row r="303" spans="6:46" ht="19.5" x14ac:dyDescent="0.4">
      <c r="R303" s="26"/>
      <c r="S303" s="15"/>
      <c r="W303" s="115"/>
      <c r="X303" s="117"/>
      <c r="Y303" s="123"/>
      <c r="Z303" s="123"/>
      <c r="AA303" s="123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25">
        <v>45276</v>
      </c>
      <c r="AQ303" s="15" t="s">
        <v>162</v>
      </c>
      <c r="AT303" s="114"/>
    </row>
    <row r="304" spans="6:46" ht="19.5" x14ac:dyDescent="0.4">
      <c r="R304" s="26"/>
      <c r="S304" s="15"/>
      <c r="W304" s="115"/>
      <c r="X304" s="117"/>
      <c r="Y304" s="123"/>
      <c r="Z304" s="123"/>
      <c r="AA304" s="123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25">
        <v>45276</v>
      </c>
      <c r="AQ304" s="15" t="s">
        <v>162</v>
      </c>
      <c r="AT304" s="114"/>
    </row>
    <row r="305" spans="6:46" ht="19.5" x14ac:dyDescent="0.4">
      <c r="R305" s="26"/>
      <c r="S305" s="15"/>
      <c r="W305" s="115"/>
      <c r="X305" s="117"/>
      <c r="Y305" s="123"/>
      <c r="Z305" s="123"/>
      <c r="AA305" s="123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25">
        <v>45276</v>
      </c>
      <c r="AQ305" s="15" t="s">
        <v>162</v>
      </c>
      <c r="AT305" s="114"/>
    </row>
    <row r="306" spans="6:46" ht="19.5" x14ac:dyDescent="0.4">
      <c r="J306" s="115"/>
      <c r="K306" s="115"/>
      <c r="L306" s="115"/>
      <c r="M306" s="115"/>
      <c r="N306" s="115"/>
      <c r="O306" s="115"/>
      <c r="P306" s="115"/>
      <c r="Q306" s="115"/>
      <c r="R306" s="17"/>
      <c r="S306" s="15"/>
      <c r="W306" s="115"/>
      <c r="X306" s="117"/>
      <c r="Y306" s="123"/>
      <c r="Z306" s="123"/>
      <c r="AA306" s="123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25"/>
      <c r="AQ306" s="15"/>
      <c r="AT306" s="114"/>
    </row>
    <row r="307" spans="6:46" ht="19.5" x14ac:dyDescent="0.4"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26"/>
      <c r="S307" s="15"/>
      <c r="W307" s="115"/>
      <c r="X307" s="117"/>
      <c r="Y307" s="123"/>
      <c r="Z307" s="123"/>
      <c r="AA307" s="123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25"/>
      <c r="AQ307" s="15"/>
      <c r="AT307" s="114"/>
    </row>
    <row r="308" spans="6:46" ht="19.5" x14ac:dyDescent="0.4"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7"/>
      <c r="S308" s="15"/>
      <c r="W308" s="115"/>
      <c r="X308" s="117"/>
      <c r="Y308" s="123"/>
      <c r="Z308" s="123"/>
      <c r="AA308" s="123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25"/>
      <c r="AQ308" s="15"/>
      <c r="AT308" s="114"/>
    </row>
    <row r="309" spans="6:46" ht="19.5" x14ac:dyDescent="0.4">
      <c r="R309" s="26"/>
      <c r="S309" s="15"/>
      <c r="W309" s="115"/>
      <c r="X309" s="117"/>
      <c r="Y309" s="123"/>
      <c r="Z309" s="123"/>
      <c r="AA309" s="123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25"/>
      <c r="AQ309" s="15"/>
      <c r="AT309" s="114"/>
    </row>
    <row r="310" spans="6:46" ht="19.5" x14ac:dyDescent="0.4"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26"/>
      <c r="S310" s="15"/>
      <c r="W310" s="115"/>
      <c r="X310" s="117"/>
      <c r="Y310" s="123"/>
      <c r="Z310" s="123"/>
      <c r="AA310" s="123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25"/>
      <c r="AQ310" s="15"/>
      <c r="AT310" s="114"/>
    </row>
    <row r="311" spans="6:46" ht="19.5" x14ac:dyDescent="0.4">
      <c r="R311" s="26"/>
      <c r="S311" s="15"/>
      <c r="W311" s="115"/>
      <c r="X311" s="117"/>
      <c r="Y311" s="123"/>
      <c r="Z311" s="123"/>
      <c r="AA311" s="123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25">
        <v>45276</v>
      </c>
      <c r="AQ311" s="15" t="s">
        <v>162</v>
      </c>
      <c r="AT311" s="114"/>
    </row>
    <row r="312" spans="6:46" ht="19.5" x14ac:dyDescent="0.4">
      <c r="J312" s="115"/>
      <c r="K312" s="115"/>
      <c r="L312" s="115"/>
      <c r="M312" s="115"/>
      <c r="N312" s="115"/>
      <c r="O312" s="115"/>
      <c r="P312" s="115"/>
      <c r="Q312" s="115"/>
      <c r="R312" s="17"/>
      <c r="S312" s="15"/>
      <c r="W312" s="115"/>
      <c r="X312" s="117"/>
      <c r="Y312" s="123"/>
      <c r="Z312" s="123"/>
      <c r="AA312" s="123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15"/>
      <c r="AP312" s="25"/>
      <c r="AQ312" s="15"/>
      <c r="AT312" s="114"/>
    </row>
    <row r="313" spans="6:46" ht="19.5" x14ac:dyDescent="0.4">
      <c r="R313" s="26"/>
      <c r="S313" s="15"/>
      <c r="W313" s="115"/>
      <c r="X313" s="117"/>
      <c r="Y313" s="123"/>
      <c r="Z313" s="123"/>
      <c r="AA313" s="123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15"/>
      <c r="AP313" s="25">
        <v>45276</v>
      </c>
      <c r="AQ313" s="15" t="s">
        <v>162</v>
      </c>
      <c r="AT313" s="114"/>
    </row>
    <row r="314" spans="6:46" ht="19.5" x14ac:dyDescent="0.4">
      <c r="J314" s="115"/>
      <c r="K314" s="115"/>
      <c r="L314" s="115"/>
      <c r="M314" s="115"/>
      <c r="N314" s="115"/>
      <c r="O314" s="115"/>
      <c r="P314" s="115"/>
      <c r="Q314" s="115"/>
      <c r="R314" s="17"/>
      <c r="S314" s="15"/>
      <c r="W314" s="115"/>
      <c r="X314" s="117"/>
      <c r="Y314" s="123"/>
      <c r="Z314" s="123"/>
      <c r="AA314" s="123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15"/>
      <c r="AP314" s="25"/>
      <c r="AQ314" s="15"/>
      <c r="AT314" s="114"/>
    </row>
    <row r="315" spans="6:46" ht="19.5" x14ac:dyDescent="0.4">
      <c r="I315" s="115"/>
      <c r="J315" s="115"/>
      <c r="K315" s="115"/>
      <c r="L315" s="115"/>
      <c r="M315" s="115"/>
      <c r="N315" s="115"/>
      <c r="O315" s="115"/>
      <c r="P315" s="115"/>
      <c r="Q315" s="115"/>
      <c r="R315" s="26"/>
      <c r="S315" s="15"/>
      <c r="W315" s="115"/>
      <c r="X315" s="117"/>
      <c r="Y315" s="123"/>
      <c r="Z315" s="123"/>
      <c r="AA315" s="123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25"/>
      <c r="AQ315" s="15"/>
      <c r="AT315" s="114"/>
    </row>
    <row r="316" spans="6:46" ht="19.5" x14ac:dyDescent="0.4">
      <c r="I316" s="115"/>
      <c r="J316" s="115"/>
      <c r="K316" s="115"/>
      <c r="L316" s="115"/>
      <c r="M316" s="115"/>
      <c r="N316" s="115"/>
      <c r="O316" s="115"/>
      <c r="P316" s="115"/>
      <c r="Q316" s="115"/>
      <c r="R316" s="17"/>
      <c r="S316" s="15"/>
      <c r="W316" s="115"/>
      <c r="X316" s="117"/>
      <c r="Y316" s="123"/>
      <c r="Z316" s="123"/>
      <c r="AA316" s="123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25"/>
      <c r="AQ316" s="15"/>
      <c r="AT316" s="114"/>
    </row>
    <row r="317" spans="6:46" ht="19.5" x14ac:dyDescent="0.4">
      <c r="R317" s="26"/>
      <c r="S317" s="15"/>
      <c r="W317" s="115"/>
      <c r="X317" s="117"/>
      <c r="Y317" s="123"/>
      <c r="Z317" s="123"/>
      <c r="AA317" s="123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25">
        <v>45276</v>
      </c>
      <c r="AQ317" s="15" t="s">
        <v>162</v>
      </c>
      <c r="AT317" s="114"/>
    </row>
    <row r="318" spans="6:46" ht="19.5" x14ac:dyDescent="0.4">
      <c r="R318" s="26"/>
      <c r="S318" s="15"/>
      <c r="W318" s="115"/>
      <c r="X318" s="117"/>
      <c r="Y318" s="123"/>
      <c r="Z318" s="123"/>
      <c r="AA318" s="123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15"/>
      <c r="AP318" s="25">
        <v>45276</v>
      </c>
      <c r="AQ318" s="15" t="s">
        <v>162</v>
      </c>
      <c r="AT318" s="114"/>
    </row>
    <row r="319" spans="6:46" ht="19.5" x14ac:dyDescent="0.4">
      <c r="R319" s="26"/>
      <c r="S319" s="15"/>
      <c r="W319" s="115"/>
      <c r="X319" s="117"/>
      <c r="Y319" s="123"/>
      <c r="Z319" s="123"/>
      <c r="AA319" s="123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25">
        <v>45276</v>
      </c>
      <c r="AQ319" s="15" t="s">
        <v>162</v>
      </c>
      <c r="AT319" s="114"/>
    </row>
    <row r="320" spans="6:46" ht="19.5" x14ac:dyDescent="0.4">
      <c r="R320" s="26"/>
      <c r="S320" s="15"/>
      <c r="W320" s="115"/>
      <c r="X320" s="117"/>
      <c r="Y320" s="123"/>
      <c r="Z320" s="123"/>
      <c r="AA320" s="123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25"/>
      <c r="AQ320" s="15"/>
      <c r="AT320" s="114"/>
    </row>
    <row r="321" spans="7:46" ht="19.5" x14ac:dyDescent="0.4">
      <c r="J321" s="115"/>
      <c r="K321" s="115"/>
      <c r="L321" s="115"/>
      <c r="M321" s="115"/>
      <c r="N321" s="115"/>
      <c r="O321" s="115"/>
      <c r="P321" s="115"/>
      <c r="Q321" s="115"/>
      <c r="R321" s="17"/>
      <c r="S321" s="15"/>
      <c r="W321" s="115"/>
      <c r="X321" s="117"/>
      <c r="Y321" s="123"/>
      <c r="Z321" s="123"/>
      <c r="AA321" s="123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25"/>
      <c r="AQ321" s="15"/>
      <c r="AT321" s="114"/>
    </row>
    <row r="322" spans="7:46" ht="19.5" x14ac:dyDescent="0.4">
      <c r="R322" s="26"/>
      <c r="S322" s="15"/>
      <c r="W322" s="115"/>
      <c r="X322" s="117"/>
      <c r="Y322" s="123"/>
      <c r="Z322" s="123"/>
      <c r="AA322" s="123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25">
        <v>45276</v>
      </c>
      <c r="AQ322" s="15" t="s">
        <v>162</v>
      </c>
      <c r="AT322" s="114"/>
    </row>
    <row r="323" spans="7:46" ht="19.5" x14ac:dyDescent="0.4">
      <c r="R323" s="26"/>
      <c r="S323" s="15"/>
      <c r="W323" s="115"/>
      <c r="X323" s="117"/>
      <c r="Y323" s="123"/>
      <c r="Z323" s="123"/>
      <c r="AA323" s="123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25">
        <v>45276</v>
      </c>
      <c r="AQ323" s="15" t="s">
        <v>162</v>
      </c>
      <c r="AT323" s="114"/>
    </row>
    <row r="324" spans="7:46" ht="19.5" x14ac:dyDescent="0.4">
      <c r="J324" s="115"/>
      <c r="K324" s="115"/>
      <c r="L324" s="115"/>
      <c r="M324" s="115"/>
      <c r="N324" s="115"/>
      <c r="O324" s="115"/>
      <c r="P324" s="115"/>
      <c r="Q324" s="115"/>
      <c r="R324" s="17"/>
      <c r="S324" s="15"/>
      <c r="W324" s="115"/>
      <c r="X324" s="117"/>
      <c r="Y324" s="123"/>
      <c r="Z324" s="123"/>
      <c r="AA324" s="123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25"/>
      <c r="AQ324" s="15"/>
      <c r="AT324" s="114"/>
    </row>
    <row r="325" spans="7:46" ht="19.5" x14ac:dyDescent="0.4"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26"/>
      <c r="S325" s="15"/>
      <c r="W325" s="115"/>
      <c r="X325" s="117"/>
      <c r="Y325" s="123"/>
      <c r="Z325" s="123"/>
      <c r="AA325" s="123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25"/>
      <c r="AQ325" s="15"/>
      <c r="AT325" s="114"/>
    </row>
    <row r="326" spans="7:46" ht="19.5" x14ac:dyDescent="0.4"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7"/>
      <c r="S326" s="15"/>
      <c r="W326" s="115"/>
      <c r="X326" s="117"/>
      <c r="Y326" s="123"/>
      <c r="Z326" s="123"/>
      <c r="AA326" s="123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25"/>
      <c r="AQ326" s="15"/>
      <c r="AT326" s="114"/>
    </row>
    <row r="327" spans="7:46" ht="19.5" x14ac:dyDescent="0.4"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26"/>
      <c r="S327" s="15"/>
      <c r="W327" s="115"/>
      <c r="X327" s="117"/>
      <c r="Y327" s="123"/>
      <c r="Z327" s="123"/>
      <c r="AA327" s="123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25"/>
      <c r="AQ327" s="15"/>
      <c r="AT327" s="114"/>
    </row>
    <row r="328" spans="7:46" ht="19.5" x14ac:dyDescent="0.4">
      <c r="R328" s="26"/>
      <c r="S328" s="15"/>
      <c r="W328" s="115"/>
      <c r="X328" s="117"/>
      <c r="Y328" s="123"/>
      <c r="Z328" s="123"/>
      <c r="AA328" s="123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 t="s">
        <v>169</v>
      </c>
      <c r="AP328" s="13">
        <f>SUBTOTAL(3,AP291:AP323)</f>
        <v>17</v>
      </c>
      <c r="AQ328" s="15">
        <f>SUBTOTAL(3,AQ291:AQ323)</f>
        <v>17</v>
      </c>
      <c r="AT328" s="114"/>
    </row>
    <row r="329" spans="7:46" ht="19.5" x14ac:dyDescent="0.4"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26"/>
      <c r="S329" s="15"/>
      <c r="W329" s="115"/>
      <c r="X329" s="117"/>
      <c r="Y329" s="123"/>
      <c r="Z329" s="123"/>
      <c r="AA329" s="123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3"/>
      <c r="AQ329" s="15"/>
      <c r="AT329" s="114"/>
    </row>
    <row r="330" spans="7:46" ht="19.5" x14ac:dyDescent="0.4">
      <c r="R330" s="26"/>
      <c r="S330" s="15"/>
      <c r="W330" s="115"/>
      <c r="X330" s="117"/>
      <c r="Y330" s="123"/>
      <c r="Z330" s="123"/>
      <c r="AA330" s="123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25">
        <v>45277</v>
      </c>
      <c r="AQ330" s="15" t="s">
        <v>162</v>
      </c>
      <c r="AT330" s="114"/>
    </row>
    <row r="331" spans="7:46" ht="19.5" x14ac:dyDescent="0.4">
      <c r="J331" s="115"/>
      <c r="K331" s="115"/>
      <c r="L331" s="115"/>
      <c r="M331" s="115"/>
      <c r="N331" s="115"/>
      <c r="O331" s="115"/>
      <c r="P331" s="115"/>
      <c r="Q331" s="115"/>
      <c r="R331" s="17"/>
      <c r="S331" s="15"/>
      <c r="W331" s="115"/>
      <c r="X331" s="117"/>
      <c r="Y331" s="123"/>
      <c r="Z331" s="123"/>
      <c r="AA331" s="123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25"/>
      <c r="AQ331" s="15"/>
      <c r="AT331" s="114"/>
    </row>
    <row r="332" spans="7:46" ht="19.5" x14ac:dyDescent="0.4"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26"/>
      <c r="S332" s="15"/>
      <c r="W332" s="115"/>
      <c r="X332" s="117"/>
      <c r="Y332" s="123"/>
      <c r="Z332" s="123"/>
      <c r="AA332" s="123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25"/>
      <c r="AQ332" s="15"/>
      <c r="AT332" s="114"/>
    </row>
    <row r="333" spans="7:46" ht="19.5" x14ac:dyDescent="0.4"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7"/>
      <c r="S333" s="15"/>
      <c r="W333" s="115"/>
      <c r="X333" s="117"/>
      <c r="Y333" s="123"/>
      <c r="Z333" s="123"/>
      <c r="AA333" s="123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25"/>
      <c r="AQ333" s="15"/>
      <c r="AT333" s="114"/>
    </row>
    <row r="334" spans="7:46" ht="19.5" x14ac:dyDescent="0.4"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7"/>
      <c r="S334" s="15"/>
      <c r="W334" s="115"/>
      <c r="X334" s="117"/>
      <c r="Y334" s="123"/>
      <c r="Z334" s="123"/>
      <c r="AA334" s="123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25"/>
      <c r="AQ334" s="15"/>
      <c r="AT334" s="114"/>
    </row>
    <row r="335" spans="7:46" ht="19.5" x14ac:dyDescent="0.4">
      <c r="R335" s="26"/>
      <c r="S335" s="15"/>
      <c r="W335" s="115"/>
      <c r="X335" s="117"/>
      <c r="Y335" s="123"/>
      <c r="Z335" s="123"/>
      <c r="AA335" s="123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25">
        <v>45277</v>
      </c>
      <c r="AQ335" s="15" t="s">
        <v>162</v>
      </c>
      <c r="AT335" s="114"/>
    </row>
    <row r="336" spans="7:46" ht="19.5" x14ac:dyDescent="0.4">
      <c r="I336" s="115"/>
      <c r="J336" s="115"/>
      <c r="K336" s="115"/>
      <c r="L336" s="115"/>
      <c r="M336" s="115"/>
      <c r="N336" s="115"/>
      <c r="O336" s="115"/>
      <c r="P336" s="115"/>
      <c r="Q336" s="115"/>
      <c r="R336" s="17"/>
      <c r="S336" s="15"/>
      <c r="W336" s="115"/>
      <c r="X336" s="117"/>
      <c r="Y336" s="123"/>
      <c r="Z336" s="123"/>
      <c r="AA336" s="123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15"/>
      <c r="AO336" s="115"/>
      <c r="AP336" s="131"/>
      <c r="AQ336" s="13"/>
      <c r="AT336" s="114"/>
    </row>
    <row r="337" spans="6:46" ht="19.5" x14ac:dyDescent="0.4">
      <c r="R337" s="26"/>
      <c r="S337" s="15"/>
      <c r="W337" s="115"/>
      <c r="X337" s="117"/>
      <c r="Y337" s="123"/>
      <c r="Z337" s="123"/>
      <c r="AA337" s="123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26">
        <v>45277</v>
      </c>
      <c r="AQ337" s="13" t="s">
        <v>162</v>
      </c>
      <c r="AT337" s="114"/>
    </row>
    <row r="338" spans="6:46" ht="19.5" x14ac:dyDescent="0.4">
      <c r="R338" s="26"/>
      <c r="S338" s="15"/>
      <c r="W338" s="115"/>
      <c r="X338" s="117"/>
      <c r="Y338" s="123"/>
      <c r="Z338" s="123"/>
      <c r="AA338" s="123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26">
        <v>45277</v>
      </c>
      <c r="AQ338" s="15" t="s">
        <v>162</v>
      </c>
      <c r="AT338" s="114"/>
    </row>
    <row r="339" spans="6:46" ht="19.5" x14ac:dyDescent="0.4"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26"/>
      <c r="S339" s="15"/>
      <c r="W339" s="115"/>
      <c r="X339" s="117"/>
      <c r="Y339" s="123"/>
      <c r="Z339" s="123"/>
      <c r="AA339" s="123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26"/>
      <c r="AQ339" s="15"/>
      <c r="AT339" s="114"/>
    </row>
    <row r="340" spans="6:46" ht="19.5" x14ac:dyDescent="0.4">
      <c r="R340" s="26"/>
      <c r="S340" s="15"/>
      <c r="W340" s="115"/>
      <c r="X340" s="117"/>
      <c r="Y340" s="123"/>
      <c r="Z340" s="123"/>
      <c r="AA340" s="123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26">
        <v>45277</v>
      </c>
      <c r="AQ340" s="15" t="s">
        <v>162</v>
      </c>
      <c r="AT340" s="114"/>
    </row>
    <row r="341" spans="6:46" ht="19.5" x14ac:dyDescent="0.4">
      <c r="R341" s="26"/>
      <c r="S341" s="15"/>
      <c r="W341" s="115"/>
      <c r="X341" s="117"/>
      <c r="Y341" s="123"/>
      <c r="Z341" s="123"/>
      <c r="AA341" s="123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 t="s">
        <v>160</v>
      </c>
      <c r="AP341" s="17">
        <f>SUBTOTAL(3,AP330:AP340)</f>
        <v>5</v>
      </c>
      <c r="AQ341" s="15">
        <f>SUBTOTAL(3,AQ330:AQ340)</f>
        <v>5</v>
      </c>
      <c r="AT341" s="114"/>
    </row>
    <row r="342" spans="6:46" ht="19.5" x14ac:dyDescent="0.4"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26"/>
      <c r="S342" s="15"/>
      <c r="W342" s="115"/>
      <c r="X342" s="117"/>
      <c r="Y342" s="123"/>
      <c r="Z342" s="123"/>
      <c r="AA342" s="123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7"/>
      <c r="AQ342" s="15"/>
      <c r="AT342" s="114"/>
    </row>
    <row r="343" spans="6:46" ht="19.5" x14ac:dyDescent="0.4"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26"/>
      <c r="S343" s="15"/>
      <c r="W343" s="115"/>
      <c r="X343" s="117"/>
      <c r="Y343" s="123"/>
      <c r="Z343" s="123"/>
      <c r="AA343" s="123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7"/>
      <c r="AQ343" s="15"/>
      <c r="AT343" s="114"/>
    </row>
    <row r="344" spans="6:46" ht="19.5" x14ac:dyDescent="0.4">
      <c r="R344" s="26"/>
      <c r="S344" s="15"/>
      <c r="W344" s="115"/>
      <c r="X344" s="117"/>
      <c r="Y344" s="123"/>
      <c r="Z344" s="123"/>
      <c r="AA344" s="123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26">
        <v>45278</v>
      </c>
      <c r="AQ344" s="15" t="s">
        <v>164</v>
      </c>
      <c r="AT344" s="114"/>
    </row>
    <row r="345" spans="6:46" ht="19.5" x14ac:dyDescent="0.4">
      <c r="R345" s="26"/>
      <c r="S345" s="15"/>
      <c r="W345" s="115"/>
      <c r="X345" s="117"/>
      <c r="Y345" s="123"/>
      <c r="Z345" s="123"/>
      <c r="AA345" s="123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26">
        <v>45278</v>
      </c>
      <c r="AQ345" s="15" t="s">
        <v>164</v>
      </c>
      <c r="AT345" s="114"/>
    </row>
    <row r="346" spans="6:46" ht="19.5" x14ac:dyDescent="0.4"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26"/>
      <c r="S346" s="15"/>
      <c r="W346" s="115"/>
      <c r="X346" s="117"/>
      <c r="Y346" s="123"/>
      <c r="Z346" s="123"/>
      <c r="AA346" s="123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26"/>
      <c r="AQ346" s="15"/>
      <c r="AT346" s="114"/>
    </row>
    <row r="347" spans="6:46" ht="19.5" x14ac:dyDescent="0.4">
      <c r="R347" s="26"/>
      <c r="S347" s="15"/>
      <c r="W347" s="115"/>
      <c r="X347" s="117"/>
      <c r="Y347" s="123"/>
      <c r="Z347" s="123"/>
      <c r="AA347" s="123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26">
        <v>45278</v>
      </c>
      <c r="AQ347" s="15" t="s">
        <v>162</v>
      </c>
      <c r="AT347" s="114"/>
    </row>
    <row r="348" spans="6:46" ht="19.5" x14ac:dyDescent="0.4">
      <c r="I348" s="115"/>
      <c r="J348" s="115"/>
      <c r="K348" s="115"/>
      <c r="L348" s="115"/>
      <c r="M348" s="115"/>
      <c r="N348" s="115"/>
      <c r="O348" s="115"/>
      <c r="P348" s="115"/>
      <c r="Q348" s="115"/>
      <c r="R348" s="17"/>
      <c r="S348" s="15"/>
      <c r="W348" s="115"/>
      <c r="X348" s="117"/>
      <c r="Y348" s="123"/>
      <c r="Z348" s="123"/>
      <c r="AA348" s="123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26"/>
      <c r="AQ348" s="15"/>
      <c r="AT348" s="114"/>
    </row>
    <row r="349" spans="6:46" ht="19.5" x14ac:dyDescent="0.4"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26"/>
      <c r="S349" s="15"/>
      <c r="W349" s="115"/>
      <c r="X349" s="117"/>
      <c r="Y349" s="123"/>
      <c r="Z349" s="123"/>
      <c r="AA349" s="123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26"/>
      <c r="AQ349" s="15"/>
      <c r="AT349" s="114"/>
    </row>
    <row r="350" spans="6:46" ht="19.5" x14ac:dyDescent="0.4"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7"/>
      <c r="S350" s="15"/>
      <c r="W350" s="115"/>
      <c r="X350" s="117"/>
      <c r="Y350" s="123"/>
      <c r="Z350" s="123"/>
      <c r="AA350" s="123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26"/>
      <c r="AQ350" s="15"/>
      <c r="AT350" s="114"/>
    </row>
    <row r="351" spans="6:46" ht="19.5" x14ac:dyDescent="0.4">
      <c r="R351" s="26"/>
      <c r="S351" s="15"/>
      <c r="W351" s="115"/>
      <c r="X351" s="117"/>
      <c r="Y351" s="123"/>
      <c r="Z351" s="123"/>
      <c r="AA351" s="123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26">
        <v>45278</v>
      </c>
      <c r="AQ351" s="15" t="s">
        <v>142</v>
      </c>
      <c r="AT351" s="114"/>
    </row>
    <row r="352" spans="6:46" ht="19.5" x14ac:dyDescent="0.4">
      <c r="R352" s="26"/>
      <c r="S352" s="15"/>
      <c r="W352" s="115"/>
      <c r="X352" s="117"/>
      <c r="Y352" s="123"/>
      <c r="Z352" s="123"/>
      <c r="AA352" s="123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26">
        <v>45278</v>
      </c>
      <c r="AQ352" s="15" t="s">
        <v>162</v>
      </c>
      <c r="AT352" s="114"/>
    </row>
    <row r="353" spans="6:46" ht="19.5" x14ac:dyDescent="0.4">
      <c r="R353" s="26"/>
      <c r="S353" s="15"/>
      <c r="W353" s="115"/>
      <c r="X353" s="117"/>
      <c r="Y353" s="123"/>
      <c r="Z353" s="123"/>
      <c r="AA353" s="123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26">
        <v>45278</v>
      </c>
      <c r="AQ353" s="15" t="s">
        <v>162</v>
      </c>
      <c r="AT353" s="114"/>
    </row>
    <row r="354" spans="6:46" ht="19.5" x14ac:dyDescent="0.4">
      <c r="I354" s="115"/>
      <c r="J354" s="115"/>
      <c r="K354" s="115"/>
      <c r="L354" s="115"/>
      <c r="M354" s="115"/>
      <c r="N354" s="115"/>
      <c r="O354" s="115"/>
      <c r="P354" s="115"/>
      <c r="Q354" s="115"/>
      <c r="R354" s="17"/>
      <c r="S354" s="15"/>
      <c r="W354" s="115"/>
      <c r="X354" s="117"/>
      <c r="Y354" s="123"/>
      <c r="Z354" s="123"/>
      <c r="AA354" s="123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26"/>
      <c r="AQ354" s="15"/>
      <c r="AT354" s="114"/>
    </row>
    <row r="355" spans="6:46" ht="19.5" x14ac:dyDescent="0.4"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26"/>
      <c r="S355" s="15"/>
      <c r="W355" s="115"/>
      <c r="X355" s="117"/>
      <c r="Y355" s="123"/>
      <c r="Z355" s="123"/>
      <c r="AA355" s="123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26"/>
      <c r="AQ355" s="15"/>
      <c r="AT355" s="114"/>
    </row>
    <row r="356" spans="6:46" ht="19.5" x14ac:dyDescent="0.4"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26"/>
      <c r="S356" s="15"/>
      <c r="W356" s="115"/>
      <c r="X356" s="117"/>
      <c r="Y356" s="123"/>
      <c r="Z356" s="123"/>
      <c r="AA356" s="123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26"/>
      <c r="AQ356" s="15"/>
      <c r="AT356" s="114"/>
    </row>
    <row r="357" spans="6:46" ht="19.5" x14ac:dyDescent="0.4"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7"/>
      <c r="S357" s="15"/>
      <c r="W357" s="115"/>
      <c r="X357" s="117"/>
      <c r="Y357" s="123"/>
      <c r="Z357" s="123"/>
      <c r="AA357" s="123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26"/>
      <c r="AQ357" s="15"/>
      <c r="AT357" s="114"/>
    </row>
    <row r="358" spans="6:46" ht="19.5" x14ac:dyDescent="0.4"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26"/>
      <c r="S358" s="15"/>
      <c r="W358" s="115"/>
      <c r="X358" s="117"/>
      <c r="Y358" s="123"/>
      <c r="Z358" s="123"/>
      <c r="AA358" s="123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26"/>
      <c r="AQ358" s="15"/>
      <c r="AT358" s="114"/>
    </row>
    <row r="359" spans="6:46" ht="19.5" x14ac:dyDescent="0.4">
      <c r="R359" s="26"/>
      <c r="S359" s="15"/>
      <c r="W359" s="115"/>
      <c r="X359" s="117"/>
      <c r="Y359" s="123"/>
      <c r="Z359" s="123"/>
      <c r="AA359" s="123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26">
        <v>45278</v>
      </c>
      <c r="AQ359" s="15" t="s">
        <v>162</v>
      </c>
      <c r="AT359" s="114"/>
    </row>
    <row r="360" spans="6:46" ht="19.5" x14ac:dyDescent="0.4"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26"/>
      <c r="S360" s="15"/>
      <c r="W360" s="115"/>
      <c r="X360" s="117"/>
      <c r="Y360" s="123"/>
      <c r="Z360" s="123"/>
      <c r="AA360" s="123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26"/>
      <c r="AQ360" s="15"/>
      <c r="AT360" s="114"/>
    </row>
    <row r="361" spans="6:46" ht="19.5" x14ac:dyDescent="0.4">
      <c r="R361" s="26"/>
      <c r="S361" s="15"/>
      <c r="W361" s="115"/>
      <c r="X361" s="117"/>
      <c r="Y361" s="123"/>
      <c r="Z361" s="123"/>
      <c r="AA361" s="123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26">
        <v>45278</v>
      </c>
      <c r="AQ361" s="15" t="s">
        <v>163</v>
      </c>
      <c r="AT361" s="114"/>
    </row>
    <row r="362" spans="6:46" ht="19.5" x14ac:dyDescent="0.4">
      <c r="R362" s="26"/>
      <c r="S362" s="15"/>
      <c r="W362" s="115"/>
      <c r="X362" s="117"/>
      <c r="Y362" s="123"/>
      <c r="Z362" s="123"/>
      <c r="AA362" s="123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26">
        <v>45278</v>
      </c>
      <c r="AQ362" s="105" t="s">
        <v>163</v>
      </c>
      <c r="AT362" s="114"/>
    </row>
    <row r="363" spans="6:46" ht="19.5" x14ac:dyDescent="0.4">
      <c r="R363" s="25"/>
      <c r="S363" s="13"/>
      <c r="W363" s="115"/>
      <c r="X363" s="117"/>
      <c r="Y363" s="123"/>
      <c r="Z363" s="123"/>
      <c r="AA363" s="123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26">
        <v>45278</v>
      </c>
      <c r="AQ363" s="15" t="s">
        <v>163</v>
      </c>
      <c r="AT363" s="114"/>
    </row>
    <row r="364" spans="6:46" ht="19.5" x14ac:dyDescent="0.4"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25"/>
      <c r="S364" s="13"/>
      <c r="W364" s="115"/>
      <c r="X364" s="117"/>
      <c r="Y364" s="123"/>
      <c r="Z364" s="123"/>
      <c r="AA364" s="123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26"/>
      <c r="AQ364" s="15"/>
      <c r="AT364" s="114"/>
    </row>
    <row r="365" spans="6:46" ht="19.5" x14ac:dyDescent="0.4"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25"/>
      <c r="S365" s="13"/>
      <c r="W365" s="115"/>
      <c r="X365" s="117"/>
      <c r="Y365" s="123"/>
      <c r="Z365" s="123"/>
      <c r="AA365" s="123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26"/>
      <c r="AQ365" s="15"/>
      <c r="AT365" s="114"/>
    </row>
    <row r="366" spans="6:46" ht="19.5" x14ac:dyDescent="0.4"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25"/>
      <c r="S366" s="13"/>
      <c r="W366" s="115"/>
      <c r="X366" s="117"/>
      <c r="Y366" s="123"/>
      <c r="Z366" s="123"/>
      <c r="AA366" s="123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26"/>
      <c r="AQ366" s="15"/>
      <c r="AT366" s="114"/>
    </row>
    <row r="367" spans="6:46" ht="19.5" x14ac:dyDescent="0.4"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25"/>
      <c r="S367" s="13"/>
      <c r="W367" s="115"/>
      <c r="X367" s="117"/>
      <c r="Y367" s="123"/>
      <c r="Z367" s="123"/>
      <c r="AA367" s="123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26"/>
      <c r="AQ367" s="15"/>
      <c r="AT367" s="114"/>
    </row>
    <row r="368" spans="6:46" ht="19.5" x14ac:dyDescent="0.4"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25"/>
      <c r="S368" s="13"/>
      <c r="W368" s="115"/>
      <c r="X368" s="117"/>
      <c r="Y368" s="123"/>
      <c r="Z368" s="123"/>
      <c r="AA368" s="123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26"/>
      <c r="AQ368" s="15"/>
      <c r="AT368" s="114"/>
    </row>
    <row r="369" spans="6:46" ht="19.5" x14ac:dyDescent="0.4"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25"/>
      <c r="S369" s="13"/>
      <c r="W369" s="115"/>
      <c r="X369" s="117"/>
      <c r="Y369" s="123"/>
      <c r="Z369" s="123"/>
      <c r="AA369" s="123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26"/>
      <c r="AQ369" s="15"/>
      <c r="AT369" s="114"/>
    </row>
    <row r="370" spans="6:46" ht="19.5" x14ac:dyDescent="0.4">
      <c r="R370" s="25"/>
      <c r="S370" s="13"/>
      <c r="W370" s="115"/>
      <c r="X370" s="117"/>
      <c r="Y370" s="123"/>
      <c r="Z370" s="123"/>
      <c r="AA370" s="123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26">
        <v>45278</v>
      </c>
      <c r="AQ370" s="15" t="s">
        <v>163</v>
      </c>
      <c r="AT370" s="114"/>
    </row>
    <row r="371" spans="6:46" ht="19.5" x14ac:dyDescent="0.4">
      <c r="R371" s="25"/>
      <c r="S371" s="13"/>
      <c r="W371" s="115"/>
      <c r="X371" s="117"/>
      <c r="Y371" s="123"/>
      <c r="Z371" s="123"/>
      <c r="AA371" s="123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26"/>
      <c r="AQ371" s="15"/>
      <c r="AT371" s="114"/>
    </row>
    <row r="372" spans="6:46" ht="19.5" x14ac:dyDescent="0.4">
      <c r="I372" s="115"/>
      <c r="J372" s="115"/>
      <c r="K372" s="115"/>
      <c r="L372" s="115"/>
      <c r="M372" s="115"/>
      <c r="N372" s="115"/>
      <c r="O372" s="115"/>
      <c r="P372" s="115"/>
      <c r="Q372" s="115"/>
      <c r="R372" s="13"/>
      <c r="S372" s="13"/>
      <c r="W372" s="115"/>
      <c r="X372" s="117"/>
      <c r="Y372" s="123"/>
      <c r="Z372" s="123"/>
      <c r="AA372" s="123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26"/>
      <c r="AQ372" s="15"/>
      <c r="AT372" s="114"/>
    </row>
    <row r="373" spans="6:46" ht="19.5" x14ac:dyDescent="0.4">
      <c r="R373" s="25"/>
      <c r="S373" s="13"/>
      <c r="W373" s="115"/>
      <c r="X373" s="117"/>
      <c r="Y373" s="123"/>
      <c r="Z373" s="123"/>
      <c r="AA373" s="123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26">
        <v>45278</v>
      </c>
      <c r="AQ373" s="15" t="s">
        <v>163</v>
      </c>
      <c r="AT373" s="114"/>
    </row>
    <row r="374" spans="6:46" ht="19.5" x14ac:dyDescent="0.4">
      <c r="I374" s="115"/>
      <c r="J374" s="115"/>
      <c r="K374" s="115"/>
      <c r="L374" s="115"/>
      <c r="M374" s="115"/>
      <c r="N374" s="115"/>
      <c r="O374" s="115"/>
      <c r="P374" s="115"/>
      <c r="Q374" s="115"/>
      <c r="R374" s="13"/>
      <c r="S374" s="13"/>
      <c r="W374" s="115"/>
      <c r="X374" s="117"/>
      <c r="Y374" s="123"/>
      <c r="Z374" s="123"/>
      <c r="AA374" s="123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26"/>
      <c r="AQ374" s="13"/>
      <c r="AT374" s="114"/>
    </row>
    <row r="375" spans="6:46" ht="19.5" x14ac:dyDescent="0.4">
      <c r="R375" s="25"/>
      <c r="S375" s="13"/>
      <c r="W375" s="115"/>
      <c r="X375" s="117"/>
      <c r="Y375" s="123"/>
      <c r="Z375" s="123"/>
      <c r="AA375" s="123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 t="s">
        <v>153</v>
      </c>
      <c r="AP375" s="17">
        <f>SUBTOTAL(3,AP344:AP373)</f>
        <v>12</v>
      </c>
      <c r="AQ375" s="13">
        <f>SUBTOTAL(3,AQ344:AQ373)</f>
        <v>12</v>
      </c>
      <c r="AT375" s="114"/>
    </row>
    <row r="376" spans="6:46" ht="19.5" x14ac:dyDescent="0.4">
      <c r="I376" s="115"/>
      <c r="J376" s="115"/>
      <c r="K376" s="115"/>
      <c r="L376" s="115"/>
      <c r="M376" s="115"/>
      <c r="N376" s="115"/>
      <c r="O376" s="115"/>
      <c r="P376" s="115"/>
      <c r="Q376" s="115"/>
      <c r="R376" s="13"/>
      <c r="S376" s="13"/>
      <c r="W376" s="115"/>
      <c r="X376" s="117"/>
      <c r="Y376" s="123"/>
      <c r="Z376" s="123"/>
      <c r="AA376" s="123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7"/>
      <c r="AQ376" s="13"/>
      <c r="AT376" s="114"/>
    </row>
    <row r="377" spans="6:46" ht="19.5" x14ac:dyDescent="0.4">
      <c r="R377" s="25"/>
      <c r="S377" s="13"/>
      <c r="W377" s="115"/>
      <c r="X377" s="117"/>
      <c r="Y377" s="123"/>
      <c r="Z377" s="123"/>
      <c r="AA377" s="123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26">
        <v>45279</v>
      </c>
      <c r="AQ377" s="25" t="s">
        <v>162</v>
      </c>
      <c r="AT377" s="114"/>
    </row>
    <row r="378" spans="6:46" ht="19.5" x14ac:dyDescent="0.4">
      <c r="R378" s="25"/>
      <c r="S378" s="13"/>
      <c r="W378" s="115"/>
      <c r="X378" s="117"/>
      <c r="Y378" s="123"/>
      <c r="Z378" s="123"/>
      <c r="AA378" s="123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15"/>
      <c r="AO378" s="115"/>
      <c r="AP378" s="26">
        <v>45279</v>
      </c>
      <c r="AQ378" s="13" t="s">
        <v>162</v>
      </c>
      <c r="AT378" s="114"/>
    </row>
    <row r="379" spans="6:46" ht="19.5" x14ac:dyDescent="0.4">
      <c r="I379" s="115"/>
      <c r="J379" s="115"/>
      <c r="K379" s="115"/>
      <c r="L379" s="115"/>
      <c r="M379" s="115"/>
      <c r="N379" s="115"/>
      <c r="O379" s="115"/>
      <c r="P379" s="115"/>
      <c r="Q379" s="115"/>
      <c r="R379" s="20"/>
      <c r="S379" s="13"/>
      <c r="W379" s="115"/>
      <c r="X379" s="117"/>
      <c r="Y379" s="123"/>
      <c r="Z379" s="123"/>
      <c r="AA379" s="123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15"/>
      <c r="AO379" s="115"/>
      <c r="AP379" s="26"/>
      <c r="AQ379" s="13"/>
      <c r="AT379" s="114"/>
    </row>
    <row r="380" spans="6:46" ht="19.5" x14ac:dyDescent="0.4">
      <c r="I380" s="115"/>
      <c r="J380" s="115"/>
      <c r="K380" s="115"/>
      <c r="L380" s="115"/>
      <c r="M380" s="115"/>
      <c r="N380" s="115"/>
      <c r="O380" s="115"/>
      <c r="P380" s="115"/>
      <c r="Q380" s="115"/>
      <c r="R380" s="20"/>
      <c r="S380" s="13"/>
      <c r="W380" s="115"/>
      <c r="X380" s="117"/>
      <c r="Y380" s="123"/>
      <c r="Z380" s="123"/>
      <c r="AA380" s="123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15"/>
      <c r="AO380" s="115"/>
      <c r="AP380" s="26"/>
      <c r="AQ380" s="13"/>
      <c r="AT380" s="114"/>
    </row>
    <row r="381" spans="6:46" ht="19.5" x14ac:dyDescent="0.4">
      <c r="R381" s="26"/>
      <c r="S381" s="13"/>
      <c r="W381" s="115"/>
      <c r="X381" s="117"/>
      <c r="Y381" s="123"/>
      <c r="Z381" s="123"/>
      <c r="AA381" s="123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15"/>
      <c r="AO381" s="115"/>
      <c r="AP381" s="26">
        <v>45279</v>
      </c>
      <c r="AQ381" s="13" t="s">
        <v>162</v>
      </c>
      <c r="AT381" s="114"/>
    </row>
    <row r="382" spans="6:46" ht="19.5" x14ac:dyDescent="0.4">
      <c r="R382" s="26"/>
      <c r="S382" s="13"/>
      <c r="W382" s="115"/>
      <c r="X382" s="117"/>
      <c r="Y382" s="123"/>
      <c r="Z382" s="123"/>
      <c r="AA382" s="123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15"/>
      <c r="AO382" s="115"/>
      <c r="AP382" s="26">
        <v>45279</v>
      </c>
      <c r="AQ382" s="13" t="s">
        <v>162</v>
      </c>
      <c r="AT382" s="114"/>
    </row>
    <row r="383" spans="6:46" ht="19.5" x14ac:dyDescent="0.4">
      <c r="R383" s="129"/>
      <c r="S383" s="13"/>
      <c r="W383" s="115"/>
      <c r="X383" s="117"/>
      <c r="Y383" s="123"/>
      <c r="Z383" s="123"/>
      <c r="AA383" s="123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15"/>
      <c r="AO383" s="115"/>
      <c r="AP383" s="26"/>
      <c r="AQ383" s="13"/>
      <c r="AT383" s="114"/>
    </row>
    <row r="384" spans="6:46" ht="19.5" x14ac:dyDescent="0.4">
      <c r="R384" s="26"/>
      <c r="S384" s="13"/>
      <c r="W384" s="115"/>
      <c r="X384" s="117"/>
      <c r="Y384" s="123"/>
      <c r="Z384" s="123"/>
      <c r="AA384" s="123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26">
        <v>45279</v>
      </c>
      <c r="AQ384" s="13" t="s">
        <v>162</v>
      </c>
      <c r="AT384" s="114"/>
    </row>
    <row r="385" spans="18:46" ht="19.5" x14ac:dyDescent="0.4">
      <c r="R385" s="26"/>
      <c r="S385" s="13"/>
      <c r="W385" s="115"/>
      <c r="X385" s="117"/>
      <c r="Y385" s="123"/>
      <c r="Z385" s="123"/>
      <c r="AA385" s="123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26">
        <v>45279</v>
      </c>
      <c r="AQ385" s="13" t="s">
        <v>162</v>
      </c>
      <c r="AT385" s="114"/>
    </row>
    <row r="386" spans="18:46" ht="19.5" x14ac:dyDescent="0.4">
      <c r="R386" s="26"/>
      <c r="S386" s="13"/>
      <c r="W386" s="115"/>
      <c r="X386" s="117"/>
      <c r="Y386" s="123"/>
      <c r="Z386" s="123"/>
      <c r="AA386" s="123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 t="s">
        <v>170</v>
      </c>
      <c r="AP386" s="17">
        <f>SUBTOTAL(3,AP377:AP385)</f>
        <v>6</v>
      </c>
      <c r="AQ386" s="13">
        <f>SUBTOTAL(3,AQ377:AQ385)</f>
        <v>6</v>
      </c>
      <c r="AT386" s="114"/>
    </row>
    <row r="387" spans="18:46" ht="19.5" x14ac:dyDescent="0.4">
      <c r="R387" s="129"/>
      <c r="S387" s="13"/>
      <c r="W387" s="115"/>
      <c r="X387" s="117"/>
      <c r="Y387" s="123"/>
      <c r="Z387" s="123"/>
      <c r="AA387" s="123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7"/>
      <c r="AQ387" s="13"/>
      <c r="AT387" s="114"/>
    </row>
    <row r="388" spans="18:46" ht="19.5" x14ac:dyDescent="0.4">
      <c r="R388" s="26"/>
      <c r="S388" s="13"/>
      <c r="W388" s="115"/>
      <c r="X388" s="117"/>
      <c r="Y388" s="123"/>
      <c r="Z388" s="123"/>
      <c r="AA388" s="123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26">
        <v>45280</v>
      </c>
      <c r="AQ388" s="13" t="s">
        <v>162</v>
      </c>
      <c r="AT388" s="114"/>
    </row>
    <row r="389" spans="18:46" ht="19.5" x14ac:dyDescent="0.4">
      <c r="R389" s="26"/>
      <c r="S389" s="13"/>
      <c r="W389" s="115"/>
      <c r="X389" s="116"/>
      <c r="Y389" s="123"/>
      <c r="Z389" s="123"/>
      <c r="AA389" s="123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26">
        <v>45280</v>
      </c>
      <c r="AQ389" s="13" t="s">
        <v>162</v>
      </c>
      <c r="AT389" s="114"/>
    </row>
    <row r="390" spans="18:46" ht="19.5" x14ac:dyDescent="0.4">
      <c r="R390" s="26"/>
      <c r="S390" s="13"/>
      <c r="W390" s="115"/>
      <c r="X390" s="116"/>
      <c r="Y390" s="123"/>
      <c r="Z390" s="123"/>
      <c r="AA390" s="123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26">
        <v>45280</v>
      </c>
      <c r="AQ390" s="13" t="s">
        <v>162</v>
      </c>
      <c r="AT390" s="114"/>
    </row>
    <row r="391" spans="18:46" ht="19.5" x14ac:dyDescent="0.4">
      <c r="R391" s="26"/>
      <c r="S391" s="13"/>
      <c r="W391" s="115"/>
      <c r="X391" s="116"/>
      <c r="Y391" s="123"/>
      <c r="Z391" s="123"/>
      <c r="AA391" s="123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26">
        <v>45280</v>
      </c>
      <c r="AQ391" s="13" t="s">
        <v>162</v>
      </c>
      <c r="AT391" s="114"/>
    </row>
    <row r="392" spans="18:46" ht="19.5" x14ac:dyDescent="0.4">
      <c r="R392" s="129"/>
      <c r="S392" s="13"/>
      <c r="W392" s="115"/>
      <c r="X392" s="116"/>
      <c r="Y392" s="123"/>
      <c r="Z392" s="123"/>
      <c r="AA392" s="123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26"/>
      <c r="AQ392" s="13"/>
      <c r="AT392" s="114"/>
    </row>
    <row r="393" spans="18:46" ht="19.5" x14ac:dyDescent="0.4">
      <c r="R393" s="26"/>
      <c r="S393" s="13"/>
      <c r="W393" s="115"/>
      <c r="X393" s="116"/>
      <c r="Y393" s="123"/>
      <c r="Z393" s="123"/>
      <c r="AA393" s="123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26">
        <v>45280</v>
      </c>
      <c r="AQ393" s="13" t="s">
        <v>162</v>
      </c>
      <c r="AT393" s="114"/>
    </row>
    <row r="394" spans="18:46" ht="19.5" x14ac:dyDescent="0.4">
      <c r="R394" s="130"/>
      <c r="S394" s="119"/>
      <c r="W394" s="115"/>
      <c r="X394" s="116"/>
      <c r="Y394" s="123"/>
      <c r="Z394" s="123"/>
      <c r="AA394" s="123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26"/>
      <c r="AQ394" s="13"/>
      <c r="AT394" s="114"/>
    </row>
    <row r="395" spans="18:46" ht="19.5" x14ac:dyDescent="0.4">
      <c r="R395" s="130"/>
      <c r="S395" s="119"/>
      <c r="W395" s="115"/>
      <c r="X395" s="116"/>
      <c r="Y395" s="123"/>
      <c r="Z395" s="123"/>
      <c r="AA395" s="123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26"/>
      <c r="AQ395" s="13"/>
      <c r="AT395" s="114"/>
    </row>
    <row r="396" spans="18:46" ht="19.5" x14ac:dyDescent="0.4">
      <c r="W396" s="115"/>
      <c r="X396" s="116"/>
      <c r="Y396" s="123"/>
      <c r="Z396" s="123"/>
      <c r="AA396" s="123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26">
        <v>45280</v>
      </c>
      <c r="AQ396" s="13" t="s">
        <v>162</v>
      </c>
      <c r="AT396" s="114"/>
    </row>
    <row r="397" spans="18:46" ht="19.5" x14ac:dyDescent="0.4">
      <c r="W397" s="115"/>
      <c r="X397" s="116"/>
      <c r="Y397" s="123"/>
      <c r="Z397" s="123"/>
      <c r="AA397" s="123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26">
        <v>45280</v>
      </c>
      <c r="AQ397" s="13" t="s">
        <v>162</v>
      </c>
      <c r="AT397" s="114"/>
    </row>
    <row r="398" spans="18:46" ht="19.5" x14ac:dyDescent="0.4">
      <c r="W398" s="115"/>
      <c r="X398" s="116"/>
      <c r="Y398" s="123"/>
      <c r="Z398" s="123"/>
      <c r="AA398" s="123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26">
        <v>45280</v>
      </c>
      <c r="AQ398" s="13" t="s">
        <v>162</v>
      </c>
      <c r="AT398" s="114"/>
    </row>
    <row r="399" spans="18:46" ht="19.5" x14ac:dyDescent="0.4">
      <c r="V399" s="115"/>
      <c r="W399" s="115"/>
      <c r="X399" s="116"/>
      <c r="Y399" s="123"/>
      <c r="Z399" s="123"/>
      <c r="AA399" s="123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26">
        <v>45280</v>
      </c>
      <c r="AQ399" s="13" t="s">
        <v>162</v>
      </c>
      <c r="AT399" s="114"/>
    </row>
    <row r="400" spans="18:46" ht="19.5" x14ac:dyDescent="0.4">
      <c r="V400" s="115"/>
      <c r="W400" s="115"/>
      <c r="X400" s="116"/>
      <c r="Y400" s="123"/>
      <c r="Z400" s="123"/>
      <c r="AA400" s="123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26">
        <v>45280</v>
      </c>
      <c r="AQ400" s="13" t="s">
        <v>162</v>
      </c>
      <c r="AT400" s="114"/>
    </row>
    <row r="401" spans="20:46" ht="19.5" x14ac:dyDescent="0.4">
      <c r="T401" s="115"/>
      <c r="U401" s="115"/>
      <c r="V401" s="115"/>
      <c r="W401" s="115"/>
      <c r="X401" s="116"/>
      <c r="Y401" s="123"/>
      <c r="Z401" s="123"/>
      <c r="AA401" s="123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26">
        <v>45280</v>
      </c>
      <c r="AQ401" s="13" t="s">
        <v>162</v>
      </c>
      <c r="AT401" s="114"/>
    </row>
    <row r="402" spans="20:46" x14ac:dyDescent="0.4">
      <c r="T402" s="115"/>
      <c r="U402" s="115"/>
      <c r="V402" s="115"/>
      <c r="W402" s="115"/>
      <c r="X402" s="115"/>
      <c r="Y402" s="122"/>
      <c r="Z402" s="122"/>
      <c r="AA402" s="122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26">
        <v>45280</v>
      </c>
      <c r="AQ402" s="13" t="s">
        <v>162</v>
      </c>
      <c r="AT402" s="114"/>
    </row>
    <row r="403" spans="20:46" x14ac:dyDescent="0.4">
      <c r="T403" s="115"/>
      <c r="U403" s="115"/>
      <c r="V403" s="115"/>
      <c r="W403" s="115"/>
      <c r="X403" s="115"/>
      <c r="Y403" s="122"/>
      <c r="Z403" s="122"/>
      <c r="AA403" s="122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26">
        <v>45280</v>
      </c>
      <c r="AQ403" s="13" t="s">
        <v>162</v>
      </c>
      <c r="AT403" s="114"/>
    </row>
    <row r="404" spans="20:46" x14ac:dyDescent="0.4">
      <c r="T404" s="115"/>
      <c r="U404" s="115"/>
      <c r="V404" s="115"/>
      <c r="W404" s="115"/>
      <c r="X404" s="115"/>
      <c r="Y404" s="122"/>
      <c r="Z404" s="122"/>
      <c r="AA404" s="122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 t="s">
        <v>171</v>
      </c>
      <c r="AP404" s="17">
        <f>SUBTOTAL(3,AP388:AP403)</f>
        <v>13</v>
      </c>
      <c r="AQ404" s="13">
        <f>SUBTOTAL(3,AQ388:AQ403)</f>
        <v>13</v>
      </c>
      <c r="AT404" s="114"/>
    </row>
    <row r="405" spans="20:46" x14ac:dyDescent="0.4">
      <c r="T405" s="115"/>
      <c r="U405" s="115"/>
      <c r="V405" s="115"/>
      <c r="W405" s="115"/>
      <c r="X405" s="115"/>
      <c r="Y405" s="122"/>
      <c r="Z405" s="122"/>
      <c r="AA405" s="122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26">
        <v>45283</v>
      </c>
      <c r="AQ405" s="13" t="s">
        <v>162</v>
      </c>
      <c r="AT405" s="114"/>
    </row>
    <row r="406" spans="20:46" x14ac:dyDescent="0.4">
      <c r="T406" s="115"/>
      <c r="U406" s="115"/>
      <c r="V406" s="115"/>
      <c r="W406" s="115"/>
      <c r="X406" s="115"/>
      <c r="Y406" s="122"/>
      <c r="Z406" s="122"/>
      <c r="AA406" s="122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26">
        <v>45283</v>
      </c>
      <c r="AQ406" s="13" t="s">
        <v>162</v>
      </c>
      <c r="AT406" s="114"/>
    </row>
    <row r="407" spans="20:46" x14ac:dyDescent="0.4">
      <c r="T407" s="115"/>
      <c r="U407" s="115"/>
      <c r="V407" s="115"/>
      <c r="W407" s="115"/>
      <c r="X407" s="115"/>
      <c r="Y407" s="122"/>
      <c r="Z407" s="122"/>
      <c r="AA407" s="122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26">
        <v>45283</v>
      </c>
      <c r="AQ407" s="13" t="s">
        <v>162</v>
      </c>
      <c r="AT407" s="114"/>
    </row>
    <row r="408" spans="20:46" x14ac:dyDescent="0.4">
      <c r="T408" s="115"/>
      <c r="U408" s="115"/>
      <c r="V408" s="115"/>
      <c r="W408" s="115"/>
      <c r="X408" s="115"/>
      <c r="Y408" s="122"/>
      <c r="Z408" s="122"/>
      <c r="AA408" s="122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26">
        <v>45283</v>
      </c>
      <c r="AQ408" s="13" t="s">
        <v>162</v>
      </c>
      <c r="AT408" s="114"/>
    </row>
    <row r="409" spans="20:46" x14ac:dyDescent="0.4">
      <c r="T409" s="115"/>
      <c r="U409" s="115"/>
      <c r="V409" s="115"/>
      <c r="W409" s="115"/>
      <c r="X409" s="115"/>
      <c r="Y409" s="122"/>
      <c r="Z409" s="122"/>
      <c r="AA409" s="122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26">
        <v>45283</v>
      </c>
      <c r="AQ409" s="13" t="s">
        <v>162</v>
      </c>
      <c r="AT409" s="114"/>
    </row>
    <row r="410" spans="20:46" x14ac:dyDescent="0.4">
      <c r="T410" s="115"/>
      <c r="U410" s="115"/>
      <c r="V410" s="115"/>
      <c r="W410" s="115"/>
      <c r="X410" s="115"/>
      <c r="Y410" s="122"/>
      <c r="Z410" s="122"/>
      <c r="AA410" s="122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26">
        <v>45283</v>
      </c>
      <c r="AQ410" s="13" t="s">
        <v>162</v>
      </c>
      <c r="AT410" s="114"/>
    </row>
    <row r="411" spans="20:46" x14ac:dyDescent="0.4">
      <c r="T411" s="115"/>
      <c r="U411" s="115"/>
      <c r="V411" s="115"/>
      <c r="W411" s="115"/>
      <c r="X411" s="115"/>
      <c r="Y411" s="122"/>
      <c r="Z411" s="122"/>
      <c r="AA411" s="122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26">
        <v>45283</v>
      </c>
      <c r="AQ411" s="13" t="s">
        <v>162</v>
      </c>
      <c r="AT411" s="114"/>
    </row>
    <row r="412" spans="20:46" x14ac:dyDescent="0.4">
      <c r="T412" s="115"/>
      <c r="U412" s="115"/>
      <c r="V412" s="115"/>
      <c r="W412" s="115"/>
      <c r="X412" s="115"/>
      <c r="Y412" s="122"/>
      <c r="Z412" s="122"/>
      <c r="AA412" s="122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26">
        <v>45283</v>
      </c>
      <c r="AQ412" s="13" t="s">
        <v>162</v>
      </c>
      <c r="AT412" s="114"/>
    </row>
    <row r="413" spans="20:46" x14ac:dyDescent="0.4">
      <c r="T413" s="115"/>
      <c r="U413" s="115"/>
      <c r="V413" s="115"/>
      <c r="W413" s="115"/>
      <c r="X413" s="115"/>
      <c r="Y413" s="122"/>
      <c r="Z413" s="122"/>
      <c r="AA413" s="122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26">
        <v>45283</v>
      </c>
      <c r="AQ413" s="13" t="s">
        <v>162</v>
      </c>
      <c r="AT413" s="114"/>
    </row>
    <row r="414" spans="20:46" x14ac:dyDescent="0.4">
      <c r="T414" s="115"/>
      <c r="U414" s="115"/>
      <c r="V414" s="115"/>
      <c r="W414" s="115"/>
      <c r="X414" s="115"/>
      <c r="Y414" s="122"/>
      <c r="Z414" s="122"/>
      <c r="AA414" s="122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26">
        <v>45283</v>
      </c>
      <c r="AQ414" s="13" t="s">
        <v>162</v>
      </c>
      <c r="AT414" s="114"/>
    </row>
    <row r="415" spans="20:46" x14ac:dyDescent="0.4">
      <c r="T415" s="115"/>
      <c r="U415" s="115"/>
      <c r="V415" s="115"/>
      <c r="W415" s="115"/>
      <c r="X415" s="115"/>
      <c r="Y415" s="122"/>
      <c r="Z415" s="122"/>
      <c r="AA415" s="122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26">
        <v>45283</v>
      </c>
      <c r="AQ415" s="13" t="s">
        <v>163</v>
      </c>
      <c r="AT415" s="114"/>
    </row>
    <row r="416" spans="20:46" x14ac:dyDescent="0.4">
      <c r="T416" s="115"/>
      <c r="U416" s="115"/>
      <c r="V416" s="115"/>
      <c r="W416" s="115"/>
      <c r="X416" s="115"/>
      <c r="Y416" s="122"/>
      <c r="Z416" s="122"/>
      <c r="AA416" s="122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26">
        <v>45283</v>
      </c>
      <c r="AQ416" s="13" t="s">
        <v>163</v>
      </c>
      <c r="AT416" s="114"/>
    </row>
    <row r="417" spans="20:46" x14ac:dyDescent="0.4">
      <c r="T417" s="115"/>
      <c r="U417" s="115"/>
      <c r="V417" s="115"/>
      <c r="W417" s="115"/>
      <c r="X417" s="115"/>
      <c r="Y417" s="122"/>
      <c r="Z417" s="122"/>
      <c r="AA417" s="122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26">
        <v>45283</v>
      </c>
      <c r="AQ417" s="13" t="s">
        <v>163</v>
      </c>
      <c r="AT417" s="114"/>
    </row>
    <row r="418" spans="20:46" x14ac:dyDescent="0.4">
      <c r="T418" s="115"/>
      <c r="U418" s="115"/>
      <c r="V418" s="115"/>
      <c r="W418" s="115"/>
      <c r="X418" s="115"/>
      <c r="Y418" s="122"/>
      <c r="Z418" s="122"/>
      <c r="AA418" s="122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 t="s">
        <v>161</v>
      </c>
      <c r="AP418" s="17">
        <f>SUBTOTAL(3,AP405:AP417)</f>
        <v>13</v>
      </c>
      <c r="AQ418" s="13">
        <f>SUBTOTAL(3,AQ405:AQ417)</f>
        <v>13</v>
      </c>
      <c r="AT418" s="114"/>
    </row>
    <row r="419" spans="20:46" x14ac:dyDescent="0.4">
      <c r="T419" s="115"/>
      <c r="U419" s="115"/>
      <c r="V419" s="115"/>
      <c r="W419" s="115"/>
      <c r="X419" s="115"/>
      <c r="Y419" s="122"/>
      <c r="Z419" s="122"/>
      <c r="AA419" s="122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26">
        <v>45285</v>
      </c>
      <c r="AQ419" s="13" t="s">
        <v>163</v>
      </c>
      <c r="AT419" s="114"/>
    </row>
    <row r="420" spans="20:46" x14ac:dyDescent="0.4">
      <c r="T420" s="115"/>
      <c r="U420" s="115"/>
      <c r="V420" s="115"/>
      <c r="W420" s="115"/>
      <c r="X420" s="115"/>
      <c r="Y420" s="122"/>
      <c r="Z420" s="122"/>
      <c r="AA420" s="122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 t="s">
        <v>172</v>
      </c>
      <c r="AP420" s="17">
        <f>SUBTOTAL(3,AP419:AP419)</f>
        <v>1</v>
      </c>
      <c r="AQ420" s="13">
        <f>SUBTOTAL(3,AQ419:AQ419)</f>
        <v>1</v>
      </c>
      <c r="AT420" s="114"/>
    </row>
    <row r="421" spans="20:46" x14ac:dyDescent="0.4">
      <c r="T421" s="115"/>
      <c r="U421" s="115"/>
      <c r="V421" s="115"/>
      <c r="W421" s="115"/>
      <c r="X421" s="115"/>
      <c r="Y421" s="122"/>
      <c r="Z421" s="122"/>
      <c r="AA421" s="122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26">
        <v>45299</v>
      </c>
      <c r="AQ421" s="13" t="s">
        <v>164</v>
      </c>
      <c r="AT421" s="114"/>
    </row>
    <row r="422" spans="20:46" x14ac:dyDescent="0.4">
      <c r="T422" s="115"/>
      <c r="U422" s="115"/>
      <c r="V422" s="115"/>
      <c r="W422" s="115"/>
      <c r="X422" s="115"/>
      <c r="Y422" s="122"/>
      <c r="Z422" s="122"/>
      <c r="AA422" s="122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26">
        <v>45299</v>
      </c>
      <c r="AQ422" s="13" t="s">
        <v>162</v>
      </c>
      <c r="AT422" s="114"/>
    </row>
    <row r="423" spans="20:46" x14ac:dyDescent="0.4">
      <c r="T423" s="115"/>
      <c r="U423" s="115"/>
      <c r="V423" s="115"/>
      <c r="W423" s="115"/>
      <c r="X423" s="115"/>
      <c r="Y423" s="122"/>
      <c r="Z423" s="122"/>
      <c r="AA423" s="122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26">
        <v>45299</v>
      </c>
      <c r="AQ423" s="13" t="s">
        <v>162</v>
      </c>
      <c r="AT423" s="114"/>
    </row>
    <row r="424" spans="20:46" x14ac:dyDescent="0.4">
      <c r="T424" s="115"/>
      <c r="U424" s="115"/>
      <c r="V424" s="115"/>
      <c r="W424" s="115"/>
      <c r="X424" s="115"/>
      <c r="Y424" s="122"/>
      <c r="Z424" s="122"/>
      <c r="AA424" s="122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26">
        <v>45299</v>
      </c>
      <c r="AQ424" s="15" t="s">
        <v>162</v>
      </c>
      <c r="AT424" s="114"/>
    </row>
    <row r="425" spans="20:46" x14ac:dyDescent="0.4">
      <c r="T425" s="115"/>
      <c r="U425" s="115"/>
      <c r="V425" s="115"/>
      <c r="W425" s="115"/>
      <c r="X425" s="115"/>
      <c r="Y425" s="122"/>
      <c r="Z425" s="122"/>
      <c r="AA425" s="122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 t="s">
        <v>173</v>
      </c>
      <c r="AP425" s="17">
        <f>SUBTOTAL(3,AP421:AP424)</f>
        <v>4</v>
      </c>
      <c r="AQ425" s="13">
        <f>SUBTOTAL(3,AQ421:AQ424)</f>
        <v>4</v>
      </c>
      <c r="AT425" s="114"/>
    </row>
    <row r="426" spans="20:46" x14ac:dyDescent="0.4">
      <c r="T426" s="115"/>
      <c r="U426" s="115"/>
      <c r="V426" s="115"/>
      <c r="W426" s="115"/>
      <c r="X426" s="115"/>
      <c r="Y426" s="122"/>
      <c r="Z426" s="122"/>
      <c r="AA426" s="122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 t="s">
        <v>145</v>
      </c>
      <c r="AP426" s="17">
        <f>SUBTOTAL(3,AP2:AP424)</f>
        <v>136</v>
      </c>
      <c r="AQ426" s="13">
        <f>SUBTOTAL(3,AQ2:AQ424)</f>
        <v>136</v>
      </c>
      <c r="AT426" s="114"/>
    </row>
    <row r="427" spans="20:46" x14ac:dyDescent="0.4">
      <c r="T427" s="115"/>
      <c r="U427" s="115"/>
      <c r="V427" s="115"/>
      <c r="W427" s="115"/>
      <c r="X427" s="115"/>
      <c r="Y427" s="122"/>
      <c r="Z427" s="122"/>
      <c r="AA427" s="122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 t="s">
        <v>145</v>
      </c>
      <c r="AN427" s="115"/>
      <c r="AO427" s="115"/>
      <c r="AP427" s="26"/>
      <c r="AQ427" s="13"/>
      <c r="AT427" s="114"/>
    </row>
    <row r="428" spans="20:46" x14ac:dyDescent="0.4">
      <c r="T428" s="115"/>
      <c r="U428" s="115"/>
      <c r="V428" s="115"/>
      <c r="W428" s="115"/>
      <c r="X428" s="115"/>
      <c r="Y428" s="122"/>
      <c r="Z428" s="122"/>
      <c r="AA428" s="122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7"/>
      <c r="AQ428" s="13"/>
      <c r="AT428" s="114"/>
    </row>
    <row r="429" spans="20:46" x14ac:dyDescent="0.4">
      <c r="T429" s="115"/>
      <c r="U429" s="115"/>
      <c r="V429" s="115"/>
      <c r="W429" s="115"/>
      <c r="X429" s="115"/>
      <c r="Y429" s="122"/>
      <c r="Z429" s="122"/>
      <c r="AA429" s="122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26"/>
      <c r="AQ429" s="13"/>
      <c r="AT429" s="114"/>
    </row>
    <row r="430" spans="20:46" x14ac:dyDescent="0.4">
      <c r="T430" s="115"/>
      <c r="U430" s="115"/>
      <c r="V430" s="115"/>
      <c r="W430" s="115"/>
      <c r="X430" s="115"/>
      <c r="Y430" s="122"/>
      <c r="Z430" s="122"/>
      <c r="AA430" s="122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7"/>
      <c r="AQ430" s="13"/>
      <c r="AT430" s="114"/>
    </row>
    <row r="431" spans="20:46" x14ac:dyDescent="0.4">
      <c r="T431" s="115"/>
      <c r="U431" s="115"/>
      <c r="V431" s="115"/>
      <c r="W431" s="115"/>
      <c r="X431" s="115"/>
      <c r="Y431" s="122"/>
      <c r="Z431" s="122"/>
      <c r="AA431" s="122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26"/>
      <c r="AQ431" s="13"/>
      <c r="AT431" s="114"/>
    </row>
    <row r="432" spans="20:46" x14ac:dyDescent="0.4">
      <c r="T432" s="115"/>
      <c r="U432" s="115"/>
      <c r="V432" s="115"/>
      <c r="W432" s="115"/>
      <c r="X432" s="115"/>
      <c r="Y432" s="122"/>
      <c r="Z432" s="122"/>
      <c r="AA432" s="122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26"/>
      <c r="AQ432" s="13"/>
      <c r="AT432" s="114"/>
    </row>
    <row r="433" spans="20:46" x14ac:dyDescent="0.4">
      <c r="T433" s="115"/>
      <c r="U433" s="115"/>
      <c r="V433" s="115"/>
      <c r="W433" s="115"/>
      <c r="X433" s="115"/>
      <c r="Y433" s="122"/>
      <c r="Z433" s="122"/>
      <c r="AA433" s="122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26"/>
      <c r="AQ433" s="13"/>
      <c r="AT433" s="114"/>
    </row>
    <row r="434" spans="20:46" x14ac:dyDescent="0.4">
      <c r="T434" s="115"/>
      <c r="U434" s="115"/>
      <c r="V434" s="115"/>
      <c r="W434" s="115"/>
      <c r="X434" s="115"/>
      <c r="Y434" s="122"/>
      <c r="Z434" s="122"/>
      <c r="AA434" s="122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7"/>
      <c r="AQ434" s="13"/>
      <c r="AT434" s="114"/>
    </row>
    <row r="435" spans="20:46" x14ac:dyDescent="0.4">
      <c r="T435" s="115"/>
      <c r="U435" s="115"/>
      <c r="V435" s="115"/>
      <c r="W435" s="115"/>
      <c r="X435" s="115"/>
      <c r="Y435" s="122"/>
      <c r="Z435" s="122"/>
      <c r="AA435" s="122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26"/>
      <c r="AQ435" s="13"/>
      <c r="AT435" s="114"/>
    </row>
    <row r="436" spans="20:46" x14ac:dyDescent="0.4">
      <c r="T436" s="115"/>
      <c r="U436" s="115"/>
      <c r="V436" s="115"/>
      <c r="W436" s="115"/>
      <c r="X436" s="115"/>
      <c r="Y436" s="122"/>
      <c r="Z436" s="122"/>
      <c r="AA436" s="122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7"/>
      <c r="AQ436" s="13"/>
      <c r="AT436" s="114"/>
    </row>
    <row r="437" spans="20:46" x14ac:dyDescent="0.4">
      <c r="T437" s="115"/>
      <c r="U437" s="115"/>
      <c r="V437" s="115"/>
      <c r="W437" s="115"/>
      <c r="X437" s="115"/>
      <c r="Y437" s="122"/>
      <c r="Z437" s="122"/>
      <c r="AA437" s="122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26"/>
      <c r="AQ437" s="13"/>
      <c r="AT437" s="114"/>
    </row>
    <row r="438" spans="20:46" x14ac:dyDescent="0.4">
      <c r="T438" s="115"/>
      <c r="U438" s="115"/>
      <c r="V438" s="115"/>
      <c r="W438" s="115"/>
      <c r="X438" s="115"/>
      <c r="Y438" s="122"/>
      <c r="Z438" s="122"/>
      <c r="AA438" s="122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7"/>
      <c r="AQ438" s="13"/>
      <c r="AT438" s="114"/>
    </row>
    <row r="439" spans="20:46" x14ac:dyDescent="0.4">
      <c r="T439" s="115"/>
      <c r="U439" s="115"/>
      <c r="V439" s="115"/>
      <c r="W439" s="115"/>
      <c r="X439" s="115"/>
      <c r="Y439" s="122"/>
      <c r="Z439" s="122"/>
      <c r="AA439" s="122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7"/>
      <c r="AQ439" s="13"/>
      <c r="AT439" s="114"/>
    </row>
    <row r="440" spans="20:46" x14ac:dyDescent="0.4">
      <c r="T440" s="115"/>
      <c r="U440" s="115"/>
      <c r="V440" s="115"/>
      <c r="W440" s="115"/>
      <c r="X440" s="115"/>
      <c r="Y440" s="122"/>
      <c r="Z440" s="122"/>
      <c r="AA440" s="122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7"/>
      <c r="AQ440" s="13"/>
      <c r="AT440" s="114"/>
    </row>
    <row r="441" spans="20:46" x14ac:dyDescent="0.4">
      <c r="T441" s="115"/>
      <c r="U441" s="115"/>
      <c r="V441" s="115"/>
      <c r="W441" s="115"/>
      <c r="X441" s="115"/>
      <c r="Y441" s="122"/>
      <c r="Z441" s="122"/>
      <c r="AA441" s="122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26"/>
      <c r="AQ441" s="13"/>
      <c r="AT441" s="114"/>
    </row>
    <row r="442" spans="20:46" x14ac:dyDescent="0.4">
      <c r="T442" s="115"/>
      <c r="U442" s="115"/>
      <c r="V442" s="115"/>
      <c r="W442" s="115"/>
      <c r="X442" s="115"/>
      <c r="Y442" s="122"/>
      <c r="Z442" s="122"/>
      <c r="AA442" s="122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7"/>
      <c r="AQ442" s="13"/>
      <c r="AT442" s="114"/>
    </row>
    <row r="443" spans="20:46" x14ac:dyDescent="0.4">
      <c r="T443" s="115"/>
      <c r="U443" s="115"/>
      <c r="V443" s="115"/>
      <c r="W443" s="115"/>
      <c r="X443" s="115"/>
      <c r="Y443" s="122"/>
      <c r="Z443" s="122"/>
      <c r="AA443" s="122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26"/>
      <c r="AQ443" s="13"/>
      <c r="AT443" s="114"/>
    </row>
    <row r="444" spans="20:46" x14ac:dyDescent="0.4">
      <c r="T444" s="115"/>
      <c r="U444" s="115"/>
      <c r="V444" s="115"/>
      <c r="W444" s="115"/>
      <c r="X444" s="115"/>
      <c r="Y444" s="122"/>
      <c r="Z444" s="122"/>
      <c r="AA444" s="122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7"/>
      <c r="AQ444" s="13"/>
      <c r="AT444" s="114"/>
    </row>
    <row r="445" spans="20:46" x14ac:dyDescent="0.4">
      <c r="T445" s="115"/>
      <c r="U445" s="115"/>
      <c r="V445" s="115"/>
      <c r="W445" s="115"/>
      <c r="X445" s="115"/>
      <c r="Y445" s="122"/>
      <c r="Z445" s="122"/>
      <c r="AA445" s="122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26"/>
      <c r="AQ445" s="25"/>
      <c r="AT445" s="114"/>
    </row>
    <row r="446" spans="20:46" x14ac:dyDescent="0.4">
      <c r="T446" s="115"/>
      <c r="U446" s="115"/>
      <c r="V446" s="115"/>
      <c r="W446" s="115"/>
      <c r="X446" s="115"/>
      <c r="Y446" s="122"/>
      <c r="Z446" s="122"/>
      <c r="AA446" s="122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7"/>
      <c r="AQ446" s="13"/>
      <c r="AT446" s="114"/>
    </row>
    <row r="447" spans="20:46" x14ac:dyDescent="0.4">
      <c r="T447" s="115"/>
      <c r="U447" s="115"/>
      <c r="V447" s="115"/>
      <c r="W447" s="115"/>
      <c r="X447" s="115"/>
      <c r="Y447" s="122"/>
      <c r="Z447" s="122"/>
      <c r="AA447" s="122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7"/>
      <c r="AQ447" s="13"/>
      <c r="AT447" s="114"/>
    </row>
    <row r="448" spans="20:46" x14ac:dyDescent="0.4">
      <c r="T448" s="115"/>
      <c r="U448" s="115"/>
      <c r="V448" s="115"/>
      <c r="W448" s="115"/>
      <c r="X448" s="115"/>
      <c r="Y448" s="122"/>
      <c r="Z448" s="122"/>
      <c r="AA448" s="122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26"/>
      <c r="AQ448" s="15"/>
      <c r="AT448" s="114"/>
    </row>
    <row r="449" spans="20:46" x14ac:dyDescent="0.4">
      <c r="T449" s="115"/>
      <c r="U449" s="115"/>
      <c r="V449" s="115"/>
      <c r="W449" s="115"/>
      <c r="X449" s="115"/>
      <c r="Y449" s="122"/>
      <c r="Z449" s="122"/>
      <c r="AA449" s="122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26"/>
      <c r="AQ449" s="15"/>
      <c r="AT449" s="114"/>
    </row>
    <row r="450" spans="20:46" x14ac:dyDescent="0.4">
      <c r="T450" s="115"/>
      <c r="U450" s="115"/>
      <c r="V450" s="115"/>
      <c r="W450" s="115"/>
      <c r="X450" s="115"/>
      <c r="Y450" s="122"/>
      <c r="Z450" s="122"/>
      <c r="AA450" s="122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26"/>
      <c r="AQ450" s="15"/>
      <c r="AT450" s="114"/>
    </row>
    <row r="451" spans="20:46" x14ac:dyDescent="0.4">
      <c r="T451" s="115"/>
      <c r="U451" s="115"/>
      <c r="V451" s="115"/>
      <c r="W451" s="115"/>
      <c r="X451" s="115"/>
      <c r="Y451" s="122"/>
      <c r="Z451" s="122"/>
      <c r="AA451" s="122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26"/>
      <c r="AQ451" s="15"/>
      <c r="AT451" s="114"/>
    </row>
    <row r="452" spans="20:46" x14ac:dyDescent="0.4">
      <c r="T452" s="115"/>
      <c r="U452" s="115"/>
      <c r="V452" s="115"/>
      <c r="W452" s="115"/>
      <c r="X452" s="115"/>
      <c r="Y452" s="122"/>
      <c r="Z452" s="122"/>
      <c r="AA452" s="122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26"/>
      <c r="AQ452" s="15"/>
      <c r="AT452" s="114"/>
    </row>
    <row r="453" spans="20:46" x14ac:dyDescent="0.4">
      <c r="T453" s="115"/>
      <c r="U453" s="115"/>
      <c r="V453" s="115"/>
      <c r="W453" s="115"/>
      <c r="X453" s="115"/>
      <c r="Y453" s="122"/>
      <c r="Z453" s="122"/>
      <c r="AA453" s="122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26"/>
      <c r="AQ453" s="15"/>
      <c r="AT453" s="114"/>
    </row>
    <row r="454" spans="20:46" x14ac:dyDescent="0.4">
      <c r="T454" s="115"/>
      <c r="U454" s="115"/>
      <c r="V454" s="115"/>
      <c r="W454" s="115"/>
      <c r="X454" s="115"/>
      <c r="Y454" s="122"/>
      <c r="Z454" s="122"/>
      <c r="AA454" s="122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26"/>
      <c r="AQ454" s="15"/>
      <c r="AT454" s="114"/>
    </row>
    <row r="455" spans="20:46" x14ac:dyDescent="0.4">
      <c r="T455" s="115"/>
      <c r="U455" s="115"/>
      <c r="V455" s="115"/>
      <c r="W455" s="115"/>
      <c r="X455" s="115"/>
      <c r="Y455" s="122"/>
      <c r="Z455" s="122"/>
      <c r="AA455" s="122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26"/>
      <c r="AQ455" s="15"/>
      <c r="AT455" s="114"/>
    </row>
    <row r="456" spans="20:46" x14ac:dyDescent="0.4">
      <c r="T456" s="115"/>
      <c r="U456" s="115"/>
      <c r="V456" s="115"/>
      <c r="W456" s="115"/>
      <c r="X456" s="115"/>
      <c r="Y456" s="122"/>
      <c r="Z456" s="122"/>
      <c r="AA456" s="122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7"/>
      <c r="AQ456" s="15"/>
      <c r="AT456" s="114"/>
    </row>
    <row r="457" spans="20:46" x14ac:dyDescent="0.4">
      <c r="T457" s="115"/>
      <c r="U457" s="115"/>
      <c r="V457" s="115"/>
      <c r="W457" s="115"/>
      <c r="X457" s="115"/>
      <c r="Y457" s="122"/>
      <c r="Z457" s="122"/>
      <c r="AA457" s="122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26"/>
      <c r="AQ457" s="15"/>
      <c r="AT457" s="114"/>
    </row>
    <row r="458" spans="20:46" x14ac:dyDescent="0.4">
      <c r="T458" s="115"/>
      <c r="U458" s="115"/>
      <c r="V458" s="115"/>
      <c r="W458" s="115"/>
      <c r="X458" s="115"/>
      <c r="Y458" s="122"/>
      <c r="Z458" s="122"/>
      <c r="AA458" s="122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26"/>
      <c r="AQ458" s="13"/>
      <c r="AT458" s="114"/>
    </row>
    <row r="459" spans="20:46" x14ac:dyDescent="0.4">
      <c r="T459" s="115"/>
      <c r="U459" s="115"/>
      <c r="V459" s="115"/>
      <c r="W459" s="115"/>
      <c r="X459" s="115"/>
      <c r="Y459" s="122"/>
      <c r="Z459" s="122"/>
      <c r="AA459" s="122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26"/>
      <c r="AQ459" s="13"/>
      <c r="AT459" s="114"/>
    </row>
    <row r="460" spans="20:46" x14ac:dyDescent="0.4">
      <c r="T460" s="115"/>
      <c r="U460" s="115"/>
      <c r="V460" s="115"/>
      <c r="W460" s="115"/>
      <c r="X460" s="115"/>
      <c r="Y460" s="122"/>
      <c r="Z460" s="122"/>
      <c r="AA460" s="122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26"/>
      <c r="AQ460" s="13"/>
      <c r="AT460" s="114"/>
    </row>
    <row r="461" spans="20:46" x14ac:dyDescent="0.4">
      <c r="T461" s="115"/>
      <c r="U461" s="115"/>
      <c r="V461" s="115"/>
      <c r="W461" s="115"/>
      <c r="X461" s="115"/>
      <c r="Y461" s="122"/>
      <c r="Z461" s="122"/>
      <c r="AA461" s="122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26"/>
      <c r="AQ461" s="13"/>
      <c r="AT461" s="114"/>
    </row>
    <row r="462" spans="20:46" x14ac:dyDescent="0.4">
      <c r="T462" s="115"/>
      <c r="U462" s="115"/>
      <c r="V462" s="115"/>
      <c r="W462" s="115"/>
      <c r="X462" s="115"/>
      <c r="Y462" s="122"/>
      <c r="Z462" s="122"/>
      <c r="AA462" s="122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26"/>
      <c r="AQ462" s="13"/>
      <c r="AT462" s="114"/>
    </row>
    <row r="463" spans="20:46" x14ac:dyDescent="0.4">
      <c r="T463" s="115"/>
      <c r="U463" s="115"/>
      <c r="V463" s="115"/>
      <c r="W463" s="115"/>
      <c r="X463" s="115"/>
      <c r="Y463" s="122"/>
      <c r="Z463" s="122"/>
      <c r="AA463" s="122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26"/>
      <c r="AQ463" s="13"/>
      <c r="AT463" s="114"/>
    </row>
    <row r="464" spans="20:46" x14ac:dyDescent="0.4">
      <c r="T464" s="115"/>
      <c r="U464" s="115"/>
      <c r="V464" s="115"/>
      <c r="W464" s="115"/>
      <c r="X464" s="115"/>
      <c r="Y464" s="122"/>
      <c r="Z464" s="122"/>
      <c r="AA464" s="122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26"/>
      <c r="AQ464" s="13"/>
      <c r="AT464" s="114"/>
    </row>
    <row r="465" spans="19:46" x14ac:dyDescent="0.4">
      <c r="T465" s="115"/>
      <c r="U465" s="115"/>
      <c r="V465" s="115"/>
      <c r="W465" s="115"/>
      <c r="X465" s="115"/>
      <c r="Y465" s="122"/>
      <c r="Z465" s="122"/>
      <c r="AA465" s="122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26"/>
      <c r="AQ465" s="13"/>
      <c r="AT465" s="114"/>
    </row>
    <row r="466" spans="19:46" x14ac:dyDescent="0.4">
      <c r="T466" s="115"/>
      <c r="U466" s="115"/>
      <c r="V466" s="115"/>
      <c r="W466" s="115"/>
      <c r="X466" s="115"/>
      <c r="Y466" s="122"/>
      <c r="Z466" s="122"/>
      <c r="AA466" s="122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26"/>
      <c r="AQ466" s="13"/>
      <c r="AT466" s="114"/>
    </row>
    <row r="467" spans="19:46" x14ac:dyDescent="0.4">
      <c r="T467" s="115"/>
      <c r="U467" s="115"/>
      <c r="V467" s="115"/>
      <c r="W467" s="115"/>
      <c r="X467" s="115"/>
      <c r="Y467" s="122"/>
      <c r="Z467" s="122"/>
      <c r="AA467" s="122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26"/>
      <c r="AQ467" s="13"/>
      <c r="AT467" s="114"/>
    </row>
    <row r="468" spans="19:46" x14ac:dyDescent="0.4">
      <c r="T468" s="115"/>
      <c r="U468" s="115"/>
      <c r="V468" s="115"/>
      <c r="W468" s="115"/>
      <c r="X468" s="115"/>
      <c r="Y468" s="122"/>
      <c r="Z468" s="122"/>
      <c r="AA468" s="122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26"/>
      <c r="AQ468" s="13"/>
      <c r="AT468" s="114"/>
    </row>
    <row r="469" spans="19:46" x14ac:dyDescent="0.4">
      <c r="T469" s="115"/>
      <c r="U469" s="115"/>
      <c r="V469" s="115"/>
      <c r="W469" s="115"/>
      <c r="X469" s="115"/>
      <c r="Y469" s="122"/>
      <c r="Z469" s="122"/>
      <c r="AA469" s="122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7"/>
      <c r="AQ469" s="13"/>
      <c r="AT469" s="114"/>
    </row>
    <row r="470" spans="19:46" x14ac:dyDescent="0.4">
      <c r="T470" s="115"/>
      <c r="U470" s="115"/>
      <c r="V470" s="115"/>
      <c r="W470" s="115"/>
      <c r="X470" s="115"/>
      <c r="Y470" s="122"/>
      <c r="Z470" s="122"/>
      <c r="AA470" s="122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26"/>
      <c r="AQ470" s="13"/>
      <c r="AT470" s="114"/>
    </row>
    <row r="471" spans="19:46" x14ac:dyDescent="0.4">
      <c r="T471" s="115"/>
      <c r="U471" s="115"/>
      <c r="V471" s="115"/>
      <c r="W471" s="115"/>
      <c r="X471" s="115"/>
      <c r="Y471" s="122"/>
      <c r="Z471" s="122"/>
      <c r="AA471" s="122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26"/>
      <c r="AQ471" s="13"/>
      <c r="AT471" s="114"/>
    </row>
    <row r="472" spans="19:46" x14ac:dyDescent="0.4">
      <c r="T472" s="115"/>
      <c r="U472" s="115"/>
      <c r="V472" s="115"/>
      <c r="W472" s="115"/>
      <c r="X472" s="115"/>
      <c r="Y472" s="122"/>
      <c r="Z472" s="122"/>
      <c r="AA472" s="122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26"/>
      <c r="AQ472" s="13"/>
      <c r="AT472" s="114"/>
    </row>
    <row r="473" spans="19:46" x14ac:dyDescent="0.4">
      <c r="T473" s="115"/>
      <c r="U473" s="115"/>
      <c r="V473" s="115"/>
      <c r="W473" s="115"/>
      <c r="X473" s="115"/>
      <c r="Y473" s="122"/>
      <c r="Z473" s="122"/>
      <c r="AA473" s="122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7"/>
      <c r="AQ473" s="13"/>
      <c r="AT473" s="114"/>
    </row>
    <row r="474" spans="19:46" x14ac:dyDescent="0.4">
      <c r="T474" s="115"/>
      <c r="U474" s="115"/>
      <c r="V474" s="115"/>
      <c r="W474" s="115"/>
      <c r="X474" s="115"/>
      <c r="Y474" s="122"/>
      <c r="Z474" s="122"/>
      <c r="AA474" s="122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26"/>
      <c r="AQ474" s="13"/>
      <c r="AT474" s="114"/>
    </row>
    <row r="475" spans="19:46" x14ac:dyDescent="0.4">
      <c r="T475" s="115"/>
      <c r="U475" s="115"/>
      <c r="V475" s="115"/>
      <c r="W475" s="115"/>
      <c r="X475" s="115"/>
      <c r="Y475" s="122"/>
      <c r="Z475" s="122"/>
      <c r="AA475" s="122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7"/>
      <c r="AQ475" s="13"/>
      <c r="AT475" s="114"/>
    </row>
    <row r="476" spans="19:46" x14ac:dyDescent="0.4">
      <c r="T476" s="115"/>
      <c r="U476" s="115"/>
      <c r="V476" s="115"/>
      <c r="W476" s="115"/>
      <c r="X476" s="115"/>
      <c r="Y476" s="122"/>
      <c r="Z476" s="122"/>
      <c r="AA476" s="122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26"/>
      <c r="AQ476" s="13"/>
      <c r="AT476" s="114"/>
    </row>
    <row r="477" spans="19:46" x14ac:dyDescent="0.4">
      <c r="T477" s="115"/>
      <c r="U477" s="115"/>
      <c r="V477" s="115"/>
      <c r="W477" s="115"/>
      <c r="X477" s="115"/>
      <c r="Y477" s="122"/>
      <c r="Z477" s="122"/>
      <c r="AA477" s="122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26"/>
      <c r="AQ477" s="15"/>
      <c r="AT477" s="114"/>
    </row>
    <row r="478" spans="19:46" x14ac:dyDescent="0.4">
      <c r="T478" s="115"/>
      <c r="U478" s="115"/>
      <c r="V478" s="115"/>
      <c r="W478" s="115"/>
      <c r="X478" s="115"/>
      <c r="Y478" s="122"/>
      <c r="Z478" s="122"/>
      <c r="AA478" s="122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7"/>
      <c r="AQ478" s="15"/>
      <c r="AT478" s="114"/>
    </row>
    <row r="479" spans="19:46" x14ac:dyDescent="0.4">
      <c r="T479" s="115"/>
      <c r="U479" s="115"/>
      <c r="V479" s="115"/>
      <c r="W479" s="115"/>
      <c r="X479" s="115"/>
      <c r="Y479" s="122"/>
      <c r="Z479" s="122"/>
      <c r="AA479" s="122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7"/>
      <c r="AQ479" s="15"/>
      <c r="AT479" s="114"/>
    </row>
    <row r="480" spans="19:46" x14ac:dyDescent="0.4">
      <c r="S480" s="115"/>
      <c r="T480" s="115"/>
      <c r="U480" s="115"/>
      <c r="V480" s="115"/>
      <c r="W480" s="115"/>
      <c r="X480" s="115"/>
      <c r="Y480" s="122"/>
      <c r="Z480" s="122"/>
      <c r="AA480" s="122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26"/>
      <c r="AQ480" s="15"/>
      <c r="AT480" s="114"/>
    </row>
    <row r="481" spans="19:46" x14ac:dyDescent="0.4">
      <c r="S481" s="115"/>
      <c r="T481" s="115"/>
      <c r="U481" s="115"/>
      <c r="V481" s="115"/>
      <c r="W481" s="115"/>
      <c r="X481" s="115"/>
      <c r="Y481" s="122"/>
      <c r="Z481" s="122"/>
      <c r="AA481" s="122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7"/>
      <c r="AQ481" s="15"/>
      <c r="AT481" s="114"/>
    </row>
    <row r="482" spans="19:46" x14ac:dyDescent="0.4">
      <c r="S482" s="115"/>
      <c r="T482" s="115"/>
      <c r="U482" s="115"/>
      <c r="V482" s="115"/>
      <c r="W482" s="115"/>
      <c r="X482" s="115"/>
      <c r="Y482" s="122"/>
      <c r="Z482" s="122"/>
      <c r="AA482" s="122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26"/>
      <c r="AQ482" s="15"/>
      <c r="AT482" s="114"/>
    </row>
    <row r="483" spans="19:46" x14ac:dyDescent="0.4">
      <c r="S483" s="115"/>
      <c r="T483" s="115"/>
      <c r="U483" s="115"/>
      <c r="V483" s="115"/>
      <c r="W483" s="115"/>
      <c r="X483" s="115"/>
      <c r="Y483" s="122"/>
      <c r="Z483" s="122"/>
      <c r="AA483" s="122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26"/>
      <c r="AQ483" s="15"/>
      <c r="AT483" s="114"/>
    </row>
    <row r="484" spans="19:46" x14ac:dyDescent="0.4">
      <c r="S484" s="115"/>
      <c r="T484" s="115"/>
      <c r="U484" s="115"/>
      <c r="V484" s="115"/>
      <c r="W484" s="115"/>
      <c r="X484" s="115"/>
      <c r="Y484" s="122"/>
      <c r="Z484" s="122"/>
      <c r="AA484" s="122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7"/>
      <c r="AQ484" s="15"/>
      <c r="AT484" s="114"/>
    </row>
    <row r="485" spans="19:46" x14ac:dyDescent="0.4">
      <c r="S485" s="115"/>
      <c r="T485" s="115"/>
      <c r="U485" s="115"/>
      <c r="V485" s="115"/>
      <c r="W485" s="115"/>
      <c r="X485" s="115"/>
      <c r="Y485" s="122"/>
      <c r="Z485" s="122"/>
      <c r="AA485" s="122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26"/>
      <c r="AQ485" s="15"/>
      <c r="AT485" s="114"/>
    </row>
    <row r="486" spans="19:46" x14ac:dyDescent="0.4">
      <c r="S486" s="115"/>
      <c r="T486" s="115"/>
      <c r="U486" s="115"/>
      <c r="V486" s="115"/>
      <c r="W486" s="115"/>
      <c r="X486" s="115"/>
      <c r="Y486" s="122"/>
      <c r="Z486" s="122"/>
      <c r="AA486" s="122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7"/>
      <c r="AQ486" s="15"/>
      <c r="AT486" s="114"/>
    </row>
    <row r="487" spans="19:46" x14ac:dyDescent="0.4">
      <c r="S487" s="115"/>
      <c r="T487" s="115"/>
      <c r="U487" s="115"/>
      <c r="V487" s="115"/>
      <c r="W487" s="115"/>
      <c r="X487" s="115"/>
      <c r="Y487" s="122"/>
      <c r="Z487" s="122"/>
      <c r="AA487" s="122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7"/>
      <c r="AQ487" s="15"/>
      <c r="AT487" s="114"/>
    </row>
    <row r="488" spans="19:46" x14ac:dyDescent="0.4">
      <c r="S488" s="115"/>
      <c r="T488" s="115"/>
      <c r="U488" s="115"/>
      <c r="V488" s="115"/>
      <c r="W488" s="115"/>
      <c r="X488" s="115"/>
      <c r="Y488" s="122"/>
      <c r="Z488" s="122"/>
      <c r="AA488" s="122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26"/>
      <c r="AQ488" s="15"/>
      <c r="AT488" s="114"/>
    </row>
    <row r="489" spans="19:46" x14ac:dyDescent="0.4">
      <c r="S489" s="115"/>
      <c r="T489" s="115"/>
      <c r="U489" s="115"/>
      <c r="V489" s="115"/>
      <c r="W489" s="115"/>
      <c r="X489" s="115"/>
      <c r="Y489" s="122"/>
      <c r="Z489" s="122"/>
      <c r="AA489" s="122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26"/>
      <c r="AQ489" s="15"/>
      <c r="AT489" s="114"/>
    </row>
    <row r="490" spans="19:46" x14ac:dyDescent="0.4">
      <c r="S490" s="115"/>
      <c r="T490" s="115"/>
      <c r="U490" s="115"/>
      <c r="V490" s="115"/>
      <c r="W490" s="115"/>
      <c r="X490" s="115"/>
      <c r="Y490" s="122"/>
      <c r="Z490" s="122"/>
      <c r="AA490" s="122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26"/>
      <c r="AQ490" s="15"/>
      <c r="AT490" s="114"/>
    </row>
    <row r="491" spans="19:46" x14ac:dyDescent="0.4">
      <c r="S491" s="115"/>
      <c r="T491" s="115"/>
      <c r="U491" s="115"/>
      <c r="V491" s="115"/>
      <c r="W491" s="115"/>
      <c r="X491" s="115"/>
      <c r="Y491" s="122"/>
      <c r="Z491" s="122"/>
      <c r="AA491" s="122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26"/>
      <c r="AQ491" s="15"/>
      <c r="AT491" s="114"/>
    </row>
    <row r="492" spans="19:46" x14ac:dyDescent="0.4">
      <c r="S492" s="115"/>
      <c r="T492" s="115"/>
      <c r="U492" s="115"/>
      <c r="V492" s="115"/>
      <c r="W492" s="115"/>
      <c r="X492" s="115"/>
      <c r="Y492" s="122"/>
      <c r="Z492" s="122"/>
      <c r="AA492" s="122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26"/>
      <c r="AQ492" s="15"/>
      <c r="AT492" s="114"/>
    </row>
    <row r="493" spans="19:46" x14ac:dyDescent="0.4">
      <c r="S493" s="115"/>
      <c r="T493" s="115"/>
      <c r="U493" s="115"/>
      <c r="V493" s="115"/>
      <c r="W493" s="115"/>
      <c r="X493" s="115"/>
      <c r="Y493" s="122"/>
      <c r="Z493" s="122"/>
      <c r="AA493" s="122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26"/>
      <c r="AQ493" s="15"/>
      <c r="AT493" s="114"/>
    </row>
    <row r="494" spans="19:46" x14ac:dyDescent="0.4">
      <c r="S494" s="115"/>
      <c r="T494" s="115"/>
      <c r="U494" s="115"/>
      <c r="V494" s="115"/>
      <c r="W494" s="115"/>
      <c r="X494" s="115"/>
      <c r="Y494" s="122"/>
      <c r="Z494" s="122"/>
      <c r="AA494" s="122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26"/>
      <c r="AQ494" s="15"/>
      <c r="AT494" s="114"/>
    </row>
    <row r="495" spans="19:46" x14ac:dyDescent="0.4">
      <c r="S495" s="115"/>
      <c r="T495" s="115"/>
      <c r="U495" s="115"/>
      <c r="V495" s="115"/>
      <c r="W495" s="115"/>
      <c r="X495" s="115"/>
      <c r="Y495" s="122"/>
      <c r="Z495" s="122"/>
      <c r="AA495" s="122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7"/>
      <c r="AQ495" s="15"/>
      <c r="AT495" s="114"/>
    </row>
    <row r="496" spans="19:46" x14ac:dyDescent="0.4">
      <c r="S496" s="115"/>
      <c r="T496" s="115"/>
      <c r="U496" s="115"/>
      <c r="V496" s="115"/>
      <c r="W496" s="115"/>
      <c r="X496" s="115"/>
      <c r="Y496" s="122"/>
      <c r="Z496" s="122"/>
      <c r="AA496" s="122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26"/>
      <c r="AQ496" s="15"/>
      <c r="AT496" s="114"/>
    </row>
    <row r="497" spans="5:46" x14ac:dyDescent="0.4">
      <c r="S497" s="115"/>
      <c r="T497" s="115"/>
      <c r="U497" s="115"/>
      <c r="V497" s="115"/>
      <c r="W497" s="115"/>
      <c r="X497" s="115"/>
      <c r="Y497" s="122"/>
      <c r="Z497" s="122"/>
      <c r="AA497" s="122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26"/>
      <c r="AQ497" s="15"/>
      <c r="AT497" s="114"/>
    </row>
    <row r="498" spans="5:46" x14ac:dyDescent="0.4">
      <c r="S498" s="115"/>
      <c r="T498" s="115"/>
      <c r="U498" s="115"/>
      <c r="V498" s="115"/>
      <c r="W498" s="115"/>
      <c r="X498" s="115"/>
      <c r="Y498" s="122"/>
      <c r="Z498" s="122"/>
      <c r="AA498" s="122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26"/>
      <c r="AQ498" s="15"/>
      <c r="AT498" s="114"/>
    </row>
    <row r="499" spans="5:46" x14ac:dyDescent="0.4">
      <c r="S499" s="115"/>
      <c r="T499" s="115"/>
      <c r="U499" s="115"/>
      <c r="V499" s="115"/>
      <c r="W499" s="115"/>
      <c r="X499" s="115"/>
      <c r="Y499" s="122"/>
      <c r="Z499" s="122"/>
      <c r="AA499" s="122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26"/>
      <c r="AQ499" s="13"/>
      <c r="AT499" s="114"/>
    </row>
    <row r="500" spans="5:46" x14ac:dyDescent="0.4">
      <c r="S500" s="115"/>
      <c r="T500" s="115"/>
      <c r="U500" s="115"/>
      <c r="V500" s="115"/>
      <c r="W500" s="115"/>
      <c r="X500" s="115"/>
      <c r="Y500" s="122"/>
      <c r="Z500" s="122"/>
      <c r="AA500" s="122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7"/>
      <c r="AQ500" s="13"/>
      <c r="AT500" s="114"/>
    </row>
    <row r="501" spans="5:46" x14ac:dyDescent="0.4">
      <c r="S501" s="115"/>
      <c r="T501" s="115"/>
      <c r="U501" s="115"/>
      <c r="V501" s="115"/>
      <c r="W501" s="115"/>
      <c r="X501" s="115"/>
      <c r="Y501" s="122"/>
      <c r="Z501" s="122"/>
      <c r="AA501" s="122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26"/>
      <c r="AQ501" s="13"/>
      <c r="AT501" s="114"/>
    </row>
    <row r="502" spans="5:46" x14ac:dyDescent="0.4">
      <c r="S502" s="115"/>
      <c r="T502" s="115"/>
      <c r="U502" s="115"/>
      <c r="V502" s="115"/>
      <c r="W502" s="115"/>
      <c r="X502" s="115"/>
      <c r="Y502" s="122"/>
      <c r="Z502" s="122"/>
      <c r="AA502" s="122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26"/>
      <c r="AQ502" s="13"/>
      <c r="AT502" s="114"/>
    </row>
    <row r="503" spans="5:46" x14ac:dyDescent="0.4">
      <c r="S503" s="115"/>
      <c r="T503" s="115"/>
      <c r="U503" s="115"/>
      <c r="V503" s="115"/>
      <c r="W503" s="115"/>
      <c r="X503" s="115"/>
      <c r="Y503" s="122"/>
      <c r="Z503" s="122"/>
      <c r="AA503" s="122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26"/>
      <c r="AQ503" s="13"/>
      <c r="AT503" s="114"/>
    </row>
    <row r="504" spans="5:46" x14ac:dyDescent="0.4">
      <c r="S504" s="115"/>
      <c r="T504" s="115"/>
      <c r="U504" s="115"/>
      <c r="V504" s="115"/>
      <c r="W504" s="115"/>
      <c r="X504" s="115"/>
      <c r="Y504" s="122"/>
      <c r="Z504" s="122"/>
      <c r="AA504" s="122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26"/>
      <c r="AQ504" s="13"/>
      <c r="AT504" s="114"/>
    </row>
    <row r="505" spans="5:46" x14ac:dyDescent="0.4">
      <c r="S505" s="115"/>
      <c r="T505" s="115"/>
      <c r="U505" s="115"/>
      <c r="V505" s="115"/>
      <c r="W505" s="115"/>
      <c r="X505" s="115"/>
      <c r="Y505" s="122"/>
      <c r="Z505" s="122"/>
      <c r="AA505" s="122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26"/>
      <c r="AQ505" s="13"/>
      <c r="AT505" s="114"/>
    </row>
    <row r="506" spans="5:46" x14ac:dyDescent="0.4">
      <c r="S506" s="115"/>
      <c r="T506" s="115"/>
      <c r="U506" s="115"/>
      <c r="V506" s="115"/>
      <c r="W506" s="115"/>
      <c r="X506" s="115"/>
      <c r="Y506" s="122"/>
      <c r="Z506" s="122"/>
      <c r="AA506" s="122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26"/>
      <c r="AQ506" s="13"/>
      <c r="AT506" s="114"/>
    </row>
    <row r="507" spans="5:46" x14ac:dyDescent="0.4">
      <c r="S507" s="115"/>
      <c r="T507" s="115"/>
      <c r="U507" s="115"/>
      <c r="V507" s="115"/>
      <c r="W507" s="115"/>
      <c r="X507" s="115"/>
      <c r="Y507" s="122"/>
      <c r="Z507" s="122"/>
      <c r="AA507" s="122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7"/>
      <c r="AQ507" s="13"/>
      <c r="AT507" s="114"/>
    </row>
    <row r="508" spans="5:46" x14ac:dyDescent="0.4">
      <c r="S508" s="115"/>
      <c r="T508" s="115"/>
      <c r="U508" s="115"/>
      <c r="V508" s="115"/>
      <c r="W508" s="115"/>
      <c r="X508" s="115"/>
      <c r="Y508" s="122"/>
      <c r="Z508" s="122"/>
      <c r="AA508" s="122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26"/>
      <c r="AQ508" s="13"/>
      <c r="AT508" s="114"/>
    </row>
    <row r="509" spans="5:46" x14ac:dyDescent="0.4">
      <c r="S509" s="115"/>
      <c r="T509" s="115"/>
      <c r="U509" s="115"/>
      <c r="V509" s="115"/>
      <c r="W509" s="115"/>
      <c r="X509" s="115"/>
      <c r="Y509" s="122"/>
      <c r="Z509" s="122"/>
      <c r="AA509" s="122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26"/>
      <c r="AQ509" s="13"/>
      <c r="AT509" s="114"/>
    </row>
    <row r="510" spans="5:46" x14ac:dyDescent="0.4"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22"/>
      <c r="Z510" s="122"/>
      <c r="AA510" s="122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26"/>
      <c r="AQ510" s="13"/>
      <c r="AT510" s="114"/>
    </row>
    <row r="511" spans="5:46" x14ac:dyDescent="0.4"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22"/>
      <c r="Z511" s="122"/>
      <c r="AA511" s="122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26"/>
      <c r="AQ511" s="13"/>
      <c r="AT511" s="114"/>
    </row>
    <row r="512" spans="5:46" x14ac:dyDescent="0.4"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22"/>
      <c r="Z512" s="122"/>
      <c r="AA512" s="122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26"/>
      <c r="AQ512" s="13"/>
      <c r="AT512" s="114"/>
    </row>
    <row r="513" spans="5:46" x14ac:dyDescent="0.4"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22"/>
      <c r="Z513" s="122"/>
      <c r="AA513" s="122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26"/>
      <c r="AQ513" s="13"/>
      <c r="AT513" s="114"/>
    </row>
    <row r="514" spans="5:46" x14ac:dyDescent="0.4"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22"/>
      <c r="Z514" s="122"/>
      <c r="AA514" s="122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26"/>
      <c r="AQ514" s="13"/>
      <c r="AT514" s="114"/>
    </row>
    <row r="515" spans="5:46" x14ac:dyDescent="0.4"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22"/>
      <c r="Z515" s="122"/>
      <c r="AA515" s="122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26"/>
      <c r="AQ515" s="13"/>
      <c r="AT515" s="114"/>
    </row>
    <row r="516" spans="5:46" x14ac:dyDescent="0.4"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22"/>
      <c r="Z516" s="122"/>
      <c r="AA516" s="122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26"/>
      <c r="AQ516" s="13"/>
      <c r="AT516" s="114"/>
    </row>
    <row r="517" spans="5:46" x14ac:dyDescent="0.4"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22"/>
      <c r="Z517" s="122"/>
      <c r="AA517" s="122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26"/>
      <c r="AQ517" s="13"/>
      <c r="AT517" s="114"/>
    </row>
    <row r="518" spans="5:46" x14ac:dyDescent="0.4"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22"/>
      <c r="Z518" s="122"/>
      <c r="AA518" s="122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26"/>
      <c r="AQ518" s="13"/>
      <c r="AT518" s="114"/>
    </row>
    <row r="519" spans="5:46" x14ac:dyDescent="0.4"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22"/>
      <c r="Z519" s="122"/>
      <c r="AA519" s="122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26"/>
      <c r="AQ519" s="13"/>
      <c r="AT519" s="114"/>
    </row>
    <row r="520" spans="5:46" x14ac:dyDescent="0.4"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22"/>
      <c r="Z520" s="122"/>
      <c r="AA520" s="122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26"/>
      <c r="AQ520" s="13"/>
      <c r="AT520" s="114"/>
    </row>
    <row r="521" spans="5:46" x14ac:dyDescent="0.4"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22"/>
      <c r="Z521" s="122"/>
      <c r="AA521" s="122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26"/>
      <c r="AQ521" s="13"/>
      <c r="AT521" s="114"/>
    </row>
    <row r="522" spans="5:46" x14ac:dyDescent="0.4"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22"/>
      <c r="Z522" s="122"/>
      <c r="AA522" s="122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26"/>
      <c r="AQ522" s="13"/>
      <c r="AT522" s="114"/>
    </row>
    <row r="523" spans="5:46" x14ac:dyDescent="0.4"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22"/>
      <c r="Z523" s="122"/>
      <c r="AA523" s="122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26"/>
      <c r="AQ523" s="13"/>
      <c r="AT523" s="114"/>
    </row>
    <row r="524" spans="5:46" x14ac:dyDescent="0.4"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22"/>
      <c r="Z524" s="122"/>
      <c r="AA524" s="122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26"/>
      <c r="AQ524" s="13"/>
      <c r="AT524" s="114"/>
    </row>
    <row r="525" spans="5:46" x14ac:dyDescent="0.4"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22"/>
      <c r="Z525" s="122"/>
      <c r="AA525" s="122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26"/>
      <c r="AQ525" s="13"/>
      <c r="AT525" s="114"/>
    </row>
    <row r="526" spans="5:46" x14ac:dyDescent="0.4"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22"/>
      <c r="Z526" s="122"/>
      <c r="AA526" s="122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7"/>
      <c r="AQ526" s="13"/>
      <c r="AT526" s="114"/>
    </row>
    <row r="527" spans="5:46" x14ac:dyDescent="0.4"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22"/>
      <c r="Z527" s="122"/>
      <c r="AA527" s="122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26"/>
      <c r="AQ527" s="13"/>
      <c r="AT527" s="114"/>
    </row>
    <row r="528" spans="5:46" x14ac:dyDescent="0.4"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22"/>
      <c r="Z528" s="122"/>
      <c r="AA528" s="122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26"/>
      <c r="AQ528" s="13"/>
      <c r="AT528" s="114"/>
    </row>
    <row r="529" spans="3:46" x14ac:dyDescent="0.4"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22"/>
      <c r="Z529" s="122"/>
      <c r="AA529" s="122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26"/>
      <c r="AQ529" s="13"/>
      <c r="AT529" s="114"/>
    </row>
    <row r="530" spans="3:46" x14ac:dyDescent="0.4"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22"/>
      <c r="Z530" s="122"/>
      <c r="AA530" s="122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26"/>
      <c r="AQ530" s="15"/>
      <c r="AT530" s="114"/>
    </row>
    <row r="531" spans="3:46" x14ac:dyDescent="0.4"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22"/>
      <c r="Z531" s="122"/>
      <c r="AA531" s="122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26"/>
      <c r="AQ531" s="15"/>
      <c r="AT531" s="114"/>
    </row>
    <row r="532" spans="3:46" x14ac:dyDescent="0.4"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22"/>
      <c r="Z532" s="122"/>
      <c r="AA532" s="122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26"/>
      <c r="AQ532" s="15"/>
      <c r="AT532" s="114"/>
    </row>
    <row r="533" spans="3:46" x14ac:dyDescent="0.4"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22"/>
      <c r="Z533" s="122"/>
      <c r="AA533" s="122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26"/>
      <c r="AQ533" s="13"/>
      <c r="AT533" s="114"/>
    </row>
    <row r="534" spans="3:46" x14ac:dyDescent="0.4"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22"/>
      <c r="Z534" s="122"/>
      <c r="AA534" s="122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26"/>
      <c r="AQ534" s="13"/>
      <c r="AT534" s="114"/>
    </row>
    <row r="535" spans="3:46" x14ac:dyDescent="0.4"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22"/>
      <c r="Z535" s="122"/>
      <c r="AA535" s="122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26"/>
      <c r="AQ535" s="13"/>
      <c r="AT535" s="114"/>
    </row>
    <row r="536" spans="3:46" x14ac:dyDescent="0.4"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22"/>
      <c r="Z536" s="122"/>
      <c r="AA536" s="122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7"/>
      <c r="AQ536" s="13"/>
      <c r="AT536" s="114"/>
    </row>
    <row r="537" spans="3:46" x14ac:dyDescent="0.4"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22"/>
      <c r="Z537" s="122"/>
      <c r="AA537" s="122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26"/>
      <c r="AQ537" s="13"/>
      <c r="AT537" s="114"/>
    </row>
    <row r="538" spans="3:46" x14ac:dyDescent="0.4"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22"/>
      <c r="Z538" s="122"/>
      <c r="AA538" s="122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26"/>
      <c r="AQ538" s="25"/>
      <c r="AT538" s="114"/>
    </row>
    <row r="539" spans="3:46" x14ac:dyDescent="0.4"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22"/>
      <c r="Z539" s="122"/>
      <c r="AA539" s="122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26"/>
      <c r="AQ539" s="13"/>
      <c r="AT539" s="114"/>
    </row>
    <row r="540" spans="3:46" x14ac:dyDescent="0.4"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22"/>
      <c r="Z540" s="122"/>
      <c r="AA540" s="122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26"/>
      <c r="AQ540" s="13"/>
      <c r="AT540" s="114"/>
    </row>
    <row r="541" spans="3:46" x14ac:dyDescent="0.4"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22"/>
      <c r="Z541" s="122"/>
      <c r="AA541" s="122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26"/>
      <c r="AQ541" s="13"/>
      <c r="AT541" s="114"/>
    </row>
    <row r="542" spans="3:46" x14ac:dyDescent="0.4"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22"/>
      <c r="Z542" s="122"/>
      <c r="AA542" s="122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26"/>
      <c r="AQ542" s="13"/>
      <c r="AT542" s="114"/>
    </row>
    <row r="543" spans="3:46" x14ac:dyDescent="0.4"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22"/>
      <c r="Z543" s="122"/>
      <c r="AA543" s="122"/>
      <c r="AB543" s="115"/>
      <c r="AC543" s="115"/>
      <c r="AD543" s="115"/>
      <c r="AE543" s="115"/>
      <c r="AP543" s="26"/>
      <c r="AQ543" s="13"/>
      <c r="AT543" s="114"/>
    </row>
    <row r="544" spans="3:46" x14ac:dyDescent="0.4"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22"/>
      <c r="Z544" s="122"/>
      <c r="AA544" s="122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26"/>
      <c r="AQ544" s="13"/>
      <c r="AT544" s="114"/>
    </row>
    <row r="545" spans="1:46" x14ac:dyDescent="0.4"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22"/>
      <c r="Z545" s="122"/>
      <c r="AA545" s="122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7"/>
      <c r="AQ545" s="13"/>
      <c r="AT545" s="114"/>
    </row>
    <row r="546" spans="1:46" x14ac:dyDescent="0.4"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22"/>
      <c r="Z546" s="122"/>
      <c r="AA546" s="122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26"/>
      <c r="AQ546" s="13"/>
      <c r="AT546" s="114"/>
    </row>
    <row r="547" spans="1:46" x14ac:dyDescent="0.4"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22"/>
      <c r="Z547" s="122"/>
      <c r="AA547" s="122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26"/>
      <c r="AQ547" s="15"/>
      <c r="AT547" s="114"/>
    </row>
    <row r="548" spans="1:46" x14ac:dyDescent="0.4"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22"/>
      <c r="Z548" s="122"/>
      <c r="AA548" s="122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7"/>
      <c r="AQ548" s="15"/>
      <c r="AT548" s="114"/>
    </row>
    <row r="549" spans="1:46" x14ac:dyDescent="0.4"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22"/>
      <c r="Z549" s="122"/>
      <c r="AA549" s="122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26"/>
      <c r="AQ549" s="15"/>
      <c r="AT549" s="114"/>
    </row>
    <row r="550" spans="1:46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22"/>
      <c r="Z550" s="122"/>
      <c r="AA550" s="122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26"/>
      <c r="AQ550" s="15"/>
      <c r="AT550" s="114"/>
    </row>
    <row r="551" spans="1:46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22"/>
      <c r="Z551" s="122"/>
      <c r="AA551" s="122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7"/>
      <c r="AQ551" s="13"/>
      <c r="AT551" s="114"/>
    </row>
    <row r="552" spans="1:46" x14ac:dyDescent="0.4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22"/>
      <c r="Z552" s="122"/>
      <c r="AA552" s="122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7"/>
      <c r="AQ552" s="13"/>
      <c r="AT552" s="114"/>
    </row>
    <row r="553" spans="1:46" x14ac:dyDescent="0.4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22"/>
      <c r="Z553" s="122"/>
      <c r="AA553" s="122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26"/>
      <c r="AQ553" s="13"/>
      <c r="AT553" s="114"/>
    </row>
    <row r="554" spans="1:46" x14ac:dyDescent="0.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22"/>
      <c r="Z554" s="122"/>
      <c r="AA554" s="122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26"/>
      <c r="AQ554" s="13"/>
      <c r="AT554" s="114"/>
    </row>
    <row r="555" spans="1:46" x14ac:dyDescent="0.4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22"/>
      <c r="Z555" s="122"/>
      <c r="AA555" s="122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7"/>
      <c r="AQ555" s="13"/>
      <c r="AT555" s="114"/>
    </row>
    <row r="556" spans="1:46" x14ac:dyDescent="0.4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22"/>
      <c r="Z556" s="122"/>
      <c r="AA556" s="122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26"/>
      <c r="AQ556" s="15"/>
      <c r="AT556" s="114"/>
    </row>
    <row r="557" spans="1:46" x14ac:dyDescent="0.4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22"/>
      <c r="Z557" s="122"/>
      <c r="AA557" s="122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26"/>
      <c r="AQ557" s="15"/>
      <c r="AT557" s="114"/>
    </row>
    <row r="558" spans="1:46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22"/>
      <c r="Z558" s="122"/>
      <c r="AA558" s="122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26"/>
      <c r="AQ558" s="15"/>
      <c r="AT558" s="114"/>
    </row>
    <row r="559" spans="1:46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22"/>
      <c r="Z559" s="122"/>
      <c r="AA559" s="122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26"/>
      <c r="AQ559" s="13"/>
      <c r="AT559" s="114"/>
    </row>
    <row r="560" spans="1:46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22"/>
      <c r="Z560" s="122"/>
      <c r="AA560" s="122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26"/>
      <c r="AQ560" s="25"/>
      <c r="AT560" s="114"/>
    </row>
    <row r="561" spans="1:46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22"/>
      <c r="Z561" s="122"/>
      <c r="AA561" s="122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26"/>
      <c r="AQ561" s="13"/>
      <c r="AT561" s="114"/>
    </row>
    <row r="562" spans="1:46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22"/>
      <c r="Z562" s="122"/>
      <c r="AA562" s="122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26"/>
      <c r="AQ562" s="13"/>
      <c r="AT562" s="114"/>
    </row>
    <row r="563" spans="1:46" x14ac:dyDescent="0.4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22"/>
      <c r="Z563" s="122"/>
      <c r="AA563" s="122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26"/>
      <c r="AQ563" s="13"/>
      <c r="AT563" s="114"/>
    </row>
    <row r="564" spans="1:46" x14ac:dyDescent="0.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22"/>
      <c r="Z564" s="122"/>
      <c r="AA564" s="122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26"/>
      <c r="AQ564" s="13"/>
      <c r="AT564" s="114"/>
    </row>
    <row r="565" spans="1:46" x14ac:dyDescent="0.4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22"/>
      <c r="Z565" s="122"/>
      <c r="AA565" s="122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26"/>
      <c r="AQ565" s="13"/>
      <c r="AT565" s="114"/>
    </row>
    <row r="566" spans="1:46" x14ac:dyDescent="0.4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22"/>
      <c r="Z566" s="122"/>
      <c r="AA566" s="122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26"/>
      <c r="AQ566" s="13"/>
      <c r="AT566" s="114"/>
    </row>
    <row r="567" spans="1:46" x14ac:dyDescent="0.4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22"/>
      <c r="Z567" s="122"/>
      <c r="AA567" s="122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26"/>
      <c r="AQ567" s="13"/>
      <c r="AT567" s="114"/>
    </row>
    <row r="568" spans="1:46" x14ac:dyDescent="0.4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22"/>
      <c r="Z568" s="122"/>
      <c r="AA568" s="122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26"/>
      <c r="AQ568" s="13"/>
      <c r="AT568" s="114"/>
    </row>
    <row r="569" spans="1:46" x14ac:dyDescent="0.4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22"/>
      <c r="Z569" s="122"/>
      <c r="AA569" s="122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26"/>
      <c r="AQ569" s="13"/>
      <c r="AT569" s="114"/>
    </row>
    <row r="570" spans="1:46" x14ac:dyDescent="0.4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22"/>
      <c r="Z570" s="122"/>
      <c r="AA570" s="122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26"/>
      <c r="AQ570" s="13"/>
      <c r="AT570" s="114"/>
    </row>
    <row r="571" spans="1:46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22"/>
      <c r="Z571" s="122"/>
      <c r="AA571" s="122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26"/>
      <c r="AQ571" s="15"/>
      <c r="AT571" s="114"/>
    </row>
    <row r="572" spans="1:46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22"/>
      <c r="Z572" s="122"/>
      <c r="AA572" s="122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26"/>
      <c r="AQ572" s="15"/>
      <c r="AT572" s="114"/>
    </row>
    <row r="573" spans="1:46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22"/>
      <c r="Z573" s="122"/>
      <c r="AA573" s="122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26"/>
      <c r="AQ573" s="15"/>
      <c r="AT573" s="114"/>
    </row>
    <row r="574" spans="1:46" x14ac:dyDescent="0.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22"/>
      <c r="Z574" s="122"/>
      <c r="AA574" s="122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26"/>
      <c r="AQ574" s="15"/>
      <c r="AT574" s="114"/>
    </row>
    <row r="575" spans="1:46" x14ac:dyDescent="0.4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22"/>
      <c r="Z575" s="122"/>
      <c r="AA575" s="122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26"/>
      <c r="AQ575" s="13"/>
      <c r="AT575" s="114"/>
    </row>
    <row r="576" spans="1:46" x14ac:dyDescent="0.4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22"/>
      <c r="Z576" s="122"/>
      <c r="AA576" s="122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26"/>
      <c r="AQ576" s="15"/>
      <c r="AT576" s="114"/>
    </row>
    <row r="577" spans="1:46" x14ac:dyDescent="0.4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22"/>
      <c r="Z577" s="122"/>
      <c r="AA577" s="122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26"/>
      <c r="AQ577" s="15"/>
      <c r="AT577" s="114"/>
    </row>
    <row r="578" spans="1:46" x14ac:dyDescent="0.4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22"/>
      <c r="Z578" s="122"/>
      <c r="AA578" s="122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26"/>
      <c r="AQ578" s="15"/>
      <c r="AT578" s="114"/>
    </row>
    <row r="579" spans="1:46" x14ac:dyDescent="0.4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22"/>
      <c r="Z579" s="122"/>
      <c r="AA579" s="122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26"/>
      <c r="AQ579" s="15"/>
      <c r="AT579" s="114"/>
    </row>
    <row r="580" spans="1:46" x14ac:dyDescent="0.4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22"/>
      <c r="Z580" s="122"/>
      <c r="AA580" s="122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26"/>
      <c r="AQ580" s="15"/>
      <c r="AT580" s="114"/>
    </row>
    <row r="581" spans="1:46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22"/>
      <c r="Z581" s="122"/>
      <c r="AA581" s="122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26"/>
      <c r="AQ581" s="105"/>
      <c r="AT581" s="114"/>
    </row>
    <row r="582" spans="1:46" x14ac:dyDescent="0.4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22"/>
      <c r="Z582" s="122"/>
      <c r="AA582" s="122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7"/>
      <c r="AQ582" s="15"/>
      <c r="AT582" s="114"/>
    </row>
    <row r="583" spans="1:46" x14ac:dyDescent="0.4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22"/>
      <c r="Z583" s="122"/>
      <c r="AA583" s="122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26"/>
      <c r="AQ583" s="15"/>
      <c r="AT583" s="114"/>
    </row>
    <row r="584" spans="1:46" x14ac:dyDescent="0.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22"/>
      <c r="Z584" s="122"/>
      <c r="AA584" s="122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26"/>
      <c r="AQ584" s="15"/>
      <c r="AT584" s="114"/>
    </row>
    <row r="585" spans="1:46" x14ac:dyDescent="0.4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22"/>
      <c r="Z585" s="122"/>
      <c r="AA585" s="122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26"/>
      <c r="AQ585" s="105"/>
      <c r="AT585" s="114"/>
    </row>
    <row r="586" spans="1:46" x14ac:dyDescent="0.4">
      <c r="AP586" s="26"/>
      <c r="AQ586" s="15"/>
      <c r="AT586" s="114"/>
    </row>
    <row r="587" spans="1:46" x14ac:dyDescent="0.4">
      <c r="Z587" s="122"/>
      <c r="AA587" s="122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26"/>
      <c r="AQ587" s="15"/>
      <c r="AT587" s="114"/>
    </row>
    <row r="588" spans="1:46" x14ac:dyDescent="0.4">
      <c r="V588" s="115"/>
      <c r="W588" s="115"/>
      <c r="X588" s="115"/>
      <c r="Y588" s="122"/>
      <c r="Z588" s="122"/>
      <c r="AA588" s="122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26"/>
      <c r="AQ588" s="15"/>
      <c r="AT588" s="114"/>
    </row>
    <row r="589" spans="1:46" x14ac:dyDescent="0.4"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22"/>
      <c r="Z589" s="122"/>
      <c r="AA589" s="122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26"/>
      <c r="AQ589" s="15"/>
      <c r="AT589" s="114"/>
    </row>
    <row r="590" spans="1:46" x14ac:dyDescent="0.4"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22"/>
      <c r="Z590" s="122"/>
      <c r="AA590" s="122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7"/>
      <c r="AQ590" s="15"/>
      <c r="AT590" s="114"/>
    </row>
    <row r="591" spans="1:46" x14ac:dyDescent="0.4"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22"/>
      <c r="Z591" s="122"/>
      <c r="AA591" s="122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26"/>
      <c r="AQ591" s="15"/>
      <c r="AT591" s="114"/>
    </row>
    <row r="592" spans="1:46" x14ac:dyDescent="0.4"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22"/>
      <c r="Z592" s="122"/>
      <c r="AA592" s="122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26"/>
      <c r="AQ592" s="15"/>
      <c r="AT592" s="114"/>
    </row>
    <row r="593" spans="2:46" x14ac:dyDescent="0.4"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22"/>
      <c r="Z593" s="122"/>
      <c r="AA593" s="122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26"/>
      <c r="AQ593" s="15"/>
      <c r="AT593" s="114"/>
    </row>
    <row r="594" spans="2:46" x14ac:dyDescent="0.4"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22"/>
      <c r="Z594" s="122"/>
      <c r="AA594" s="122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26"/>
      <c r="AQ594" s="15"/>
      <c r="AT594" s="114"/>
    </row>
    <row r="595" spans="2:46" x14ac:dyDescent="0.4"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22"/>
      <c r="Z595" s="122"/>
      <c r="AA595" s="122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26"/>
      <c r="AQ595" s="15"/>
      <c r="AT595" s="114"/>
    </row>
    <row r="596" spans="2:46" x14ac:dyDescent="0.4"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22"/>
      <c r="Z596" s="122"/>
      <c r="AA596" s="122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26"/>
      <c r="AQ596" s="15"/>
      <c r="AT596" s="114"/>
    </row>
    <row r="597" spans="2:46" x14ac:dyDescent="0.4"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22"/>
      <c r="Z597" s="122"/>
      <c r="AA597" s="122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26"/>
      <c r="AQ597" s="15"/>
      <c r="AT597" s="114"/>
    </row>
    <row r="598" spans="2:46" x14ac:dyDescent="0.4"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22"/>
      <c r="Z598" s="122"/>
      <c r="AA598" s="122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7"/>
      <c r="AQ598" s="15"/>
      <c r="AT598" s="114"/>
    </row>
    <row r="599" spans="2:46" x14ac:dyDescent="0.4"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22"/>
      <c r="Z599" s="122"/>
      <c r="AA599" s="122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26"/>
      <c r="AQ599" s="15"/>
      <c r="AT599" s="114"/>
    </row>
    <row r="600" spans="2:46" x14ac:dyDescent="0.4"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22"/>
      <c r="Z600" s="122"/>
      <c r="AA600" s="122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26"/>
      <c r="AQ600" s="15"/>
      <c r="AT600" s="114"/>
    </row>
    <row r="601" spans="2:46" x14ac:dyDescent="0.4"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22"/>
      <c r="Z601" s="122"/>
      <c r="AA601" s="122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26"/>
      <c r="AQ601" s="15"/>
      <c r="AT601" s="114"/>
    </row>
    <row r="602" spans="2:46" x14ac:dyDescent="0.4"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22"/>
      <c r="Z602" s="122"/>
      <c r="AA602" s="122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26"/>
      <c r="AQ602" s="15"/>
      <c r="AT602" s="114"/>
    </row>
    <row r="603" spans="2:46" x14ac:dyDescent="0.4"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22"/>
      <c r="Z603" s="122"/>
      <c r="AA603" s="122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26"/>
      <c r="AQ603" s="15"/>
      <c r="AT603" s="114"/>
    </row>
    <row r="604" spans="2:46" x14ac:dyDescent="0.4"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22"/>
      <c r="Z604" s="122"/>
      <c r="AA604" s="122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26"/>
      <c r="AQ604" s="15"/>
      <c r="AT604" s="114"/>
    </row>
    <row r="605" spans="2:46" x14ac:dyDescent="0.4"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22"/>
      <c r="Z605" s="122"/>
      <c r="AA605" s="122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26"/>
      <c r="AQ605" s="15"/>
      <c r="AT605" s="114"/>
    </row>
    <row r="606" spans="2:46" x14ac:dyDescent="0.4"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22"/>
      <c r="Z606" s="122"/>
      <c r="AA606" s="122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7"/>
      <c r="AQ606" s="15"/>
      <c r="AT606" s="114"/>
    </row>
    <row r="607" spans="2:46" x14ac:dyDescent="0.4"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22"/>
      <c r="Z607" s="122"/>
      <c r="AA607" s="122"/>
      <c r="AB607" s="115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26"/>
      <c r="AQ607" s="15"/>
      <c r="AT607" s="114"/>
    </row>
    <row r="608" spans="2:46" x14ac:dyDescent="0.4"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22"/>
      <c r="Z608" s="122"/>
      <c r="AA608" s="122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26"/>
      <c r="AQ608" s="15"/>
      <c r="AT608" s="114"/>
    </row>
    <row r="609" spans="2:46" x14ac:dyDescent="0.4"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22"/>
      <c r="Z609" s="122"/>
      <c r="AA609" s="122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26"/>
      <c r="AQ609" s="15"/>
      <c r="AT609" s="114"/>
    </row>
    <row r="610" spans="2:46" x14ac:dyDescent="0.4"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22"/>
      <c r="Z610" s="122"/>
      <c r="AA610" s="122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26"/>
      <c r="AQ610" s="15"/>
      <c r="AT610" s="114"/>
    </row>
    <row r="611" spans="2:46" x14ac:dyDescent="0.4"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22"/>
      <c r="Z611" s="122"/>
      <c r="AA611" s="122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26"/>
      <c r="AQ611" s="15"/>
      <c r="AT611" s="114"/>
    </row>
    <row r="612" spans="2:46" x14ac:dyDescent="0.4"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22"/>
      <c r="Z612" s="122"/>
      <c r="AA612" s="122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26"/>
      <c r="AQ612" s="15"/>
      <c r="AT612" s="114"/>
    </row>
    <row r="613" spans="2:46" x14ac:dyDescent="0.4"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22"/>
      <c r="Z613" s="122"/>
      <c r="AA613" s="122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26"/>
      <c r="AQ613" s="15"/>
      <c r="AT613" s="114"/>
    </row>
    <row r="614" spans="2:46" x14ac:dyDescent="0.4"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22"/>
      <c r="Z614" s="122"/>
      <c r="AA614" s="122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26"/>
      <c r="AQ614" s="15"/>
      <c r="AT614" s="114"/>
    </row>
    <row r="615" spans="2:46" x14ac:dyDescent="0.4"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22"/>
      <c r="Z615" s="122"/>
      <c r="AA615" s="122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7"/>
      <c r="AQ615" s="15"/>
      <c r="AT615" s="114"/>
    </row>
    <row r="616" spans="2:46" x14ac:dyDescent="0.4"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22"/>
      <c r="Z616" s="122"/>
      <c r="AA616" s="122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26"/>
      <c r="AQ616" s="15"/>
      <c r="AT616" s="114"/>
    </row>
    <row r="617" spans="2:46" x14ac:dyDescent="0.4"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22"/>
      <c r="Z617" s="122"/>
      <c r="AA617" s="122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7"/>
      <c r="AQ617" s="15"/>
      <c r="AT617" s="114"/>
    </row>
    <row r="618" spans="2:46" x14ac:dyDescent="0.4"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22"/>
      <c r="Z618" s="122"/>
      <c r="AA618" s="122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26"/>
      <c r="AQ618" s="15"/>
      <c r="AT618" s="114"/>
    </row>
    <row r="619" spans="2:46" x14ac:dyDescent="0.4"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22"/>
      <c r="Z619" s="122"/>
      <c r="AA619" s="122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7"/>
      <c r="AQ619" s="15"/>
      <c r="AT619" s="114"/>
    </row>
    <row r="620" spans="2:46" x14ac:dyDescent="0.4"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22"/>
      <c r="Z620" s="122"/>
      <c r="AA620" s="122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26"/>
      <c r="AQ620" s="15"/>
      <c r="AT620" s="114"/>
    </row>
    <row r="621" spans="2:46" x14ac:dyDescent="0.4"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22"/>
      <c r="Z621" s="122"/>
      <c r="AA621" s="122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26"/>
      <c r="AQ621" s="15"/>
      <c r="AT621" s="114"/>
    </row>
    <row r="622" spans="2:46" x14ac:dyDescent="0.4"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22"/>
      <c r="Z622" s="122"/>
      <c r="AA622" s="122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7"/>
      <c r="AQ622" s="15"/>
      <c r="AT622" s="114"/>
    </row>
    <row r="623" spans="2:46" x14ac:dyDescent="0.4"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22"/>
      <c r="Z623" s="122"/>
      <c r="AA623" s="122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26"/>
      <c r="AQ623" s="15"/>
      <c r="AT623" s="114"/>
    </row>
    <row r="624" spans="2:46" x14ac:dyDescent="0.4"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22"/>
      <c r="Z624" s="122"/>
      <c r="AA624" s="122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26"/>
      <c r="AQ624" s="15"/>
      <c r="AT624" s="114"/>
    </row>
    <row r="625" spans="1:46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22"/>
      <c r="Z625" s="122"/>
      <c r="AA625" s="122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26"/>
      <c r="AQ625" s="105"/>
      <c r="AT625" s="114"/>
    </row>
    <row r="626" spans="1:46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22"/>
      <c r="Z626" s="122"/>
      <c r="AA626" s="122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7"/>
      <c r="AQ626" s="15"/>
      <c r="AT626" s="114"/>
    </row>
    <row r="627" spans="1:46" x14ac:dyDescent="0.4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22"/>
      <c r="Z627" s="122"/>
      <c r="AA627" s="122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7"/>
      <c r="AQ627" s="15"/>
      <c r="AT627" s="114"/>
    </row>
    <row r="628" spans="1:46" x14ac:dyDescent="0.4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22"/>
      <c r="Z628" s="122"/>
      <c r="AA628" s="122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26"/>
      <c r="AQ628" s="15"/>
      <c r="AT628" s="114"/>
    </row>
    <row r="629" spans="1:46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22"/>
      <c r="Z629" s="122"/>
      <c r="AA629" s="122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26"/>
      <c r="AQ629" s="15"/>
      <c r="AT629" s="114"/>
    </row>
    <row r="630" spans="1:46" x14ac:dyDescent="0.4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22"/>
      <c r="Z630" s="122"/>
      <c r="AA630" s="122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26"/>
      <c r="AQ630" s="15"/>
      <c r="AT630" s="114"/>
    </row>
    <row r="631" spans="1:46" x14ac:dyDescent="0.4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22"/>
      <c r="Z631" s="122"/>
      <c r="AA631" s="122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26"/>
      <c r="AQ631" s="15"/>
      <c r="AT631" s="114"/>
    </row>
    <row r="632" spans="1:46" x14ac:dyDescent="0.4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22"/>
      <c r="Z632" s="122"/>
      <c r="AA632" s="122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26"/>
      <c r="AQ632" s="15"/>
      <c r="AT632" s="114"/>
    </row>
    <row r="633" spans="1:46" x14ac:dyDescent="0.4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22"/>
      <c r="Z633" s="122"/>
      <c r="AA633" s="122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26"/>
      <c r="AQ633" s="15"/>
      <c r="AT633" s="114"/>
    </row>
    <row r="634" spans="1:46" x14ac:dyDescent="0.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22"/>
      <c r="Z634" s="122"/>
      <c r="AA634" s="122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26"/>
      <c r="AQ634" s="15"/>
      <c r="AT634" s="114"/>
    </row>
    <row r="635" spans="1:46" x14ac:dyDescent="0.4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22"/>
      <c r="Z635" s="122"/>
      <c r="AA635" s="122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26"/>
      <c r="AQ635" s="15"/>
      <c r="AT635" s="114"/>
    </row>
    <row r="636" spans="1:46" x14ac:dyDescent="0.4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22"/>
      <c r="Z636" s="122"/>
      <c r="AA636" s="122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26"/>
      <c r="AQ636" s="105"/>
      <c r="AT636" s="114"/>
    </row>
    <row r="637" spans="1:46" x14ac:dyDescent="0.4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22"/>
      <c r="Z637" s="122"/>
      <c r="AA637" s="122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26"/>
      <c r="AQ637" s="15"/>
      <c r="AT637" s="114"/>
    </row>
    <row r="638" spans="1:46" x14ac:dyDescent="0.4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22"/>
      <c r="Z638" s="122"/>
      <c r="AA638" s="122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26"/>
      <c r="AQ638" s="15"/>
      <c r="AT638" s="114"/>
    </row>
    <row r="639" spans="1:46" x14ac:dyDescent="0.4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22"/>
      <c r="Z639" s="122"/>
      <c r="AA639" s="122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26"/>
      <c r="AQ639" s="13"/>
      <c r="AT639" s="114"/>
    </row>
    <row r="640" spans="1:46" x14ac:dyDescent="0.4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22"/>
      <c r="Z640" s="122"/>
      <c r="AA640" s="122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7"/>
      <c r="AQ640" s="13"/>
      <c r="AT640" s="114"/>
    </row>
    <row r="641" spans="1:46" x14ac:dyDescent="0.4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22"/>
      <c r="Z641" s="122"/>
      <c r="AA641" s="122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26"/>
      <c r="AQ641" s="13"/>
      <c r="AT641" s="114"/>
    </row>
    <row r="642" spans="1:46" x14ac:dyDescent="0.4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22"/>
      <c r="Z642" s="122"/>
      <c r="AA642" s="122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26"/>
      <c r="AQ642" s="13"/>
      <c r="AT642" s="114"/>
    </row>
    <row r="643" spans="1:46" x14ac:dyDescent="0.4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22"/>
      <c r="Z643" s="122"/>
      <c r="AA643" s="122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26"/>
      <c r="AQ643" s="13"/>
      <c r="AT643" s="114"/>
    </row>
    <row r="644" spans="1:46" x14ac:dyDescent="0.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22"/>
      <c r="Z644" s="122"/>
      <c r="AA644" s="122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26"/>
      <c r="AQ644" s="13"/>
      <c r="AT644" s="114"/>
    </row>
    <row r="645" spans="1:46" x14ac:dyDescent="0.4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22"/>
      <c r="Z645" s="122"/>
      <c r="AA645" s="122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26"/>
      <c r="AQ645" s="13"/>
      <c r="AT645" s="114"/>
    </row>
    <row r="646" spans="1:46" x14ac:dyDescent="0.4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22"/>
      <c r="Z646" s="122"/>
      <c r="AA646" s="122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26"/>
      <c r="AQ646" s="13"/>
      <c r="AT646" s="114"/>
    </row>
    <row r="647" spans="1:46" x14ac:dyDescent="0.4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22"/>
      <c r="Z647" s="122"/>
      <c r="AA647" s="122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7"/>
      <c r="AQ647" s="13"/>
      <c r="AT647" s="114"/>
    </row>
    <row r="648" spans="1:46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22"/>
      <c r="Z648" s="122"/>
      <c r="AA648" s="122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26"/>
      <c r="AQ648" s="13"/>
      <c r="AT648" s="114"/>
    </row>
    <row r="649" spans="1:46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22"/>
      <c r="Z649" s="122"/>
      <c r="AA649" s="122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26"/>
      <c r="AQ649" s="13"/>
      <c r="AT649" s="114"/>
    </row>
    <row r="650" spans="1:46" x14ac:dyDescent="0.4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22"/>
      <c r="Z650" s="122"/>
      <c r="AA650" s="122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26"/>
      <c r="AQ650" s="13"/>
      <c r="AT650" s="114"/>
    </row>
    <row r="651" spans="1:46" x14ac:dyDescent="0.4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22"/>
      <c r="Z651" s="122"/>
      <c r="AA651" s="122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26"/>
      <c r="AQ651" s="13"/>
      <c r="AT651" s="114"/>
    </row>
    <row r="652" spans="1:46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22"/>
      <c r="Z652" s="122"/>
      <c r="AA652" s="122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26"/>
      <c r="AQ652" s="25"/>
      <c r="AT652" s="114"/>
    </row>
    <row r="653" spans="1:46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22"/>
      <c r="Z653" s="122"/>
      <c r="AA653" s="122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7"/>
      <c r="AQ653" s="13"/>
      <c r="AT653" s="114"/>
    </row>
    <row r="654" spans="1:46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22"/>
      <c r="Z654" s="122"/>
      <c r="AA654" s="122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26"/>
      <c r="AQ654" s="15"/>
      <c r="AT654" s="114"/>
    </row>
    <row r="655" spans="1:46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22"/>
      <c r="Z655" s="122"/>
      <c r="AA655" s="122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26"/>
      <c r="AQ655" s="15"/>
      <c r="AT655" s="114"/>
    </row>
    <row r="656" spans="1:46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22"/>
      <c r="Z656" s="122"/>
      <c r="AA656" s="122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7"/>
      <c r="AQ656" s="15"/>
      <c r="AT656" s="114"/>
    </row>
    <row r="657" spans="1:46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22"/>
      <c r="Z657" s="122"/>
      <c r="AA657" s="122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26"/>
      <c r="AQ657" s="15"/>
      <c r="AT657" s="114"/>
    </row>
    <row r="658" spans="1:46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22"/>
      <c r="Z658" s="122"/>
      <c r="AA658" s="122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26"/>
      <c r="AQ658" s="15"/>
      <c r="AT658" s="114"/>
    </row>
    <row r="659" spans="1:46" x14ac:dyDescent="0.4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22"/>
      <c r="Z659" s="122"/>
      <c r="AA659" s="122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26"/>
      <c r="AQ659" s="13"/>
      <c r="AT659" s="114"/>
    </row>
    <row r="660" spans="1:46" x14ac:dyDescent="0.4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22"/>
      <c r="Z660" s="122"/>
      <c r="AA660" s="122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26"/>
      <c r="AQ660" s="13"/>
      <c r="AT660" s="114"/>
    </row>
    <row r="661" spans="1:46" x14ac:dyDescent="0.4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22"/>
      <c r="Z661" s="122"/>
      <c r="AA661" s="122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26"/>
      <c r="AQ661" s="13"/>
      <c r="AT661" s="114"/>
    </row>
    <row r="662" spans="1:46" x14ac:dyDescent="0.4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22"/>
      <c r="Z662" s="122"/>
      <c r="AA662" s="122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26"/>
      <c r="AQ662" s="13"/>
      <c r="AT662" s="114"/>
    </row>
    <row r="663" spans="1:46" x14ac:dyDescent="0.4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22"/>
      <c r="Z663" s="122"/>
      <c r="AA663" s="122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26"/>
      <c r="AQ663" s="13"/>
      <c r="AT663" s="114"/>
    </row>
    <row r="664" spans="1:46" x14ac:dyDescent="0.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22"/>
      <c r="Z664" s="122"/>
      <c r="AA664" s="122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26"/>
      <c r="AQ664" s="13"/>
      <c r="AT664" s="114"/>
    </row>
    <row r="665" spans="1:46" x14ac:dyDescent="0.4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22"/>
      <c r="Z665" s="122"/>
      <c r="AA665" s="122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26"/>
      <c r="AQ665" s="13"/>
      <c r="AT665" s="114"/>
    </row>
    <row r="666" spans="1:46" x14ac:dyDescent="0.4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22"/>
      <c r="Z666" s="122"/>
      <c r="AA666" s="122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26"/>
      <c r="AQ666" s="13"/>
      <c r="AT666" s="114"/>
    </row>
    <row r="667" spans="1:46" x14ac:dyDescent="0.4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22"/>
      <c r="Z667" s="122"/>
      <c r="AA667" s="122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7"/>
      <c r="AQ667" s="13"/>
      <c r="AT667" s="114"/>
    </row>
    <row r="668" spans="1:46" x14ac:dyDescent="0.4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22"/>
      <c r="Z668" s="122"/>
      <c r="AA668" s="122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26"/>
      <c r="AQ668" s="13"/>
      <c r="AT668" s="114"/>
    </row>
    <row r="669" spans="1:46" x14ac:dyDescent="0.4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22"/>
      <c r="Z669" s="122"/>
      <c r="AA669" s="122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7"/>
      <c r="AQ669" s="13"/>
      <c r="AT669" s="114"/>
    </row>
    <row r="670" spans="1:46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22"/>
      <c r="Z670" s="122"/>
      <c r="AA670" s="122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26"/>
      <c r="AQ670" s="13"/>
      <c r="AT670" s="114"/>
    </row>
    <row r="671" spans="1:46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22"/>
      <c r="Z671" s="122"/>
      <c r="AA671" s="122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26"/>
      <c r="AQ671" s="13"/>
      <c r="AT671" s="114"/>
    </row>
    <row r="672" spans="1:46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22"/>
      <c r="Z672" s="122"/>
      <c r="AA672" s="122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26"/>
      <c r="AQ672" s="13"/>
      <c r="AT672" s="114"/>
    </row>
    <row r="673" spans="1:47" x14ac:dyDescent="0.4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22"/>
      <c r="Z673" s="122"/>
      <c r="AA673" s="122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26"/>
      <c r="AQ673" s="15"/>
      <c r="AT673" s="114"/>
    </row>
    <row r="674" spans="1:47" x14ac:dyDescent="0.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22"/>
      <c r="Z674" s="122"/>
      <c r="AA674" s="122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26"/>
      <c r="AQ674" s="15"/>
      <c r="AT674" s="114"/>
    </row>
    <row r="675" spans="1:47" x14ac:dyDescent="0.4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22"/>
      <c r="Z675" s="122"/>
      <c r="AA675" s="122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26"/>
      <c r="AQ675" s="15"/>
      <c r="AT675" s="114"/>
    </row>
    <row r="676" spans="1:47" x14ac:dyDescent="0.4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22"/>
      <c r="Z676" s="122"/>
      <c r="AA676" s="122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26"/>
      <c r="AQ676" s="13"/>
      <c r="AT676" s="114"/>
    </row>
    <row r="677" spans="1:47" x14ac:dyDescent="0.4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22"/>
      <c r="Z677" s="122"/>
      <c r="AA677" s="122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26"/>
      <c r="AQ677" s="15"/>
      <c r="AT677" s="114"/>
    </row>
    <row r="678" spans="1:47" x14ac:dyDescent="0.4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22"/>
      <c r="Z678" s="122"/>
      <c r="AA678" s="122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26"/>
      <c r="AQ678" s="15"/>
      <c r="AT678" s="114"/>
      <c r="AU678" s="120"/>
    </row>
    <row r="679" spans="1:47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22"/>
      <c r="Z679" s="122"/>
      <c r="AA679" s="122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26"/>
      <c r="AQ679" s="15"/>
      <c r="AT679" s="114"/>
      <c r="AU679" s="120"/>
    </row>
    <row r="680" spans="1:47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22"/>
      <c r="Z680" s="122"/>
      <c r="AA680" s="122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26"/>
      <c r="AQ680" s="15"/>
      <c r="AT680" s="114"/>
      <c r="AU680" s="120"/>
    </row>
    <row r="681" spans="1:47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22"/>
      <c r="Z681" s="122"/>
      <c r="AA681" s="122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26"/>
      <c r="AQ681" s="15"/>
      <c r="AT681" s="114"/>
      <c r="AU681" s="120"/>
    </row>
    <row r="682" spans="1:47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22"/>
      <c r="Z682" s="122"/>
      <c r="AA682" s="122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26"/>
      <c r="AQ682" s="15"/>
      <c r="AT682" s="114"/>
      <c r="AU682" s="120"/>
    </row>
    <row r="683" spans="1:47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22"/>
      <c r="Z683" s="122"/>
      <c r="AA683" s="122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26"/>
      <c r="AQ683" s="15"/>
      <c r="AT683" s="114"/>
      <c r="AU683" s="120"/>
    </row>
    <row r="684" spans="1:47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22"/>
      <c r="Z684" s="122"/>
      <c r="AA684" s="122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26"/>
      <c r="AQ684" s="15"/>
      <c r="AT684" s="114"/>
      <c r="AU684" s="120"/>
    </row>
    <row r="685" spans="1:47" x14ac:dyDescent="0.4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22"/>
      <c r="Z685" s="122"/>
      <c r="AA685" s="122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7"/>
      <c r="AQ685" s="15"/>
      <c r="AT685" s="114"/>
      <c r="AU685" s="120"/>
    </row>
    <row r="686" spans="1:47" x14ac:dyDescent="0.4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22"/>
      <c r="Z686" s="122"/>
      <c r="AA686" s="122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26"/>
      <c r="AQ686" s="15"/>
      <c r="AT686" s="114"/>
      <c r="AU686" s="120"/>
    </row>
    <row r="687" spans="1:47" x14ac:dyDescent="0.4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22"/>
      <c r="Z687" s="122"/>
      <c r="AA687" s="122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26"/>
      <c r="AQ687" s="15"/>
      <c r="AT687" s="114"/>
    </row>
    <row r="688" spans="1:47" x14ac:dyDescent="0.4">
      <c r="AP688" s="26"/>
      <c r="AQ688" s="15"/>
      <c r="AT688" s="114"/>
    </row>
    <row r="689" spans="4:50" x14ac:dyDescent="0.4"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7"/>
      <c r="AQ689" s="15"/>
      <c r="AT689" s="114"/>
    </row>
    <row r="690" spans="4:50" x14ac:dyDescent="0.4"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7"/>
      <c r="AQ690" s="15"/>
      <c r="AT690" s="114"/>
    </row>
    <row r="691" spans="4:50" x14ac:dyDescent="0.4">
      <c r="AA691" s="122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7"/>
      <c r="AQ691" s="15"/>
      <c r="AT691" s="114"/>
    </row>
    <row r="692" spans="4:50" x14ac:dyDescent="0.4">
      <c r="V692" s="115"/>
      <c r="W692" s="115"/>
      <c r="X692" s="115"/>
      <c r="Y692" s="122"/>
      <c r="Z692" s="122"/>
      <c r="AA692" s="122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26"/>
      <c r="AQ692" s="15"/>
      <c r="AT692" s="114"/>
    </row>
    <row r="693" spans="4:50" x14ac:dyDescent="0.4">
      <c r="V693" s="115"/>
      <c r="W693" s="115"/>
      <c r="X693" s="115"/>
      <c r="Y693" s="122"/>
      <c r="Z693" s="122"/>
      <c r="AA693" s="122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7"/>
      <c r="AQ693" s="15"/>
      <c r="AT693" s="114"/>
    </row>
    <row r="694" spans="4:50" x14ac:dyDescent="0.4">
      <c r="U694" s="115"/>
      <c r="V694" s="115"/>
      <c r="W694" s="115"/>
      <c r="X694" s="115"/>
      <c r="Y694" s="122"/>
      <c r="Z694" s="122"/>
      <c r="AA694" s="122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26"/>
      <c r="AQ694" s="15"/>
      <c r="AT694" s="114"/>
    </row>
    <row r="695" spans="4:50" x14ac:dyDescent="0.4">
      <c r="U695" s="115"/>
      <c r="V695" s="115"/>
      <c r="W695" s="115"/>
      <c r="X695" s="115"/>
      <c r="Y695" s="122"/>
      <c r="Z695" s="122"/>
      <c r="AA695" s="122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7"/>
      <c r="AQ695" s="15"/>
      <c r="AT695" s="114"/>
    </row>
    <row r="696" spans="4:50" x14ac:dyDescent="0.4">
      <c r="U696" s="115"/>
      <c r="V696" s="115"/>
      <c r="W696" s="115"/>
      <c r="X696" s="115"/>
      <c r="Y696" s="122"/>
      <c r="Z696" s="122"/>
      <c r="AA696" s="122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7"/>
      <c r="AQ696" s="15"/>
      <c r="AT696" s="114"/>
    </row>
    <row r="697" spans="4:50" x14ac:dyDescent="0.4">
      <c r="U697" s="115"/>
      <c r="V697" s="115"/>
      <c r="W697" s="115"/>
      <c r="X697" s="115"/>
      <c r="Y697" s="122"/>
      <c r="Z697" s="122"/>
      <c r="AA697" s="122"/>
      <c r="AB697" s="115"/>
      <c r="AC697" s="115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7"/>
      <c r="AQ697" s="15"/>
      <c r="AT697" s="114"/>
    </row>
    <row r="698" spans="4:50" x14ac:dyDescent="0.4">
      <c r="U698" s="115"/>
      <c r="V698" s="115"/>
      <c r="W698" s="115"/>
      <c r="X698" s="115"/>
      <c r="Y698" s="122"/>
      <c r="Z698" s="122"/>
      <c r="AA698" s="122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26"/>
      <c r="AQ698" s="15"/>
      <c r="AT698" s="114"/>
    </row>
    <row r="699" spans="4:50" x14ac:dyDescent="0.4">
      <c r="U699" s="115"/>
      <c r="V699" s="115"/>
      <c r="W699" s="115"/>
      <c r="X699" s="115"/>
      <c r="Y699" s="122"/>
      <c r="Z699" s="122"/>
      <c r="AA699" s="122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7"/>
      <c r="AQ699" s="15"/>
      <c r="AT699" s="114"/>
    </row>
    <row r="700" spans="4:50" ht="19.5" x14ac:dyDescent="0.4">
      <c r="AP700" s="26"/>
      <c r="AQ700" s="15"/>
      <c r="AU700" s="116"/>
      <c r="AV700" s="116"/>
      <c r="AW700" s="116"/>
      <c r="AX700" s="116"/>
    </row>
    <row r="701" spans="4:50" ht="19.5" x14ac:dyDescent="0.4">
      <c r="Z701" s="122"/>
      <c r="AA701" s="122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7"/>
      <c r="AQ701" s="15"/>
      <c r="AU701" s="117"/>
      <c r="AV701" s="116"/>
      <c r="AW701" s="116"/>
      <c r="AX701" s="116"/>
    </row>
    <row r="702" spans="4:50" ht="19.5" x14ac:dyDescent="0.4">
      <c r="R702" s="115"/>
      <c r="S702" s="115"/>
      <c r="T702" s="115"/>
      <c r="U702" s="115"/>
      <c r="V702" s="115"/>
      <c r="W702" s="115"/>
      <c r="X702" s="115"/>
      <c r="Y702" s="122"/>
      <c r="Z702" s="122"/>
      <c r="AA702" s="122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26"/>
      <c r="AQ702" s="15"/>
      <c r="AU702" s="117"/>
      <c r="AV702" s="116"/>
      <c r="AW702" s="116"/>
      <c r="AX702" s="116"/>
    </row>
    <row r="703" spans="4:50" ht="19.5" x14ac:dyDescent="0.4"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22"/>
      <c r="Z703" s="122"/>
      <c r="AA703" s="122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26"/>
      <c r="AQ703" s="13"/>
      <c r="AU703" s="117"/>
      <c r="AV703" s="116"/>
      <c r="AW703" s="116"/>
      <c r="AX703" s="116"/>
    </row>
    <row r="704" spans="4:50" ht="19.5" x14ac:dyDescent="0.4"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22"/>
      <c r="Z704" s="122"/>
      <c r="AA704" s="122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26"/>
      <c r="AQ704" s="15"/>
      <c r="AU704" s="117"/>
      <c r="AV704" s="116"/>
      <c r="AW704" s="116"/>
      <c r="AX704" s="116"/>
    </row>
    <row r="705" spans="1:50" ht="19.5" x14ac:dyDescent="0.4"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22"/>
      <c r="Z705" s="122"/>
      <c r="AA705" s="122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7"/>
      <c r="AQ705" s="15"/>
      <c r="AU705" s="117"/>
      <c r="AV705" s="116"/>
      <c r="AW705" s="116"/>
      <c r="AX705" s="116"/>
    </row>
    <row r="706" spans="1:50" ht="19.5" x14ac:dyDescent="0.4"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22"/>
      <c r="Z706" s="122"/>
      <c r="AA706" s="122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26"/>
      <c r="AQ706" s="15"/>
      <c r="AU706" s="117"/>
      <c r="AV706" s="116"/>
      <c r="AW706" s="116"/>
      <c r="AX706" s="116"/>
    </row>
    <row r="707" spans="1:50" ht="19.5" x14ac:dyDescent="0.4"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22"/>
      <c r="Z707" s="122"/>
      <c r="AA707" s="122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26"/>
      <c r="AQ707" s="15"/>
      <c r="AU707" s="117"/>
      <c r="AV707" s="116"/>
      <c r="AW707" s="116"/>
      <c r="AX707" s="116"/>
    </row>
    <row r="708" spans="1:50" ht="19.5" x14ac:dyDescent="0.4"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22"/>
      <c r="Z708" s="122"/>
      <c r="AA708" s="122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7"/>
      <c r="AQ708" s="15"/>
      <c r="AU708" s="117"/>
      <c r="AV708" s="116"/>
      <c r="AW708" s="116"/>
      <c r="AX708" s="116"/>
    </row>
    <row r="709" spans="1:50" ht="19.5" x14ac:dyDescent="0.4"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22"/>
      <c r="Z709" s="122"/>
      <c r="AA709" s="122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26"/>
      <c r="AQ709" s="15"/>
      <c r="AU709" s="117"/>
      <c r="AV709" s="116"/>
      <c r="AW709" s="116"/>
      <c r="AX709" s="116"/>
    </row>
    <row r="710" spans="1:50" ht="19.5" x14ac:dyDescent="0.4">
      <c r="AP710" s="26"/>
      <c r="AQ710" s="15"/>
      <c r="AU710" s="117"/>
      <c r="AV710" s="116"/>
      <c r="AW710" s="116"/>
      <c r="AX710" s="116"/>
    </row>
    <row r="711" spans="1:50" ht="19.5" x14ac:dyDescent="0.4">
      <c r="Z711" s="122"/>
      <c r="AA711" s="122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7"/>
      <c r="AQ711" s="15"/>
      <c r="AU711" s="117"/>
      <c r="AV711" s="116"/>
      <c r="AW711" s="116"/>
      <c r="AX711" s="116"/>
    </row>
    <row r="712" spans="1:50" ht="19.5" x14ac:dyDescent="0.4">
      <c r="W712" s="115"/>
      <c r="X712" s="115"/>
      <c r="Y712" s="122"/>
      <c r="Z712" s="122"/>
      <c r="AA712" s="122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26"/>
      <c r="AQ712" s="15"/>
      <c r="AU712" s="117"/>
      <c r="AV712" s="116"/>
      <c r="AW712" s="116"/>
      <c r="AX712" s="116"/>
    </row>
    <row r="713" spans="1:50" ht="19.5" x14ac:dyDescent="0.4">
      <c r="W713" s="115"/>
      <c r="X713" s="115"/>
      <c r="Y713" s="122"/>
      <c r="Z713" s="122"/>
      <c r="AA713" s="122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7"/>
      <c r="AQ713" s="15"/>
      <c r="AU713" s="117"/>
      <c r="AV713" s="116"/>
      <c r="AW713" s="116"/>
      <c r="AX713" s="116"/>
    </row>
    <row r="714" spans="1:50" ht="19.5" x14ac:dyDescent="0.4">
      <c r="V714" s="115"/>
      <c r="W714" s="115"/>
      <c r="X714" s="115"/>
      <c r="Y714" s="122"/>
      <c r="Z714" s="122"/>
      <c r="AA714" s="122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26"/>
      <c r="AQ714" s="15"/>
      <c r="AU714" s="117"/>
      <c r="AV714" s="116"/>
      <c r="AW714" s="116"/>
      <c r="AX714" s="116"/>
    </row>
    <row r="715" spans="1:50" ht="19.5" x14ac:dyDescent="0.4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22"/>
      <c r="Z715" s="122"/>
      <c r="AA715" s="122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26"/>
      <c r="AQ715" s="15"/>
      <c r="AU715" s="117"/>
      <c r="AV715" s="116"/>
      <c r="AW715" s="116"/>
      <c r="AX715" s="116"/>
    </row>
    <row r="716" spans="1:50" ht="19.5" x14ac:dyDescent="0.4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22"/>
      <c r="Z716" s="122"/>
      <c r="AA716" s="122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26"/>
      <c r="AQ716" s="15"/>
      <c r="AU716" s="117"/>
      <c r="AV716" s="116"/>
      <c r="AW716" s="116"/>
      <c r="AX716" s="116"/>
    </row>
    <row r="717" spans="1:50" ht="19.5" x14ac:dyDescent="0.4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22"/>
      <c r="Z717" s="122"/>
      <c r="AA717" s="122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26"/>
      <c r="AQ717" s="15"/>
      <c r="AU717" s="117"/>
      <c r="AV717" s="116"/>
      <c r="AW717" s="116"/>
      <c r="AX717" s="116"/>
    </row>
    <row r="718" spans="1:50" ht="19.5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22"/>
      <c r="Z718" s="122"/>
      <c r="AA718" s="122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26"/>
      <c r="AQ718" s="105"/>
      <c r="AU718" s="117"/>
      <c r="AV718" s="116"/>
      <c r="AW718" s="116"/>
      <c r="AX718" s="116"/>
    </row>
    <row r="719" spans="1:50" ht="19.5" x14ac:dyDescent="0.4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22"/>
      <c r="Z719" s="122"/>
      <c r="AA719" s="122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26"/>
      <c r="AQ719" s="105"/>
      <c r="AU719" s="117"/>
      <c r="AV719" s="116"/>
      <c r="AW719" s="116"/>
      <c r="AX719" s="116"/>
    </row>
    <row r="720" spans="1:50" ht="19.5" x14ac:dyDescent="0.4">
      <c r="AP720" s="26"/>
      <c r="AQ720" s="13"/>
      <c r="AU720" s="117"/>
      <c r="AV720" s="116"/>
      <c r="AW720" s="116"/>
      <c r="AX720" s="116"/>
    </row>
    <row r="721" spans="3:50" ht="19.5" x14ac:dyDescent="0.4">
      <c r="W721" s="115"/>
      <c r="X721" s="115"/>
      <c r="Y721" s="122"/>
      <c r="Z721" s="122"/>
      <c r="AA721" s="122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26"/>
      <c r="AQ721" s="13"/>
      <c r="AU721" s="117"/>
      <c r="AV721" s="116"/>
      <c r="AW721" s="116"/>
      <c r="AX721" s="116"/>
    </row>
    <row r="722" spans="3:50" ht="19.5" x14ac:dyDescent="0.4">
      <c r="R722" s="115"/>
      <c r="S722" s="115"/>
      <c r="T722" s="115"/>
      <c r="U722" s="115"/>
      <c r="V722" s="115"/>
      <c r="W722" s="115"/>
      <c r="X722" s="115"/>
      <c r="Y722" s="122"/>
      <c r="Z722" s="122"/>
      <c r="AA722" s="122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26"/>
      <c r="AQ722" s="13"/>
      <c r="AU722" s="117"/>
      <c r="AV722" s="116"/>
      <c r="AW722" s="116"/>
      <c r="AX722" s="116"/>
    </row>
    <row r="723" spans="3:50" ht="19.5" x14ac:dyDescent="0.4">
      <c r="AP723" s="26"/>
      <c r="AQ723" s="13"/>
      <c r="AU723" s="117"/>
      <c r="AV723" s="116"/>
      <c r="AW723" s="116"/>
      <c r="AX723" s="116"/>
    </row>
    <row r="724" spans="3:50" ht="19.5" x14ac:dyDescent="0.4"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22"/>
      <c r="Z724" s="122"/>
      <c r="AA724" s="122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26"/>
      <c r="AQ724" s="13"/>
      <c r="AU724" s="117"/>
      <c r="AV724" s="116"/>
      <c r="AW724" s="116"/>
      <c r="AX724" s="116"/>
    </row>
    <row r="725" spans="3:50" ht="19.5" x14ac:dyDescent="0.4"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22"/>
      <c r="Z725" s="122"/>
      <c r="AA725" s="122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26"/>
      <c r="AQ725" s="13"/>
      <c r="AU725" s="117"/>
      <c r="AV725" s="116"/>
      <c r="AW725" s="116"/>
      <c r="AX725" s="116"/>
    </row>
    <row r="726" spans="3:50" ht="19.5" x14ac:dyDescent="0.4"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22"/>
      <c r="Z726" s="122"/>
      <c r="AA726" s="122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26"/>
      <c r="AQ726" s="13"/>
      <c r="AU726" s="117"/>
      <c r="AV726" s="116"/>
      <c r="AW726" s="116"/>
      <c r="AX726" s="116"/>
    </row>
    <row r="727" spans="3:50" ht="19.5" x14ac:dyDescent="0.4"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22"/>
      <c r="Z727" s="122"/>
      <c r="AA727" s="122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26"/>
      <c r="AQ727" s="13"/>
      <c r="AU727" s="117"/>
      <c r="AV727" s="116"/>
      <c r="AW727" s="116"/>
      <c r="AX727" s="116"/>
    </row>
    <row r="728" spans="3:50" ht="19.5" x14ac:dyDescent="0.4"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22"/>
      <c r="Z728" s="122"/>
      <c r="AA728" s="122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26"/>
      <c r="AQ728" s="13"/>
      <c r="AU728" s="117"/>
      <c r="AV728" s="116"/>
      <c r="AW728" s="116"/>
      <c r="AX728" s="116"/>
    </row>
    <row r="729" spans="3:50" ht="19.5" x14ac:dyDescent="0.4"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22"/>
      <c r="Z729" s="122"/>
      <c r="AA729" s="122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26"/>
      <c r="AQ729" s="13"/>
      <c r="AU729" s="117"/>
      <c r="AV729" s="116"/>
      <c r="AW729" s="116"/>
      <c r="AX729" s="116"/>
    </row>
    <row r="730" spans="3:50" ht="19.5" x14ac:dyDescent="0.4"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22"/>
      <c r="Z730" s="122"/>
      <c r="AA730" s="122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26"/>
      <c r="AQ730" s="13"/>
      <c r="AU730" s="117"/>
      <c r="AV730" s="116"/>
      <c r="AW730" s="116"/>
      <c r="AX730" s="116"/>
    </row>
    <row r="731" spans="3:50" ht="19.5" x14ac:dyDescent="0.4"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22"/>
      <c r="Z731" s="122"/>
      <c r="AA731" s="122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26"/>
      <c r="AQ731" s="13"/>
      <c r="AU731" s="117"/>
      <c r="AV731" s="116"/>
      <c r="AW731" s="116"/>
      <c r="AX731" s="116"/>
    </row>
    <row r="732" spans="3:50" ht="19.5" x14ac:dyDescent="0.4">
      <c r="AP732" s="26"/>
      <c r="AQ732" s="15"/>
      <c r="AU732" s="117"/>
      <c r="AV732" s="116"/>
      <c r="AW732" s="116"/>
      <c r="AX732" s="116"/>
    </row>
    <row r="733" spans="3:50" ht="19.5" x14ac:dyDescent="0.4"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22"/>
      <c r="Z733" s="122"/>
      <c r="AA733" s="122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26"/>
      <c r="AQ733" s="15"/>
      <c r="AU733" s="117"/>
      <c r="AV733" s="116"/>
      <c r="AW733" s="116"/>
      <c r="AX733" s="116"/>
    </row>
    <row r="734" spans="3:50" ht="19.5" x14ac:dyDescent="0.4"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22"/>
      <c r="Z734" s="122"/>
      <c r="AA734" s="122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7"/>
      <c r="AQ734" s="15"/>
      <c r="AU734" s="117"/>
      <c r="AV734" s="116"/>
      <c r="AW734" s="116"/>
      <c r="AX734" s="116"/>
    </row>
    <row r="735" spans="3:50" ht="19.5" x14ac:dyDescent="0.4">
      <c r="AP735" s="26"/>
      <c r="AQ735" s="15"/>
      <c r="AU735" s="117"/>
      <c r="AV735" s="116"/>
      <c r="AW735" s="116"/>
      <c r="AX735" s="116"/>
    </row>
    <row r="736" spans="3:50" ht="19.5" x14ac:dyDescent="0.4">
      <c r="AP736" s="26"/>
      <c r="AQ736" s="13"/>
      <c r="AU736" s="117"/>
      <c r="AV736" s="116"/>
      <c r="AW736" s="116"/>
      <c r="AX736" s="116"/>
    </row>
    <row r="737" spans="1:50" ht="19.5" x14ac:dyDescent="0.4">
      <c r="V737" s="115"/>
      <c r="W737" s="115"/>
      <c r="X737" s="115"/>
      <c r="Y737" s="122"/>
      <c r="Z737" s="122"/>
      <c r="AA737" s="122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26"/>
      <c r="AQ737" s="13"/>
      <c r="AU737" s="117"/>
      <c r="AV737" s="116"/>
      <c r="AW737" s="116"/>
      <c r="AX737" s="116"/>
    </row>
    <row r="738" spans="1:50" ht="19.5" x14ac:dyDescent="0.4"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22"/>
      <c r="Z738" s="122"/>
      <c r="AA738" s="122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26"/>
      <c r="AQ738" s="13"/>
      <c r="AU738" s="117"/>
      <c r="AV738" s="116"/>
      <c r="AW738" s="116"/>
      <c r="AX738" s="116"/>
    </row>
    <row r="739" spans="1:50" ht="19.5" x14ac:dyDescent="0.4"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22"/>
      <c r="Z739" s="122"/>
      <c r="AA739" s="122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7"/>
      <c r="AQ739" s="13"/>
      <c r="AU739" s="117"/>
      <c r="AV739" s="116"/>
      <c r="AW739" s="116"/>
      <c r="AX739" s="116"/>
    </row>
    <row r="740" spans="1:50" ht="19.5" x14ac:dyDescent="0.4"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22"/>
      <c r="Z740" s="122"/>
      <c r="AA740" s="122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26"/>
      <c r="AQ740" s="25"/>
      <c r="AU740" s="117"/>
      <c r="AV740" s="116"/>
      <c r="AW740" s="116"/>
      <c r="AX740" s="116"/>
    </row>
    <row r="741" spans="1:50" ht="19.5" x14ac:dyDescent="0.4"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22"/>
      <c r="Z741" s="122"/>
      <c r="AA741" s="122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7"/>
      <c r="AQ741" s="13"/>
      <c r="AU741" s="117"/>
      <c r="AV741" s="116"/>
      <c r="AW741" s="116"/>
      <c r="AX741" s="116"/>
    </row>
    <row r="742" spans="1:50" ht="19.5" x14ac:dyDescent="0.4"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22"/>
      <c r="Z742" s="122"/>
      <c r="AA742" s="122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26"/>
      <c r="AQ742" s="13"/>
      <c r="AU742" s="117"/>
      <c r="AV742" s="116"/>
      <c r="AW742" s="116"/>
      <c r="AX742" s="116"/>
    </row>
    <row r="743" spans="1:50" ht="19.5" x14ac:dyDescent="0.4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22"/>
      <c r="Z743" s="122"/>
      <c r="AA743" s="122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26"/>
      <c r="AQ743" s="13"/>
      <c r="AU743" s="117"/>
      <c r="AV743" s="116"/>
      <c r="AW743" s="116"/>
      <c r="AX743" s="116"/>
    </row>
    <row r="744" spans="1:50" ht="19.5" x14ac:dyDescent="0.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22"/>
      <c r="Z744" s="122"/>
      <c r="AA744" s="122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26"/>
      <c r="AQ744" s="13"/>
      <c r="AU744" s="117"/>
      <c r="AV744" s="116"/>
      <c r="AW744" s="116"/>
      <c r="AX744" s="116"/>
    </row>
    <row r="745" spans="1:50" ht="19.5" x14ac:dyDescent="0.4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22"/>
      <c r="Z745" s="122"/>
      <c r="AA745" s="122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26"/>
      <c r="AQ745" s="13"/>
      <c r="AU745" s="117"/>
      <c r="AV745" s="116"/>
      <c r="AW745" s="116"/>
      <c r="AX745" s="116"/>
    </row>
    <row r="746" spans="1:50" ht="19.5" x14ac:dyDescent="0.4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22"/>
      <c r="Z746" s="122"/>
      <c r="AA746" s="122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26"/>
      <c r="AQ746" s="13"/>
      <c r="AU746" s="117"/>
      <c r="AV746" s="116"/>
      <c r="AW746" s="116"/>
      <c r="AX746" s="116"/>
    </row>
    <row r="747" spans="1:50" ht="19.5" x14ac:dyDescent="0.4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22"/>
      <c r="Z747" s="122"/>
      <c r="AA747" s="122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26"/>
      <c r="AQ747" s="13"/>
      <c r="AU747" s="117"/>
      <c r="AV747" s="116"/>
      <c r="AW747" s="116"/>
      <c r="AX747" s="116"/>
    </row>
    <row r="748" spans="1:50" ht="19.5" x14ac:dyDescent="0.4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22"/>
      <c r="Z748" s="122"/>
      <c r="AA748" s="122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26"/>
      <c r="AQ748" s="13"/>
      <c r="AU748" s="117"/>
      <c r="AV748" s="116"/>
      <c r="AW748" s="116"/>
      <c r="AX748" s="116"/>
    </row>
    <row r="749" spans="1:50" ht="19.5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22"/>
      <c r="Z749" s="122"/>
      <c r="AA749" s="122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26"/>
      <c r="AQ749" s="13"/>
      <c r="AU749" s="117"/>
      <c r="AV749" s="116"/>
      <c r="AW749" s="116"/>
      <c r="AX749" s="116"/>
    </row>
    <row r="750" spans="1:50" ht="19.5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22"/>
      <c r="Z750" s="122"/>
      <c r="AA750" s="122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26"/>
      <c r="AQ750" s="15"/>
      <c r="AU750" s="117"/>
      <c r="AV750" s="116"/>
      <c r="AW750" s="116"/>
      <c r="AX750" s="116"/>
    </row>
    <row r="751" spans="1:50" ht="19.5" x14ac:dyDescent="0.4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22"/>
      <c r="Z751" s="122"/>
      <c r="AA751" s="122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26"/>
      <c r="AQ751" s="15"/>
      <c r="AU751" s="117"/>
      <c r="AV751" s="116"/>
      <c r="AW751" s="116"/>
      <c r="AX751" s="116"/>
    </row>
    <row r="752" spans="1:50" ht="19.5" x14ac:dyDescent="0.4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22"/>
      <c r="Z752" s="122"/>
      <c r="AA752" s="122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26"/>
      <c r="AQ752" s="15"/>
      <c r="AU752" s="117"/>
      <c r="AV752" s="116"/>
      <c r="AW752" s="116"/>
      <c r="AX752" s="116"/>
    </row>
    <row r="753" spans="1:50" ht="19.5" x14ac:dyDescent="0.4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22"/>
      <c r="Z753" s="122"/>
      <c r="AA753" s="122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26"/>
      <c r="AQ753" s="15"/>
      <c r="AU753" s="117"/>
      <c r="AV753" s="116"/>
      <c r="AW753" s="116"/>
      <c r="AX753" s="116"/>
    </row>
    <row r="754" spans="1:50" ht="19.5" x14ac:dyDescent="0.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22"/>
      <c r="Z754" s="122"/>
      <c r="AA754" s="122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26"/>
      <c r="AQ754" s="25"/>
      <c r="AU754" s="117"/>
      <c r="AV754" s="116"/>
      <c r="AW754" s="116"/>
      <c r="AX754" s="116"/>
    </row>
    <row r="755" spans="1:50" ht="19.5" x14ac:dyDescent="0.4">
      <c r="AP755" s="26"/>
      <c r="AQ755" s="15"/>
      <c r="AU755" s="117"/>
      <c r="AV755" s="116"/>
      <c r="AW755" s="116"/>
      <c r="AX755" s="116"/>
    </row>
    <row r="756" spans="1:50" ht="19.5" x14ac:dyDescent="0.4">
      <c r="X756" s="115"/>
      <c r="Y756" s="122"/>
      <c r="Z756" s="122"/>
      <c r="AA756" s="122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26"/>
      <c r="AQ756" s="15"/>
      <c r="AU756" s="117"/>
      <c r="AV756" s="116"/>
      <c r="AW756" s="116"/>
      <c r="AX756" s="116"/>
    </row>
    <row r="757" spans="1:50" ht="19.5" x14ac:dyDescent="0.4">
      <c r="V757" s="115"/>
      <c r="W757" s="115"/>
      <c r="X757" s="115"/>
      <c r="Y757" s="122"/>
      <c r="Z757" s="122"/>
      <c r="AA757" s="122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26"/>
      <c r="AQ757" s="15"/>
      <c r="AU757" s="117"/>
      <c r="AV757" s="116"/>
      <c r="AW757" s="116"/>
      <c r="AX757" s="116"/>
    </row>
    <row r="758" spans="1:50" ht="19.5" x14ac:dyDescent="0.4">
      <c r="V758" s="115"/>
      <c r="W758" s="115"/>
      <c r="X758" s="115"/>
      <c r="Y758" s="122"/>
      <c r="Z758" s="122"/>
      <c r="AA758" s="122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7"/>
      <c r="AQ758" s="15"/>
      <c r="AU758" s="117"/>
      <c r="AV758" s="116"/>
      <c r="AW758" s="116"/>
      <c r="AX758" s="116"/>
    </row>
    <row r="759" spans="1:50" ht="19.5" x14ac:dyDescent="0.4">
      <c r="S759" s="115"/>
      <c r="T759" s="115"/>
      <c r="U759" s="115"/>
      <c r="V759" s="115"/>
      <c r="W759" s="115"/>
      <c r="X759" s="115"/>
      <c r="Y759" s="122"/>
      <c r="Z759" s="122"/>
      <c r="AA759" s="122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26"/>
      <c r="AQ759" s="15"/>
      <c r="AU759" s="117"/>
      <c r="AV759" s="116"/>
      <c r="AW759" s="116"/>
      <c r="AX759" s="116"/>
    </row>
    <row r="760" spans="1:50" ht="19.5" x14ac:dyDescent="0.4">
      <c r="S760" s="115"/>
      <c r="T760" s="115"/>
      <c r="U760" s="115"/>
      <c r="V760" s="115"/>
      <c r="W760" s="115"/>
      <c r="X760" s="115"/>
      <c r="Y760" s="122"/>
      <c r="Z760" s="122"/>
      <c r="AA760" s="122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7"/>
      <c r="AQ760" s="15"/>
      <c r="AU760" s="117"/>
      <c r="AV760" s="116"/>
      <c r="AW760" s="116"/>
      <c r="AX760" s="116"/>
    </row>
    <row r="761" spans="1:50" ht="19.5" x14ac:dyDescent="0.4">
      <c r="S761" s="115"/>
      <c r="T761" s="115"/>
      <c r="U761" s="115"/>
      <c r="V761" s="115"/>
      <c r="W761" s="115"/>
      <c r="X761" s="115"/>
      <c r="Y761" s="122"/>
      <c r="Z761" s="122"/>
      <c r="AA761" s="122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26"/>
      <c r="AQ761" s="15"/>
      <c r="AU761" s="117"/>
      <c r="AV761" s="116"/>
      <c r="AW761" s="116"/>
      <c r="AX761" s="116"/>
    </row>
    <row r="762" spans="1:50" ht="19.5" x14ac:dyDescent="0.4">
      <c r="S762" s="115"/>
      <c r="T762" s="115"/>
      <c r="U762" s="115"/>
      <c r="V762" s="115"/>
      <c r="W762" s="115"/>
      <c r="X762" s="115"/>
      <c r="Y762" s="122"/>
      <c r="Z762" s="122"/>
      <c r="AA762" s="122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7"/>
      <c r="AQ762" s="13"/>
      <c r="AU762" s="117"/>
      <c r="AV762" s="116"/>
      <c r="AW762" s="116"/>
      <c r="AX762" s="116"/>
    </row>
    <row r="763" spans="1:50" ht="19.5" x14ac:dyDescent="0.4">
      <c r="S763" s="115"/>
      <c r="T763" s="115"/>
      <c r="U763" s="115"/>
      <c r="V763" s="115"/>
      <c r="W763" s="115"/>
      <c r="X763" s="115"/>
      <c r="Y763" s="122"/>
      <c r="Z763" s="122"/>
      <c r="AA763" s="122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7"/>
      <c r="AQ763" s="13"/>
      <c r="AU763" s="117"/>
      <c r="AV763" s="116"/>
      <c r="AW763" s="116"/>
      <c r="AX763" s="116"/>
    </row>
    <row r="764" spans="1:50" ht="19.5" x14ac:dyDescent="0.4">
      <c r="AP764" s="26"/>
      <c r="AQ764" s="13"/>
      <c r="AU764" s="117"/>
      <c r="AV764" s="116"/>
      <c r="AW764" s="116"/>
      <c r="AX764" s="116"/>
    </row>
    <row r="765" spans="1:50" ht="19.5" x14ac:dyDescent="0.4">
      <c r="X765" s="115"/>
      <c r="Y765" s="122"/>
      <c r="Z765" s="122"/>
      <c r="AA765" s="122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7"/>
      <c r="AQ765" s="13"/>
      <c r="AU765" s="117"/>
      <c r="AV765" s="116"/>
      <c r="AW765" s="116"/>
      <c r="AX765" s="116"/>
    </row>
    <row r="766" spans="1:50" ht="19.5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22"/>
      <c r="Z766" s="122"/>
      <c r="AA766" s="122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26"/>
      <c r="AQ766" s="13"/>
      <c r="AU766" s="117"/>
      <c r="AV766" s="116"/>
      <c r="AW766" s="116"/>
      <c r="AX766" s="116"/>
    </row>
    <row r="767" spans="1:50" ht="19.5" x14ac:dyDescent="0.4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22"/>
      <c r="Z767" s="122"/>
      <c r="AA767" s="122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26"/>
      <c r="AQ767" s="13"/>
      <c r="AU767" s="117"/>
      <c r="AV767" s="116"/>
      <c r="AW767" s="116"/>
      <c r="AX767" s="116"/>
    </row>
    <row r="768" spans="1:50" ht="19.5" x14ac:dyDescent="0.4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22"/>
      <c r="Z768" s="122"/>
      <c r="AA768" s="122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26"/>
      <c r="AQ768" s="13"/>
      <c r="AU768" s="117"/>
      <c r="AV768" s="116"/>
      <c r="AW768" s="116"/>
      <c r="AX768" s="116"/>
    </row>
    <row r="769" spans="1:50" ht="19.5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22"/>
      <c r="Z769" s="122"/>
      <c r="AA769" s="122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26"/>
      <c r="AQ769" s="13"/>
      <c r="AU769" s="117"/>
      <c r="AV769" s="116"/>
      <c r="AW769" s="116"/>
      <c r="AX769" s="116"/>
    </row>
    <row r="770" spans="1:50" ht="19.5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22"/>
      <c r="Z770" s="122"/>
      <c r="AA770" s="122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7"/>
      <c r="AQ770" s="13"/>
      <c r="AU770" s="117"/>
      <c r="AV770" s="116"/>
      <c r="AW770" s="116"/>
      <c r="AX770" s="116"/>
    </row>
    <row r="771" spans="1:50" ht="19.5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22"/>
      <c r="Z771" s="122"/>
      <c r="AA771" s="122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26"/>
      <c r="AQ771" s="13"/>
      <c r="AU771" s="117"/>
      <c r="AV771" s="116"/>
      <c r="AW771" s="116"/>
      <c r="AX771" s="116"/>
    </row>
    <row r="772" spans="1:50" ht="19.5" x14ac:dyDescent="0.4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22"/>
      <c r="Z772" s="122"/>
      <c r="AA772" s="122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26"/>
      <c r="AQ772" s="15"/>
      <c r="AU772" s="117"/>
      <c r="AV772" s="116"/>
      <c r="AW772" s="116"/>
      <c r="AX772" s="116"/>
    </row>
    <row r="773" spans="1:50" ht="19.5" x14ac:dyDescent="0.4">
      <c r="AP773" s="26"/>
      <c r="AQ773" s="15"/>
      <c r="AU773" s="117"/>
      <c r="AV773" s="116"/>
      <c r="AW773" s="116"/>
      <c r="AX773" s="116"/>
    </row>
    <row r="774" spans="1:50" ht="19.5" x14ac:dyDescent="0.4">
      <c r="W774" s="115"/>
      <c r="X774" s="115"/>
      <c r="Y774" s="122"/>
      <c r="Z774" s="122"/>
      <c r="AA774" s="122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26"/>
      <c r="AQ774" s="13"/>
      <c r="AU774" s="117"/>
      <c r="AV774" s="116"/>
      <c r="AW774" s="116"/>
      <c r="AX774" s="116"/>
    </row>
    <row r="775" spans="1:50" ht="19.5" x14ac:dyDescent="0.4">
      <c r="U775" s="115"/>
      <c r="V775" s="115"/>
      <c r="W775" s="115"/>
      <c r="X775" s="115"/>
      <c r="Y775" s="122"/>
      <c r="Z775" s="122"/>
      <c r="AA775" s="122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26"/>
      <c r="AQ775" s="15"/>
      <c r="AU775" s="117"/>
      <c r="AV775" s="116"/>
      <c r="AW775" s="116"/>
      <c r="AX775" s="116"/>
    </row>
    <row r="776" spans="1:50" ht="19.5" x14ac:dyDescent="0.4">
      <c r="U776" s="115"/>
      <c r="V776" s="115"/>
      <c r="W776" s="115"/>
      <c r="X776" s="115"/>
      <c r="Y776" s="122"/>
      <c r="Z776" s="122"/>
      <c r="AA776" s="122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26"/>
      <c r="AQ776" s="15"/>
      <c r="AU776" s="117"/>
      <c r="AV776" s="116"/>
      <c r="AW776" s="116"/>
      <c r="AX776" s="116"/>
    </row>
    <row r="777" spans="1:50" ht="19.5" x14ac:dyDescent="0.4">
      <c r="U777" s="115"/>
      <c r="V777" s="115"/>
      <c r="W777" s="115"/>
      <c r="X777" s="115"/>
      <c r="Y777" s="122"/>
      <c r="Z777" s="122"/>
      <c r="AA777" s="122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7"/>
      <c r="AQ777" s="15"/>
      <c r="AU777" s="117"/>
      <c r="AV777" s="116"/>
      <c r="AW777" s="116"/>
      <c r="AX777" s="116"/>
    </row>
    <row r="778" spans="1:50" ht="19.5" x14ac:dyDescent="0.4">
      <c r="T778" s="115"/>
      <c r="U778" s="115"/>
      <c r="V778" s="115"/>
      <c r="W778" s="115"/>
      <c r="X778" s="115"/>
      <c r="Y778" s="122"/>
      <c r="Z778" s="122"/>
      <c r="AA778" s="122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26"/>
      <c r="AQ778" s="15"/>
      <c r="AU778" s="117"/>
      <c r="AV778" s="116"/>
      <c r="AW778" s="116"/>
      <c r="AX778" s="116"/>
    </row>
    <row r="779" spans="1:50" ht="19.5" x14ac:dyDescent="0.4">
      <c r="T779" s="115"/>
      <c r="U779" s="115"/>
      <c r="V779" s="115"/>
      <c r="W779" s="115"/>
      <c r="X779" s="115"/>
      <c r="Y779" s="122"/>
      <c r="Z779" s="122"/>
      <c r="AA779" s="122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26"/>
      <c r="AQ779" s="15"/>
      <c r="AU779" s="117"/>
      <c r="AV779" s="116"/>
      <c r="AW779" s="116"/>
      <c r="AX779" s="116"/>
    </row>
    <row r="780" spans="1:50" ht="19.5" x14ac:dyDescent="0.4">
      <c r="T780" s="115"/>
      <c r="U780" s="115"/>
      <c r="V780" s="115"/>
      <c r="W780" s="115"/>
      <c r="X780" s="115"/>
      <c r="Y780" s="122"/>
      <c r="Z780" s="122"/>
      <c r="AA780" s="122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26"/>
      <c r="AQ780" s="105"/>
      <c r="AU780" s="117"/>
      <c r="AV780" s="116"/>
      <c r="AW780" s="116"/>
      <c r="AX780" s="116"/>
    </row>
    <row r="781" spans="1:50" ht="19.5" x14ac:dyDescent="0.4">
      <c r="T781" s="115"/>
      <c r="U781" s="115"/>
      <c r="V781" s="115"/>
      <c r="W781" s="115"/>
      <c r="X781" s="115"/>
      <c r="Y781" s="122"/>
      <c r="Z781" s="122"/>
      <c r="AA781" s="122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7"/>
      <c r="AQ781" s="15"/>
      <c r="AU781" s="117"/>
      <c r="AV781" s="116"/>
      <c r="AW781" s="116"/>
      <c r="AX781" s="116"/>
    </row>
    <row r="782" spans="1:50" ht="19.5" x14ac:dyDescent="0.4">
      <c r="T782" s="115"/>
      <c r="U782" s="115"/>
      <c r="V782" s="115"/>
      <c r="W782" s="115"/>
      <c r="X782" s="115"/>
      <c r="Y782" s="122"/>
      <c r="Z782" s="122"/>
      <c r="AA782" s="122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26"/>
      <c r="AQ782" s="15"/>
      <c r="AU782" s="117"/>
      <c r="AV782" s="116"/>
      <c r="AW782" s="116"/>
      <c r="AX782" s="116"/>
    </row>
    <row r="783" spans="1:50" ht="19.5" x14ac:dyDescent="0.4">
      <c r="T783" s="115"/>
      <c r="U783" s="115"/>
      <c r="V783" s="115"/>
      <c r="W783" s="115"/>
      <c r="X783" s="115"/>
      <c r="Y783" s="122"/>
      <c r="Z783" s="122"/>
      <c r="AA783" s="122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7"/>
      <c r="AQ783" s="15"/>
      <c r="AU783" s="117"/>
      <c r="AV783" s="116"/>
      <c r="AW783" s="116"/>
      <c r="AX783" s="116"/>
    </row>
    <row r="784" spans="1:50" ht="19.5" x14ac:dyDescent="0.4"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22"/>
      <c r="Z784" s="122"/>
      <c r="AA784" s="122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26"/>
      <c r="AQ784" s="15"/>
      <c r="AU784" s="117"/>
      <c r="AV784" s="116"/>
      <c r="AW784" s="116"/>
      <c r="AX784" s="116"/>
    </row>
    <row r="785" spans="1:50" ht="19.5" x14ac:dyDescent="0.4"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22"/>
      <c r="Z785" s="122"/>
      <c r="AA785" s="122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7"/>
      <c r="AQ785" s="15"/>
      <c r="AU785" s="117"/>
      <c r="AV785" s="116"/>
      <c r="AW785" s="116"/>
      <c r="AX785" s="116"/>
    </row>
    <row r="786" spans="1:50" ht="19.5" x14ac:dyDescent="0.4"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22"/>
      <c r="Z786" s="122"/>
      <c r="AA786" s="122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26"/>
      <c r="AQ786" s="15"/>
      <c r="AU786" s="117"/>
      <c r="AV786" s="116"/>
      <c r="AW786" s="116"/>
      <c r="AX786" s="116"/>
    </row>
    <row r="787" spans="1:50" ht="19.5" x14ac:dyDescent="0.4"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22"/>
      <c r="Z787" s="122"/>
      <c r="AA787" s="122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7"/>
      <c r="AQ787" s="15"/>
      <c r="AU787" s="117"/>
      <c r="AV787" s="116"/>
      <c r="AW787" s="116"/>
      <c r="AX787" s="116"/>
    </row>
    <row r="788" spans="1:50" ht="19.5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22"/>
      <c r="Z788" s="122"/>
      <c r="AA788" s="122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26"/>
      <c r="AQ788" s="15"/>
      <c r="AU788" s="117"/>
      <c r="AV788" s="116"/>
      <c r="AW788" s="116"/>
      <c r="AX788" s="116"/>
    </row>
    <row r="789" spans="1:50" ht="19.5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22"/>
      <c r="Z789" s="122"/>
      <c r="AA789" s="122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26"/>
      <c r="AQ789" s="15"/>
      <c r="AU789" s="117"/>
      <c r="AV789" s="116"/>
      <c r="AW789" s="116"/>
      <c r="AX789" s="116"/>
    </row>
    <row r="790" spans="1:50" ht="19.5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22"/>
      <c r="Z790" s="122"/>
      <c r="AA790" s="122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26"/>
      <c r="AQ790" s="15"/>
      <c r="AU790" s="117"/>
      <c r="AV790" s="116"/>
      <c r="AW790" s="116"/>
      <c r="AX790" s="116"/>
    </row>
    <row r="791" spans="1:50" ht="19.5" x14ac:dyDescent="0.4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22"/>
      <c r="Z791" s="122"/>
      <c r="AA791" s="122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26"/>
      <c r="AQ791" s="15"/>
      <c r="AU791" s="117"/>
      <c r="AV791" s="116"/>
      <c r="AW791" s="116"/>
      <c r="AX791" s="116"/>
    </row>
    <row r="792" spans="1:50" ht="19.5" x14ac:dyDescent="0.4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22"/>
      <c r="Z792" s="122"/>
      <c r="AA792" s="122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26"/>
      <c r="AQ792" s="15"/>
      <c r="AU792" s="117"/>
      <c r="AV792" s="116"/>
      <c r="AW792" s="116"/>
      <c r="AX792" s="116"/>
    </row>
    <row r="793" spans="1:50" ht="19.5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22"/>
      <c r="Z793" s="122"/>
      <c r="AA793" s="122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26"/>
      <c r="AQ793" s="15"/>
      <c r="AU793" s="117"/>
      <c r="AV793" s="116"/>
      <c r="AW793" s="116"/>
      <c r="AX793" s="116"/>
    </row>
    <row r="794" spans="1:50" ht="19.5" x14ac:dyDescent="0.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22"/>
      <c r="Z794" s="122"/>
      <c r="AA794" s="122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7"/>
      <c r="AQ794" s="15"/>
      <c r="AU794" s="117"/>
      <c r="AV794" s="116"/>
      <c r="AW794" s="116"/>
      <c r="AX794" s="116"/>
    </row>
    <row r="795" spans="1:50" ht="19.5" x14ac:dyDescent="0.4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22"/>
      <c r="Z795" s="122"/>
      <c r="AA795" s="122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26"/>
      <c r="AQ795" s="15"/>
      <c r="AU795" s="117"/>
      <c r="AV795" s="116"/>
      <c r="AW795" s="116"/>
      <c r="AX795" s="116"/>
    </row>
    <row r="796" spans="1:50" ht="19.5" x14ac:dyDescent="0.4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22"/>
      <c r="Z796" s="122"/>
      <c r="AA796" s="122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7"/>
      <c r="AQ796" s="15"/>
      <c r="AU796" s="117"/>
      <c r="AV796" s="116"/>
      <c r="AW796" s="116"/>
      <c r="AX796" s="116"/>
    </row>
    <row r="797" spans="1:50" ht="19.5" x14ac:dyDescent="0.4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22"/>
      <c r="Z797" s="122"/>
      <c r="AA797" s="122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26"/>
      <c r="AQ797" s="15"/>
      <c r="AU797" s="117"/>
      <c r="AV797" s="116"/>
      <c r="AW797" s="116"/>
      <c r="AX797" s="116"/>
    </row>
    <row r="798" spans="1:50" ht="19.5" x14ac:dyDescent="0.4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22"/>
      <c r="Z798" s="122"/>
      <c r="AA798" s="122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20"/>
      <c r="AQ798" s="15"/>
      <c r="AU798" s="117"/>
      <c r="AV798" s="116"/>
      <c r="AW798" s="116"/>
      <c r="AX798" s="116"/>
    </row>
    <row r="799" spans="1:50" ht="19.5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22"/>
      <c r="Z799" s="122"/>
      <c r="AA799" s="122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20"/>
      <c r="AQ799" s="15"/>
      <c r="AU799" s="117"/>
      <c r="AV799" s="116"/>
      <c r="AW799" s="116"/>
      <c r="AX799" s="116"/>
    </row>
    <row r="800" spans="1:50" ht="19.5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22"/>
      <c r="Z800" s="122"/>
      <c r="AA800" s="122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20"/>
      <c r="AQ800" s="15"/>
      <c r="AU800" s="117"/>
      <c r="AV800" s="116"/>
      <c r="AW800" s="116"/>
      <c r="AX800" s="116"/>
    </row>
    <row r="801" spans="1:50" ht="19.5" x14ac:dyDescent="0.4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22"/>
      <c r="Z801" s="122"/>
      <c r="AA801" s="122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20"/>
      <c r="AQ801" s="15"/>
      <c r="AU801" s="117"/>
      <c r="AV801" s="116"/>
      <c r="AW801" s="116"/>
      <c r="AX801" s="116"/>
    </row>
    <row r="802" spans="1:50" ht="19.5" x14ac:dyDescent="0.4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22"/>
      <c r="Z802" s="122"/>
      <c r="AA802" s="122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25"/>
      <c r="AQ802" s="15"/>
      <c r="AU802" s="117"/>
      <c r="AV802" s="116"/>
      <c r="AW802" s="116"/>
      <c r="AX802" s="116"/>
    </row>
    <row r="803" spans="1:50" ht="19.5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22"/>
      <c r="Z803" s="122"/>
      <c r="AA803" s="122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3"/>
      <c r="AQ803" s="15"/>
      <c r="AU803" s="117"/>
      <c r="AV803" s="116"/>
      <c r="AW803" s="116"/>
      <c r="AX803" s="116"/>
    </row>
    <row r="804" spans="1:50" ht="19.5" x14ac:dyDescent="0.4">
      <c r="AP804" s="25"/>
      <c r="AQ804" s="15"/>
      <c r="AU804" s="117"/>
      <c r="AV804" s="116"/>
      <c r="AW804" s="116"/>
      <c r="AX804" s="116"/>
    </row>
    <row r="805" spans="1:50" ht="19.5" x14ac:dyDescent="0.4">
      <c r="V805" s="115"/>
      <c r="W805" s="115"/>
      <c r="X805" s="115"/>
      <c r="Y805" s="122"/>
      <c r="Z805" s="122"/>
      <c r="AA805" s="122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3"/>
      <c r="AQ805" s="15"/>
      <c r="AU805" s="117"/>
      <c r="AV805" s="116"/>
      <c r="AW805" s="116"/>
      <c r="AX805" s="116"/>
    </row>
    <row r="806" spans="1:50" ht="19.5" x14ac:dyDescent="0.4"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22"/>
      <c r="Z806" s="122"/>
      <c r="AA806" s="122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25"/>
      <c r="AQ806" s="15"/>
      <c r="AU806" s="117"/>
      <c r="AV806" s="116"/>
      <c r="AW806" s="116"/>
      <c r="AX806" s="116"/>
    </row>
    <row r="807" spans="1:50" ht="19.5" x14ac:dyDescent="0.4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22"/>
      <c r="Z807" s="122"/>
      <c r="AA807" s="122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25"/>
      <c r="AQ807" s="15"/>
      <c r="AU807" s="117"/>
      <c r="AV807" s="116"/>
      <c r="AW807" s="116"/>
      <c r="AX807" s="116"/>
    </row>
    <row r="808" spans="1:50" ht="19.5" x14ac:dyDescent="0.4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22"/>
      <c r="Z808" s="122"/>
      <c r="AA808" s="122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3"/>
      <c r="AQ808" s="15"/>
      <c r="AU808" s="117"/>
      <c r="AV808" s="116"/>
      <c r="AW808" s="116"/>
      <c r="AX808" s="116"/>
    </row>
    <row r="809" spans="1:50" ht="19.5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22"/>
      <c r="Z809" s="122"/>
      <c r="AA809" s="122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25"/>
      <c r="AQ809" s="15"/>
      <c r="AU809" s="117"/>
      <c r="AV809" s="116"/>
      <c r="AW809" s="116"/>
      <c r="AX809" s="116"/>
    </row>
    <row r="810" spans="1:50" ht="19.5" x14ac:dyDescent="0.4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22"/>
      <c r="Z810" s="122"/>
      <c r="AA810" s="122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3"/>
      <c r="AQ810" s="15"/>
      <c r="AU810" s="117"/>
      <c r="AV810" s="116"/>
      <c r="AW810" s="116"/>
      <c r="AX810" s="116"/>
    </row>
    <row r="811" spans="1:50" ht="19.5" x14ac:dyDescent="0.4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22"/>
      <c r="Z811" s="122"/>
      <c r="AA811" s="122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25"/>
      <c r="AQ811" s="15"/>
      <c r="AU811" s="117"/>
      <c r="AV811" s="116"/>
      <c r="AW811" s="116"/>
      <c r="AX811" s="116"/>
    </row>
    <row r="812" spans="1:50" ht="19.5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22"/>
      <c r="Z812" s="122"/>
      <c r="AA812" s="122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26"/>
      <c r="AQ812" s="15"/>
      <c r="AU812" s="117"/>
      <c r="AV812" s="116"/>
      <c r="AW812" s="116"/>
      <c r="AX812" s="116"/>
    </row>
    <row r="813" spans="1:50" ht="19.5" x14ac:dyDescent="0.4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22"/>
      <c r="Z813" s="122"/>
      <c r="AA813" s="122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7"/>
      <c r="AQ813" s="13"/>
      <c r="AU813" s="117"/>
      <c r="AV813" s="116"/>
      <c r="AW813" s="116"/>
      <c r="AX813" s="116"/>
    </row>
    <row r="814" spans="1:50" ht="19.5" x14ac:dyDescent="0.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22"/>
      <c r="Z814" s="122"/>
      <c r="AA814" s="122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26"/>
      <c r="AQ814" s="13"/>
      <c r="AU814" s="117"/>
      <c r="AV814" s="116"/>
      <c r="AW814" s="116"/>
      <c r="AX814" s="116"/>
    </row>
    <row r="815" spans="1:50" ht="19.5" x14ac:dyDescent="0.4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22"/>
      <c r="Z815" s="122"/>
      <c r="AA815" s="122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7"/>
      <c r="AQ815" s="13"/>
      <c r="AU815" s="117"/>
      <c r="AV815" s="116"/>
      <c r="AW815" s="116"/>
      <c r="AX815" s="116"/>
    </row>
    <row r="816" spans="1:50" ht="19.5" x14ac:dyDescent="0.4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22"/>
      <c r="Z816" s="122"/>
      <c r="AA816" s="122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26"/>
      <c r="AQ816" s="15"/>
      <c r="AU816" s="117"/>
      <c r="AV816" s="116"/>
      <c r="AW816" s="116"/>
      <c r="AX816" s="116"/>
    </row>
    <row r="817" spans="1:50" ht="19.5" x14ac:dyDescent="0.4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22"/>
      <c r="Z817" s="122"/>
      <c r="AA817" s="122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15"/>
      <c r="AM817" s="115"/>
      <c r="AN817" s="115"/>
      <c r="AO817" s="115"/>
      <c r="AP817" s="17"/>
      <c r="AQ817" s="15"/>
      <c r="AU817" s="117"/>
      <c r="AV817" s="116"/>
      <c r="AW817" s="116"/>
      <c r="AX817" s="116"/>
    </row>
    <row r="818" spans="1:50" ht="19.5" x14ac:dyDescent="0.4">
      <c r="AP818" s="26"/>
      <c r="AQ818" s="105"/>
      <c r="AU818" s="117"/>
      <c r="AV818" s="116"/>
      <c r="AW818" s="116"/>
      <c r="AX818" s="116"/>
    </row>
    <row r="819" spans="1:50" ht="19.5" x14ac:dyDescent="0.4">
      <c r="V819" s="115"/>
      <c r="W819" s="115"/>
      <c r="X819" s="115"/>
      <c r="Y819" s="122"/>
      <c r="Z819" s="122"/>
      <c r="AA819" s="122"/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7"/>
      <c r="AQ819" s="15"/>
      <c r="AU819" s="117"/>
      <c r="AV819" s="116"/>
      <c r="AW819" s="116"/>
      <c r="AX819" s="116"/>
    </row>
    <row r="820" spans="1:50" ht="19.5" x14ac:dyDescent="0.4">
      <c r="S820" s="115"/>
      <c r="T820" s="115"/>
      <c r="U820" s="115"/>
      <c r="V820" s="115"/>
      <c r="W820" s="115"/>
      <c r="X820" s="115"/>
      <c r="Y820" s="122"/>
      <c r="Z820" s="122"/>
      <c r="AA820" s="122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26"/>
      <c r="AQ820" s="15"/>
      <c r="AU820" s="117"/>
      <c r="AV820" s="116"/>
      <c r="AW820" s="116"/>
      <c r="AX820" s="116"/>
    </row>
    <row r="821" spans="1:50" ht="19.5" x14ac:dyDescent="0.4">
      <c r="S821" s="115"/>
      <c r="T821" s="115"/>
      <c r="U821" s="115"/>
      <c r="V821" s="115"/>
      <c r="W821" s="115"/>
      <c r="X821" s="115"/>
      <c r="Y821" s="122"/>
      <c r="Z821" s="122"/>
      <c r="AA821" s="122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7"/>
      <c r="AQ821" s="15"/>
      <c r="AU821" s="117"/>
      <c r="AV821" s="116"/>
      <c r="AW821" s="116"/>
      <c r="AX821" s="116"/>
    </row>
    <row r="822" spans="1:50" ht="19.5" x14ac:dyDescent="0.4"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22"/>
      <c r="Z822" s="122"/>
      <c r="AA822" s="122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26"/>
      <c r="AQ822" s="15"/>
      <c r="AU822" s="117"/>
      <c r="AV822" s="116"/>
      <c r="AW822" s="116"/>
      <c r="AX822" s="116"/>
    </row>
    <row r="823" spans="1:50" ht="19.5" x14ac:dyDescent="0.4"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22"/>
      <c r="Z823" s="122"/>
      <c r="AA823" s="122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7"/>
      <c r="AQ823" s="15"/>
      <c r="AU823" s="117"/>
      <c r="AV823" s="116"/>
      <c r="AW823" s="116"/>
      <c r="AX823" s="116"/>
    </row>
    <row r="824" spans="1:50" ht="19.5" x14ac:dyDescent="0.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22"/>
      <c r="Z824" s="122"/>
      <c r="AA824" s="122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26"/>
      <c r="AQ824" s="15"/>
      <c r="AU824" s="117"/>
      <c r="AV824" s="116"/>
      <c r="AW824" s="116"/>
      <c r="AX824" s="116"/>
    </row>
    <row r="825" spans="1:50" ht="19.5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22"/>
      <c r="Z825" s="122"/>
      <c r="AA825" s="122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26"/>
      <c r="AQ825" s="15"/>
      <c r="AU825" s="117"/>
      <c r="AV825" s="116"/>
      <c r="AW825" s="116"/>
      <c r="AX825" s="116"/>
    </row>
    <row r="826" spans="1:50" ht="19.5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22"/>
      <c r="Z826" s="122"/>
      <c r="AA826" s="122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7"/>
      <c r="AQ826" s="15"/>
      <c r="AU826" s="117"/>
      <c r="AV826" s="116"/>
      <c r="AW826" s="116"/>
      <c r="AX826" s="116"/>
    </row>
    <row r="827" spans="1:50" ht="19.5" x14ac:dyDescent="0.4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22"/>
      <c r="Z827" s="122"/>
      <c r="AA827" s="122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26"/>
      <c r="AQ827" s="15"/>
      <c r="AU827" s="117"/>
      <c r="AV827" s="116"/>
      <c r="AW827" s="116"/>
      <c r="AX827" s="116"/>
    </row>
    <row r="828" spans="1:50" ht="19.5" x14ac:dyDescent="0.4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22"/>
      <c r="Z828" s="122"/>
      <c r="AA828" s="122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7"/>
      <c r="AQ828" s="15"/>
      <c r="AU828" s="117"/>
      <c r="AV828" s="116"/>
      <c r="AW828" s="116"/>
      <c r="AX828" s="116"/>
    </row>
    <row r="829" spans="1:50" ht="19.5" x14ac:dyDescent="0.4">
      <c r="AP829" s="26"/>
      <c r="AQ829" s="15"/>
      <c r="AU829" s="117"/>
      <c r="AV829" s="116"/>
      <c r="AW829" s="116"/>
      <c r="AX829" s="116"/>
    </row>
    <row r="830" spans="1:50" ht="19.5" x14ac:dyDescent="0.4">
      <c r="V830" s="115"/>
      <c r="W830" s="115"/>
      <c r="X830" s="115"/>
      <c r="Y830" s="122"/>
      <c r="Z830" s="122"/>
      <c r="AA830" s="122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7"/>
      <c r="AQ830" s="15"/>
      <c r="AU830" s="117"/>
      <c r="AV830" s="116"/>
      <c r="AW830" s="116"/>
      <c r="AX830" s="116"/>
    </row>
    <row r="831" spans="1:50" ht="19.5" x14ac:dyDescent="0.4">
      <c r="AP831" s="26"/>
      <c r="AQ831" s="15"/>
      <c r="AU831" s="117"/>
      <c r="AV831" s="116"/>
      <c r="AW831" s="116"/>
      <c r="AX831" s="116"/>
    </row>
    <row r="832" spans="1:50" ht="19.5" x14ac:dyDescent="0.4">
      <c r="V832" s="115"/>
      <c r="W832" s="115"/>
      <c r="X832" s="115"/>
      <c r="Y832" s="122"/>
      <c r="Z832" s="122"/>
      <c r="AA832" s="122"/>
      <c r="AB832" s="115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7"/>
      <c r="AQ832" s="15"/>
      <c r="AU832" s="117"/>
      <c r="AV832" s="116"/>
      <c r="AW832" s="116"/>
      <c r="AX832" s="116"/>
    </row>
    <row r="833" spans="2:50" ht="19.5" x14ac:dyDescent="0.4">
      <c r="AP833" s="26"/>
      <c r="AQ833" s="15"/>
      <c r="AU833" s="117"/>
      <c r="AV833" s="116"/>
      <c r="AW833" s="116"/>
      <c r="AX833" s="116"/>
    </row>
    <row r="834" spans="2:50" ht="19.5" x14ac:dyDescent="0.4">
      <c r="V834" s="115"/>
      <c r="W834" s="115"/>
      <c r="X834" s="115"/>
      <c r="Y834" s="122"/>
      <c r="Z834" s="122"/>
      <c r="AA834" s="122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7"/>
      <c r="AQ834" s="15"/>
      <c r="AU834" s="117"/>
      <c r="AV834" s="116"/>
      <c r="AW834" s="116"/>
      <c r="AX834" s="116"/>
    </row>
    <row r="835" spans="2:50" ht="19.5" x14ac:dyDescent="0.4"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22"/>
      <c r="Z835" s="122"/>
      <c r="AA835" s="122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26"/>
      <c r="AQ835" s="15"/>
      <c r="AU835" s="117"/>
      <c r="AV835" s="116"/>
      <c r="AW835" s="116"/>
      <c r="AX835" s="116"/>
    </row>
    <row r="836" spans="2:50" ht="19.5" x14ac:dyDescent="0.4"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22"/>
      <c r="Z836" s="122"/>
      <c r="AA836" s="122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7"/>
      <c r="AQ836" s="15"/>
      <c r="AU836" s="117"/>
      <c r="AV836" s="116"/>
      <c r="AW836" s="116"/>
      <c r="AX836" s="116"/>
    </row>
    <row r="837" spans="2:50" ht="19.5" x14ac:dyDescent="0.4"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22"/>
      <c r="Z837" s="122"/>
      <c r="AA837" s="122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26"/>
      <c r="AQ837" s="15"/>
      <c r="AU837" s="117"/>
      <c r="AV837" s="116"/>
      <c r="AW837" s="116"/>
      <c r="AX837" s="116"/>
    </row>
    <row r="838" spans="2:50" ht="19.5" x14ac:dyDescent="0.4">
      <c r="AP838" s="26"/>
      <c r="AQ838" s="15"/>
      <c r="AU838" s="117"/>
      <c r="AV838" s="116"/>
      <c r="AW838" s="116"/>
      <c r="AX838" s="116"/>
    </row>
    <row r="839" spans="2:50" ht="19.5" x14ac:dyDescent="0.4">
      <c r="V839" s="115"/>
      <c r="W839" s="115"/>
      <c r="X839" s="115"/>
      <c r="Y839" s="122"/>
      <c r="Z839" s="122"/>
      <c r="AA839" s="122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15"/>
      <c r="AO839" s="115"/>
      <c r="AP839" s="17"/>
      <c r="AQ839" s="15"/>
      <c r="AU839" s="117"/>
      <c r="AV839" s="116"/>
      <c r="AW839" s="116"/>
      <c r="AX839" s="116"/>
    </row>
    <row r="840" spans="2:50" ht="19.5" x14ac:dyDescent="0.4">
      <c r="T840" s="115"/>
      <c r="U840" s="115"/>
      <c r="V840" s="115"/>
      <c r="W840" s="115"/>
      <c r="X840" s="115"/>
      <c r="Y840" s="122"/>
      <c r="Z840" s="122"/>
      <c r="AA840" s="122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26"/>
      <c r="AQ840" s="15"/>
      <c r="AU840" s="117"/>
      <c r="AV840" s="116"/>
      <c r="AW840" s="116"/>
      <c r="AX840" s="116"/>
    </row>
    <row r="841" spans="2:50" ht="19.5" x14ac:dyDescent="0.4">
      <c r="T841" s="115"/>
      <c r="U841" s="115"/>
      <c r="V841" s="115"/>
      <c r="W841" s="115"/>
      <c r="X841" s="115"/>
      <c r="Y841" s="122"/>
      <c r="Z841" s="122"/>
      <c r="AA841" s="122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7"/>
      <c r="AQ841" s="13"/>
      <c r="AU841" s="117"/>
      <c r="AV841" s="116"/>
      <c r="AW841" s="116"/>
      <c r="AX841" s="116"/>
    </row>
    <row r="842" spans="2:50" ht="19.5" x14ac:dyDescent="0.4">
      <c r="S842" s="115"/>
      <c r="T842" s="115"/>
      <c r="U842" s="115"/>
      <c r="V842" s="115"/>
      <c r="W842" s="115"/>
      <c r="X842" s="115"/>
      <c r="Y842" s="122"/>
      <c r="Z842" s="122"/>
      <c r="AA842" s="122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26"/>
      <c r="AQ842" s="13"/>
      <c r="AU842" s="117"/>
      <c r="AV842" s="116"/>
      <c r="AW842" s="116"/>
      <c r="AX842" s="116"/>
    </row>
    <row r="843" spans="2:50" ht="19.5" x14ac:dyDescent="0.4">
      <c r="S843" s="115"/>
      <c r="T843" s="115"/>
      <c r="U843" s="115"/>
      <c r="V843" s="115"/>
      <c r="W843" s="115"/>
      <c r="X843" s="115"/>
      <c r="Y843" s="122"/>
      <c r="Z843" s="122"/>
      <c r="AA843" s="122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7"/>
      <c r="AQ843" s="13"/>
      <c r="AU843" s="117"/>
      <c r="AV843" s="116"/>
      <c r="AW843" s="116"/>
      <c r="AX843" s="116"/>
    </row>
    <row r="844" spans="2:50" ht="19.5" x14ac:dyDescent="0.4"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22"/>
      <c r="Z844" s="122"/>
      <c r="AA844" s="122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26"/>
      <c r="AQ844" s="15"/>
      <c r="AU844" s="117"/>
      <c r="AV844" s="116"/>
      <c r="AW844" s="116"/>
      <c r="AX844" s="116"/>
    </row>
    <row r="845" spans="2:50" ht="19.5" x14ac:dyDescent="0.4"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22"/>
      <c r="Z845" s="122"/>
      <c r="AA845" s="122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7"/>
      <c r="AQ845" s="15"/>
      <c r="AU845" s="117"/>
      <c r="AV845" s="116"/>
      <c r="AW845" s="116"/>
      <c r="AX845" s="116"/>
    </row>
    <row r="846" spans="2:50" ht="19.5" x14ac:dyDescent="0.4"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22"/>
      <c r="Z846" s="122"/>
      <c r="AA846" s="122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26"/>
      <c r="AQ846" s="105"/>
      <c r="AU846" s="117"/>
      <c r="AV846" s="116"/>
      <c r="AW846" s="116"/>
      <c r="AX846" s="116"/>
    </row>
    <row r="847" spans="2:50" ht="19.5" x14ac:dyDescent="0.4"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22"/>
      <c r="Z847" s="122"/>
      <c r="AA847" s="122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7"/>
      <c r="AQ847" s="15"/>
      <c r="AU847" s="117"/>
      <c r="AV847" s="116"/>
      <c r="AW847" s="116"/>
      <c r="AX847" s="116"/>
    </row>
    <row r="848" spans="2:50" ht="19.5" x14ac:dyDescent="0.4"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22"/>
      <c r="Z848" s="122"/>
      <c r="AA848" s="122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26"/>
      <c r="AQ848" s="15"/>
      <c r="AU848" s="117"/>
      <c r="AV848" s="116"/>
      <c r="AW848" s="116"/>
      <c r="AX848" s="116"/>
    </row>
    <row r="849" spans="1:50" ht="19.5" x14ac:dyDescent="0.4"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22"/>
      <c r="Z849" s="122"/>
      <c r="AA849" s="122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15"/>
      <c r="AO849" s="115"/>
      <c r="AP849" s="26"/>
      <c r="AQ849" s="15"/>
      <c r="AU849" s="117"/>
      <c r="AV849" s="116"/>
      <c r="AW849" s="116"/>
      <c r="AX849" s="116"/>
    </row>
    <row r="850" spans="1:50" ht="19.5" x14ac:dyDescent="0.4">
      <c r="AP850" s="26"/>
      <c r="AQ850" s="15"/>
      <c r="AU850" s="117"/>
      <c r="AV850" s="116"/>
      <c r="AW850" s="116"/>
      <c r="AX850" s="116"/>
    </row>
    <row r="851" spans="1:50" ht="19.5" x14ac:dyDescent="0.4">
      <c r="U851" s="115"/>
      <c r="V851" s="115"/>
      <c r="W851" s="115"/>
      <c r="X851" s="115"/>
      <c r="Y851" s="122"/>
      <c r="Z851" s="122"/>
      <c r="AA851" s="122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26"/>
      <c r="AQ851" s="15"/>
      <c r="AU851" s="117"/>
      <c r="AV851" s="116"/>
      <c r="AW851" s="116"/>
      <c r="AX851" s="116"/>
    </row>
    <row r="852" spans="1:50" ht="19.5" x14ac:dyDescent="0.4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22"/>
      <c r="Z852" s="122"/>
      <c r="AA852" s="122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115"/>
      <c r="AO852" s="115"/>
      <c r="AP852" s="26"/>
      <c r="AQ852" s="15"/>
      <c r="AU852" s="117"/>
      <c r="AV852" s="116"/>
      <c r="AW852" s="116"/>
      <c r="AX852" s="116"/>
    </row>
    <row r="853" spans="1:50" ht="19.5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22"/>
      <c r="Z853" s="122"/>
      <c r="AA853" s="122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26"/>
      <c r="AQ853" s="15"/>
      <c r="AU853" s="117"/>
      <c r="AV853" s="116"/>
      <c r="AW853" s="116"/>
      <c r="AX853" s="116"/>
    </row>
    <row r="854" spans="1:50" ht="19.5" x14ac:dyDescent="0.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22"/>
      <c r="Z854" s="122"/>
      <c r="AA854" s="122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7"/>
      <c r="AQ854" s="15"/>
      <c r="AU854" s="117"/>
      <c r="AV854" s="116"/>
      <c r="AW854" s="116"/>
      <c r="AX854" s="116"/>
    </row>
    <row r="855" spans="1:50" ht="19.5" x14ac:dyDescent="0.4">
      <c r="AP855" s="26"/>
      <c r="AQ855" s="15"/>
      <c r="AU855" s="117"/>
      <c r="AV855" s="116"/>
      <c r="AW855" s="116"/>
      <c r="AX855" s="116"/>
    </row>
    <row r="856" spans="1:50" ht="19.5" x14ac:dyDescent="0.4">
      <c r="V856" s="115"/>
      <c r="W856" s="115"/>
      <c r="X856" s="115"/>
      <c r="Y856" s="122"/>
      <c r="Z856" s="122"/>
      <c r="AA856" s="122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7"/>
      <c r="AQ856" s="15"/>
      <c r="AU856" s="117"/>
      <c r="AV856" s="116"/>
      <c r="AW856" s="116"/>
      <c r="AX856" s="116"/>
    </row>
    <row r="857" spans="1:50" ht="19.5" x14ac:dyDescent="0.4">
      <c r="U857" s="115"/>
      <c r="V857" s="115"/>
      <c r="W857" s="115"/>
      <c r="X857" s="115"/>
      <c r="Y857" s="122"/>
      <c r="Z857" s="122"/>
      <c r="AA857" s="122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26"/>
      <c r="AQ857" s="15"/>
      <c r="AU857" s="117"/>
      <c r="AV857" s="116"/>
      <c r="AW857" s="116"/>
      <c r="AX857" s="116"/>
    </row>
    <row r="858" spans="1:50" ht="19.5" x14ac:dyDescent="0.4"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22"/>
      <c r="Z858" s="122"/>
      <c r="AA858" s="122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26"/>
      <c r="AQ858" s="15"/>
      <c r="AU858" s="117"/>
      <c r="AV858" s="116"/>
      <c r="AW858" s="116"/>
      <c r="AX858" s="116"/>
    </row>
    <row r="859" spans="1:50" ht="19.5" x14ac:dyDescent="0.4"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22"/>
      <c r="Z859" s="122"/>
      <c r="AA859" s="122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26"/>
      <c r="AQ859" s="15"/>
      <c r="AU859" s="117"/>
      <c r="AV859" s="116"/>
      <c r="AW859" s="116"/>
      <c r="AX859" s="116"/>
    </row>
    <row r="860" spans="1:50" ht="19.5" x14ac:dyDescent="0.4"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22"/>
      <c r="Z860" s="122"/>
      <c r="AA860" s="122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26"/>
      <c r="AQ860" s="15"/>
      <c r="AU860" s="117"/>
      <c r="AV860" s="116"/>
      <c r="AW860" s="116"/>
      <c r="AX860" s="116"/>
    </row>
    <row r="861" spans="1:50" ht="19.5" x14ac:dyDescent="0.4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22"/>
      <c r="Z861" s="122"/>
      <c r="AA861" s="122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15"/>
      <c r="AP861" s="26"/>
      <c r="AQ861" s="15"/>
      <c r="AU861" s="117"/>
      <c r="AV861" s="116"/>
      <c r="AW861" s="116"/>
      <c r="AX861" s="116"/>
    </row>
    <row r="862" spans="1:50" ht="19.5" x14ac:dyDescent="0.4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22"/>
      <c r="Z862" s="122"/>
      <c r="AA862" s="122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26"/>
      <c r="AQ862" s="15"/>
      <c r="AU862" s="117"/>
      <c r="AV862" s="116"/>
      <c r="AW862" s="116"/>
      <c r="AX862" s="116"/>
    </row>
    <row r="863" spans="1:50" ht="19.5" x14ac:dyDescent="0.4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22"/>
      <c r="Z863" s="122"/>
      <c r="AA863" s="122"/>
      <c r="AB863" s="115"/>
      <c r="AC863" s="115"/>
      <c r="AD863" s="115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7"/>
      <c r="AQ863" s="15"/>
      <c r="AU863" s="117"/>
      <c r="AV863" s="116"/>
      <c r="AW863" s="116"/>
      <c r="AX863" s="116"/>
    </row>
    <row r="864" spans="1:50" ht="19.5" x14ac:dyDescent="0.4">
      <c r="AP864" s="26"/>
      <c r="AQ864" s="15"/>
      <c r="AU864" s="117"/>
      <c r="AV864" s="116"/>
      <c r="AW864" s="116"/>
      <c r="AX864" s="116"/>
    </row>
    <row r="865" spans="1:50" ht="19.5" x14ac:dyDescent="0.4">
      <c r="V865" s="115"/>
      <c r="W865" s="115"/>
      <c r="X865" s="115"/>
      <c r="Y865" s="122"/>
      <c r="Z865" s="122"/>
      <c r="AA865" s="122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115"/>
      <c r="AP865" s="17"/>
      <c r="AQ865" s="13"/>
      <c r="AU865" s="117"/>
      <c r="AV865" s="116"/>
      <c r="AW865" s="116"/>
      <c r="AX865" s="116"/>
    </row>
    <row r="866" spans="1:50" ht="19.5" x14ac:dyDescent="0.4">
      <c r="V866" s="115"/>
      <c r="W866" s="115"/>
      <c r="X866" s="115"/>
      <c r="Y866" s="122"/>
      <c r="Z866" s="122"/>
      <c r="AA866" s="122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7"/>
      <c r="AQ866" s="13"/>
      <c r="AU866" s="117"/>
      <c r="AV866" s="116"/>
      <c r="AW866" s="116"/>
      <c r="AX866" s="116"/>
    </row>
    <row r="867" spans="1:50" ht="19.5" x14ac:dyDescent="0.4">
      <c r="AP867" s="26"/>
      <c r="AQ867" s="13"/>
      <c r="AU867" s="117"/>
      <c r="AV867" s="116"/>
      <c r="AW867" s="116"/>
      <c r="AX867" s="116"/>
    </row>
    <row r="868" spans="1:50" ht="19.5" x14ac:dyDescent="0.4">
      <c r="AP868" s="26"/>
      <c r="AQ868" s="13"/>
      <c r="AU868" s="116"/>
      <c r="AV868" s="116"/>
      <c r="AW868" s="116"/>
      <c r="AX868" s="116"/>
    </row>
    <row r="869" spans="1:50" ht="19.5" x14ac:dyDescent="0.4"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22"/>
      <c r="Z869" s="122"/>
      <c r="AA869" s="122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26"/>
      <c r="AQ869" s="13"/>
      <c r="AU869" s="118"/>
      <c r="AV869" s="118"/>
      <c r="AW869" s="118"/>
      <c r="AX869" s="118"/>
    </row>
    <row r="870" spans="1:50" ht="19.5" x14ac:dyDescent="0.4"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22"/>
      <c r="Z870" s="122"/>
      <c r="AA870" s="122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26"/>
      <c r="AQ870" s="13"/>
      <c r="AU870" s="118"/>
      <c r="AV870" s="118"/>
      <c r="AW870" s="118"/>
      <c r="AX870" s="118"/>
    </row>
    <row r="871" spans="1:50" ht="19.5" x14ac:dyDescent="0.4"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22"/>
      <c r="Z871" s="122"/>
      <c r="AA871" s="122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26"/>
      <c r="AQ871" s="13"/>
      <c r="AU871" s="118"/>
      <c r="AV871" s="118"/>
      <c r="AW871" s="118"/>
      <c r="AX871" s="118"/>
    </row>
    <row r="872" spans="1:50" ht="19.5" x14ac:dyDescent="0.4"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22"/>
      <c r="Z872" s="122"/>
      <c r="AA872" s="122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26"/>
      <c r="AQ872" s="15"/>
      <c r="AU872" s="118"/>
      <c r="AV872" s="118"/>
      <c r="AW872" s="118"/>
      <c r="AX872" s="118"/>
    </row>
    <row r="873" spans="1:50" ht="19.5" x14ac:dyDescent="0.4"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22"/>
      <c r="Z873" s="122"/>
      <c r="AA873" s="122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26"/>
      <c r="AQ873" s="15"/>
      <c r="AU873" s="118"/>
      <c r="AV873" s="118"/>
      <c r="AW873" s="118"/>
      <c r="AX873" s="118"/>
    </row>
    <row r="874" spans="1:50" ht="19.5" x14ac:dyDescent="0.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22"/>
      <c r="Z874" s="122"/>
      <c r="AA874" s="122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26"/>
      <c r="AQ874" s="15"/>
      <c r="AU874" s="118"/>
      <c r="AV874" s="118"/>
      <c r="AW874" s="118"/>
      <c r="AX874" s="118"/>
    </row>
    <row r="875" spans="1:50" ht="19.5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22"/>
      <c r="Z875" s="122"/>
      <c r="AA875" s="122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26"/>
      <c r="AQ875" s="15"/>
      <c r="AU875" s="118"/>
      <c r="AV875" s="118"/>
      <c r="AW875" s="118"/>
      <c r="AX875" s="118"/>
    </row>
    <row r="876" spans="1:50" ht="20.25" customHeight="1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22"/>
      <c r="Z876" s="122"/>
      <c r="AA876" s="122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26"/>
      <c r="AQ876" s="15"/>
      <c r="AU876" s="118"/>
      <c r="AV876" s="118"/>
      <c r="AW876" s="118"/>
      <c r="AX876" s="118"/>
    </row>
    <row r="877" spans="1:50" x14ac:dyDescent="0.4">
      <c r="AP877" s="26"/>
      <c r="AQ877" s="15"/>
    </row>
    <row r="878" spans="1:50" x14ac:dyDescent="0.4">
      <c r="AP878" s="26"/>
      <c r="AQ878" s="13"/>
    </row>
    <row r="879" spans="1:50" x14ac:dyDescent="0.4">
      <c r="T879" s="115"/>
      <c r="U879" s="115"/>
      <c r="V879" s="115"/>
      <c r="W879" s="115"/>
      <c r="X879" s="115"/>
      <c r="Y879" s="122"/>
      <c r="Z879" s="122"/>
      <c r="AA879" s="122"/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26"/>
      <c r="AQ879" s="13"/>
    </row>
    <row r="880" spans="1:50" x14ac:dyDescent="0.4">
      <c r="T880" s="115"/>
      <c r="U880" s="115"/>
      <c r="V880" s="115"/>
      <c r="W880" s="115"/>
      <c r="X880" s="115"/>
      <c r="Y880" s="122"/>
      <c r="Z880" s="122"/>
      <c r="AA880" s="122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7"/>
      <c r="AQ880" s="13"/>
    </row>
    <row r="881" spans="1:43" x14ac:dyDescent="0.4"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22"/>
      <c r="Z881" s="122"/>
      <c r="AA881" s="122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26"/>
      <c r="AQ881" s="13"/>
    </row>
    <row r="882" spans="1:43" x14ac:dyDescent="0.4"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22"/>
      <c r="Z882" s="122"/>
      <c r="AA882" s="122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26"/>
      <c r="AQ882" s="13"/>
    </row>
    <row r="883" spans="1:43" x14ac:dyDescent="0.4">
      <c r="AP883" s="26"/>
      <c r="AQ883" s="13"/>
    </row>
    <row r="884" spans="1:43" x14ac:dyDescent="0.4"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22"/>
      <c r="Z884" s="122"/>
      <c r="AA884" s="122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26"/>
      <c r="AQ884" s="13"/>
    </row>
    <row r="885" spans="1:43" x14ac:dyDescent="0.4"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22"/>
      <c r="Z885" s="122"/>
      <c r="AA885" s="122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26"/>
      <c r="AQ885" s="13"/>
    </row>
    <row r="886" spans="1:43" x14ac:dyDescent="0.4">
      <c r="AP886" s="26"/>
      <c r="AQ886" s="13"/>
    </row>
    <row r="887" spans="1:43" x14ac:dyDescent="0.4"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22"/>
      <c r="Z887" s="122"/>
      <c r="AA887" s="122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26"/>
      <c r="AQ887" s="13"/>
    </row>
    <row r="888" spans="1:43" x14ac:dyDescent="0.4">
      <c r="AP888" s="26"/>
      <c r="AQ888" s="13"/>
    </row>
    <row r="889" spans="1:43" x14ac:dyDescent="0.4">
      <c r="S889" s="115"/>
      <c r="T889" s="115"/>
      <c r="U889" s="115"/>
      <c r="V889" s="115"/>
      <c r="W889" s="115"/>
      <c r="X889" s="115"/>
      <c r="Y889" s="122"/>
      <c r="Z889" s="122"/>
      <c r="AA889" s="122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26"/>
      <c r="AQ889" s="13"/>
    </row>
    <row r="890" spans="1:43" x14ac:dyDescent="0.4">
      <c r="AP890" s="26"/>
      <c r="AQ890" s="13"/>
    </row>
    <row r="891" spans="1:43" x14ac:dyDescent="0.4"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22"/>
      <c r="Z891" s="122"/>
      <c r="AA891" s="122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26"/>
      <c r="AQ891" s="15"/>
    </row>
    <row r="892" spans="1:43" x14ac:dyDescent="0.4"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22"/>
      <c r="Z892" s="122"/>
      <c r="AA892" s="122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26"/>
      <c r="AQ892" s="15"/>
    </row>
    <row r="893" spans="1:43" x14ac:dyDescent="0.4"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22"/>
      <c r="Z893" s="122"/>
      <c r="AA893" s="122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26"/>
      <c r="AQ893" s="15"/>
    </row>
    <row r="894" spans="1:43" x14ac:dyDescent="0.4">
      <c r="AP894" s="26"/>
      <c r="AQ894" s="13"/>
    </row>
    <row r="895" spans="1:43" x14ac:dyDescent="0.4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22"/>
      <c r="Z895" s="122"/>
      <c r="AA895" s="122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26"/>
      <c r="AQ895" s="15"/>
    </row>
    <row r="896" spans="1:43" x14ac:dyDescent="0.4">
      <c r="AP896" s="26"/>
      <c r="AQ896" s="15"/>
    </row>
    <row r="897" spans="3:43" x14ac:dyDescent="0.4">
      <c r="AP897" s="26"/>
      <c r="AQ897" s="15"/>
    </row>
    <row r="898" spans="3:43" x14ac:dyDescent="0.4"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22"/>
      <c r="Z898" s="122"/>
      <c r="AA898" s="122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26"/>
      <c r="AQ898" s="15"/>
    </row>
    <row r="899" spans="3:43" x14ac:dyDescent="0.4"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22"/>
      <c r="Z899" s="122"/>
      <c r="AA899" s="122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26"/>
      <c r="AQ899" s="15"/>
    </row>
    <row r="900" spans="3:43" x14ac:dyDescent="0.4">
      <c r="AP900" s="26"/>
      <c r="AQ900" s="15"/>
    </row>
    <row r="901" spans="3:43" x14ac:dyDescent="0.4">
      <c r="R901" s="115"/>
      <c r="S901" s="115"/>
      <c r="T901" s="115"/>
      <c r="U901" s="115"/>
      <c r="V901" s="115"/>
      <c r="W901" s="115"/>
      <c r="X901" s="115"/>
      <c r="Y901" s="122"/>
      <c r="Z901" s="122"/>
      <c r="AA901" s="122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26"/>
      <c r="AQ901" s="15"/>
    </row>
    <row r="902" spans="3:43" x14ac:dyDescent="0.4"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22"/>
      <c r="Z902" s="122"/>
      <c r="AA902" s="122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26"/>
      <c r="AQ902" s="15"/>
    </row>
    <row r="903" spans="3:43" x14ac:dyDescent="0.4"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22"/>
      <c r="Z903" s="122"/>
      <c r="AA903" s="122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26"/>
      <c r="AQ903" s="15"/>
    </row>
    <row r="904" spans="3:43" x14ac:dyDescent="0.4"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22"/>
      <c r="Z904" s="122"/>
      <c r="AA904" s="122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26"/>
      <c r="AQ904" s="15"/>
    </row>
    <row r="905" spans="3:43" x14ac:dyDescent="0.4"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22"/>
      <c r="Z905" s="122"/>
      <c r="AA905" s="122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26"/>
      <c r="AQ905" s="15"/>
    </row>
    <row r="906" spans="3:43" x14ac:dyDescent="0.4">
      <c r="AP906" s="26"/>
      <c r="AQ906" s="15"/>
    </row>
    <row r="907" spans="3:43" x14ac:dyDescent="0.4">
      <c r="U907" s="115"/>
      <c r="V907" s="115"/>
      <c r="W907" s="115"/>
      <c r="X907" s="115"/>
      <c r="Y907" s="122"/>
      <c r="Z907" s="122"/>
      <c r="AA907" s="122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7"/>
      <c r="AQ907" s="15"/>
    </row>
    <row r="908" spans="3:43" x14ac:dyDescent="0.4">
      <c r="AP908" s="26"/>
      <c r="AQ908" s="15"/>
    </row>
    <row r="909" spans="3:43" x14ac:dyDescent="0.4">
      <c r="S909" s="115"/>
      <c r="T909" s="115"/>
      <c r="U909" s="115"/>
      <c r="V909" s="115"/>
      <c r="W909" s="115"/>
      <c r="X909" s="115"/>
      <c r="Y909" s="122"/>
      <c r="Z909" s="122"/>
      <c r="AA909" s="122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26"/>
      <c r="AQ909" s="15"/>
    </row>
    <row r="910" spans="3:43" x14ac:dyDescent="0.4">
      <c r="AP910" s="26"/>
      <c r="AQ910" s="15"/>
    </row>
    <row r="911" spans="3:43" x14ac:dyDescent="0.4">
      <c r="AP911" s="26"/>
      <c r="AQ911" s="15"/>
    </row>
    <row r="912" spans="3:43" x14ac:dyDescent="0.4"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22"/>
      <c r="Z912" s="122"/>
      <c r="AA912" s="122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26"/>
      <c r="AQ912" s="15"/>
    </row>
    <row r="913" spans="1:43" x14ac:dyDescent="0.4"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22"/>
      <c r="Z913" s="122"/>
      <c r="AA913" s="122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26"/>
      <c r="AQ913" s="15"/>
    </row>
    <row r="914" spans="1:43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22"/>
      <c r="Z914" s="122"/>
      <c r="AA914" s="122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26"/>
      <c r="AQ914" s="15"/>
    </row>
    <row r="915" spans="1:43" x14ac:dyDescent="0.4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22"/>
      <c r="Z915" s="122"/>
      <c r="AA915" s="122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26"/>
      <c r="AQ915" s="15"/>
    </row>
    <row r="916" spans="1:43" x14ac:dyDescent="0.4">
      <c r="AP916" s="26"/>
      <c r="AQ916" s="15"/>
    </row>
    <row r="917" spans="1:43" x14ac:dyDescent="0.4">
      <c r="U917" s="115"/>
      <c r="V917" s="115"/>
      <c r="W917" s="115"/>
      <c r="X917" s="115"/>
      <c r="Y917" s="122"/>
      <c r="Z917" s="122"/>
      <c r="AA917" s="122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7"/>
      <c r="AQ917" s="15"/>
    </row>
    <row r="918" spans="1:43" x14ac:dyDescent="0.4">
      <c r="AP918" s="26"/>
      <c r="AQ918" s="15"/>
    </row>
    <row r="919" spans="1:43" x14ac:dyDescent="0.4"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22"/>
      <c r="Z919" s="122"/>
      <c r="AA919" s="122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26"/>
      <c r="AQ919" s="15"/>
    </row>
    <row r="920" spans="1:43" x14ac:dyDescent="0.4"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22"/>
      <c r="Z920" s="122"/>
      <c r="AA920" s="122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26"/>
      <c r="AQ920" s="15"/>
    </row>
    <row r="921" spans="1:43" x14ac:dyDescent="0.4"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22"/>
      <c r="Z921" s="122"/>
      <c r="AA921" s="122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7"/>
      <c r="AQ921" s="15"/>
    </row>
    <row r="922" spans="1:43" x14ac:dyDescent="0.4">
      <c r="AP922" s="26"/>
      <c r="AQ922" s="15"/>
    </row>
    <row r="923" spans="1:43" x14ac:dyDescent="0.4"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22"/>
      <c r="Z923" s="122"/>
      <c r="AA923" s="122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26"/>
      <c r="AQ923" s="15"/>
    </row>
    <row r="924" spans="1:43" x14ac:dyDescent="0.4"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22"/>
      <c r="Z924" s="122"/>
      <c r="AA924" s="122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7"/>
      <c r="AQ924" s="15"/>
    </row>
    <row r="925" spans="1:43" x14ac:dyDescent="0.4">
      <c r="AP925" s="26"/>
      <c r="AQ925" s="15"/>
    </row>
    <row r="926" spans="1:43" x14ac:dyDescent="0.4">
      <c r="U926" s="115"/>
      <c r="V926" s="115"/>
      <c r="W926" s="115"/>
      <c r="X926" s="115"/>
      <c r="Y926" s="122"/>
      <c r="Z926" s="122"/>
      <c r="AA926" s="122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7"/>
      <c r="AQ926" s="15"/>
    </row>
    <row r="927" spans="1:43" x14ac:dyDescent="0.4"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22"/>
      <c r="Z927" s="122"/>
      <c r="AA927" s="122"/>
      <c r="AB927" s="115"/>
      <c r="AC927" s="115"/>
      <c r="AD927" s="115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26"/>
      <c r="AQ927" s="15"/>
    </row>
    <row r="928" spans="1:43" x14ac:dyDescent="0.4"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22"/>
      <c r="Z928" s="122"/>
      <c r="AA928" s="122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7"/>
      <c r="AQ928" s="15"/>
    </row>
    <row r="929" spans="3:43" x14ac:dyDescent="0.4">
      <c r="AP929" s="26"/>
      <c r="AQ929" s="15"/>
    </row>
    <row r="930" spans="3:43" x14ac:dyDescent="0.4">
      <c r="AP930" s="26"/>
      <c r="AQ930" s="15"/>
    </row>
    <row r="931" spans="3:43" x14ac:dyDescent="0.4">
      <c r="T931" s="115"/>
      <c r="U931" s="115"/>
      <c r="V931" s="115"/>
      <c r="W931" s="115"/>
      <c r="X931" s="115"/>
      <c r="Y931" s="122"/>
      <c r="Z931" s="122"/>
      <c r="AA931" s="122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26"/>
      <c r="AQ931" s="15"/>
    </row>
    <row r="932" spans="3:43" x14ac:dyDescent="0.4">
      <c r="R932" s="115"/>
      <c r="S932" s="115"/>
      <c r="T932" s="115"/>
      <c r="U932" s="115"/>
      <c r="V932" s="115"/>
      <c r="W932" s="115"/>
      <c r="X932" s="115"/>
      <c r="Y932" s="122"/>
      <c r="Z932" s="122"/>
      <c r="AA932" s="122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26"/>
      <c r="AQ932" s="15"/>
    </row>
    <row r="933" spans="3:43" x14ac:dyDescent="0.4">
      <c r="R933" s="115"/>
      <c r="S933" s="115"/>
      <c r="T933" s="115"/>
      <c r="U933" s="115"/>
      <c r="V933" s="115"/>
      <c r="W933" s="115"/>
      <c r="X933" s="115"/>
      <c r="Y933" s="122"/>
      <c r="Z933" s="122"/>
      <c r="AA933" s="122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115"/>
      <c r="AP933" s="26"/>
      <c r="AQ933" s="15"/>
    </row>
    <row r="934" spans="3:43" x14ac:dyDescent="0.4"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22"/>
      <c r="Z934" s="122"/>
      <c r="AA934" s="122"/>
      <c r="AB934" s="115"/>
      <c r="AC934" s="115"/>
      <c r="AD934" s="115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26"/>
      <c r="AQ934" s="15"/>
    </row>
    <row r="935" spans="3:43" x14ac:dyDescent="0.4"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22"/>
      <c r="Z935" s="122"/>
      <c r="AA935" s="122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26"/>
      <c r="AQ935" s="15"/>
    </row>
    <row r="936" spans="3:43" x14ac:dyDescent="0.4">
      <c r="AP936" s="26"/>
      <c r="AQ936" s="15"/>
    </row>
    <row r="937" spans="3:43" x14ac:dyDescent="0.4">
      <c r="T937" s="115"/>
      <c r="U937" s="115"/>
      <c r="V937" s="115"/>
      <c r="W937" s="115"/>
      <c r="X937" s="115"/>
      <c r="Y937" s="122"/>
      <c r="Z937" s="122"/>
      <c r="AA937" s="122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15"/>
      <c r="AL937" s="115"/>
      <c r="AM937" s="115"/>
      <c r="AN937" s="115"/>
      <c r="AO937" s="115"/>
      <c r="AP937" s="26"/>
      <c r="AQ937" s="15"/>
    </row>
    <row r="938" spans="3:43" x14ac:dyDescent="0.4">
      <c r="AP938" s="26"/>
      <c r="AQ938" s="15"/>
    </row>
    <row r="939" spans="3:43" x14ac:dyDescent="0.4">
      <c r="U939" s="115"/>
      <c r="V939" s="115"/>
      <c r="W939" s="115"/>
      <c r="X939" s="115"/>
      <c r="Y939" s="122"/>
      <c r="Z939" s="122"/>
      <c r="AA939" s="122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7"/>
      <c r="AQ939" s="15"/>
    </row>
    <row r="940" spans="3:43" x14ac:dyDescent="0.4">
      <c r="T940" s="115"/>
      <c r="U940" s="115"/>
      <c r="V940" s="115"/>
      <c r="W940" s="115"/>
      <c r="X940" s="115"/>
      <c r="Y940" s="122"/>
      <c r="Z940" s="122"/>
      <c r="AA940" s="122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26"/>
      <c r="AQ940" s="15"/>
    </row>
    <row r="941" spans="3:43" x14ac:dyDescent="0.4"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22"/>
      <c r="Z941" s="122"/>
      <c r="AA941" s="122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26"/>
      <c r="AQ941" s="15"/>
    </row>
    <row r="942" spans="3:43" x14ac:dyDescent="0.4"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22"/>
      <c r="Z942" s="122"/>
      <c r="AA942" s="122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7"/>
      <c r="AQ942" s="15"/>
    </row>
    <row r="943" spans="3:43" x14ac:dyDescent="0.4">
      <c r="AP943" s="26"/>
      <c r="AQ943" s="15"/>
    </row>
    <row r="944" spans="3:43" x14ac:dyDescent="0.4">
      <c r="U944" s="115"/>
      <c r="V944" s="115"/>
      <c r="W944" s="115"/>
      <c r="X944" s="115"/>
      <c r="Y944" s="122"/>
      <c r="Z944" s="122"/>
      <c r="AA944" s="122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7"/>
      <c r="AQ944" s="15"/>
    </row>
    <row r="945" spans="4:43" x14ac:dyDescent="0.4">
      <c r="T945" s="115"/>
      <c r="U945" s="115"/>
      <c r="V945" s="115"/>
      <c r="W945" s="115"/>
      <c r="X945" s="115"/>
      <c r="Y945" s="122"/>
      <c r="Z945" s="122"/>
      <c r="AA945" s="122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26"/>
      <c r="AQ945" s="15"/>
    </row>
    <row r="946" spans="4:43" x14ac:dyDescent="0.4">
      <c r="T946" s="115"/>
      <c r="U946" s="115"/>
      <c r="V946" s="115"/>
      <c r="W946" s="115"/>
      <c r="X946" s="115"/>
      <c r="Y946" s="122"/>
      <c r="Z946" s="122"/>
      <c r="AA946" s="122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7"/>
      <c r="AQ946" s="15"/>
    </row>
    <row r="947" spans="4:43" x14ac:dyDescent="0.4">
      <c r="T947" s="115"/>
      <c r="U947" s="115"/>
      <c r="V947" s="115"/>
      <c r="W947" s="115"/>
      <c r="X947" s="115"/>
      <c r="Y947" s="122"/>
      <c r="Z947" s="122"/>
      <c r="AA947" s="122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115"/>
      <c r="AP947" s="17"/>
      <c r="AQ947" s="15"/>
    </row>
    <row r="948" spans="4:43" x14ac:dyDescent="0.4"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22"/>
      <c r="Z948" s="122"/>
      <c r="AA948" s="122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26"/>
      <c r="AQ948" s="15"/>
    </row>
    <row r="949" spans="4:43" x14ac:dyDescent="0.4"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22"/>
      <c r="Z949" s="122"/>
      <c r="AA949" s="122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26"/>
      <c r="AQ949" s="15"/>
    </row>
    <row r="950" spans="4:43" x14ac:dyDescent="0.4"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22"/>
      <c r="Z950" s="122"/>
      <c r="AA950" s="122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26"/>
      <c r="AQ950" s="15"/>
    </row>
    <row r="951" spans="4:43" x14ac:dyDescent="0.4"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22"/>
      <c r="Z951" s="122"/>
      <c r="AA951" s="122"/>
      <c r="AB951" s="115"/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26"/>
      <c r="AQ951" s="15"/>
    </row>
    <row r="952" spans="4:43" x14ac:dyDescent="0.4"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22"/>
      <c r="Z952" s="122"/>
      <c r="AA952" s="122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26"/>
      <c r="AQ952" s="15"/>
    </row>
    <row r="953" spans="4:43" x14ac:dyDescent="0.4"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22"/>
      <c r="Z953" s="122"/>
      <c r="AA953" s="122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7"/>
      <c r="AQ953" s="15"/>
    </row>
    <row r="954" spans="4:43" x14ac:dyDescent="0.4">
      <c r="AP954" s="26"/>
      <c r="AQ954" s="15"/>
    </row>
    <row r="955" spans="4:43" x14ac:dyDescent="0.4">
      <c r="T955" s="115"/>
      <c r="U955" s="115"/>
      <c r="V955" s="115"/>
      <c r="W955" s="115"/>
      <c r="X955" s="115"/>
      <c r="Y955" s="122"/>
      <c r="Z955" s="122"/>
      <c r="AA955" s="122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7"/>
      <c r="AQ955" s="13"/>
    </row>
    <row r="956" spans="4:43" x14ac:dyDescent="0.4">
      <c r="T956" s="115"/>
      <c r="U956" s="115"/>
      <c r="V956" s="115"/>
      <c r="W956" s="115"/>
      <c r="X956" s="115"/>
      <c r="Y956" s="122"/>
      <c r="Z956" s="122"/>
      <c r="AA956" s="122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7"/>
      <c r="AQ956" s="13"/>
    </row>
    <row r="957" spans="4:43" x14ac:dyDescent="0.4">
      <c r="R957" s="115"/>
      <c r="S957" s="115"/>
      <c r="T957" s="115"/>
      <c r="U957" s="115"/>
      <c r="V957" s="115"/>
      <c r="W957" s="115"/>
      <c r="X957" s="115"/>
      <c r="Y957" s="122"/>
      <c r="Z957" s="122"/>
      <c r="AA957" s="122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26"/>
      <c r="AQ957" s="13"/>
    </row>
    <row r="958" spans="4:43" x14ac:dyDescent="0.4">
      <c r="R958" s="115"/>
      <c r="S958" s="115"/>
      <c r="T958" s="115"/>
      <c r="U958" s="115"/>
      <c r="V958" s="115"/>
      <c r="W958" s="115"/>
      <c r="X958" s="115"/>
      <c r="Y958" s="122"/>
      <c r="Z958" s="122"/>
      <c r="AA958" s="122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7"/>
      <c r="AQ958" s="13"/>
    </row>
    <row r="959" spans="4:43" x14ac:dyDescent="0.4">
      <c r="AP959" s="26"/>
      <c r="AQ959" s="13"/>
    </row>
    <row r="960" spans="4:43" x14ac:dyDescent="0.4">
      <c r="S960" s="115"/>
      <c r="T960" s="115"/>
      <c r="U960" s="115"/>
      <c r="V960" s="115"/>
      <c r="W960" s="115"/>
      <c r="X960" s="115"/>
      <c r="Y960" s="122"/>
      <c r="Z960" s="122"/>
      <c r="AA960" s="122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15"/>
      <c r="AN960" s="115"/>
      <c r="AO960" s="115"/>
      <c r="AP960" s="17"/>
      <c r="AQ960" s="13"/>
    </row>
    <row r="961" spans="3:43" x14ac:dyDescent="0.4">
      <c r="AP961" s="26"/>
      <c r="AQ961" s="13"/>
    </row>
    <row r="962" spans="3:43" x14ac:dyDescent="0.4">
      <c r="AP962" s="26"/>
      <c r="AQ962" s="13"/>
    </row>
    <row r="963" spans="3:43" x14ac:dyDescent="0.4"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22"/>
      <c r="Z963" s="122"/>
      <c r="AA963" s="122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26"/>
      <c r="AQ963" s="13"/>
    </row>
    <row r="964" spans="3:43" x14ac:dyDescent="0.4"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22"/>
      <c r="Z964" s="122"/>
      <c r="AA964" s="122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26"/>
      <c r="AQ964" s="13"/>
    </row>
    <row r="965" spans="3:43" x14ac:dyDescent="0.4">
      <c r="AP965" s="26"/>
      <c r="AQ965" s="13"/>
    </row>
    <row r="966" spans="3:43" x14ac:dyDescent="0.4">
      <c r="AP966" s="26"/>
      <c r="AQ966" s="13"/>
    </row>
    <row r="967" spans="3:43" x14ac:dyDescent="0.4"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22"/>
      <c r="Z967" s="122"/>
      <c r="AA967" s="122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115"/>
      <c r="AP967" s="26"/>
      <c r="AQ967" s="13"/>
    </row>
    <row r="968" spans="3:43" x14ac:dyDescent="0.4">
      <c r="AP968" s="26"/>
      <c r="AQ968" s="105"/>
    </row>
    <row r="969" spans="3:43" x14ac:dyDescent="0.4"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22"/>
      <c r="Z969" s="122"/>
      <c r="AA969" s="122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26"/>
      <c r="AQ969" s="15"/>
    </row>
    <row r="970" spans="3:43" x14ac:dyDescent="0.4"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22"/>
      <c r="Z970" s="122"/>
      <c r="AA970" s="122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7"/>
      <c r="AQ970" s="15"/>
    </row>
    <row r="971" spans="3:43" x14ac:dyDescent="0.4">
      <c r="AP971" s="26"/>
      <c r="AQ971" s="15"/>
    </row>
    <row r="972" spans="3:43" x14ac:dyDescent="0.4"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22"/>
      <c r="Z972" s="122"/>
      <c r="AA972" s="122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26"/>
      <c r="AQ972" s="15"/>
    </row>
    <row r="973" spans="3:43" x14ac:dyDescent="0.4"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22"/>
      <c r="Z973" s="122"/>
      <c r="AA973" s="122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26"/>
      <c r="AQ973" s="15"/>
    </row>
    <row r="974" spans="3:43" x14ac:dyDescent="0.4"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22"/>
      <c r="Z974" s="122"/>
      <c r="AA974" s="122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26"/>
      <c r="AQ974" s="13"/>
    </row>
    <row r="975" spans="3:43" x14ac:dyDescent="0.4">
      <c r="AP975" s="26"/>
      <c r="AQ975" s="15"/>
    </row>
    <row r="976" spans="3:43" x14ac:dyDescent="0.4"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22"/>
      <c r="Z976" s="122"/>
      <c r="AA976" s="122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26"/>
      <c r="AQ976" s="15"/>
    </row>
    <row r="977" spans="2:43" x14ac:dyDescent="0.4"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22"/>
      <c r="Z977" s="122"/>
      <c r="AA977" s="122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26"/>
      <c r="AQ977" s="15"/>
    </row>
    <row r="978" spans="2:43" x14ac:dyDescent="0.4"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22"/>
      <c r="Z978" s="122"/>
      <c r="AA978" s="122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26"/>
      <c r="AQ978" s="15"/>
    </row>
    <row r="979" spans="2:43" x14ac:dyDescent="0.4"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22"/>
      <c r="Z979" s="122"/>
      <c r="AA979" s="122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26"/>
      <c r="AQ979" s="15"/>
    </row>
    <row r="980" spans="2:43" x14ac:dyDescent="0.4"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22"/>
      <c r="Z980" s="122"/>
      <c r="AA980" s="122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26"/>
      <c r="AQ980" s="15"/>
    </row>
    <row r="981" spans="2:43" x14ac:dyDescent="0.4"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22"/>
      <c r="Z981" s="122"/>
      <c r="AA981" s="122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26"/>
      <c r="AQ981" s="15"/>
    </row>
    <row r="982" spans="2:43" ht="19.5" customHeight="1" x14ac:dyDescent="0.4"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22"/>
      <c r="Z982" s="122"/>
      <c r="AA982" s="122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26"/>
      <c r="AQ982" s="15"/>
    </row>
    <row r="983" spans="2:43" ht="19.5" customHeight="1" x14ac:dyDescent="0.4"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22"/>
      <c r="Z983" s="122"/>
      <c r="AA983" s="122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26"/>
      <c r="AQ983" s="15"/>
    </row>
    <row r="984" spans="2:43" x14ac:dyDescent="0.4">
      <c r="AP984" s="26"/>
      <c r="AQ984" s="15"/>
    </row>
    <row r="985" spans="2:43" x14ac:dyDescent="0.4"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22"/>
      <c r="Z985" s="122"/>
      <c r="AA985" s="122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26"/>
      <c r="AQ985" s="15"/>
    </row>
    <row r="986" spans="2:43" x14ac:dyDescent="0.4"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22"/>
      <c r="Z986" s="122"/>
      <c r="AA986" s="122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26"/>
      <c r="AQ986" s="15"/>
    </row>
    <row r="987" spans="2:43" x14ac:dyDescent="0.4"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22"/>
      <c r="Z987" s="122"/>
      <c r="AA987" s="122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7"/>
      <c r="AQ987" s="15"/>
    </row>
    <row r="988" spans="2:43" x14ac:dyDescent="0.4">
      <c r="AP988" s="26"/>
      <c r="AQ988" s="15"/>
    </row>
    <row r="989" spans="2:43" x14ac:dyDescent="0.4">
      <c r="S989" s="115"/>
      <c r="T989" s="115"/>
      <c r="U989" s="115"/>
      <c r="V989" s="115"/>
      <c r="W989" s="115"/>
      <c r="X989" s="115"/>
      <c r="Y989" s="122"/>
      <c r="Z989" s="122"/>
      <c r="AA989" s="122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7"/>
      <c r="AQ989" s="15"/>
    </row>
    <row r="990" spans="2:43" x14ac:dyDescent="0.4"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22"/>
      <c r="Z990" s="122"/>
      <c r="AA990" s="122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26"/>
      <c r="AQ990" s="15"/>
    </row>
    <row r="991" spans="2:43" x14ac:dyDescent="0.4">
      <c r="AP991" s="26"/>
      <c r="AQ991" s="15"/>
    </row>
    <row r="992" spans="2:43" x14ac:dyDescent="0.4">
      <c r="AP992" s="26"/>
      <c r="AQ992" s="15"/>
    </row>
    <row r="993" spans="1:43" x14ac:dyDescent="0.4">
      <c r="R993" s="115"/>
      <c r="S993" s="115"/>
      <c r="T993" s="115"/>
      <c r="U993" s="115"/>
      <c r="V993" s="115"/>
      <c r="W993" s="115"/>
      <c r="X993" s="115"/>
      <c r="Y993" s="122"/>
      <c r="Z993" s="122"/>
      <c r="AA993" s="122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26"/>
      <c r="AQ993" s="15"/>
    </row>
    <row r="994" spans="1:43" x14ac:dyDescent="0.4">
      <c r="AP994" s="26"/>
      <c r="AQ994" s="15"/>
    </row>
    <row r="995" spans="1:43" x14ac:dyDescent="0.4">
      <c r="S995" s="115"/>
      <c r="T995" s="115"/>
      <c r="U995" s="115"/>
      <c r="V995" s="115"/>
      <c r="W995" s="115"/>
      <c r="X995" s="115"/>
      <c r="Y995" s="122"/>
      <c r="Z995" s="122"/>
      <c r="AA995" s="122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7"/>
      <c r="AQ995" s="15"/>
    </row>
    <row r="996" spans="1:43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22"/>
      <c r="Z996" s="122"/>
      <c r="AA996" s="122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26"/>
      <c r="AQ996" s="15"/>
    </row>
    <row r="997" spans="1:43" x14ac:dyDescent="0.4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22"/>
      <c r="Z997" s="122"/>
      <c r="AA997" s="122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7"/>
      <c r="AQ997" s="13"/>
    </row>
    <row r="998" spans="1:43" x14ac:dyDescent="0.4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22"/>
      <c r="Z998" s="122"/>
      <c r="AA998" s="122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7"/>
      <c r="AQ998" s="13"/>
    </row>
    <row r="999" spans="1:43" x14ac:dyDescent="0.4">
      <c r="AP999" s="26"/>
      <c r="AQ999" s="13"/>
    </row>
    <row r="1000" spans="1:43" x14ac:dyDescent="0.4"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22"/>
      <c r="Z1000" s="122"/>
      <c r="AA1000" s="122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26"/>
      <c r="AQ1000" s="15"/>
    </row>
    <row r="1001" spans="1:43" x14ac:dyDescent="0.4"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22"/>
      <c r="Z1001" s="122"/>
      <c r="AA1001" s="122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26"/>
      <c r="AQ1001" s="15"/>
    </row>
    <row r="1002" spans="1:43" x14ac:dyDescent="0.4">
      <c r="AP1002" s="26"/>
      <c r="AQ1002" s="15"/>
    </row>
    <row r="1003" spans="1:43" x14ac:dyDescent="0.4"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22"/>
      <c r="Z1003" s="122"/>
      <c r="AA1003" s="122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26"/>
      <c r="AQ1003" s="15"/>
    </row>
    <row r="1004" spans="1:43" x14ac:dyDescent="0.4"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22"/>
      <c r="Z1004" s="122"/>
      <c r="AA1004" s="122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26"/>
      <c r="AQ1004" s="15"/>
    </row>
    <row r="1005" spans="1:43" x14ac:dyDescent="0.4"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22"/>
      <c r="Z1005" s="122"/>
      <c r="AA1005" s="122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26"/>
      <c r="AQ1005" s="15"/>
    </row>
    <row r="1006" spans="1:43" x14ac:dyDescent="0.4"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22"/>
      <c r="Z1006" s="122"/>
      <c r="AA1006" s="122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26"/>
      <c r="AQ1006" s="15"/>
    </row>
    <row r="1007" spans="1:43" x14ac:dyDescent="0.4">
      <c r="AP1007" s="26"/>
      <c r="AQ1007" s="15"/>
    </row>
    <row r="1008" spans="1:43" x14ac:dyDescent="0.4"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22"/>
      <c r="Z1008" s="122"/>
      <c r="AA1008" s="122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26"/>
      <c r="AQ1008" s="15"/>
    </row>
    <row r="1009" spans="1:43" x14ac:dyDescent="0.4">
      <c r="AP1009" s="26"/>
      <c r="AQ1009" s="15"/>
    </row>
    <row r="1010" spans="1:43" x14ac:dyDescent="0.4"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22"/>
      <c r="Z1010" s="122"/>
      <c r="AA1010" s="122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26"/>
      <c r="AQ1010" s="15"/>
    </row>
    <row r="1011" spans="1:43" x14ac:dyDescent="0.4"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22"/>
      <c r="Z1011" s="122"/>
      <c r="AA1011" s="122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26"/>
      <c r="AQ1011" s="15"/>
    </row>
    <row r="1012" spans="1:43" x14ac:dyDescent="0.4"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22"/>
      <c r="Z1012" s="122"/>
      <c r="AA1012" s="122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7"/>
      <c r="AQ1012" s="15"/>
    </row>
    <row r="1013" spans="1:43" x14ac:dyDescent="0.4">
      <c r="AP1013" s="26"/>
      <c r="AQ1013" s="15"/>
    </row>
    <row r="1014" spans="1:43" x14ac:dyDescent="0.4">
      <c r="AP1014" s="26"/>
      <c r="AQ1014" s="15"/>
    </row>
    <row r="1015" spans="1:43" x14ac:dyDescent="0.4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22"/>
      <c r="Z1015" s="122"/>
      <c r="AA1015" s="122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26"/>
      <c r="AQ1015" s="15"/>
    </row>
    <row r="1016" spans="1:43" x14ac:dyDescent="0.4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22"/>
      <c r="Z1016" s="122"/>
      <c r="AA1016" s="122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7"/>
      <c r="AQ1016" s="15"/>
    </row>
    <row r="1017" spans="1:43" x14ac:dyDescent="0.4">
      <c r="AP1017" s="26"/>
      <c r="AQ1017" s="15"/>
    </row>
    <row r="1018" spans="1:43" ht="17.25" customHeight="1" x14ac:dyDescent="0.4"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22"/>
      <c r="Z1018" s="122"/>
      <c r="AA1018" s="122"/>
      <c r="AB1018" s="115"/>
      <c r="AC1018" s="115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26"/>
      <c r="AQ1018" s="15"/>
    </row>
    <row r="1019" spans="1:43" x14ac:dyDescent="0.4">
      <c r="AP1019" s="26"/>
      <c r="AQ1019" s="15"/>
    </row>
    <row r="1020" spans="1:43" x14ac:dyDescent="0.4">
      <c r="R1020" s="115"/>
      <c r="S1020" s="115"/>
      <c r="T1020" s="115"/>
      <c r="U1020" s="115"/>
      <c r="V1020" s="115"/>
      <c r="W1020" s="115"/>
      <c r="X1020" s="115"/>
      <c r="Y1020" s="122"/>
      <c r="Z1020" s="122"/>
      <c r="AA1020" s="122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7"/>
      <c r="AQ1020" s="15"/>
    </row>
    <row r="1021" spans="1:43" ht="16.5" customHeight="1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22"/>
      <c r="Z1021" s="122"/>
      <c r="AA1021" s="122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26"/>
      <c r="AQ1021" s="15"/>
    </row>
    <row r="1022" spans="1:43" ht="22.5" customHeight="1" x14ac:dyDescent="0.4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22"/>
      <c r="Z1022" s="122"/>
      <c r="AA1022" s="122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26"/>
      <c r="AQ1022" s="15"/>
    </row>
    <row r="1023" spans="1:43" x14ac:dyDescent="0.4">
      <c r="AP1023" s="26"/>
      <c r="AQ1023" s="15"/>
    </row>
    <row r="1024" spans="1:43" x14ac:dyDescent="0.4">
      <c r="AP1024" s="26"/>
      <c r="AQ1024" s="105"/>
    </row>
    <row r="1025" spans="1:43" x14ac:dyDescent="0.4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22"/>
      <c r="Z1025" s="122"/>
      <c r="AA1025" s="122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26"/>
      <c r="AQ1025" s="15"/>
    </row>
    <row r="1026" spans="1:43" x14ac:dyDescent="0.4">
      <c r="AP1026" s="26"/>
      <c r="AQ1026" s="15"/>
    </row>
    <row r="1027" spans="1:43" x14ac:dyDescent="0.4">
      <c r="AP1027" s="26"/>
      <c r="AQ1027" s="15"/>
    </row>
    <row r="1028" spans="1:43" x14ac:dyDescent="0.4">
      <c r="AP1028" s="26"/>
      <c r="AQ1028" s="15"/>
    </row>
    <row r="1029" spans="1:43" x14ac:dyDescent="0.4">
      <c r="AP1029" s="26"/>
      <c r="AQ1029" s="15"/>
    </row>
    <row r="1030" spans="1:43" x14ac:dyDescent="0.4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22"/>
      <c r="Z1030" s="122"/>
      <c r="AA1030" s="122"/>
      <c r="AB1030" s="115"/>
      <c r="AC1030" s="115"/>
      <c r="AD1030" s="115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15"/>
      <c r="AP1030" s="26"/>
      <c r="AQ1030" s="15"/>
    </row>
    <row r="1031" spans="1:43" x14ac:dyDescent="0.4">
      <c r="AP1031" s="26"/>
      <c r="AQ1031" s="15"/>
    </row>
    <row r="1032" spans="1:43" x14ac:dyDescent="0.4">
      <c r="AP1032" s="26"/>
      <c r="AQ1032" s="15"/>
    </row>
    <row r="1033" spans="1:43" x14ac:dyDescent="0.4">
      <c r="AP1033" s="26"/>
      <c r="AQ1033" s="15"/>
    </row>
    <row r="1034" spans="1:43" x14ac:dyDescent="0.4">
      <c r="AP1034" s="26"/>
      <c r="AQ1034" s="15"/>
    </row>
    <row r="1035" spans="1:43" ht="18.75" customHeight="1" x14ac:dyDescent="0.4"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22"/>
      <c r="Z1035" s="122"/>
      <c r="AA1035" s="122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26"/>
      <c r="AQ1035" s="15"/>
    </row>
    <row r="1036" spans="1:43" x14ac:dyDescent="0.4">
      <c r="AP1036" s="26"/>
      <c r="AQ1036" s="15"/>
    </row>
    <row r="1037" spans="1:43" x14ac:dyDescent="0.4">
      <c r="AP1037" s="26"/>
      <c r="AQ1037" s="15"/>
    </row>
    <row r="1038" spans="1:43" x14ac:dyDescent="0.4"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22"/>
      <c r="Z1038" s="122"/>
      <c r="AA1038" s="122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26"/>
      <c r="AQ1038" s="15"/>
    </row>
    <row r="1039" spans="1:43" x14ac:dyDescent="0.4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22"/>
      <c r="Z1039" s="122"/>
      <c r="AA1039" s="122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26"/>
      <c r="AQ1039" s="15"/>
    </row>
    <row r="1040" spans="1:43" x14ac:dyDescent="0.4">
      <c r="AP1040" s="26"/>
      <c r="AQ1040" s="15"/>
    </row>
    <row r="1041" spans="1:43" x14ac:dyDescent="0.4">
      <c r="R1041" s="115"/>
      <c r="S1041" s="115"/>
      <c r="T1041" s="115"/>
      <c r="U1041" s="115"/>
      <c r="V1041" s="115"/>
      <c r="W1041" s="115"/>
      <c r="X1041" s="115"/>
      <c r="Y1041" s="122"/>
      <c r="Z1041" s="122"/>
      <c r="AA1041" s="122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7"/>
      <c r="AQ1041" s="15"/>
    </row>
    <row r="1042" spans="1:43" x14ac:dyDescent="0.4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22"/>
      <c r="Z1042" s="122"/>
      <c r="AA1042" s="122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26"/>
      <c r="AQ1042" s="15"/>
    </row>
    <row r="1043" spans="1:43" x14ac:dyDescent="0.4">
      <c r="AP1043" s="26"/>
      <c r="AQ1043" s="15"/>
    </row>
    <row r="1044" spans="1:43" x14ac:dyDescent="0.4">
      <c r="R1044" s="115"/>
      <c r="S1044" s="115"/>
      <c r="T1044" s="115"/>
      <c r="U1044" s="115"/>
      <c r="V1044" s="115"/>
      <c r="W1044" s="115"/>
      <c r="X1044" s="115"/>
      <c r="Y1044" s="122"/>
      <c r="Z1044" s="122"/>
      <c r="AA1044" s="122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7"/>
      <c r="AQ1044" s="15"/>
    </row>
    <row r="1045" spans="1:43" x14ac:dyDescent="0.4">
      <c r="AP1045" s="26"/>
      <c r="AQ1045" s="15"/>
    </row>
    <row r="1046" spans="1:43" x14ac:dyDescent="0.4"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22"/>
      <c r="Z1046" s="122"/>
      <c r="AA1046" s="122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26"/>
      <c r="AQ1046" s="15"/>
    </row>
    <row r="1047" spans="1:43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22"/>
      <c r="Z1047" s="122"/>
      <c r="AA1047" s="122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26"/>
      <c r="AQ1047" s="15"/>
    </row>
    <row r="1048" spans="1:43" x14ac:dyDescent="0.4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22"/>
      <c r="Z1048" s="122"/>
      <c r="AA1048" s="122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26"/>
      <c r="AQ1048" s="15"/>
    </row>
    <row r="1049" spans="1:43" x14ac:dyDescent="0.4">
      <c r="AP1049" s="26"/>
      <c r="AQ1049" s="15"/>
    </row>
    <row r="1050" spans="1:43" x14ac:dyDescent="0.4"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22"/>
      <c r="Z1050" s="122"/>
      <c r="AA1050" s="122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26"/>
      <c r="AQ1050" s="15"/>
    </row>
    <row r="1051" spans="1:43" x14ac:dyDescent="0.4">
      <c r="AP1051" s="26"/>
      <c r="AQ1051" s="15"/>
    </row>
    <row r="1052" spans="1:43" x14ac:dyDescent="0.4"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22"/>
      <c r="Z1052" s="122"/>
      <c r="AA1052" s="122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26"/>
      <c r="AQ1052" s="15"/>
    </row>
    <row r="1053" spans="1:43" x14ac:dyDescent="0.4">
      <c r="AP1053" s="26"/>
      <c r="AQ1053" s="15"/>
    </row>
    <row r="1054" spans="1:43" x14ac:dyDescent="0.4">
      <c r="AP1054" s="26"/>
      <c r="AQ1054" s="15"/>
    </row>
    <row r="1055" spans="1:43" x14ac:dyDescent="0.4">
      <c r="AP1055" s="26"/>
      <c r="AQ1055" s="15"/>
    </row>
    <row r="1056" spans="1:43" x14ac:dyDescent="0.4">
      <c r="AP1056" s="26"/>
      <c r="AQ1056" s="15"/>
    </row>
    <row r="1057" spans="1:43" x14ac:dyDescent="0.4">
      <c r="AP1057" s="26"/>
      <c r="AQ1057" s="15"/>
    </row>
    <row r="1058" spans="1:43" x14ac:dyDescent="0.4">
      <c r="AP1058" s="26"/>
      <c r="AQ1058" s="15"/>
    </row>
    <row r="1059" spans="1:43" x14ac:dyDescent="0.4">
      <c r="A1059" s="115"/>
      <c r="B1059" s="115"/>
      <c r="C1059" s="115"/>
      <c r="D1059" s="115"/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22"/>
      <c r="Z1059" s="122"/>
      <c r="AA1059" s="122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26"/>
      <c r="AQ1059" s="15"/>
    </row>
    <row r="1060" spans="1:43" x14ac:dyDescent="0.4">
      <c r="AP1060" s="26"/>
      <c r="AQ1060" s="15"/>
    </row>
    <row r="1061" spans="1:43" x14ac:dyDescent="0.4">
      <c r="AP1061" s="26"/>
      <c r="AQ1061" s="15"/>
    </row>
    <row r="1062" spans="1:43" x14ac:dyDescent="0.4">
      <c r="AP1062" s="26"/>
      <c r="AQ1062" s="15"/>
    </row>
    <row r="1063" spans="1:43" x14ac:dyDescent="0.4">
      <c r="AP1063" s="26"/>
      <c r="AQ1063" s="15"/>
    </row>
    <row r="1064" spans="1:43" x14ac:dyDescent="0.4">
      <c r="AP1064" s="26"/>
      <c r="AQ1064" s="15"/>
    </row>
    <row r="1065" spans="1:43" x14ac:dyDescent="0.4">
      <c r="R1065" s="115"/>
      <c r="S1065" s="115"/>
      <c r="T1065" s="115"/>
      <c r="U1065" s="115"/>
      <c r="V1065" s="115"/>
      <c r="W1065" s="115"/>
      <c r="X1065" s="115"/>
      <c r="Y1065" s="122"/>
      <c r="Z1065" s="122"/>
      <c r="AA1065" s="122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7"/>
      <c r="AQ1065" s="15"/>
    </row>
    <row r="1066" spans="1:43" x14ac:dyDescent="0.4">
      <c r="R1066" s="115"/>
      <c r="S1066" s="115"/>
      <c r="T1066" s="115"/>
      <c r="U1066" s="115"/>
      <c r="V1066" s="115"/>
      <c r="W1066" s="115"/>
      <c r="X1066" s="115"/>
      <c r="Y1066" s="122"/>
      <c r="Z1066" s="122"/>
      <c r="AA1066" s="122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7"/>
      <c r="AQ1066" s="15"/>
    </row>
    <row r="1067" spans="1:43" x14ac:dyDescent="0.4">
      <c r="AP1067" s="26"/>
      <c r="AQ1067" s="15"/>
    </row>
    <row r="1068" spans="1:43" x14ac:dyDescent="0.4">
      <c r="AP1068" s="26"/>
      <c r="AQ1068" s="15"/>
    </row>
    <row r="1069" spans="1:43" x14ac:dyDescent="0.4">
      <c r="A1069" s="115"/>
      <c r="B1069" s="115"/>
      <c r="C1069" s="115"/>
      <c r="D1069" s="115"/>
      <c r="E1069" s="115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22"/>
      <c r="Z1069" s="122"/>
      <c r="AA1069" s="122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26"/>
      <c r="AQ1069" s="15"/>
    </row>
    <row r="1070" spans="1:43" x14ac:dyDescent="0.4">
      <c r="A1070" s="115"/>
      <c r="B1070" s="115"/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22"/>
      <c r="Z1070" s="122"/>
      <c r="AA1070" s="122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26"/>
      <c r="AQ1070" s="13"/>
    </row>
    <row r="1071" spans="1:43" x14ac:dyDescent="0.4">
      <c r="AP1071" s="26"/>
      <c r="AQ1071" s="15"/>
    </row>
    <row r="1072" spans="1:43" x14ac:dyDescent="0.4">
      <c r="B1072" s="115"/>
      <c r="C1072" s="115"/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22"/>
      <c r="Z1072" s="122"/>
      <c r="AA1072" s="122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26"/>
      <c r="AQ1072" s="15"/>
    </row>
    <row r="1073" spans="1:43" x14ac:dyDescent="0.4">
      <c r="AP1073" s="26"/>
      <c r="AQ1073" s="15"/>
    </row>
    <row r="1074" spans="1:43" x14ac:dyDescent="0.4">
      <c r="AP1074" s="26"/>
      <c r="AQ1074" s="15"/>
    </row>
    <row r="1075" spans="1:43" x14ac:dyDescent="0.4">
      <c r="A1075" s="115"/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22"/>
      <c r="Z1075" s="122"/>
      <c r="AA1075" s="122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26"/>
      <c r="AQ1075" s="15"/>
    </row>
    <row r="1076" spans="1:43" x14ac:dyDescent="0.4">
      <c r="AP1076" s="26"/>
      <c r="AQ1076" s="13"/>
    </row>
    <row r="1077" spans="1:43" x14ac:dyDescent="0.4">
      <c r="AP1077" s="26"/>
      <c r="AQ1077" s="13"/>
    </row>
    <row r="1078" spans="1:43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22"/>
      <c r="Z1078" s="122"/>
      <c r="AA1078" s="122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26"/>
      <c r="AQ1078" s="13"/>
    </row>
    <row r="1079" spans="1:43" x14ac:dyDescent="0.4">
      <c r="AP1079" s="26"/>
      <c r="AQ1079" s="13"/>
    </row>
    <row r="1080" spans="1:43" x14ac:dyDescent="0.4">
      <c r="AP1080" s="26"/>
      <c r="AQ1080" s="13"/>
    </row>
    <row r="1081" spans="1:43" x14ac:dyDescent="0.4">
      <c r="AP1081" s="26"/>
      <c r="AQ1081" s="13"/>
    </row>
    <row r="1082" spans="1:43" x14ac:dyDescent="0.4">
      <c r="AP1082" s="26"/>
      <c r="AQ1082" s="13"/>
    </row>
    <row r="1083" spans="1:43" x14ac:dyDescent="0.4">
      <c r="AP1083" s="26"/>
      <c r="AQ1083" s="13"/>
    </row>
    <row r="1084" spans="1:43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22"/>
      <c r="Z1084" s="122"/>
      <c r="AA1084" s="122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26"/>
      <c r="AQ1084" s="25"/>
    </row>
    <row r="1085" spans="1:43" x14ac:dyDescent="0.4">
      <c r="AP1085" s="26"/>
      <c r="AQ1085" s="13"/>
    </row>
    <row r="1086" spans="1:43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22"/>
      <c r="Z1086" s="122"/>
      <c r="AA1086" s="122"/>
      <c r="AB1086" s="115"/>
      <c r="AC1086" s="115"/>
      <c r="AD1086" s="115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26"/>
      <c r="AQ1086" s="13"/>
    </row>
    <row r="1087" spans="1:43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22"/>
      <c r="Z1087" s="122"/>
      <c r="AA1087" s="122"/>
      <c r="AB1087" s="115"/>
      <c r="AC1087" s="115"/>
      <c r="AD1087" s="115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26"/>
      <c r="AQ1087" s="13"/>
    </row>
    <row r="1088" spans="1:43" x14ac:dyDescent="0.4">
      <c r="AP1088" s="26"/>
      <c r="AQ1088" s="15"/>
    </row>
    <row r="1089" spans="2:43" x14ac:dyDescent="0.4">
      <c r="AP1089" s="26"/>
      <c r="AQ1089" s="15"/>
    </row>
    <row r="1090" spans="2:43" x14ac:dyDescent="0.4">
      <c r="AP1090" s="26"/>
      <c r="AQ1090" s="15"/>
    </row>
    <row r="1091" spans="2:43" x14ac:dyDescent="0.4">
      <c r="AP1091" s="26"/>
      <c r="AQ1091" s="13"/>
    </row>
    <row r="1092" spans="2:43" x14ac:dyDescent="0.4">
      <c r="AP1092" s="26"/>
      <c r="AQ1092" s="15"/>
    </row>
    <row r="1093" spans="2:43" x14ac:dyDescent="0.4">
      <c r="B1093" s="115"/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22"/>
      <c r="Z1093" s="122"/>
      <c r="AA1093" s="122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7"/>
      <c r="AQ1093" s="15"/>
    </row>
    <row r="1094" spans="2:43" x14ac:dyDescent="0.4">
      <c r="AP1094" s="26"/>
      <c r="AQ1094" s="15"/>
    </row>
    <row r="1095" spans="2:43" x14ac:dyDescent="0.4">
      <c r="B1095" s="115"/>
      <c r="C1095" s="115"/>
      <c r="D1095" s="115"/>
      <c r="E1095" s="115"/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22"/>
      <c r="Z1095" s="122"/>
      <c r="AA1095" s="122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7"/>
      <c r="AQ1095" s="15"/>
    </row>
    <row r="1096" spans="2:43" x14ac:dyDescent="0.4">
      <c r="AP1096" s="26"/>
      <c r="AQ1096" s="15"/>
    </row>
    <row r="1097" spans="2:43" x14ac:dyDescent="0.4">
      <c r="AP1097" s="26"/>
      <c r="AQ1097" s="15"/>
    </row>
    <row r="1098" spans="2:43" x14ac:dyDescent="0.4"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22"/>
      <c r="Z1098" s="122"/>
      <c r="AA1098" s="122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7"/>
      <c r="AQ1098" s="15"/>
    </row>
    <row r="1099" spans="2:43" x14ac:dyDescent="0.4">
      <c r="AP1099" s="26"/>
      <c r="AQ1099" s="15"/>
    </row>
    <row r="1100" spans="2:43" x14ac:dyDescent="0.4">
      <c r="AP1100" s="26"/>
      <c r="AQ1100" s="15"/>
    </row>
    <row r="1101" spans="2:43" x14ac:dyDescent="0.4">
      <c r="AP1101" s="26"/>
      <c r="AQ1101" s="105"/>
    </row>
    <row r="1102" spans="2:43" x14ac:dyDescent="0.4">
      <c r="AP1102" s="26"/>
      <c r="AQ1102" s="15"/>
    </row>
    <row r="1103" spans="2:43" x14ac:dyDescent="0.4">
      <c r="AP1103" s="26"/>
      <c r="AQ1103" s="15"/>
    </row>
    <row r="1104" spans="2:43" x14ac:dyDescent="0.4">
      <c r="AP1104" s="26"/>
      <c r="AQ1104" s="15"/>
    </row>
    <row r="1105" spans="2:43" x14ac:dyDescent="0.4">
      <c r="AP1105" s="26"/>
      <c r="AQ1105" s="15"/>
    </row>
    <row r="1106" spans="2:43" x14ac:dyDescent="0.4">
      <c r="AP1106" s="26"/>
      <c r="AQ1106" s="15"/>
    </row>
    <row r="1107" spans="2:43" x14ac:dyDescent="0.4">
      <c r="B1107" s="115"/>
      <c r="C1107" s="115"/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22"/>
      <c r="Z1107" s="122"/>
      <c r="AA1107" s="122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9"/>
      <c r="AQ1107" s="119"/>
    </row>
    <row r="1108" spans="2:43" x14ac:dyDescent="0.4">
      <c r="B1108" s="115"/>
      <c r="C1108" s="115"/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22"/>
      <c r="Z1108" s="122"/>
      <c r="AA1108" s="122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9"/>
      <c r="AQ1108" s="119"/>
    </row>
  </sheetData>
  <sortState xmlns:xlrd2="http://schemas.microsoft.com/office/spreadsheetml/2017/richdata2" ref="R2:S146">
    <sortCondition ref="R2:R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2024-12-24T09:45:41Z</cp:lastPrinted>
  <dcterms:created xsi:type="dcterms:W3CDTF">2020-05-08T06:29:04Z</dcterms:created>
  <dcterms:modified xsi:type="dcterms:W3CDTF">2024-12-25T01:08:43Z</dcterms:modified>
</cp:coreProperties>
</file>