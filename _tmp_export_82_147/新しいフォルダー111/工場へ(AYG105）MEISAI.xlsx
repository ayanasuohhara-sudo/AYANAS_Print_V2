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876FEF34-9074-4B64-9594-26F54B6B04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3" l="1"/>
  <c r="D29" i="3"/>
  <c r="C29" i="3"/>
  <c r="B29" i="3"/>
  <c r="N156" i="3"/>
  <c r="M156" i="3"/>
  <c r="N153" i="3"/>
  <c r="M153" i="3"/>
  <c r="N151" i="3"/>
  <c r="M151" i="3"/>
  <c r="N149" i="3"/>
  <c r="M149" i="3"/>
  <c r="N147" i="3"/>
  <c r="M147" i="3"/>
  <c r="N144" i="3"/>
  <c r="M144" i="3"/>
  <c r="N142" i="3"/>
  <c r="M142" i="3"/>
  <c r="N138" i="3"/>
  <c r="M138" i="3"/>
  <c r="N133" i="3"/>
  <c r="M133" i="3"/>
  <c r="N128" i="3"/>
  <c r="M128" i="3"/>
  <c r="N123" i="3"/>
  <c r="M123" i="3"/>
  <c r="N121" i="3"/>
  <c r="M121" i="3"/>
  <c r="N118" i="3"/>
  <c r="M118" i="3"/>
  <c r="N101" i="3"/>
  <c r="M101" i="3"/>
  <c r="N89" i="3"/>
  <c r="M89" i="3"/>
  <c r="N79" i="3"/>
  <c r="M79" i="3"/>
  <c r="N70" i="3"/>
  <c r="M70" i="3"/>
  <c r="N63" i="3"/>
  <c r="M63" i="3"/>
  <c r="N57" i="3"/>
  <c r="M57" i="3"/>
  <c r="N55" i="3"/>
  <c r="M55" i="3"/>
  <c r="N24" i="3"/>
  <c r="M24" i="3"/>
  <c r="N18" i="3"/>
  <c r="M18" i="3"/>
  <c r="N13" i="3"/>
  <c r="M13" i="3"/>
  <c r="N10" i="3"/>
  <c r="N157" i="3" s="1"/>
  <c r="M10" i="3"/>
  <c r="N8" i="3"/>
  <c r="M8" i="3"/>
  <c r="N6" i="3"/>
  <c r="M6" i="3"/>
  <c r="M157" i="3" s="1"/>
  <c r="A241" i="1"/>
  <c r="Y381" i="3"/>
  <c r="W381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AW663" i="3"/>
  <c r="AV663" i="3"/>
  <c r="AW658" i="3"/>
  <c r="AV658" i="3"/>
  <c r="AW656" i="3"/>
  <c r="AV656" i="3"/>
  <c r="AW642" i="3"/>
  <c r="AV642" i="3"/>
  <c r="AW624" i="3"/>
  <c r="AV624" i="3"/>
  <c r="AW613" i="3"/>
  <c r="AV613" i="3"/>
  <c r="AW579" i="3"/>
  <c r="AV579" i="3"/>
  <c r="AW566" i="3"/>
  <c r="AV566" i="3"/>
  <c r="AW528" i="3"/>
  <c r="AV528" i="3"/>
  <c r="AW519" i="3"/>
  <c r="AV519" i="3"/>
  <c r="AW505" i="3"/>
  <c r="AV505" i="3"/>
  <c r="AW472" i="3"/>
  <c r="AV472" i="3"/>
  <c r="AW419" i="3"/>
  <c r="AV419" i="3"/>
  <c r="AW407" i="3"/>
  <c r="AV407" i="3"/>
  <c r="AW384" i="3"/>
  <c r="AV384" i="3"/>
  <c r="AW369" i="3"/>
  <c r="AV369" i="3"/>
  <c r="AW345" i="3"/>
  <c r="AV345" i="3"/>
  <c r="AW327" i="3"/>
  <c r="AV327" i="3"/>
  <c r="AW307" i="3"/>
  <c r="AV307" i="3"/>
  <c r="AW293" i="3"/>
  <c r="AV293" i="3"/>
  <c r="AW284" i="3"/>
  <c r="AV284" i="3"/>
  <c r="AW210" i="3"/>
  <c r="AV210" i="3"/>
  <c r="B61" i="1"/>
  <c r="A151" i="1"/>
  <c r="AB43" i="1"/>
  <c r="AV664" i="3" l="1"/>
  <c r="AW664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11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<sst xmlns="http://schemas.openxmlformats.org/spreadsheetml/2006/main" count="2549" uniqueCount="365">
  <si>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</si>
  <si>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</si>
  <si>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</si>
  <si>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</si>
  <si>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</si>
  <si>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</si>
  <si>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</si>
  <si>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</si>
  <si>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</si>
  <si>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</si>
  <si>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</si>
  <si>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</si>
  <si>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</si>
  <si>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</si>
  <si>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</si>
  <si>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</si>
  <si>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</si>
  <si>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</si>
  <si>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</si>
  <si>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</si>
  <si>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</si>
  <si>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</si>
  <si>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</si>
  <si>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</si>
  <si>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</si>
  <si>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</si>
  <si>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</si>
  <si>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</si>
  <si>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</si>
  <si>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</si>
  <si>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</si>
  <si>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</si>
  <si>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</si>
  <si>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</si>
  <si>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</si>
  <si>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</si>
  <si>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</si>
  <si>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</si>
  <si>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</si>
  <si>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</si>
  <si>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</si>
  <si>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</si>
  <si>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</si>
  <si>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</si>
  <si>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</si>
  <si>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</si>
  <si>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</si>
  <si>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</si>
  <si>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</si>
  <si>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</si>
  <si>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</si>
  <si>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</si>
  <si>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</si>
  <si>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</si>
  <si>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</si>
  <si>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</si>
  <si>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</si>
  <si>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</si>
  <si>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</si>
  <si>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</si>
  <si>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</si>
  <si>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</si>
  <si>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</si>
  <si>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</si>
  <si>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</si>
  <si>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</si>
  <si>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</si>
  <si>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</si>
  <si>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</si>
  <si>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</si>
  <si>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</si>
  <si>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</si>
  <si>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</si>
  <si>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</si>
  <si>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</si>
  <si>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</si>
  <si>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</si>
  <si>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</si>
  <si>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</si>
  <si>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</si>
  <si>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</si>
  <si>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</si>
  <si>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</si>
  <si>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</si>
  <si>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</si>
  <si>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</si>
  <si>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</si>
  <si>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</si>
  <si>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</si>
  <si>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</si>
  <si>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</si>
  <si>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</si>
  <si>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</si>
  <si>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</si>
  <si>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</si>
  <si>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</si>
  <si>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</si>
  <si>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</si>
  <si>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</si>
  <si>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</si>
  <si>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</si>
  <si>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</si>
  <si>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</si>
  <si>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</si>
  <si>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</si>
  <si>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</si>
  <si>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</si>
  <si>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</si>
  <si>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</si>
  <si>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</si>
  <si>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</si>
  <si>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</si>
  <si>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</si>
  <si>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</si>
  <si>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</si>
  <si>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</si>
  <si>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</si>
  <si>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</si>
  <si>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</si>
  <si>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</si>
  <si>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</si>
  <si>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</si>
  <si>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</si>
  <si>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</si>
  <si>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</si>
  <si>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</si>
  <si>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</si>
  <si>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</si>
  <si>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</si>
  <si>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</si>
  <si>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</si>
  <si>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</si>
  <si>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</si>
  <si>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</si>
  <si>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</si>
  <si>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</si>
  <si>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</si>
  <si>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</si>
  <si>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</si>
  <si>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</si>
  <si>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</si>
  <si>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</si>
  <si>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</si>
  <si>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</si>
  <si>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</si>
  <si>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</si>
  <si>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</si>
  <si>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</si>
  <si>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</si>
  <si>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</si>
  <si>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</si>
  <si>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</si>
  <si>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</si>
  <si>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</si>
  <si>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</si>
  <si>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</si>
  <si>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</si>
  <si>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</si>
  <si>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</si>
  <si>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</si>
  <si>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</si>
  <si>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</si>
  <si>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</si>
  <si>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</si>
  <si>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</si>
  <si>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</si>
  <si>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</si>
  <si>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</si>
  <si>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</si>
  <si>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</si>
  <si>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</si>
  <si>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</si>
  <si>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</si>
  <si>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</si>
  <si>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</si>
  <si>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</si>
  <si>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</si>
  <si>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A545</t>
    <phoneticPr fontId="1"/>
  </si>
  <si>
    <t>S</t>
    <phoneticPr fontId="1"/>
  </si>
  <si>
    <t>M032</t>
    <phoneticPr fontId="1"/>
  </si>
  <si>
    <t>M078</t>
    <phoneticPr fontId="1"/>
  </si>
  <si>
    <t>A700</t>
    <phoneticPr fontId="1"/>
  </si>
  <si>
    <t>M079</t>
    <phoneticPr fontId="1"/>
  </si>
  <si>
    <t>M074</t>
    <phoneticPr fontId="1"/>
  </si>
  <si>
    <t>AYG099</t>
    <phoneticPr fontId="1"/>
  </si>
  <si>
    <t>M037</t>
    <phoneticPr fontId="1"/>
  </si>
  <si>
    <t>A913</t>
    <phoneticPr fontId="1"/>
  </si>
  <si>
    <t>A318</t>
    <phoneticPr fontId="1"/>
  </si>
  <si>
    <t>A335</t>
    <phoneticPr fontId="1"/>
  </si>
  <si>
    <t>A199</t>
    <phoneticPr fontId="1"/>
  </si>
  <si>
    <t>A505</t>
    <phoneticPr fontId="1"/>
  </si>
  <si>
    <t>重量</t>
    <rPh sb="0" eb="2">
      <t>ジュウリョウ</t>
    </rPh>
    <phoneticPr fontId="1"/>
  </si>
  <si>
    <t>A328</t>
    <phoneticPr fontId="1"/>
  </si>
  <si>
    <t>2025/5/21 個数</t>
  </si>
  <si>
    <t>E</t>
    <phoneticPr fontId="1"/>
  </si>
  <si>
    <t>A181</t>
    <phoneticPr fontId="1"/>
  </si>
  <si>
    <t>M025</t>
    <phoneticPr fontId="1"/>
  </si>
  <si>
    <t>2025/4/16 個数</t>
  </si>
  <si>
    <t>2025/4/21 個数</t>
  </si>
  <si>
    <t>2025/6/21 個数</t>
  </si>
  <si>
    <t>P</t>
    <phoneticPr fontId="1"/>
  </si>
  <si>
    <t>A529</t>
    <phoneticPr fontId="1"/>
  </si>
  <si>
    <t>A550</t>
    <phoneticPr fontId="1"/>
  </si>
  <si>
    <t>2025/4/20 個数</t>
  </si>
  <si>
    <t>2025/4/22 個数</t>
  </si>
  <si>
    <t>2025/4/23 個数</t>
  </si>
  <si>
    <t>2025/4/26 個数</t>
  </si>
  <si>
    <t>2025/4/28 個数</t>
  </si>
  <si>
    <t>2025/4/29 個数</t>
  </si>
  <si>
    <t>2025/4/30 個数</t>
  </si>
  <si>
    <t>2025/5/6 個数</t>
  </si>
  <si>
    <t>2025/5/8 個数</t>
  </si>
  <si>
    <t>AYG105</t>
    <phoneticPr fontId="1"/>
  </si>
  <si>
    <t>07030376</t>
    <phoneticPr fontId="1"/>
  </si>
  <si>
    <t>07030396</t>
    <phoneticPr fontId="1"/>
  </si>
  <si>
    <t>07030398</t>
    <phoneticPr fontId="1"/>
  </si>
  <si>
    <t>07030419</t>
    <phoneticPr fontId="1"/>
  </si>
  <si>
    <t>07030420</t>
    <phoneticPr fontId="1"/>
  </si>
  <si>
    <t>07030421</t>
    <phoneticPr fontId="1"/>
  </si>
  <si>
    <t>07030472</t>
    <phoneticPr fontId="1"/>
  </si>
  <si>
    <t>07030473</t>
    <phoneticPr fontId="1"/>
  </si>
  <si>
    <t>07030475</t>
    <phoneticPr fontId="1"/>
  </si>
  <si>
    <t>07030476</t>
    <phoneticPr fontId="1"/>
  </si>
  <si>
    <t>07030477</t>
    <phoneticPr fontId="1"/>
  </si>
  <si>
    <t>07030501</t>
    <phoneticPr fontId="1"/>
  </si>
  <si>
    <t>A732</t>
    <phoneticPr fontId="1"/>
  </si>
  <si>
    <t>07030506</t>
    <phoneticPr fontId="1"/>
  </si>
  <si>
    <t>07030516</t>
    <phoneticPr fontId="1"/>
  </si>
  <si>
    <t>A602</t>
    <phoneticPr fontId="1"/>
  </si>
  <si>
    <t>07030517</t>
    <phoneticPr fontId="1"/>
  </si>
  <si>
    <t>07030518</t>
    <phoneticPr fontId="1"/>
  </si>
  <si>
    <t>07030521</t>
    <phoneticPr fontId="1"/>
  </si>
  <si>
    <t>07030528</t>
    <phoneticPr fontId="1"/>
  </si>
  <si>
    <t>07030334</t>
    <phoneticPr fontId="1"/>
  </si>
  <si>
    <t>07030386</t>
    <phoneticPr fontId="1"/>
  </si>
  <si>
    <t>07030389</t>
    <phoneticPr fontId="1"/>
  </si>
  <si>
    <t>07030415</t>
    <phoneticPr fontId="1"/>
  </si>
  <si>
    <t>07030423</t>
    <phoneticPr fontId="1"/>
  </si>
  <si>
    <t>07030474</t>
    <phoneticPr fontId="1"/>
  </si>
  <si>
    <t>07030519</t>
    <phoneticPr fontId="1"/>
  </si>
  <si>
    <t>07030522</t>
    <phoneticPr fontId="1"/>
  </si>
  <si>
    <t>07030523</t>
    <phoneticPr fontId="1"/>
  </si>
  <si>
    <t>07030524</t>
    <phoneticPr fontId="1"/>
  </si>
  <si>
    <t>07030530</t>
    <phoneticPr fontId="1"/>
  </si>
  <si>
    <t>07030532</t>
    <phoneticPr fontId="1"/>
  </si>
  <si>
    <t>07030539</t>
    <phoneticPr fontId="1"/>
  </si>
  <si>
    <t>07030540</t>
    <phoneticPr fontId="1"/>
  </si>
  <si>
    <t>07030555</t>
    <phoneticPr fontId="1"/>
  </si>
  <si>
    <t>07030534</t>
    <phoneticPr fontId="1"/>
  </si>
  <si>
    <t>07030535</t>
    <phoneticPr fontId="1"/>
  </si>
  <si>
    <t>07030536</t>
    <phoneticPr fontId="1"/>
  </si>
  <si>
    <t>07030537</t>
    <phoneticPr fontId="1"/>
  </si>
  <si>
    <t>07030538</t>
    <phoneticPr fontId="1"/>
  </si>
  <si>
    <t>07030462</t>
    <phoneticPr fontId="1"/>
  </si>
  <si>
    <t>07030468</t>
    <phoneticPr fontId="1"/>
  </si>
  <si>
    <t>07030505</t>
    <phoneticPr fontId="1"/>
  </si>
  <si>
    <t>A623</t>
    <phoneticPr fontId="1"/>
  </si>
  <si>
    <t>07030557</t>
    <phoneticPr fontId="1"/>
  </si>
  <si>
    <t>07030558</t>
    <phoneticPr fontId="1"/>
  </si>
  <si>
    <t>07030559</t>
    <phoneticPr fontId="1"/>
  </si>
  <si>
    <t>07030560</t>
    <phoneticPr fontId="1"/>
  </si>
  <si>
    <t>07030561</t>
    <phoneticPr fontId="1"/>
  </si>
  <si>
    <t>07030562</t>
    <phoneticPr fontId="1"/>
  </si>
  <si>
    <t>A336</t>
    <phoneticPr fontId="1"/>
  </si>
  <si>
    <t>07030565</t>
    <phoneticPr fontId="1"/>
  </si>
  <si>
    <t>07030566</t>
    <phoneticPr fontId="1"/>
  </si>
  <si>
    <t>C</t>
    <phoneticPr fontId="1"/>
  </si>
  <si>
    <t>07030567</t>
    <phoneticPr fontId="1"/>
  </si>
  <si>
    <t>07030568</t>
    <phoneticPr fontId="1"/>
  </si>
  <si>
    <t>07030569</t>
    <phoneticPr fontId="1"/>
  </si>
  <si>
    <t>07030570</t>
    <phoneticPr fontId="1"/>
  </si>
  <si>
    <t>07030436</t>
    <phoneticPr fontId="1"/>
  </si>
  <si>
    <t>A332</t>
    <phoneticPr fontId="1"/>
  </si>
  <si>
    <t>07030451</t>
    <phoneticPr fontId="1"/>
  </si>
  <si>
    <t>07030452</t>
    <phoneticPr fontId="1"/>
  </si>
  <si>
    <t>07030453</t>
    <phoneticPr fontId="1"/>
  </si>
  <si>
    <t>07030454</t>
    <phoneticPr fontId="1"/>
  </si>
  <si>
    <t>07030458</t>
    <phoneticPr fontId="1"/>
  </si>
  <si>
    <t>07030459</t>
    <phoneticPr fontId="1"/>
  </si>
  <si>
    <t>07030460</t>
    <phoneticPr fontId="1"/>
  </si>
  <si>
    <t>07030463</t>
    <phoneticPr fontId="1"/>
  </si>
  <si>
    <t>07030464</t>
    <phoneticPr fontId="1"/>
  </si>
  <si>
    <t>07030465</t>
    <phoneticPr fontId="1"/>
  </si>
  <si>
    <t>07030466</t>
    <phoneticPr fontId="1"/>
  </si>
  <si>
    <t>07030467</t>
    <phoneticPr fontId="1"/>
  </si>
  <si>
    <t>07030520</t>
    <phoneticPr fontId="1"/>
  </si>
  <si>
    <t>07030533</t>
    <phoneticPr fontId="1"/>
  </si>
  <si>
    <t>07040001</t>
    <phoneticPr fontId="1"/>
  </si>
  <si>
    <t>A740</t>
    <phoneticPr fontId="1"/>
  </si>
  <si>
    <t>07040002</t>
    <phoneticPr fontId="1"/>
  </si>
  <si>
    <t>07040007</t>
    <phoneticPr fontId="1"/>
  </si>
  <si>
    <t>07040008</t>
    <phoneticPr fontId="1"/>
  </si>
  <si>
    <t>07040016</t>
    <phoneticPr fontId="1"/>
  </si>
  <si>
    <t>A307</t>
    <phoneticPr fontId="1"/>
  </si>
  <si>
    <t>07040022</t>
    <phoneticPr fontId="1"/>
  </si>
  <si>
    <t>07040023</t>
    <phoneticPr fontId="1"/>
  </si>
  <si>
    <t>07040024</t>
    <phoneticPr fontId="1"/>
  </si>
  <si>
    <t>07040025</t>
    <phoneticPr fontId="1"/>
  </si>
  <si>
    <t>07040026</t>
    <phoneticPr fontId="1"/>
  </si>
  <si>
    <t>07040031</t>
    <phoneticPr fontId="1"/>
  </si>
  <si>
    <t>07040032</t>
    <phoneticPr fontId="1"/>
  </si>
  <si>
    <t>07040033</t>
    <phoneticPr fontId="1"/>
  </si>
  <si>
    <t>07040070</t>
    <phoneticPr fontId="1"/>
  </si>
  <si>
    <t>07040071</t>
    <phoneticPr fontId="1"/>
  </si>
  <si>
    <t>07040072</t>
    <phoneticPr fontId="1"/>
  </si>
  <si>
    <t>07030100</t>
    <phoneticPr fontId="1"/>
  </si>
  <si>
    <t>07030455</t>
    <phoneticPr fontId="1"/>
  </si>
  <si>
    <t>07030456</t>
    <phoneticPr fontId="1"/>
  </si>
  <si>
    <t>07030457</t>
    <phoneticPr fontId="1"/>
  </si>
  <si>
    <t>07030461</t>
    <phoneticPr fontId="1"/>
  </si>
  <si>
    <t>07030531</t>
    <phoneticPr fontId="1"/>
  </si>
  <si>
    <t>07030554</t>
    <phoneticPr fontId="1"/>
  </si>
  <si>
    <t>07030548</t>
    <phoneticPr fontId="1"/>
  </si>
  <si>
    <t>07030552</t>
    <phoneticPr fontId="1"/>
  </si>
  <si>
    <t>07040077</t>
    <phoneticPr fontId="1"/>
  </si>
  <si>
    <t>07040078</t>
    <phoneticPr fontId="1"/>
  </si>
  <si>
    <t>07040079</t>
    <phoneticPr fontId="1"/>
  </si>
  <si>
    <t>07040080</t>
    <phoneticPr fontId="1"/>
  </si>
  <si>
    <t>A255</t>
    <phoneticPr fontId="1"/>
  </si>
  <si>
    <t>07040083</t>
    <phoneticPr fontId="1"/>
  </si>
  <si>
    <t>07040092</t>
    <phoneticPr fontId="1"/>
  </si>
  <si>
    <t>07040099</t>
    <phoneticPr fontId="1"/>
  </si>
  <si>
    <t>07030246</t>
    <phoneticPr fontId="1"/>
  </si>
  <si>
    <t>A552</t>
    <phoneticPr fontId="1"/>
  </si>
  <si>
    <t>07030247</t>
    <phoneticPr fontId="1"/>
  </si>
  <si>
    <t>07030248</t>
    <phoneticPr fontId="1"/>
  </si>
  <si>
    <t>07030249</t>
    <phoneticPr fontId="1"/>
  </si>
  <si>
    <t>07040081</t>
    <phoneticPr fontId="1"/>
  </si>
  <si>
    <t>07040082</t>
    <phoneticPr fontId="1"/>
  </si>
  <si>
    <t>07040084</t>
    <phoneticPr fontId="1"/>
  </si>
  <si>
    <t>07040085</t>
    <phoneticPr fontId="1"/>
  </si>
  <si>
    <t>07040086</t>
    <phoneticPr fontId="1"/>
  </si>
  <si>
    <t>07040087</t>
    <phoneticPr fontId="1"/>
  </si>
  <si>
    <t>07040088</t>
    <phoneticPr fontId="1"/>
  </si>
  <si>
    <t>07040089</t>
    <phoneticPr fontId="1"/>
  </si>
  <si>
    <t>07040090</t>
    <phoneticPr fontId="1"/>
  </si>
  <si>
    <t>07040091</t>
    <phoneticPr fontId="1"/>
  </si>
  <si>
    <t>07040097</t>
    <phoneticPr fontId="1"/>
  </si>
  <si>
    <t>07040098</t>
    <phoneticPr fontId="1"/>
  </si>
  <si>
    <t>07020504</t>
    <phoneticPr fontId="1"/>
  </si>
  <si>
    <t>07030203</t>
    <phoneticPr fontId="1"/>
  </si>
  <si>
    <t>07040093</t>
    <phoneticPr fontId="1"/>
  </si>
  <si>
    <t>07040094</t>
    <phoneticPr fontId="1"/>
  </si>
  <si>
    <t>07040095</t>
    <phoneticPr fontId="1"/>
  </si>
  <si>
    <t>07040106</t>
    <phoneticPr fontId="1"/>
  </si>
  <si>
    <t>07040107</t>
    <phoneticPr fontId="1"/>
  </si>
  <si>
    <t>07040134</t>
    <phoneticPr fontId="1"/>
  </si>
  <si>
    <t>07040135</t>
    <phoneticPr fontId="1"/>
  </si>
  <si>
    <t>07040137</t>
    <phoneticPr fontId="1"/>
  </si>
  <si>
    <t>07040138</t>
    <phoneticPr fontId="1"/>
  </si>
  <si>
    <t>07040139</t>
    <phoneticPr fontId="1"/>
  </si>
  <si>
    <t>07040140</t>
    <phoneticPr fontId="1"/>
  </si>
  <si>
    <t>2025/5/7 個数</t>
  </si>
  <si>
    <t>2025/5/10 個数</t>
  </si>
  <si>
    <t>2025/5/11 個数</t>
  </si>
  <si>
    <t>2025/5/12 個数</t>
  </si>
  <si>
    <t>2025/5/13 個数</t>
  </si>
  <si>
    <t>2025/5/14 個数</t>
  </si>
  <si>
    <t>2025/5/15 個数</t>
  </si>
  <si>
    <t>2025/5/16 個数</t>
  </si>
  <si>
    <t>2025/5/17 個数</t>
  </si>
  <si>
    <t>2025/5/18 個数</t>
  </si>
  <si>
    <t>2025/5/20 個数</t>
  </si>
  <si>
    <t>2025/5/28 個数</t>
  </si>
  <si>
    <t>2025/6/16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</si>
</sst>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3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93" xfId="0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H6" sqref="H6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212</v>
      </c>
      <c r="B1" s="24">
        <v>45750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39" t="s">
        <v>105</v>
      </c>
      <c r="Y2" s="145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6">
        <v>1</v>
      </c>
      <c r="B3" s="136">
        <v>23.4</v>
      </c>
      <c r="C3" s="85" t="s">
        <v>213</v>
      </c>
      <c r="D3" s="109" t="s">
        <v>180</v>
      </c>
      <c r="E3" s="15" t="s">
        <v>75</v>
      </c>
      <c r="F3" s="14"/>
      <c r="G3" s="12" t="s">
        <v>178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>
        <v>1</v>
      </c>
      <c r="T3" s="25">
        <v>45793</v>
      </c>
      <c r="U3" s="13" t="s">
        <v>146</v>
      </c>
      <c r="V3">
        <v>1</v>
      </c>
      <c r="X3" s="51" t="s">
        <v>106</v>
      </c>
      <c r="Y3" s="52">
        <f>COUNTIF(U3:U27,"K")</f>
        <v>10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7"/>
      <c r="B4" s="137"/>
      <c r="C4" s="85" t="s">
        <v>214</v>
      </c>
      <c r="D4" s="109" t="s">
        <v>182</v>
      </c>
      <c r="E4" s="15" t="s">
        <v>58</v>
      </c>
      <c r="F4" s="16"/>
      <c r="G4" s="12" t="s">
        <v>178</v>
      </c>
      <c r="H4" s="15"/>
      <c r="I4" s="13"/>
      <c r="J4" s="15"/>
      <c r="K4" s="15"/>
      <c r="L4" s="17"/>
      <c r="M4" s="17"/>
      <c r="N4" s="13"/>
      <c r="O4" s="17"/>
      <c r="P4" s="17"/>
      <c r="Q4" s="17"/>
      <c r="R4" s="17"/>
      <c r="S4" s="15">
        <v>1</v>
      </c>
      <c r="T4" s="25">
        <v>45763</v>
      </c>
      <c r="U4" s="13" t="s">
        <v>146</v>
      </c>
      <c r="V4">
        <v>2</v>
      </c>
      <c r="X4" s="51" t="s">
        <v>107</v>
      </c>
      <c r="Y4" s="52">
        <f>COUNTIF(U3:U27,"R")</f>
        <v>4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7"/>
      <c r="B5" s="137"/>
      <c r="C5" s="85" t="s">
        <v>215</v>
      </c>
      <c r="D5" s="109" t="s">
        <v>190</v>
      </c>
      <c r="E5" s="15" t="s">
        <v>58</v>
      </c>
      <c r="F5" s="16"/>
      <c r="G5" s="12" t="s">
        <v>178</v>
      </c>
      <c r="H5" s="13"/>
      <c r="I5" s="13"/>
      <c r="J5" s="15"/>
      <c r="K5" s="15"/>
      <c r="L5" s="17"/>
      <c r="M5" s="17"/>
      <c r="N5" s="13"/>
      <c r="O5" s="17"/>
      <c r="P5" s="17"/>
      <c r="Q5" s="17"/>
      <c r="R5" s="17"/>
      <c r="S5" s="15">
        <v>1</v>
      </c>
      <c r="T5" s="25">
        <v>45763</v>
      </c>
      <c r="U5" s="13" t="s">
        <v>146</v>
      </c>
      <c r="V5">
        <v>3</v>
      </c>
      <c r="X5" s="53" t="s">
        <v>108</v>
      </c>
      <c r="Y5" s="54">
        <f>COUNTIF(U3:U27,"J")</f>
        <v>3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7"/>
      <c r="B6" s="137"/>
      <c r="C6" s="85" t="s">
        <v>216</v>
      </c>
      <c r="D6" s="109" t="s">
        <v>179</v>
      </c>
      <c r="E6" s="15" t="s">
        <v>36</v>
      </c>
      <c r="F6" s="16"/>
      <c r="G6" s="12" t="s">
        <v>178</v>
      </c>
      <c r="H6" s="15"/>
      <c r="I6" s="13"/>
      <c r="J6" s="13"/>
      <c r="K6" s="15"/>
      <c r="L6" s="17"/>
      <c r="M6" s="17">
        <v>1</v>
      </c>
      <c r="N6" s="13">
        <v>1</v>
      </c>
      <c r="O6" s="17"/>
      <c r="P6" s="17"/>
      <c r="Q6" s="17"/>
      <c r="R6" s="17"/>
      <c r="S6" s="15"/>
      <c r="T6" s="25">
        <v>45763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7"/>
      <c r="B7" s="137"/>
      <c r="C7" s="85" t="s">
        <v>217</v>
      </c>
      <c r="D7" s="109" t="s">
        <v>179</v>
      </c>
      <c r="E7" s="15" t="s">
        <v>37</v>
      </c>
      <c r="F7" s="16"/>
      <c r="G7" s="12" t="s">
        <v>178</v>
      </c>
      <c r="H7" s="15"/>
      <c r="I7" s="13"/>
      <c r="J7" s="15"/>
      <c r="K7" s="15"/>
      <c r="L7" s="17"/>
      <c r="M7" s="17">
        <v>1</v>
      </c>
      <c r="N7" s="13">
        <v>1</v>
      </c>
      <c r="O7" s="17"/>
      <c r="P7" s="17"/>
      <c r="Q7" s="17">
        <v>1</v>
      </c>
      <c r="R7" s="17"/>
      <c r="S7" s="15"/>
      <c r="T7" s="25">
        <v>45770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7"/>
      <c r="B8" s="137"/>
      <c r="C8" s="85" t="s">
        <v>218</v>
      </c>
      <c r="D8" s="109" t="s">
        <v>179</v>
      </c>
      <c r="E8" s="15" t="s">
        <v>40</v>
      </c>
      <c r="F8" s="16"/>
      <c r="G8" s="12" t="s">
        <v>178</v>
      </c>
      <c r="H8" s="13"/>
      <c r="I8" s="13"/>
      <c r="J8" s="15"/>
      <c r="K8" s="15"/>
      <c r="L8" s="17"/>
      <c r="M8" s="17"/>
      <c r="N8" s="13"/>
      <c r="O8" s="17">
        <v>1</v>
      </c>
      <c r="P8" s="17">
        <v>1</v>
      </c>
      <c r="Q8" s="17"/>
      <c r="R8" s="17"/>
      <c r="S8" s="15"/>
      <c r="T8" s="25">
        <v>45770</v>
      </c>
      <c r="U8" s="13" t="s">
        <v>148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7"/>
      <c r="B9" s="137"/>
      <c r="C9" s="85" t="s">
        <v>220</v>
      </c>
      <c r="D9" s="109" t="s">
        <v>192</v>
      </c>
      <c r="E9" s="15" t="s">
        <v>39</v>
      </c>
      <c r="F9" s="16"/>
      <c r="G9" s="12" t="s">
        <v>178</v>
      </c>
      <c r="H9" s="15"/>
      <c r="I9" s="13"/>
      <c r="J9" s="15">
        <v>1</v>
      </c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45785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7"/>
      <c r="B10" s="137"/>
      <c r="C10" s="85" t="s">
        <v>221</v>
      </c>
      <c r="D10" s="109" t="s">
        <v>188</v>
      </c>
      <c r="E10" s="15" t="s">
        <v>36</v>
      </c>
      <c r="F10" s="16"/>
      <c r="G10" s="12" t="s">
        <v>178</v>
      </c>
      <c r="H10" s="15"/>
      <c r="I10" s="13"/>
      <c r="J10" s="15">
        <v>1</v>
      </c>
      <c r="K10" s="15">
        <v>1</v>
      </c>
      <c r="L10" s="17"/>
      <c r="M10" s="17"/>
      <c r="N10" s="13"/>
      <c r="O10" s="17"/>
      <c r="P10" s="17"/>
      <c r="Q10" s="17"/>
      <c r="R10" s="17"/>
      <c r="S10" s="15"/>
      <c r="T10" s="25">
        <v>45773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7"/>
      <c r="B11" s="137"/>
      <c r="C11" s="85" t="s">
        <v>222</v>
      </c>
      <c r="D11" s="109" t="s">
        <v>188</v>
      </c>
      <c r="E11" s="15" t="s">
        <v>41</v>
      </c>
      <c r="F11" s="16"/>
      <c r="G11" s="12" t="s">
        <v>178</v>
      </c>
      <c r="H11" s="15"/>
      <c r="I11" s="13"/>
      <c r="J11" s="15">
        <v>1</v>
      </c>
      <c r="K11" s="15"/>
      <c r="L11" s="17"/>
      <c r="M11" s="17"/>
      <c r="N11" s="13"/>
      <c r="O11" s="17"/>
      <c r="P11" s="17"/>
      <c r="Q11" s="17"/>
      <c r="R11" s="17"/>
      <c r="S11" s="15"/>
      <c r="T11" s="25">
        <v>45773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7"/>
      <c r="B12" s="137"/>
      <c r="C12" s="85" t="s">
        <v>223</v>
      </c>
      <c r="D12" s="109" t="s">
        <v>188</v>
      </c>
      <c r="E12" s="15" t="s">
        <v>75</v>
      </c>
      <c r="F12" s="16"/>
      <c r="G12" s="12" t="s">
        <v>178</v>
      </c>
      <c r="H12" s="15"/>
      <c r="I12" s="15"/>
      <c r="J12" s="15"/>
      <c r="K12" s="15"/>
      <c r="L12" s="17"/>
      <c r="M12" s="17"/>
      <c r="N12" s="17"/>
      <c r="O12" s="17"/>
      <c r="P12" s="17"/>
      <c r="Q12" s="17"/>
      <c r="R12" s="17"/>
      <c r="S12" s="15"/>
      <c r="T12" s="25">
        <v>45773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7"/>
      <c r="B13" s="137"/>
      <c r="C13" s="85" t="s">
        <v>224</v>
      </c>
      <c r="D13" s="109" t="s">
        <v>225</v>
      </c>
      <c r="E13" s="15" t="s">
        <v>40</v>
      </c>
      <c r="F13" s="16"/>
      <c r="G13" s="12" t="s">
        <v>178</v>
      </c>
      <c r="H13" s="15"/>
      <c r="I13" s="15"/>
      <c r="J13" s="15"/>
      <c r="K13" s="15"/>
      <c r="L13" s="17"/>
      <c r="M13" s="17"/>
      <c r="N13" s="17">
        <v>1</v>
      </c>
      <c r="O13" s="17">
        <v>1</v>
      </c>
      <c r="P13" s="17">
        <v>1</v>
      </c>
      <c r="Q13" s="17"/>
      <c r="R13" s="17"/>
      <c r="S13" s="15"/>
      <c r="T13" s="25">
        <v>45783</v>
      </c>
      <c r="U13" s="13" t="s">
        <v>148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7"/>
      <c r="B14" s="137"/>
      <c r="C14" s="85" t="s">
        <v>226</v>
      </c>
      <c r="D14" s="109" t="s">
        <v>192</v>
      </c>
      <c r="E14" s="15" t="s">
        <v>39</v>
      </c>
      <c r="F14" s="16"/>
      <c r="G14" s="12" t="s">
        <v>178</v>
      </c>
      <c r="H14" s="15"/>
      <c r="I14" s="15"/>
      <c r="J14" s="15">
        <v>1</v>
      </c>
      <c r="K14" s="15">
        <v>1</v>
      </c>
      <c r="L14" s="17"/>
      <c r="M14" s="17"/>
      <c r="N14" s="17"/>
      <c r="O14" s="17"/>
      <c r="P14" s="17"/>
      <c r="Q14" s="17"/>
      <c r="R14" s="17"/>
      <c r="S14" s="15"/>
      <c r="T14" s="25">
        <v>45773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7"/>
      <c r="B15" s="137"/>
      <c r="C15" s="85" t="s">
        <v>227</v>
      </c>
      <c r="D15" s="109" t="s">
        <v>228</v>
      </c>
      <c r="E15" s="15" t="s">
        <v>44</v>
      </c>
      <c r="F15" s="16"/>
      <c r="G15" s="12" t="s">
        <v>178</v>
      </c>
      <c r="H15" s="15"/>
      <c r="I15" s="15"/>
      <c r="J15" s="15">
        <v>1</v>
      </c>
      <c r="K15" s="15"/>
      <c r="L15" s="17"/>
      <c r="M15" s="17"/>
      <c r="N15" s="17"/>
      <c r="O15" s="17"/>
      <c r="P15" s="17"/>
      <c r="Q15" s="17"/>
      <c r="R15" s="17"/>
      <c r="S15" s="15"/>
      <c r="T15" s="25">
        <v>45783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7"/>
      <c r="B16" s="137"/>
      <c r="C16" s="85" t="s">
        <v>229</v>
      </c>
      <c r="D16" s="109" t="s">
        <v>186</v>
      </c>
      <c r="E16" s="15" t="s">
        <v>37</v>
      </c>
      <c r="F16" s="16"/>
      <c r="G16" s="12" t="s">
        <v>178</v>
      </c>
      <c r="H16" s="15"/>
      <c r="I16" s="15"/>
      <c r="J16" s="15">
        <v>1</v>
      </c>
      <c r="K16" s="15">
        <v>1</v>
      </c>
      <c r="L16" s="17"/>
      <c r="M16" s="17"/>
      <c r="N16" s="17"/>
      <c r="O16" s="17"/>
      <c r="P16" s="17"/>
      <c r="Q16" s="17"/>
      <c r="R16" s="17"/>
      <c r="S16" s="15"/>
      <c r="T16" s="25">
        <v>45777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7"/>
      <c r="B17" s="137"/>
      <c r="C17" s="85" t="s">
        <v>230</v>
      </c>
      <c r="D17" s="106" t="s">
        <v>186</v>
      </c>
      <c r="E17" s="15" t="s">
        <v>40</v>
      </c>
      <c r="F17" s="16"/>
      <c r="G17" s="15" t="s">
        <v>178</v>
      </c>
      <c r="H17" s="15"/>
      <c r="I17" s="15"/>
      <c r="J17" s="15">
        <v>1</v>
      </c>
      <c r="K17" s="15"/>
      <c r="L17" s="17"/>
      <c r="M17" s="17"/>
      <c r="N17" s="17"/>
      <c r="O17" s="17">
        <v>1</v>
      </c>
      <c r="P17" s="17">
        <v>1</v>
      </c>
      <c r="Q17" s="17"/>
      <c r="R17" s="17">
        <v>1</v>
      </c>
      <c r="S17" s="15"/>
      <c r="T17" s="25">
        <v>45777</v>
      </c>
      <c r="U17" s="15" t="s">
        <v>148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7"/>
      <c r="B18" s="137"/>
      <c r="C18" s="85" t="s">
        <v>231</v>
      </c>
      <c r="D18" s="110" t="s">
        <v>188</v>
      </c>
      <c r="E18" s="18" t="s">
        <v>74</v>
      </c>
      <c r="F18" s="16"/>
      <c r="G18" s="18" t="s">
        <v>178</v>
      </c>
      <c r="H18" s="15"/>
      <c r="I18" s="15"/>
      <c r="J18" s="18">
        <v>1</v>
      </c>
      <c r="K18" s="15">
        <v>1</v>
      </c>
      <c r="L18" s="19"/>
      <c r="M18" s="19"/>
      <c r="N18" s="19"/>
      <c r="O18" s="19"/>
      <c r="P18" s="19"/>
      <c r="Q18" s="19"/>
      <c r="R18" s="19"/>
      <c r="S18" s="15"/>
      <c r="T18" s="25">
        <v>45773</v>
      </c>
      <c r="U18" s="15" t="s">
        <v>146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7"/>
      <c r="B19" s="137"/>
      <c r="C19" s="85" t="s">
        <v>232</v>
      </c>
      <c r="D19" s="110" t="s">
        <v>177</v>
      </c>
      <c r="E19" s="18" t="s">
        <v>75</v>
      </c>
      <c r="F19" s="16"/>
      <c r="G19" s="18" t="s">
        <v>178</v>
      </c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>
        <v>45784</v>
      </c>
      <c r="U19" s="15" t="s">
        <v>147</v>
      </c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7"/>
      <c r="B20" s="137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7"/>
      <c r="B21" s="137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7"/>
      <c r="B22" s="137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7"/>
      <c r="B23" s="137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7"/>
      <c r="B24" s="137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7"/>
      <c r="B25" s="137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217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7"/>
      <c r="B26" s="137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8"/>
      <c r="B27" s="138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129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17</v>
      </c>
      <c r="D28" s="112"/>
      <c r="E28" s="29"/>
      <c r="F28" s="29" t="s">
        <v>34</v>
      </c>
      <c r="G28" s="29">
        <f>COUNTIF(G3:G27,"S")</f>
        <v>17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8</v>
      </c>
      <c r="K28" s="29">
        <f t="shared" si="0"/>
        <v>5</v>
      </c>
      <c r="L28" s="29">
        <f t="shared" si="0"/>
        <v>0</v>
      </c>
      <c r="M28" s="29">
        <f t="shared" si="0"/>
        <v>2</v>
      </c>
      <c r="N28" s="29">
        <f t="shared" si="0"/>
        <v>3</v>
      </c>
      <c r="O28" s="29">
        <f t="shared" si="0"/>
        <v>3</v>
      </c>
      <c r="P28" s="29">
        <f t="shared" si="0"/>
        <v>3</v>
      </c>
      <c r="Q28" s="29">
        <f t="shared" si="0"/>
        <v>1</v>
      </c>
      <c r="R28" s="29">
        <f t="shared" si="0"/>
        <v>1</v>
      </c>
      <c r="S28" s="29">
        <f t="shared" si="0"/>
        <v>3</v>
      </c>
      <c r="T28" s="29" t="s">
        <v>64</v>
      </c>
      <c r="U28" s="29">
        <f>COUNTIF(H3:H27,"M")</f>
        <v>0</v>
      </c>
      <c r="AA28" s="141" t="s">
        <v>104</v>
      </c>
      <c r="AB28" s="142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29</v>
      </c>
      <c r="T29" s="29"/>
      <c r="U29" s="29"/>
      <c r="X29" t="s">
        <v>136</v>
      </c>
      <c r="AA29" s="143"/>
      <c r="AB29" s="144"/>
      <c r="AC29" s="157">
        <f>SUM(AC28:AE28)</f>
        <v>0</v>
      </c>
      <c r="AD29" s="158"/>
      <c r="AE29" s="159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AYG105</v>
      </c>
      <c r="B31" s="24">
        <f>B1</f>
        <v>45750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39" t="s">
        <v>119</v>
      </c>
      <c r="Y32" s="145"/>
      <c r="AA32" s="152" t="s">
        <v>47</v>
      </c>
      <c r="AB32" s="153"/>
    </row>
    <row r="33" spans="1:29" ht="19.5" thickTop="1" x14ac:dyDescent="0.4">
      <c r="A33" s="146">
        <v>2</v>
      </c>
      <c r="B33" s="136">
        <v>21</v>
      </c>
      <c r="C33" s="85" t="s">
        <v>233</v>
      </c>
      <c r="D33" s="109" t="s">
        <v>179</v>
      </c>
      <c r="E33" s="15" t="s">
        <v>74</v>
      </c>
      <c r="F33" s="14"/>
      <c r="G33" s="12" t="s">
        <v>178</v>
      </c>
      <c r="H33" s="13"/>
      <c r="I33" s="13"/>
      <c r="J33" s="13">
        <v>1</v>
      </c>
      <c r="K33" s="13">
        <v>1</v>
      </c>
      <c r="L33" s="13"/>
      <c r="M33" s="13"/>
      <c r="N33" s="13"/>
      <c r="O33" s="13"/>
      <c r="P33" s="13"/>
      <c r="Q33" s="13"/>
      <c r="R33" s="13"/>
      <c r="S33" s="13"/>
      <c r="T33" s="25">
        <v>45768</v>
      </c>
      <c r="U33" s="13" t="s">
        <v>146</v>
      </c>
      <c r="V33">
        <v>1</v>
      </c>
      <c r="X33" s="51" t="s">
        <v>106</v>
      </c>
      <c r="Y33" s="52">
        <f>COUNTIF(U33:U57,"K")</f>
        <v>10</v>
      </c>
      <c r="AA33" s="31" t="s">
        <v>46</v>
      </c>
      <c r="AB33" s="32">
        <f>J28+J178+J148+J118+J208+J238+J268+J298+J328+J358</f>
        <v>43</v>
      </c>
    </row>
    <row r="34" spans="1:29" x14ac:dyDescent="0.4">
      <c r="A34" s="147"/>
      <c r="B34" s="137"/>
      <c r="C34" s="85" t="s">
        <v>234</v>
      </c>
      <c r="D34" s="109" t="s">
        <v>182</v>
      </c>
      <c r="E34" s="15" t="s">
        <v>38</v>
      </c>
      <c r="F34" s="16"/>
      <c r="G34" s="12" t="s">
        <v>178</v>
      </c>
      <c r="H34" s="15"/>
      <c r="I34" s="13"/>
      <c r="J34" s="15">
        <v>1</v>
      </c>
      <c r="K34" s="15">
        <v>1</v>
      </c>
      <c r="L34" s="17"/>
      <c r="M34" s="17"/>
      <c r="N34" s="13"/>
      <c r="O34" s="17"/>
      <c r="P34" s="17"/>
      <c r="Q34" s="17"/>
      <c r="R34" s="17"/>
      <c r="S34" s="15"/>
      <c r="T34" s="25">
        <v>45763</v>
      </c>
      <c r="U34" s="13" t="s">
        <v>146</v>
      </c>
      <c r="V34">
        <v>2</v>
      </c>
      <c r="X34" s="51" t="s">
        <v>107</v>
      </c>
      <c r="Y34" s="52">
        <f>COUNTIF(U33:U57,"R")</f>
        <v>4</v>
      </c>
      <c r="AA34" s="31" t="s">
        <v>48</v>
      </c>
      <c r="AB34" s="32">
        <f>K28+K178+K148+K118+K208+K238+K268+K298+K328+K358</f>
        <v>28</v>
      </c>
    </row>
    <row r="35" spans="1:29" ht="19.5" thickBot="1" x14ac:dyDescent="0.45">
      <c r="A35" s="147"/>
      <c r="B35" s="137"/>
      <c r="C35" s="85" t="s">
        <v>235</v>
      </c>
      <c r="D35" s="109" t="s">
        <v>182</v>
      </c>
      <c r="E35" s="15" t="s">
        <v>36</v>
      </c>
      <c r="F35" s="16"/>
      <c r="G35" s="12" t="s">
        <v>178</v>
      </c>
      <c r="H35" s="13"/>
      <c r="I35" s="13"/>
      <c r="J35" s="15">
        <v>1</v>
      </c>
      <c r="K35" s="15">
        <v>1</v>
      </c>
      <c r="L35" s="17"/>
      <c r="M35" s="17"/>
      <c r="N35" s="13"/>
      <c r="O35" s="17"/>
      <c r="P35" s="17"/>
      <c r="Q35" s="17"/>
      <c r="R35" s="17"/>
      <c r="S35" s="15"/>
      <c r="T35" s="25">
        <v>45798</v>
      </c>
      <c r="U35" s="13" t="s">
        <v>146</v>
      </c>
      <c r="V35">
        <v>3</v>
      </c>
      <c r="X35" s="53" t="s">
        <v>108</v>
      </c>
      <c r="Y35" s="54">
        <f>COUNTIF(U33:U57,"J")</f>
        <v>2</v>
      </c>
      <c r="AA35" s="31" t="s">
        <v>49</v>
      </c>
      <c r="AB35" s="32">
        <f>L28+L178+L148+L118+L208+L238+L268+L298+L328+L358</f>
        <v>3</v>
      </c>
    </row>
    <row r="36" spans="1:29" x14ac:dyDescent="0.4">
      <c r="A36" s="147"/>
      <c r="B36" s="137"/>
      <c r="C36" s="85" t="s">
        <v>236</v>
      </c>
      <c r="D36" s="109" t="s">
        <v>183</v>
      </c>
      <c r="E36" s="15" t="s">
        <v>37</v>
      </c>
      <c r="F36" s="16"/>
      <c r="G36" s="12" t="s">
        <v>178</v>
      </c>
      <c r="H36" s="15"/>
      <c r="I36" s="13"/>
      <c r="J36" s="13"/>
      <c r="K36" s="15"/>
      <c r="L36" s="17"/>
      <c r="M36" s="17"/>
      <c r="N36" s="13"/>
      <c r="O36" s="17"/>
      <c r="P36" s="17"/>
      <c r="Q36" s="17"/>
      <c r="R36" s="17"/>
      <c r="S36" s="15"/>
      <c r="T36" s="25">
        <v>45824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22</v>
      </c>
    </row>
    <row r="37" spans="1:29" x14ac:dyDescent="0.4">
      <c r="A37" s="147"/>
      <c r="B37" s="137"/>
      <c r="C37" s="85" t="s">
        <v>237</v>
      </c>
      <c r="D37" s="109" t="s">
        <v>179</v>
      </c>
      <c r="E37" s="15" t="s">
        <v>36</v>
      </c>
      <c r="F37" s="16"/>
      <c r="G37" s="12" t="s">
        <v>178</v>
      </c>
      <c r="H37" s="15"/>
      <c r="I37" s="13"/>
      <c r="J37" s="15"/>
      <c r="K37" s="15"/>
      <c r="L37" s="17"/>
      <c r="M37" s="17">
        <v>1</v>
      </c>
      <c r="N37" s="13">
        <v>1</v>
      </c>
      <c r="O37" s="17"/>
      <c r="P37" s="17"/>
      <c r="Q37" s="17">
        <v>1</v>
      </c>
      <c r="R37" s="17"/>
      <c r="S37" s="15"/>
      <c r="T37" s="25">
        <v>45767</v>
      </c>
      <c r="U37" s="13" t="s">
        <v>147</v>
      </c>
      <c r="V37">
        <v>5</v>
      </c>
      <c r="AA37" s="31" t="s">
        <v>51</v>
      </c>
      <c r="AB37" s="32">
        <f>N28+N178+N148+N118+N208+N238+N268+N298+N328+N358</f>
        <v>22</v>
      </c>
    </row>
    <row r="38" spans="1:29" x14ac:dyDescent="0.4">
      <c r="A38" s="147"/>
      <c r="B38" s="137"/>
      <c r="C38" s="85" t="s">
        <v>219</v>
      </c>
      <c r="D38" s="109" t="s">
        <v>192</v>
      </c>
      <c r="E38" s="15" t="s">
        <v>39</v>
      </c>
      <c r="F38" s="16"/>
      <c r="G38" s="12" t="s">
        <v>178</v>
      </c>
      <c r="H38" s="13"/>
      <c r="I38" s="13"/>
      <c r="J38" s="15">
        <v>1</v>
      </c>
      <c r="K38" s="15">
        <v>1</v>
      </c>
      <c r="L38" s="17"/>
      <c r="M38" s="17"/>
      <c r="N38" s="13"/>
      <c r="O38" s="17"/>
      <c r="P38" s="17"/>
      <c r="Q38" s="17"/>
      <c r="R38" s="17"/>
      <c r="S38" s="15"/>
      <c r="T38" s="25">
        <v>45785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19</v>
      </c>
    </row>
    <row r="39" spans="1:29" x14ac:dyDescent="0.4">
      <c r="A39" s="147"/>
      <c r="B39" s="137"/>
      <c r="C39" s="85" t="s">
        <v>238</v>
      </c>
      <c r="D39" s="109" t="s">
        <v>192</v>
      </c>
      <c r="E39" s="15" t="s">
        <v>75</v>
      </c>
      <c r="F39" s="16"/>
      <c r="G39" s="12" t="s">
        <v>178</v>
      </c>
      <c r="H39" s="15"/>
      <c r="I39" s="13"/>
      <c r="J39" s="15"/>
      <c r="K39" s="15"/>
      <c r="L39" s="17"/>
      <c r="M39" s="17"/>
      <c r="N39" s="13"/>
      <c r="O39" s="17"/>
      <c r="P39" s="17"/>
      <c r="Q39" s="17"/>
      <c r="R39" s="17"/>
      <c r="S39" s="15"/>
      <c r="T39" s="25">
        <v>45785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17</v>
      </c>
    </row>
    <row r="40" spans="1:29" x14ac:dyDescent="0.4">
      <c r="A40" s="147"/>
      <c r="B40" s="137"/>
      <c r="C40" s="85" t="s">
        <v>239</v>
      </c>
      <c r="D40" s="109" t="s">
        <v>177</v>
      </c>
      <c r="E40" s="15" t="s">
        <v>40</v>
      </c>
      <c r="F40" s="16"/>
      <c r="G40" s="12" t="s">
        <v>178</v>
      </c>
      <c r="H40" s="15"/>
      <c r="I40" s="13"/>
      <c r="J40" s="15"/>
      <c r="K40" s="15"/>
      <c r="L40" s="17"/>
      <c r="M40" s="17"/>
      <c r="N40" s="13"/>
      <c r="O40" s="17">
        <v>1</v>
      </c>
      <c r="P40" s="17">
        <v>1</v>
      </c>
      <c r="Q40" s="17">
        <v>1</v>
      </c>
      <c r="R40" s="17">
        <v>1</v>
      </c>
      <c r="S40" s="15"/>
      <c r="T40" s="25">
        <v>45787</v>
      </c>
      <c r="U40" s="13" t="s">
        <v>148</v>
      </c>
      <c r="V40">
        <v>8</v>
      </c>
      <c r="AA40" s="31" t="s">
        <v>54</v>
      </c>
      <c r="AB40" s="32">
        <f>Q28+Q178+Q148+Q118+Q208+Q238+Q268+Q298+Q328+Q358</f>
        <v>24</v>
      </c>
    </row>
    <row r="41" spans="1:29" x14ac:dyDescent="0.4">
      <c r="A41" s="147"/>
      <c r="B41" s="137"/>
      <c r="C41" s="85" t="s">
        <v>240</v>
      </c>
      <c r="D41" s="109" t="s">
        <v>181</v>
      </c>
      <c r="E41" s="15" t="s">
        <v>39</v>
      </c>
      <c r="F41" s="16"/>
      <c r="G41" s="12" t="s">
        <v>178</v>
      </c>
      <c r="H41" s="15"/>
      <c r="I41" s="13"/>
      <c r="J41" s="15"/>
      <c r="K41" s="15">
        <v>1</v>
      </c>
      <c r="L41" s="17"/>
      <c r="M41" s="17"/>
      <c r="N41" s="13"/>
      <c r="O41" s="17"/>
      <c r="P41" s="17"/>
      <c r="Q41" s="17"/>
      <c r="R41" s="17"/>
      <c r="S41" s="15"/>
      <c r="T41" s="25">
        <v>45783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8</v>
      </c>
      <c r="AC41" t="s">
        <v>123</v>
      </c>
    </row>
    <row r="42" spans="1:29" ht="19.5" thickBot="1" x14ac:dyDescent="0.45">
      <c r="A42" s="147"/>
      <c r="B42" s="137"/>
      <c r="C42" s="85" t="s">
        <v>241</v>
      </c>
      <c r="D42" s="109" t="s">
        <v>181</v>
      </c>
      <c r="E42" s="15" t="s">
        <v>39</v>
      </c>
      <c r="F42" s="16"/>
      <c r="G42" s="12" t="s">
        <v>178</v>
      </c>
      <c r="H42" s="15"/>
      <c r="I42" s="15"/>
      <c r="J42" s="15"/>
      <c r="K42" s="15">
        <v>1</v>
      </c>
      <c r="L42" s="17"/>
      <c r="M42" s="17"/>
      <c r="N42" s="17"/>
      <c r="O42" s="17"/>
      <c r="P42" s="17"/>
      <c r="Q42" s="17"/>
      <c r="R42" s="17"/>
      <c r="S42" s="15"/>
      <c r="T42" s="25">
        <v>45783</v>
      </c>
      <c r="U42" s="13" t="s">
        <v>146</v>
      </c>
      <c r="V42">
        <v>10</v>
      </c>
      <c r="AA42" s="33" t="s">
        <v>56</v>
      </c>
      <c r="AB42" s="34">
        <f>S28+S178+S148+S118+S208+S238+S268+S298+S328+S358</f>
        <v>6</v>
      </c>
      <c r="AC42" s="73">
        <f>SUM(AB33:AB42)</f>
        <v>192</v>
      </c>
    </row>
    <row r="43" spans="1:29" ht="19.5" thickBot="1" x14ac:dyDescent="0.45">
      <c r="A43" s="147"/>
      <c r="B43" s="137"/>
      <c r="C43" s="85" t="s">
        <v>242</v>
      </c>
      <c r="D43" s="109" t="s">
        <v>181</v>
      </c>
      <c r="E43" s="15" t="s">
        <v>39</v>
      </c>
      <c r="F43" s="16"/>
      <c r="G43" s="12" t="s">
        <v>178</v>
      </c>
      <c r="H43" s="15"/>
      <c r="I43" s="15"/>
      <c r="J43" s="15"/>
      <c r="K43" s="15">
        <v>1</v>
      </c>
      <c r="L43" s="17"/>
      <c r="M43" s="17"/>
      <c r="N43" s="17"/>
      <c r="O43" s="17"/>
      <c r="P43" s="17"/>
      <c r="Q43" s="17"/>
      <c r="R43" s="17"/>
      <c r="S43" s="15"/>
      <c r="T43" s="25">
        <v>45783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7"/>
      <c r="B44" s="137"/>
      <c r="C44" s="85" t="s">
        <v>243</v>
      </c>
      <c r="D44" s="109" t="s">
        <v>190</v>
      </c>
      <c r="E44" s="15" t="s">
        <v>40</v>
      </c>
      <c r="F44" s="16"/>
      <c r="G44" s="12" t="s">
        <v>178</v>
      </c>
      <c r="H44" s="15"/>
      <c r="I44" s="15"/>
      <c r="J44" s="15"/>
      <c r="K44" s="15"/>
      <c r="L44" s="17"/>
      <c r="M44" s="17"/>
      <c r="N44" s="17"/>
      <c r="O44" s="17">
        <v>1</v>
      </c>
      <c r="P44" s="17">
        <v>1</v>
      </c>
      <c r="Q44" s="17"/>
      <c r="R44" s="17"/>
      <c r="S44" s="15"/>
      <c r="T44" s="25">
        <v>45784</v>
      </c>
      <c r="U44" s="13" t="s">
        <v>148</v>
      </c>
      <c r="V44">
        <v>12</v>
      </c>
      <c r="AA44" s="103" t="s">
        <v>66</v>
      </c>
      <c r="AB44" s="104">
        <f>H28+H58+H88+H118+H148+H178+H208+H238+H268+H298+H328+H358</f>
        <v>5</v>
      </c>
    </row>
    <row r="45" spans="1:29" x14ac:dyDescent="0.4">
      <c r="A45" s="147"/>
      <c r="B45" s="137"/>
      <c r="C45" s="85" t="s">
        <v>244</v>
      </c>
      <c r="D45" s="109" t="s">
        <v>190</v>
      </c>
      <c r="E45" s="15" t="s">
        <v>58</v>
      </c>
      <c r="F45" s="16"/>
      <c r="G45" s="12" t="s">
        <v>178</v>
      </c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>
        <v>45784</v>
      </c>
      <c r="U45" s="13" t="s">
        <v>147</v>
      </c>
      <c r="V45">
        <v>13</v>
      </c>
      <c r="AA45" s="35" t="s">
        <v>65</v>
      </c>
      <c r="AB45" s="36">
        <f>H29+H59+H89+H119+H149+H179+H209+H239+H269+H299+H329+H359</f>
        <v>2</v>
      </c>
    </row>
    <row r="46" spans="1:29" x14ac:dyDescent="0.4">
      <c r="A46" s="147"/>
      <c r="B46" s="137"/>
      <c r="C46" s="85" t="s">
        <v>245</v>
      </c>
      <c r="D46" s="109" t="s">
        <v>181</v>
      </c>
      <c r="E46" s="15" t="s">
        <v>42</v>
      </c>
      <c r="F46" s="16"/>
      <c r="G46" s="12" t="s">
        <v>178</v>
      </c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>
        <v>1</v>
      </c>
      <c r="T46" s="25">
        <v>45787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7"/>
      <c r="B47" s="137"/>
      <c r="C47" s="85" t="s">
        <v>246</v>
      </c>
      <c r="D47" s="106" t="s">
        <v>181</v>
      </c>
      <c r="E47" s="15" t="s">
        <v>41</v>
      </c>
      <c r="F47" s="16"/>
      <c r="G47" s="15" t="s">
        <v>178</v>
      </c>
      <c r="H47" s="15"/>
      <c r="I47" s="15"/>
      <c r="J47" s="15">
        <v>1</v>
      </c>
      <c r="K47" s="15"/>
      <c r="L47" s="17"/>
      <c r="M47" s="17"/>
      <c r="N47" s="17"/>
      <c r="O47" s="17"/>
      <c r="P47" s="17"/>
      <c r="Q47" s="17"/>
      <c r="R47" s="17"/>
      <c r="S47" s="15"/>
      <c r="T47" s="25">
        <v>45787</v>
      </c>
      <c r="U47" s="15" t="s">
        <v>146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7"/>
      <c r="B48" s="137"/>
      <c r="C48" s="85" t="s">
        <v>247</v>
      </c>
      <c r="D48" s="110" t="s">
        <v>177</v>
      </c>
      <c r="E48" s="18" t="s">
        <v>37</v>
      </c>
      <c r="F48" s="16"/>
      <c r="G48" s="18" t="s">
        <v>178</v>
      </c>
      <c r="H48" s="15"/>
      <c r="I48" s="15"/>
      <c r="J48" s="18">
        <v>1</v>
      </c>
      <c r="K48" s="15">
        <v>1</v>
      </c>
      <c r="L48" s="19"/>
      <c r="M48" s="19"/>
      <c r="N48" s="19"/>
      <c r="O48" s="19"/>
      <c r="P48" s="19"/>
      <c r="Q48" s="19"/>
      <c r="R48" s="19"/>
      <c r="S48" s="15"/>
      <c r="T48" s="25">
        <v>45787</v>
      </c>
      <c r="U48" s="15" t="s">
        <v>146</v>
      </c>
      <c r="V48" s="73">
        <v>16</v>
      </c>
    </row>
    <row r="49" spans="1:28" x14ac:dyDescent="0.4">
      <c r="A49" s="147"/>
      <c r="B49" s="137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125</v>
      </c>
    </row>
    <row r="50" spans="1:28" ht="19.5" thickBot="1" x14ac:dyDescent="0.45">
      <c r="A50" s="147"/>
      <c r="B50" s="137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1</v>
      </c>
    </row>
    <row r="51" spans="1:28" ht="19.5" thickBot="1" x14ac:dyDescent="0.45">
      <c r="A51" s="147"/>
      <c r="B51" s="137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7"/>
      <c r="B52" s="137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54">
        <v>76</v>
      </c>
    </row>
    <row r="53" spans="1:28" ht="19.5" thickBot="1" x14ac:dyDescent="0.45">
      <c r="A53" s="147"/>
      <c r="B53" s="137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55"/>
    </row>
    <row r="54" spans="1:28" ht="19.5" thickBot="1" x14ac:dyDescent="0.45">
      <c r="A54" s="147"/>
      <c r="B54" s="137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7"/>
      <c r="B55" s="137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39" t="s">
        <v>73</v>
      </c>
      <c r="AB55" s="45"/>
    </row>
    <row r="56" spans="1:28" ht="19.5" thickBot="1" x14ac:dyDescent="0.45">
      <c r="A56" s="147"/>
      <c r="B56" s="137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0"/>
      <c r="AB56" s="46"/>
    </row>
    <row r="57" spans="1:28" ht="19.5" thickBot="1" x14ac:dyDescent="0.45">
      <c r="A57" s="148"/>
      <c r="B57" s="138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39"/>
      <c r="AB57" s="45">
        <v>7</v>
      </c>
    </row>
    <row r="58" spans="1:28" ht="19.5" thickBot="1" x14ac:dyDescent="0.45">
      <c r="A58" s="27"/>
      <c r="B58" s="28"/>
      <c r="C58" s="88">
        <f>COUNTA(C33:C57)</f>
        <v>16</v>
      </c>
      <c r="D58" s="112"/>
      <c r="E58" s="29"/>
      <c r="F58" s="29" t="s">
        <v>34</v>
      </c>
      <c r="G58" s="29">
        <f>COUNTIF(G33:G57,"S")</f>
        <v>16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6</v>
      </c>
      <c r="K58" s="29">
        <f t="shared" si="1"/>
        <v>8</v>
      </c>
      <c r="L58" s="29">
        <f t="shared" si="1"/>
        <v>0</v>
      </c>
      <c r="M58" s="29">
        <f t="shared" si="1"/>
        <v>1</v>
      </c>
      <c r="N58" s="29">
        <f t="shared" si="1"/>
        <v>1</v>
      </c>
      <c r="O58" s="29">
        <f t="shared" si="1"/>
        <v>2</v>
      </c>
      <c r="P58" s="29">
        <f t="shared" si="1"/>
        <v>2</v>
      </c>
      <c r="Q58" s="29">
        <f t="shared" si="1"/>
        <v>2</v>
      </c>
      <c r="R58" s="29">
        <f t="shared" si="1"/>
        <v>1</v>
      </c>
      <c r="S58" s="29">
        <f t="shared" si="1"/>
        <v>1</v>
      </c>
      <c r="T58" s="29" t="s">
        <v>64</v>
      </c>
      <c r="U58" s="29">
        <f>COUNTIF(H33:H57,"M")</f>
        <v>0</v>
      </c>
      <c r="AA58" s="140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24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AYG105</v>
      </c>
      <c r="B61" s="24">
        <f>B1</f>
        <v>45750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39" t="s">
        <v>118</v>
      </c>
      <c r="Y62" s="145"/>
    </row>
    <row r="63" spans="1:28" ht="20.25" thickTop="1" thickBot="1" x14ac:dyDescent="0.45">
      <c r="A63" s="146">
        <v>3</v>
      </c>
      <c r="B63" s="149">
        <v>19.399999999999999</v>
      </c>
      <c r="C63" s="85" t="s">
        <v>248</v>
      </c>
      <c r="D63" s="109" t="s">
        <v>181</v>
      </c>
      <c r="E63" s="15" t="s">
        <v>59</v>
      </c>
      <c r="F63" s="14"/>
      <c r="G63" s="12" t="s">
        <v>178</v>
      </c>
      <c r="H63" s="13" t="s">
        <v>194</v>
      </c>
      <c r="I63" s="13"/>
      <c r="J63" s="13">
        <v>2</v>
      </c>
      <c r="K63" s="13"/>
      <c r="L63" s="13"/>
      <c r="M63" s="13"/>
      <c r="N63" s="13"/>
      <c r="O63" s="13"/>
      <c r="P63" s="13"/>
      <c r="Q63" s="13"/>
      <c r="R63" s="13"/>
      <c r="S63" s="13"/>
      <c r="T63" s="25">
        <v>45784</v>
      </c>
      <c r="U63" s="13" t="s">
        <v>146</v>
      </c>
      <c r="V63">
        <v>1</v>
      </c>
      <c r="X63" s="51" t="s">
        <v>106</v>
      </c>
      <c r="Y63" s="52">
        <f>COUNTIF(U63:U87,"K")</f>
        <v>5</v>
      </c>
      <c r="AA63" s="59" t="s">
        <v>120</v>
      </c>
      <c r="AB63" s="60" t="s">
        <v>121</v>
      </c>
    </row>
    <row r="64" spans="1:28" x14ac:dyDescent="0.4">
      <c r="A64" s="147"/>
      <c r="B64" s="150"/>
      <c r="C64" s="85" t="s">
        <v>249</v>
      </c>
      <c r="D64" s="109" t="s">
        <v>181</v>
      </c>
      <c r="E64" s="15" t="s">
        <v>59</v>
      </c>
      <c r="F64" s="16"/>
      <c r="G64" s="12" t="s">
        <v>178</v>
      </c>
      <c r="H64" s="15" t="s">
        <v>194</v>
      </c>
      <c r="I64" s="15"/>
      <c r="J64" s="13">
        <v>2</v>
      </c>
      <c r="K64" s="15"/>
      <c r="L64" s="13"/>
      <c r="M64" s="17"/>
      <c r="N64" s="17"/>
      <c r="O64" s="17"/>
      <c r="P64" s="17"/>
      <c r="Q64" s="17"/>
      <c r="R64" s="17"/>
      <c r="S64" s="15"/>
      <c r="T64" s="25">
        <v>45784</v>
      </c>
      <c r="U64" s="13" t="s">
        <v>146</v>
      </c>
      <c r="V64">
        <v>2</v>
      </c>
      <c r="X64" s="51" t="s">
        <v>107</v>
      </c>
      <c r="Y64" s="52">
        <f>COUNTIF(U63:U87,"R")</f>
        <v>0</v>
      </c>
      <c r="AA64" s="47" t="s">
        <v>81</v>
      </c>
      <c r="AB64" s="48" t="s">
        <v>60</v>
      </c>
    </row>
    <row r="65" spans="1:28" ht="19.5" thickBot="1" x14ac:dyDescent="0.45">
      <c r="A65" s="147"/>
      <c r="B65" s="150"/>
      <c r="C65" s="85" t="s">
        <v>250</v>
      </c>
      <c r="D65" s="109" t="s">
        <v>181</v>
      </c>
      <c r="E65" s="15" t="s">
        <v>59</v>
      </c>
      <c r="F65" s="16"/>
      <c r="G65" s="12" t="s">
        <v>178</v>
      </c>
      <c r="H65" s="15" t="s">
        <v>194</v>
      </c>
      <c r="I65" s="15"/>
      <c r="J65" s="13">
        <v>2</v>
      </c>
      <c r="K65" s="15"/>
      <c r="L65" s="13"/>
      <c r="M65" s="17"/>
      <c r="N65" s="17"/>
      <c r="O65" s="17"/>
      <c r="P65" s="17"/>
      <c r="Q65" s="17"/>
      <c r="R65" s="17"/>
      <c r="S65" s="15"/>
      <c r="T65" s="25">
        <v>45788</v>
      </c>
      <c r="U65" s="13" t="s">
        <v>146</v>
      </c>
      <c r="V65">
        <v>3</v>
      </c>
      <c r="X65" s="53" t="s">
        <v>108</v>
      </c>
      <c r="Y65" s="54">
        <f>COUNTIF(U63:U87,"J")</f>
        <v>0</v>
      </c>
      <c r="AA65" s="49" t="s">
        <v>82</v>
      </c>
      <c r="AB65" s="50" t="s">
        <v>39</v>
      </c>
    </row>
    <row r="66" spans="1:28" x14ac:dyDescent="0.4">
      <c r="A66" s="147"/>
      <c r="B66" s="150"/>
      <c r="C66" s="85" t="s">
        <v>251</v>
      </c>
      <c r="D66" s="109" t="s">
        <v>181</v>
      </c>
      <c r="E66" s="15" t="s">
        <v>59</v>
      </c>
      <c r="F66" s="16"/>
      <c r="G66" s="12" t="s">
        <v>178</v>
      </c>
      <c r="H66" s="13" t="s">
        <v>194</v>
      </c>
      <c r="I66" s="15"/>
      <c r="J66" s="13">
        <v>2</v>
      </c>
      <c r="K66" s="15"/>
      <c r="L66" s="13"/>
      <c r="M66" s="17"/>
      <c r="N66" s="17"/>
      <c r="O66" s="17"/>
      <c r="P66" s="17"/>
      <c r="Q66" s="17"/>
      <c r="R66" s="17"/>
      <c r="S66" s="15"/>
      <c r="T66" s="25">
        <v>45788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7"/>
      <c r="B67" s="150"/>
      <c r="C67" s="85" t="s">
        <v>252</v>
      </c>
      <c r="D67" s="109" t="s">
        <v>181</v>
      </c>
      <c r="E67" s="15" t="s">
        <v>39</v>
      </c>
      <c r="F67" s="16"/>
      <c r="G67" s="12" t="s">
        <v>200</v>
      </c>
      <c r="H67" s="15"/>
      <c r="I67" s="15"/>
      <c r="J67" s="13">
        <v>1</v>
      </c>
      <c r="K67" s="15"/>
      <c r="L67" s="13">
        <v>1</v>
      </c>
      <c r="M67" s="17"/>
      <c r="N67" s="17"/>
      <c r="O67" s="17"/>
      <c r="P67" s="17"/>
      <c r="Q67" s="17"/>
      <c r="R67" s="17"/>
      <c r="S67" s="15"/>
      <c r="T67" s="25">
        <v>45787</v>
      </c>
      <c r="U67" s="13" t="s">
        <v>146</v>
      </c>
      <c r="V67">
        <v>5</v>
      </c>
      <c r="AA67" s="49" t="s">
        <v>84</v>
      </c>
      <c r="AB67" s="50" t="s">
        <v>44</v>
      </c>
    </row>
    <row r="68" spans="1:28" x14ac:dyDescent="0.4">
      <c r="A68" s="147"/>
      <c r="B68" s="150"/>
      <c r="C68" s="85"/>
      <c r="D68" s="109"/>
      <c r="E68" s="15"/>
      <c r="F68" s="16"/>
      <c r="G68" s="12"/>
      <c r="H68" s="15"/>
      <c r="I68" s="15"/>
      <c r="J68" s="13"/>
      <c r="K68" s="15"/>
      <c r="L68" s="13"/>
      <c r="M68" s="17"/>
      <c r="N68" s="17"/>
      <c r="O68" s="17"/>
      <c r="P68" s="17"/>
      <c r="Q68" s="17"/>
      <c r="R68" s="17"/>
      <c r="S68" s="15"/>
      <c r="T68" s="25"/>
      <c r="U68" s="13"/>
      <c r="V68">
        <v>6</v>
      </c>
      <c r="AA68" s="49" t="s">
        <v>85</v>
      </c>
      <c r="AB68" s="50" t="s">
        <v>43</v>
      </c>
    </row>
    <row r="69" spans="1:28" x14ac:dyDescent="0.4">
      <c r="A69" s="147"/>
      <c r="B69" s="150"/>
      <c r="C69" s="85"/>
      <c r="D69" s="109"/>
      <c r="E69" s="15"/>
      <c r="F69" s="16"/>
      <c r="G69" s="12"/>
      <c r="H69" s="15"/>
      <c r="I69" s="15"/>
      <c r="J69" s="13"/>
      <c r="K69" s="15"/>
      <c r="L69" s="13"/>
      <c r="M69" s="17"/>
      <c r="N69" s="17"/>
      <c r="O69" s="17"/>
      <c r="P69" s="17"/>
      <c r="Q69" s="17"/>
      <c r="R69" s="17"/>
      <c r="S69" s="15"/>
      <c r="T69" s="25"/>
      <c r="U69" s="13"/>
      <c r="V69">
        <v>7</v>
      </c>
      <c r="AA69" s="49" t="s">
        <v>86</v>
      </c>
      <c r="AB69" s="50" t="s">
        <v>45</v>
      </c>
    </row>
    <row r="70" spans="1:28" x14ac:dyDescent="0.4">
      <c r="A70" s="147"/>
      <c r="B70" s="150"/>
      <c r="C70" s="85"/>
      <c r="D70" s="109"/>
      <c r="E70" s="15"/>
      <c r="F70" s="16"/>
      <c r="G70" s="12"/>
      <c r="H70" s="15"/>
      <c r="I70" s="15"/>
      <c r="J70" s="13"/>
      <c r="K70" s="15"/>
      <c r="L70" s="13"/>
      <c r="M70" s="17"/>
      <c r="N70" s="17"/>
      <c r="O70" s="17"/>
      <c r="P70" s="17"/>
      <c r="Q70" s="17"/>
      <c r="R70" s="17"/>
      <c r="S70" s="15"/>
      <c r="T70" s="25"/>
      <c r="U70" s="13"/>
      <c r="V70">
        <v>8</v>
      </c>
      <c r="AA70" s="49" t="s">
        <v>87</v>
      </c>
      <c r="AB70" s="50" t="s">
        <v>37</v>
      </c>
    </row>
    <row r="71" spans="1:28" x14ac:dyDescent="0.4">
      <c r="A71" s="147"/>
      <c r="B71" s="150"/>
      <c r="C71" s="85"/>
      <c r="D71" s="109"/>
      <c r="E71" s="15"/>
      <c r="F71" s="16"/>
      <c r="G71" s="12"/>
      <c r="H71" s="15"/>
      <c r="I71" s="15"/>
      <c r="J71" s="13"/>
      <c r="K71" s="15"/>
      <c r="L71" s="13"/>
      <c r="M71" s="17"/>
      <c r="N71" s="17"/>
      <c r="O71" s="17"/>
      <c r="P71" s="17"/>
      <c r="Q71" s="17"/>
      <c r="R71" s="17"/>
      <c r="S71" s="15"/>
      <c r="T71" s="25"/>
      <c r="U71" s="13"/>
      <c r="V71">
        <v>9</v>
      </c>
      <c r="AA71" s="49" t="s">
        <v>88</v>
      </c>
      <c r="AB71" s="50" t="s">
        <v>74</v>
      </c>
    </row>
    <row r="72" spans="1:28" x14ac:dyDescent="0.4">
      <c r="A72" s="147"/>
      <c r="B72" s="150"/>
      <c r="C72" s="85"/>
      <c r="D72" s="109"/>
      <c r="E72" s="15"/>
      <c r="F72" s="16"/>
      <c r="G72" s="12"/>
      <c r="H72" s="15"/>
      <c r="I72" s="15"/>
      <c r="J72" s="13"/>
      <c r="K72" s="15"/>
      <c r="L72" s="13"/>
      <c r="M72" s="17"/>
      <c r="N72" s="17"/>
      <c r="O72" s="17"/>
      <c r="P72" s="17"/>
      <c r="Q72" s="17"/>
      <c r="R72" s="17"/>
      <c r="S72" s="15"/>
      <c r="T72" s="25"/>
      <c r="U72" s="13"/>
      <c r="V72">
        <v>10</v>
      </c>
      <c r="AA72" s="49" t="s">
        <v>89</v>
      </c>
      <c r="AB72" s="50" t="s">
        <v>36</v>
      </c>
    </row>
    <row r="73" spans="1:28" x14ac:dyDescent="0.4">
      <c r="A73" s="147"/>
      <c r="B73" s="150"/>
      <c r="C73" s="85"/>
      <c r="D73" s="109"/>
      <c r="E73" s="15"/>
      <c r="F73" s="16"/>
      <c r="G73" s="15"/>
      <c r="H73" s="15"/>
      <c r="I73" s="15"/>
      <c r="J73" s="15"/>
      <c r="K73" s="15"/>
      <c r="L73" s="17"/>
      <c r="M73" s="17"/>
      <c r="N73" s="17"/>
      <c r="O73" s="17"/>
      <c r="P73" s="17"/>
      <c r="Q73" s="17"/>
      <c r="R73" s="17"/>
      <c r="S73" s="15"/>
      <c r="T73" s="25"/>
      <c r="U73" s="15"/>
      <c r="V73">
        <v>11</v>
      </c>
      <c r="AA73" s="49" t="s">
        <v>90</v>
      </c>
      <c r="AB73" s="50" t="s">
        <v>58</v>
      </c>
    </row>
    <row r="74" spans="1:28" x14ac:dyDescent="0.4">
      <c r="A74" s="147"/>
      <c r="B74" s="150"/>
      <c r="C74" s="85"/>
      <c r="D74" s="109"/>
      <c r="E74" s="15"/>
      <c r="F74" s="16"/>
      <c r="G74" s="15"/>
      <c r="H74" s="15"/>
      <c r="I74" s="15"/>
      <c r="J74" s="15"/>
      <c r="K74" s="15"/>
      <c r="L74" s="17"/>
      <c r="M74" s="17"/>
      <c r="N74" s="17"/>
      <c r="O74" s="17"/>
      <c r="P74" s="17"/>
      <c r="Q74" s="17"/>
      <c r="R74" s="17"/>
      <c r="S74" s="15"/>
      <c r="T74" s="25"/>
      <c r="U74" s="15"/>
      <c r="V74">
        <v>12</v>
      </c>
      <c r="AA74" s="49" t="s">
        <v>91</v>
      </c>
      <c r="AB74" s="50" t="s">
        <v>75</v>
      </c>
    </row>
    <row r="75" spans="1:28" x14ac:dyDescent="0.4">
      <c r="A75" s="147"/>
      <c r="B75" s="150"/>
      <c r="C75" s="85"/>
      <c r="D75" s="109"/>
      <c r="E75" s="15"/>
      <c r="F75" s="16"/>
      <c r="G75" s="15"/>
      <c r="H75" s="15"/>
      <c r="I75" s="15"/>
      <c r="J75" s="15"/>
      <c r="K75" s="15"/>
      <c r="L75" s="17"/>
      <c r="M75" s="17"/>
      <c r="N75" s="17"/>
      <c r="O75" s="17"/>
      <c r="P75" s="17"/>
      <c r="Q75" s="17"/>
      <c r="R75" s="17"/>
      <c r="S75" s="15"/>
      <c r="T75" s="25"/>
      <c r="U75" s="15"/>
      <c r="V75">
        <v>13</v>
      </c>
      <c r="AA75" s="49" t="s">
        <v>92</v>
      </c>
      <c r="AB75" s="50" t="s">
        <v>40</v>
      </c>
    </row>
    <row r="76" spans="1:28" x14ac:dyDescent="0.4">
      <c r="A76" s="147"/>
      <c r="B76" s="150"/>
      <c r="C76" s="85"/>
      <c r="D76" s="109"/>
      <c r="E76" s="15"/>
      <c r="F76" s="16"/>
      <c r="G76" s="15"/>
      <c r="H76" s="15"/>
      <c r="I76" s="15"/>
      <c r="J76" s="15"/>
      <c r="K76" s="15"/>
      <c r="L76" s="17"/>
      <c r="M76" s="17"/>
      <c r="N76" s="17"/>
      <c r="O76" s="17"/>
      <c r="P76" s="17"/>
      <c r="Q76" s="17"/>
      <c r="R76" s="17"/>
      <c r="S76" s="15"/>
      <c r="T76" s="25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47"/>
      <c r="B77" s="150"/>
      <c r="C77" s="85"/>
      <c r="D77" s="109"/>
      <c r="E77" s="15"/>
      <c r="F77" s="16"/>
      <c r="G77" s="15"/>
      <c r="H77" s="15"/>
      <c r="I77" s="15"/>
      <c r="J77" s="15"/>
      <c r="K77" s="15"/>
      <c r="L77" s="17"/>
      <c r="M77" s="17"/>
      <c r="N77" s="17"/>
      <c r="O77" s="17"/>
      <c r="P77" s="17"/>
      <c r="Q77" s="17"/>
      <c r="R77" s="17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47"/>
      <c r="B78" s="150"/>
      <c r="C78" s="85"/>
      <c r="D78" s="109"/>
      <c r="E78" s="15"/>
      <c r="F78" s="16"/>
      <c r="G78" s="15"/>
      <c r="H78" s="15"/>
      <c r="I78" s="15"/>
      <c r="J78" s="15"/>
      <c r="K78" s="15"/>
      <c r="L78" s="19"/>
      <c r="M78" s="19"/>
      <c r="N78" s="19"/>
      <c r="O78" s="19"/>
      <c r="P78" s="19"/>
      <c r="Q78" s="19"/>
      <c r="R78" s="19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7"/>
      <c r="B79" s="150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7"/>
      <c r="B80" s="150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7"/>
      <c r="B81" s="150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7"/>
      <c r="B82" s="150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7"/>
      <c r="B83" s="150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7"/>
      <c r="B84" s="150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7"/>
      <c r="B85" s="150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7"/>
      <c r="B86" s="150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8"/>
      <c r="B87" s="151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5</v>
      </c>
      <c r="D88" s="112"/>
      <c r="E88" s="29"/>
      <c r="F88" s="29" t="s">
        <v>34</v>
      </c>
      <c r="G88" s="29">
        <f>COUNTIF(G63:G87,"S")</f>
        <v>4</v>
      </c>
      <c r="H88" s="29">
        <f>COUNTIF(H63:H87,"E")</f>
        <v>4</v>
      </c>
      <c r="I88" s="29">
        <f>SUM(I63:I87)</f>
        <v>0</v>
      </c>
      <c r="J88" s="29"/>
      <c r="K88" s="29">
        <f t="shared" ref="K88:S88" si="2">SUM(K63:K87)</f>
        <v>0</v>
      </c>
      <c r="L88" s="29">
        <f t="shared" si="2"/>
        <v>1</v>
      </c>
      <c r="M88" s="29">
        <f t="shared" si="2"/>
        <v>0</v>
      </c>
      <c r="N88" s="29">
        <f t="shared" si="2"/>
        <v>0</v>
      </c>
      <c r="O88" s="29">
        <f t="shared" si="2"/>
        <v>0</v>
      </c>
      <c r="P88" s="29">
        <f t="shared" si="2"/>
        <v>0</v>
      </c>
      <c r="Q88" s="29">
        <f t="shared" si="2"/>
        <v>0</v>
      </c>
      <c r="R88" s="29">
        <f t="shared" si="2"/>
        <v>0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1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AYG105</v>
      </c>
      <c r="B91" s="24">
        <f>B1</f>
        <v>45750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39" t="s">
        <v>117</v>
      </c>
      <c r="Y92" s="145"/>
    </row>
    <row r="93" spans="1:28" ht="20.25" thickTop="1" thickBot="1" x14ac:dyDescent="0.45">
      <c r="A93" s="146">
        <v>4</v>
      </c>
      <c r="B93" s="136">
        <v>20.2</v>
      </c>
      <c r="C93" s="85" t="s">
        <v>253</v>
      </c>
      <c r="D93" s="109" t="s">
        <v>190</v>
      </c>
      <c r="E93" s="15" t="s">
        <v>36</v>
      </c>
      <c r="F93" s="14"/>
      <c r="G93" s="12" t="s">
        <v>178</v>
      </c>
      <c r="H93" s="13"/>
      <c r="I93" s="13"/>
      <c r="J93" s="13">
        <v>1</v>
      </c>
      <c r="K93" s="13">
        <v>1</v>
      </c>
      <c r="L93" s="13"/>
      <c r="M93" s="13"/>
      <c r="N93" s="13"/>
      <c r="O93" s="13"/>
      <c r="P93" s="13"/>
      <c r="Q93" s="13"/>
      <c r="R93" s="13"/>
      <c r="S93" s="13"/>
      <c r="T93" s="25">
        <v>45770</v>
      </c>
      <c r="U93" s="13" t="s">
        <v>142</v>
      </c>
      <c r="V93">
        <v>1</v>
      </c>
      <c r="X93" s="51" t="s">
        <v>106</v>
      </c>
      <c r="Y93" s="52">
        <f>COUNTIF(U93:U117,"K")</f>
        <v>6</v>
      </c>
      <c r="AA93" s="59" t="s">
        <v>120</v>
      </c>
      <c r="AB93" s="60" t="s">
        <v>121</v>
      </c>
    </row>
    <row r="94" spans="1:28" x14ac:dyDescent="0.4">
      <c r="A94" s="147"/>
      <c r="B94" s="137"/>
      <c r="C94" s="85" t="s">
        <v>254</v>
      </c>
      <c r="D94" s="109" t="s">
        <v>190</v>
      </c>
      <c r="E94" s="15" t="s">
        <v>74</v>
      </c>
      <c r="F94" s="16"/>
      <c r="G94" s="12" t="s">
        <v>178</v>
      </c>
      <c r="H94" s="15"/>
      <c r="I94" s="15"/>
      <c r="J94" s="15">
        <v>1</v>
      </c>
      <c r="K94" s="15">
        <v>1</v>
      </c>
      <c r="L94" s="17"/>
      <c r="M94" s="17"/>
      <c r="N94" s="17"/>
      <c r="O94" s="17"/>
      <c r="P94" s="17"/>
      <c r="Q94" s="17"/>
      <c r="R94" s="17"/>
      <c r="S94" s="15"/>
      <c r="T94" s="25">
        <v>45775</v>
      </c>
      <c r="U94" s="13" t="s">
        <v>146</v>
      </c>
      <c r="V94">
        <v>2</v>
      </c>
      <c r="X94" s="51" t="s">
        <v>107</v>
      </c>
      <c r="Y94" s="52">
        <f>COUNTIF(U93:U117,"R")</f>
        <v>4</v>
      </c>
      <c r="AA94" s="47" t="s">
        <v>81</v>
      </c>
      <c r="AB94" s="48" t="s">
        <v>60</v>
      </c>
    </row>
    <row r="95" spans="1:28" ht="19.5" thickBot="1" x14ac:dyDescent="0.45">
      <c r="A95" s="147"/>
      <c r="B95" s="137"/>
      <c r="C95" s="85" t="s">
        <v>255</v>
      </c>
      <c r="D95" s="109" t="s">
        <v>180</v>
      </c>
      <c r="E95" s="15" t="s">
        <v>36</v>
      </c>
      <c r="F95" s="16"/>
      <c r="G95" s="12" t="s">
        <v>178</v>
      </c>
      <c r="H95" s="15"/>
      <c r="I95" s="15"/>
      <c r="J95" s="15"/>
      <c r="K95" s="15"/>
      <c r="L95" s="17"/>
      <c r="M95" s="17">
        <v>1</v>
      </c>
      <c r="N95" s="17">
        <v>1</v>
      </c>
      <c r="O95" s="17"/>
      <c r="P95" s="17"/>
      <c r="Q95" s="17">
        <v>1</v>
      </c>
      <c r="R95" s="17"/>
      <c r="S95" s="15"/>
      <c r="T95" s="25">
        <v>45769</v>
      </c>
      <c r="U95" s="13" t="s">
        <v>147</v>
      </c>
      <c r="V95">
        <v>3</v>
      </c>
      <c r="X95" s="53" t="s">
        <v>108</v>
      </c>
      <c r="Y95" s="54">
        <f>COUNTIF(U93:U117,"J")</f>
        <v>5</v>
      </c>
      <c r="AA95" s="49" t="s">
        <v>122</v>
      </c>
      <c r="AB95" s="50" t="s">
        <v>39</v>
      </c>
    </row>
    <row r="96" spans="1:28" x14ac:dyDescent="0.4">
      <c r="A96" s="147"/>
      <c r="B96" s="137"/>
      <c r="C96" s="85" t="s">
        <v>257</v>
      </c>
      <c r="D96" s="109" t="s">
        <v>256</v>
      </c>
      <c r="E96" s="15" t="s">
        <v>39</v>
      </c>
      <c r="F96" s="16"/>
      <c r="G96" s="12" t="s">
        <v>178</v>
      </c>
      <c r="H96" s="15"/>
      <c r="I96" s="15"/>
      <c r="J96" s="15">
        <v>1</v>
      </c>
      <c r="K96" s="15">
        <v>1</v>
      </c>
      <c r="L96" s="17"/>
      <c r="M96" s="17"/>
      <c r="N96" s="17"/>
      <c r="O96" s="17"/>
      <c r="P96" s="17"/>
      <c r="Q96" s="17"/>
      <c r="R96" s="17"/>
      <c r="S96" s="15"/>
      <c r="T96" s="25">
        <v>45787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7"/>
      <c r="B97" s="137"/>
      <c r="C97" s="85" t="s">
        <v>258</v>
      </c>
      <c r="D97" s="109" t="s">
        <v>256</v>
      </c>
      <c r="E97" s="15" t="s">
        <v>133</v>
      </c>
      <c r="F97" s="16"/>
      <c r="G97" s="12" t="s">
        <v>178</v>
      </c>
      <c r="H97" s="15"/>
      <c r="I97" s="15"/>
      <c r="J97" s="15"/>
      <c r="K97" s="15"/>
      <c r="L97" s="17"/>
      <c r="M97" s="17"/>
      <c r="N97" s="17"/>
      <c r="O97" s="17">
        <v>1</v>
      </c>
      <c r="P97" s="17">
        <v>1</v>
      </c>
      <c r="Q97" s="17">
        <v>1</v>
      </c>
      <c r="R97" s="17">
        <v>1</v>
      </c>
      <c r="S97" s="15"/>
      <c r="T97" s="25">
        <v>45787</v>
      </c>
      <c r="U97" s="13" t="s">
        <v>148</v>
      </c>
      <c r="V97">
        <v>5</v>
      </c>
      <c r="AA97" s="49" t="s">
        <v>84</v>
      </c>
      <c r="AB97" s="50" t="s">
        <v>44</v>
      </c>
    </row>
    <row r="98" spans="1:28" x14ac:dyDescent="0.4">
      <c r="A98" s="147"/>
      <c r="B98" s="137"/>
      <c r="C98" s="85" t="s">
        <v>259</v>
      </c>
      <c r="D98" s="109" t="s">
        <v>256</v>
      </c>
      <c r="E98" s="15" t="s">
        <v>39</v>
      </c>
      <c r="F98" s="16"/>
      <c r="G98" s="12" t="s">
        <v>178</v>
      </c>
      <c r="H98" s="13"/>
      <c r="I98" s="15"/>
      <c r="J98" s="15">
        <v>1</v>
      </c>
      <c r="K98" s="15">
        <v>1</v>
      </c>
      <c r="L98" s="17"/>
      <c r="M98" s="17"/>
      <c r="N98" s="17"/>
      <c r="O98" s="17"/>
      <c r="P98" s="17"/>
      <c r="Q98" s="17"/>
      <c r="R98" s="17"/>
      <c r="S98" s="15"/>
      <c r="T98" s="25">
        <v>45787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7"/>
      <c r="B99" s="137"/>
      <c r="C99" s="85" t="s">
        <v>260</v>
      </c>
      <c r="D99" s="109" t="s">
        <v>256</v>
      </c>
      <c r="E99" s="15" t="s">
        <v>133</v>
      </c>
      <c r="F99" s="16"/>
      <c r="G99" s="12" t="s">
        <v>178</v>
      </c>
      <c r="H99" s="15"/>
      <c r="I99" s="15"/>
      <c r="J99" s="15"/>
      <c r="K99" s="15"/>
      <c r="L99" s="17"/>
      <c r="M99" s="17"/>
      <c r="N99" s="17"/>
      <c r="O99" s="17">
        <v>1</v>
      </c>
      <c r="P99" s="17">
        <v>1</v>
      </c>
      <c r="Q99" s="17">
        <v>1</v>
      </c>
      <c r="R99" s="17">
        <v>1</v>
      </c>
      <c r="S99" s="15"/>
      <c r="T99" s="25">
        <v>45787</v>
      </c>
      <c r="U99" s="13" t="s">
        <v>148</v>
      </c>
      <c r="V99">
        <v>7</v>
      </c>
      <c r="AA99" s="49" t="s">
        <v>86</v>
      </c>
      <c r="AB99" s="50" t="s">
        <v>45</v>
      </c>
    </row>
    <row r="100" spans="1:28" x14ac:dyDescent="0.4">
      <c r="A100" s="147"/>
      <c r="B100" s="137"/>
      <c r="C100" s="85" t="s">
        <v>261</v>
      </c>
      <c r="D100" s="109" t="s">
        <v>202</v>
      </c>
      <c r="E100" s="15" t="s">
        <v>37</v>
      </c>
      <c r="F100" s="16"/>
      <c r="G100" s="12" t="s">
        <v>178</v>
      </c>
      <c r="H100" s="15"/>
      <c r="I100" s="15"/>
      <c r="J100" s="15">
        <v>1</v>
      </c>
      <c r="K100" s="15">
        <v>1</v>
      </c>
      <c r="L100" s="17"/>
      <c r="M100" s="17"/>
      <c r="N100" s="17"/>
      <c r="O100" s="17"/>
      <c r="P100" s="17"/>
      <c r="Q100" s="17"/>
      <c r="R100" s="17"/>
      <c r="S100" s="15"/>
      <c r="T100" s="25">
        <v>45791</v>
      </c>
      <c r="U100" s="15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47"/>
      <c r="B101" s="137"/>
      <c r="C101" s="85" t="s">
        <v>262</v>
      </c>
      <c r="D101" s="109" t="s">
        <v>202</v>
      </c>
      <c r="E101" s="15" t="s">
        <v>36</v>
      </c>
      <c r="F101" s="16"/>
      <c r="G101" s="12" t="s">
        <v>178</v>
      </c>
      <c r="H101" s="15"/>
      <c r="I101" s="15"/>
      <c r="J101" s="15">
        <v>1</v>
      </c>
      <c r="K101" s="15">
        <v>1</v>
      </c>
      <c r="L101" s="17"/>
      <c r="M101" s="17"/>
      <c r="N101" s="17"/>
      <c r="O101" s="17"/>
      <c r="P101" s="17"/>
      <c r="Q101" s="17"/>
      <c r="R101" s="17"/>
      <c r="S101" s="15"/>
      <c r="T101" s="25">
        <v>45791</v>
      </c>
      <c r="U101" s="15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47"/>
      <c r="B102" s="137"/>
      <c r="C102" s="85" t="s">
        <v>264</v>
      </c>
      <c r="D102" s="109" t="s">
        <v>263</v>
      </c>
      <c r="E102" s="15" t="s">
        <v>41</v>
      </c>
      <c r="F102" s="16"/>
      <c r="G102" s="12" t="s">
        <v>178</v>
      </c>
      <c r="H102" s="15"/>
      <c r="I102" s="15"/>
      <c r="J102" s="15"/>
      <c r="K102" s="15"/>
      <c r="L102" s="17"/>
      <c r="M102" s="17"/>
      <c r="N102" s="17"/>
      <c r="O102" s="17"/>
      <c r="P102" s="17"/>
      <c r="Q102" s="17"/>
      <c r="R102" s="17"/>
      <c r="S102" s="15"/>
      <c r="T102" s="25">
        <v>45775</v>
      </c>
      <c r="U102" s="15" t="s">
        <v>147</v>
      </c>
      <c r="V102">
        <v>10</v>
      </c>
      <c r="AA102" s="49" t="s">
        <v>89</v>
      </c>
      <c r="AB102" s="50" t="s">
        <v>36</v>
      </c>
    </row>
    <row r="103" spans="1:28" x14ac:dyDescent="0.4">
      <c r="A103" s="147"/>
      <c r="B103" s="137"/>
      <c r="C103" s="85" t="s">
        <v>265</v>
      </c>
      <c r="D103" s="109" t="s">
        <v>263</v>
      </c>
      <c r="E103" s="15" t="s">
        <v>57</v>
      </c>
      <c r="F103" s="16"/>
      <c r="G103" s="12" t="s">
        <v>266</v>
      </c>
      <c r="H103" s="15"/>
      <c r="I103" s="15"/>
      <c r="J103" s="15"/>
      <c r="K103" s="15"/>
      <c r="L103" s="17"/>
      <c r="M103" s="17"/>
      <c r="N103" s="17"/>
      <c r="O103" s="17"/>
      <c r="P103" s="17"/>
      <c r="Q103" s="17"/>
      <c r="R103" s="17"/>
      <c r="S103" s="15"/>
      <c r="T103" s="25">
        <v>45775</v>
      </c>
      <c r="U103" s="15" t="s">
        <v>147</v>
      </c>
      <c r="V103">
        <v>11</v>
      </c>
      <c r="AA103" s="49" t="s">
        <v>90</v>
      </c>
      <c r="AB103" s="50" t="s">
        <v>58</v>
      </c>
    </row>
    <row r="104" spans="1:28" x14ac:dyDescent="0.4">
      <c r="A104" s="147"/>
      <c r="B104" s="137"/>
      <c r="C104" s="85" t="s">
        <v>267</v>
      </c>
      <c r="D104" s="109" t="s">
        <v>263</v>
      </c>
      <c r="E104" s="15" t="s">
        <v>37</v>
      </c>
      <c r="F104" s="16"/>
      <c r="G104" s="12" t="s">
        <v>178</v>
      </c>
      <c r="H104" s="15"/>
      <c r="I104" s="15"/>
      <c r="J104" s="15"/>
      <c r="K104" s="15"/>
      <c r="L104" s="17"/>
      <c r="M104" s="17">
        <v>1</v>
      </c>
      <c r="N104" s="17">
        <v>1</v>
      </c>
      <c r="O104" s="17"/>
      <c r="P104" s="17"/>
      <c r="Q104" s="17">
        <v>1</v>
      </c>
      <c r="R104" s="17"/>
      <c r="S104" s="15"/>
      <c r="T104" s="25">
        <v>45775</v>
      </c>
      <c r="U104" s="15" t="s">
        <v>147</v>
      </c>
      <c r="V104">
        <v>12</v>
      </c>
      <c r="AA104" s="49" t="s">
        <v>91</v>
      </c>
      <c r="AB104" s="50" t="s">
        <v>75</v>
      </c>
    </row>
    <row r="105" spans="1:28" x14ac:dyDescent="0.4">
      <c r="A105" s="147"/>
      <c r="B105" s="137"/>
      <c r="C105" s="85" t="s">
        <v>268</v>
      </c>
      <c r="D105" s="109" t="s">
        <v>263</v>
      </c>
      <c r="E105" s="15" t="s">
        <v>40</v>
      </c>
      <c r="F105" s="16"/>
      <c r="G105" s="12" t="s">
        <v>178</v>
      </c>
      <c r="H105" s="15"/>
      <c r="I105" s="15"/>
      <c r="J105" s="15"/>
      <c r="K105" s="15"/>
      <c r="L105" s="17"/>
      <c r="M105" s="17"/>
      <c r="N105" s="17"/>
      <c r="O105" s="17">
        <v>1</v>
      </c>
      <c r="P105" s="17">
        <v>1</v>
      </c>
      <c r="Q105" s="17"/>
      <c r="R105" s="17"/>
      <c r="S105" s="15"/>
      <c r="T105" s="25">
        <v>45775</v>
      </c>
      <c r="U105" s="132" t="s">
        <v>148</v>
      </c>
      <c r="V105">
        <v>13</v>
      </c>
      <c r="AA105" s="49" t="s">
        <v>92</v>
      </c>
      <c r="AB105" s="50" t="s">
        <v>40</v>
      </c>
    </row>
    <row r="106" spans="1:28" x14ac:dyDescent="0.4">
      <c r="A106" s="147"/>
      <c r="B106" s="137"/>
      <c r="C106" s="85" t="s">
        <v>269</v>
      </c>
      <c r="D106" s="109" t="s">
        <v>263</v>
      </c>
      <c r="E106" s="15" t="s">
        <v>40</v>
      </c>
      <c r="F106" s="16"/>
      <c r="G106" s="12" t="s">
        <v>178</v>
      </c>
      <c r="H106" s="15"/>
      <c r="I106" s="15"/>
      <c r="J106" s="15"/>
      <c r="K106" s="15"/>
      <c r="L106" s="17"/>
      <c r="M106" s="17"/>
      <c r="N106" s="17">
        <v>1</v>
      </c>
      <c r="O106" s="17"/>
      <c r="P106" s="17">
        <v>1</v>
      </c>
      <c r="Q106" s="17"/>
      <c r="R106" s="17"/>
      <c r="S106" s="15"/>
      <c r="T106" s="25">
        <v>45775</v>
      </c>
      <c r="U106" s="15" t="s">
        <v>148</v>
      </c>
      <c r="V106">
        <v>14</v>
      </c>
      <c r="AA106" s="49" t="s">
        <v>93</v>
      </c>
      <c r="AB106" s="50" t="s">
        <v>57</v>
      </c>
    </row>
    <row r="107" spans="1:28" x14ac:dyDescent="0.4">
      <c r="A107" s="147"/>
      <c r="B107" s="137"/>
      <c r="C107" s="85" t="s">
        <v>270</v>
      </c>
      <c r="D107" s="109" t="s">
        <v>263</v>
      </c>
      <c r="E107" s="15" t="s">
        <v>40</v>
      </c>
      <c r="F107" s="16"/>
      <c r="G107" s="15" t="s">
        <v>178</v>
      </c>
      <c r="H107" s="15"/>
      <c r="I107" s="15"/>
      <c r="J107" s="15"/>
      <c r="K107" s="15"/>
      <c r="L107" s="17"/>
      <c r="M107" s="17"/>
      <c r="N107" s="17">
        <v>1</v>
      </c>
      <c r="O107" s="17"/>
      <c r="P107" s="17">
        <v>1</v>
      </c>
      <c r="Q107" s="17"/>
      <c r="R107" s="17"/>
      <c r="S107" s="15"/>
      <c r="T107" s="25">
        <v>45775</v>
      </c>
      <c r="U107" s="15" t="s">
        <v>148</v>
      </c>
      <c r="V107">
        <v>15</v>
      </c>
      <c r="AA107" s="49" t="s">
        <v>94</v>
      </c>
      <c r="AB107" s="50" t="s">
        <v>41</v>
      </c>
    </row>
    <row r="108" spans="1:28" x14ac:dyDescent="0.4">
      <c r="A108" s="147"/>
      <c r="B108" s="137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7"/>
      <c r="B109" s="137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7"/>
      <c r="B110" s="137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7"/>
      <c r="B111" s="137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7"/>
      <c r="B112" s="137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7"/>
      <c r="B113" s="137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7"/>
      <c r="B114" s="137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7"/>
      <c r="B115" s="137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7"/>
      <c r="B116" s="137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8"/>
      <c r="B117" s="138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14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6</v>
      </c>
      <c r="K118" s="29">
        <f t="shared" ref="K118" si="4">SUM(K93:K117)</f>
        <v>6</v>
      </c>
      <c r="L118" s="29">
        <f t="shared" ref="L118" si="5">SUM(L93:L117)</f>
        <v>0</v>
      </c>
      <c r="M118" s="29">
        <f t="shared" ref="M118" si="6">SUM(M93:M117)</f>
        <v>2</v>
      </c>
      <c r="N118" s="29">
        <f t="shared" ref="N118" si="7">SUM(N93:N117)</f>
        <v>4</v>
      </c>
      <c r="O118" s="29">
        <f t="shared" ref="O118" si="8">SUM(O93:O117)</f>
        <v>3</v>
      </c>
      <c r="P118" s="29">
        <f t="shared" ref="P118" si="9">SUM(P93:P117)</f>
        <v>5</v>
      </c>
      <c r="Q118" s="29">
        <f t="shared" ref="Q118" si="10">SUM(Q93:Q117)</f>
        <v>4</v>
      </c>
      <c r="R118" s="29">
        <f t="shared" ref="R118" si="11">SUM(R93:R117)</f>
        <v>2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32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AYG105</v>
      </c>
      <c r="B121" s="24">
        <f>B1</f>
        <v>45750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39" t="s">
        <v>116</v>
      </c>
      <c r="Y122" s="145"/>
    </row>
    <row r="123" spans="1:28" ht="20.25" thickTop="1" thickBot="1" x14ac:dyDescent="0.45">
      <c r="A123" s="146">
        <v>5</v>
      </c>
      <c r="B123" s="136">
        <v>19.399999999999999</v>
      </c>
      <c r="C123" s="85" t="s">
        <v>271</v>
      </c>
      <c r="D123" s="106" t="s">
        <v>272</v>
      </c>
      <c r="E123" s="15" t="s">
        <v>38</v>
      </c>
      <c r="F123" s="14"/>
      <c r="G123" s="12" t="s">
        <v>178</v>
      </c>
      <c r="H123" s="13"/>
      <c r="I123" s="13"/>
      <c r="J123" s="13">
        <v>1</v>
      </c>
      <c r="K123" s="13">
        <v>1</v>
      </c>
      <c r="L123" s="13"/>
      <c r="M123" s="13"/>
      <c r="N123" s="13"/>
      <c r="O123" s="13"/>
      <c r="P123" s="13"/>
      <c r="Q123" s="13"/>
      <c r="R123" s="13"/>
      <c r="S123" s="13"/>
      <c r="T123" s="25">
        <v>45769</v>
      </c>
      <c r="U123" s="13" t="s">
        <v>146</v>
      </c>
      <c r="V123">
        <v>1</v>
      </c>
      <c r="X123" s="51" t="s">
        <v>106</v>
      </c>
      <c r="Y123" s="52">
        <f>COUNTIF(U123:U147,"K")</f>
        <v>7</v>
      </c>
      <c r="AA123" s="59" t="s">
        <v>120</v>
      </c>
      <c r="AB123" s="60" t="s">
        <v>121</v>
      </c>
    </row>
    <row r="124" spans="1:28" x14ac:dyDescent="0.4">
      <c r="A124" s="147"/>
      <c r="B124" s="137"/>
      <c r="C124" s="85" t="s">
        <v>273</v>
      </c>
      <c r="D124" s="106" t="s">
        <v>190</v>
      </c>
      <c r="E124" s="15" t="s">
        <v>38</v>
      </c>
      <c r="F124" s="16"/>
      <c r="G124" s="15" t="s">
        <v>178</v>
      </c>
      <c r="H124" s="15"/>
      <c r="I124" s="15"/>
      <c r="J124" s="15">
        <v>1</v>
      </c>
      <c r="K124" s="15"/>
      <c r="L124" s="17"/>
      <c r="M124" s="17"/>
      <c r="N124" s="17"/>
      <c r="O124" s="17"/>
      <c r="P124" s="17"/>
      <c r="Q124" s="17"/>
      <c r="R124" s="17"/>
      <c r="S124" s="15"/>
      <c r="T124" s="25">
        <v>45775</v>
      </c>
      <c r="U124" s="13" t="s">
        <v>146</v>
      </c>
      <c r="V124">
        <v>2</v>
      </c>
      <c r="X124" s="51" t="s">
        <v>107</v>
      </c>
      <c r="Y124" s="52">
        <f>COUNTIF(U123:U147,"R")</f>
        <v>6</v>
      </c>
      <c r="AA124" s="47" t="s">
        <v>81</v>
      </c>
      <c r="AB124" s="48" t="s">
        <v>60</v>
      </c>
    </row>
    <row r="125" spans="1:28" ht="19.5" thickBot="1" x14ac:dyDescent="0.45">
      <c r="A125" s="147"/>
      <c r="B125" s="137"/>
      <c r="C125" s="85" t="s">
        <v>274</v>
      </c>
      <c r="D125" s="106" t="s">
        <v>190</v>
      </c>
      <c r="E125" s="15" t="s">
        <v>38</v>
      </c>
      <c r="F125" s="16"/>
      <c r="G125" s="15" t="s">
        <v>178</v>
      </c>
      <c r="H125" s="13"/>
      <c r="I125" s="15"/>
      <c r="J125" s="15">
        <v>1</v>
      </c>
      <c r="K125" s="15"/>
      <c r="L125" s="17"/>
      <c r="M125" s="17"/>
      <c r="N125" s="17"/>
      <c r="O125" s="17"/>
      <c r="P125" s="17"/>
      <c r="Q125" s="17"/>
      <c r="R125" s="17"/>
      <c r="S125" s="15"/>
      <c r="T125" s="25">
        <v>45775</v>
      </c>
      <c r="U125" s="13" t="s">
        <v>146</v>
      </c>
      <c r="V125">
        <v>3</v>
      </c>
      <c r="X125" s="53" t="s">
        <v>108</v>
      </c>
      <c r="Y125" s="54">
        <f>COUNTIF(U123:U147,"J")</f>
        <v>2</v>
      </c>
      <c r="AA125" s="49" t="s">
        <v>82</v>
      </c>
      <c r="AB125" s="50" t="s">
        <v>39</v>
      </c>
    </row>
    <row r="126" spans="1:28" x14ac:dyDescent="0.4">
      <c r="A126" s="147"/>
      <c r="B126" s="137"/>
      <c r="C126" s="85" t="s">
        <v>275</v>
      </c>
      <c r="D126" s="106" t="s">
        <v>190</v>
      </c>
      <c r="E126" s="15" t="s">
        <v>38</v>
      </c>
      <c r="F126" s="16"/>
      <c r="G126" s="15" t="s">
        <v>178</v>
      </c>
      <c r="H126" s="15"/>
      <c r="I126" s="15"/>
      <c r="J126" s="15">
        <v>1</v>
      </c>
      <c r="K126" s="15">
        <v>1</v>
      </c>
      <c r="L126" s="17"/>
      <c r="M126" s="17"/>
      <c r="N126" s="17"/>
      <c r="O126" s="17"/>
      <c r="P126" s="17"/>
      <c r="Q126" s="17"/>
      <c r="R126" s="17"/>
      <c r="S126" s="15"/>
      <c r="T126" s="25">
        <v>45775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47"/>
      <c r="B127" s="137"/>
      <c r="C127" s="85" t="s">
        <v>276</v>
      </c>
      <c r="D127" s="106" t="s">
        <v>190</v>
      </c>
      <c r="E127" s="15" t="s">
        <v>40</v>
      </c>
      <c r="F127" s="16"/>
      <c r="G127" s="15" t="s">
        <v>178</v>
      </c>
      <c r="H127" s="15"/>
      <c r="I127" s="15"/>
      <c r="J127" s="15"/>
      <c r="K127" s="15"/>
      <c r="L127" s="17"/>
      <c r="M127" s="17"/>
      <c r="N127" s="17"/>
      <c r="O127" s="17">
        <v>1</v>
      </c>
      <c r="P127" s="17">
        <v>1</v>
      </c>
      <c r="Q127" s="17"/>
      <c r="R127" s="17">
        <v>1</v>
      </c>
      <c r="S127" s="15"/>
      <c r="T127" s="25">
        <v>45775</v>
      </c>
      <c r="U127" s="13" t="s">
        <v>148</v>
      </c>
      <c r="V127">
        <v>5</v>
      </c>
      <c r="AA127" s="49" t="s">
        <v>84</v>
      </c>
      <c r="AB127" s="50" t="s">
        <v>44</v>
      </c>
    </row>
    <row r="128" spans="1:28" x14ac:dyDescent="0.4">
      <c r="A128" s="147"/>
      <c r="B128" s="137"/>
      <c r="C128" s="85" t="s">
        <v>277</v>
      </c>
      <c r="D128" s="106" t="s">
        <v>190</v>
      </c>
      <c r="E128" s="15" t="s">
        <v>39</v>
      </c>
      <c r="F128" s="16"/>
      <c r="G128" s="13" t="s">
        <v>178</v>
      </c>
      <c r="H128" s="13"/>
      <c r="I128" s="15"/>
      <c r="J128" s="15">
        <v>1</v>
      </c>
      <c r="K128" s="15">
        <v>1</v>
      </c>
      <c r="L128" s="17"/>
      <c r="M128" s="17"/>
      <c r="N128" s="17"/>
      <c r="O128" s="17"/>
      <c r="P128" s="17"/>
      <c r="Q128" s="17"/>
      <c r="R128" s="17"/>
      <c r="S128" s="15"/>
      <c r="T128" s="25">
        <v>45775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47"/>
      <c r="B129" s="137"/>
      <c r="C129" s="85" t="s">
        <v>278</v>
      </c>
      <c r="D129" s="106" t="s">
        <v>190</v>
      </c>
      <c r="E129" s="15" t="s">
        <v>133</v>
      </c>
      <c r="F129" s="16"/>
      <c r="G129" s="15" t="s">
        <v>178</v>
      </c>
      <c r="H129" s="15"/>
      <c r="I129" s="15"/>
      <c r="J129" s="15"/>
      <c r="K129" s="15"/>
      <c r="L129" s="17"/>
      <c r="M129" s="17"/>
      <c r="N129" s="17"/>
      <c r="O129" s="17">
        <v>1</v>
      </c>
      <c r="P129" s="17">
        <v>1</v>
      </c>
      <c r="Q129" s="17"/>
      <c r="R129" s="17"/>
      <c r="S129" s="15"/>
      <c r="T129" s="25">
        <v>45775</v>
      </c>
      <c r="U129" s="13" t="s">
        <v>148</v>
      </c>
      <c r="V129">
        <v>7</v>
      </c>
      <c r="AA129" s="49" t="s">
        <v>86</v>
      </c>
      <c r="AB129" s="50" t="s">
        <v>45</v>
      </c>
    </row>
    <row r="130" spans="1:28" x14ac:dyDescent="0.4">
      <c r="A130" s="147"/>
      <c r="B130" s="137"/>
      <c r="C130" s="85" t="s">
        <v>279</v>
      </c>
      <c r="D130" s="106" t="s">
        <v>190</v>
      </c>
      <c r="E130" s="15" t="s">
        <v>36</v>
      </c>
      <c r="F130" s="16"/>
      <c r="G130" s="15" t="s">
        <v>178</v>
      </c>
      <c r="H130" s="15"/>
      <c r="I130" s="15"/>
      <c r="J130" s="15"/>
      <c r="K130" s="15"/>
      <c r="L130" s="17"/>
      <c r="M130" s="17">
        <v>1</v>
      </c>
      <c r="N130" s="17">
        <v>1</v>
      </c>
      <c r="O130" s="17"/>
      <c r="P130" s="17"/>
      <c r="Q130" s="17">
        <v>1</v>
      </c>
      <c r="R130" s="17"/>
      <c r="S130" s="15"/>
      <c r="T130" s="25">
        <v>45775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47"/>
      <c r="B131" s="137"/>
      <c r="C131" s="85" t="s">
        <v>280</v>
      </c>
      <c r="D131" s="106" t="s">
        <v>190</v>
      </c>
      <c r="E131" s="15" t="s">
        <v>38</v>
      </c>
      <c r="F131" s="16"/>
      <c r="G131" s="15" t="s">
        <v>178</v>
      </c>
      <c r="H131" s="15"/>
      <c r="I131" s="15"/>
      <c r="J131" s="15"/>
      <c r="K131" s="15"/>
      <c r="L131" s="17"/>
      <c r="M131" s="17"/>
      <c r="N131" s="17"/>
      <c r="O131" s="17"/>
      <c r="P131" s="17"/>
      <c r="Q131" s="17">
        <v>1</v>
      </c>
      <c r="R131" s="17"/>
      <c r="S131" s="86"/>
      <c r="T131" s="25">
        <v>45775</v>
      </c>
      <c r="U131" s="13" t="s">
        <v>147</v>
      </c>
      <c r="V131">
        <v>9</v>
      </c>
      <c r="AA131" s="49" t="s">
        <v>88</v>
      </c>
      <c r="AB131" s="50" t="s">
        <v>74</v>
      </c>
    </row>
    <row r="132" spans="1:28" x14ac:dyDescent="0.4">
      <c r="A132" s="147"/>
      <c r="B132" s="137"/>
      <c r="C132" s="85" t="s">
        <v>281</v>
      </c>
      <c r="D132" s="106" t="s">
        <v>190</v>
      </c>
      <c r="E132" s="15" t="s">
        <v>38</v>
      </c>
      <c r="F132" s="16"/>
      <c r="G132" s="15" t="s">
        <v>178</v>
      </c>
      <c r="H132" s="15"/>
      <c r="I132" s="15"/>
      <c r="J132" s="15"/>
      <c r="K132" s="15"/>
      <c r="L132" s="17"/>
      <c r="M132" s="17">
        <v>1</v>
      </c>
      <c r="N132" s="17">
        <v>1</v>
      </c>
      <c r="O132" s="17"/>
      <c r="P132" s="17"/>
      <c r="Q132" s="17">
        <v>1</v>
      </c>
      <c r="R132" s="17"/>
      <c r="S132" s="15"/>
      <c r="T132" s="25">
        <v>45775</v>
      </c>
      <c r="U132" s="13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47"/>
      <c r="B133" s="137"/>
      <c r="C133" s="85" t="s">
        <v>282</v>
      </c>
      <c r="D133" s="106" t="s">
        <v>190</v>
      </c>
      <c r="E133" s="15" t="s">
        <v>38</v>
      </c>
      <c r="F133" s="16"/>
      <c r="G133" s="15" t="s">
        <v>178</v>
      </c>
      <c r="H133" s="15"/>
      <c r="I133" s="15"/>
      <c r="J133" s="15"/>
      <c r="K133" s="15"/>
      <c r="L133" s="17"/>
      <c r="M133" s="17">
        <v>1</v>
      </c>
      <c r="N133" s="17">
        <v>1</v>
      </c>
      <c r="O133" s="17"/>
      <c r="P133" s="17"/>
      <c r="Q133" s="17">
        <v>1</v>
      </c>
      <c r="R133" s="17"/>
      <c r="S133" s="15"/>
      <c r="T133" s="25">
        <v>45775</v>
      </c>
      <c r="U133" s="13" t="s">
        <v>147</v>
      </c>
      <c r="V133">
        <v>11</v>
      </c>
      <c r="AA133" s="49" t="s">
        <v>90</v>
      </c>
      <c r="AB133" s="50" t="s">
        <v>58</v>
      </c>
    </row>
    <row r="134" spans="1:28" x14ac:dyDescent="0.4">
      <c r="A134" s="147"/>
      <c r="B134" s="137"/>
      <c r="C134" s="85" t="s">
        <v>283</v>
      </c>
      <c r="D134" s="106" t="s">
        <v>190</v>
      </c>
      <c r="E134" s="15" t="s">
        <v>38</v>
      </c>
      <c r="F134" s="16"/>
      <c r="G134" s="15" t="s">
        <v>178</v>
      </c>
      <c r="H134" s="15"/>
      <c r="I134" s="15"/>
      <c r="J134" s="15"/>
      <c r="K134" s="15"/>
      <c r="L134" s="17"/>
      <c r="M134" s="17">
        <v>1</v>
      </c>
      <c r="N134" s="17">
        <v>1</v>
      </c>
      <c r="O134" s="17"/>
      <c r="P134" s="17"/>
      <c r="Q134" s="17">
        <v>1</v>
      </c>
      <c r="R134" s="17"/>
      <c r="S134" s="15"/>
      <c r="T134" s="25">
        <v>45775</v>
      </c>
      <c r="U134" s="13" t="s">
        <v>147</v>
      </c>
      <c r="V134">
        <v>12</v>
      </c>
      <c r="AA134" s="49" t="s">
        <v>91</v>
      </c>
      <c r="AB134" s="50" t="s">
        <v>75</v>
      </c>
    </row>
    <row r="135" spans="1:28" x14ac:dyDescent="0.4">
      <c r="A135" s="147"/>
      <c r="B135" s="137"/>
      <c r="C135" s="85" t="s">
        <v>284</v>
      </c>
      <c r="D135" s="106" t="s">
        <v>190</v>
      </c>
      <c r="E135" s="15" t="s">
        <v>75</v>
      </c>
      <c r="F135" s="16"/>
      <c r="G135" s="15" t="s">
        <v>178</v>
      </c>
      <c r="H135" s="15"/>
      <c r="I135" s="15"/>
      <c r="J135" s="15"/>
      <c r="K135" s="15"/>
      <c r="L135" s="17"/>
      <c r="M135" s="17"/>
      <c r="N135" s="17"/>
      <c r="O135" s="17"/>
      <c r="P135" s="17"/>
      <c r="Q135" s="17"/>
      <c r="R135" s="17"/>
      <c r="S135" s="15">
        <v>1</v>
      </c>
      <c r="T135" s="25">
        <v>45775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47"/>
      <c r="B136" s="137"/>
      <c r="C136" s="85" t="s">
        <v>285</v>
      </c>
      <c r="D136" s="106" t="s">
        <v>177</v>
      </c>
      <c r="E136" s="15" t="s">
        <v>36</v>
      </c>
      <c r="F136" s="16"/>
      <c r="G136" s="15" t="s">
        <v>178</v>
      </c>
      <c r="H136" s="15"/>
      <c r="I136" s="15"/>
      <c r="J136" s="15">
        <v>1</v>
      </c>
      <c r="K136" s="15">
        <v>1</v>
      </c>
      <c r="L136" s="17"/>
      <c r="M136" s="17"/>
      <c r="N136" s="17"/>
      <c r="O136" s="17"/>
      <c r="P136" s="17"/>
      <c r="Q136" s="17"/>
      <c r="R136" s="17"/>
      <c r="S136" s="15"/>
      <c r="T136" s="25">
        <v>45785</v>
      </c>
      <c r="U136" s="13" t="s">
        <v>146</v>
      </c>
      <c r="V136">
        <v>14</v>
      </c>
      <c r="AA136" s="49" t="s">
        <v>93</v>
      </c>
      <c r="AB136" s="50" t="s">
        <v>57</v>
      </c>
    </row>
    <row r="137" spans="1:28" x14ac:dyDescent="0.4">
      <c r="A137" s="147"/>
      <c r="B137" s="137"/>
      <c r="C137" s="85" t="s">
        <v>286</v>
      </c>
      <c r="D137" s="106" t="s">
        <v>190</v>
      </c>
      <c r="E137" s="15" t="s">
        <v>44</v>
      </c>
      <c r="F137" s="16"/>
      <c r="G137" s="15" t="s">
        <v>178</v>
      </c>
      <c r="H137" s="15"/>
      <c r="I137" s="15"/>
      <c r="J137" s="15"/>
      <c r="K137" s="15"/>
      <c r="L137" s="17"/>
      <c r="M137" s="17">
        <v>1</v>
      </c>
      <c r="N137" s="17">
        <v>1</v>
      </c>
      <c r="O137" s="17"/>
      <c r="P137" s="17"/>
      <c r="Q137" s="17">
        <v>1</v>
      </c>
      <c r="R137" s="17"/>
      <c r="S137" s="15"/>
      <c r="T137" s="25">
        <v>45784</v>
      </c>
      <c r="U137" s="25" t="s">
        <v>147</v>
      </c>
      <c r="V137">
        <v>15</v>
      </c>
      <c r="AA137" s="49" t="s">
        <v>94</v>
      </c>
      <c r="AB137" s="50" t="s">
        <v>41</v>
      </c>
    </row>
    <row r="138" spans="1:28" x14ac:dyDescent="0.4">
      <c r="A138" s="147"/>
      <c r="B138" s="137"/>
      <c r="C138" s="85"/>
      <c r="D138" s="106"/>
      <c r="E138" s="15"/>
      <c r="F138" s="16"/>
      <c r="G138" s="15"/>
      <c r="H138" s="15"/>
      <c r="I138" s="15"/>
      <c r="J138" s="18"/>
      <c r="K138" s="15"/>
      <c r="L138" s="19"/>
      <c r="M138" s="19"/>
      <c r="N138" s="19"/>
      <c r="O138" s="19"/>
      <c r="P138" s="19"/>
      <c r="Q138" s="19"/>
      <c r="R138" s="19"/>
      <c r="S138" s="15"/>
      <c r="T138" s="25"/>
      <c r="U138" s="15"/>
      <c r="V138" s="73">
        <v>16</v>
      </c>
      <c r="AA138" s="49" t="s">
        <v>95</v>
      </c>
      <c r="AB138" s="50" t="s">
        <v>42</v>
      </c>
    </row>
    <row r="139" spans="1:28" x14ac:dyDescent="0.4">
      <c r="A139" s="147"/>
      <c r="B139" s="137"/>
      <c r="C139" s="86"/>
      <c r="D139" s="106"/>
      <c r="E139" s="15"/>
      <c r="F139" s="16"/>
      <c r="G139" s="15"/>
      <c r="H139" s="15"/>
      <c r="I139" s="15"/>
      <c r="J139" s="18"/>
      <c r="K139" s="15"/>
      <c r="L139" s="19"/>
      <c r="M139" s="19"/>
      <c r="N139" s="19"/>
      <c r="O139" s="19"/>
      <c r="P139" s="19"/>
      <c r="Q139" s="19"/>
      <c r="R139" s="19"/>
      <c r="S139" s="15"/>
      <c r="T139" s="26"/>
      <c r="U139" s="15"/>
      <c r="V139">
        <v>17</v>
      </c>
      <c r="AA139" s="49" t="s">
        <v>96</v>
      </c>
      <c r="AB139" s="50" t="s">
        <v>61</v>
      </c>
    </row>
    <row r="140" spans="1:28" x14ac:dyDescent="0.4">
      <c r="A140" s="147"/>
      <c r="B140" s="137"/>
      <c r="C140" s="86"/>
      <c r="D140" s="106"/>
      <c r="E140" s="15"/>
      <c r="F140" s="16"/>
      <c r="G140" s="15"/>
      <c r="H140" s="15"/>
      <c r="I140" s="15"/>
      <c r="J140" s="18"/>
      <c r="K140" s="15"/>
      <c r="L140" s="19"/>
      <c r="M140" s="19"/>
      <c r="N140" s="19"/>
      <c r="O140" s="19"/>
      <c r="P140" s="19"/>
      <c r="Q140" s="19"/>
      <c r="R140" s="19"/>
      <c r="S140" s="15"/>
      <c r="T140" s="26"/>
      <c r="U140" s="15"/>
      <c r="V140">
        <v>18</v>
      </c>
      <c r="AA140" s="49" t="s">
        <v>97</v>
      </c>
      <c r="AB140" s="50" t="s">
        <v>76</v>
      </c>
    </row>
    <row r="141" spans="1:28" x14ac:dyDescent="0.4">
      <c r="A141" s="147"/>
      <c r="B141" s="137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7"/>
      <c r="B142" s="137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7"/>
      <c r="B143" s="137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7"/>
      <c r="B144" s="137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7"/>
      <c r="B145" s="137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7"/>
      <c r="B146" s="137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8"/>
      <c r="B147" s="138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15</v>
      </c>
      <c r="D148" s="112"/>
      <c r="E148" s="29"/>
      <c r="F148" s="29" t="s">
        <v>34</v>
      </c>
      <c r="G148" s="29">
        <f>COUNTIF(G123:G147,"S")</f>
        <v>15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6</v>
      </c>
      <c r="K148" s="29">
        <f t="shared" ref="K148" si="14">SUM(K123:K147)</f>
        <v>4</v>
      </c>
      <c r="L148" s="29">
        <f t="shared" ref="L148" si="15">SUM(L123:L147)</f>
        <v>0</v>
      </c>
      <c r="M148" s="29">
        <f t="shared" ref="M148" si="16">SUM(M123:M147)</f>
        <v>5</v>
      </c>
      <c r="N148" s="29">
        <f t="shared" ref="N148" si="17">SUM(N123:N147)</f>
        <v>5</v>
      </c>
      <c r="O148" s="29">
        <f t="shared" ref="O148" si="18">SUM(O123:O147)</f>
        <v>2</v>
      </c>
      <c r="P148" s="29">
        <f t="shared" ref="P148" si="19">SUM(P123:P147)</f>
        <v>2</v>
      </c>
      <c r="Q148" s="29">
        <f t="shared" ref="Q148" si="20">SUM(Q123:Q147)</f>
        <v>6</v>
      </c>
      <c r="R148" s="29">
        <f t="shared" ref="R148" si="21">SUM(R123:R147)</f>
        <v>1</v>
      </c>
      <c r="S148" s="29">
        <f t="shared" ref="S148" si="22">SUM(S123:S147)</f>
        <v>1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32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AYG105</v>
      </c>
      <c r="B151" s="24">
        <f>B1</f>
        <v>45750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191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39" t="s">
        <v>115</v>
      </c>
      <c r="Y152" s="145"/>
    </row>
    <row r="153" spans="1:28" ht="20.25" thickTop="1" thickBot="1" x14ac:dyDescent="0.45">
      <c r="A153" s="146">
        <v>6</v>
      </c>
      <c r="B153" s="149">
        <v>19.8</v>
      </c>
      <c r="C153" s="85" t="s">
        <v>287</v>
      </c>
      <c r="D153" s="106" t="s">
        <v>196</v>
      </c>
      <c r="E153" s="106" t="s">
        <v>57</v>
      </c>
      <c r="F153" s="14"/>
      <c r="G153" s="12" t="s">
        <v>266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25">
        <v>45788</v>
      </c>
      <c r="U153" s="13" t="s">
        <v>147</v>
      </c>
      <c r="V153">
        <v>1</v>
      </c>
      <c r="X153" s="51" t="s">
        <v>106</v>
      </c>
      <c r="Y153" s="52">
        <f>COUNTIF(U153:U177,"K")</f>
        <v>4</v>
      </c>
      <c r="AA153" s="59" t="s">
        <v>120</v>
      </c>
      <c r="AB153" s="60" t="s">
        <v>121</v>
      </c>
    </row>
    <row r="154" spans="1:28" x14ac:dyDescent="0.4">
      <c r="A154" s="147"/>
      <c r="B154" s="150"/>
      <c r="C154" s="85" t="s">
        <v>289</v>
      </c>
      <c r="D154" s="106" t="s">
        <v>288</v>
      </c>
      <c r="E154" s="106" t="s">
        <v>58</v>
      </c>
      <c r="F154" s="16"/>
      <c r="G154" s="12" t="s">
        <v>178</v>
      </c>
      <c r="H154" s="15"/>
      <c r="I154" s="15"/>
      <c r="J154" s="13"/>
      <c r="K154" s="15"/>
      <c r="L154" s="13"/>
      <c r="M154" s="17"/>
      <c r="N154" s="17"/>
      <c r="O154" s="17"/>
      <c r="P154" s="17"/>
      <c r="Q154" s="17"/>
      <c r="R154" s="17"/>
      <c r="S154" s="15"/>
      <c r="T154" s="25">
        <v>45788</v>
      </c>
      <c r="U154" s="13" t="s">
        <v>147</v>
      </c>
      <c r="V154">
        <v>2</v>
      </c>
      <c r="X154" s="51" t="s">
        <v>107</v>
      </c>
      <c r="Y154" s="52">
        <f>COUNTIF(U153:U177,"R")</f>
        <v>9</v>
      </c>
      <c r="AA154" s="47" t="s">
        <v>81</v>
      </c>
      <c r="AB154" s="48" t="s">
        <v>60</v>
      </c>
    </row>
    <row r="155" spans="1:28" ht="19.5" thickBot="1" x14ac:dyDescent="0.45">
      <c r="A155" s="147"/>
      <c r="B155" s="150"/>
      <c r="C155" s="85" t="s">
        <v>290</v>
      </c>
      <c r="D155" s="106" t="s">
        <v>186</v>
      </c>
      <c r="E155" s="106" t="s">
        <v>38</v>
      </c>
      <c r="F155" s="16"/>
      <c r="G155" s="12" t="s">
        <v>178</v>
      </c>
      <c r="H155" s="13"/>
      <c r="I155" s="15"/>
      <c r="J155" s="13">
        <v>1</v>
      </c>
      <c r="K155" s="15"/>
      <c r="L155" s="13"/>
      <c r="M155" s="17"/>
      <c r="N155" s="17"/>
      <c r="O155" s="17"/>
      <c r="P155" s="17"/>
      <c r="Q155" s="17"/>
      <c r="R155" s="17"/>
      <c r="S155" s="15"/>
      <c r="T155" s="25">
        <v>45788</v>
      </c>
      <c r="U155" s="13" t="s">
        <v>146</v>
      </c>
      <c r="V155">
        <v>3</v>
      </c>
      <c r="X155" s="53" t="s">
        <v>108</v>
      </c>
      <c r="Y155" s="54">
        <f>COUNTIF(U153:U177,"J")</f>
        <v>3</v>
      </c>
      <c r="AA155" s="49" t="s">
        <v>82</v>
      </c>
      <c r="AB155" s="50" t="s">
        <v>39</v>
      </c>
    </row>
    <row r="156" spans="1:28" x14ac:dyDescent="0.4">
      <c r="A156" s="147"/>
      <c r="B156" s="150"/>
      <c r="C156" s="85" t="s">
        <v>291</v>
      </c>
      <c r="D156" s="106" t="s">
        <v>186</v>
      </c>
      <c r="E156" s="106" t="s">
        <v>40</v>
      </c>
      <c r="F156" s="16"/>
      <c r="G156" s="12" t="s">
        <v>178</v>
      </c>
      <c r="H156" s="15"/>
      <c r="I156" s="15"/>
      <c r="J156" s="13"/>
      <c r="K156" s="15"/>
      <c r="L156" s="13"/>
      <c r="M156" s="17"/>
      <c r="N156" s="17"/>
      <c r="O156" s="17">
        <v>1</v>
      </c>
      <c r="P156" s="17">
        <v>1</v>
      </c>
      <c r="Q156" s="17"/>
      <c r="R156" s="17">
        <v>1</v>
      </c>
      <c r="S156" s="15"/>
      <c r="T156" s="25">
        <v>45788</v>
      </c>
      <c r="U156" s="13" t="s">
        <v>148</v>
      </c>
      <c r="V156">
        <v>4</v>
      </c>
      <c r="AA156" s="49" t="s">
        <v>83</v>
      </c>
      <c r="AB156" s="50" t="s">
        <v>38</v>
      </c>
    </row>
    <row r="157" spans="1:28" x14ac:dyDescent="0.4">
      <c r="A157" s="147"/>
      <c r="B157" s="150"/>
      <c r="C157" s="85" t="s">
        <v>292</v>
      </c>
      <c r="D157" s="106" t="s">
        <v>179</v>
      </c>
      <c r="E157" s="106" t="s">
        <v>37</v>
      </c>
      <c r="F157" s="16"/>
      <c r="G157" s="12" t="s">
        <v>178</v>
      </c>
      <c r="H157" s="15"/>
      <c r="I157" s="15"/>
      <c r="J157" s="13"/>
      <c r="K157" s="15"/>
      <c r="L157" s="13"/>
      <c r="M157" s="17">
        <v>1</v>
      </c>
      <c r="N157" s="17">
        <v>1</v>
      </c>
      <c r="O157" s="17"/>
      <c r="P157" s="17"/>
      <c r="Q157" s="17">
        <v>1</v>
      </c>
      <c r="R157" s="17"/>
      <c r="S157" s="15"/>
      <c r="T157" s="25">
        <v>45777</v>
      </c>
      <c r="U157" s="13" t="s">
        <v>147</v>
      </c>
      <c r="V157">
        <v>5</v>
      </c>
      <c r="AA157" s="49" t="s">
        <v>84</v>
      </c>
      <c r="AB157" s="50" t="s">
        <v>44</v>
      </c>
    </row>
    <row r="158" spans="1:28" x14ac:dyDescent="0.4">
      <c r="A158" s="147"/>
      <c r="B158" s="150"/>
      <c r="C158" s="85" t="s">
        <v>294</v>
      </c>
      <c r="D158" s="106" t="s">
        <v>293</v>
      </c>
      <c r="E158" s="106" t="s">
        <v>44</v>
      </c>
      <c r="F158" s="16"/>
      <c r="G158" s="12" t="s">
        <v>178</v>
      </c>
      <c r="H158" s="13"/>
      <c r="I158" s="15"/>
      <c r="J158" s="13">
        <v>1</v>
      </c>
      <c r="K158" s="15"/>
      <c r="L158" s="13"/>
      <c r="M158" s="17"/>
      <c r="N158" s="17"/>
      <c r="O158" s="17"/>
      <c r="P158" s="17"/>
      <c r="Q158" s="17"/>
      <c r="R158" s="17"/>
      <c r="S158" s="15"/>
      <c r="T158" s="25">
        <v>45787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47"/>
      <c r="B159" s="150"/>
      <c r="C159" s="85" t="s">
        <v>295</v>
      </c>
      <c r="D159" s="106" t="s">
        <v>293</v>
      </c>
      <c r="E159" s="106" t="s">
        <v>133</v>
      </c>
      <c r="F159" s="16"/>
      <c r="G159" s="12" t="s">
        <v>178</v>
      </c>
      <c r="H159" s="15"/>
      <c r="I159" s="15"/>
      <c r="J159" s="13"/>
      <c r="K159" s="15"/>
      <c r="L159" s="13"/>
      <c r="M159" s="17"/>
      <c r="N159" s="17"/>
      <c r="O159" s="17">
        <v>1</v>
      </c>
      <c r="P159" s="17">
        <v>1</v>
      </c>
      <c r="Q159" s="17">
        <v>1</v>
      </c>
      <c r="R159" s="17">
        <v>1</v>
      </c>
      <c r="S159" s="15"/>
      <c r="T159" s="25">
        <v>45775</v>
      </c>
      <c r="U159" s="13" t="s">
        <v>148</v>
      </c>
      <c r="V159">
        <v>7</v>
      </c>
      <c r="AA159" s="49" t="s">
        <v>86</v>
      </c>
      <c r="AB159" s="50" t="s">
        <v>45</v>
      </c>
    </row>
    <row r="160" spans="1:28" x14ac:dyDescent="0.4">
      <c r="A160" s="147"/>
      <c r="B160" s="150"/>
      <c r="C160" s="85" t="s">
        <v>296</v>
      </c>
      <c r="D160" s="106" t="s">
        <v>293</v>
      </c>
      <c r="E160" s="106" t="s">
        <v>38</v>
      </c>
      <c r="F160" s="16"/>
      <c r="G160" s="12" t="s">
        <v>178</v>
      </c>
      <c r="H160" s="15"/>
      <c r="I160" s="15"/>
      <c r="J160" s="13"/>
      <c r="K160" s="15"/>
      <c r="L160" s="13"/>
      <c r="M160" s="17">
        <v>1</v>
      </c>
      <c r="N160" s="17"/>
      <c r="O160" s="17"/>
      <c r="P160" s="17"/>
      <c r="Q160" s="17"/>
      <c r="R160" s="17"/>
      <c r="S160" s="15"/>
      <c r="T160" s="25">
        <v>45788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47"/>
      <c r="B161" s="150"/>
      <c r="C161" s="85" t="s">
        <v>297</v>
      </c>
      <c r="D161" s="106" t="s">
        <v>293</v>
      </c>
      <c r="E161" s="106" t="s">
        <v>38</v>
      </c>
      <c r="F161" s="16"/>
      <c r="G161" s="12" t="s">
        <v>178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5">
        <v>45788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7"/>
      <c r="B162" s="150"/>
      <c r="C162" s="85" t="s">
        <v>298</v>
      </c>
      <c r="D162" s="106" t="s">
        <v>293</v>
      </c>
      <c r="E162" s="106" t="s">
        <v>37</v>
      </c>
      <c r="F162" s="106"/>
      <c r="G162" s="12" t="s">
        <v>178</v>
      </c>
      <c r="H162" s="15"/>
      <c r="I162" s="15"/>
      <c r="J162" s="13">
        <v>1</v>
      </c>
      <c r="K162" s="15">
        <v>1</v>
      </c>
      <c r="L162" s="13"/>
      <c r="M162" s="17"/>
      <c r="N162" s="17"/>
      <c r="O162" s="17"/>
      <c r="P162" s="17"/>
      <c r="Q162" s="17"/>
      <c r="R162" s="17"/>
      <c r="S162" s="15"/>
      <c r="T162" s="25">
        <v>45788</v>
      </c>
      <c r="U162" s="13" t="s">
        <v>146</v>
      </c>
      <c r="V162">
        <v>10</v>
      </c>
      <c r="AA162" s="49" t="s">
        <v>89</v>
      </c>
      <c r="AB162" s="50" t="s">
        <v>36</v>
      </c>
    </row>
    <row r="163" spans="1:28" x14ac:dyDescent="0.4">
      <c r="A163" s="147"/>
      <c r="B163" s="150"/>
      <c r="C163" s="85" t="s">
        <v>299</v>
      </c>
      <c r="D163" s="106" t="s">
        <v>177</v>
      </c>
      <c r="E163" s="106" t="s">
        <v>75</v>
      </c>
      <c r="F163" s="16"/>
      <c r="G163" s="12" t="s">
        <v>178</v>
      </c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/>
      <c r="T163" s="25">
        <v>45785</v>
      </c>
      <c r="U163" s="13" t="s">
        <v>147</v>
      </c>
      <c r="V163">
        <v>11</v>
      </c>
      <c r="AA163" s="49" t="s">
        <v>90</v>
      </c>
      <c r="AB163" s="50" t="s">
        <v>58</v>
      </c>
    </row>
    <row r="164" spans="1:28" x14ac:dyDescent="0.4">
      <c r="A164" s="147"/>
      <c r="B164" s="150"/>
      <c r="C164" s="85" t="s">
        <v>300</v>
      </c>
      <c r="D164" s="106" t="s">
        <v>177</v>
      </c>
      <c r="E164" s="106" t="s">
        <v>75</v>
      </c>
      <c r="F164" s="16"/>
      <c r="G164" s="12" t="s">
        <v>178</v>
      </c>
      <c r="H164" s="15"/>
      <c r="I164" s="15"/>
      <c r="J164" s="15"/>
      <c r="K164" s="15"/>
      <c r="L164" s="17"/>
      <c r="M164" s="17"/>
      <c r="N164" s="17"/>
      <c r="O164" s="17"/>
      <c r="P164" s="17"/>
      <c r="Q164" s="17"/>
      <c r="R164" s="17"/>
      <c r="S164" s="15"/>
      <c r="T164" s="25">
        <v>45785</v>
      </c>
      <c r="U164" s="13" t="s">
        <v>147</v>
      </c>
      <c r="V164">
        <v>12</v>
      </c>
      <c r="AA164" s="49" t="s">
        <v>91</v>
      </c>
      <c r="AB164" s="50" t="s">
        <v>75</v>
      </c>
    </row>
    <row r="165" spans="1:28" x14ac:dyDescent="0.4">
      <c r="A165" s="147"/>
      <c r="B165" s="150"/>
      <c r="C165" s="85" t="s">
        <v>301</v>
      </c>
      <c r="D165" s="106" t="s">
        <v>177</v>
      </c>
      <c r="E165" s="106" t="s">
        <v>58</v>
      </c>
      <c r="F165" s="16"/>
      <c r="G165" s="12" t="s">
        <v>178</v>
      </c>
      <c r="H165" s="15"/>
      <c r="I165" s="15"/>
      <c r="J165" s="15"/>
      <c r="K165" s="15"/>
      <c r="L165" s="17"/>
      <c r="M165" s="17"/>
      <c r="N165" s="17"/>
      <c r="O165" s="17"/>
      <c r="P165" s="17"/>
      <c r="Q165" s="17"/>
      <c r="R165" s="17"/>
      <c r="S165" s="15"/>
      <c r="T165" s="25">
        <v>45788</v>
      </c>
      <c r="U165" s="13" t="s">
        <v>147</v>
      </c>
      <c r="V165">
        <v>13</v>
      </c>
      <c r="AA165" s="49" t="s">
        <v>92</v>
      </c>
      <c r="AB165" s="50" t="s">
        <v>40</v>
      </c>
    </row>
    <row r="166" spans="1:28" x14ac:dyDescent="0.4">
      <c r="A166" s="147"/>
      <c r="B166" s="150"/>
      <c r="C166" s="85" t="s">
        <v>302</v>
      </c>
      <c r="D166" s="106" t="s">
        <v>183</v>
      </c>
      <c r="E166" s="106" t="s">
        <v>44</v>
      </c>
      <c r="F166" s="16"/>
      <c r="G166" s="12" t="s">
        <v>178</v>
      </c>
      <c r="H166" s="15"/>
      <c r="I166" s="15"/>
      <c r="J166" s="15"/>
      <c r="K166" s="15"/>
      <c r="L166" s="17"/>
      <c r="M166" s="17">
        <v>1</v>
      </c>
      <c r="N166" s="17">
        <v>1</v>
      </c>
      <c r="O166" s="17"/>
      <c r="P166" s="17"/>
      <c r="Q166" s="17">
        <v>1</v>
      </c>
      <c r="R166" s="17"/>
      <c r="S166" s="15"/>
      <c r="T166" s="25">
        <v>45788</v>
      </c>
      <c r="U166" s="13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47"/>
      <c r="B167" s="150"/>
      <c r="C167" s="85" t="s">
        <v>303</v>
      </c>
      <c r="D167" s="106" t="s">
        <v>179</v>
      </c>
      <c r="E167" s="106" t="s">
        <v>75</v>
      </c>
      <c r="F167" s="16"/>
      <c r="G167" s="12" t="s">
        <v>178</v>
      </c>
      <c r="H167" s="15" t="s">
        <v>147</v>
      </c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5">
        <v>45784</v>
      </c>
      <c r="U167" s="13" t="s">
        <v>147</v>
      </c>
      <c r="V167">
        <v>15</v>
      </c>
      <c r="AA167" s="49" t="s">
        <v>94</v>
      </c>
      <c r="AB167" s="50" t="s">
        <v>41</v>
      </c>
    </row>
    <row r="168" spans="1:28" x14ac:dyDescent="0.4">
      <c r="A168" s="147"/>
      <c r="B168" s="150"/>
      <c r="C168" s="85" t="s">
        <v>304</v>
      </c>
      <c r="D168" s="106" t="s">
        <v>179</v>
      </c>
      <c r="E168" s="106" t="s">
        <v>40</v>
      </c>
      <c r="F168" s="16"/>
      <c r="G168" s="12" t="s">
        <v>178</v>
      </c>
      <c r="H168" s="15"/>
      <c r="I168" s="15"/>
      <c r="J168" s="18"/>
      <c r="K168" s="15"/>
      <c r="L168" s="19"/>
      <c r="M168" s="19"/>
      <c r="N168" s="19"/>
      <c r="O168" s="19">
        <v>1</v>
      </c>
      <c r="P168" s="19">
        <v>1</v>
      </c>
      <c r="Q168" s="19"/>
      <c r="R168" s="19">
        <v>1</v>
      </c>
      <c r="S168" s="15"/>
      <c r="T168" s="25">
        <v>45784</v>
      </c>
      <c r="U168" s="13" t="s">
        <v>148</v>
      </c>
      <c r="V168">
        <v>16</v>
      </c>
      <c r="AA168" s="49" t="s">
        <v>95</v>
      </c>
      <c r="AB168" s="50" t="s">
        <v>42</v>
      </c>
    </row>
    <row r="169" spans="1:28" x14ac:dyDescent="0.4">
      <c r="A169" s="147"/>
      <c r="B169" s="150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7"/>
      <c r="B170" s="150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7"/>
      <c r="B171" s="150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7"/>
      <c r="B172" s="150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7"/>
      <c r="B173" s="150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7"/>
      <c r="B174" s="150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7"/>
      <c r="B175" s="150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7"/>
      <c r="B176" s="150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8"/>
      <c r="B177" s="151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16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4</v>
      </c>
      <c r="K178" s="29">
        <f t="shared" ref="K178" si="24">SUM(K153:K177)</f>
        <v>2</v>
      </c>
      <c r="L178" s="29">
        <f t="shared" ref="L178" si="25">SUM(L153:L177)</f>
        <v>0</v>
      </c>
      <c r="M178" s="29">
        <f t="shared" ref="M178" si="26">SUM(M153:M177)</f>
        <v>3</v>
      </c>
      <c r="N178" s="29">
        <f t="shared" ref="N178" si="27">SUM(N153:N177)</f>
        <v>2</v>
      </c>
      <c r="O178" s="29">
        <f t="shared" ref="O178" si="28">SUM(O153:O177)</f>
        <v>3</v>
      </c>
      <c r="P178" s="29">
        <f t="shared" ref="P178" si="29">SUM(P153:P177)</f>
        <v>3</v>
      </c>
      <c r="Q178" s="29">
        <f t="shared" ref="Q178" si="30">SUM(Q153:Q177)</f>
        <v>3</v>
      </c>
      <c r="R178" s="29">
        <f t="shared" ref="R178" si="31">SUM(R153:R177)</f>
        <v>3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1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23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184</v>
      </c>
      <c r="B181" s="24">
        <v>45687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39" t="s">
        <v>114</v>
      </c>
      <c r="Y182" s="145"/>
    </row>
    <row r="183" spans="1:28" ht="20.25" thickTop="1" thickBot="1" x14ac:dyDescent="0.45">
      <c r="A183" s="146">
        <v>7</v>
      </c>
      <c r="B183" s="149">
        <v>22</v>
      </c>
      <c r="C183" s="85" t="s">
        <v>305</v>
      </c>
      <c r="D183" s="110" t="s">
        <v>183</v>
      </c>
      <c r="E183" s="18" t="s">
        <v>37</v>
      </c>
      <c r="F183" s="16"/>
      <c r="G183" s="18" t="s">
        <v>178</v>
      </c>
      <c r="H183" s="15"/>
      <c r="I183" s="15"/>
      <c r="J183" s="18">
        <v>1</v>
      </c>
      <c r="K183" s="15">
        <v>1</v>
      </c>
      <c r="L183" s="19"/>
      <c r="M183" s="19"/>
      <c r="N183" s="19"/>
      <c r="O183" s="19"/>
      <c r="P183" s="19"/>
      <c r="Q183" s="19"/>
      <c r="R183" s="19"/>
      <c r="S183" s="15"/>
      <c r="T183" s="25">
        <v>45777</v>
      </c>
      <c r="U183" s="15" t="s">
        <v>146</v>
      </c>
      <c r="V183">
        <v>1</v>
      </c>
      <c r="X183" s="51" t="s">
        <v>106</v>
      </c>
      <c r="Y183" s="52">
        <f>COUNTIF(U183:U207,"K")</f>
        <v>6</v>
      </c>
      <c r="AA183" s="59" t="s">
        <v>120</v>
      </c>
      <c r="AB183" s="60" t="s">
        <v>121</v>
      </c>
    </row>
    <row r="184" spans="1:28" x14ac:dyDescent="0.4">
      <c r="A184" s="147"/>
      <c r="B184" s="150"/>
      <c r="C184" s="85" t="s">
        <v>306</v>
      </c>
      <c r="D184" s="110" t="s">
        <v>190</v>
      </c>
      <c r="E184" s="15" t="s">
        <v>60</v>
      </c>
      <c r="F184" s="16"/>
      <c r="G184" s="18" t="s">
        <v>178</v>
      </c>
      <c r="H184" s="15" t="s">
        <v>194</v>
      </c>
      <c r="I184" s="15"/>
      <c r="J184" s="18">
        <v>1</v>
      </c>
      <c r="K184" s="15"/>
      <c r="L184" s="19">
        <v>1</v>
      </c>
      <c r="M184" s="19"/>
      <c r="N184" s="19"/>
      <c r="O184" s="19"/>
      <c r="P184" s="19"/>
      <c r="Q184" s="19"/>
      <c r="R184" s="19"/>
      <c r="S184" s="15"/>
      <c r="T184" s="25">
        <v>45775</v>
      </c>
      <c r="U184" s="15" t="s">
        <v>146</v>
      </c>
      <c r="V184">
        <v>2</v>
      </c>
      <c r="X184" s="51" t="s">
        <v>107</v>
      </c>
      <c r="Y184" s="52">
        <f>COUNTIF(U183:U207,"R")</f>
        <v>8</v>
      </c>
      <c r="AA184" s="47" t="s">
        <v>81</v>
      </c>
      <c r="AB184" s="48" t="s">
        <v>60</v>
      </c>
    </row>
    <row r="185" spans="1:28" ht="19.5" thickBot="1" x14ac:dyDescent="0.45">
      <c r="A185" s="147"/>
      <c r="B185" s="150"/>
      <c r="C185" s="85" t="s">
        <v>307</v>
      </c>
      <c r="D185" s="110" t="s">
        <v>190</v>
      </c>
      <c r="E185" s="15" t="s">
        <v>60</v>
      </c>
      <c r="F185" s="16"/>
      <c r="G185" s="18" t="s">
        <v>178</v>
      </c>
      <c r="H185" s="15"/>
      <c r="I185" s="15"/>
      <c r="J185" s="15">
        <v>1</v>
      </c>
      <c r="K185" s="15">
        <v>1</v>
      </c>
      <c r="L185" s="17"/>
      <c r="M185" s="17"/>
      <c r="N185" s="17"/>
      <c r="O185" s="17"/>
      <c r="P185" s="17"/>
      <c r="Q185" s="17"/>
      <c r="R185" s="17"/>
      <c r="S185" s="15"/>
      <c r="T185" s="25">
        <v>45775</v>
      </c>
      <c r="U185" s="15" t="s">
        <v>146</v>
      </c>
      <c r="V185">
        <v>3</v>
      </c>
      <c r="X185" s="53" t="s">
        <v>108</v>
      </c>
      <c r="Y185" s="54">
        <f>COUNTIF(U183:U207,"J")</f>
        <v>2</v>
      </c>
      <c r="AA185" s="49" t="s">
        <v>82</v>
      </c>
      <c r="AB185" s="50" t="s">
        <v>39</v>
      </c>
    </row>
    <row r="186" spans="1:28" x14ac:dyDescent="0.4">
      <c r="A186" s="147"/>
      <c r="B186" s="150"/>
      <c r="C186" s="85" t="s">
        <v>308</v>
      </c>
      <c r="D186" s="110" t="s">
        <v>190</v>
      </c>
      <c r="E186" s="15" t="s">
        <v>40</v>
      </c>
      <c r="F186" s="16"/>
      <c r="G186" s="18" t="s">
        <v>178</v>
      </c>
      <c r="H186" s="15"/>
      <c r="I186" s="15"/>
      <c r="J186" s="15"/>
      <c r="K186" s="15"/>
      <c r="L186" s="17"/>
      <c r="M186" s="17"/>
      <c r="N186" s="17"/>
      <c r="O186" s="17">
        <v>1</v>
      </c>
      <c r="P186" s="17">
        <v>1</v>
      </c>
      <c r="Q186" s="17"/>
      <c r="R186" s="17">
        <v>1</v>
      </c>
      <c r="S186" s="15"/>
      <c r="T186" s="25">
        <v>45775</v>
      </c>
      <c r="U186" s="25" t="s">
        <v>148</v>
      </c>
      <c r="V186">
        <v>4</v>
      </c>
      <c r="AA186" s="49" t="s">
        <v>83</v>
      </c>
      <c r="AB186" s="50" t="s">
        <v>38</v>
      </c>
    </row>
    <row r="187" spans="1:28" x14ac:dyDescent="0.4">
      <c r="A187" s="147"/>
      <c r="B187" s="150"/>
      <c r="C187" s="85" t="s">
        <v>309</v>
      </c>
      <c r="D187" s="106" t="s">
        <v>190</v>
      </c>
      <c r="E187" s="13" t="s">
        <v>41</v>
      </c>
      <c r="F187" s="16"/>
      <c r="G187" s="18" t="s">
        <v>178</v>
      </c>
      <c r="H187" s="15"/>
      <c r="I187" s="15"/>
      <c r="J187" s="15">
        <v>1</v>
      </c>
      <c r="K187" s="15">
        <v>1</v>
      </c>
      <c r="L187" s="17"/>
      <c r="M187" s="17"/>
      <c r="N187" s="17"/>
      <c r="O187" s="17"/>
      <c r="P187" s="17"/>
      <c r="Q187" s="17"/>
      <c r="R187" s="17"/>
      <c r="S187" s="15"/>
      <c r="T187" s="25">
        <v>45805</v>
      </c>
      <c r="U187" s="25" t="s">
        <v>146</v>
      </c>
      <c r="V187">
        <v>5</v>
      </c>
      <c r="AA187" s="49" t="s">
        <v>84</v>
      </c>
      <c r="AB187" s="50" t="s">
        <v>44</v>
      </c>
    </row>
    <row r="188" spans="1:28" x14ac:dyDescent="0.4">
      <c r="A188" s="147"/>
      <c r="B188" s="150"/>
      <c r="C188" s="85" t="s">
        <v>310</v>
      </c>
      <c r="D188" s="106" t="s">
        <v>179</v>
      </c>
      <c r="E188" s="13" t="s">
        <v>36</v>
      </c>
      <c r="F188" s="16"/>
      <c r="G188" s="18" t="s">
        <v>178</v>
      </c>
      <c r="H188" s="13"/>
      <c r="I188" s="15"/>
      <c r="J188" s="15"/>
      <c r="K188" s="15"/>
      <c r="L188" s="17"/>
      <c r="M188" s="17">
        <v>1</v>
      </c>
      <c r="N188" s="17">
        <v>1</v>
      </c>
      <c r="O188" s="17"/>
      <c r="P188" s="17"/>
      <c r="Q188" s="17">
        <v>1</v>
      </c>
      <c r="R188" s="17"/>
      <c r="S188" s="15"/>
      <c r="T188" s="25">
        <v>45776</v>
      </c>
      <c r="U188" s="25" t="s">
        <v>147</v>
      </c>
      <c r="V188">
        <v>6</v>
      </c>
      <c r="AA188" s="49" t="s">
        <v>85</v>
      </c>
      <c r="AB188" s="50" t="s">
        <v>43</v>
      </c>
    </row>
    <row r="189" spans="1:28" x14ac:dyDescent="0.4">
      <c r="A189" s="147"/>
      <c r="B189" s="150"/>
      <c r="C189" s="85" t="s">
        <v>311</v>
      </c>
      <c r="D189" s="106" t="s">
        <v>177</v>
      </c>
      <c r="E189" s="13" t="s">
        <v>44</v>
      </c>
      <c r="F189" s="16"/>
      <c r="G189" s="18" t="s">
        <v>178</v>
      </c>
      <c r="H189" s="15"/>
      <c r="I189" s="15"/>
      <c r="J189" s="15"/>
      <c r="K189" s="15"/>
      <c r="L189" s="17"/>
      <c r="M189" s="17">
        <v>1</v>
      </c>
      <c r="N189" s="17"/>
      <c r="O189" s="17"/>
      <c r="P189" s="17"/>
      <c r="Q189" s="17">
        <v>1</v>
      </c>
      <c r="R189" s="17"/>
      <c r="S189" s="15"/>
      <c r="T189" s="25">
        <v>45787</v>
      </c>
      <c r="U189" s="2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47"/>
      <c r="B190" s="150"/>
      <c r="C190" s="85" t="s">
        <v>312</v>
      </c>
      <c r="D190" s="106" t="s">
        <v>185</v>
      </c>
      <c r="E190" s="13" t="s">
        <v>75</v>
      </c>
      <c r="F190" s="16"/>
      <c r="G190" s="18" t="s">
        <v>178</v>
      </c>
      <c r="H190" s="15"/>
      <c r="I190" s="15"/>
      <c r="J190" s="15"/>
      <c r="K190" s="15"/>
      <c r="L190" s="17"/>
      <c r="M190" s="17"/>
      <c r="N190" s="17"/>
      <c r="O190" s="17"/>
      <c r="P190" s="17"/>
      <c r="Q190" s="17"/>
      <c r="R190" s="17"/>
      <c r="S190" s="15"/>
      <c r="T190" s="25">
        <v>45783</v>
      </c>
      <c r="U190" s="2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47"/>
      <c r="B191" s="150"/>
      <c r="C191" s="85" t="s">
        <v>313</v>
      </c>
      <c r="D191" s="106" t="s">
        <v>179</v>
      </c>
      <c r="E191" s="13" t="s">
        <v>75</v>
      </c>
      <c r="F191" s="16"/>
      <c r="G191" s="18" t="s">
        <v>178</v>
      </c>
      <c r="H191" s="15"/>
      <c r="I191" s="15"/>
      <c r="J191" s="15"/>
      <c r="K191" s="15"/>
      <c r="L191" s="17"/>
      <c r="M191" s="17"/>
      <c r="N191" s="17"/>
      <c r="O191" s="17"/>
      <c r="P191" s="17"/>
      <c r="Q191" s="17"/>
      <c r="R191" s="17"/>
      <c r="S191" s="15"/>
      <c r="T191" s="25">
        <v>45775</v>
      </c>
      <c r="U191" s="2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47"/>
      <c r="B192" s="150"/>
      <c r="C192" s="85" t="s">
        <v>314</v>
      </c>
      <c r="D192" s="106" t="s">
        <v>201</v>
      </c>
      <c r="E192" s="13" t="s">
        <v>39</v>
      </c>
      <c r="F192" s="16"/>
      <c r="G192" s="18" t="s">
        <v>178</v>
      </c>
      <c r="H192" s="15"/>
      <c r="I192" s="15"/>
      <c r="J192" s="15">
        <v>1</v>
      </c>
      <c r="K192" s="15">
        <v>1</v>
      </c>
      <c r="L192" s="17"/>
      <c r="M192" s="17"/>
      <c r="N192" s="17"/>
      <c r="O192" s="17"/>
      <c r="P192" s="17"/>
      <c r="Q192" s="17"/>
      <c r="R192" s="17"/>
      <c r="S192" s="15"/>
      <c r="T192" s="25">
        <v>45788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47"/>
      <c r="B193" s="150"/>
      <c r="C193" s="85" t="s">
        <v>315</v>
      </c>
      <c r="D193" s="106" t="s">
        <v>201</v>
      </c>
      <c r="E193" s="13" t="s">
        <v>39</v>
      </c>
      <c r="F193" s="16"/>
      <c r="G193" s="18" t="s">
        <v>178</v>
      </c>
      <c r="H193" s="15"/>
      <c r="I193" s="15"/>
      <c r="J193" s="15">
        <v>1</v>
      </c>
      <c r="K193" s="15">
        <v>1</v>
      </c>
      <c r="L193" s="17"/>
      <c r="M193" s="17"/>
      <c r="N193" s="17"/>
      <c r="O193" s="17"/>
      <c r="P193" s="17"/>
      <c r="Q193" s="17"/>
      <c r="R193" s="17"/>
      <c r="S193" s="15"/>
      <c r="T193" s="25">
        <v>45788</v>
      </c>
      <c r="U193" s="15" t="s">
        <v>146</v>
      </c>
      <c r="V193">
        <v>11</v>
      </c>
      <c r="AA193" s="49" t="s">
        <v>90</v>
      </c>
      <c r="AB193" s="50" t="s">
        <v>58</v>
      </c>
    </row>
    <row r="194" spans="1:28" x14ac:dyDescent="0.4">
      <c r="A194" s="147"/>
      <c r="B194" s="150"/>
      <c r="C194" s="85" t="s">
        <v>316</v>
      </c>
      <c r="D194" s="106" t="s">
        <v>201</v>
      </c>
      <c r="E194" s="13" t="s">
        <v>44</v>
      </c>
      <c r="F194" s="16"/>
      <c r="G194" s="18" t="s">
        <v>178</v>
      </c>
      <c r="H194" s="15"/>
      <c r="I194" s="15"/>
      <c r="J194" s="15"/>
      <c r="K194" s="15"/>
      <c r="L194" s="17"/>
      <c r="M194" s="17">
        <v>1</v>
      </c>
      <c r="N194" s="17"/>
      <c r="O194" s="17"/>
      <c r="P194" s="17"/>
      <c r="Q194" s="17">
        <v>1</v>
      </c>
      <c r="R194" s="17"/>
      <c r="S194" s="15"/>
      <c r="T194" s="25">
        <v>45788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47"/>
      <c r="B195" s="150"/>
      <c r="C195" s="85" t="s">
        <v>317</v>
      </c>
      <c r="D195" s="106" t="s">
        <v>201</v>
      </c>
      <c r="E195" s="15" t="s">
        <v>58</v>
      </c>
      <c r="F195" s="16"/>
      <c r="G195" s="18" t="s">
        <v>178</v>
      </c>
      <c r="H195" s="15"/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/>
      <c r="T195" s="25">
        <v>45777</v>
      </c>
      <c r="U195" s="15" t="s">
        <v>147</v>
      </c>
      <c r="V195">
        <v>13</v>
      </c>
      <c r="AA195" s="49" t="s">
        <v>92</v>
      </c>
      <c r="AB195" s="50" t="s">
        <v>40</v>
      </c>
    </row>
    <row r="196" spans="1:28" x14ac:dyDescent="0.4">
      <c r="A196" s="147"/>
      <c r="B196" s="150"/>
      <c r="C196" s="85" t="s">
        <v>319</v>
      </c>
      <c r="D196" s="106" t="s">
        <v>318</v>
      </c>
      <c r="E196" s="15" t="s">
        <v>40</v>
      </c>
      <c r="F196" s="16"/>
      <c r="G196" s="18" t="s">
        <v>178</v>
      </c>
      <c r="H196" s="15"/>
      <c r="I196" s="15"/>
      <c r="J196" s="15"/>
      <c r="K196" s="15"/>
      <c r="L196" s="17"/>
      <c r="M196" s="17"/>
      <c r="N196" s="17"/>
      <c r="O196" s="17">
        <v>1</v>
      </c>
      <c r="P196" s="17"/>
      <c r="Q196" s="17">
        <v>1</v>
      </c>
      <c r="R196" s="17"/>
      <c r="S196" s="15"/>
      <c r="T196" s="25">
        <v>45794</v>
      </c>
      <c r="U196" s="15" t="s">
        <v>148</v>
      </c>
      <c r="V196">
        <v>14</v>
      </c>
      <c r="AA196" s="49" t="s">
        <v>93</v>
      </c>
      <c r="AB196" s="50" t="s">
        <v>57</v>
      </c>
    </row>
    <row r="197" spans="1:28" x14ac:dyDescent="0.4">
      <c r="A197" s="147"/>
      <c r="B197" s="150"/>
      <c r="C197" s="85" t="s">
        <v>320</v>
      </c>
      <c r="D197" s="106" t="s">
        <v>187</v>
      </c>
      <c r="E197" s="15" t="s">
        <v>44</v>
      </c>
      <c r="F197" s="16"/>
      <c r="G197" s="15" t="s">
        <v>178</v>
      </c>
      <c r="H197" s="15"/>
      <c r="I197" s="15"/>
      <c r="J197" s="15"/>
      <c r="K197" s="15"/>
      <c r="L197" s="17"/>
      <c r="M197" s="17">
        <v>1</v>
      </c>
      <c r="N197" s="17">
        <v>1</v>
      </c>
      <c r="O197" s="17"/>
      <c r="P197" s="17"/>
      <c r="Q197" s="17">
        <v>1</v>
      </c>
      <c r="R197" s="17"/>
      <c r="S197" s="15"/>
      <c r="T197" s="25">
        <v>45785</v>
      </c>
      <c r="U197" s="15" t="s">
        <v>147</v>
      </c>
      <c r="V197">
        <v>15</v>
      </c>
      <c r="AA197" s="49" t="s">
        <v>94</v>
      </c>
      <c r="AB197" s="50" t="s">
        <v>41</v>
      </c>
    </row>
    <row r="198" spans="1:28" x14ac:dyDescent="0.4">
      <c r="A198" s="147"/>
      <c r="B198" s="150"/>
      <c r="C198" s="85" t="s">
        <v>321</v>
      </c>
      <c r="D198" s="106" t="s">
        <v>192</v>
      </c>
      <c r="E198" s="15" t="s">
        <v>37</v>
      </c>
      <c r="F198" s="16"/>
      <c r="G198" s="15" t="s">
        <v>178</v>
      </c>
      <c r="H198" s="15"/>
      <c r="I198" s="15"/>
      <c r="J198" s="15"/>
      <c r="K198" s="15"/>
      <c r="L198" s="19"/>
      <c r="M198" s="19">
        <v>1</v>
      </c>
      <c r="N198" s="19"/>
      <c r="O198" s="19"/>
      <c r="P198" s="19"/>
      <c r="Q198" s="19">
        <v>1</v>
      </c>
      <c r="R198" s="19"/>
      <c r="S198" s="15"/>
      <c r="T198" s="25">
        <v>45790</v>
      </c>
      <c r="U198" s="15" t="s">
        <v>147</v>
      </c>
      <c r="V198">
        <v>16</v>
      </c>
      <c r="AA198" s="49" t="s">
        <v>95</v>
      </c>
      <c r="AB198" s="50" t="s">
        <v>42</v>
      </c>
    </row>
    <row r="199" spans="1:28" x14ac:dyDescent="0.4">
      <c r="A199" s="147"/>
      <c r="B199" s="150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7"/>
      <c r="B200" s="150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7"/>
      <c r="B201" s="150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7"/>
      <c r="B202" s="150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7"/>
      <c r="B203" s="150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7"/>
      <c r="B204" s="150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7"/>
      <c r="B205" s="150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7"/>
      <c r="B206" s="150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8"/>
      <c r="B207" s="151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16</v>
      </c>
      <c r="D208" s="112"/>
      <c r="E208" s="29"/>
      <c r="F208" s="29" t="s">
        <v>34</v>
      </c>
      <c r="G208" s="29">
        <f>COUNTIF(G183:G207,"S")</f>
        <v>16</v>
      </c>
      <c r="H208" s="29">
        <f>COUNTIF(H183:H207,"E")</f>
        <v>1</v>
      </c>
      <c r="I208" s="29">
        <f>SUM(I183:I207)</f>
        <v>0</v>
      </c>
      <c r="J208" s="29">
        <f t="shared" ref="J208" si="33">SUM(J183:J207)</f>
        <v>6</v>
      </c>
      <c r="K208" s="29">
        <f t="shared" ref="K208" si="34">SUM(K183:K207)</f>
        <v>5</v>
      </c>
      <c r="L208" s="29">
        <f t="shared" ref="L208" si="35">SUM(L183:L207)</f>
        <v>1</v>
      </c>
      <c r="M208" s="29">
        <f t="shared" ref="M208" si="36">SUM(M183:M207)</f>
        <v>5</v>
      </c>
      <c r="N208" s="29">
        <f t="shared" ref="N208" si="37">SUM(N183:N207)</f>
        <v>2</v>
      </c>
      <c r="O208" s="29">
        <f t="shared" ref="O208" si="38">SUM(O183:O207)</f>
        <v>2</v>
      </c>
      <c r="P208" s="29">
        <f t="shared" ref="P208" si="39">SUM(P183:P207)</f>
        <v>1</v>
      </c>
      <c r="Q208" s="29">
        <f t="shared" ref="Q208" si="40">SUM(Q183:Q207)</f>
        <v>6</v>
      </c>
      <c r="R208" s="29">
        <f t="shared" ref="R208" si="41">SUM(R183:R207)</f>
        <v>1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29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AYG105</v>
      </c>
      <c r="B211" s="24">
        <f>B1</f>
        <v>45750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39" t="s">
        <v>113</v>
      </c>
      <c r="Y212" s="145"/>
    </row>
    <row r="213" spans="1:28" ht="20.25" thickTop="1" thickBot="1" x14ac:dyDescent="0.45">
      <c r="A213" s="146">
        <v>8</v>
      </c>
      <c r="B213" s="149">
        <v>21.2</v>
      </c>
      <c r="C213" s="85" t="s">
        <v>322</v>
      </c>
      <c r="D213" s="106" t="s">
        <v>323</v>
      </c>
      <c r="E213" s="106" t="s">
        <v>36</v>
      </c>
      <c r="F213" s="14"/>
      <c r="G213" s="12" t="s">
        <v>178</v>
      </c>
      <c r="H213" s="13"/>
      <c r="I213" s="13"/>
      <c r="J213" s="13"/>
      <c r="K213" s="13"/>
      <c r="L213" s="13"/>
      <c r="M213" s="13">
        <v>1</v>
      </c>
      <c r="N213" s="13">
        <v>1</v>
      </c>
      <c r="O213" s="13"/>
      <c r="P213" s="13"/>
      <c r="Q213" s="13"/>
      <c r="R213" s="13"/>
      <c r="S213" s="13"/>
      <c r="T213" s="25">
        <v>45792</v>
      </c>
      <c r="U213" s="13" t="s">
        <v>147</v>
      </c>
      <c r="V213">
        <v>1</v>
      </c>
      <c r="X213" s="51" t="s">
        <v>106</v>
      </c>
      <c r="Y213" s="52">
        <f>COUNTIF(U213:U237,"K")</f>
        <v>7</v>
      </c>
      <c r="AA213" s="59" t="s">
        <v>120</v>
      </c>
      <c r="AB213" s="60" t="s">
        <v>121</v>
      </c>
    </row>
    <row r="214" spans="1:28" x14ac:dyDescent="0.4">
      <c r="A214" s="147"/>
      <c r="B214" s="150"/>
      <c r="C214" s="85" t="s">
        <v>324</v>
      </c>
      <c r="D214" s="106" t="s">
        <v>323</v>
      </c>
      <c r="E214" s="106" t="s">
        <v>37</v>
      </c>
      <c r="F214" s="16"/>
      <c r="G214" s="12" t="s">
        <v>178</v>
      </c>
      <c r="H214" s="15"/>
      <c r="I214" s="15"/>
      <c r="J214" s="13">
        <v>1</v>
      </c>
      <c r="K214" s="15">
        <v>1</v>
      </c>
      <c r="L214" s="13"/>
      <c r="M214" s="17"/>
      <c r="N214" s="17"/>
      <c r="O214" s="17"/>
      <c r="P214" s="17"/>
      <c r="Q214" s="17"/>
      <c r="R214" s="17"/>
      <c r="S214" s="15"/>
      <c r="T214" s="25">
        <v>45792</v>
      </c>
      <c r="U214" s="13" t="s">
        <v>146</v>
      </c>
      <c r="V214">
        <v>2</v>
      </c>
      <c r="X214" s="51" t="s">
        <v>107</v>
      </c>
      <c r="Y214" s="52">
        <f>COUNTIF(U213:U237,"R")</f>
        <v>5</v>
      </c>
      <c r="AA214" s="47" t="s">
        <v>81</v>
      </c>
      <c r="AB214" s="48" t="s">
        <v>60</v>
      </c>
    </row>
    <row r="215" spans="1:28" ht="19.5" thickBot="1" x14ac:dyDescent="0.45">
      <c r="A215" s="147"/>
      <c r="B215" s="150"/>
      <c r="C215" s="85" t="s">
        <v>325</v>
      </c>
      <c r="D215" s="106" t="s">
        <v>323</v>
      </c>
      <c r="E215" s="106" t="s">
        <v>38</v>
      </c>
      <c r="F215" s="16"/>
      <c r="G215" s="12" t="s">
        <v>178</v>
      </c>
      <c r="H215" s="13"/>
      <c r="I215" s="15"/>
      <c r="J215" s="13"/>
      <c r="K215" s="15">
        <v>1</v>
      </c>
      <c r="L215" s="13"/>
      <c r="M215" s="17"/>
      <c r="N215" s="17"/>
      <c r="O215" s="17"/>
      <c r="P215" s="17"/>
      <c r="Q215" s="17"/>
      <c r="R215" s="17"/>
      <c r="S215" s="15"/>
      <c r="T215" s="25">
        <v>45792</v>
      </c>
      <c r="U215" s="13" t="s">
        <v>146</v>
      </c>
      <c r="V215">
        <v>3</v>
      </c>
      <c r="X215" s="53" t="s">
        <v>108</v>
      </c>
      <c r="Y215" s="54">
        <f>COUNTIF(U213:U237,"J")</f>
        <v>4</v>
      </c>
      <c r="AA215" s="49" t="s">
        <v>82</v>
      </c>
      <c r="AB215" s="50" t="s">
        <v>39</v>
      </c>
    </row>
    <row r="216" spans="1:28" x14ac:dyDescent="0.4">
      <c r="A216" s="147"/>
      <c r="B216" s="150"/>
      <c r="C216" s="85" t="s">
        <v>326</v>
      </c>
      <c r="D216" s="106" t="s">
        <v>323</v>
      </c>
      <c r="E216" s="106" t="s">
        <v>74</v>
      </c>
      <c r="F216" s="16"/>
      <c r="G216" s="12" t="s">
        <v>178</v>
      </c>
      <c r="H216" s="15"/>
      <c r="I216" s="15"/>
      <c r="J216" s="13">
        <v>1</v>
      </c>
      <c r="K216" s="15"/>
      <c r="L216" s="13"/>
      <c r="M216" s="17"/>
      <c r="N216" s="17"/>
      <c r="O216" s="17"/>
      <c r="P216" s="17"/>
      <c r="Q216" s="17"/>
      <c r="R216" s="17"/>
      <c r="S216" s="15"/>
      <c r="T216" s="25">
        <v>45792</v>
      </c>
      <c r="U216" s="13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47"/>
      <c r="B217" s="150"/>
      <c r="C217" s="85" t="s">
        <v>327</v>
      </c>
      <c r="D217" s="106" t="s">
        <v>318</v>
      </c>
      <c r="E217" s="106" t="s">
        <v>40</v>
      </c>
      <c r="F217" s="16"/>
      <c r="G217" s="12" t="s">
        <v>178</v>
      </c>
      <c r="H217" s="15"/>
      <c r="I217" s="15"/>
      <c r="J217" s="13"/>
      <c r="K217" s="15"/>
      <c r="L217" s="13"/>
      <c r="M217" s="17"/>
      <c r="N217" s="17"/>
      <c r="O217" s="17">
        <v>1</v>
      </c>
      <c r="P217" s="17"/>
      <c r="Q217" s="17">
        <v>1</v>
      </c>
      <c r="R217" s="17"/>
      <c r="S217" s="15"/>
      <c r="T217" s="25">
        <v>45794</v>
      </c>
      <c r="U217" s="13" t="s">
        <v>148</v>
      </c>
      <c r="V217">
        <v>5</v>
      </c>
      <c r="AA217" s="49" t="s">
        <v>84</v>
      </c>
      <c r="AB217" s="50" t="s">
        <v>44</v>
      </c>
    </row>
    <row r="218" spans="1:28" x14ac:dyDescent="0.4">
      <c r="A218" s="147"/>
      <c r="B218" s="150"/>
      <c r="C218" s="85" t="s">
        <v>328</v>
      </c>
      <c r="D218" s="106" t="s">
        <v>318</v>
      </c>
      <c r="E218" s="106" t="s">
        <v>40</v>
      </c>
      <c r="F218" s="16"/>
      <c r="G218" s="12" t="s">
        <v>178</v>
      </c>
      <c r="H218" s="13"/>
      <c r="I218" s="15"/>
      <c r="J218" s="13"/>
      <c r="K218" s="15"/>
      <c r="L218" s="13"/>
      <c r="M218" s="17"/>
      <c r="N218" s="17"/>
      <c r="O218" s="17">
        <v>1</v>
      </c>
      <c r="P218" s="17"/>
      <c r="Q218" s="17"/>
      <c r="R218" s="17"/>
      <c r="S218" s="15"/>
      <c r="T218" s="25">
        <v>45794</v>
      </c>
      <c r="U218" s="13" t="s">
        <v>148</v>
      </c>
      <c r="V218">
        <v>6</v>
      </c>
      <c r="AA218" s="49" t="s">
        <v>85</v>
      </c>
      <c r="AB218" s="50" t="s">
        <v>43</v>
      </c>
    </row>
    <row r="219" spans="1:28" x14ac:dyDescent="0.4">
      <c r="A219" s="147"/>
      <c r="B219" s="150"/>
      <c r="C219" s="85" t="s">
        <v>329</v>
      </c>
      <c r="D219" s="106" t="s">
        <v>195</v>
      </c>
      <c r="E219" s="106" t="s">
        <v>37</v>
      </c>
      <c r="F219" s="16"/>
      <c r="G219" s="12" t="s">
        <v>178</v>
      </c>
      <c r="H219" s="15"/>
      <c r="I219" s="15"/>
      <c r="J219" s="13"/>
      <c r="K219" s="15"/>
      <c r="L219" s="13"/>
      <c r="M219" s="17">
        <v>1</v>
      </c>
      <c r="N219" s="17">
        <v>1</v>
      </c>
      <c r="O219" s="17"/>
      <c r="P219" s="17"/>
      <c r="Q219" s="17"/>
      <c r="R219" s="17"/>
      <c r="S219" s="15"/>
      <c r="T219" s="25">
        <v>45788</v>
      </c>
      <c r="U219" s="13" t="s">
        <v>147</v>
      </c>
      <c r="V219">
        <v>7</v>
      </c>
      <c r="AA219" s="49" t="s">
        <v>86</v>
      </c>
      <c r="AB219" s="50" t="s">
        <v>45</v>
      </c>
    </row>
    <row r="220" spans="1:28" x14ac:dyDescent="0.4">
      <c r="A220" s="147"/>
      <c r="B220" s="150"/>
      <c r="C220" s="85" t="s">
        <v>330</v>
      </c>
      <c r="D220" s="106" t="s">
        <v>189</v>
      </c>
      <c r="E220" s="106" t="s">
        <v>75</v>
      </c>
      <c r="F220" s="16"/>
      <c r="G220" s="12" t="s">
        <v>178</v>
      </c>
      <c r="H220" s="15"/>
      <c r="I220" s="15"/>
      <c r="J220" s="13"/>
      <c r="K220" s="15"/>
      <c r="L220" s="13"/>
      <c r="M220" s="17"/>
      <c r="N220" s="17"/>
      <c r="O220" s="17"/>
      <c r="P220" s="17"/>
      <c r="Q220" s="17"/>
      <c r="R220" s="17"/>
      <c r="S220" s="15"/>
      <c r="T220" s="25">
        <v>45788</v>
      </c>
      <c r="U220" s="13" t="s">
        <v>147</v>
      </c>
      <c r="V220">
        <v>8</v>
      </c>
      <c r="AA220" s="49" t="s">
        <v>87</v>
      </c>
      <c r="AB220" s="50" t="s">
        <v>37</v>
      </c>
    </row>
    <row r="221" spans="1:28" x14ac:dyDescent="0.4">
      <c r="A221" s="147"/>
      <c r="B221" s="150"/>
      <c r="C221" s="85" t="s">
        <v>331</v>
      </c>
      <c r="D221" s="106" t="s">
        <v>188</v>
      </c>
      <c r="E221" s="106" t="s">
        <v>37</v>
      </c>
      <c r="F221" s="16"/>
      <c r="G221" s="12" t="s">
        <v>178</v>
      </c>
      <c r="H221" s="15"/>
      <c r="I221" s="15"/>
      <c r="J221" s="13">
        <v>1</v>
      </c>
      <c r="K221" s="15">
        <v>1</v>
      </c>
      <c r="L221" s="13"/>
      <c r="M221" s="17"/>
      <c r="N221" s="17"/>
      <c r="O221" s="17"/>
      <c r="P221" s="17"/>
      <c r="Q221" s="17"/>
      <c r="R221" s="17"/>
      <c r="S221" s="15"/>
      <c r="T221" s="25">
        <v>45775</v>
      </c>
      <c r="U221" s="13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7"/>
      <c r="B222" s="150"/>
      <c r="C222" s="85" t="s">
        <v>332</v>
      </c>
      <c r="D222" s="106" t="s">
        <v>188</v>
      </c>
      <c r="E222" s="106" t="s">
        <v>38</v>
      </c>
      <c r="F222" s="106"/>
      <c r="G222" s="12" t="s">
        <v>178</v>
      </c>
      <c r="H222" s="15"/>
      <c r="I222" s="15"/>
      <c r="J222" s="13">
        <v>1</v>
      </c>
      <c r="K222" s="15"/>
      <c r="L222" s="13"/>
      <c r="M222" s="17"/>
      <c r="N222" s="17"/>
      <c r="O222" s="17"/>
      <c r="P222" s="17"/>
      <c r="Q222" s="17"/>
      <c r="R222" s="17"/>
      <c r="S222" s="15"/>
      <c r="T222" s="25">
        <v>45775</v>
      </c>
      <c r="U222" s="13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47"/>
      <c r="B223" s="150"/>
      <c r="C223" s="85" t="s">
        <v>333</v>
      </c>
      <c r="D223" s="106" t="s">
        <v>188</v>
      </c>
      <c r="E223" s="106" t="s">
        <v>40</v>
      </c>
      <c r="F223" s="16"/>
      <c r="G223" s="12" t="s">
        <v>178</v>
      </c>
      <c r="H223" s="15"/>
      <c r="I223" s="15"/>
      <c r="J223" s="15"/>
      <c r="K223" s="15"/>
      <c r="L223" s="17"/>
      <c r="M223" s="17"/>
      <c r="N223" s="17"/>
      <c r="O223" s="17">
        <v>1</v>
      </c>
      <c r="P223" s="17">
        <v>1</v>
      </c>
      <c r="Q223" s="17"/>
      <c r="R223" s="17"/>
      <c r="S223" s="15"/>
      <c r="T223" s="25">
        <v>45775</v>
      </c>
      <c r="U223" s="13" t="s">
        <v>148</v>
      </c>
      <c r="V223">
        <v>11</v>
      </c>
      <c r="AA223" s="49" t="s">
        <v>90</v>
      </c>
      <c r="AB223" s="50" t="s">
        <v>58</v>
      </c>
    </row>
    <row r="224" spans="1:28" x14ac:dyDescent="0.4">
      <c r="A224" s="147"/>
      <c r="B224" s="150"/>
      <c r="C224" s="85" t="s">
        <v>334</v>
      </c>
      <c r="D224" s="106" t="s">
        <v>188</v>
      </c>
      <c r="E224" s="106" t="s">
        <v>40</v>
      </c>
      <c r="F224" s="16"/>
      <c r="G224" s="12" t="s">
        <v>178</v>
      </c>
      <c r="H224" s="15"/>
      <c r="I224" s="15"/>
      <c r="J224" s="15"/>
      <c r="K224" s="15"/>
      <c r="L224" s="17"/>
      <c r="M224" s="17"/>
      <c r="N224" s="17"/>
      <c r="O224" s="17">
        <v>1</v>
      </c>
      <c r="P224" s="17">
        <v>1</v>
      </c>
      <c r="Q224" s="17"/>
      <c r="R224" s="17"/>
      <c r="S224" s="15"/>
      <c r="T224" s="25">
        <v>45775</v>
      </c>
      <c r="U224" s="13" t="s">
        <v>148</v>
      </c>
      <c r="V224">
        <v>12</v>
      </c>
      <c r="AA224" s="49" t="s">
        <v>91</v>
      </c>
      <c r="AB224" s="50" t="s">
        <v>75</v>
      </c>
    </row>
    <row r="225" spans="1:28" x14ac:dyDescent="0.4">
      <c r="A225" s="147"/>
      <c r="B225" s="150"/>
      <c r="C225" s="85" t="s">
        <v>335</v>
      </c>
      <c r="D225" s="106" t="s">
        <v>188</v>
      </c>
      <c r="E225" s="106" t="s">
        <v>38</v>
      </c>
      <c r="F225" s="16"/>
      <c r="G225" s="12" t="s">
        <v>178</v>
      </c>
      <c r="H225" s="15"/>
      <c r="I225" s="15"/>
      <c r="J225" s="15">
        <v>1</v>
      </c>
      <c r="K225" s="15"/>
      <c r="L225" s="17"/>
      <c r="M225" s="17"/>
      <c r="N225" s="17"/>
      <c r="O225" s="17"/>
      <c r="P225" s="17"/>
      <c r="Q225" s="17"/>
      <c r="R225" s="17"/>
      <c r="S225" s="15"/>
      <c r="T225" s="25">
        <v>45775</v>
      </c>
      <c r="U225" s="13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47"/>
      <c r="B226" s="150"/>
      <c r="C226" s="85" t="s">
        <v>336</v>
      </c>
      <c r="D226" s="106" t="s">
        <v>188</v>
      </c>
      <c r="E226" s="106" t="s">
        <v>44</v>
      </c>
      <c r="F226" s="16"/>
      <c r="G226" s="12" t="s">
        <v>178</v>
      </c>
      <c r="H226" s="15"/>
      <c r="I226" s="15"/>
      <c r="J226" s="15">
        <v>1</v>
      </c>
      <c r="K226" s="15">
        <v>1</v>
      </c>
      <c r="L226" s="17"/>
      <c r="M226" s="17"/>
      <c r="N226" s="17"/>
      <c r="O226" s="17"/>
      <c r="P226" s="17"/>
      <c r="Q226" s="17"/>
      <c r="R226" s="17"/>
      <c r="S226" s="15"/>
      <c r="T226" s="25">
        <v>45775</v>
      </c>
      <c r="U226" s="13" t="s">
        <v>146</v>
      </c>
      <c r="V226">
        <v>14</v>
      </c>
      <c r="AA226" s="49" t="s">
        <v>93</v>
      </c>
      <c r="AB226" s="50" t="s">
        <v>57</v>
      </c>
    </row>
    <row r="227" spans="1:28" x14ac:dyDescent="0.4">
      <c r="A227" s="147"/>
      <c r="B227" s="150"/>
      <c r="C227" s="85" t="s">
        <v>337</v>
      </c>
      <c r="D227" s="106">
        <v>1183</v>
      </c>
      <c r="E227" s="106" t="s">
        <v>75</v>
      </c>
      <c r="F227" s="16"/>
      <c r="G227" s="12" t="s">
        <v>178</v>
      </c>
      <c r="H227" s="15" t="s">
        <v>147</v>
      </c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>
        <v>45797</v>
      </c>
      <c r="U227" s="13" t="s">
        <v>147</v>
      </c>
      <c r="V227">
        <v>15</v>
      </c>
      <c r="AA227" s="49" t="s">
        <v>94</v>
      </c>
      <c r="AB227" s="50" t="s">
        <v>41</v>
      </c>
    </row>
    <row r="228" spans="1:28" x14ac:dyDescent="0.4">
      <c r="A228" s="147"/>
      <c r="B228" s="150"/>
      <c r="C228" s="85" t="s">
        <v>338</v>
      </c>
      <c r="D228" s="106">
        <v>1183</v>
      </c>
      <c r="E228" s="106" t="s">
        <v>37</v>
      </c>
      <c r="F228" s="16"/>
      <c r="G228" s="12" t="s">
        <v>178</v>
      </c>
      <c r="H228" s="15"/>
      <c r="I228" s="15"/>
      <c r="J228" s="18"/>
      <c r="K228" s="15"/>
      <c r="L228" s="19"/>
      <c r="M228" s="19">
        <v>1</v>
      </c>
      <c r="N228" s="19">
        <v>1</v>
      </c>
      <c r="O228" s="19"/>
      <c r="P228" s="19"/>
      <c r="Q228" s="19">
        <v>1</v>
      </c>
      <c r="R228" s="19"/>
      <c r="S228" s="15"/>
      <c r="T228" s="25">
        <v>45797</v>
      </c>
      <c r="U228" s="13" t="s">
        <v>147</v>
      </c>
      <c r="V228">
        <v>16</v>
      </c>
      <c r="AA228" s="49" t="s">
        <v>95</v>
      </c>
      <c r="AB228" s="50" t="s">
        <v>42</v>
      </c>
    </row>
    <row r="229" spans="1:28" x14ac:dyDescent="0.4">
      <c r="A229" s="147"/>
      <c r="B229" s="150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7"/>
      <c r="B230" s="150"/>
      <c r="C230" s="85"/>
      <c r="D230" s="110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7"/>
      <c r="B231" s="150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7"/>
      <c r="B232" s="150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7"/>
      <c r="B233" s="150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7"/>
      <c r="B234" s="150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17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7"/>
      <c r="B235" s="150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20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7"/>
      <c r="B236" s="150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17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8"/>
      <c r="B237" s="151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16</v>
      </c>
      <c r="D238" s="112"/>
      <c r="E238" s="29"/>
      <c r="F238" s="29" t="s">
        <v>34</v>
      </c>
      <c r="G238" s="29">
        <f>COUNTIF(G213:G237,"S")</f>
        <v>16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6</v>
      </c>
      <c r="K238" s="29">
        <f t="shared" ref="K238" si="44">SUM(K213:K237)</f>
        <v>4</v>
      </c>
      <c r="L238" s="29">
        <f t="shared" ref="L238" si="45">SUM(L213:L237)</f>
        <v>0</v>
      </c>
      <c r="M238" s="29">
        <f t="shared" ref="M238" si="46">SUM(M213:M237)</f>
        <v>3</v>
      </c>
      <c r="N238" s="29">
        <f t="shared" ref="N238" si="47">SUM(N213:N237)</f>
        <v>3</v>
      </c>
      <c r="O238" s="29">
        <f t="shared" ref="O238" si="48">SUM(O213:O237)</f>
        <v>4</v>
      </c>
      <c r="P238" s="29">
        <f t="shared" ref="P238" si="49">SUM(P213:P237)</f>
        <v>2</v>
      </c>
      <c r="Q238" s="29">
        <f t="shared" ref="Q238" si="50">SUM(Q213:Q237)</f>
        <v>2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1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24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AYG105</v>
      </c>
      <c r="B241" s="24">
        <f>B1</f>
        <v>45750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6" t="s">
        <v>112</v>
      </c>
      <c r="Y242" s="156"/>
    </row>
    <row r="243" spans="1:28" ht="20.25" thickTop="1" thickBot="1" x14ac:dyDescent="0.45">
      <c r="A243" s="146">
        <v>9</v>
      </c>
      <c r="B243" s="149">
        <v>23.4</v>
      </c>
      <c r="C243" s="85" t="s">
        <v>339</v>
      </c>
      <c r="D243" s="109" t="s">
        <v>182</v>
      </c>
      <c r="E243" s="13" t="s">
        <v>40</v>
      </c>
      <c r="F243" s="14"/>
      <c r="G243" s="12" t="s">
        <v>178</v>
      </c>
      <c r="H243" s="13"/>
      <c r="I243" s="13"/>
      <c r="J243" s="13"/>
      <c r="K243" s="13"/>
      <c r="L243" s="13"/>
      <c r="M243" s="13"/>
      <c r="N243" s="13"/>
      <c r="O243" s="13">
        <v>1</v>
      </c>
      <c r="P243" s="13">
        <v>1</v>
      </c>
      <c r="Q243" s="13">
        <v>1</v>
      </c>
      <c r="R243" s="13"/>
      <c r="S243" s="13"/>
      <c r="T243" s="26">
        <v>45793</v>
      </c>
      <c r="U243" s="13" t="s">
        <v>148</v>
      </c>
      <c r="V243">
        <v>1</v>
      </c>
      <c r="X243" t="s">
        <v>106</v>
      </c>
      <c r="Y243">
        <f>COUNTIF(U243:U267,"K")</f>
        <v>7</v>
      </c>
      <c r="AA243" s="59" t="s">
        <v>120</v>
      </c>
      <c r="AB243" s="60" t="s">
        <v>121</v>
      </c>
    </row>
    <row r="244" spans="1:28" x14ac:dyDescent="0.4">
      <c r="A244" s="147"/>
      <c r="B244" s="150"/>
      <c r="C244" s="85" t="s">
        <v>340</v>
      </c>
      <c r="D244" s="109" t="s">
        <v>179</v>
      </c>
      <c r="E244" s="13" t="s">
        <v>38</v>
      </c>
      <c r="F244" s="16"/>
      <c r="G244" s="12" t="s">
        <v>178</v>
      </c>
      <c r="H244" s="15"/>
      <c r="I244" s="15"/>
      <c r="J244" s="15">
        <v>1</v>
      </c>
      <c r="K244" s="15"/>
      <c r="L244" s="17"/>
      <c r="M244" s="17"/>
      <c r="N244" s="17"/>
      <c r="O244" s="17"/>
      <c r="P244" s="17"/>
      <c r="Q244" s="17"/>
      <c r="R244" s="17"/>
      <c r="S244" s="15"/>
      <c r="T244" s="26">
        <v>45770</v>
      </c>
      <c r="U244" s="13" t="s">
        <v>146</v>
      </c>
      <c r="V244">
        <v>2</v>
      </c>
      <c r="X244" t="s">
        <v>107</v>
      </c>
      <c r="Y244">
        <f>COUNTIF(U243:U267,"R")</f>
        <v>4</v>
      </c>
      <c r="AA244" s="47" t="s">
        <v>81</v>
      </c>
      <c r="AB244" s="48" t="s">
        <v>60</v>
      </c>
    </row>
    <row r="245" spans="1:28" x14ac:dyDescent="0.4">
      <c r="A245" s="147"/>
      <c r="B245" s="150"/>
      <c r="C245" s="85" t="s">
        <v>341</v>
      </c>
      <c r="D245" s="109" t="s">
        <v>187</v>
      </c>
      <c r="E245" s="13" t="s">
        <v>38</v>
      </c>
      <c r="F245" s="16"/>
      <c r="G245" s="12" t="s">
        <v>178</v>
      </c>
      <c r="H245" s="15"/>
      <c r="I245" s="15"/>
      <c r="J245" s="15">
        <v>1</v>
      </c>
      <c r="K245" s="15">
        <v>1</v>
      </c>
      <c r="L245" s="17"/>
      <c r="M245" s="17"/>
      <c r="N245" s="17"/>
      <c r="O245" s="17"/>
      <c r="P245" s="17"/>
      <c r="Q245" s="17"/>
      <c r="R245" s="17"/>
      <c r="S245" s="15"/>
      <c r="T245" s="26">
        <v>45789</v>
      </c>
      <c r="U245" s="13" t="s">
        <v>146</v>
      </c>
      <c r="V245">
        <v>3</v>
      </c>
      <c r="X245" t="s">
        <v>108</v>
      </c>
      <c r="Y245">
        <f>COUNTIF(U243:U267,"J")</f>
        <v>2</v>
      </c>
      <c r="AA245" s="49" t="s">
        <v>82</v>
      </c>
      <c r="AB245" s="50" t="s">
        <v>39</v>
      </c>
    </row>
    <row r="246" spans="1:28" x14ac:dyDescent="0.4">
      <c r="A246" s="147"/>
      <c r="B246" s="150"/>
      <c r="C246" s="85" t="s">
        <v>342</v>
      </c>
      <c r="D246" s="109" t="s">
        <v>187</v>
      </c>
      <c r="E246" s="13" t="s">
        <v>58</v>
      </c>
      <c r="F246" s="16"/>
      <c r="G246" s="12" t="s">
        <v>178</v>
      </c>
      <c r="H246" s="15"/>
      <c r="I246" s="15"/>
      <c r="J246" s="15"/>
      <c r="K246" s="15"/>
      <c r="L246" s="17"/>
      <c r="M246" s="17"/>
      <c r="N246" s="17"/>
      <c r="O246" s="17"/>
      <c r="P246" s="17"/>
      <c r="Q246" s="17"/>
      <c r="R246" s="17"/>
      <c r="S246" s="15">
        <v>1</v>
      </c>
      <c r="T246" s="26">
        <v>45785</v>
      </c>
      <c r="U246" s="13" t="s">
        <v>146</v>
      </c>
      <c r="V246">
        <v>4</v>
      </c>
      <c r="AA246" s="49" t="s">
        <v>83</v>
      </c>
      <c r="AB246" s="50" t="s">
        <v>38</v>
      </c>
    </row>
    <row r="247" spans="1:28" x14ac:dyDescent="0.4">
      <c r="A247" s="147"/>
      <c r="B247" s="150"/>
      <c r="C247" s="85" t="s">
        <v>343</v>
      </c>
      <c r="D247" s="109" t="s">
        <v>187</v>
      </c>
      <c r="E247" s="13" t="s">
        <v>74</v>
      </c>
      <c r="F247" s="16"/>
      <c r="G247" s="12" t="s">
        <v>178</v>
      </c>
      <c r="H247" s="15"/>
      <c r="I247" s="15"/>
      <c r="J247" s="15">
        <v>1</v>
      </c>
      <c r="K247" s="15">
        <v>1</v>
      </c>
      <c r="L247" s="17"/>
      <c r="M247" s="17"/>
      <c r="N247" s="17"/>
      <c r="O247" s="17"/>
      <c r="P247" s="17"/>
      <c r="Q247" s="17"/>
      <c r="R247" s="17"/>
      <c r="S247" s="15"/>
      <c r="T247" s="26">
        <v>45785</v>
      </c>
      <c r="U247" s="13" t="s">
        <v>146</v>
      </c>
      <c r="V247">
        <v>5</v>
      </c>
      <c r="AA247" s="49" t="s">
        <v>84</v>
      </c>
      <c r="AB247" s="50" t="s">
        <v>44</v>
      </c>
    </row>
    <row r="248" spans="1:28" x14ac:dyDescent="0.4">
      <c r="A248" s="147"/>
      <c r="B248" s="150"/>
      <c r="C248" s="85" t="s">
        <v>344</v>
      </c>
      <c r="D248" s="109" t="s">
        <v>182</v>
      </c>
      <c r="E248" s="13" t="s">
        <v>37</v>
      </c>
      <c r="F248" s="16"/>
      <c r="G248" s="12" t="s">
        <v>178</v>
      </c>
      <c r="H248" s="13"/>
      <c r="I248" s="15"/>
      <c r="J248" s="15"/>
      <c r="K248" s="15"/>
      <c r="L248" s="17"/>
      <c r="M248" s="17"/>
      <c r="N248" s="17">
        <v>1</v>
      </c>
      <c r="O248" s="17"/>
      <c r="P248" s="17"/>
      <c r="Q248" s="17"/>
      <c r="R248" s="17"/>
      <c r="S248" s="15">
        <v>1</v>
      </c>
      <c r="T248" s="26">
        <v>45829</v>
      </c>
      <c r="U248" s="13" t="s">
        <v>147</v>
      </c>
      <c r="V248">
        <v>6</v>
      </c>
      <c r="AA248" s="49" t="s">
        <v>85</v>
      </c>
      <c r="AB248" s="50" t="s">
        <v>43</v>
      </c>
    </row>
    <row r="249" spans="1:28" x14ac:dyDescent="0.4">
      <c r="A249" s="147"/>
      <c r="B249" s="150"/>
      <c r="C249" s="85" t="s">
        <v>345</v>
      </c>
      <c r="D249" s="109" t="s">
        <v>182</v>
      </c>
      <c r="E249" s="13" t="s">
        <v>37</v>
      </c>
      <c r="F249" s="16"/>
      <c r="G249" s="12" t="s">
        <v>178</v>
      </c>
      <c r="H249" s="15"/>
      <c r="I249" s="15"/>
      <c r="J249" s="15"/>
      <c r="K249" s="15"/>
      <c r="L249" s="17"/>
      <c r="M249" s="17">
        <v>1</v>
      </c>
      <c r="N249" s="17">
        <v>1</v>
      </c>
      <c r="O249" s="17"/>
      <c r="P249" s="17"/>
      <c r="Q249" s="17"/>
      <c r="R249" s="17"/>
      <c r="S249" s="15"/>
      <c r="T249" s="26">
        <v>45829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47"/>
      <c r="B250" s="150"/>
      <c r="C250" s="85" t="s">
        <v>346</v>
      </c>
      <c r="D250" s="109" t="s">
        <v>179</v>
      </c>
      <c r="E250" s="13" t="s">
        <v>37</v>
      </c>
      <c r="F250" s="16"/>
      <c r="G250" s="12" t="s">
        <v>178</v>
      </c>
      <c r="H250" s="15"/>
      <c r="I250" s="15"/>
      <c r="J250" s="15"/>
      <c r="K250" s="15"/>
      <c r="L250" s="17"/>
      <c r="M250" s="17">
        <v>1</v>
      </c>
      <c r="N250" s="17">
        <v>1</v>
      </c>
      <c r="O250" s="17"/>
      <c r="P250" s="17"/>
      <c r="Q250" s="17">
        <v>1</v>
      </c>
      <c r="R250" s="17"/>
      <c r="S250" s="15"/>
      <c r="T250" s="26">
        <v>45795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47"/>
      <c r="B251" s="150"/>
      <c r="C251" s="85" t="s">
        <v>347</v>
      </c>
      <c r="D251" s="109" t="s">
        <v>196</v>
      </c>
      <c r="E251" s="13" t="s">
        <v>57</v>
      </c>
      <c r="F251" s="16"/>
      <c r="G251" s="12" t="s">
        <v>266</v>
      </c>
      <c r="H251" s="15"/>
      <c r="I251" s="15"/>
      <c r="J251" s="15"/>
      <c r="K251" s="15"/>
      <c r="L251" s="17"/>
      <c r="M251" s="17"/>
      <c r="N251" s="17"/>
      <c r="O251" s="17"/>
      <c r="P251" s="17"/>
      <c r="Q251" s="17"/>
      <c r="R251" s="17"/>
      <c r="S251" s="15"/>
      <c r="T251" s="26">
        <v>45789</v>
      </c>
      <c r="U251" s="13" t="s">
        <v>147</v>
      </c>
      <c r="V251">
        <v>9</v>
      </c>
      <c r="AA251" s="49" t="s">
        <v>88</v>
      </c>
      <c r="AB251" s="50" t="s">
        <v>74</v>
      </c>
    </row>
    <row r="252" spans="1:28" x14ac:dyDescent="0.4">
      <c r="A252" s="147"/>
      <c r="B252" s="150"/>
      <c r="C252" s="85" t="s">
        <v>348</v>
      </c>
      <c r="D252" s="109" t="s">
        <v>181</v>
      </c>
      <c r="E252" s="13" t="s">
        <v>39</v>
      </c>
      <c r="F252" s="16"/>
      <c r="G252" s="12" t="s">
        <v>178</v>
      </c>
      <c r="H252" s="15"/>
      <c r="I252" s="15"/>
      <c r="J252" s="15">
        <v>1</v>
      </c>
      <c r="K252" s="15"/>
      <c r="L252" s="17">
        <v>1</v>
      </c>
      <c r="M252" s="17"/>
      <c r="N252" s="17"/>
      <c r="O252" s="17"/>
      <c r="P252" s="17"/>
      <c r="Q252" s="17"/>
      <c r="R252" s="17"/>
      <c r="S252" s="15"/>
      <c r="T252" s="26">
        <v>45793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47"/>
      <c r="B253" s="150"/>
      <c r="C253" s="85" t="s">
        <v>349</v>
      </c>
      <c r="D253" s="109" t="s">
        <v>181</v>
      </c>
      <c r="E253" s="13" t="s">
        <v>39</v>
      </c>
      <c r="F253" s="16"/>
      <c r="G253" s="12" t="s">
        <v>178</v>
      </c>
      <c r="H253" s="15"/>
      <c r="I253" s="15"/>
      <c r="J253" s="15">
        <v>1</v>
      </c>
      <c r="K253" s="15"/>
      <c r="L253" s="17">
        <v>1</v>
      </c>
      <c r="M253" s="17"/>
      <c r="N253" s="17"/>
      <c r="O253" s="17"/>
      <c r="P253" s="17"/>
      <c r="Q253" s="17"/>
      <c r="R253" s="17"/>
      <c r="S253" s="15"/>
      <c r="T253" s="26">
        <v>45793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47"/>
      <c r="B254" s="150"/>
      <c r="C254" s="85" t="s">
        <v>350</v>
      </c>
      <c r="D254" s="109" t="s">
        <v>202</v>
      </c>
      <c r="E254" s="13" t="s">
        <v>38</v>
      </c>
      <c r="F254" s="16"/>
      <c r="G254" s="12" t="s">
        <v>178</v>
      </c>
      <c r="H254" s="15"/>
      <c r="I254" s="15"/>
      <c r="J254" s="15">
        <v>1</v>
      </c>
      <c r="K254" s="15"/>
      <c r="L254" s="17"/>
      <c r="M254" s="17"/>
      <c r="N254" s="17"/>
      <c r="O254" s="17"/>
      <c r="P254" s="17"/>
      <c r="Q254" s="17"/>
      <c r="R254" s="17"/>
      <c r="S254" s="15"/>
      <c r="T254" s="26">
        <v>45791</v>
      </c>
      <c r="U254" s="13" t="s">
        <v>146</v>
      </c>
      <c r="V254">
        <v>12</v>
      </c>
      <c r="AA254" s="49" t="s">
        <v>91</v>
      </c>
      <c r="AB254" s="50" t="s">
        <v>75</v>
      </c>
    </row>
    <row r="255" spans="1:28" x14ac:dyDescent="0.4">
      <c r="A255" s="147"/>
      <c r="B255" s="150"/>
      <c r="C255" s="85" t="s">
        <v>351</v>
      </c>
      <c r="D255" s="109" t="s">
        <v>202</v>
      </c>
      <c r="E255" s="13" t="s">
        <v>40</v>
      </c>
      <c r="F255" s="16"/>
      <c r="G255" s="12" t="s">
        <v>178</v>
      </c>
      <c r="H255" s="15"/>
      <c r="I255" s="15"/>
      <c r="J255" s="15">
        <v>1</v>
      </c>
      <c r="K255" s="15"/>
      <c r="L255" s="17"/>
      <c r="M255" s="17"/>
      <c r="N255" s="17"/>
      <c r="O255" s="17">
        <v>1</v>
      </c>
      <c r="P255" s="17"/>
      <c r="Q255" s="17"/>
      <c r="R255" s="17"/>
      <c r="S255" s="15"/>
      <c r="T255" s="26">
        <v>45791</v>
      </c>
      <c r="U255" s="13" t="s">
        <v>148</v>
      </c>
      <c r="V255">
        <v>13</v>
      </c>
      <c r="AA255" s="49" t="s">
        <v>92</v>
      </c>
      <c r="AB255" s="50" t="s">
        <v>40</v>
      </c>
    </row>
    <row r="256" spans="1:28" x14ac:dyDescent="0.4">
      <c r="A256" s="147"/>
      <c r="B256" s="150"/>
      <c r="C256" s="85"/>
      <c r="D256" s="109"/>
      <c r="E256" s="13"/>
      <c r="F256" s="16"/>
      <c r="G256" s="15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6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7"/>
      <c r="B257" s="150"/>
      <c r="C257" s="85"/>
      <c r="D257" s="109"/>
      <c r="E257" s="13"/>
      <c r="F257" s="16"/>
      <c r="G257" s="15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6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7"/>
      <c r="B258" s="150"/>
      <c r="C258" s="85"/>
      <c r="D258" s="109"/>
      <c r="E258" s="15"/>
      <c r="F258" s="16"/>
      <c r="G258" s="15"/>
      <c r="H258" s="15"/>
      <c r="I258" s="15"/>
      <c r="J258" s="15"/>
      <c r="K258" s="15"/>
      <c r="L258" s="19"/>
      <c r="M258" s="19"/>
      <c r="N258" s="19"/>
      <c r="O258" s="19"/>
      <c r="P258" s="19"/>
      <c r="Q258" s="19"/>
      <c r="R258" s="19"/>
      <c r="S258" s="15"/>
      <c r="T258" s="26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7"/>
      <c r="B259" s="150"/>
      <c r="C259" s="85"/>
      <c r="D259" s="110"/>
      <c r="E259" s="18"/>
      <c r="F259" s="16"/>
      <c r="G259" s="18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6"/>
      <c r="U259" s="15"/>
      <c r="V259">
        <v>17</v>
      </c>
      <c r="AA259" s="49" t="s">
        <v>96</v>
      </c>
      <c r="AB259" s="50" t="s">
        <v>61</v>
      </c>
    </row>
    <row r="260" spans="1:28" x14ac:dyDescent="0.4">
      <c r="A260" s="147"/>
      <c r="B260" s="150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7"/>
      <c r="B261" s="150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7"/>
      <c r="B262" s="150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26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7"/>
      <c r="B263" s="150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26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7"/>
      <c r="B264" s="150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7"/>
      <c r="B265" s="150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7"/>
      <c r="B266" s="150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8"/>
      <c r="B267" s="151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13</v>
      </c>
      <c r="D268" s="112"/>
      <c r="E268" s="29"/>
      <c r="F268" s="29" t="s">
        <v>34</v>
      </c>
      <c r="G268" s="29">
        <f>COUNTIF(G243:G267,"S")</f>
        <v>12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7</v>
      </c>
      <c r="K268" s="29">
        <f t="shared" ref="K268" si="54">SUM(K243:K267)</f>
        <v>2</v>
      </c>
      <c r="L268" s="29">
        <f t="shared" ref="L268" si="55">SUM(L243:L267)</f>
        <v>2</v>
      </c>
      <c r="M268" s="29">
        <f t="shared" ref="M268" si="56">SUM(M243:M267)</f>
        <v>2</v>
      </c>
      <c r="N268" s="29">
        <f t="shared" ref="N268" si="57">SUM(N243:N267)</f>
        <v>3</v>
      </c>
      <c r="O268" s="29">
        <f t="shared" ref="O268" si="58">SUM(O243:O267)</f>
        <v>2</v>
      </c>
      <c r="P268" s="29">
        <f t="shared" ref="P268" si="59">SUM(P243:P267)</f>
        <v>1</v>
      </c>
      <c r="Q268" s="29">
        <f t="shared" ref="Q268" si="60">SUM(Q243:Q267)</f>
        <v>2</v>
      </c>
      <c r="R268" s="29">
        <f t="shared" ref="R268" si="61">SUM(R243:R267)</f>
        <v>0</v>
      </c>
      <c r="S268" s="29">
        <f t="shared" ref="S268" si="62">SUM(S243:S267)</f>
        <v>2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23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AYG105</v>
      </c>
      <c r="B271" s="24">
        <f>B1</f>
        <v>45750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39" t="s">
        <v>111</v>
      </c>
      <c r="Y272" s="145"/>
    </row>
    <row r="273" spans="1:28" ht="20.25" thickTop="1" thickBot="1" x14ac:dyDescent="0.45">
      <c r="A273" s="146">
        <v>10</v>
      </c>
      <c r="B273" s="149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47"/>
      <c r="B274" s="150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7"/>
      <c r="B275" s="150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7"/>
      <c r="B276" s="150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47"/>
      <c r="B277" s="150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47"/>
      <c r="B278" s="150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47"/>
      <c r="B279" s="150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47"/>
      <c r="B280" s="150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47"/>
      <c r="B281" s="150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7"/>
      <c r="B282" s="150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7"/>
      <c r="B283" s="150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7"/>
      <c r="B284" s="150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7"/>
      <c r="B285" s="150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7"/>
      <c r="B286" s="150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5"/>
      <c r="V286">
        <v>14</v>
      </c>
      <c r="AA286" s="49" t="s">
        <v>93</v>
      </c>
      <c r="AB286" s="50" t="s">
        <v>57</v>
      </c>
    </row>
    <row r="287" spans="1:28" x14ac:dyDescent="0.4">
      <c r="A287" s="147"/>
      <c r="B287" s="150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7"/>
      <c r="B288" s="150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7"/>
      <c r="B289" s="150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7"/>
      <c r="B290" s="150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7"/>
      <c r="B291" s="150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7"/>
      <c r="B292" s="150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7"/>
      <c r="B293" s="150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7"/>
      <c r="B294" s="150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7"/>
      <c r="B295" s="150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7"/>
      <c r="B296" s="150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8"/>
      <c r="B297" s="151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AYG105</v>
      </c>
      <c r="B301" s="24">
        <f>B1</f>
        <v>45750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39" t="s">
        <v>110</v>
      </c>
      <c r="Y302" s="145"/>
    </row>
    <row r="303" spans="1:28" ht="20.25" thickTop="1" thickBot="1" x14ac:dyDescent="0.45">
      <c r="A303" s="146">
        <v>11</v>
      </c>
      <c r="B303" s="149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7"/>
      <c r="B304" s="150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7"/>
      <c r="B305" s="150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7"/>
      <c r="B306" s="150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7"/>
      <c r="B307" s="150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7"/>
      <c r="B308" s="150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7"/>
      <c r="B309" s="150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7"/>
      <c r="B310" s="150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7"/>
      <c r="B311" s="150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7"/>
      <c r="B312" s="150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7"/>
      <c r="B313" s="150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7"/>
      <c r="B314" s="150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7"/>
      <c r="B315" s="150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7"/>
      <c r="B316" s="150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7"/>
      <c r="B317" s="150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7"/>
      <c r="B318" s="150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7"/>
      <c r="B319" s="150"/>
      <c r="C319" s="86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7"/>
      <c r="B320" s="150"/>
      <c r="C320" s="86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7"/>
      <c r="B321" s="150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7"/>
      <c r="B322" s="150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7"/>
      <c r="B323" s="150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7"/>
      <c r="B324" s="150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7"/>
      <c r="B325" s="150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7"/>
      <c r="B326" s="150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8"/>
      <c r="B327" s="151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AYG105</v>
      </c>
      <c r="B331" s="24">
        <f>B151</f>
        <v>45750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39" t="s">
        <v>109</v>
      </c>
      <c r="Y332" s="145"/>
    </row>
    <row r="333" spans="1:28" ht="20.25" thickTop="1" thickBot="1" x14ac:dyDescent="0.45">
      <c r="A333" s="146">
        <v>12</v>
      </c>
      <c r="B333" s="149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7"/>
      <c r="B334" s="150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7"/>
      <c r="B335" s="150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7"/>
      <c r="B336" s="150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7"/>
      <c r="B337" s="150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7"/>
      <c r="B338" s="150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7"/>
      <c r="B339" s="150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7"/>
      <c r="B340" s="150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7"/>
      <c r="B341" s="150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7"/>
      <c r="B342" s="150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7"/>
      <c r="B343" s="150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7"/>
      <c r="B344" s="150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7"/>
      <c r="B345" s="150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7"/>
      <c r="B346" s="150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7"/>
      <c r="B347" s="150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7"/>
      <c r="B348" s="150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7"/>
      <c r="B349" s="150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7"/>
      <c r="B350" s="150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7"/>
      <c r="B351" s="150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7"/>
      <c r="B352" s="150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7"/>
      <c r="B353" s="150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7"/>
      <c r="B354" s="150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7"/>
      <c r="B355" s="150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7"/>
      <c r="B356" s="150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8"/>
      <c r="B357" s="151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174</v>
      </c>
      <c r="B361" s="24">
        <v>45372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39" t="s">
        <v>138</v>
      </c>
      <c r="Y362" s="145"/>
    </row>
    <row r="363" spans="1:28" ht="19.5" thickTop="1" x14ac:dyDescent="0.4">
      <c r="A363" s="146">
        <v>13</v>
      </c>
      <c r="B363" s="149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7"/>
      <c r="B364" s="150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7"/>
      <c r="B365" s="150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7"/>
      <c r="B366" s="150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7"/>
      <c r="B367" s="150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7"/>
      <c r="B368" s="150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7"/>
      <c r="B369" s="150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7"/>
      <c r="B370" s="150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7"/>
      <c r="B371" s="150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7"/>
      <c r="B372" s="150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7"/>
      <c r="B373" s="150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7"/>
      <c r="B374" s="150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7"/>
      <c r="B375" s="150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7"/>
      <c r="B376" s="150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7"/>
      <c r="B377" s="150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7"/>
      <c r="B378" s="150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7"/>
      <c r="B379" s="150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7"/>
      <c r="B380" s="150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7"/>
      <c r="B381" s="150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7"/>
      <c r="B382" s="150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7"/>
      <c r="B383" s="150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7"/>
      <c r="B384" s="150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7"/>
      <c r="B385" s="150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7"/>
      <c r="B386" s="150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8"/>
      <c r="B387" s="151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39" t="s">
        <v>139</v>
      </c>
      <c r="Y392" s="145"/>
    </row>
    <row r="393" spans="1:25" ht="19.5" thickTop="1" x14ac:dyDescent="0.4">
      <c r="A393" s="146">
        <v>14</v>
      </c>
      <c r="B393" s="149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7"/>
      <c r="B394" s="150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7"/>
      <c r="B395" s="150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7"/>
      <c r="B396" s="150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7"/>
      <c r="B397" s="150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7"/>
      <c r="B398" s="150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7"/>
      <c r="B399" s="150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7"/>
      <c r="B400" s="150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7"/>
      <c r="B401" s="150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7"/>
      <c r="B402" s="150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7"/>
      <c r="B403" s="150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7"/>
      <c r="B404" s="150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7"/>
      <c r="B405" s="150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7"/>
      <c r="B406" s="150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7"/>
      <c r="B407" s="150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7"/>
      <c r="B408" s="150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7"/>
      <c r="B409" s="150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7"/>
      <c r="B410" s="150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7"/>
      <c r="B411" s="150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7"/>
      <c r="B412" s="150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7"/>
      <c r="B413" s="150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7"/>
      <c r="B414" s="150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7"/>
      <c r="B415" s="150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7"/>
      <c r="B416" s="150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8"/>
      <c r="B417" s="151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39" t="s">
        <v>140</v>
      </c>
      <c r="Y422" s="145"/>
    </row>
    <row r="423" spans="1:25" ht="19.5" thickTop="1" x14ac:dyDescent="0.4">
      <c r="A423" s="146">
        <v>15</v>
      </c>
      <c r="B423" s="149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7"/>
      <c r="B424" s="150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7"/>
      <c r="B425" s="150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7"/>
      <c r="B426" s="150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7"/>
      <c r="B427" s="150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7"/>
      <c r="B428" s="150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7"/>
      <c r="B429" s="150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7"/>
      <c r="B430" s="150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7"/>
      <c r="B431" s="150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7"/>
      <c r="B432" s="150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7"/>
      <c r="B433" s="150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7"/>
      <c r="B434" s="150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7"/>
      <c r="B435" s="150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7"/>
      <c r="B436" s="150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7"/>
      <c r="B437" s="150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7"/>
      <c r="B438" s="150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7"/>
      <c r="B439" s="150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7"/>
      <c r="B440" s="150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7"/>
      <c r="B441" s="150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7"/>
      <c r="B442" s="150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7"/>
      <c r="B443" s="150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7"/>
      <c r="B444" s="150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7"/>
      <c r="B445" s="150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7"/>
      <c r="B446" s="150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8"/>
      <c r="B447" s="151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39" t="s">
        <v>105</v>
      </c>
      <c r="Y451" s="145"/>
    </row>
    <row r="452" spans="1:25" ht="19.5" thickTop="1" x14ac:dyDescent="0.4">
      <c r="A452" s="146">
        <v>16</v>
      </c>
      <c r="B452" s="136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7"/>
      <c r="B453" s="137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7"/>
      <c r="B454" s="137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7"/>
      <c r="B455" s="137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7"/>
      <c r="B456" s="137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7"/>
      <c r="B457" s="137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7"/>
      <c r="B458" s="137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7"/>
      <c r="B459" s="137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7"/>
      <c r="B460" s="137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7"/>
      <c r="B461" s="137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7"/>
      <c r="B462" s="137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7"/>
      <c r="B463" s="137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7"/>
      <c r="B464" s="137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7"/>
      <c r="B465" s="137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7"/>
      <c r="B466" s="137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7"/>
      <c r="B467" s="137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7"/>
      <c r="B468" s="137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7"/>
      <c r="B469" s="137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7"/>
      <c r="B470" s="137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7"/>
      <c r="B471" s="137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7"/>
      <c r="B472" s="137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7"/>
      <c r="B473" s="137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7"/>
      <c r="B474" s="137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7"/>
      <c r="B475" s="137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8"/>
      <c r="B476" s="138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0" t="s">
        <v>47</v>
      </c>
      <c r="C26" s="160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1"/>
      <c r="C27" s="161"/>
      <c r="D27" s="162">
        <f>SUM(D26:F26)</f>
        <v>116</v>
      </c>
      <c r="E27" s="162"/>
      <c r="F27" s="162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D1346"/>
  <sheetViews>
    <sheetView topLeftCell="A5" zoomScaleNormal="100" workbookViewId="0">
      <selection sqref="A1:D31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29" width="16.625" customWidth="1"/>
    <col min="30" max="30" width="11" customWidth="1"/>
    <col min="31" max="31" width="10.5" style="121" customWidth="1"/>
    <col min="32" max="32" width="10.25" style="121" customWidth="1"/>
    <col min="33" max="33" width="10.875" style="121" customWidth="1"/>
    <col min="34" max="47" width="16.625" customWidth="1"/>
    <col min="48" max="48" width="20.5" customWidth="1"/>
    <col min="53" max="53" width="12.375" customWidth="1"/>
    <col min="54" max="54" width="11.25" customWidth="1"/>
    <col min="55" max="55" width="10.5" customWidth="1"/>
    <col min="56" max="56" width="10.25" customWidth="1"/>
  </cols>
  <sheetData>
    <row r="1" spans="1:52" x14ac:dyDescent="0.4">
      <c r="A1" s="120" t="s">
        <v>212</v>
      </c>
      <c r="B1" s="121"/>
      <c r="C1" s="121"/>
      <c r="D1" s="121"/>
      <c r="M1" t="s">
        <v>143</v>
      </c>
      <c r="N1" t="s">
        <v>144</v>
      </c>
      <c r="X1" t="s">
        <v>143</v>
      </c>
      <c r="Y1" t="s">
        <v>144</v>
      </c>
      <c r="AD1" s="120"/>
      <c r="AV1" t="s">
        <v>143</v>
      </c>
      <c r="AW1" t="s">
        <v>144</v>
      </c>
    </row>
    <row r="2" spans="1:52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M2" s="25">
        <v>45763</v>
      </c>
      <c r="N2" s="13" t="s">
        <v>146</v>
      </c>
      <c r="X2" s="25">
        <v>45669</v>
      </c>
      <c r="Y2" s="13" t="s">
        <v>147</v>
      </c>
      <c r="AD2" s="116"/>
      <c r="AE2" s="123"/>
      <c r="AF2" s="123"/>
      <c r="AG2" s="123"/>
      <c r="AL2" s="115"/>
      <c r="AM2" s="115"/>
      <c r="AN2" s="115"/>
      <c r="AO2" s="115"/>
      <c r="AP2" s="115"/>
      <c r="AQ2" s="115"/>
      <c r="AR2" s="115"/>
      <c r="AS2" s="115"/>
      <c r="AT2" s="115"/>
      <c r="AU2" s="115"/>
      <c r="AV2" s="25">
        <v>45258</v>
      </c>
      <c r="AW2" s="13" t="s">
        <v>162</v>
      </c>
      <c r="AZ2" s="114"/>
    </row>
    <row r="3" spans="1:52" ht="20.100000000000001" customHeight="1" x14ac:dyDescent="0.4">
      <c r="A3" s="117">
        <v>45763</v>
      </c>
      <c r="B3" s="123">
        <v>3</v>
      </c>
      <c r="C3" s="123">
        <v>1</v>
      </c>
      <c r="D3" s="123"/>
      <c r="K3" s="115"/>
      <c r="L3" s="115"/>
      <c r="M3" s="25">
        <v>45763</v>
      </c>
      <c r="N3" s="13" t="s">
        <v>146</v>
      </c>
      <c r="X3" s="25"/>
      <c r="Y3" s="13"/>
      <c r="AD3" s="116"/>
      <c r="AE3" s="123"/>
      <c r="AF3" s="123"/>
      <c r="AG3" s="123"/>
      <c r="AL3" s="115"/>
      <c r="AM3" s="115"/>
      <c r="AN3" s="115"/>
      <c r="AO3" s="115"/>
      <c r="AP3" s="115"/>
      <c r="AQ3" s="115"/>
      <c r="AR3" s="115"/>
      <c r="AS3" s="115"/>
      <c r="AT3" s="115"/>
      <c r="AU3" s="115"/>
      <c r="AV3" s="25"/>
      <c r="AW3" s="13"/>
      <c r="AZ3" s="114"/>
    </row>
    <row r="4" spans="1:52" ht="20.100000000000001" customHeight="1" x14ac:dyDescent="0.4">
      <c r="A4" s="117">
        <v>45767</v>
      </c>
      <c r="B4" s="123"/>
      <c r="C4" s="123">
        <v>1</v>
      </c>
      <c r="D4" s="123"/>
      <c r="J4" s="115"/>
      <c r="K4" s="115"/>
      <c r="L4" s="115"/>
      <c r="M4" s="25">
        <v>45763</v>
      </c>
      <c r="N4" s="13" t="s">
        <v>147</v>
      </c>
      <c r="X4" s="25"/>
      <c r="Y4" s="13"/>
      <c r="AD4" s="116"/>
      <c r="AE4" s="123"/>
      <c r="AF4" s="123"/>
      <c r="AG4" s="123"/>
      <c r="AL4" s="115"/>
      <c r="AM4" s="115"/>
      <c r="AN4" s="115"/>
      <c r="AO4" s="115"/>
      <c r="AP4" s="115"/>
      <c r="AQ4" s="115"/>
      <c r="AR4" s="115"/>
      <c r="AS4" s="115"/>
      <c r="AT4" s="115"/>
      <c r="AU4" s="115"/>
      <c r="AV4" s="25"/>
      <c r="AW4" s="13"/>
      <c r="AZ4" s="114"/>
    </row>
    <row r="5" spans="1:52" ht="20.100000000000001" customHeight="1" x14ac:dyDescent="0.4">
      <c r="A5" s="117">
        <v>45768</v>
      </c>
      <c r="B5" s="123">
        <v>1</v>
      </c>
      <c r="C5" s="123"/>
      <c r="D5" s="123"/>
      <c r="M5" s="25">
        <v>45763</v>
      </c>
      <c r="N5" s="13" t="s">
        <v>146</v>
      </c>
      <c r="X5" s="25"/>
      <c r="Y5" s="13"/>
      <c r="AD5" s="116"/>
      <c r="AE5" s="123"/>
      <c r="AF5" s="123"/>
      <c r="AG5" s="123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25"/>
      <c r="AW5" s="13"/>
      <c r="AZ5" s="114"/>
    </row>
    <row r="6" spans="1:52" ht="20.100000000000001" customHeight="1" x14ac:dyDescent="0.4">
      <c r="A6" s="117">
        <v>45769</v>
      </c>
      <c r="B6" s="123">
        <v>1</v>
      </c>
      <c r="C6" s="123">
        <v>1</v>
      </c>
      <c r="D6" s="123"/>
      <c r="L6" s="115" t="s">
        <v>197</v>
      </c>
      <c r="M6" s="13">
        <f>SUBTOTAL(3,M2:M5)</f>
        <v>4</v>
      </c>
      <c r="N6" s="13">
        <f>SUBTOTAL(3,N2:N5)</f>
        <v>4</v>
      </c>
      <c r="X6" s="25"/>
      <c r="Y6" s="13"/>
      <c r="AD6" s="116"/>
      <c r="AE6" s="123"/>
      <c r="AF6" s="123"/>
      <c r="AG6" s="123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25"/>
      <c r="AW6" s="13"/>
      <c r="AZ6" s="114"/>
    </row>
    <row r="7" spans="1:52" ht="20.100000000000001" customHeight="1" x14ac:dyDescent="0.4">
      <c r="A7" s="117">
        <v>45770</v>
      </c>
      <c r="B7" s="123">
        <v>2</v>
      </c>
      <c r="C7" s="123">
        <v>1</v>
      </c>
      <c r="D7" s="123">
        <v>1</v>
      </c>
      <c r="M7" s="25">
        <v>45767</v>
      </c>
      <c r="N7" s="13" t="s">
        <v>147</v>
      </c>
      <c r="X7" s="25"/>
      <c r="Y7" s="13"/>
      <c r="AD7" s="116"/>
      <c r="AE7" s="123"/>
      <c r="AF7" s="123"/>
      <c r="AG7" s="123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25"/>
      <c r="AW7" s="13"/>
      <c r="AZ7" s="114"/>
    </row>
    <row r="8" spans="1:52" ht="20.100000000000001" customHeight="1" x14ac:dyDescent="0.4">
      <c r="A8" s="117">
        <v>45773</v>
      </c>
      <c r="B8" s="123">
        <v>4</v>
      </c>
      <c r="C8" s="123">
        <v>1</v>
      </c>
      <c r="D8" s="123"/>
      <c r="L8" s="115" t="s">
        <v>203</v>
      </c>
      <c r="M8" s="13">
        <f>SUBTOTAL(3,M7:M7)</f>
        <v>1</v>
      </c>
      <c r="N8" s="13">
        <f>SUBTOTAL(3,N7:N7)</f>
        <v>1</v>
      </c>
      <c r="X8" s="25"/>
      <c r="Y8" s="13"/>
      <c r="AD8" s="116"/>
      <c r="AE8" s="123"/>
      <c r="AF8" s="123"/>
      <c r="AG8" s="123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25"/>
      <c r="AW8" s="13"/>
      <c r="AZ8" s="114"/>
    </row>
    <row r="9" spans="1:52" ht="20.100000000000001" customHeight="1" x14ac:dyDescent="0.4">
      <c r="A9" s="117">
        <v>45775</v>
      </c>
      <c r="B9" s="123">
        <v>12</v>
      </c>
      <c r="C9" s="123">
        <v>9</v>
      </c>
      <c r="D9" s="123">
        <v>9</v>
      </c>
      <c r="K9" s="115"/>
      <c r="L9" s="115"/>
      <c r="M9" s="25">
        <v>45768</v>
      </c>
      <c r="N9" s="13" t="s">
        <v>146</v>
      </c>
      <c r="X9" s="25"/>
      <c r="Y9" s="13"/>
      <c r="AD9" s="116"/>
      <c r="AE9" s="123"/>
      <c r="AF9" s="123"/>
      <c r="AG9" s="123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25"/>
      <c r="AW9" s="13"/>
      <c r="AZ9" s="114"/>
    </row>
    <row r="10" spans="1:52" ht="20.100000000000001" customHeight="1" x14ac:dyDescent="0.4">
      <c r="A10" s="117">
        <v>45776</v>
      </c>
      <c r="B10" s="123"/>
      <c r="C10" s="123">
        <v>1</v>
      </c>
      <c r="D10" s="123"/>
      <c r="K10" s="115"/>
      <c r="L10" s="115" t="s">
        <v>198</v>
      </c>
      <c r="M10" s="13">
        <f>SUBTOTAL(3,M9:M9)</f>
        <v>1</v>
      </c>
      <c r="N10" s="13">
        <f>SUBTOTAL(3,N9:N9)</f>
        <v>1</v>
      </c>
      <c r="X10" s="25"/>
      <c r="Y10" s="13"/>
      <c r="AD10" s="116"/>
      <c r="AE10" s="123"/>
      <c r="AF10" s="123"/>
      <c r="AG10" s="123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25"/>
      <c r="AW10" s="13"/>
      <c r="AZ10" s="114"/>
    </row>
    <row r="11" spans="1:52" ht="20.100000000000001" customHeight="1" x14ac:dyDescent="0.4">
      <c r="A11" s="117">
        <v>45777</v>
      </c>
      <c r="B11" s="123">
        <v>2</v>
      </c>
      <c r="C11" s="123">
        <v>2</v>
      </c>
      <c r="D11" s="123">
        <v>1</v>
      </c>
      <c r="F11" s="125"/>
      <c r="M11" s="25">
        <v>45769</v>
      </c>
      <c r="N11" s="13" t="s">
        <v>147</v>
      </c>
      <c r="X11" s="25"/>
      <c r="Y11" s="13"/>
      <c r="AD11" s="116"/>
      <c r="AE11" s="123"/>
      <c r="AF11" s="123"/>
      <c r="AG11" s="123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25"/>
      <c r="AW11" s="13"/>
      <c r="AZ11" s="114"/>
    </row>
    <row r="12" spans="1:52" ht="20.100000000000001" customHeight="1" x14ac:dyDescent="0.4">
      <c r="A12" s="117">
        <v>45783</v>
      </c>
      <c r="B12" s="123">
        <v>4</v>
      </c>
      <c r="C12" s="123">
        <v>1</v>
      </c>
      <c r="D12" s="123">
        <v>1</v>
      </c>
      <c r="F12" s="125"/>
      <c r="J12" s="115"/>
      <c r="K12" s="115"/>
      <c r="L12" s="115"/>
      <c r="M12" s="25">
        <v>45769</v>
      </c>
      <c r="N12" s="13" t="s">
        <v>146</v>
      </c>
      <c r="X12" s="25"/>
      <c r="Y12" s="13"/>
      <c r="AD12" s="116"/>
      <c r="AE12" s="123"/>
      <c r="AF12" s="123"/>
      <c r="AG12" s="123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25"/>
      <c r="AW12" s="13"/>
      <c r="AZ12" s="114"/>
    </row>
    <row r="13" spans="1:52" ht="20.100000000000001" customHeight="1" x14ac:dyDescent="0.4">
      <c r="A13" s="117">
        <v>45784</v>
      </c>
      <c r="B13" s="123">
        <v>2</v>
      </c>
      <c r="C13" s="123">
        <v>4</v>
      </c>
      <c r="D13" s="123">
        <v>2</v>
      </c>
      <c r="F13" s="125"/>
      <c r="J13" s="115"/>
      <c r="K13" s="115"/>
      <c r="L13" s="115" t="s">
        <v>204</v>
      </c>
      <c r="M13" s="13">
        <f>SUBTOTAL(3,M11:M12)</f>
        <v>2</v>
      </c>
      <c r="N13" s="13">
        <f>SUBTOTAL(3,N11:N12)</f>
        <v>2</v>
      </c>
      <c r="X13" s="25"/>
      <c r="Y13" s="13"/>
      <c r="AD13" s="116"/>
      <c r="AE13" s="123"/>
      <c r="AF13" s="123"/>
      <c r="AG13" s="123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25"/>
      <c r="AW13" s="13"/>
      <c r="AZ13" s="114"/>
    </row>
    <row r="14" spans="1:52" ht="20.100000000000001" customHeight="1" x14ac:dyDescent="0.4">
      <c r="A14" s="117">
        <v>45785</v>
      </c>
      <c r="B14" s="123">
        <v>5</v>
      </c>
      <c r="C14" s="123">
        <v>4</v>
      </c>
      <c r="D14" s="123"/>
      <c r="F14" s="125"/>
      <c r="H14" s="115"/>
      <c r="I14" s="115"/>
      <c r="J14" s="115"/>
      <c r="K14" s="115"/>
      <c r="L14" s="115"/>
      <c r="M14" s="25">
        <v>45770</v>
      </c>
      <c r="N14" s="13" t="s">
        <v>147</v>
      </c>
      <c r="X14" s="25"/>
      <c r="Y14" s="13"/>
      <c r="AD14" s="116"/>
      <c r="AE14" s="123"/>
      <c r="AF14" s="123"/>
      <c r="AG14" s="123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25"/>
      <c r="AW14" s="13"/>
      <c r="AZ14" s="114"/>
    </row>
    <row r="15" spans="1:52" ht="20.100000000000001" customHeight="1" x14ac:dyDescent="0.4">
      <c r="A15" s="117">
        <v>45787</v>
      </c>
      <c r="B15" s="123">
        <v>7</v>
      </c>
      <c r="C15" s="123">
        <v>1</v>
      </c>
      <c r="D15" s="123">
        <v>3</v>
      </c>
      <c r="F15" s="125"/>
      <c r="H15" s="115"/>
      <c r="I15" s="115"/>
      <c r="J15" s="115"/>
      <c r="K15" s="115"/>
      <c r="L15" s="115"/>
      <c r="M15" s="25">
        <v>45770</v>
      </c>
      <c r="N15" s="13" t="s">
        <v>148</v>
      </c>
      <c r="X15" s="25"/>
      <c r="Y15" s="13"/>
      <c r="AD15" s="116"/>
      <c r="AE15" s="123"/>
      <c r="AF15" s="123"/>
      <c r="AG15" s="123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25"/>
      <c r="AW15" s="13"/>
      <c r="AZ15" s="114"/>
    </row>
    <row r="16" spans="1:52" ht="20.100000000000001" customHeight="1" x14ac:dyDescent="0.4">
      <c r="A16" s="117">
        <v>45788</v>
      </c>
      <c r="B16" s="123">
        <v>7</v>
      </c>
      <c r="C16" s="123">
        <v>8</v>
      </c>
      <c r="D16" s="123">
        <v>1</v>
      </c>
      <c r="F16" s="125"/>
      <c r="H16" s="115"/>
      <c r="I16" s="115"/>
      <c r="J16" s="115"/>
      <c r="K16" s="115"/>
      <c r="L16" s="115"/>
      <c r="M16" s="25">
        <v>45770</v>
      </c>
      <c r="N16" s="13" t="s">
        <v>142</v>
      </c>
      <c r="X16" s="25"/>
      <c r="Y16" s="13"/>
      <c r="AD16" s="116"/>
      <c r="AE16" s="123"/>
      <c r="AF16" s="123"/>
      <c r="AG16" s="123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25"/>
      <c r="AW16" s="13"/>
      <c r="AZ16" s="114"/>
    </row>
    <row r="17" spans="1:52" ht="20.100000000000001" customHeight="1" x14ac:dyDescent="0.4">
      <c r="A17" s="117">
        <v>45789</v>
      </c>
      <c r="B17" s="123">
        <v>1</v>
      </c>
      <c r="C17" s="123">
        <v>1</v>
      </c>
      <c r="D17" s="123"/>
      <c r="F17" s="125"/>
      <c r="H17" s="115"/>
      <c r="I17" s="115"/>
      <c r="J17" s="115"/>
      <c r="K17" s="115"/>
      <c r="L17" s="115"/>
      <c r="M17" s="25">
        <v>45770</v>
      </c>
      <c r="N17" s="13" t="s">
        <v>146</v>
      </c>
      <c r="X17" s="25"/>
      <c r="Y17" s="13"/>
      <c r="AD17" s="116"/>
      <c r="AE17" s="123"/>
      <c r="AF17" s="123"/>
      <c r="AG17" s="123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25"/>
      <c r="AW17" s="13"/>
      <c r="AZ17" s="114"/>
    </row>
    <row r="18" spans="1:52" ht="20.100000000000001" customHeight="1" x14ac:dyDescent="0.4">
      <c r="A18" s="117">
        <v>45790</v>
      </c>
      <c r="B18" s="123"/>
      <c r="C18" s="123">
        <v>1</v>
      </c>
      <c r="D18" s="123"/>
      <c r="F18" s="125"/>
      <c r="H18" s="115"/>
      <c r="I18" s="115"/>
      <c r="J18" s="115"/>
      <c r="K18" s="115"/>
      <c r="L18" s="115" t="s">
        <v>205</v>
      </c>
      <c r="M18" s="13">
        <f>SUBTOTAL(3,M14:M17)</f>
        <v>4</v>
      </c>
      <c r="N18" s="13">
        <f>SUBTOTAL(3,N14:N17)</f>
        <v>4</v>
      </c>
      <c r="X18" s="25"/>
      <c r="Y18" s="13"/>
      <c r="AD18" s="116"/>
      <c r="AE18" s="123"/>
      <c r="AF18" s="123"/>
      <c r="AG18" s="123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25"/>
      <c r="AW18" s="13"/>
      <c r="AZ18" s="114"/>
    </row>
    <row r="19" spans="1:52" ht="20.100000000000001" customHeight="1" x14ac:dyDescent="0.4">
      <c r="A19" s="117">
        <v>45791</v>
      </c>
      <c r="B19" s="123">
        <v>3</v>
      </c>
      <c r="C19" s="123"/>
      <c r="D19" s="123">
        <v>1</v>
      </c>
      <c r="F19" s="125"/>
      <c r="H19" s="115"/>
      <c r="I19" s="115"/>
      <c r="J19" s="115"/>
      <c r="K19" s="115"/>
      <c r="L19" s="115"/>
      <c r="M19" s="25">
        <v>45773</v>
      </c>
      <c r="N19" s="13" t="s">
        <v>146</v>
      </c>
      <c r="X19" s="25"/>
      <c r="Y19" s="13"/>
      <c r="AD19" s="116"/>
      <c r="AE19" s="123"/>
      <c r="AF19" s="123"/>
      <c r="AG19" s="123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25"/>
      <c r="AW19" s="13"/>
      <c r="AZ19" s="114"/>
    </row>
    <row r="20" spans="1:52" ht="20.100000000000001" customHeight="1" x14ac:dyDescent="0.4">
      <c r="A20" s="117">
        <v>45792</v>
      </c>
      <c r="B20" s="123">
        <v>3</v>
      </c>
      <c r="C20" s="123">
        <v>1</v>
      </c>
      <c r="D20" s="123"/>
      <c r="F20" s="125"/>
      <c r="H20" s="115"/>
      <c r="I20" s="115"/>
      <c r="J20" s="115"/>
      <c r="K20" s="115"/>
      <c r="L20" s="115"/>
      <c r="M20" s="25">
        <v>45773</v>
      </c>
      <c r="N20" s="13" t="s">
        <v>146</v>
      </c>
      <c r="X20" s="25"/>
      <c r="Y20" s="13"/>
      <c r="AD20" s="116"/>
      <c r="AE20" s="123"/>
      <c r="AF20" s="123"/>
      <c r="AG20" s="123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25"/>
      <c r="AW20" s="13"/>
      <c r="AZ20" s="114"/>
    </row>
    <row r="21" spans="1:52" ht="20.100000000000001" customHeight="1" x14ac:dyDescent="0.4">
      <c r="A21" s="117">
        <v>45793</v>
      </c>
      <c r="B21" s="123">
        <v>3</v>
      </c>
      <c r="C21" s="123"/>
      <c r="D21" s="123">
        <v>1</v>
      </c>
      <c r="F21" s="125"/>
      <c r="H21" s="115"/>
      <c r="I21" s="115"/>
      <c r="J21" s="115"/>
      <c r="K21" s="115"/>
      <c r="L21" s="115"/>
      <c r="M21" s="25">
        <v>45773</v>
      </c>
      <c r="N21" s="15" t="s">
        <v>147</v>
      </c>
      <c r="X21" s="25"/>
      <c r="Y21" s="13"/>
      <c r="AD21" s="116"/>
      <c r="AE21" s="123"/>
      <c r="AF21" s="123"/>
      <c r="AG21" s="123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25"/>
      <c r="AW21" s="13"/>
      <c r="AZ21" s="114"/>
    </row>
    <row r="22" spans="1:52" ht="20.100000000000001" customHeight="1" x14ac:dyDescent="0.4">
      <c r="A22" s="117">
        <v>45794</v>
      </c>
      <c r="B22" s="123"/>
      <c r="C22" s="123"/>
      <c r="D22" s="123">
        <v>3</v>
      </c>
      <c r="F22" s="125"/>
      <c r="H22" s="115"/>
      <c r="I22" s="115"/>
      <c r="J22" s="115"/>
      <c r="K22" s="115"/>
      <c r="L22" s="115"/>
      <c r="M22" s="25">
        <v>45773</v>
      </c>
      <c r="N22" s="15" t="s">
        <v>146</v>
      </c>
      <c r="X22" s="25"/>
      <c r="Y22" s="13"/>
      <c r="AD22" s="116"/>
      <c r="AE22" s="123"/>
      <c r="AF22" s="123"/>
      <c r="AG22" s="123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25"/>
      <c r="AW22" s="13"/>
      <c r="AZ22" s="114"/>
    </row>
    <row r="23" spans="1:52" ht="20.100000000000001" customHeight="1" x14ac:dyDescent="0.4">
      <c r="A23" s="117">
        <v>45795</v>
      </c>
      <c r="B23" s="123"/>
      <c r="C23" s="123">
        <v>1</v>
      </c>
      <c r="D23" s="123"/>
      <c r="F23" s="125"/>
      <c r="H23" s="115"/>
      <c r="I23" s="115"/>
      <c r="J23" s="115"/>
      <c r="K23" s="115"/>
      <c r="L23" s="115"/>
      <c r="M23" s="30">
        <v>45773</v>
      </c>
      <c r="N23" s="15" t="s">
        <v>146</v>
      </c>
      <c r="X23" s="25"/>
      <c r="Y23" s="13"/>
      <c r="AD23" s="116"/>
      <c r="AE23" s="123"/>
      <c r="AF23" s="123"/>
      <c r="AG23" s="123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25"/>
      <c r="AW23" s="13"/>
      <c r="AZ23" s="114"/>
    </row>
    <row r="24" spans="1:52" ht="20.100000000000001" customHeight="1" x14ac:dyDescent="0.4">
      <c r="A24" s="117">
        <v>45797</v>
      </c>
      <c r="B24" s="123"/>
      <c r="C24" s="123">
        <v>2</v>
      </c>
      <c r="D24" s="123"/>
      <c r="F24" s="125"/>
      <c r="H24" s="115"/>
      <c r="I24" s="115"/>
      <c r="J24" s="115"/>
      <c r="K24" s="115"/>
      <c r="L24" s="115" t="s">
        <v>206</v>
      </c>
      <c r="M24" s="135">
        <f>SUBTOTAL(3,M19:M23)</f>
        <v>5</v>
      </c>
      <c r="N24" s="13">
        <f>SUBTOTAL(3,N19:N23)</f>
        <v>5</v>
      </c>
      <c r="X24" s="25"/>
      <c r="Y24" s="13"/>
      <c r="AD24" s="116"/>
      <c r="AE24" s="123"/>
      <c r="AF24" s="123"/>
      <c r="AG24" s="123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25"/>
      <c r="AW24" s="13"/>
      <c r="AZ24" s="114"/>
    </row>
    <row r="25" spans="1:52" ht="20.100000000000001" customHeight="1" x14ac:dyDescent="0.4">
      <c r="A25" s="117">
        <v>45798</v>
      </c>
      <c r="B25" s="123">
        <v>1</v>
      </c>
      <c r="C25" s="123"/>
      <c r="D25" s="123"/>
      <c r="F25" s="125"/>
      <c r="H25" s="115"/>
      <c r="I25" s="115"/>
      <c r="J25" s="115"/>
      <c r="K25" s="115"/>
      <c r="L25" s="115"/>
      <c r="M25" s="25">
        <v>45775</v>
      </c>
      <c r="N25" s="13" t="s">
        <v>146</v>
      </c>
      <c r="X25" s="25"/>
      <c r="Y25" s="13"/>
      <c r="AD25" s="116"/>
      <c r="AE25" s="123"/>
      <c r="AF25" s="123"/>
      <c r="AG25" s="123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25"/>
      <c r="AW25" s="13"/>
      <c r="AZ25" s="114"/>
    </row>
    <row r="26" spans="1:52" ht="20.100000000000001" customHeight="1" x14ac:dyDescent="0.4">
      <c r="A26" s="117">
        <v>45805</v>
      </c>
      <c r="B26" s="123">
        <v>1</v>
      </c>
      <c r="C26" s="123"/>
      <c r="D26" s="123"/>
      <c r="F26" s="125"/>
      <c r="H26" s="115"/>
      <c r="I26" s="115"/>
      <c r="J26" s="115"/>
      <c r="K26" s="115"/>
      <c r="L26" s="115"/>
      <c r="M26" s="25">
        <v>45775</v>
      </c>
      <c r="N26" s="13" t="s">
        <v>147</v>
      </c>
      <c r="X26" s="25"/>
      <c r="Y26" s="13"/>
      <c r="AD26" s="116"/>
      <c r="AE26" s="123"/>
      <c r="AF26" s="123"/>
      <c r="AG26" s="123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25"/>
      <c r="AW26" s="13"/>
      <c r="AZ26" s="114"/>
    </row>
    <row r="27" spans="1:52" ht="20.100000000000001" customHeight="1" x14ac:dyDescent="0.4">
      <c r="A27" s="117">
        <v>45824</v>
      </c>
      <c r="B27" s="123"/>
      <c r="C27" s="123">
        <v>1</v>
      </c>
      <c r="D27" s="123"/>
      <c r="F27" s="125"/>
      <c r="H27" s="115"/>
      <c r="I27" s="115"/>
      <c r="J27" s="115"/>
      <c r="K27" s="115"/>
      <c r="L27" s="115"/>
      <c r="M27" s="25">
        <v>45775</v>
      </c>
      <c r="N27" s="13" t="s">
        <v>147</v>
      </c>
      <c r="X27" s="25"/>
      <c r="Y27" s="13"/>
      <c r="AD27" s="116"/>
      <c r="AE27" s="123"/>
      <c r="AF27" s="123"/>
      <c r="AG27" s="123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25"/>
      <c r="AW27" s="13"/>
      <c r="AZ27" s="114"/>
    </row>
    <row r="28" spans="1:52" ht="20.100000000000001" customHeight="1" x14ac:dyDescent="0.4">
      <c r="A28" s="117">
        <v>45829</v>
      </c>
      <c r="B28" s="123"/>
      <c r="C28" s="123">
        <v>2</v>
      </c>
      <c r="D28" s="123"/>
      <c r="F28" s="125"/>
      <c r="H28" s="115"/>
      <c r="I28" s="115"/>
      <c r="J28" s="115"/>
      <c r="K28" s="115"/>
      <c r="L28" s="115"/>
      <c r="M28" s="25">
        <v>45775</v>
      </c>
      <c r="N28" s="13" t="s">
        <v>147</v>
      </c>
      <c r="X28" s="25"/>
      <c r="Y28" s="13"/>
      <c r="AD28" s="116"/>
      <c r="AE28" s="123"/>
      <c r="AF28" s="123"/>
      <c r="AG28" s="123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25"/>
      <c r="AW28" s="13"/>
      <c r="AZ28" s="114"/>
    </row>
    <row r="29" spans="1:52" ht="20.100000000000001" customHeight="1" x14ac:dyDescent="0.4">
      <c r="A29" s="117"/>
      <c r="B29" s="123">
        <f>SUM(B3:B28)</f>
        <v>62</v>
      </c>
      <c r="C29" s="123">
        <f>SUM(C3:C28)</f>
        <v>44</v>
      </c>
      <c r="D29" s="123">
        <f>SUM(D3:D28)</f>
        <v>23</v>
      </c>
      <c r="F29" s="125"/>
      <c r="M29" s="25">
        <v>45775</v>
      </c>
      <c r="N29" s="134" t="s">
        <v>148</v>
      </c>
      <c r="T29" s="115"/>
      <c r="U29" s="115"/>
      <c r="V29" s="115"/>
      <c r="W29" s="115"/>
      <c r="X29" s="25">
        <v>45669</v>
      </c>
      <c r="Y29" s="13" t="s">
        <v>147</v>
      </c>
      <c r="AD29" s="116"/>
      <c r="AE29" s="123"/>
      <c r="AF29" s="123"/>
      <c r="AG29" s="123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25"/>
      <c r="AW29" s="13"/>
      <c r="AZ29" s="114"/>
    </row>
    <row r="30" spans="1:52" ht="20.100000000000001" customHeight="1" x14ac:dyDescent="0.4">
      <c r="A30" s="117"/>
      <c r="B30" s="123"/>
      <c r="C30" s="123"/>
      <c r="D30" s="123">
        <f>SUM(B29:D29)</f>
        <v>129</v>
      </c>
      <c r="F30" s="125"/>
      <c r="M30" s="25">
        <v>45775</v>
      </c>
      <c r="N30" s="13" t="s">
        <v>148</v>
      </c>
      <c r="T30" s="115"/>
      <c r="U30" s="115"/>
      <c r="V30" s="115"/>
      <c r="W30" s="115"/>
      <c r="X30" s="25"/>
      <c r="Y30" s="13"/>
      <c r="AD30" s="116"/>
      <c r="AE30" s="123"/>
      <c r="AF30" s="123"/>
      <c r="AG30" s="123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25"/>
      <c r="AW30" s="13"/>
      <c r="AZ30" s="114"/>
    </row>
    <row r="31" spans="1:52" ht="20.100000000000001" customHeight="1" x14ac:dyDescent="0.4">
      <c r="A31" s="117"/>
      <c r="B31" s="123"/>
      <c r="C31" s="123"/>
      <c r="D31" s="123"/>
      <c r="F31" s="125"/>
      <c r="I31" s="115"/>
      <c r="J31" s="115"/>
      <c r="K31" s="115"/>
      <c r="L31" s="115"/>
      <c r="M31" s="25">
        <v>45775</v>
      </c>
      <c r="N31" s="13" t="s">
        <v>148</v>
      </c>
      <c r="T31" s="115"/>
      <c r="U31" s="115"/>
      <c r="V31" s="115"/>
      <c r="W31" s="115"/>
      <c r="X31" s="25"/>
      <c r="Y31" s="13"/>
      <c r="AD31" s="116"/>
      <c r="AE31" s="123"/>
      <c r="AF31" s="123"/>
      <c r="AG31" s="123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25"/>
      <c r="AW31" s="13"/>
      <c r="AZ31" s="114"/>
    </row>
    <row r="32" spans="1:52" ht="20.100000000000001" customHeight="1" x14ac:dyDescent="0.4">
      <c r="A32" s="117"/>
      <c r="B32" s="123"/>
      <c r="C32" s="123"/>
      <c r="D32" s="123"/>
      <c r="F32" s="125"/>
      <c r="H32" s="115"/>
      <c r="I32" s="115"/>
      <c r="J32" s="115"/>
      <c r="K32" s="115"/>
      <c r="L32" s="115"/>
      <c r="M32" s="25">
        <v>45775</v>
      </c>
      <c r="N32" s="13" t="s">
        <v>146</v>
      </c>
      <c r="T32" s="115"/>
      <c r="U32" s="115"/>
      <c r="V32" s="115"/>
      <c r="W32" s="115"/>
      <c r="X32" s="25"/>
      <c r="Y32" s="13"/>
      <c r="AD32" s="116"/>
      <c r="AE32" s="123"/>
      <c r="AF32" s="123"/>
      <c r="AG32" s="123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25"/>
      <c r="AW32" s="13"/>
      <c r="AZ32" s="114"/>
    </row>
    <row r="33" spans="1:52" ht="20.100000000000001" customHeight="1" x14ac:dyDescent="0.4">
      <c r="A33" s="117"/>
      <c r="B33" s="123"/>
      <c r="C33" s="123"/>
      <c r="D33" s="123"/>
      <c r="F33" s="125"/>
      <c r="H33" s="115"/>
      <c r="I33" s="115"/>
      <c r="J33" s="115"/>
      <c r="K33" s="115"/>
      <c r="L33" s="115"/>
      <c r="M33" s="25">
        <v>45775</v>
      </c>
      <c r="N33" s="13" t="s">
        <v>146</v>
      </c>
      <c r="T33" s="115"/>
      <c r="U33" s="115"/>
      <c r="V33" s="115"/>
      <c r="W33" s="115"/>
      <c r="X33" s="25"/>
      <c r="Y33" s="13"/>
      <c r="AD33" s="116"/>
      <c r="AE33" s="123"/>
      <c r="AF33" s="123"/>
      <c r="AG33" s="123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25"/>
      <c r="AW33" s="13"/>
      <c r="AZ33" s="114"/>
    </row>
    <row r="34" spans="1:52" ht="20.100000000000001" customHeight="1" x14ac:dyDescent="0.4">
      <c r="A34" s="117"/>
      <c r="B34" s="123"/>
      <c r="C34" s="123"/>
      <c r="D34" s="123"/>
      <c r="F34" s="125"/>
      <c r="H34" s="115"/>
      <c r="I34" s="115"/>
      <c r="J34" s="115"/>
      <c r="K34" s="115"/>
      <c r="L34" s="115"/>
      <c r="M34" s="25">
        <v>45775</v>
      </c>
      <c r="N34" s="13" t="s">
        <v>146</v>
      </c>
      <c r="T34" s="115"/>
      <c r="U34" s="115"/>
      <c r="V34" s="115"/>
      <c r="W34" s="115"/>
      <c r="X34" s="25"/>
      <c r="Y34" s="13"/>
      <c r="AD34" s="116"/>
      <c r="AE34" s="123"/>
      <c r="AF34" s="123"/>
      <c r="AG34" s="123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25"/>
      <c r="AW34" s="13"/>
      <c r="AZ34" s="114"/>
    </row>
    <row r="35" spans="1:52" ht="20.100000000000001" customHeight="1" x14ac:dyDescent="0.4">
      <c r="A35" s="117"/>
      <c r="B35" s="123"/>
      <c r="C35" s="123"/>
      <c r="D35" s="123"/>
      <c r="F35" s="125"/>
      <c r="H35" s="115"/>
      <c r="I35" s="115"/>
      <c r="J35" s="115"/>
      <c r="K35" s="115"/>
      <c r="L35" s="115"/>
      <c r="M35" s="25">
        <v>45775</v>
      </c>
      <c r="N35" s="13" t="s">
        <v>148</v>
      </c>
      <c r="T35" s="115"/>
      <c r="U35" s="115"/>
      <c r="V35" s="115"/>
      <c r="W35" s="115"/>
      <c r="X35" s="25"/>
      <c r="Y35" s="13"/>
      <c r="AD35" s="116"/>
      <c r="AE35" s="123"/>
      <c r="AF35" s="123"/>
      <c r="AG35" s="123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25"/>
      <c r="AW35" s="13"/>
      <c r="AZ35" s="114"/>
    </row>
    <row r="36" spans="1:52" ht="20.100000000000001" customHeight="1" x14ac:dyDescent="0.4">
      <c r="A36" s="117"/>
      <c r="B36" s="123"/>
      <c r="C36" s="123"/>
      <c r="D36" s="123"/>
      <c r="F36" s="125"/>
      <c r="H36" s="115"/>
      <c r="I36" s="115"/>
      <c r="J36" s="115"/>
      <c r="K36" s="115"/>
      <c r="L36" s="115"/>
      <c r="M36" s="25">
        <v>45775</v>
      </c>
      <c r="N36" s="13" t="s">
        <v>146</v>
      </c>
      <c r="T36" s="115"/>
      <c r="U36" s="115"/>
      <c r="V36" s="115"/>
      <c r="W36" s="115"/>
      <c r="X36" s="25"/>
      <c r="Y36" s="13"/>
      <c r="AD36" s="116"/>
      <c r="AE36" s="123"/>
      <c r="AF36" s="123"/>
      <c r="AG36" s="123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25"/>
      <c r="AW36" s="13"/>
      <c r="AZ36" s="114"/>
    </row>
    <row r="37" spans="1:52" ht="20.100000000000001" customHeight="1" x14ac:dyDescent="0.4">
      <c r="A37" s="117"/>
      <c r="B37" s="123"/>
      <c r="C37" s="123"/>
      <c r="D37" s="123"/>
      <c r="F37" s="125"/>
      <c r="M37" s="25">
        <v>45775</v>
      </c>
      <c r="N37" s="13" t="s">
        <v>148</v>
      </c>
      <c r="T37" s="115"/>
      <c r="U37" s="115"/>
      <c r="V37" s="115"/>
      <c r="W37" s="115"/>
      <c r="X37" s="25">
        <v>45671</v>
      </c>
      <c r="Y37" s="13" t="s">
        <v>146</v>
      </c>
      <c r="AD37" s="116"/>
      <c r="AE37" s="123"/>
      <c r="AF37" s="123"/>
      <c r="AG37" s="123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25"/>
      <c r="AW37" s="13"/>
      <c r="AZ37" s="114"/>
    </row>
    <row r="38" spans="1:52" ht="20.100000000000001" customHeight="1" x14ac:dyDescent="0.4">
      <c r="A38" s="117"/>
      <c r="B38" s="123"/>
      <c r="C38" s="123"/>
      <c r="D38" s="123"/>
      <c r="F38" s="125"/>
      <c r="J38" s="115"/>
      <c r="K38" s="115"/>
      <c r="L38" s="115"/>
      <c r="M38" s="25">
        <v>45775</v>
      </c>
      <c r="N38" s="13" t="s">
        <v>147</v>
      </c>
      <c r="T38" s="115"/>
      <c r="U38" s="115"/>
      <c r="V38" s="115"/>
      <c r="W38" s="115"/>
      <c r="X38" s="25"/>
      <c r="Y38" s="13"/>
      <c r="AD38" s="116"/>
      <c r="AE38" s="123"/>
      <c r="AF38" s="123"/>
      <c r="AG38" s="123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25"/>
      <c r="AW38" s="13"/>
      <c r="AZ38" s="114"/>
    </row>
    <row r="39" spans="1:52" ht="20.100000000000001" customHeight="1" x14ac:dyDescent="0.4">
      <c r="A39" s="117"/>
      <c r="B39" s="123"/>
      <c r="C39" s="123"/>
      <c r="D39" s="123"/>
      <c r="F39" s="125"/>
      <c r="J39" s="115"/>
      <c r="K39" s="115"/>
      <c r="L39" s="115"/>
      <c r="M39" s="25">
        <v>45775</v>
      </c>
      <c r="N39" s="15" t="s">
        <v>147</v>
      </c>
      <c r="T39" s="115"/>
      <c r="U39" s="115"/>
      <c r="V39" s="115"/>
      <c r="W39" s="115"/>
      <c r="X39" s="25"/>
      <c r="Y39" s="13"/>
      <c r="AD39" s="116"/>
      <c r="AE39" s="123"/>
      <c r="AF39" s="123"/>
      <c r="AG39" s="123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25"/>
      <c r="AW39" s="13"/>
      <c r="AZ39" s="114"/>
    </row>
    <row r="40" spans="1:52" ht="20.100000000000001" customHeight="1" x14ac:dyDescent="0.4">
      <c r="A40" s="117"/>
      <c r="B40" s="123"/>
      <c r="C40" s="123"/>
      <c r="D40" s="123"/>
      <c r="F40" s="125"/>
      <c r="M40" s="25">
        <v>45775</v>
      </c>
      <c r="N40" s="15" t="s">
        <v>147</v>
      </c>
      <c r="R40" s="115"/>
      <c r="S40" s="115"/>
      <c r="T40" s="115"/>
      <c r="U40" s="115"/>
      <c r="V40" s="115"/>
      <c r="W40" s="115"/>
      <c r="X40" s="25">
        <v>45671</v>
      </c>
      <c r="Y40" s="13" t="s">
        <v>148</v>
      </c>
      <c r="AD40" s="116"/>
      <c r="AE40" s="123"/>
      <c r="AF40" s="123"/>
      <c r="AG40" s="123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25"/>
      <c r="AW40" s="13"/>
      <c r="AZ40" s="114"/>
    </row>
    <row r="41" spans="1:52" ht="20.100000000000001" customHeight="1" x14ac:dyDescent="0.4">
      <c r="A41" s="117"/>
      <c r="B41" s="123"/>
      <c r="C41" s="123"/>
      <c r="D41" s="123"/>
      <c r="M41" s="25">
        <v>45775</v>
      </c>
      <c r="N41" s="13" t="s">
        <v>147</v>
      </c>
      <c r="R41" s="115"/>
      <c r="S41" s="115"/>
      <c r="T41" s="115"/>
      <c r="U41" s="115"/>
      <c r="V41" s="115"/>
      <c r="W41" s="115"/>
      <c r="X41" s="25"/>
      <c r="Y41" s="13"/>
      <c r="AD41" s="116"/>
      <c r="AE41" s="123"/>
      <c r="AF41" s="123"/>
      <c r="AG41" s="123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25"/>
      <c r="AW41" s="13"/>
      <c r="AZ41" s="114"/>
    </row>
    <row r="42" spans="1:52" ht="20.100000000000001" customHeight="1" x14ac:dyDescent="0.4">
      <c r="A42" s="117"/>
      <c r="B42" s="123"/>
      <c r="C42" s="123"/>
      <c r="D42" s="123"/>
      <c r="M42" s="25">
        <v>45775</v>
      </c>
      <c r="N42" s="13" t="s">
        <v>147</v>
      </c>
      <c r="R42" s="115"/>
      <c r="S42" s="115"/>
      <c r="T42" s="115"/>
      <c r="U42" s="115"/>
      <c r="V42" s="115"/>
      <c r="W42" s="115"/>
      <c r="X42" s="25"/>
      <c r="Y42" s="13"/>
      <c r="AD42" s="116"/>
      <c r="AE42" s="123"/>
      <c r="AF42" s="123"/>
      <c r="AG42" s="123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25"/>
      <c r="AW42" s="13"/>
      <c r="AZ42" s="114"/>
    </row>
    <row r="43" spans="1:52" ht="20.100000000000001" customHeight="1" x14ac:dyDescent="0.4">
      <c r="A43" s="117"/>
      <c r="B43" s="123"/>
      <c r="C43" s="123"/>
      <c r="D43" s="123"/>
      <c r="M43" s="25">
        <v>45775</v>
      </c>
      <c r="N43" s="13" t="s">
        <v>146</v>
      </c>
      <c r="R43" s="115"/>
      <c r="S43" s="115"/>
      <c r="T43" s="115"/>
      <c r="U43" s="115"/>
      <c r="V43" s="115"/>
      <c r="W43" s="115"/>
      <c r="X43" s="25"/>
      <c r="Y43" s="13"/>
      <c r="AD43" s="116"/>
      <c r="AE43" s="123"/>
      <c r="AF43" s="123"/>
      <c r="AG43" s="123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25"/>
      <c r="AW43" s="13"/>
      <c r="AZ43" s="114"/>
    </row>
    <row r="44" spans="1:52" ht="20.100000000000001" customHeight="1" x14ac:dyDescent="0.4">
      <c r="A44" s="117"/>
      <c r="B44" s="123"/>
      <c r="C44" s="123"/>
      <c r="D44" s="123"/>
      <c r="K44" s="115"/>
      <c r="L44" s="115"/>
      <c r="M44" s="25">
        <v>45775</v>
      </c>
      <c r="N44" s="13" t="s">
        <v>148</v>
      </c>
      <c r="R44" s="115"/>
      <c r="S44" s="115"/>
      <c r="T44" s="115"/>
      <c r="U44" s="115"/>
      <c r="V44" s="115"/>
      <c r="W44" s="115"/>
      <c r="X44" s="25"/>
      <c r="Y44" s="13"/>
      <c r="AD44" s="116"/>
      <c r="AE44" s="123"/>
      <c r="AF44" s="123"/>
      <c r="AG44" s="123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25"/>
      <c r="AW44" s="13"/>
      <c r="AZ44" s="114"/>
    </row>
    <row r="45" spans="1:52" ht="20.100000000000001" customHeight="1" x14ac:dyDescent="0.4">
      <c r="A45" s="117"/>
      <c r="B45" s="123"/>
      <c r="C45" s="123"/>
      <c r="D45" s="123"/>
      <c r="J45" s="115"/>
      <c r="K45" s="115"/>
      <c r="L45" s="115"/>
      <c r="M45" s="25">
        <v>45775</v>
      </c>
      <c r="N45" s="13" t="s">
        <v>146</v>
      </c>
      <c r="R45" s="115"/>
      <c r="S45" s="115"/>
      <c r="T45" s="115"/>
      <c r="U45" s="115"/>
      <c r="V45" s="115"/>
      <c r="W45" s="115"/>
      <c r="X45" s="25"/>
      <c r="Y45" s="13"/>
      <c r="AD45" s="116"/>
      <c r="AE45" s="123"/>
      <c r="AF45" s="123"/>
      <c r="AG45" s="123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25"/>
      <c r="AW45" s="13"/>
      <c r="AZ45" s="114"/>
    </row>
    <row r="46" spans="1:52" ht="20.100000000000001" customHeight="1" x14ac:dyDescent="0.4">
      <c r="A46" s="117"/>
      <c r="B46" s="123"/>
      <c r="C46" s="123"/>
      <c r="D46" s="123"/>
      <c r="I46" s="115"/>
      <c r="J46" s="115"/>
      <c r="K46" s="115"/>
      <c r="L46" s="115"/>
      <c r="M46" s="25">
        <v>45775</v>
      </c>
      <c r="N46" s="13" t="s">
        <v>146</v>
      </c>
      <c r="R46" s="115"/>
      <c r="S46" s="115"/>
      <c r="T46" s="115"/>
      <c r="U46" s="115"/>
      <c r="V46" s="115"/>
      <c r="W46" s="115"/>
      <c r="X46" s="25"/>
      <c r="Y46" s="13"/>
      <c r="AD46" s="116"/>
      <c r="AE46" s="123"/>
      <c r="AF46" s="123"/>
      <c r="AG46" s="123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25"/>
      <c r="AW46" s="13"/>
      <c r="AZ46" s="114"/>
    </row>
    <row r="47" spans="1:52" ht="20.100000000000001" customHeight="1" x14ac:dyDescent="0.4">
      <c r="A47" s="117"/>
      <c r="B47" s="123"/>
      <c r="C47" s="123"/>
      <c r="D47" s="123"/>
      <c r="I47" s="115"/>
      <c r="J47" s="115"/>
      <c r="K47" s="115"/>
      <c r="L47" s="115"/>
      <c r="M47" s="25">
        <v>45775</v>
      </c>
      <c r="N47" s="25" t="s">
        <v>148</v>
      </c>
      <c r="R47" s="115"/>
      <c r="S47" s="115"/>
      <c r="T47" s="115"/>
      <c r="U47" s="115"/>
      <c r="V47" s="115"/>
      <c r="W47" s="115"/>
      <c r="X47" s="25"/>
      <c r="Y47" s="13"/>
      <c r="AD47" s="116"/>
      <c r="AE47" s="123"/>
      <c r="AF47" s="123"/>
      <c r="AG47" s="123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25"/>
      <c r="AW47" s="13"/>
      <c r="AZ47" s="114"/>
    </row>
    <row r="48" spans="1:52" ht="20.100000000000001" customHeight="1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25">
        <v>45775</v>
      </c>
      <c r="N48" s="25" t="s">
        <v>147</v>
      </c>
      <c r="R48" s="115"/>
      <c r="S48" s="115"/>
      <c r="T48" s="115"/>
      <c r="U48" s="115"/>
      <c r="V48" s="115"/>
      <c r="W48" s="115"/>
      <c r="X48" s="25"/>
      <c r="Y48" s="13"/>
      <c r="AD48" s="116"/>
      <c r="AE48" s="123"/>
      <c r="AF48" s="123"/>
      <c r="AG48" s="123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25"/>
      <c r="AW48" s="13"/>
      <c r="AZ48" s="114"/>
    </row>
    <row r="49" spans="1:52" ht="20.100000000000001" customHeight="1" x14ac:dyDescent="0.4">
      <c r="A49" s="117"/>
      <c r="B49" s="123"/>
      <c r="C49" s="123"/>
      <c r="D49" s="123"/>
      <c r="M49" s="25">
        <v>45775</v>
      </c>
      <c r="N49" s="13" t="s">
        <v>146</v>
      </c>
      <c r="R49" s="115"/>
      <c r="S49" s="115"/>
      <c r="T49" s="115"/>
      <c r="U49" s="115"/>
      <c r="V49" s="115"/>
      <c r="W49" s="115"/>
      <c r="X49" s="25">
        <v>45672</v>
      </c>
      <c r="Y49" s="13" t="s">
        <v>146</v>
      </c>
      <c r="AD49" s="116"/>
      <c r="AE49" s="123"/>
      <c r="AF49" s="123"/>
      <c r="AG49" s="123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25"/>
      <c r="AW49" s="13"/>
      <c r="AZ49" s="114"/>
    </row>
    <row r="50" spans="1:52" ht="20.100000000000001" customHeight="1" x14ac:dyDescent="0.4">
      <c r="A50" s="117"/>
      <c r="B50" s="123"/>
      <c r="C50" s="123"/>
      <c r="D50" s="123"/>
      <c r="M50" s="25">
        <v>45775</v>
      </c>
      <c r="N50" s="13" t="s">
        <v>146</v>
      </c>
      <c r="R50" s="115"/>
      <c r="S50" s="115"/>
      <c r="T50" s="115"/>
      <c r="U50" s="115"/>
      <c r="V50" s="115"/>
      <c r="W50" s="115"/>
      <c r="X50" s="25">
        <v>45672</v>
      </c>
      <c r="Y50" s="13" t="s">
        <v>146</v>
      </c>
      <c r="AD50" s="116"/>
      <c r="AE50" s="123"/>
      <c r="AF50" s="123"/>
      <c r="AG50" s="123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25"/>
      <c r="AW50" s="13"/>
      <c r="AZ50" s="114"/>
    </row>
    <row r="51" spans="1:52" ht="20.100000000000001" customHeight="1" x14ac:dyDescent="0.4">
      <c r="A51" s="117"/>
      <c r="B51" s="123"/>
      <c r="C51" s="123"/>
      <c r="D51" s="123"/>
      <c r="M51" s="25">
        <v>45775</v>
      </c>
      <c r="N51" s="13" t="s">
        <v>148</v>
      </c>
      <c r="R51" s="115"/>
      <c r="S51" s="115"/>
      <c r="T51" s="115"/>
      <c r="U51" s="115"/>
      <c r="V51" s="115"/>
      <c r="W51" s="115"/>
      <c r="X51" s="25"/>
      <c r="Y51" s="13"/>
      <c r="AD51" s="116"/>
      <c r="AE51" s="123"/>
      <c r="AF51" s="123"/>
      <c r="AG51" s="123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25"/>
      <c r="AW51" s="13"/>
      <c r="AZ51" s="114"/>
    </row>
    <row r="52" spans="1:52" ht="20.100000000000001" customHeight="1" x14ac:dyDescent="0.4">
      <c r="A52" s="117"/>
      <c r="B52" s="123"/>
      <c r="C52" s="123"/>
      <c r="D52" s="123"/>
      <c r="M52" s="25">
        <v>45775</v>
      </c>
      <c r="N52" s="13" t="s">
        <v>148</v>
      </c>
      <c r="R52" s="115"/>
      <c r="S52" s="115"/>
      <c r="T52" s="115"/>
      <c r="U52" s="115"/>
      <c r="V52" s="115"/>
      <c r="W52" s="115"/>
      <c r="X52" s="25">
        <v>45672</v>
      </c>
      <c r="Y52" s="25" t="s">
        <v>147</v>
      </c>
      <c r="AD52" s="116"/>
      <c r="AE52" s="123"/>
      <c r="AF52" s="123"/>
      <c r="AG52" s="123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25"/>
      <c r="AW52" s="13"/>
      <c r="AZ52" s="114"/>
    </row>
    <row r="53" spans="1:52" ht="20.100000000000001" customHeight="1" x14ac:dyDescent="0.4">
      <c r="A53" s="117"/>
      <c r="B53" s="123"/>
      <c r="C53" s="123"/>
      <c r="D53" s="123"/>
      <c r="M53" s="25">
        <v>45775</v>
      </c>
      <c r="N53" s="15" t="s">
        <v>146</v>
      </c>
      <c r="R53" s="115"/>
      <c r="S53" s="115"/>
      <c r="T53" s="115"/>
      <c r="U53" s="115"/>
      <c r="V53" s="115"/>
      <c r="W53" s="115"/>
      <c r="X53" s="25"/>
      <c r="Y53" s="25"/>
      <c r="AD53" s="116"/>
      <c r="AE53" s="123"/>
      <c r="AF53" s="123"/>
      <c r="AG53" s="123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25"/>
      <c r="AW53" s="13"/>
      <c r="AZ53" s="114"/>
    </row>
    <row r="54" spans="1:52" ht="20.100000000000001" customHeight="1" x14ac:dyDescent="0.4">
      <c r="A54" s="117"/>
      <c r="B54" s="123"/>
      <c r="C54" s="123"/>
      <c r="D54" s="123"/>
      <c r="M54" s="25">
        <v>45775</v>
      </c>
      <c r="N54" s="15" t="s">
        <v>146</v>
      </c>
      <c r="R54" s="115"/>
      <c r="S54" s="115"/>
      <c r="T54" s="115"/>
      <c r="U54" s="115"/>
      <c r="V54" s="115"/>
      <c r="W54" s="115"/>
      <c r="X54" s="25">
        <v>45673</v>
      </c>
      <c r="Y54" s="13" t="s">
        <v>147</v>
      </c>
      <c r="AD54" s="116"/>
      <c r="AE54" s="123"/>
      <c r="AF54" s="123"/>
      <c r="AG54" s="123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25"/>
      <c r="AW54" s="13"/>
      <c r="AZ54" s="114"/>
    </row>
    <row r="55" spans="1:52" ht="20.100000000000001" customHeight="1" x14ac:dyDescent="0.4">
      <c r="A55" s="117"/>
      <c r="B55" s="123"/>
      <c r="C55" s="123"/>
      <c r="D55" s="123"/>
      <c r="L55" s="115" t="s">
        <v>207</v>
      </c>
      <c r="M55" s="13">
        <f>SUBTOTAL(3,M25:M54)</f>
        <v>30</v>
      </c>
      <c r="N55" s="15">
        <f>SUBTOTAL(3,N25:N54)</f>
        <v>30</v>
      </c>
      <c r="R55" s="115"/>
      <c r="S55" s="115"/>
      <c r="T55" s="115"/>
      <c r="U55" s="115"/>
      <c r="V55" s="115"/>
      <c r="W55" s="115"/>
      <c r="X55" s="25"/>
      <c r="Y55" s="13"/>
      <c r="AD55" s="116"/>
      <c r="AE55" s="123"/>
      <c r="AF55" s="123"/>
      <c r="AG55" s="123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25"/>
      <c r="AW55" s="13"/>
      <c r="AZ55" s="114"/>
    </row>
    <row r="56" spans="1:52" ht="20.100000000000001" customHeight="1" x14ac:dyDescent="0.4">
      <c r="A56" s="117"/>
      <c r="B56" s="123"/>
      <c r="C56" s="123"/>
      <c r="D56" s="123"/>
      <c r="I56" s="115"/>
      <c r="J56" s="115"/>
      <c r="K56" s="115"/>
      <c r="L56" s="115"/>
      <c r="M56" s="25">
        <v>45776</v>
      </c>
      <c r="N56" s="105" t="s">
        <v>147</v>
      </c>
      <c r="R56" s="115"/>
      <c r="S56" s="115"/>
      <c r="T56" s="115"/>
      <c r="U56" s="115"/>
      <c r="V56" s="115"/>
      <c r="W56" s="115"/>
      <c r="X56" s="25"/>
      <c r="Y56" s="13"/>
      <c r="AD56" s="116"/>
      <c r="AE56" s="123"/>
      <c r="AF56" s="123"/>
      <c r="AG56" s="123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25"/>
      <c r="AW56" s="13"/>
      <c r="AZ56" s="114"/>
    </row>
    <row r="57" spans="1:52" ht="20.100000000000001" customHeight="1" x14ac:dyDescent="0.4">
      <c r="A57" s="117"/>
      <c r="B57" s="123"/>
      <c r="C57" s="123"/>
      <c r="D57" s="123"/>
      <c r="I57" s="115"/>
      <c r="J57" s="115"/>
      <c r="K57" s="115"/>
      <c r="L57" s="115" t="s">
        <v>208</v>
      </c>
      <c r="M57" s="13">
        <f>SUBTOTAL(3,M56:M56)</f>
        <v>1</v>
      </c>
      <c r="N57" s="15">
        <f>SUBTOTAL(3,N56:N56)</f>
        <v>1</v>
      </c>
      <c r="R57" s="115"/>
      <c r="S57" s="115"/>
      <c r="T57" s="115"/>
      <c r="U57" s="115"/>
      <c r="V57" s="115"/>
      <c r="W57" s="115"/>
      <c r="X57" s="25"/>
      <c r="Y57" s="13"/>
      <c r="AD57" s="116"/>
      <c r="AE57" s="123"/>
      <c r="AF57" s="123"/>
      <c r="AG57" s="123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25"/>
      <c r="AW57" s="13"/>
      <c r="AZ57" s="114"/>
    </row>
    <row r="58" spans="1:52" ht="20.100000000000001" customHeight="1" x14ac:dyDescent="0.4">
      <c r="A58" s="117"/>
      <c r="B58" s="123"/>
      <c r="C58" s="123"/>
      <c r="D58" s="123"/>
      <c r="M58" s="25">
        <v>45777</v>
      </c>
      <c r="N58" s="15" t="s">
        <v>146</v>
      </c>
      <c r="R58" s="115"/>
      <c r="S58" s="115"/>
      <c r="T58" s="115"/>
      <c r="U58" s="115"/>
      <c r="V58" s="115"/>
      <c r="W58" s="115"/>
      <c r="X58" s="25">
        <v>45673</v>
      </c>
      <c r="Y58" s="13" t="s">
        <v>147</v>
      </c>
      <c r="AD58" s="116"/>
      <c r="AE58" s="123"/>
      <c r="AF58" s="123"/>
      <c r="AG58" s="123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25"/>
      <c r="AW58" s="13"/>
      <c r="AZ58" s="114"/>
    </row>
    <row r="59" spans="1:52" ht="20.100000000000001" customHeight="1" x14ac:dyDescent="0.4">
      <c r="A59" s="117"/>
      <c r="B59" s="123"/>
      <c r="C59" s="123"/>
      <c r="D59" s="123"/>
      <c r="G59" s="115"/>
      <c r="H59" s="115"/>
      <c r="I59" s="115"/>
      <c r="J59" s="115"/>
      <c r="K59" s="115"/>
      <c r="L59" s="115"/>
      <c r="M59" s="25">
        <v>45777</v>
      </c>
      <c r="N59" s="15" t="s">
        <v>146</v>
      </c>
      <c r="R59" s="115"/>
      <c r="S59" s="115"/>
      <c r="T59" s="115"/>
      <c r="U59" s="115"/>
      <c r="V59" s="115"/>
      <c r="W59" s="115"/>
      <c r="X59" s="25"/>
      <c r="Y59" s="13"/>
      <c r="AD59" s="116"/>
      <c r="AE59" s="123"/>
      <c r="AF59" s="123"/>
      <c r="AG59" s="123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25"/>
      <c r="AW59" s="13"/>
      <c r="AZ59" s="114"/>
    </row>
    <row r="60" spans="1:52" ht="20.100000000000001" customHeight="1" x14ac:dyDescent="0.4">
      <c r="A60" s="117"/>
      <c r="B60" s="123"/>
      <c r="C60" s="123"/>
      <c r="D60" s="123"/>
      <c r="G60" s="115"/>
      <c r="H60" s="115"/>
      <c r="I60" s="115"/>
      <c r="J60" s="115"/>
      <c r="K60" s="115"/>
      <c r="L60" s="115"/>
      <c r="M60" s="25">
        <v>45777</v>
      </c>
      <c r="N60" s="15" t="s">
        <v>148</v>
      </c>
      <c r="R60" s="115"/>
      <c r="S60" s="115"/>
      <c r="T60" s="115"/>
      <c r="U60" s="115"/>
      <c r="V60" s="115"/>
      <c r="W60" s="115"/>
      <c r="X60" s="25"/>
      <c r="Y60" s="13"/>
      <c r="AD60" s="116"/>
      <c r="AE60" s="123"/>
      <c r="AF60" s="123"/>
      <c r="AG60" s="123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25"/>
      <c r="AW60" s="13"/>
      <c r="AZ60" s="114"/>
    </row>
    <row r="61" spans="1:52" ht="20.100000000000001" customHeight="1" x14ac:dyDescent="0.4">
      <c r="A61" s="117"/>
      <c r="B61" s="123"/>
      <c r="C61" s="123"/>
      <c r="D61" s="123"/>
      <c r="G61" s="115"/>
      <c r="H61" s="115"/>
      <c r="I61" s="115"/>
      <c r="J61" s="115"/>
      <c r="K61" s="115"/>
      <c r="L61" s="115"/>
      <c r="M61" s="25">
        <v>45777</v>
      </c>
      <c r="N61" s="15" t="s">
        <v>147</v>
      </c>
      <c r="R61" s="115"/>
      <c r="S61" s="115"/>
      <c r="T61" s="115"/>
      <c r="U61" s="115"/>
      <c r="V61" s="115"/>
      <c r="W61" s="115"/>
      <c r="X61" s="25"/>
      <c r="Y61" s="13"/>
      <c r="AD61" s="116"/>
      <c r="AE61" s="123"/>
      <c r="AF61" s="123"/>
      <c r="AG61" s="123"/>
      <c r="AL61" s="115"/>
      <c r="AM61" s="115"/>
      <c r="AN61" s="115"/>
      <c r="AO61" s="115"/>
      <c r="AP61" s="115"/>
      <c r="AQ61" s="115"/>
      <c r="AR61" s="115"/>
      <c r="AS61" s="115"/>
      <c r="AT61" s="115"/>
      <c r="AU61" s="115"/>
      <c r="AV61" s="25"/>
      <c r="AW61" s="13"/>
      <c r="AZ61" s="114"/>
    </row>
    <row r="62" spans="1:52" ht="20.100000000000001" customHeight="1" x14ac:dyDescent="0.4">
      <c r="A62" s="117"/>
      <c r="B62" s="123"/>
      <c r="C62" s="123"/>
      <c r="D62" s="123"/>
      <c r="G62" s="115"/>
      <c r="H62" s="115"/>
      <c r="I62" s="115"/>
      <c r="J62" s="115"/>
      <c r="K62" s="115"/>
      <c r="L62" s="115"/>
      <c r="M62" s="25">
        <v>45777</v>
      </c>
      <c r="N62" s="15" t="s">
        <v>147</v>
      </c>
      <c r="R62" s="115"/>
      <c r="S62" s="115"/>
      <c r="T62" s="115"/>
      <c r="U62" s="115"/>
      <c r="V62" s="115"/>
      <c r="W62" s="115"/>
      <c r="X62" s="25"/>
      <c r="Y62" s="13"/>
      <c r="AD62" s="116"/>
      <c r="AE62" s="123"/>
      <c r="AF62" s="123"/>
      <c r="AG62" s="123"/>
      <c r="AL62" s="115"/>
      <c r="AM62" s="115"/>
      <c r="AN62" s="115"/>
      <c r="AO62" s="115"/>
      <c r="AP62" s="115"/>
      <c r="AQ62" s="115"/>
      <c r="AR62" s="115"/>
      <c r="AS62" s="115"/>
      <c r="AT62" s="115"/>
      <c r="AU62" s="115"/>
      <c r="AV62" s="25"/>
      <c r="AW62" s="13"/>
      <c r="AZ62" s="114"/>
    </row>
    <row r="63" spans="1:52" ht="20.100000000000001" customHeight="1" x14ac:dyDescent="0.4">
      <c r="A63" s="117"/>
      <c r="B63" s="123"/>
      <c r="C63" s="123"/>
      <c r="D63" s="123"/>
      <c r="G63" s="115"/>
      <c r="H63" s="115"/>
      <c r="I63" s="115"/>
      <c r="J63" s="115"/>
      <c r="K63" s="115"/>
      <c r="L63" s="115" t="s">
        <v>209</v>
      </c>
      <c r="M63" s="13">
        <f>SUBTOTAL(3,M58:M62)</f>
        <v>5</v>
      </c>
      <c r="N63" s="13">
        <f>SUBTOTAL(3,N58:N62)</f>
        <v>5</v>
      </c>
      <c r="R63" s="115"/>
      <c r="S63" s="115"/>
      <c r="T63" s="115"/>
      <c r="U63" s="115"/>
      <c r="V63" s="115"/>
      <c r="W63" s="115"/>
      <c r="X63" s="25"/>
      <c r="Y63" s="13"/>
      <c r="AD63" s="116"/>
      <c r="AE63" s="123"/>
      <c r="AF63" s="123"/>
      <c r="AG63" s="123"/>
      <c r="AL63" s="115"/>
      <c r="AM63" s="115"/>
      <c r="AN63" s="115"/>
      <c r="AO63" s="115"/>
      <c r="AP63" s="115"/>
      <c r="AQ63" s="115"/>
      <c r="AR63" s="115"/>
      <c r="AS63" s="115"/>
      <c r="AT63" s="115"/>
      <c r="AU63" s="115"/>
      <c r="AV63" s="25"/>
      <c r="AW63" s="13"/>
      <c r="AZ63" s="114"/>
    </row>
    <row r="64" spans="1:52" ht="20.100000000000001" customHeight="1" x14ac:dyDescent="0.4">
      <c r="A64" s="117"/>
      <c r="B64" s="123"/>
      <c r="C64" s="123"/>
      <c r="D64" s="123"/>
      <c r="G64" s="115"/>
      <c r="H64" s="115"/>
      <c r="I64" s="115"/>
      <c r="J64" s="115"/>
      <c r="K64" s="115"/>
      <c r="L64" s="115"/>
      <c r="M64" s="25">
        <v>45783</v>
      </c>
      <c r="N64" s="13" t="s">
        <v>148</v>
      </c>
      <c r="R64" s="115"/>
      <c r="S64" s="115"/>
      <c r="T64" s="115"/>
      <c r="U64" s="115"/>
      <c r="V64" s="115"/>
      <c r="W64" s="115"/>
      <c r="X64" s="25"/>
      <c r="Y64" s="13"/>
      <c r="AD64" s="116"/>
      <c r="AE64" s="123"/>
      <c r="AF64" s="123"/>
      <c r="AG64" s="123"/>
      <c r="AL64" s="115"/>
      <c r="AM64" s="115"/>
      <c r="AN64" s="115"/>
      <c r="AO64" s="115"/>
      <c r="AP64" s="115"/>
      <c r="AQ64" s="115"/>
      <c r="AR64" s="115"/>
      <c r="AS64" s="115"/>
      <c r="AT64" s="115"/>
      <c r="AU64" s="115"/>
      <c r="AV64" s="25"/>
      <c r="AW64" s="13"/>
      <c r="AZ64" s="114"/>
    </row>
    <row r="65" spans="1:52" ht="20.100000000000001" customHeight="1" x14ac:dyDescent="0.4">
      <c r="A65" s="117"/>
      <c r="B65" s="123"/>
      <c r="C65" s="123"/>
      <c r="D65" s="123"/>
      <c r="G65" s="115"/>
      <c r="H65" s="115"/>
      <c r="I65" s="115"/>
      <c r="J65" s="115"/>
      <c r="K65" s="115"/>
      <c r="L65" s="115"/>
      <c r="M65" s="25">
        <v>45783</v>
      </c>
      <c r="N65" s="13" t="s">
        <v>146</v>
      </c>
      <c r="R65" s="115"/>
      <c r="S65" s="115"/>
      <c r="T65" s="115"/>
      <c r="U65" s="115"/>
      <c r="V65" s="115"/>
      <c r="W65" s="115"/>
      <c r="X65" s="25"/>
      <c r="Y65" s="13"/>
      <c r="AD65" s="116"/>
      <c r="AE65" s="123"/>
      <c r="AF65" s="123"/>
      <c r="AG65" s="123"/>
      <c r="AL65" s="115"/>
      <c r="AM65" s="115"/>
      <c r="AN65" s="115"/>
      <c r="AO65" s="115"/>
      <c r="AP65" s="115"/>
      <c r="AQ65" s="115"/>
      <c r="AR65" s="115"/>
      <c r="AS65" s="115"/>
      <c r="AT65" s="115"/>
      <c r="AU65" s="115"/>
      <c r="AV65" s="25"/>
      <c r="AW65" s="13"/>
      <c r="AZ65" s="114"/>
    </row>
    <row r="66" spans="1:52" ht="20.100000000000001" customHeight="1" x14ac:dyDescent="0.4">
      <c r="A66" s="117"/>
      <c r="B66" s="123"/>
      <c r="C66" s="123"/>
      <c r="D66" s="123"/>
      <c r="G66" s="115"/>
      <c r="H66" s="115"/>
      <c r="I66" s="115"/>
      <c r="J66" s="115"/>
      <c r="K66" s="115"/>
      <c r="L66" s="115"/>
      <c r="M66" s="25">
        <v>45783</v>
      </c>
      <c r="N66" s="13" t="s">
        <v>146</v>
      </c>
      <c r="R66" s="115"/>
      <c r="S66" s="115"/>
      <c r="T66" s="115"/>
      <c r="U66" s="115"/>
      <c r="V66" s="115"/>
      <c r="W66" s="115"/>
      <c r="X66" s="25"/>
      <c r="Y66" s="13"/>
      <c r="AD66" s="116"/>
      <c r="AE66" s="123"/>
      <c r="AF66" s="123"/>
      <c r="AG66" s="123"/>
      <c r="AL66" s="115"/>
      <c r="AM66" s="115"/>
      <c r="AN66" s="115"/>
      <c r="AO66" s="115"/>
      <c r="AP66" s="115"/>
      <c r="AQ66" s="115"/>
      <c r="AR66" s="115"/>
      <c r="AS66" s="115"/>
      <c r="AT66" s="115"/>
      <c r="AU66" s="115"/>
      <c r="AV66" s="25"/>
      <c r="AW66" s="13"/>
      <c r="AZ66" s="114"/>
    </row>
    <row r="67" spans="1:52" ht="20.100000000000001" customHeight="1" x14ac:dyDescent="0.4">
      <c r="A67" s="117"/>
      <c r="B67" s="123"/>
      <c r="C67" s="123"/>
      <c r="D67" s="123"/>
      <c r="M67" s="25">
        <v>45783</v>
      </c>
      <c r="N67" s="13" t="s">
        <v>146</v>
      </c>
      <c r="P67" s="115"/>
      <c r="Q67" s="115"/>
      <c r="R67" s="115"/>
      <c r="S67" s="115"/>
      <c r="T67" s="115"/>
      <c r="U67" s="115"/>
      <c r="V67" s="115"/>
      <c r="W67" s="115"/>
      <c r="X67" s="25">
        <v>45673</v>
      </c>
      <c r="Y67" s="13" t="s">
        <v>148</v>
      </c>
      <c r="AD67" s="116"/>
      <c r="AE67" s="123"/>
      <c r="AF67" s="123"/>
      <c r="AG67" s="123"/>
      <c r="AL67" s="115"/>
      <c r="AM67" s="115"/>
      <c r="AN67" s="115"/>
      <c r="AO67" s="115"/>
      <c r="AP67" s="115"/>
      <c r="AQ67" s="115"/>
      <c r="AR67" s="115"/>
      <c r="AS67" s="115"/>
      <c r="AT67" s="115"/>
      <c r="AU67" s="115"/>
      <c r="AV67" s="25"/>
      <c r="AW67" s="13"/>
      <c r="AZ67" s="114"/>
    </row>
    <row r="68" spans="1:52" ht="20.100000000000001" customHeight="1" x14ac:dyDescent="0.4">
      <c r="A68" s="117"/>
      <c r="B68" s="123"/>
      <c r="C68" s="123"/>
      <c r="D68" s="123"/>
      <c r="K68" s="115"/>
      <c r="L68" s="115"/>
      <c r="M68" s="25">
        <v>45783</v>
      </c>
      <c r="N68" s="13" t="s">
        <v>146</v>
      </c>
      <c r="P68" s="115"/>
      <c r="Q68" s="115"/>
      <c r="R68" s="115"/>
      <c r="S68" s="115"/>
      <c r="T68" s="115"/>
      <c r="U68" s="115"/>
      <c r="V68" s="115"/>
      <c r="W68" s="115"/>
      <c r="X68" s="25"/>
      <c r="Y68" s="13"/>
      <c r="AD68" s="116"/>
      <c r="AE68" s="123"/>
      <c r="AF68" s="123"/>
      <c r="AG68" s="123"/>
      <c r="AL68" s="115"/>
      <c r="AM68" s="115"/>
      <c r="AN68" s="115"/>
      <c r="AO68" s="115"/>
      <c r="AP68" s="115"/>
      <c r="AQ68" s="115"/>
      <c r="AR68" s="115"/>
      <c r="AS68" s="115"/>
      <c r="AT68" s="115"/>
      <c r="AU68" s="115"/>
      <c r="AV68" s="25"/>
      <c r="AW68" s="13"/>
      <c r="AZ68" s="114"/>
    </row>
    <row r="69" spans="1:52" ht="20.100000000000001" customHeight="1" x14ac:dyDescent="0.4">
      <c r="A69" s="117"/>
      <c r="B69" s="123"/>
      <c r="C69" s="123"/>
      <c r="D69" s="123"/>
      <c r="I69" s="115"/>
      <c r="J69" s="115"/>
      <c r="K69" s="115"/>
      <c r="L69" s="115"/>
      <c r="M69" s="25">
        <v>45783</v>
      </c>
      <c r="N69" s="25" t="s">
        <v>147</v>
      </c>
      <c r="P69" s="115"/>
      <c r="Q69" s="115"/>
      <c r="R69" s="115"/>
      <c r="S69" s="115"/>
      <c r="T69" s="115"/>
      <c r="U69" s="115"/>
      <c r="V69" s="115"/>
      <c r="W69" s="115"/>
      <c r="X69" s="25"/>
      <c r="Y69" s="13"/>
      <c r="AD69" s="116"/>
      <c r="AE69" s="123"/>
      <c r="AF69" s="123"/>
      <c r="AG69" s="123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25"/>
      <c r="AW69" s="13"/>
      <c r="AZ69" s="114"/>
    </row>
    <row r="70" spans="1:52" ht="20.100000000000001" customHeight="1" x14ac:dyDescent="0.4">
      <c r="A70" s="117"/>
      <c r="B70" s="123"/>
      <c r="C70" s="123"/>
      <c r="D70" s="123"/>
      <c r="I70" s="115"/>
      <c r="J70" s="115"/>
      <c r="K70" s="115"/>
      <c r="L70" s="115" t="s">
        <v>210</v>
      </c>
      <c r="M70" s="13">
        <f>SUBTOTAL(3,M64:M69)</f>
        <v>6</v>
      </c>
      <c r="N70" s="13">
        <f>SUBTOTAL(3,N64:N69)</f>
        <v>6</v>
      </c>
      <c r="P70" s="115"/>
      <c r="Q70" s="115"/>
      <c r="R70" s="115"/>
      <c r="S70" s="115"/>
      <c r="T70" s="115"/>
      <c r="U70" s="115"/>
      <c r="V70" s="115"/>
      <c r="W70" s="115"/>
      <c r="X70" s="25"/>
      <c r="Y70" s="13"/>
      <c r="AD70" s="116"/>
      <c r="AE70" s="123"/>
      <c r="AF70" s="123"/>
      <c r="AG70" s="123"/>
      <c r="AL70" s="115"/>
      <c r="AM70" s="115"/>
      <c r="AN70" s="115"/>
      <c r="AO70" s="115"/>
      <c r="AP70" s="115"/>
      <c r="AQ70" s="115"/>
      <c r="AR70" s="115"/>
      <c r="AS70" s="115"/>
      <c r="AT70" s="115"/>
      <c r="AU70" s="115"/>
      <c r="AV70" s="25"/>
      <c r="AW70" s="13"/>
      <c r="AZ70" s="114"/>
    </row>
    <row r="71" spans="1:52" ht="20.100000000000001" customHeight="1" x14ac:dyDescent="0.4">
      <c r="A71" s="117"/>
      <c r="B71" s="123"/>
      <c r="C71" s="123"/>
      <c r="D71" s="123"/>
      <c r="I71" s="115"/>
      <c r="J71" s="115"/>
      <c r="K71" s="115"/>
      <c r="L71" s="115"/>
      <c r="M71" s="25">
        <v>45784</v>
      </c>
      <c r="N71" s="13" t="s">
        <v>147</v>
      </c>
      <c r="P71" s="115"/>
      <c r="Q71" s="115"/>
      <c r="R71" s="115"/>
      <c r="S71" s="115"/>
      <c r="T71" s="115"/>
      <c r="U71" s="115"/>
      <c r="V71" s="115"/>
      <c r="W71" s="115"/>
      <c r="X71" s="25"/>
      <c r="Y71" s="13"/>
      <c r="AD71" s="116"/>
      <c r="AE71" s="123"/>
      <c r="AF71" s="123"/>
      <c r="AG71" s="123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25"/>
      <c r="AW71" s="13"/>
      <c r="AZ71" s="114"/>
    </row>
    <row r="72" spans="1:52" ht="20.100000000000001" customHeight="1" x14ac:dyDescent="0.4">
      <c r="A72" s="117"/>
      <c r="B72" s="123"/>
      <c r="C72" s="123"/>
      <c r="D72" s="123"/>
      <c r="G72" s="115"/>
      <c r="H72" s="115"/>
      <c r="I72" s="115"/>
      <c r="J72" s="115"/>
      <c r="K72" s="115"/>
      <c r="L72" s="115"/>
      <c r="M72" s="25">
        <v>45784</v>
      </c>
      <c r="N72" s="13" t="s">
        <v>148</v>
      </c>
      <c r="P72" s="115"/>
      <c r="Q72" s="115"/>
      <c r="R72" s="115"/>
      <c r="S72" s="115"/>
      <c r="T72" s="115"/>
      <c r="U72" s="115"/>
      <c r="V72" s="115"/>
      <c r="W72" s="115"/>
      <c r="X72" s="25"/>
      <c r="Y72" s="13"/>
      <c r="AD72" s="116"/>
      <c r="AE72" s="123"/>
      <c r="AF72" s="123"/>
      <c r="AG72" s="123"/>
      <c r="AL72" s="115"/>
      <c r="AM72" s="115"/>
      <c r="AN72" s="115"/>
      <c r="AO72" s="115"/>
      <c r="AP72" s="115"/>
      <c r="AQ72" s="115"/>
      <c r="AR72" s="115"/>
      <c r="AS72" s="115"/>
      <c r="AT72" s="115"/>
      <c r="AU72" s="115"/>
      <c r="AV72" s="25"/>
      <c r="AW72" s="13"/>
      <c r="AZ72" s="114"/>
    </row>
    <row r="73" spans="1:52" ht="20.100000000000001" customHeight="1" x14ac:dyDescent="0.4">
      <c r="A73" s="117"/>
      <c r="B73" s="123"/>
      <c r="C73" s="123"/>
      <c r="D73" s="123"/>
      <c r="M73" s="25">
        <v>45784</v>
      </c>
      <c r="N73" s="13" t="s">
        <v>147</v>
      </c>
      <c r="P73" s="115"/>
      <c r="Q73" s="115"/>
      <c r="R73" s="115"/>
      <c r="S73" s="115"/>
      <c r="T73" s="115"/>
      <c r="U73" s="115"/>
      <c r="V73" s="115"/>
      <c r="W73" s="115"/>
      <c r="X73" s="25">
        <v>45673</v>
      </c>
      <c r="Y73" s="13" t="s">
        <v>147</v>
      </c>
      <c r="AD73" s="116"/>
      <c r="AE73" s="123"/>
      <c r="AF73" s="123"/>
      <c r="AG73" s="123"/>
      <c r="AL73" s="115"/>
      <c r="AM73" s="115"/>
      <c r="AN73" s="115"/>
      <c r="AO73" s="115"/>
      <c r="AP73" s="115"/>
      <c r="AQ73" s="115"/>
      <c r="AR73" s="115"/>
      <c r="AS73" s="115"/>
      <c r="AT73" s="115"/>
      <c r="AU73" s="115"/>
      <c r="AV73" s="25"/>
      <c r="AW73" s="13"/>
      <c r="AZ73" s="114"/>
    </row>
    <row r="74" spans="1:52" ht="20.100000000000001" customHeight="1" x14ac:dyDescent="0.4">
      <c r="A74" s="117"/>
      <c r="B74" s="123"/>
      <c r="C74" s="123"/>
      <c r="D74" s="123"/>
      <c r="M74" s="25">
        <v>45784</v>
      </c>
      <c r="N74" s="13" t="s">
        <v>146</v>
      </c>
      <c r="P74" s="115"/>
      <c r="Q74" s="115"/>
      <c r="R74" s="115"/>
      <c r="S74" s="115"/>
      <c r="T74" s="115"/>
      <c r="U74" s="115"/>
      <c r="V74" s="115"/>
      <c r="W74" s="115"/>
      <c r="X74" s="25"/>
      <c r="Y74" s="13"/>
      <c r="AD74" s="116"/>
      <c r="AE74" s="123"/>
      <c r="AF74" s="123"/>
      <c r="AG74" s="123"/>
      <c r="AL74" s="115"/>
      <c r="AM74" s="115"/>
      <c r="AN74" s="115"/>
      <c r="AO74" s="115"/>
      <c r="AP74" s="115"/>
      <c r="AQ74" s="115"/>
      <c r="AR74" s="115"/>
      <c r="AS74" s="115"/>
      <c r="AT74" s="115"/>
      <c r="AU74" s="115"/>
      <c r="AV74" s="25"/>
      <c r="AW74" s="13"/>
      <c r="AZ74" s="114"/>
    </row>
    <row r="75" spans="1:52" ht="20.100000000000001" customHeight="1" x14ac:dyDescent="0.4">
      <c r="A75" s="117"/>
      <c r="B75" s="123"/>
      <c r="C75" s="123"/>
      <c r="D75" s="123"/>
      <c r="K75" s="115"/>
      <c r="L75" s="115"/>
      <c r="M75" s="25">
        <v>45784</v>
      </c>
      <c r="N75" s="13" t="s">
        <v>146</v>
      </c>
      <c r="P75" s="115"/>
      <c r="Q75" s="115"/>
      <c r="R75" s="115"/>
      <c r="S75" s="115"/>
      <c r="T75" s="115"/>
      <c r="U75" s="115"/>
      <c r="V75" s="115"/>
      <c r="W75" s="115"/>
      <c r="X75" s="25"/>
      <c r="Y75" s="13"/>
      <c r="AD75" s="116"/>
      <c r="AE75" s="123"/>
      <c r="AF75" s="123"/>
      <c r="AG75" s="123"/>
      <c r="AL75" s="115"/>
      <c r="AM75" s="115"/>
      <c r="AN75" s="115"/>
      <c r="AO75" s="115"/>
      <c r="AP75" s="115"/>
      <c r="AQ75" s="115"/>
      <c r="AR75" s="115"/>
      <c r="AS75" s="115"/>
      <c r="AT75" s="115"/>
      <c r="AU75" s="115"/>
      <c r="AV75" s="25"/>
      <c r="AW75" s="13"/>
      <c r="AZ75" s="114"/>
    </row>
    <row r="76" spans="1:52" ht="20.100000000000001" customHeight="1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25">
        <v>45784</v>
      </c>
      <c r="N76" s="25" t="s">
        <v>147</v>
      </c>
      <c r="P76" s="115"/>
      <c r="Q76" s="115"/>
      <c r="R76" s="115"/>
      <c r="S76" s="115"/>
      <c r="T76" s="115"/>
      <c r="U76" s="115"/>
      <c r="V76" s="115"/>
      <c r="W76" s="115"/>
      <c r="X76" s="25"/>
      <c r="Y76" s="13"/>
      <c r="AD76" s="116"/>
      <c r="AE76" s="123"/>
      <c r="AF76" s="123"/>
      <c r="AG76" s="123"/>
      <c r="AL76" s="115"/>
      <c r="AM76" s="115"/>
      <c r="AN76" s="115"/>
      <c r="AO76" s="115"/>
      <c r="AP76" s="115"/>
      <c r="AQ76" s="115"/>
      <c r="AR76" s="115"/>
      <c r="AS76" s="115"/>
      <c r="AT76" s="115"/>
      <c r="AU76" s="115"/>
      <c r="AV76" s="25"/>
      <c r="AW76" s="13"/>
      <c r="AZ76" s="114"/>
    </row>
    <row r="77" spans="1:52" ht="20.100000000000001" customHeight="1" x14ac:dyDescent="0.4">
      <c r="A77" s="117"/>
      <c r="B77" s="123"/>
      <c r="C77" s="123"/>
      <c r="D77" s="123"/>
      <c r="G77" s="115"/>
      <c r="H77" s="115"/>
      <c r="I77" s="115"/>
      <c r="J77" s="115"/>
      <c r="K77" s="115"/>
      <c r="L77" s="115"/>
      <c r="M77" s="25">
        <v>45784</v>
      </c>
      <c r="N77" s="13" t="s">
        <v>147</v>
      </c>
      <c r="P77" s="115"/>
      <c r="Q77" s="115"/>
      <c r="R77" s="115"/>
      <c r="S77" s="115"/>
      <c r="T77" s="115"/>
      <c r="U77" s="115"/>
      <c r="V77" s="115"/>
      <c r="W77" s="115"/>
      <c r="X77" s="25"/>
      <c r="Y77" s="13"/>
      <c r="AD77" s="116"/>
      <c r="AE77" s="123"/>
      <c r="AF77" s="123"/>
      <c r="AG77" s="123"/>
      <c r="AL77" s="115"/>
      <c r="AM77" s="115"/>
      <c r="AN77" s="115"/>
      <c r="AO77" s="115"/>
      <c r="AP77" s="115"/>
      <c r="AQ77" s="115"/>
      <c r="AR77" s="115"/>
      <c r="AS77" s="115"/>
      <c r="AT77" s="115"/>
      <c r="AU77" s="115"/>
      <c r="AV77" s="25"/>
      <c r="AW77" s="13"/>
      <c r="AZ77" s="114"/>
    </row>
    <row r="78" spans="1:52" ht="20.100000000000001" customHeight="1" x14ac:dyDescent="0.4">
      <c r="A78" s="117"/>
      <c r="B78" s="123"/>
      <c r="C78" s="123"/>
      <c r="D78" s="123"/>
      <c r="G78" s="115"/>
      <c r="H78" s="115"/>
      <c r="I78" s="115"/>
      <c r="J78" s="115"/>
      <c r="K78" s="115"/>
      <c r="L78" s="115"/>
      <c r="M78" s="25">
        <v>45784</v>
      </c>
      <c r="N78" s="13" t="s">
        <v>148</v>
      </c>
      <c r="P78" s="115"/>
      <c r="Q78" s="115"/>
      <c r="R78" s="115"/>
      <c r="S78" s="115"/>
      <c r="T78" s="115"/>
      <c r="U78" s="115"/>
      <c r="V78" s="115"/>
      <c r="W78" s="115"/>
      <c r="X78" s="25"/>
      <c r="Y78" s="13"/>
      <c r="AD78" s="116"/>
      <c r="AE78" s="123"/>
      <c r="AF78" s="123"/>
      <c r="AG78" s="123"/>
      <c r="AL78" s="115"/>
      <c r="AM78" s="115"/>
      <c r="AN78" s="115"/>
      <c r="AO78" s="115"/>
      <c r="AP78" s="115"/>
      <c r="AQ78" s="115"/>
      <c r="AR78" s="115"/>
      <c r="AS78" s="115"/>
      <c r="AT78" s="115"/>
      <c r="AU78" s="115"/>
      <c r="AV78" s="25"/>
      <c r="AW78" s="13"/>
      <c r="AZ78" s="114"/>
    </row>
    <row r="79" spans="1:52" ht="20.100000000000001" customHeight="1" x14ac:dyDescent="0.4">
      <c r="A79" s="117"/>
      <c r="B79" s="123"/>
      <c r="C79" s="123"/>
      <c r="D79" s="123"/>
      <c r="G79" s="115"/>
      <c r="H79" s="115"/>
      <c r="I79" s="115"/>
      <c r="J79" s="115"/>
      <c r="K79" s="115"/>
      <c r="L79" s="115" t="s">
        <v>352</v>
      </c>
      <c r="M79" s="13">
        <f>SUBTOTAL(3,M71:M78)</f>
        <v>8</v>
      </c>
      <c r="N79" s="13">
        <f>SUBTOTAL(3,N71:N78)</f>
        <v>8</v>
      </c>
      <c r="P79" s="115"/>
      <c r="Q79" s="115"/>
      <c r="R79" s="115"/>
      <c r="S79" s="115"/>
      <c r="T79" s="115"/>
      <c r="U79" s="115"/>
      <c r="V79" s="115"/>
      <c r="W79" s="115"/>
      <c r="X79" s="25"/>
      <c r="Y79" s="13"/>
      <c r="AD79" s="116"/>
      <c r="AE79" s="123"/>
      <c r="AF79" s="123"/>
      <c r="AG79" s="123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25"/>
      <c r="AW79" s="13"/>
      <c r="AZ79" s="114"/>
    </row>
    <row r="80" spans="1:52" ht="20.100000000000001" customHeight="1" x14ac:dyDescent="0.4">
      <c r="A80" s="117"/>
      <c r="B80" s="123"/>
      <c r="C80" s="123"/>
      <c r="D80" s="123"/>
      <c r="M80" s="25">
        <v>45785</v>
      </c>
      <c r="N80" s="13" t="s">
        <v>146</v>
      </c>
      <c r="P80" s="115"/>
      <c r="Q80" s="115"/>
      <c r="R80" s="115"/>
      <c r="S80" s="115"/>
      <c r="T80" s="115"/>
      <c r="U80" s="115"/>
      <c r="V80" s="115"/>
      <c r="W80" s="115"/>
      <c r="X80" s="25">
        <v>45673</v>
      </c>
      <c r="Y80" s="13" t="s">
        <v>147</v>
      </c>
      <c r="AD80" s="116"/>
      <c r="AE80" s="123"/>
      <c r="AF80" s="123"/>
      <c r="AG80" s="123"/>
      <c r="AL80" s="115"/>
      <c r="AM80" s="115"/>
      <c r="AN80" s="115"/>
      <c r="AO80" s="115"/>
      <c r="AP80" s="115"/>
      <c r="AQ80" s="115"/>
      <c r="AR80" s="115"/>
      <c r="AS80" s="115"/>
      <c r="AT80" s="115"/>
      <c r="AU80" s="115"/>
      <c r="AV80" s="25"/>
      <c r="AW80" s="13"/>
      <c r="AZ80" s="114"/>
    </row>
    <row r="81" spans="1:52" ht="20.100000000000001" customHeight="1" x14ac:dyDescent="0.4">
      <c r="A81" s="117"/>
      <c r="B81" s="123"/>
      <c r="C81" s="123"/>
      <c r="D81" s="123"/>
      <c r="M81" s="25">
        <v>45785</v>
      </c>
      <c r="N81" s="13" t="s">
        <v>146</v>
      </c>
      <c r="P81" s="115"/>
      <c r="Q81" s="115"/>
      <c r="R81" s="115"/>
      <c r="S81" s="115"/>
      <c r="T81" s="115"/>
      <c r="U81" s="115"/>
      <c r="V81" s="115"/>
      <c r="W81" s="115"/>
      <c r="X81" s="25">
        <v>45673</v>
      </c>
      <c r="Y81" s="13" t="s">
        <v>147</v>
      </c>
      <c r="AD81" s="116"/>
      <c r="AE81" s="123"/>
      <c r="AF81" s="123"/>
      <c r="AG81" s="123"/>
      <c r="AL81" s="115"/>
      <c r="AM81" s="115"/>
      <c r="AN81" s="115"/>
      <c r="AO81" s="115"/>
      <c r="AP81" s="115"/>
      <c r="AQ81" s="115"/>
      <c r="AR81" s="115"/>
      <c r="AS81" s="115"/>
      <c r="AT81" s="115"/>
      <c r="AU81" s="115"/>
      <c r="AV81" s="25"/>
      <c r="AW81" s="13"/>
      <c r="AZ81" s="114"/>
    </row>
    <row r="82" spans="1:52" ht="20.100000000000001" customHeight="1" x14ac:dyDescent="0.4">
      <c r="A82" s="117"/>
      <c r="B82" s="123"/>
      <c r="C82" s="123"/>
      <c r="D82" s="123"/>
      <c r="M82" s="25">
        <v>45785</v>
      </c>
      <c r="N82" s="13" t="s">
        <v>147</v>
      </c>
      <c r="P82" s="115"/>
      <c r="Q82" s="115"/>
      <c r="R82" s="115"/>
      <c r="S82" s="115"/>
      <c r="T82" s="115"/>
      <c r="U82" s="115"/>
      <c r="V82" s="115"/>
      <c r="W82" s="115"/>
      <c r="X82" s="25">
        <v>45675</v>
      </c>
      <c r="Y82" s="13" t="s">
        <v>147</v>
      </c>
      <c r="AD82" s="116"/>
      <c r="AE82" s="123"/>
      <c r="AF82" s="123"/>
      <c r="AG82" s="123"/>
      <c r="AL82" s="115"/>
      <c r="AM82" s="115"/>
      <c r="AN82" s="115"/>
      <c r="AO82" s="115"/>
      <c r="AP82" s="115"/>
      <c r="AQ82" s="115"/>
      <c r="AR82" s="115"/>
      <c r="AS82" s="115"/>
      <c r="AT82" s="115"/>
      <c r="AU82" s="115"/>
      <c r="AV82" s="25"/>
      <c r="AW82" s="13"/>
      <c r="AZ82" s="114"/>
    </row>
    <row r="83" spans="1:52" ht="20.100000000000001" customHeight="1" x14ac:dyDescent="0.4">
      <c r="A83" s="117"/>
      <c r="B83" s="123"/>
      <c r="C83" s="123"/>
      <c r="D83" s="123"/>
      <c r="M83" s="25">
        <v>45785</v>
      </c>
      <c r="N83" s="13" t="s">
        <v>146</v>
      </c>
      <c r="P83" s="115"/>
      <c r="Q83" s="115"/>
      <c r="R83" s="115"/>
      <c r="S83" s="115"/>
      <c r="T83" s="115"/>
      <c r="U83" s="115"/>
      <c r="V83" s="115"/>
      <c r="W83" s="115"/>
      <c r="X83" s="25"/>
      <c r="Y83" s="13"/>
      <c r="AD83" s="116"/>
      <c r="AE83" s="123"/>
      <c r="AF83" s="123"/>
      <c r="AG83" s="123"/>
      <c r="AL83" s="115"/>
      <c r="AM83" s="115"/>
      <c r="AN83" s="115"/>
      <c r="AO83" s="115"/>
      <c r="AP83" s="115"/>
      <c r="AQ83" s="115"/>
      <c r="AR83" s="115"/>
      <c r="AS83" s="115"/>
      <c r="AT83" s="115"/>
      <c r="AU83" s="115"/>
      <c r="AV83" s="25"/>
      <c r="AW83" s="13"/>
      <c r="AZ83" s="114"/>
    </row>
    <row r="84" spans="1:52" ht="20.100000000000001" customHeight="1" x14ac:dyDescent="0.4">
      <c r="A84" s="117"/>
      <c r="B84" s="123"/>
      <c r="C84" s="123"/>
      <c r="D84" s="123"/>
      <c r="M84" s="25">
        <v>45785</v>
      </c>
      <c r="N84" s="13" t="s">
        <v>147</v>
      </c>
      <c r="P84" s="115"/>
      <c r="Q84" s="115"/>
      <c r="R84" s="115"/>
      <c r="S84" s="115"/>
      <c r="T84" s="115"/>
      <c r="U84" s="115"/>
      <c r="V84" s="115"/>
      <c r="W84" s="115"/>
      <c r="X84" s="25">
        <v>45675</v>
      </c>
      <c r="Y84" s="15" t="s">
        <v>147</v>
      </c>
      <c r="AD84" s="116"/>
      <c r="AE84" s="123"/>
      <c r="AF84" s="123"/>
      <c r="AG84" s="123"/>
      <c r="AL84" s="115"/>
      <c r="AM84" s="115"/>
      <c r="AN84" s="115"/>
      <c r="AO84" s="115"/>
      <c r="AP84" s="115"/>
      <c r="AQ84" s="115"/>
      <c r="AR84" s="115"/>
      <c r="AS84" s="115"/>
      <c r="AT84" s="115"/>
      <c r="AU84" s="115"/>
      <c r="AV84" s="25"/>
      <c r="AW84" s="13"/>
      <c r="AZ84" s="114"/>
    </row>
    <row r="85" spans="1:52" ht="20.100000000000001" customHeight="1" x14ac:dyDescent="0.4">
      <c r="A85" s="117"/>
      <c r="B85" s="123"/>
      <c r="C85" s="123"/>
      <c r="D85" s="123"/>
      <c r="M85" s="25">
        <v>45785</v>
      </c>
      <c r="N85" s="13" t="s">
        <v>147</v>
      </c>
      <c r="P85" s="115"/>
      <c r="Q85" s="115"/>
      <c r="R85" s="115"/>
      <c r="S85" s="115"/>
      <c r="T85" s="115"/>
      <c r="U85" s="115"/>
      <c r="V85" s="115"/>
      <c r="W85" s="115"/>
      <c r="X85" s="25"/>
      <c r="Y85" s="13"/>
      <c r="AD85" s="116"/>
      <c r="AE85" s="123"/>
      <c r="AF85" s="123"/>
      <c r="AG85" s="123"/>
      <c r="AL85" s="115"/>
      <c r="AM85" s="115"/>
      <c r="AN85" s="115"/>
      <c r="AO85" s="115"/>
      <c r="AP85" s="115"/>
      <c r="AQ85" s="115"/>
      <c r="AR85" s="115"/>
      <c r="AS85" s="115"/>
      <c r="AT85" s="115"/>
      <c r="AU85" s="115"/>
      <c r="AV85" s="25"/>
      <c r="AW85" s="13"/>
      <c r="AZ85" s="114"/>
    </row>
    <row r="86" spans="1:52" ht="20.100000000000001" customHeight="1" x14ac:dyDescent="0.4">
      <c r="A86" s="117"/>
      <c r="B86" s="123"/>
      <c r="C86" s="123"/>
      <c r="D86" s="123"/>
      <c r="M86" s="25">
        <v>45785</v>
      </c>
      <c r="N86" s="13" t="s">
        <v>147</v>
      </c>
      <c r="P86" s="115"/>
      <c r="Q86" s="115"/>
      <c r="R86" s="115"/>
      <c r="S86" s="115"/>
      <c r="T86" s="115"/>
      <c r="U86" s="115"/>
      <c r="V86" s="115"/>
      <c r="W86" s="115"/>
      <c r="X86" s="25">
        <v>45675</v>
      </c>
      <c r="Y86" s="13" t="s">
        <v>147</v>
      </c>
      <c r="AD86" s="116"/>
      <c r="AE86" s="123"/>
      <c r="AF86" s="123"/>
      <c r="AG86" s="123"/>
      <c r="AL86" s="115"/>
      <c r="AM86" s="115"/>
      <c r="AN86" s="115"/>
      <c r="AO86" s="115"/>
      <c r="AP86" s="115"/>
      <c r="AQ86" s="115"/>
      <c r="AR86" s="115"/>
      <c r="AS86" s="115"/>
      <c r="AT86" s="115"/>
      <c r="AU86" s="115"/>
      <c r="AV86" s="25"/>
      <c r="AW86" s="13"/>
      <c r="AZ86" s="114"/>
    </row>
    <row r="87" spans="1:52" ht="20.100000000000001" customHeight="1" x14ac:dyDescent="0.4">
      <c r="A87" s="117"/>
      <c r="B87" s="123"/>
      <c r="C87" s="123"/>
      <c r="D87" s="123"/>
      <c r="K87" s="115"/>
      <c r="L87" s="115"/>
      <c r="M87" s="25">
        <v>45785</v>
      </c>
      <c r="N87" s="13" t="s">
        <v>146</v>
      </c>
      <c r="P87" s="115"/>
      <c r="Q87" s="115"/>
      <c r="R87" s="115"/>
      <c r="S87" s="115"/>
      <c r="T87" s="115"/>
      <c r="U87" s="115"/>
      <c r="V87" s="115"/>
      <c r="W87" s="115"/>
      <c r="X87" s="25"/>
      <c r="Y87" s="13"/>
      <c r="AD87" s="116"/>
      <c r="AE87" s="123"/>
      <c r="AF87" s="123"/>
      <c r="AG87" s="123"/>
      <c r="AL87" s="115"/>
      <c r="AM87" s="115"/>
      <c r="AN87" s="115"/>
      <c r="AO87" s="115"/>
      <c r="AP87" s="115"/>
      <c r="AQ87" s="115"/>
      <c r="AR87" s="115"/>
      <c r="AS87" s="115"/>
      <c r="AT87" s="115"/>
      <c r="AU87" s="115"/>
      <c r="AV87" s="25"/>
      <c r="AW87" s="13"/>
      <c r="AZ87" s="114"/>
    </row>
    <row r="88" spans="1:52" ht="20.100000000000001" customHeight="1" x14ac:dyDescent="0.4">
      <c r="A88" s="117"/>
      <c r="B88" s="123"/>
      <c r="C88" s="123"/>
      <c r="D88" s="123"/>
      <c r="M88" s="25">
        <v>45785</v>
      </c>
      <c r="N88" s="13" t="s">
        <v>146</v>
      </c>
      <c r="P88" s="115"/>
      <c r="Q88" s="115"/>
      <c r="R88" s="115"/>
      <c r="S88" s="115"/>
      <c r="T88" s="115"/>
      <c r="U88" s="115"/>
      <c r="V88" s="115"/>
      <c r="W88" s="115"/>
      <c r="X88" s="25"/>
      <c r="Y88" s="13"/>
      <c r="AD88" s="116"/>
      <c r="AE88" s="123"/>
      <c r="AF88" s="123"/>
      <c r="AG88" s="123"/>
      <c r="AL88" s="115"/>
      <c r="AM88" s="115"/>
      <c r="AN88" s="115"/>
      <c r="AO88" s="115"/>
      <c r="AP88" s="115"/>
      <c r="AQ88" s="115"/>
      <c r="AR88" s="115"/>
      <c r="AS88" s="115"/>
      <c r="AT88" s="115"/>
      <c r="AU88" s="115"/>
      <c r="AV88" s="25"/>
      <c r="AW88" s="13"/>
      <c r="AZ88" s="114"/>
    </row>
    <row r="89" spans="1:52" ht="20.100000000000001" customHeight="1" x14ac:dyDescent="0.4">
      <c r="A89" s="117"/>
      <c r="B89" s="123"/>
      <c r="C89" s="123"/>
      <c r="D89" s="123"/>
      <c r="L89" s="115" t="s">
        <v>211</v>
      </c>
      <c r="M89" s="13">
        <f>SUBTOTAL(3,M80:M88)</f>
        <v>9</v>
      </c>
      <c r="N89" s="13">
        <f>SUBTOTAL(3,N80:N88)</f>
        <v>9</v>
      </c>
      <c r="P89" s="115"/>
      <c r="Q89" s="115"/>
      <c r="R89" s="115"/>
      <c r="S89" s="115"/>
      <c r="T89" s="115"/>
      <c r="U89" s="115"/>
      <c r="V89" s="115"/>
      <c r="W89" s="115"/>
      <c r="X89" s="25"/>
      <c r="Y89" s="13"/>
      <c r="AD89" s="116"/>
      <c r="AE89" s="123"/>
      <c r="AF89" s="123"/>
      <c r="AG89" s="123"/>
      <c r="AL89" s="115"/>
      <c r="AM89" s="115"/>
      <c r="AN89" s="115"/>
      <c r="AO89" s="115"/>
      <c r="AP89" s="115"/>
      <c r="AQ89" s="115"/>
      <c r="AR89" s="115"/>
      <c r="AS89" s="115"/>
      <c r="AT89" s="115"/>
      <c r="AU89" s="115"/>
      <c r="AV89" s="25"/>
      <c r="AW89" s="13"/>
      <c r="AZ89" s="114"/>
    </row>
    <row r="90" spans="1:52" ht="20.100000000000001" customHeight="1" x14ac:dyDescent="0.4">
      <c r="A90" s="117"/>
      <c r="B90" s="123"/>
      <c r="C90" s="123"/>
      <c r="D90" s="123"/>
      <c r="M90" s="25">
        <v>45787</v>
      </c>
      <c r="N90" s="13" t="s">
        <v>148</v>
      </c>
      <c r="P90" s="115"/>
      <c r="Q90" s="115"/>
      <c r="R90" s="115"/>
      <c r="S90" s="115"/>
      <c r="T90" s="115"/>
      <c r="U90" s="115"/>
      <c r="V90" s="115"/>
      <c r="W90" s="115"/>
      <c r="X90" s="25"/>
      <c r="Y90" s="13"/>
      <c r="AD90" s="116"/>
      <c r="AE90" s="123"/>
      <c r="AF90" s="123"/>
      <c r="AG90" s="123"/>
      <c r="AL90" s="115"/>
      <c r="AM90" s="115"/>
      <c r="AN90" s="115"/>
      <c r="AO90" s="115"/>
      <c r="AP90" s="115"/>
      <c r="AQ90" s="115"/>
      <c r="AR90" s="115"/>
      <c r="AS90" s="115"/>
      <c r="AT90" s="115"/>
      <c r="AU90" s="115"/>
      <c r="AV90" s="25"/>
      <c r="AW90" s="13"/>
      <c r="AZ90" s="114"/>
    </row>
    <row r="91" spans="1:52" ht="20.100000000000001" customHeight="1" x14ac:dyDescent="0.4">
      <c r="A91" s="117"/>
      <c r="B91" s="123"/>
      <c r="C91" s="123"/>
      <c r="D91" s="123"/>
      <c r="G91" s="115"/>
      <c r="H91" s="115"/>
      <c r="I91" s="115"/>
      <c r="J91" s="115"/>
      <c r="K91" s="115"/>
      <c r="L91" s="115"/>
      <c r="M91" s="25">
        <v>45787</v>
      </c>
      <c r="N91" s="13" t="s">
        <v>146</v>
      </c>
      <c r="P91" s="115"/>
      <c r="Q91" s="115"/>
      <c r="R91" s="115"/>
      <c r="S91" s="115"/>
      <c r="T91" s="115"/>
      <c r="U91" s="115"/>
      <c r="V91" s="115"/>
      <c r="W91" s="115"/>
      <c r="X91" s="25"/>
      <c r="Y91" s="13"/>
      <c r="AD91" s="116"/>
      <c r="AE91" s="123"/>
      <c r="AF91" s="123"/>
      <c r="AG91" s="123"/>
      <c r="AL91" s="115"/>
      <c r="AM91" s="115"/>
      <c r="AN91" s="115"/>
      <c r="AO91" s="115"/>
      <c r="AP91" s="115"/>
      <c r="AQ91" s="115"/>
      <c r="AR91" s="115"/>
      <c r="AS91" s="115"/>
      <c r="AT91" s="115"/>
      <c r="AU91" s="115"/>
      <c r="AV91" s="25"/>
      <c r="AW91" s="13"/>
      <c r="AZ91" s="114"/>
    </row>
    <row r="92" spans="1:52" ht="20.100000000000001" customHeight="1" x14ac:dyDescent="0.4">
      <c r="A92" s="117"/>
      <c r="B92" s="123"/>
      <c r="C92" s="123"/>
      <c r="D92" s="123"/>
      <c r="M92" s="25">
        <v>45787</v>
      </c>
      <c r="N92" s="13" t="s">
        <v>146</v>
      </c>
      <c r="O92" s="115"/>
      <c r="P92" s="115"/>
      <c r="Q92" s="115"/>
      <c r="R92" s="115"/>
      <c r="S92" s="115"/>
      <c r="T92" s="115"/>
      <c r="U92" s="115"/>
      <c r="V92" s="115"/>
      <c r="W92" s="115"/>
      <c r="X92" s="25">
        <v>45675</v>
      </c>
      <c r="Y92" s="13" t="s">
        <v>146</v>
      </c>
      <c r="AD92" s="116"/>
      <c r="AE92" s="123"/>
      <c r="AF92" s="123"/>
      <c r="AG92" s="123"/>
      <c r="AL92" s="115"/>
      <c r="AM92" s="115"/>
      <c r="AN92" s="115"/>
      <c r="AO92" s="115"/>
      <c r="AP92" s="115"/>
      <c r="AQ92" s="115"/>
      <c r="AR92" s="115"/>
      <c r="AS92" s="115"/>
      <c r="AT92" s="115"/>
      <c r="AU92" s="115"/>
      <c r="AV92" s="25"/>
      <c r="AW92" s="13"/>
      <c r="AZ92" s="114"/>
    </row>
    <row r="93" spans="1:52" ht="20.100000000000001" customHeight="1" x14ac:dyDescent="0.4">
      <c r="A93" s="117"/>
      <c r="B93" s="123"/>
      <c r="C93" s="123"/>
      <c r="D93" s="123"/>
      <c r="M93" s="25">
        <v>45787</v>
      </c>
      <c r="N93" s="13" t="s">
        <v>146</v>
      </c>
      <c r="O93" s="115"/>
      <c r="P93" s="115"/>
      <c r="Q93" s="115"/>
      <c r="R93" s="115"/>
      <c r="S93" s="115"/>
      <c r="T93" s="115"/>
      <c r="U93" s="115"/>
      <c r="V93" s="115"/>
      <c r="W93" s="115"/>
      <c r="X93" s="25">
        <v>45676</v>
      </c>
      <c r="Y93" s="13" t="s">
        <v>148</v>
      </c>
      <c r="AD93" s="116"/>
      <c r="AE93" s="123"/>
      <c r="AF93" s="123"/>
      <c r="AG93" s="123"/>
      <c r="AL93" s="115"/>
      <c r="AM93" s="115"/>
      <c r="AN93" s="115"/>
      <c r="AO93" s="115"/>
      <c r="AP93" s="115"/>
      <c r="AQ93" s="115"/>
      <c r="AR93" s="115"/>
      <c r="AS93" s="115"/>
      <c r="AT93" s="115"/>
      <c r="AU93" s="115"/>
      <c r="AV93" s="25"/>
      <c r="AW93" s="13"/>
      <c r="AZ93" s="114"/>
    </row>
    <row r="94" spans="1:52" ht="20.100000000000001" customHeight="1" x14ac:dyDescent="0.4">
      <c r="A94" s="117"/>
      <c r="B94" s="123"/>
      <c r="C94" s="123"/>
      <c r="D94" s="123"/>
      <c r="J94" s="115"/>
      <c r="K94" s="115"/>
      <c r="L94" s="115"/>
      <c r="M94" s="25">
        <v>45787</v>
      </c>
      <c r="N94" s="13" t="s">
        <v>146</v>
      </c>
      <c r="O94" s="115"/>
      <c r="P94" s="115"/>
      <c r="Q94" s="115"/>
      <c r="R94" s="115"/>
      <c r="S94" s="115"/>
      <c r="T94" s="115"/>
      <c r="U94" s="115"/>
      <c r="V94" s="115"/>
      <c r="W94" s="115"/>
      <c r="X94" s="25"/>
      <c r="Y94" s="13"/>
      <c r="AD94" s="116"/>
      <c r="AE94" s="123"/>
      <c r="AF94" s="123"/>
      <c r="AG94" s="123"/>
      <c r="AL94" s="115"/>
      <c r="AM94" s="115"/>
      <c r="AN94" s="115"/>
      <c r="AO94" s="115"/>
      <c r="AP94" s="115"/>
      <c r="AQ94" s="115"/>
      <c r="AR94" s="115"/>
      <c r="AS94" s="115"/>
      <c r="AT94" s="115"/>
      <c r="AU94" s="115"/>
      <c r="AV94" s="25"/>
      <c r="AW94" s="13"/>
      <c r="AZ94" s="114"/>
    </row>
    <row r="95" spans="1:52" ht="20.100000000000001" customHeight="1" x14ac:dyDescent="0.4">
      <c r="A95" s="117"/>
      <c r="B95" s="123"/>
      <c r="C95" s="123"/>
      <c r="D95" s="123"/>
      <c r="G95" s="115"/>
      <c r="H95" s="115"/>
      <c r="I95" s="115"/>
      <c r="J95" s="115"/>
      <c r="K95" s="115"/>
      <c r="L95" s="115"/>
      <c r="M95" s="25">
        <v>45787</v>
      </c>
      <c r="N95" s="13" t="s">
        <v>146</v>
      </c>
      <c r="O95" s="115"/>
      <c r="P95" s="115"/>
      <c r="Q95" s="115"/>
      <c r="R95" s="115"/>
      <c r="S95" s="115"/>
      <c r="T95" s="115"/>
      <c r="U95" s="115"/>
      <c r="V95" s="115"/>
      <c r="W95" s="115"/>
      <c r="X95" s="25"/>
      <c r="Y95" s="13"/>
      <c r="AD95" s="116"/>
      <c r="AE95" s="123"/>
      <c r="AF95" s="123"/>
      <c r="AG95" s="123"/>
      <c r="AL95" s="115"/>
      <c r="AM95" s="115"/>
      <c r="AN95" s="115"/>
      <c r="AO95" s="115"/>
      <c r="AP95" s="115"/>
      <c r="AQ95" s="115"/>
      <c r="AR95" s="115"/>
      <c r="AS95" s="115"/>
      <c r="AT95" s="115"/>
      <c r="AU95" s="115"/>
      <c r="AV95" s="25"/>
      <c r="AW95" s="13"/>
      <c r="AZ95" s="114"/>
    </row>
    <row r="96" spans="1:52" ht="20.100000000000001" customHeight="1" x14ac:dyDescent="0.4">
      <c r="A96" s="117"/>
      <c r="B96" s="123"/>
      <c r="C96" s="123"/>
      <c r="D96" s="123"/>
      <c r="G96" s="115"/>
      <c r="H96" s="115"/>
      <c r="I96" s="115"/>
      <c r="J96" s="115"/>
      <c r="K96" s="115"/>
      <c r="L96" s="115"/>
      <c r="M96" s="25">
        <v>45787</v>
      </c>
      <c r="N96" s="13" t="s">
        <v>148</v>
      </c>
      <c r="O96" s="115"/>
      <c r="P96" s="115"/>
      <c r="Q96" s="115"/>
      <c r="R96" s="115"/>
      <c r="S96" s="115"/>
      <c r="T96" s="115"/>
      <c r="U96" s="115"/>
      <c r="V96" s="115"/>
      <c r="W96" s="115"/>
      <c r="X96" s="25"/>
      <c r="Y96" s="13"/>
      <c r="AD96" s="116"/>
      <c r="AE96" s="123"/>
      <c r="AF96" s="123"/>
      <c r="AG96" s="123"/>
      <c r="AL96" s="115"/>
      <c r="AM96" s="115"/>
      <c r="AN96" s="115"/>
      <c r="AO96" s="115"/>
      <c r="AP96" s="115"/>
      <c r="AQ96" s="115"/>
      <c r="AR96" s="115"/>
      <c r="AS96" s="115"/>
      <c r="AT96" s="115"/>
      <c r="AU96" s="115"/>
      <c r="AV96" s="25"/>
      <c r="AW96" s="13"/>
      <c r="AZ96" s="114"/>
    </row>
    <row r="97" spans="1:52" ht="20.100000000000001" customHeight="1" x14ac:dyDescent="0.4">
      <c r="A97" s="117"/>
      <c r="B97" s="123"/>
      <c r="C97" s="123"/>
      <c r="D97" s="123"/>
      <c r="M97" s="25">
        <v>45787</v>
      </c>
      <c r="N97" s="13" t="s">
        <v>146</v>
      </c>
      <c r="O97" s="115"/>
      <c r="P97" s="115"/>
      <c r="Q97" s="115"/>
      <c r="R97" s="115"/>
      <c r="S97" s="115"/>
      <c r="T97" s="115"/>
      <c r="U97" s="115"/>
      <c r="V97" s="115"/>
      <c r="W97" s="115"/>
      <c r="X97" s="25">
        <v>45677</v>
      </c>
      <c r="Y97" s="13" t="s">
        <v>146</v>
      </c>
      <c r="AD97" s="116"/>
      <c r="AE97" s="123"/>
      <c r="AF97" s="123"/>
      <c r="AG97" s="123"/>
      <c r="AL97" s="115"/>
      <c r="AM97" s="115"/>
      <c r="AN97" s="115"/>
      <c r="AO97" s="115"/>
      <c r="AP97" s="115"/>
      <c r="AQ97" s="115"/>
      <c r="AR97" s="115"/>
      <c r="AS97" s="115"/>
      <c r="AT97" s="115"/>
      <c r="AU97" s="115"/>
      <c r="AV97" s="25"/>
      <c r="AW97" s="13"/>
      <c r="AZ97" s="114"/>
    </row>
    <row r="98" spans="1:52" ht="20.100000000000001" customHeight="1" x14ac:dyDescent="0.4">
      <c r="A98" s="117"/>
      <c r="B98" s="123"/>
      <c r="C98" s="123"/>
      <c r="D98" s="123"/>
      <c r="I98" s="115"/>
      <c r="J98" s="115"/>
      <c r="K98" s="115"/>
      <c r="L98" s="115"/>
      <c r="M98" s="25">
        <v>45787</v>
      </c>
      <c r="N98" s="15" t="s">
        <v>148</v>
      </c>
      <c r="O98" s="115"/>
      <c r="P98" s="115"/>
      <c r="Q98" s="115"/>
      <c r="R98" s="115"/>
      <c r="S98" s="115"/>
      <c r="T98" s="115"/>
      <c r="U98" s="115"/>
      <c r="V98" s="115"/>
      <c r="W98" s="115"/>
      <c r="X98" s="25"/>
      <c r="Y98" s="13"/>
      <c r="AD98" s="116"/>
      <c r="AE98" s="123"/>
      <c r="AF98" s="123"/>
      <c r="AG98" s="123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25"/>
      <c r="AW98" s="13"/>
      <c r="AZ98" s="114"/>
    </row>
    <row r="99" spans="1:52" ht="20.100000000000001" customHeight="1" x14ac:dyDescent="0.4">
      <c r="A99" s="117"/>
      <c r="B99" s="123"/>
      <c r="C99" s="123"/>
      <c r="D99" s="123"/>
      <c r="M99" s="25">
        <v>45787</v>
      </c>
      <c r="N99" s="15" t="s">
        <v>146</v>
      </c>
      <c r="O99" s="115"/>
      <c r="P99" s="115"/>
      <c r="Q99" s="115"/>
      <c r="R99" s="115"/>
      <c r="S99" s="115"/>
      <c r="T99" s="115"/>
      <c r="U99" s="115"/>
      <c r="V99" s="115"/>
      <c r="W99" s="115"/>
      <c r="X99" s="25"/>
      <c r="Y99" s="13"/>
      <c r="AD99" s="116"/>
      <c r="AE99" s="123"/>
      <c r="AF99" s="123"/>
      <c r="AG99" s="123"/>
      <c r="AL99" s="115"/>
      <c r="AM99" s="115"/>
      <c r="AN99" s="115"/>
      <c r="AO99" s="115"/>
      <c r="AP99" s="115"/>
      <c r="AQ99" s="115"/>
      <c r="AR99" s="115"/>
      <c r="AS99" s="115"/>
      <c r="AT99" s="115"/>
      <c r="AU99" s="115"/>
      <c r="AV99" s="25"/>
      <c r="AW99" s="13"/>
      <c r="AZ99" s="114"/>
    </row>
    <row r="100" spans="1:52" ht="20.100000000000001" customHeight="1" x14ac:dyDescent="0.4">
      <c r="A100" s="117"/>
      <c r="B100" s="123"/>
      <c r="C100" s="123"/>
      <c r="D100" s="123"/>
      <c r="K100" s="115"/>
      <c r="L100" s="115"/>
      <c r="M100" s="25">
        <v>45787</v>
      </c>
      <c r="N100" s="105" t="s">
        <v>147</v>
      </c>
      <c r="O100" s="115"/>
      <c r="P100" s="115"/>
      <c r="Q100" s="115"/>
      <c r="R100" s="115"/>
      <c r="S100" s="115"/>
      <c r="T100" s="115"/>
      <c r="U100" s="115"/>
      <c r="V100" s="115"/>
      <c r="W100" s="115"/>
      <c r="X100" s="25"/>
      <c r="Y100" s="13"/>
      <c r="AD100" s="116"/>
      <c r="AE100" s="123"/>
      <c r="AF100" s="123"/>
      <c r="AG100" s="123"/>
      <c r="AL100" s="115"/>
      <c r="AM100" s="115"/>
      <c r="AN100" s="115"/>
      <c r="AO100" s="115"/>
      <c r="AP100" s="115"/>
      <c r="AQ100" s="115"/>
      <c r="AR100" s="115"/>
      <c r="AS100" s="115"/>
      <c r="AT100" s="115"/>
      <c r="AU100" s="115"/>
      <c r="AV100" s="25"/>
      <c r="AW100" s="13"/>
      <c r="AZ100" s="114"/>
    </row>
    <row r="101" spans="1:52" ht="20.100000000000001" customHeight="1" x14ac:dyDescent="0.4">
      <c r="A101" s="117"/>
      <c r="B101" s="123"/>
      <c r="C101" s="123"/>
      <c r="D101" s="123"/>
      <c r="K101" s="115"/>
      <c r="L101" s="115" t="s">
        <v>353</v>
      </c>
      <c r="M101" s="13">
        <f>SUBTOTAL(3,M90:M100)</f>
        <v>11</v>
      </c>
      <c r="N101" s="13">
        <f>SUBTOTAL(3,N90:N100)</f>
        <v>11</v>
      </c>
      <c r="O101" s="115"/>
      <c r="P101" s="115"/>
      <c r="Q101" s="115"/>
      <c r="R101" s="115"/>
      <c r="S101" s="115"/>
      <c r="T101" s="115"/>
      <c r="U101" s="115"/>
      <c r="V101" s="115"/>
      <c r="W101" s="115"/>
      <c r="X101" s="25"/>
      <c r="Y101" s="13"/>
      <c r="AD101" s="116"/>
      <c r="AE101" s="123"/>
      <c r="AF101" s="123"/>
      <c r="AG101" s="123"/>
      <c r="AL101" s="115"/>
      <c r="AM101" s="115"/>
      <c r="AN101" s="115"/>
      <c r="AO101" s="115"/>
      <c r="AP101" s="115"/>
      <c r="AQ101" s="115"/>
      <c r="AR101" s="115"/>
      <c r="AS101" s="115"/>
      <c r="AT101" s="115"/>
      <c r="AU101" s="115"/>
      <c r="AV101" s="25"/>
      <c r="AW101" s="13"/>
      <c r="AZ101" s="114"/>
    </row>
    <row r="102" spans="1:52" ht="20.100000000000001" customHeight="1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25">
        <v>45788</v>
      </c>
      <c r="N102" s="13" t="s">
        <v>146</v>
      </c>
      <c r="O102" s="115"/>
      <c r="P102" s="115"/>
      <c r="Q102" s="115"/>
      <c r="R102" s="115"/>
      <c r="S102" s="115"/>
      <c r="T102" s="115"/>
      <c r="U102" s="115"/>
      <c r="V102" s="115"/>
      <c r="W102" s="115"/>
      <c r="X102" s="25"/>
      <c r="Y102" s="13"/>
      <c r="AD102" s="116"/>
      <c r="AE102" s="123"/>
      <c r="AF102" s="123"/>
      <c r="AG102" s="123"/>
      <c r="AL102" s="115"/>
      <c r="AM102" s="115"/>
      <c r="AN102" s="115"/>
      <c r="AO102" s="115"/>
      <c r="AP102" s="115"/>
      <c r="AQ102" s="115"/>
      <c r="AR102" s="115"/>
      <c r="AS102" s="115"/>
      <c r="AT102" s="115"/>
      <c r="AU102" s="115"/>
      <c r="AV102" s="25"/>
      <c r="AW102" s="13"/>
      <c r="AZ102" s="114"/>
    </row>
    <row r="103" spans="1:52" ht="20.100000000000001" customHeight="1" x14ac:dyDescent="0.4">
      <c r="A103" s="117"/>
      <c r="B103" s="123"/>
      <c r="C103" s="123"/>
      <c r="D103" s="123"/>
      <c r="M103" s="25">
        <v>45788</v>
      </c>
      <c r="N103" s="13" t="s">
        <v>146</v>
      </c>
      <c r="O103" s="115"/>
      <c r="P103" s="115"/>
      <c r="Q103" s="115"/>
      <c r="R103" s="115"/>
      <c r="S103" s="115"/>
      <c r="T103" s="115"/>
      <c r="U103" s="115"/>
      <c r="V103" s="115"/>
      <c r="W103" s="115"/>
      <c r="X103" s="25">
        <v>45677</v>
      </c>
      <c r="Y103" s="13" t="s">
        <v>146</v>
      </c>
      <c r="AD103" s="116"/>
      <c r="AE103" s="123"/>
      <c r="AF103" s="123"/>
      <c r="AG103" s="123"/>
      <c r="AL103" s="115"/>
      <c r="AM103" s="115"/>
      <c r="AN103" s="115"/>
      <c r="AO103" s="115"/>
      <c r="AP103" s="115"/>
      <c r="AQ103" s="115"/>
      <c r="AR103" s="115"/>
      <c r="AS103" s="115"/>
      <c r="AT103" s="115"/>
      <c r="AU103" s="115"/>
      <c r="AV103" s="25"/>
      <c r="AW103" s="13"/>
      <c r="AZ103" s="114"/>
    </row>
    <row r="104" spans="1:52" ht="20.100000000000001" customHeight="1" x14ac:dyDescent="0.4">
      <c r="A104" s="117"/>
      <c r="B104" s="123"/>
      <c r="C104" s="123"/>
      <c r="D104" s="123"/>
      <c r="G104" s="115"/>
      <c r="H104" s="115"/>
      <c r="I104" s="115"/>
      <c r="J104" s="115"/>
      <c r="K104" s="115"/>
      <c r="L104" s="115"/>
      <c r="M104" s="25">
        <v>45788</v>
      </c>
      <c r="N104" s="13" t="s">
        <v>147</v>
      </c>
      <c r="O104" s="115"/>
      <c r="P104" s="115"/>
      <c r="Q104" s="115"/>
      <c r="R104" s="115"/>
      <c r="S104" s="115"/>
      <c r="T104" s="115"/>
      <c r="U104" s="115"/>
      <c r="V104" s="115"/>
      <c r="W104" s="115"/>
      <c r="X104" s="25"/>
      <c r="Y104" s="13"/>
      <c r="AD104" s="116"/>
      <c r="AE104" s="123"/>
      <c r="AF104" s="123"/>
      <c r="AG104" s="123"/>
      <c r="AL104" s="115"/>
      <c r="AM104" s="115"/>
      <c r="AN104" s="115"/>
      <c r="AO104" s="115"/>
      <c r="AP104" s="115"/>
      <c r="AQ104" s="115"/>
      <c r="AR104" s="115"/>
      <c r="AS104" s="115"/>
      <c r="AT104" s="115"/>
      <c r="AU104" s="115"/>
      <c r="AV104" s="25"/>
      <c r="AW104" s="13"/>
      <c r="AZ104" s="114"/>
    </row>
    <row r="105" spans="1:52" ht="20.100000000000001" customHeight="1" x14ac:dyDescent="0.4">
      <c r="A105" s="117"/>
      <c r="B105" s="123"/>
      <c r="C105" s="123"/>
      <c r="D105" s="123"/>
      <c r="G105" s="115"/>
      <c r="H105" s="115"/>
      <c r="I105" s="115"/>
      <c r="J105" s="115"/>
      <c r="K105" s="115"/>
      <c r="L105" s="115"/>
      <c r="M105" s="25">
        <v>45788</v>
      </c>
      <c r="N105" s="13" t="s">
        <v>147</v>
      </c>
      <c r="O105" s="115"/>
      <c r="P105" s="115"/>
      <c r="Q105" s="115"/>
      <c r="R105" s="115"/>
      <c r="S105" s="115"/>
      <c r="T105" s="115"/>
      <c r="U105" s="115"/>
      <c r="V105" s="115"/>
      <c r="W105" s="115"/>
      <c r="X105" s="25"/>
      <c r="Y105" s="13"/>
      <c r="AD105" s="116"/>
      <c r="AE105" s="123"/>
      <c r="AF105" s="123"/>
      <c r="AG105" s="123"/>
      <c r="AL105" s="115"/>
      <c r="AM105" s="115"/>
      <c r="AN105" s="115"/>
      <c r="AO105" s="115"/>
      <c r="AP105" s="115"/>
      <c r="AQ105" s="115"/>
      <c r="AR105" s="115"/>
      <c r="AS105" s="115"/>
      <c r="AT105" s="115"/>
      <c r="AU105" s="115"/>
      <c r="AV105" s="25"/>
      <c r="AW105" s="13"/>
      <c r="AZ105" s="114"/>
    </row>
    <row r="106" spans="1:52" ht="20.100000000000001" customHeight="1" x14ac:dyDescent="0.4">
      <c r="A106" s="117"/>
      <c r="B106" s="123"/>
      <c r="C106" s="123"/>
      <c r="D106" s="123"/>
      <c r="M106" s="25">
        <v>45788</v>
      </c>
      <c r="N106" s="13" t="s">
        <v>146</v>
      </c>
      <c r="O106" s="115"/>
      <c r="P106" s="115"/>
      <c r="Q106" s="115"/>
      <c r="R106" s="115"/>
      <c r="S106" s="115"/>
      <c r="T106" s="115"/>
      <c r="U106" s="115"/>
      <c r="V106" s="115"/>
      <c r="W106" s="115"/>
      <c r="X106" s="25">
        <v>45677</v>
      </c>
      <c r="Y106" s="13" t="s">
        <v>148</v>
      </c>
      <c r="AD106" s="116"/>
      <c r="AE106" s="123"/>
      <c r="AF106" s="123"/>
      <c r="AG106" s="123"/>
      <c r="AL106" s="115"/>
      <c r="AM106" s="115"/>
      <c r="AN106" s="115"/>
      <c r="AO106" s="115"/>
      <c r="AP106" s="115"/>
      <c r="AQ106" s="115"/>
      <c r="AR106" s="115"/>
      <c r="AS106" s="115"/>
      <c r="AT106" s="115"/>
      <c r="AU106" s="115"/>
      <c r="AV106" s="25"/>
      <c r="AW106" s="13"/>
      <c r="AZ106" s="114"/>
    </row>
    <row r="107" spans="1:52" ht="19.5" x14ac:dyDescent="0.4">
      <c r="A107" s="117"/>
      <c r="B107" s="123"/>
      <c r="C107" s="123"/>
      <c r="D107" s="123"/>
      <c r="M107" s="25">
        <v>45788</v>
      </c>
      <c r="N107" s="13" t="s">
        <v>148</v>
      </c>
      <c r="O107" s="115"/>
      <c r="P107" s="115"/>
      <c r="Q107" s="115"/>
      <c r="R107" s="115"/>
      <c r="S107" s="115"/>
      <c r="T107" s="115"/>
      <c r="U107" s="115"/>
      <c r="V107" s="115"/>
      <c r="W107" s="115"/>
      <c r="X107" s="25"/>
      <c r="Y107" s="13"/>
      <c r="AD107" s="116"/>
      <c r="AE107" s="123"/>
      <c r="AF107" s="123"/>
      <c r="AG107" s="123"/>
      <c r="AL107" s="115"/>
      <c r="AM107" s="115"/>
      <c r="AN107" s="115"/>
      <c r="AO107" s="115"/>
      <c r="AP107" s="115"/>
      <c r="AQ107" s="115"/>
      <c r="AR107" s="115"/>
      <c r="AS107" s="115"/>
      <c r="AT107" s="115"/>
      <c r="AU107" s="115"/>
      <c r="AV107" s="25"/>
      <c r="AW107" s="13"/>
      <c r="AZ107" s="114"/>
    </row>
    <row r="108" spans="1:52" ht="19.5" x14ac:dyDescent="0.4">
      <c r="A108" s="117"/>
      <c r="B108" s="123"/>
      <c r="C108" s="123"/>
      <c r="D108" s="123"/>
      <c r="K108" s="115"/>
      <c r="L108" s="115"/>
      <c r="M108" s="25">
        <v>45788</v>
      </c>
      <c r="N108" s="15" t="s">
        <v>147</v>
      </c>
      <c r="O108" s="115"/>
      <c r="P108" s="115"/>
      <c r="Q108" s="115"/>
      <c r="R108" s="115"/>
      <c r="S108" s="115"/>
      <c r="T108" s="115"/>
      <c r="U108" s="115"/>
      <c r="V108" s="115"/>
      <c r="W108" s="115"/>
      <c r="X108" s="25"/>
      <c r="Y108" s="13"/>
      <c r="AD108" s="116"/>
      <c r="AE108" s="123"/>
      <c r="AF108" s="123"/>
      <c r="AG108" s="123"/>
      <c r="AL108" s="115"/>
      <c r="AM108" s="115"/>
      <c r="AN108" s="115"/>
      <c r="AO108" s="115"/>
      <c r="AP108" s="115"/>
      <c r="AQ108" s="115"/>
      <c r="AR108" s="115"/>
      <c r="AS108" s="115"/>
      <c r="AT108" s="115"/>
      <c r="AU108" s="115"/>
      <c r="AV108" s="25"/>
      <c r="AW108" s="13"/>
      <c r="AZ108" s="114"/>
    </row>
    <row r="109" spans="1:52" ht="19.5" x14ac:dyDescent="0.4">
      <c r="A109" s="117"/>
      <c r="B109" s="123"/>
      <c r="C109" s="123"/>
      <c r="D109" s="123"/>
      <c r="G109" s="115"/>
      <c r="H109" s="115"/>
      <c r="I109" s="115"/>
      <c r="J109" s="115"/>
      <c r="K109" s="115"/>
      <c r="L109" s="115"/>
      <c r="M109" s="25">
        <v>45788</v>
      </c>
      <c r="N109" s="15" t="s">
        <v>146</v>
      </c>
      <c r="O109" s="115"/>
      <c r="P109" s="115"/>
      <c r="Q109" s="115"/>
      <c r="R109" s="115"/>
      <c r="S109" s="115"/>
      <c r="T109" s="115"/>
      <c r="U109" s="115"/>
      <c r="V109" s="115"/>
      <c r="W109" s="115"/>
      <c r="X109" s="25"/>
      <c r="Y109" s="13"/>
      <c r="AD109" s="116"/>
      <c r="AE109" s="123"/>
      <c r="AF109" s="123"/>
      <c r="AG109" s="123"/>
      <c r="AL109" s="115"/>
      <c r="AM109" s="115"/>
      <c r="AN109" s="115"/>
      <c r="AO109" s="115"/>
      <c r="AP109" s="115"/>
      <c r="AQ109" s="115"/>
      <c r="AR109" s="115"/>
      <c r="AS109" s="115"/>
      <c r="AT109" s="115"/>
      <c r="AU109" s="115"/>
      <c r="AV109" s="25"/>
      <c r="AW109" s="13"/>
      <c r="AZ109" s="114"/>
    </row>
    <row r="110" spans="1:52" ht="19.5" x14ac:dyDescent="0.4">
      <c r="A110" s="117"/>
      <c r="B110" s="123"/>
      <c r="C110" s="123"/>
      <c r="D110" s="123"/>
      <c r="G110" s="115"/>
      <c r="H110" s="115"/>
      <c r="I110" s="115"/>
      <c r="J110" s="115"/>
      <c r="K110" s="115"/>
      <c r="L110" s="115"/>
      <c r="M110" s="25">
        <v>45788</v>
      </c>
      <c r="N110" s="15" t="s">
        <v>146</v>
      </c>
      <c r="O110" s="115"/>
      <c r="P110" s="115"/>
      <c r="Q110" s="115"/>
      <c r="R110" s="115"/>
      <c r="S110" s="115"/>
      <c r="T110" s="115"/>
      <c r="U110" s="115"/>
      <c r="V110" s="115"/>
      <c r="W110" s="115"/>
      <c r="X110" s="25"/>
      <c r="Y110" s="13"/>
      <c r="AD110" s="116"/>
      <c r="AE110" s="123"/>
      <c r="AF110" s="123"/>
      <c r="AG110" s="123"/>
      <c r="AL110" s="115"/>
      <c r="AM110" s="115"/>
      <c r="AN110" s="115"/>
      <c r="AO110" s="115"/>
      <c r="AP110" s="115"/>
      <c r="AQ110" s="115"/>
      <c r="AR110" s="115"/>
      <c r="AS110" s="115"/>
      <c r="AT110" s="115"/>
      <c r="AU110" s="115"/>
      <c r="AV110" s="25"/>
      <c r="AW110" s="13"/>
      <c r="AZ110" s="114"/>
    </row>
    <row r="111" spans="1:52" ht="19.5" x14ac:dyDescent="0.4">
      <c r="A111" s="117"/>
      <c r="B111" s="123"/>
      <c r="C111" s="123"/>
      <c r="D111" s="123"/>
      <c r="G111" s="115"/>
      <c r="H111" s="115"/>
      <c r="I111" s="115"/>
      <c r="J111" s="115"/>
      <c r="K111" s="115"/>
      <c r="L111" s="115"/>
      <c r="M111" s="25">
        <v>45788</v>
      </c>
      <c r="N111" s="15" t="s">
        <v>147</v>
      </c>
      <c r="O111" s="115"/>
      <c r="P111" s="115"/>
      <c r="Q111" s="115"/>
      <c r="R111" s="115"/>
      <c r="S111" s="115"/>
      <c r="T111" s="115"/>
      <c r="U111" s="115"/>
      <c r="V111" s="115"/>
      <c r="W111" s="115"/>
      <c r="X111" s="25"/>
      <c r="Y111" s="13"/>
      <c r="AD111" s="116"/>
      <c r="AE111" s="123"/>
      <c r="AF111" s="123"/>
      <c r="AG111" s="123"/>
      <c r="AL111" s="115"/>
      <c r="AM111" s="115"/>
      <c r="AN111" s="115"/>
      <c r="AO111" s="115"/>
      <c r="AP111" s="115"/>
      <c r="AQ111" s="115"/>
      <c r="AR111" s="115"/>
      <c r="AS111" s="115"/>
      <c r="AT111" s="115"/>
      <c r="AU111" s="115"/>
      <c r="AV111" s="25"/>
      <c r="AW111" s="13"/>
      <c r="AZ111" s="114"/>
    </row>
    <row r="112" spans="1:52" ht="19.5" x14ac:dyDescent="0.4">
      <c r="A112" s="117"/>
      <c r="B112" s="123"/>
      <c r="C112" s="123"/>
      <c r="D112" s="123"/>
      <c r="G112" s="115"/>
      <c r="H112" s="115"/>
      <c r="I112" s="115"/>
      <c r="J112" s="115"/>
      <c r="K112" s="115"/>
      <c r="L112" s="115"/>
      <c r="M112" s="25">
        <v>45788</v>
      </c>
      <c r="N112" s="15" t="s">
        <v>147</v>
      </c>
      <c r="O112" s="115"/>
      <c r="P112" s="115"/>
      <c r="Q112" s="115"/>
      <c r="R112" s="115"/>
      <c r="S112" s="115"/>
      <c r="T112" s="115"/>
      <c r="U112" s="115"/>
      <c r="V112" s="115"/>
      <c r="W112" s="115"/>
      <c r="X112" s="25"/>
      <c r="Y112" s="13"/>
      <c r="AD112" s="116"/>
      <c r="AE112" s="123"/>
      <c r="AF112" s="123"/>
      <c r="AG112" s="123"/>
      <c r="AL112" s="115"/>
      <c r="AM112" s="115"/>
      <c r="AN112" s="115"/>
      <c r="AO112" s="115"/>
      <c r="AP112" s="115"/>
      <c r="AQ112" s="115"/>
      <c r="AR112" s="115"/>
      <c r="AS112" s="115"/>
      <c r="AT112" s="115"/>
      <c r="AU112" s="115"/>
      <c r="AV112" s="25"/>
      <c r="AW112" s="13"/>
      <c r="AZ112" s="114"/>
    </row>
    <row r="113" spans="1:52" ht="19.5" x14ac:dyDescent="0.4">
      <c r="A113" s="117"/>
      <c r="B113" s="123"/>
      <c r="C113" s="123"/>
      <c r="D113" s="123"/>
      <c r="G113" s="115"/>
      <c r="H113" s="115"/>
      <c r="I113" s="115"/>
      <c r="J113" s="115"/>
      <c r="K113" s="115"/>
      <c r="L113" s="115"/>
      <c r="M113" s="25">
        <v>45788</v>
      </c>
      <c r="N113" s="15" t="s">
        <v>146</v>
      </c>
      <c r="O113" s="115"/>
      <c r="P113" s="115"/>
      <c r="Q113" s="115"/>
      <c r="R113" s="115"/>
      <c r="S113" s="115"/>
      <c r="T113" s="115"/>
      <c r="U113" s="115"/>
      <c r="V113" s="115"/>
      <c r="W113" s="115"/>
      <c r="X113" s="25"/>
      <c r="Y113" s="13"/>
      <c r="AD113" s="116"/>
      <c r="AE113" s="123"/>
      <c r="AF113" s="123"/>
      <c r="AG113" s="123"/>
      <c r="AL113" s="115"/>
      <c r="AM113" s="115"/>
      <c r="AN113" s="115"/>
      <c r="AO113" s="115"/>
      <c r="AP113" s="115"/>
      <c r="AQ113" s="115"/>
      <c r="AR113" s="115"/>
      <c r="AS113" s="115"/>
      <c r="AT113" s="115"/>
      <c r="AU113" s="115"/>
      <c r="AV113" s="25"/>
      <c r="AW113" s="13"/>
      <c r="AZ113" s="114"/>
    </row>
    <row r="114" spans="1:52" ht="19.5" x14ac:dyDescent="0.4">
      <c r="A114" s="117"/>
      <c r="B114" s="123"/>
      <c r="C114" s="123"/>
      <c r="D114" s="123"/>
      <c r="M114" s="25">
        <v>45788</v>
      </c>
      <c r="N114" s="15" t="s">
        <v>146</v>
      </c>
      <c r="O114" s="115"/>
      <c r="P114" s="115"/>
      <c r="Q114" s="115"/>
      <c r="R114" s="115"/>
      <c r="S114" s="115"/>
      <c r="T114" s="115"/>
      <c r="U114" s="115"/>
      <c r="V114" s="115"/>
      <c r="W114" s="115"/>
      <c r="X114" s="25">
        <v>45677</v>
      </c>
      <c r="Y114" s="13" t="s">
        <v>146</v>
      </c>
      <c r="AD114" s="116"/>
      <c r="AE114" s="123"/>
      <c r="AF114" s="123"/>
      <c r="AG114" s="123"/>
      <c r="AL114" s="115"/>
      <c r="AM114" s="115"/>
      <c r="AN114" s="115"/>
      <c r="AO114" s="115"/>
      <c r="AP114" s="115"/>
      <c r="AQ114" s="115"/>
      <c r="AR114" s="115"/>
      <c r="AS114" s="115"/>
      <c r="AT114" s="115"/>
      <c r="AU114" s="115"/>
      <c r="AV114" s="25"/>
      <c r="AW114" s="13"/>
      <c r="AZ114" s="114"/>
    </row>
    <row r="115" spans="1:52" ht="19.5" x14ac:dyDescent="0.4">
      <c r="A115" s="117"/>
      <c r="B115" s="123"/>
      <c r="C115" s="123"/>
      <c r="D115" s="123"/>
      <c r="K115" s="115"/>
      <c r="L115" s="115"/>
      <c r="M115" s="25">
        <v>45788</v>
      </c>
      <c r="N115" s="13" t="s">
        <v>147</v>
      </c>
      <c r="O115" s="115"/>
      <c r="P115" s="115"/>
      <c r="Q115" s="115"/>
      <c r="R115" s="115"/>
      <c r="S115" s="115"/>
      <c r="T115" s="115"/>
      <c r="U115" s="115"/>
      <c r="V115" s="115"/>
      <c r="W115" s="115"/>
      <c r="X115" s="25"/>
      <c r="Y115" s="13"/>
      <c r="AD115" s="116"/>
      <c r="AE115" s="123"/>
      <c r="AF115" s="123"/>
      <c r="AG115" s="123"/>
      <c r="AL115" s="115"/>
      <c r="AM115" s="115"/>
      <c r="AN115" s="115"/>
      <c r="AO115" s="115"/>
      <c r="AP115" s="115"/>
      <c r="AQ115" s="115"/>
      <c r="AR115" s="115"/>
      <c r="AS115" s="115"/>
      <c r="AT115" s="115"/>
      <c r="AU115" s="115"/>
      <c r="AV115" s="25"/>
      <c r="AW115" s="13"/>
      <c r="AZ115" s="114"/>
    </row>
    <row r="116" spans="1:52" ht="19.5" x14ac:dyDescent="0.4">
      <c r="A116" s="117"/>
      <c r="B116" s="123"/>
      <c r="C116" s="123"/>
      <c r="D116" s="123"/>
      <c r="M116" s="25">
        <v>45788</v>
      </c>
      <c r="N116" s="13" t="s">
        <v>147</v>
      </c>
      <c r="O116" s="115"/>
      <c r="P116" s="115"/>
      <c r="Q116" s="115"/>
      <c r="R116" s="115"/>
      <c r="S116" s="115"/>
      <c r="T116" s="115"/>
      <c r="U116" s="115"/>
      <c r="V116" s="115"/>
      <c r="W116" s="115"/>
      <c r="X116" s="25"/>
      <c r="Y116" s="13"/>
      <c r="AD116" s="116"/>
      <c r="AE116" s="123"/>
      <c r="AF116" s="123"/>
      <c r="AG116" s="123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25"/>
      <c r="AW116" s="13"/>
      <c r="AZ116" s="114"/>
    </row>
    <row r="117" spans="1:52" ht="19.5" x14ac:dyDescent="0.4">
      <c r="A117" s="117"/>
      <c r="B117" s="123"/>
      <c r="C117" s="123"/>
      <c r="D117" s="123"/>
      <c r="K117" s="115"/>
      <c r="L117" s="115"/>
      <c r="M117" s="25">
        <v>45788</v>
      </c>
      <c r="N117" s="13" t="s">
        <v>147</v>
      </c>
      <c r="O117" s="115"/>
      <c r="P117" s="115"/>
      <c r="Q117" s="115"/>
      <c r="R117" s="115"/>
      <c r="S117" s="115"/>
      <c r="T117" s="115"/>
      <c r="U117" s="115"/>
      <c r="V117" s="115"/>
      <c r="W117" s="115"/>
      <c r="X117" s="25"/>
      <c r="Y117" s="13"/>
      <c r="AD117" s="116"/>
      <c r="AE117" s="123"/>
      <c r="AF117" s="123"/>
      <c r="AG117" s="123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25"/>
      <c r="AW117" s="13"/>
      <c r="AZ117" s="114"/>
    </row>
    <row r="118" spans="1:52" ht="19.5" x14ac:dyDescent="0.4">
      <c r="A118" s="117"/>
      <c r="B118" s="123"/>
      <c r="C118" s="123"/>
      <c r="D118" s="123"/>
      <c r="K118" s="115"/>
      <c r="L118" s="115" t="s">
        <v>354</v>
      </c>
      <c r="M118" s="13">
        <f>SUBTOTAL(3,M102:M117)</f>
        <v>16</v>
      </c>
      <c r="N118" s="13">
        <f>SUBTOTAL(3,N102:N117)</f>
        <v>16</v>
      </c>
      <c r="O118" s="115"/>
      <c r="P118" s="115"/>
      <c r="Q118" s="115"/>
      <c r="R118" s="115"/>
      <c r="S118" s="115"/>
      <c r="T118" s="115"/>
      <c r="U118" s="115"/>
      <c r="V118" s="115"/>
      <c r="W118" s="115"/>
      <c r="X118" s="25"/>
      <c r="Y118" s="13"/>
      <c r="AD118" s="116"/>
      <c r="AE118" s="123"/>
      <c r="AF118" s="123"/>
      <c r="AG118" s="123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25"/>
      <c r="AW118" s="13"/>
      <c r="AZ118" s="114"/>
    </row>
    <row r="119" spans="1:52" ht="19.5" x14ac:dyDescent="0.4">
      <c r="A119" s="117"/>
      <c r="B119" s="123"/>
      <c r="C119" s="123"/>
      <c r="D119" s="123"/>
      <c r="M119" s="25">
        <v>45789</v>
      </c>
      <c r="N119" s="13" t="s">
        <v>146</v>
      </c>
      <c r="O119" s="115"/>
      <c r="P119" s="115"/>
      <c r="Q119" s="115"/>
      <c r="R119" s="115"/>
      <c r="S119" s="115"/>
      <c r="T119" s="115"/>
      <c r="U119" s="115"/>
      <c r="V119" s="115"/>
      <c r="W119" s="115"/>
      <c r="X119" s="25"/>
      <c r="Y119" s="13"/>
      <c r="AD119" s="116"/>
      <c r="AE119" s="123"/>
      <c r="AF119" s="123"/>
      <c r="AG119" s="123"/>
      <c r="AL119" s="115"/>
      <c r="AM119" s="115"/>
      <c r="AN119" s="115"/>
      <c r="AO119" s="115"/>
      <c r="AP119" s="115"/>
      <c r="AQ119" s="115"/>
      <c r="AR119" s="115"/>
      <c r="AS119" s="115"/>
      <c r="AT119" s="115"/>
      <c r="AU119" s="115"/>
      <c r="AV119" s="25"/>
      <c r="AW119" s="13"/>
      <c r="AZ119" s="114"/>
    </row>
    <row r="120" spans="1:5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25">
        <v>45789</v>
      </c>
      <c r="N120" s="13" t="s">
        <v>147</v>
      </c>
      <c r="O120" s="115"/>
      <c r="P120" s="115"/>
      <c r="Q120" s="115"/>
      <c r="R120" s="115"/>
      <c r="S120" s="115"/>
      <c r="T120" s="115"/>
      <c r="U120" s="115"/>
      <c r="V120" s="115"/>
      <c r="W120" s="115"/>
      <c r="X120" s="25"/>
      <c r="Y120" s="13"/>
      <c r="AD120" s="116"/>
      <c r="AE120" s="123"/>
      <c r="AF120" s="123"/>
      <c r="AG120" s="123"/>
      <c r="AL120" s="115"/>
      <c r="AM120" s="115"/>
      <c r="AN120" s="115"/>
      <c r="AO120" s="115"/>
      <c r="AP120" s="115"/>
      <c r="AQ120" s="115"/>
      <c r="AR120" s="115"/>
      <c r="AS120" s="115"/>
      <c r="AT120" s="115"/>
      <c r="AU120" s="115"/>
      <c r="AV120" s="25"/>
      <c r="AW120" s="13"/>
      <c r="AZ120" s="114"/>
    </row>
    <row r="121" spans="1:5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 t="s">
        <v>355</v>
      </c>
      <c r="M121" s="13">
        <f>SUBTOTAL(3,M119:M120)</f>
        <v>2</v>
      </c>
      <c r="N121" s="13">
        <f>SUBTOTAL(3,N119:N120)</f>
        <v>2</v>
      </c>
      <c r="O121" s="115"/>
      <c r="P121" s="115"/>
      <c r="Q121" s="115"/>
      <c r="R121" s="115"/>
      <c r="S121" s="115"/>
      <c r="T121" s="115"/>
      <c r="U121" s="115"/>
      <c r="V121" s="115"/>
      <c r="W121" s="115"/>
      <c r="X121" s="25"/>
      <c r="Y121" s="13"/>
      <c r="AD121" s="116"/>
      <c r="AE121" s="123"/>
      <c r="AF121" s="123"/>
      <c r="AG121" s="123"/>
      <c r="AL121" s="115"/>
      <c r="AM121" s="115"/>
      <c r="AN121" s="115"/>
      <c r="AO121" s="115"/>
      <c r="AP121" s="115"/>
      <c r="AQ121" s="115"/>
      <c r="AR121" s="115"/>
      <c r="AS121" s="115"/>
      <c r="AT121" s="115"/>
      <c r="AU121" s="115"/>
      <c r="AV121" s="25"/>
      <c r="AW121" s="13"/>
      <c r="AZ121" s="114"/>
    </row>
    <row r="122" spans="1:52" ht="19.5" x14ac:dyDescent="0.4">
      <c r="A122" s="117"/>
      <c r="B122" s="123"/>
      <c r="C122" s="123"/>
      <c r="D122" s="123"/>
      <c r="M122" s="25">
        <v>45790</v>
      </c>
      <c r="N122" s="13" t="s">
        <v>147</v>
      </c>
      <c r="O122" s="115"/>
      <c r="P122" s="115"/>
      <c r="Q122" s="115"/>
      <c r="R122" s="115"/>
      <c r="S122" s="115"/>
      <c r="T122" s="115"/>
      <c r="U122" s="115"/>
      <c r="V122" s="115"/>
      <c r="W122" s="115"/>
      <c r="X122" s="25">
        <v>45677</v>
      </c>
      <c r="Y122" s="13" t="s">
        <v>147</v>
      </c>
      <c r="AD122" s="116"/>
      <c r="AE122" s="123"/>
      <c r="AF122" s="123"/>
      <c r="AG122" s="123"/>
      <c r="AL122" s="115"/>
      <c r="AM122" s="115"/>
      <c r="AN122" s="115"/>
      <c r="AO122" s="115"/>
      <c r="AP122" s="115"/>
      <c r="AQ122" s="115"/>
      <c r="AR122" s="115"/>
      <c r="AS122" s="115"/>
      <c r="AT122" s="115"/>
      <c r="AU122" s="115"/>
      <c r="AV122" s="25"/>
      <c r="AW122" s="13"/>
      <c r="AZ122" s="114"/>
    </row>
    <row r="123" spans="1:52" ht="19.5" x14ac:dyDescent="0.4">
      <c r="A123" s="117"/>
      <c r="B123" s="123"/>
      <c r="C123" s="123"/>
      <c r="D123" s="123"/>
      <c r="L123" s="115" t="s">
        <v>356</v>
      </c>
      <c r="M123" s="13">
        <f>SUBTOTAL(3,M122:M122)</f>
        <v>1</v>
      </c>
      <c r="N123" s="13">
        <f>SUBTOTAL(3,N122:N122)</f>
        <v>1</v>
      </c>
      <c r="O123" s="115"/>
      <c r="P123" s="115"/>
      <c r="Q123" s="115"/>
      <c r="R123" s="115"/>
      <c r="S123" s="115"/>
      <c r="T123" s="115"/>
      <c r="U123" s="115"/>
      <c r="V123" s="115"/>
      <c r="W123" s="115"/>
      <c r="X123" s="25"/>
      <c r="Y123" s="13"/>
      <c r="AD123" s="116"/>
      <c r="AE123" s="123"/>
      <c r="AF123" s="123"/>
      <c r="AG123" s="123"/>
      <c r="AL123" s="115"/>
      <c r="AM123" s="115"/>
      <c r="AN123" s="115"/>
      <c r="AO123" s="115"/>
      <c r="AP123" s="115"/>
      <c r="AQ123" s="115"/>
      <c r="AR123" s="115"/>
      <c r="AS123" s="115"/>
      <c r="AT123" s="115"/>
      <c r="AU123" s="115"/>
      <c r="AV123" s="25"/>
      <c r="AW123" s="13"/>
      <c r="AZ123" s="114"/>
    </row>
    <row r="124" spans="1:52" ht="19.5" x14ac:dyDescent="0.4">
      <c r="A124" s="117"/>
      <c r="B124" s="123"/>
      <c r="C124" s="123"/>
      <c r="D124" s="123"/>
      <c r="M124" s="25">
        <v>45791</v>
      </c>
      <c r="N124" s="13" t="s">
        <v>146</v>
      </c>
      <c r="O124" s="115"/>
      <c r="P124" s="115"/>
      <c r="Q124" s="115"/>
      <c r="R124" s="115"/>
      <c r="S124" s="115"/>
      <c r="T124" s="115"/>
      <c r="U124" s="115"/>
      <c r="V124" s="115"/>
      <c r="W124" s="115"/>
      <c r="X124" s="25">
        <v>45677</v>
      </c>
      <c r="Y124" s="25" t="s">
        <v>147</v>
      </c>
      <c r="AD124" s="116"/>
      <c r="AE124" s="123"/>
      <c r="AF124" s="123"/>
      <c r="AG124" s="123"/>
      <c r="AL124" s="115"/>
      <c r="AM124" s="115"/>
      <c r="AN124" s="115"/>
      <c r="AO124" s="115"/>
      <c r="AP124" s="115"/>
      <c r="AQ124" s="115"/>
      <c r="AR124" s="115"/>
      <c r="AS124" s="115"/>
      <c r="AT124" s="115"/>
      <c r="AU124" s="115"/>
      <c r="AV124" s="25"/>
      <c r="AW124" s="13"/>
      <c r="AZ124" s="114"/>
    </row>
    <row r="125" spans="1:52" ht="19.5" x14ac:dyDescent="0.4">
      <c r="A125" s="117"/>
      <c r="B125" s="123"/>
      <c r="C125" s="123"/>
      <c r="D125" s="123"/>
      <c r="M125" s="25">
        <v>45791</v>
      </c>
      <c r="N125" s="13" t="s">
        <v>146</v>
      </c>
      <c r="O125" s="115"/>
      <c r="P125" s="115"/>
      <c r="Q125" s="115"/>
      <c r="R125" s="115"/>
      <c r="S125" s="115"/>
      <c r="T125" s="115"/>
      <c r="U125" s="115"/>
      <c r="V125" s="115"/>
      <c r="W125" s="115"/>
      <c r="X125" s="25"/>
      <c r="Y125" s="25"/>
      <c r="AD125" s="116"/>
      <c r="AE125" s="123"/>
      <c r="AF125" s="123"/>
      <c r="AG125" s="123"/>
      <c r="AL125" s="115"/>
      <c r="AM125" s="115"/>
      <c r="AN125" s="115"/>
      <c r="AO125" s="115"/>
      <c r="AP125" s="115"/>
      <c r="AQ125" s="115"/>
      <c r="AR125" s="115"/>
      <c r="AS125" s="115"/>
      <c r="AT125" s="115"/>
      <c r="AU125" s="115"/>
      <c r="AV125" s="25"/>
      <c r="AW125" s="13"/>
      <c r="AZ125" s="114"/>
    </row>
    <row r="126" spans="1:52" ht="19.5" x14ac:dyDescent="0.4">
      <c r="A126" s="117"/>
      <c r="B126" s="123"/>
      <c r="C126" s="123"/>
      <c r="D126" s="123"/>
      <c r="G126" s="115"/>
      <c r="H126" s="115"/>
      <c r="I126" s="115"/>
      <c r="J126" s="115"/>
      <c r="K126" s="115"/>
      <c r="L126" s="115"/>
      <c r="M126" s="25">
        <v>45791</v>
      </c>
      <c r="N126" s="13" t="s">
        <v>146</v>
      </c>
      <c r="O126" s="115"/>
      <c r="P126" s="115"/>
      <c r="Q126" s="115"/>
      <c r="R126" s="115"/>
      <c r="S126" s="115"/>
      <c r="T126" s="115"/>
      <c r="U126" s="115"/>
      <c r="V126" s="115"/>
      <c r="W126" s="115"/>
      <c r="X126" s="25"/>
      <c r="Y126" s="25"/>
      <c r="AD126" s="116"/>
      <c r="AE126" s="123"/>
      <c r="AF126" s="123"/>
      <c r="AG126" s="123"/>
      <c r="AL126" s="115"/>
      <c r="AM126" s="115"/>
      <c r="AN126" s="115"/>
      <c r="AO126" s="115"/>
      <c r="AP126" s="115"/>
      <c r="AQ126" s="115"/>
      <c r="AR126" s="115"/>
      <c r="AS126" s="115"/>
      <c r="AT126" s="115"/>
      <c r="AU126" s="115"/>
      <c r="AV126" s="25"/>
      <c r="AW126" s="13"/>
      <c r="AZ126" s="114"/>
    </row>
    <row r="127" spans="1:52" ht="19.5" x14ac:dyDescent="0.4">
      <c r="A127" s="117"/>
      <c r="B127" s="123"/>
      <c r="C127" s="123"/>
      <c r="D127" s="123"/>
      <c r="G127" s="115"/>
      <c r="H127" s="115"/>
      <c r="I127" s="115"/>
      <c r="J127" s="115"/>
      <c r="K127" s="115"/>
      <c r="L127" s="115"/>
      <c r="M127" s="25">
        <v>45791</v>
      </c>
      <c r="N127" s="13" t="s">
        <v>148</v>
      </c>
      <c r="O127" s="115"/>
      <c r="P127" s="115"/>
      <c r="Q127" s="115"/>
      <c r="R127" s="115"/>
      <c r="S127" s="115"/>
      <c r="T127" s="115"/>
      <c r="U127" s="115"/>
      <c r="V127" s="115"/>
      <c r="W127" s="115"/>
      <c r="X127" s="25"/>
      <c r="Y127" s="25"/>
      <c r="AD127" s="116"/>
      <c r="AE127" s="123"/>
      <c r="AF127" s="123"/>
      <c r="AG127" s="123"/>
      <c r="AL127" s="115"/>
      <c r="AM127" s="115"/>
      <c r="AN127" s="115"/>
      <c r="AO127" s="115"/>
      <c r="AP127" s="115"/>
      <c r="AQ127" s="115"/>
      <c r="AR127" s="115"/>
      <c r="AS127" s="115"/>
      <c r="AT127" s="115"/>
      <c r="AU127" s="115"/>
      <c r="AV127" s="25"/>
      <c r="AW127" s="13"/>
      <c r="AZ127" s="114"/>
    </row>
    <row r="128" spans="1:52" ht="19.5" x14ac:dyDescent="0.4">
      <c r="A128" s="117"/>
      <c r="B128" s="123"/>
      <c r="C128" s="123"/>
      <c r="D128" s="123"/>
      <c r="G128" s="115"/>
      <c r="H128" s="115"/>
      <c r="I128" s="115"/>
      <c r="J128" s="115"/>
      <c r="K128" s="115"/>
      <c r="L128" s="115" t="s">
        <v>357</v>
      </c>
      <c r="M128" s="13">
        <f>SUBTOTAL(3,M124:M127)</f>
        <v>4</v>
      </c>
      <c r="N128" s="13">
        <f>SUBTOTAL(3,N124:N127)</f>
        <v>4</v>
      </c>
      <c r="O128" s="115"/>
      <c r="P128" s="115"/>
      <c r="Q128" s="115"/>
      <c r="R128" s="115"/>
      <c r="S128" s="115"/>
      <c r="T128" s="115"/>
      <c r="U128" s="115"/>
      <c r="V128" s="115"/>
      <c r="W128" s="115"/>
      <c r="X128" s="25"/>
      <c r="Y128" s="25"/>
      <c r="AD128" s="116"/>
      <c r="AE128" s="123"/>
      <c r="AF128" s="123"/>
      <c r="AG128" s="123"/>
      <c r="AL128" s="115"/>
      <c r="AM128" s="115"/>
      <c r="AN128" s="115"/>
      <c r="AO128" s="115"/>
      <c r="AP128" s="115"/>
      <c r="AQ128" s="115"/>
      <c r="AR128" s="115"/>
      <c r="AS128" s="115"/>
      <c r="AT128" s="115"/>
      <c r="AU128" s="115"/>
      <c r="AV128" s="25"/>
      <c r="AW128" s="13"/>
      <c r="AZ128" s="114"/>
    </row>
    <row r="129" spans="1:52" ht="19.5" x14ac:dyDescent="0.4">
      <c r="A129" s="117"/>
      <c r="B129" s="123"/>
      <c r="C129" s="123"/>
      <c r="D129" s="123"/>
      <c r="M129" s="25">
        <v>45792</v>
      </c>
      <c r="N129" s="13" t="s">
        <v>147</v>
      </c>
      <c r="O129" s="115"/>
      <c r="P129" s="115"/>
      <c r="Q129" s="115"/>
      <c r="R129" s="115"/>
      <c r="S129" s="115"/>
      <c r="T129" s="115"/>
      <c r="U129" s="115"/>
      <c r="V129" s="115"/>
      <c r="W129" s="115"/>
      <c r="X129" s="25">
        <v>45678</v>
      </c>
      <c r="Y129" s="13" t="s">
        <v>147</v>
      </c>
      <c r="AD129" s="116"/>
      <c r="AE129" s="123"/>
      <c r="AF129" s="123"/>
      <c r="AG129" s="123"/>
      <c r="AL129" s="115"/>
      <c r="AM129" s="115"/>
      <c r="AN129" s="115"/>
      <c r="AO129" s="115"/>
      <c r="AP129" s="115"/>
      <c r="AQ129" s="115"/>
      <c r="AR129" s="115"/>
      <c r="AS129" s="115"/>
      <c r="AT129" s="115"/>
      <c r="AU129" s="115"/>
      <c r="AV129" s="25"/>
      <c r="AW129" s="13"/>
      <c r="AZ129" s="114"/>
    </row>
    <row r="130" spans="1:5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25">
        <v>45792</v>
      </c>
      <c r="N130" s="13" t="s">
        <v>146</v>
      </c>
      <c r="O130" s="115"/>
      <c r="P130" s="115"/>
      <c r="Q130" s="115"/>
      <c r="R130" s="115"/>
      <c r="S130" s="115"/>
      <c r="T130" s="115"/>
      <c r="U130" s="115"/>
      <c r="V130" s="115"/>
      <c r="W130" s="115"/>
      <c r="X130" s="25"/>
      <c r="Y130" s="13"/>
      <c r="AD130" s="116"/>
      <c r="AE130" s="123"/>
      <c r="AF130" s="123"/>
      <c r="AG130" s="123"/>
      <c r="AL130" s="115"/>
      <c r="AM130" s="115"/>
      <c r="AN130" s="115"/>
      <c r="AO130" s="115"/>
      <c r="AP130" s="115"/>
      <c r="AQ130" s="115"/>
      <c r="AR130" s="115"/>
      <c r="AS130" s="115"/>
      <c r="AT130" s="115"/>
      <c r="AU130" s="115"/>
      <c r="AV130" s="25"/>
      <c r="AW130" s="13"/>
      <c r="AZ130" s="114"/>
    </row>
    <row r="131" spans="1:52" ht="19.5" x14ac:dyDescent="0.4">
      <c r="A131" s="117"/>
      <c r="B131" s="123"/>
      <c r="C131" s="123"/>
      <c r="D131" s="123"/>
      <c r="M131" s="25">
        <v>45792</v>
      </c>
      <c r="N131" s="13" t="s">
        <v>146</v>
      </c>
      <c r="O131" s="115"/>
      <c r="P131" s="115"/>
      <c r="Q131" s="115"/>
      <c r="R131" s="115"/>
      <c r="S131" s="115"/>
      <c r="T131" s="115"/>
      <c r="U131" s="115"/>
      <c r="V131" s="115"/>
      <c r="W131" s="115"/>
      <c r="X131" s="25">
        <v>45678</v>
      </c>
      <c r="Y131" s="13" t="s">
        <v>146</v>
      </c>
      <c r="AD131" s="116"/>
      <c r="AE131" s="123"/>
      <c r="AF131" s="123"/>
      <c r="AG131" s="123"/>
      <c r="AL131" s="115"/>
      <c r="AM131" s="115"/>
      <c r="AN131" s="115"/>
      <c r="AO131" s="115"/>
      <c r="AP131" s="115"/>
      <c r="AQ131" s="115"/>
      <c r="AR131" s="115"/>
      <c r="AS131" s="115"/>
      <c r="AT131" s="115"/>
      <c r="AU131" s="115"/>
      <c r="AV131" s="25"/>
      <c r="AW131" s="13"/>
      <c r="AZ131" s="114"/>
    </row>
    <row r="132" spans="1:52" ht="19.5" x14ac:dyDescent="0.4">
      <c r="A132" s="117"/>
      <c r="B132" s="123"/>
      <c r="C132" s="123"/>
      <c r="D132" s="123"/>
      <c r="I132" s="115"/>
      <c r="J132" s="115"/>
      <c r="K132" s="115"/>
      <c r="L132" s="115"/>
      <c r="M132" s="25">
        <v>45792</v>
      </c>
      <c r="N132" s="13" t="s">
        <v>146</v>
      </c>
      <c r="O132" s="115"/>
      <c r="P132" s="115"/>
      <c r="Q132" s="115"/>
      <c r="R132" s="115"/>
      <c r="S132" s="115"/>
      <c r="T132" s="115"/>
      <c r="U132" s="115"/>
      <c r="V132" s="115"/>
      <c r="W132" s="115"/>
      <c r="X132" s="25"/>
      <c r="Y132" s="13"/>
      <c r="AD132" s="116"/>
      <c r="AE132" s="123"/>
      <c r="AF132" s="123"/>
      <c r="AG132" s="123"/>
      <c r="AL132" s="115"/>
      <c r="AM132" s="115"/>
      <c r="AN132" s="115"/>
      <c r="AO132" s="115"/>
      <c r="AP132" s="115"/>
      <c r="AQ132" s="115"/>
      <c r="AR132" s="115"/>
      <c r="AS132" s="115"/>
      <c r="AT132" s="115"/>
      <c r="AU132" s="115"/>
      <c r="AV132" s="25"/>
      <c r="AW132" s="13"/>
      <c r="AZ132" s="114"/>
    </row>
    <row r="133" spans="1:52" ht="19.5" x14ac:dyDescent="0.4">
      <c r="A133" s="117"/>
      <c r="B133" s="123"/>
      <c r="C133" s="123"/>
      <c r="D133" s="123"/>
      <c r="I133" s="115"/>
      <c r="J133" s="115"/>
      <c r="K133" s="115"/>
      <c r="L133" s="115" t="s">
        <v>358</v>
      </c>
      <c r="M133" s="13">
        <f>SUBTOTAL(3,M129:M132)</f>
        <v>4</v>
      </c>
      <c r="N133" s="13">
        <f>SUBTOTAL(3,N129:N132)</f>
        <v>4</v>
      </c>
      <c r="O133" s="115"/>
      <c r="P133" s="115"/>
      <c r="Q133" s="115"/>
      <c r="R133" s="115"/>
      <c r="S133" s="115"/>
      <c r="T133" s="115"/>
      <c r="U133" s="115"/>
      <c r="V133" s="115"/>
      <c r="W133" s="115"/>
      <c r="X133" s="25"/>
      <c r="Y133" s="13"/>
      <c r="AD133" s="116"/>
      <c r="AE133" s="123"/>
      <c r="AF133" s="123"/>
      <c r="AG133" s="123"/>
      <c r="AL133" s="115"/>
      <c r="AM133" s="115"/>
      <c r="AN133" s="115"/>
      <c r="AO133" s="115"/>
      <c r="AP133" s="115"/>
      <c r="AQ133" s="115"/>
      <c r="AR133" s="115"/>
      <c r="AS133" s="115"/>
      <c r="AT133" s="115"/>
      <c r="AU133" s="115"/>
      <c r="AV133" s="25"/>
      <c r="AW133" s="13"/>
      <c r="AZ133" s="114"/>
    </row>
    <row r="134" spans="1:52" ht="19.5" x14ac:dyDescent="0.4">
      <c r="A134" s="117"/>
      <c r="B134" s="123"/>
      <c r="C134" s="123"/>
      <c r="D134" s="123"/>
      <c r="I134" s="115"/>
      <c r="J134" s="115"/>
      <c r="K134" s="115"/>
      <c r="L134" s="115"/>
      <c r="M134" s="25">
        <v>45793</v>
      </c>
      <c r="N134" s="13" t="s">
        <v>146</v>
      </c>
      <c r="O134" s="115"/>
      <c r="P134" s="115"/>
      <c r="Q134" s="115"/>
      <c r="R134" s="115"/>
      <c r="S134" s="115"/>
      <c r="T134" s="115"/>
      <c r="U134" s="115"/>
      <c r="V134" s="115"/>
      <c r="W134" s="115"/>
      <c r="X134" s="25"/>
      <c r="Y134" s="13"/>
      <c r="AD134" s="116"/>
      <c r="AE134" s="123"/>
      <c r="AF134" s="123"/>
      <c r="AG134" s="123"/>
      <c r="AL134" s="115"/>
      <c r="AM134" s="115"/>
      <c r="AN134" s="115"/>
      <c r="AO134" s="115"/>
      <c r="AP134" s="115"/>
      <c r="AQ134" s="115"/>
      <c r="AR134" s="115"/>
      <c r="AS134" s="115"/>
      <c r="AT134" s="115"/>
      <c r="AU134" s="115"/>
      <c r="AV134" s="25"/>
      <c r="AW134" s="13"/>
      <c r="AZ134" s="114"/>
    </row>
    <row r="135" spans="1:52" ht="19.5" x14ac:dyDescent="0.4">
      <c r="A135" s="117"/>
      <c r="B135" s="123"/>
      <c r="C135" s="123"/>
      <c r="D135" s="123"/>
      <c r="M135" s="25">
        <v>45793</v>
      </c>
      <c r="N135" s="13" t="s">
        <v>148</v>
      </c>
      <c r="O135" s="115"/>
      <c r="P135" s="115"/>
      <c r="Q135" s="115"/>
      <c r="R135" s="115"/>
      <c r="S135" s="115"/>
      <c r="T135" s="115"/>
      <c r="U135" s="115"/>
      <c r="V135" s="115"/>
      <c r="W135" s="115"/>
      <c r="X135" s="25">
        <v>45678</v>
      </c>
      <c r="Y135" s="13" t="s">
        <v>148</v>
      </c>
      <c r="AD135" s="116"/>
      <c r="AE135" s="123"/>
      <c r="AF135" s="123"/>
      <c r="AG135" s="123"/>
      <c r="AL135" s="115"/>
      <c r="AM135" s="115"/>
      <c r="AN135" s="115"/>
      <c r="AO135" s="115"/>
      <c r="AP135" s="115"/>
      <c r="AQ135" s="115"/>
      <c r="AR135" s="115"/>
      <c r="AS135" s="115"/>
      <c r="AT135" s="115"/>
      <c r="AU135" s="115"/>
      <c r="AV135" s="25"/>
      <c r="AW135" s="13"/>
      <c r="AZ135" s="114"/>
    </row>
    <row r="136" spans="1:52" ht="19.5" x14ac:dyDescent="0.4">
      <c r="A136" s="117"/>
      <c r="B136" s="123"/>
      <c r="C136" s="123"/>
      <c r="D136" s="123"/>
      <c r="K136" s="115"/>
      <c r="L136" s="115"/>
      <c r="M136" s="26">
        <v>45793</v>
      </c>
      <c r="N136" s="13" t="s">
        <v>146</v>
      </c>
      <c r="O136" s="115"/>
      <c r="P136" s="115"/>
      <c r="Q136" s="115"/>
      <c r="R136" s="115"/>
      <c r="S136" s="115"/>
      <c r="T136" s="115"/>
      <c r="U136" s="115"/>
      <c r="V136" s="115"/>
      <c r="W136" s="115"/>
      <c r="X136" s="25"/>
      <c r="Y136" s="13"/>
      <c r="AD136" s="116"/>
      <c r="AE136" s="123"/>
      <c r="AF136" s="123"/>
      <c r="AG136" s="123"/>
      <c r="AL136" s="115"/>
      <c r="AM136" s="115"/>
      <c r="AN136" s="115"/>
      <c r="AO136" s="115"/>
      <c r="AP136" s="115"/>
      <c r="AQ136" s="115"/>
      <c r="AR136" s="115"/>
      <c r="AS136" s="115"/>
      <c r="AT136" s="115"/>
      <c r="AU136" s="115"/>
      <c r="AV136" s="25"/>
      <c r="AW136" s="13"/>
      <c r="AZ136" s="114"/>
    </row>
    <row r="137" spans="1:52" ht="19.5" x14ac:dyDescent="0.4">
      <c r="A137" s="117"/>
      <c r="B137" s="123"/>
      <c r="C137" s="123"/>
      <c r="D137" s="123"/>
      <c r="G137" s="115"/>
      <c r="H137" s="115"/>
      <c r="I137" s="115"/>
      <c r="J137" s="115"/>
      <c r="K137" s="115"/>
      <c r="L137" s="115"/>
      <c r="M137" s="26">
        <v>45793</v>
      </c>
      <c r="N137" s="13" t="s">
        <v>146</v>
      </c>
      <c r="O137" s="115"/>
      <c r="P137" s="115"/>
      <c r="Q137" s="115"/>
      <c r="R137" s="115"/>
      <c r="S137" s="115"/>
      <c r="T137" s="115"/>
      <c r="U137" s="115"/>
      <c r="V137" s="115"/>
      <c r="W137" s="115"/>
      <c r="X137" s="25"/>
      <c r="Y137" s="13"/>
      <c r="AD137" s="116"/>
      <c r="AE137" s="123"/>
      <c r="AF137" s="123"/>
      <c r="AG137" s="123"/>
      <c r="AL137" s="115"/>
      <c r="AM137" s="115"/>
      <c r="AN137" s="115"/>
      <c r="AO137" s="115"/>
      <c r="AP137" s="115"/>
      <c r="AQ137" s="115"/>
      <c r="AR137" s="115"/>
      <c r="AS137" s="115"/>
      <c r="AT137" s="115"/>
      <c r="AU137" s="115"/>
      <c r="AV137" s="25"/>
      <c r="AW137" s="13"/>
      <c r="AZ137" s="114"/>
    </row>
    <row r="138" spans="1:52" ht="19.5" x14ac:dyDescent="0.4">
      <c r="A138" s="117"/>
      <c r="B138" s="123"/>
      <c r="C138" s="123"/>
      <c r="D138" s="123"/>
      <c r="G138" s="115"/>
      <c r="H138" s="115"/>
      <c r="I138" s="115"/>
      <c r="J138" s="115"/>
      <c r="K138" s="115"/>
      <c r="L138" s="115" t="s">
        <v>359</v>
      </c>
      <c r="M138" s="17">
        <f>SUBTOTAL(3,M134:M137)</f>
        <v>4</v>
      </c>
      <c r="N138" s="13">
        <f>SUBTOTAL(3,N134:N137)</f>
        <v>4</v>
      </c>
      <c r="O138" s="115"/>
      <c r="P138" s="115"/>
      <c r="Q138" s="115"/>
      <c r="R138" s="115"/>
      <c r="S138" s="115"/>
      <c r="T138" s="115"/>
      <c r="U138" s="115"/>
      <c r="V138" s="115"/>
      <c r="W138" s="115"/>
      <c r="X138" s="25"/>
      <c r="Y138" s="13"/>
      <c r="AD138" s="116"/>
      <c r="AE138" s="123"/>
      <c r="AF138" s="123"/>
      <c r="AG138" s="123"/>
      <c r="AL138" s="115"/>
      <c r="AM138" s="115"/>
      <c r="AN138" s="115"/>
      <c r="AO138" s="115"/>
      <c r="AP138" s="115"/>
      <c r="AQ138" s="115"/>
      <c r="AR138" s="115"/>
      <c r="AS138" s="115"/>
      <c r="AT138" s="115"/>
      <c r="AU138" s="115"/>
      <c r="AV138" s="25"/>
      <c r="AW138" s="13"/>
      <c r="AZ138" s="114"/>
    </row>
    <row r="139" spans="1:52" ht="19.5" x14ac:dyDescent="0.4">
      <c r="A139" s="117"/>
      <c r="B139" s="123"/>
      <c r="C139" s="123"/>
      <c r="D139" s="123"/>
      <c r="G139" s="115"/>
      <c r="H139" s="115"/>
      <c r="I139" s="115"/>
      <c r="J139" s="115"/>
      <c r="K139" s="115"/>
      <c r="L139" s="115"/>
      <c r="M139" s="26">
        <v>45794</v>
      </c>
      <c r="N139" s="13" t="s">
        <v>148</v>
      </c>
      <c r="O139" s="115"/>
      <c r="P139" s="115"/>
      <c r="Q139" s="115"/>
      <c r="R139" s="115"/>
      <c r="S139" s="115"/>
      <c r="T139" s="115"/>
      <c r="U139" s="115"/>
      <c r="V139" s="115"/>
      <c r="W139" s="115"/>
      <c r="X139" s="25"/>
      <c r="Y139" s="13"/>
      <c r="AD139" s="116"/>
      <c r="AE139" s="123"/>
      <c r="AF139" s="123"/>
      <c r="AG139" s="123"/>
      <c r="AL139" s="115"/>
      <c r="AM139" s="115"/>
      <c r="AN139" s="115"/>
      <c r="AO139" s="115"/>
      <c r="AP139" s="115"/>
      <c r="AQ139" s="115"/>
      <c r="AR139" s="115"/>
      <c r="AS139" s="115"/>
      <c r="AT139" s="115"/>
      <c r="AU139" s="115"/>
      <c r="AV139" s="25"/>
      <c r="AW139" s="13"/>
      <c r="AZ139" s="114"/>
    </row>
    <row r="140" spans="1:52" ht="19.5" x14ac:dyDescent="0.4">
      <c r="A140" s="117"/>
      <c r="B140" s="123"/>
      <c r="C140" s="123"/>
      <c r="D140" s="123"/>
      <c r="M140" s="26">
        <v>45794</v>
      </c>
      <c r="N140" s="13" t="s">
        <v>148</v>
      </c>
      <c r="O140" s="115"/>
      <c r="P140" s="115"/>
      <c r="Q140" s="115"/>
      <c r="R140" s="115"/>
      <c r="S140" s="115"/>
      <c r="T140" s="115"/>
      <c r="U140" s="115"/>
      <c r="V140" s="115"/>
      <c r="W140" s="115"/>
      <c r="X140" s="25">
        <v>45678</v>
      </c>
      <c r="Y140" s="13" t="s">
        <v>148</v>
      </c>
      <c r="AD140" s="116"/>
      <c r="AE140" s="123"/>
      <c r="AF140" s="123"/>
      <c r="AG140" s="123"/>
      <c r="AL140" s="115"/>
      <c r="AM140" s="115"/>
      <c r="AN140" s="115"/>
      <c r="AO140" s="115"/>
      <c r="AP140" s="115"/>
      <c r="AQ140" s="115"/>
      <c r="AR140" s="115"/>
      <c r="AS140" s="115"/>
      <c r="AT140" s="115"/>
      <c r="AU140" s="115"/>
      <c r="AV140" s="25"/>
      <c r="AW140" s="13"/>
      <c r="AZ140" s="114"/>
    </row>
    <row r="141" spans="1:52" ht="19.5" x14ac:dyDescent="0.4">
      <c r="A141" s="117"/>
      <c r="B141" s="123"/>
      <c r="C141" s="123"/>
      <c r="D141" s="123"/>
      <c r="M141" s="26">
        <v>45794</v>
      </c>
      <c r="N141" s="13" t="s">
        <v>148</v>
      </c>
      <c r="O141" s="115"/>
      <c r="P141" s="115"/>
      <c r="Q141" s="115"/>
      <c r="R141" s="115"/>
      <c r="S141" s="115"/>
      <c r="T141" s="115"/>
      <c r="U141" s="115"/>
      <c r="V141" s="115"/>
      <c r="W141" s="115"/>
      <c r="X141" s="25">
        <v>45678</v>
      </c>
      <c r="Y141" s="13" t="s">
        <v>148</v>
      </c>
      <c r="AD141" s="116"/>
      <c r="AE141" s="123"/>
      <c r="AF141" s="123"/>
      <c r="AG141" s="123"/>
      <c r="AL141" s="115"/>
      <c r="AM141" s="115"/>
      <c r="AN141" s="115"/>
      <c r="AO141" s="115"/>
      <c r="AP141" s="115"/>
      <c r="AQ141" s="115"/>
      <c r="AR141" s="115"/>
      <c r="AS141" s="115"/>
      <c r="AT141" s="115"/>
      <c r="AU141" s="115"/>
      <c r="AV141" s="25"/>
      <c r="AW141" s="13"/>
      <c r="AZ141" s="114"/>
    </row>
    <row r="142" spans="1:52" ht="19.5" x14ac:dyDescent="0.4">
      <c r="A142" s="117"/>
      <c r="B142" s="123"/>
      <c r="C142" s="123"/>
      <c r="D142" s="123"/>
      <c r="L142" s="115" t="s">
        <v>360</v>
      </c>
      <c r="M142" s="17">
        <f>SUBTOTAL(3,M139:M141)</f>
        <v>3</v>
      </c>
      <c r="N142" s="13">
        <f>SUBTOTAL(3,N139:N141)</f>
        <v>3</v>
      </c>
      <c r="O142" s="115"/>
      <c r="P142" s="115"/>
      <c r="Q142" s="115"/>
      <c r="R142" s="115"/>
      <c r="S142" s="115"/>
      <c r="T142" s="115"/>
      <c r="U142" s="115"/>
      <c r="V142" s="115"/>
      <c r="W142" s="115"/>
      <c r="X142" s="25"/>
      <c r="Y142" s="13"/>
      <c r="AD142" s="116"/>
      <c r="AE142" s="123"/>
      <c r="AF142" s="123"/>
      <c r="AG142" s="123"/>
      <c r="AL142" s="115"/>
      <c r="AM142" s="115"/>
      <c r="AN142" s="115"/>
      <c r="AO142" s="115"/>
      <c r="AP142" s="115"/>
      <c r="AQ142" s="115"/>
      <c r="AR142" s="115"/>
      <c r="AS142" s="115"/>
      <c r="AT142" s="115"/>
      <c r="AU142" s="115"/>
      <c r="AV142" s="25"/>
      <c r="AW142" s="13"/>
      <c r="AZ142" s="114"/>
    </row>
    <row r="143" spans="1:52" ht="19.5" x14ac:dyDescent="0.4">
      <c r="A143" s="117"/>
      <c r="B143" s="123"/>
      <c r="C143" s="123"/>
      <c r="D143" s="123"/>
      <c r="J143" s="115"/>
      <c r="K143" s="115"/>
      <c r="L143" s="115"/>
      <c r="M143" s="26">
        <v>45795</v>
      </c>
      <c r="N143" s="13" t="s">
        <v>147</v>
      </c>
      <c r="O143" s="115"/>
      <c r="P143" s="115"/>
      <c r="Q143" s="115"/>
      <c r="R143" s="115"/>
      <c r="S143" s="115"/>
      <c r="T143" s="115"/>
      <c r="U143" s="115"/>
      <c r="V143" s="115"/>
      <c r="W143" s="115"/>
      <c r="X143" s="25"/>
      <c r="Y143" s="13"/>
      <c r="AD143" s="116"/>
      <c r="AE143" s="123"/>
      <c r="AF143" s="123"/>
      <c r="AG143" s="123"/>
      <c r="AL143" s="115"/>
      <c r="AM143" s="115"/>
      <c r="AN143" s="115"/>
      <c r="AO143" s="115"/>
      <c r="AP143" s="115"/>
      <c r="AQ143" s="115"/>
      <c r="AR143" s="115"/>
      <c r="AS143" s="115"/>
      <c r="AT143" s="115"/>
      <c r="AU143" s="115"/>
      <c r="AV143" s="25"/>
      <c r="AW143" s="13"/>
      <c r="AZ143" s="114"/>
    </row>
    <row r="144" spans="1:52" ht="19.5" x14ac:dyDescent="0.4">
      <c r="A144" s="117"/>
      <c r="B144" s="123"/>
      <c r="C144" s="123"/>
      <c r="D144" s="123"/>
      <c r="J144" s="115"/>
      <c r="K144" s="115"/>
      <c r="L144" s="115" t="s">
        <v>361</v>
      </c>
      <c r="M144" s="17">
        <f>SUBTOTAL(3,M143:M143)</f>
        <v>1</v>
      </c>
      <c r="N144" s="13">
        <f>SUBTOTAL(3,N143:N143)</f>
        <v>1</v>
      </c>
      <c r="O144" s="115"/>
      <c r="P144" s="115"/>
      <c r="Q144" s="115"/>
      <c r="R144" s="115"/>
      <c r="S144" s="115"/>
      <c r="T144" s="115"/>
      <c r="U144" s="115"/>
      <c r="V144" s="115"/>
      <c r="W144" s="115"/>
      <c r="X144" s="25"/>
      <c r="Y144" s="13"/>
      <c r="AD144" s="116"/>
      <c r="AE144" s="123"/>
      <c r="AF144" s="123"/>
      <c r="AG144" s="123"/>
      <c r="AL144" s="115"/>
      <c r="AM144" s="115"/>
      <c r="AN144" s="115"/>
      <c r="AO144" s="115"/>
      <c r="AP144" s="115"/>
      <c r="AQ144" s="115"/>
      <c r="AR144" s="115"/>
      <c r="AS144" s="115"/>
      <c r="AT144" s="115"/>
      <c r="AU144" s="115"/>
      <c r="AV144" s="25"/>
      <c r="AW144" s="13"/>
      <c r="AZ144" s="114"/>
    </row>
    <row r="145" spans="1:52" ht="19.5" x14ac:dyDescent="0.4">
      <c r="A145" s="117"/>
      <c r="B145" s="123"/>
      <c r="C145" s="123"/>
      <c r="D145" s="123"/>
      <c r="M145" s="26">
        <v>45797</v>
      </c>
      <c r="N145" s="13" t="s">
        <v>147</v>
      </c>
      <c r="O145" s="115"/>
      <c r="P145" s="115"/>
      <c r="Q145" s="115"/>
      <c r="R145" s="115"/>
      <c r="S145" s="115"/>
      <c r="T145" s="115"/>
      <c r="U145" s="115"/>
      <c r="V145" s="115"/>
      <c r="W145" s="115"/>
      <c r="X145" s="25">
        <v>45679</v>
      </c>
      <c r="Y145" s="15" t="s">
        <v>146</v>
      </c>
      <c r="AD145" s="116"/>
      <c r="AE145" s="123"/>
      <c r="AF145" s="123"/>
      <c r="AG145" s="123"/>
      <c r="AL145" s="115"/>
      <c r="AM145" s="115"/>
      <c r="AN145" s="115"/>
      <c r="AO145" s="115"/>
      <c r="AP145" s="115"/>
      <c r="AQ145" s="115"/>
      <c r="AR145" s="115"/>
      <c r="AS145" s="115"/>
      <c r="AT145" s="115"/>
      <c r="AU145" s="115"/>
      <c r="AV145" s="25"/>
      <c r="AW145" s="13"/>
      <c r="AZ145" s="114"/>
    </row>
    <row r="146" spans="1:52" ht="19.5" x14ac:dyDescent="0.4">
      <c r="A146" s="117"/>
      <c r="B146" s="123"/>
      <c r="C146" s="123"/>
      <c r="D146" s="123"/>
      <c r="M146" s="26">
        <v>45797</v>
      </c>
      <c r="N146" s="13" t="s">
        <v>147</v>
      </c>
      <c r="O146" s="115"/>
      <c r="P146" s="115"/>
      <c r="Q146" s="115"/>
      <c r="R146" s="115"/>
      <c r="S146" s="115"/>
      <c r="T146" s="115"/>
      <c r="U146" s="115"/>
      <c r="V146" s="115"/>
      <c r="W146" s="115"/>
      <c r="X146" s="25"/>
      <c r="Y146" s="15"/>
      <c r="AD146" s="116"/>
      <c r="AE146" s="123"/>
      <c r="AF146" s="123"/>
      <c r="AG146" s="123"/>
      <c r="AL146" s="115"/>
      <c r="AM146" s="115"/>
      <c r="AN146" s="115"/>
      <c r="AO146" s="115"/>
      <c r="AP146" s="115"/>
      <c r="AQ146" s="115"/>
      <c r="AR146" s="115"/>
      <c r="AS146" s="115"/>
      <c r="AT146" s="115"/>
      <c r="AU146" s="115"/>
      <c r="AV146" s="25"/>
      <c r="AW146" s="13"/>
      <c r="AZ146" s="114"/>
    </row>
    <row r="147" spans="1:52" ht="19.5" x14ac:dyDescent="0.4">
      <c r="A147" s="117"/>
      <c r="B147" s="123"/>
      <c r="C147" s="123"/>
      <c r="D147" s="123"/>
      <c r="L147" s="115" t="s">
        <v>362</v>
      </c>
      <c r="M147" s="17">
        <f>SUBTOTAL(3,M145:M146)</f>
        <v>2</v>
      </c>
      <c r="N147" s="13">
        <f>SUBTOTAL(3,N145:N146)</f>
        <v>2</v>
      </c>
      <c r="O147" s="115"/>
      <c r="P147" s="115"/>
      <c r="Q147" s="115"/>
      <c r="R147" s="115"/>
      <c r="S147" s="115"/>
      <c r="T147" s="115"/>
      <c r="U147" s="115"/>
      <c r="V147" s="115"/>
      <c r="W147" s="115"/>
      <c r="X147" s="25"/>
      <c r="Y147" s="15"/>
      <c r="AD147" s="116"/>
      <c r="AE147" s="123"/>
      <c r="AF147" s="123"/>
      <c r="AG147" s="123"/>
      <c r="AL147" s="115"/>
      <c r="AM147" s="115"/>
      <c r="AN147" s="115"/>
      <c r="AO147" s="115"/>
      <c r="AP147" s="115"/>
      <c r="AQ147" s="115"/>
      <c r="AR147" s="115"/>
      <c r="AS147" s="115"/>
      <c r="AT147" s="115"/>
      <c r="AU147" s="115"/>
      <c r="AV147" s="25"/>
      <c r="AW147" s="13"/>
      <c r="AZ147" s="114"/>
    </row>
    <row r="148" spans="1:5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26">
        <v>45798</v>
      </c>
      <c r="N148" s="13" t="s">
        <v>146</v>
      </c>
      <c r="O148" s="115"/>
      <c r="P148" s="115"/>
      <c r="Q148" s="115"/>
      <c r="R148" s="115"/>
      <c r="S148" s="115"/>
      <c r="T148" s="115"/>
      <c r="U148" s="115"/>
      <c r="V148" s="115"/>
      <c r="W148" s="115"/>
      <c r="X148" s="25"/>
      <c r="Y148" s="15"/>
      <c r="AD148" s="116"/>
      <c r="AE148" s="123"/>
      <c r="AF148" s="123"/>
      <c r="AG148" s="123"/>
      <c r="AL148" s="115"/>
      <c r="AM148" s="115"/>
      <c r="AN148" s="115"/>
      <c r="AO148" s="115"/>
      <c r="AP148" s="115"/>
      <c r="AQ148" s="115"/>
      <c r="AR148" s="115"/>
      <c r="AS148" s="115"/>
      <c r="AT148" s="115"/>
      <c r="AU148" s="115"/>
      <c r="AV148" s="25"/>
      <c r="AW148" s="13"/>
      <c r="AZ148" s="114"/>
    </row>
    <row r="149" spans="1:5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 t="s">
        <v>193</v>
      </c>
      <c r="M149" s="17">
        <f>SUBTOTAL(3,M148:M148)</f>
        <v>1</v>
      </c>
      <c r="N149" s="13">
        <f>SUBTOTAL(3,N148:N148)</f>
        <v>1</v>
      </c>
      <c r="O149" s="115"/>
      <c r="P149" s="115"/>
      <c r="Q149" s="115"/>
      <c r="R149" s="115"/>
      <c r="S149" s="115"/>
      <c r="T149" s="115"/>
      <c r="U149" s="115"/>
      <c r="V149" s="115"/>
      <c r="W149" s="115"/>
      <c r="X149" s="25"/>
      <c r="Y149" s="15"/>
      <c r="AD149" s="116"/>
      <c r="AE149" s="123"/>
      <c r="AF149" s="123"/>
      <c r="AG149" s="123"/>
      <c r="AL149" s="115"/>
      <c r="AM149" s="115"/>
      <c r="AN149" s="115"/>
      <c r="AO149" s="115"/>
      <c r="AP149" s="115"/>
      <c r="AQ149" s="115"/>
      <c r="AR149" s="115"/>
      <c r="AS149" s="115"/>
      <c r="AT149" s="115"/>
      <c r="AU149" s="115"/>
      <c r="AV149" s="25"/>
      <c r="AW149" s="13"/>
      <c r="AZ149" s="114"/>
    </row>
    <row r="150" spans="1:52" ht="19.5" x14ac:dyDescent="0.4">
      <c r="A150" s="117"/>
      <c r="B150" s="123"/>
      <c r="C150" s="123"/>
      <c r="D150" s="123"/>
      <c r="M150" s="26">
        <v>45805</v>
      </c>
      <c r="N150" s="25" t="s">
        <v>146</v>
      </c>
      <c r="O150" s="115"/>
      <c r="P150" s="115"/>
      <c r="Q150" s="115"/>
      <c r="R150" s="115"/>
      <c r="S150" s="115"/>
      <c r="T150" s="115"/>
      <c r="U150" s="115"/>
      <c r="V150" s="115"/>
      <c r="W150" s="115"/>
      <c r="X150" s="25">
        <v>45679</v>
      </c>
      <c r="Y150" s="15" t="s">
        <v>148</v>
      </c>
      <c r="AD150" s="116"/>
      <c r="AE150" s="123"/>
      <c r="AF150" s="123"/>
      <c r="AG150" s="123"/>
      <c r="AL150" s="115"/>
      <c r="AM150" s="115"/>
      <c r="AN150" s="115"/>
      <c r="AO150" s="115"/>
      <c r="AP150" s="115"/>
      <c r="AQ150" s="115"/>
      <c r="AR150" s="115"/>
      <c r="AS150" s="115"/>
      <c r="AT150" s="115"/>
      <c r="AU150" s="115"/>
      <c r="AV150" s="25"/>
      <c r="AW150" s="13"/>
      <c r="AZ150" s="114"/>
    </row>
    <row r="151" spans="1:52" ht="19.5" x14ac:dyDescent="0.4">
      <c r="A151" s="117"/>
      <c r="B151" s="123"/>
      <c r="C151" s="123"/>
      <c r="D151" s="123"/>
      <c r="L151" s="115" t="s">
        <v>363</v>
      </c>
      <c r="M151" s="17">
        <f>SUBTOTAL(3,M150:M150)</f>
        <v>1</v>
      </c>
      <c r="N151" s="13">
        <f>SUBTOTAL(3,N150:N150)</f>
        <v>1</v>
      </c>
      <c r="O151" s="115"/>
      <c r="P151" s="115"/>
      <c r="Q151" s="115"/>
      <c r="R151" s="115"/>
      <c r="S151" s="115"/>
      <c r="T151" s="115"/>
      <c r="U151" s="115"/>
      <c r="V151" s="115"/>
      <c r="W151" s="115"/>
      <c r="X151" s="25"/>
      <c r="Y151" s="13"/>
      <c r="AD151" s="116"/>
      <c r="AE151" s="123"/>
      <c r="AF151" s="123"/>
      <c r="AG151" s="123"/>
      <c r="AL151" s="115"/>
      <c r="AM151" s="115"/>
      <c r="AN151" s="115"/>
      <c r="AO151" s="115"/>
      <c r="AP151" s="115"/>
      <c r="AQ151" s="115"/>
      <c r="AR151" s="115"/>
      <c r="AS151" s="115"/>
      <c r="AT151" s="115"/>
      <c r="AU151" s="115"/>
      <c r="AV151" s="25"/>
      <c r="AW151" s="13"/>
      <c r="AZ151" s="114"/>
    </row>
    <row r="152" spans="1:52" ht="19.5" x14ac:dyDescent="0.4">
      <c r="A152" s="117"/>
      <c r="B152" s="123"/>
      <c r="C152" s="123"/>
      <c r="D152" s="123"/>
      <c r="K152" s="115"/>
      <c r="L152" s="115"/>
      <c r="M152" s="26">
        <v>45824</v>
      </c>
      <c r="N152" s="13" t="s">
        <v>147</v>
      </c>
      <c r="O152" s="115"/>
      <c r="P152" s="115"/>
      <c r="Q152" s="115"/>
      <c r="R152" s="115"/>
      <c r="S152" s="115"/>
      <c r="T152" s="115"/>
      <c r="U152" s="115"/>
      <c r="V152" s="115"/>
      <c r="W152" s="115"/>
      <c r="X152" s="25"/>
      <c r="Y152" s="13"/>
      <c r="AD152" s="116"/>
      <c r="AE152" s="123"/>
      <c r="AF152" s="123"/>
      <c r="AG152" s="123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25"/>
      <c r="AW152" s="13"/>
      <c r="AZ152" s="114"/>
    </row>
    <row r="153" spans="1:52" ht="19.5" x14ac:dyDescent="0.4">
      <c r="A153" s="117"/>
      <c r="B153" s="123"/>
      <c r="C153" s="123"/>
      <c r="D153" s="123"/>
      <c r="K153" s="115"/>
      <c r="L153" s="115" t="s">
        <v>364</v>
      </c>
      <c r="M153" s="17">
        <f>SUBTOTAL(3,M152:M152)</f>
        <v>1</v>
      </c>
      <c r="N153" s="13">
        <f>SUBTOTAL(3,N152:N152)</f>
        <v>1</v>
      </c>
      <c r="O153" s="115"/>
      <c r="P153" s="115"/>
      <c r="Q153" s="115"/>
      <c r="R153" s="115"/>
      <c r="S153" s="115"/>
      <c r="T153" s="115"/>
      <c r="U153" s="115"/>
      <c r="V153" s="115"/>
      <c r="W153" s="115"/>
      <c r="X153" s="25"/>
      <c r="Y153" s="13"/>
      <c r="AD153" s="116"/>
      <c r="AE153" s="123"/>
      <c r="AF153" s="123"/>
      <c r="AG153" s="123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25"/>
      <c r="AW153" s="13"/>
      <c r="AZ153" s="114"/>
    </row>
    <row r="154" spans="1:52" ht="19.5" x14ac:dyDescent="0.4">
      <c r="A154" s="117"/>
      <c r="B154" s="123"/>
      <c r="C154" s="123"/>
      <c r="D154" s="123"/>
      <c r="M154" s="26">
        <v>45829</v>
      </c>
      <c r="N154" s="13" t="s">
        <v>147</v>
      </c>
      <c r="O154" s="115"/>
      <c r="P154" s="115"/>
      <c r="Q154" s="115"/>
      <c r="R154" s="115"/>
      <c r="S154" s="115"/>
      <c r="T154" s="115"/>
      <c r="U154" s="115"/>
      <c r="V154" s="115"/>
      <c r="W154" s="115"/>
      <c r="X154" s="25">
        <v>45679</v>
      </c>
      <c r="Y154" s="13" t="s">
        <v>147</v>
      </c>
      <c r="AD154" s="116"/>
      <c r="AE154" s="123"/>
      <c r="AF154" s="123"/>
      <c r="AG154" s="123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25"/>
      <c r="AW154" s="13"/>
      <c r="AZ154" s="114"/>
    </row>
    <row r="155" spans="1:52" ht="19.5" x14ac:dyDescent="0.4">
      <c r="A155" s="117"/>
      <c r="B155" s="123"/>
      <c r="C155" s="123"/>
      <c r="D155" s="123"/>
      <c r="K155" s="115"/>
      <c r="L155" s="115"/>
      <c r="M155" s="26">
        <v>45829</v>
      </c>
      <c r="N155" s="13" t="s">
        <v>147</v>
      </c>
      <c r="O155" s="115"/>
      <c r="P155" s="115"/>
      <c r="Q155" s="115"/>
      <c r="R155" s="115"/>
      <c r="S155" s="115"/>
      <c r="T155" s="115"/>
      <c r="U155" s="115"/>
      <c r="V155" s="115"/>
      <c r="W155" s="115"/>
      <c r="X155" s="25"/>
      <c r="Y155" s="13"/>
      <c r="AD155" s="116"/>
      <c r="AE155" s="123"/>
      <c r="AF155" s="123"/>
      <c r="AG155" s="123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25"/>
      <c r="AW155" s="13"/>
      <c r="AZ155" s="114"/>
    </row>
    <row r="156" spans="1:52" ht="19.5" x14ac:dyDescent="0.4">
      <c r="A156" s="117"/>
      <c r="B156" s="123"/>
      <c r="C156" s="123"/>
      <c r="D156" s="123"/>
      <c r="K156" s="115"/>
      <c r="L156" s="115" t="s">
        <v>199</v>
      </c>
      <c r="M156" s="17">
        <f>SUBTOTAL(3,M154:M155)</f>
        <v>2</v>
      </c>
      <c r="N156" s="13">
        <f>SUBTOTAL(3,N154:N155)</f>
        <v>2</v>
      </c>
      <c r="O156" s="115"/>
      <c r="P156" s="115"/>
      <c r="Q156" s="115"/>
      <c r="R156" s="115"/>
      <c r="S156" s="115"/>
      <c r="T156" s="115"/>
      <c r="U156" s="115"/>
      <c r="V156" s="115"/>
      <c r="W156" s="115"/>
      <c r="X156" s="25"/>
      <c r="Y156" s="13"/>
      <c r="AD156" s="116"/>
      <c r="AE156" s="123"/>
      <c r="AF156" s="123"/>
      <c r="AG156" s="123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25"/>
      <c r="AW156" s="13"/>
      <c r="AZ156" s="114"/>
    </row>
    <row r="157" spans="1:52" ht="19.5" x14ac:dyDescent="0.4">
      <c r="A157" s="117"/>
      <c r="B157" s="123"/>
      <c r="C157" s="123"/>
      <c r="D157" s="123"/>
      <c r="K157" s="115"/>
      <c r="L157" s="115" t="s">
        <v>145</v>
      </c>
      <c r="M157" s="17">
        <f>SUBTOTAL(3,M2:M155)</f>
        <v>129</v>
      </c>
      <c r="N157" s="13">
        <f>SUBTOTAL(3,N2:N155)</f>
        <v>129</v>
      </c>
      <c r="O157" s="115"/>
      <c r="P157" s="115"/>
      <c r="Q157" s="115"/>
      <c r="R157" s="115"/>
      <c r="S157" s="115"/>
      <c r="T157" s="115"/>
      <c r="U157" s="115"/>
      <c r="V157" s="115"/>
      <c r="W157" s="115"/>
      <c r="X157" s="25"/>
      <c r="Y157" s="13"/>
      <c r="AD157" s="116"/>
      <c r="AE157" s="123"/>
      <c r="AF157" s="123"/>
      <c r="AG157" s="123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25"/>
      <c r="AW157" s="13"/>
      <c r="AZ157" s="114"/>
    </row>
    <row r="158" spans="1:52" ht="19.5" x14ac:dyDescent="0.4">
      <c r="A158" s="117"/>
      <c r="B158" s="123"/>
      <c r="C158" s="123"/>
      <c r="D158" s="123"/>
      <c r="J158" s="115"/>
      <c r="K158" s="115"/>
      <c r="L158" s="115"/>
      <c r="M158" s="26"/>
      <c r="N158" s="134"/>
      <c r="O158" s="115"/>
      <c r="P158" s="115"/>
      <c r="Q158" s="115"/>
      <c r="R158" s="115"/>
      <c r="S158" s="115"/>
      <c r="T158" s="115"/>
      <c r="U158" s="115"/>
      <c r="V158" s="115"/>
      <c r="W158" s="115"/>
      <c r="X158" s="25"/>
      <c r="Y158" s="13"/>
      <c r="AD158" s="116"/>
      <c r="AE158" s="123"/>
      <c r="AF158" s="123"/>
      <c r="AG158" s="123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25"/>
      <c r="AW158" s="13"/>
      <c r="AZ158" s="114"/>
    </row>
    <row r="159" spans="1:52" ht="19.5" x14ac:dyDescent="0.4">
      <c r="A159" s="117"/>
      <c r="B159" s="123"/>
      <c r="C159" s="123"/>
      <c r="D159" s="123"/>
      <c r="G159" s="115"/>
      <c r="H159" s="115"/>
      <c r="I159" s="115"/>
      <c r="J159" s="115"/>
      <c r="K159" s="115"/>
      <c r="L159" s="115"/>
      <c r="M159" s="26"/>
      <c r="N159" s="13"/>
      <c r="O159" s="115"/>
      <c r="P159" s="115"/>
      <c r="Q159" s="115"/>
      <c r="R159" s="115"/>
      <c r="S159" s="115"/>
      <c r="T159" s="115"/>
      <c r="U159" s="115"/>
      <c r="V159" s="115"/>
      <c r="W159" s="115"/>
      <c r="X159" s="25"/>
      <c r="Y159" s="13"/>
      <c r="AD159" s="116"/>
      <c r="AE159" s="123"/>
      <c r="AF159" s="123"/>
      <c r="AG159" s="123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25"/>
      <c r="AW159" s="13"/>
      <c r="AZ159" s="114"/>
    </row>
    <row r="160" spans="1:52" ht="19.5" x14ac:dyDescent="0.4">
      <c r="A160" s="117"/>
      <c r="B160" s="123"/>
      <c r="C160" s="123"/>
      <c r="D160" s="123"/>
      <c r="G160" s="115"/>
      <c r="H160" s="115"/>
      <c r="I160" s="115"/>
      <c r="J160" s="115"/>
      <c r="K160" s="115"/>
      <c r="L160" s="115"/>
      <c r="M160" s="26"/>
      <c r="N160" s="13"/>
      <c r="O160" s="115"/>
      <c r="P160" s="115"/>
      <c r="Q160" s="115"/>
      <c r="R160" s="115"/>
      <c r="S160" s="115"/>
      <c r="T160" s="115"/>
      <c r="U160" s="115"/>
      <c r="V160" s="115"/>
      <c r="W160" s="115"/>
      <c r="X160" s="25"/>
      <c r="Y160" s="13"/>
      <c r="AD160" s="116"/>
      <c r="AE160" s="123"/>
      <c r="AF160" s="123"/>
      <c r="AG160" s="123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25"/>
      <c r="AW160" s="13"/>
      <c r="AZ160" s="114"/>
    </row>
    <row r="161" spans="1:52" ht="19.5" x14ac:dyDescent="0.4">
      <c r="A161" s="117"/>
      <c r="B161" s="123"/>
      <c r="C161" s="123"/>
      <c r="D161" s="123"/>
      <c r="G161" s="115"/>
      <c r="H161" s="115"/>
      <c r="I161" s="115"/>
      <c r="J161" s="115"/>
      <c r="K161" s="115"/>
      <c r="L161" s="115"/>
      <c r="M161" s="17"/>
      <c r="N161" s="13"/>
      <c r="O161" s="115"/>
      <c r="P161" s="115"/>
      <c r="Q161" s="115"/>
      <c r="R161" s="115"/>
      <c r="S161" s="115"/>
      <c r="T161" s="115"/>
      <c r="U161" s="115"/>
      <c r="V161" s="115"/>
      <c r="W161" s="115"/>
      <c r="X161" s="25"/>
      <c r="Y161" s="13"/>
      <c r="AD161" s="116"/>
      <c r="AE161" s="123"/>
      <c r="AF161" s="123"/>
      <c r="AG161" s="123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25"/>
      <c r="AW161" s="13"/>
      <c r="AZ161" s="114"/>
    </row>
    <row r="162" spans="1:52" ht="19.5" x14ac:dyDescent="0.4">
      <c r="A162" s="117"/>
      <c r="B162" s="123"/>
      <c r="C162" s="123"/>
      <c r="D162" s="123"/>
      <c r="M162" s="26"/>
      <c r="N162" s="13"/>
      <c r="X162" s="25">
        <v>45679</v>
      </c>
      <c r="Y162" s="13" t="s">
        <v>147</v>
      </c>
      <c r="AD162" s="116"/>
      <c r="AE162" s="123"/>
      <c r="AF162" s="123"/>
      <c r="AG162" s="123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25"/>
      <c r="AW162" s="13"/>
      <c r="AZ162" s="114"/>
    </row>
    <row r="163" spans="1:52" ht="19.5" x14ac:dyDescent="0.4">
      <c r="A163" s="117"/>
      <c r="B163" s="123"/>
      <c r="C163" s="123"/>
      <c r="D163" s="123"/>
      <c r="K163" s="115"/>
      <c r="L163" s="115"/>
      <c r="M163" s="17"/>
      <c r="N163" s="13"/>
      <c r="X163" s="25"/>
      <c r="Y163" s="13"/>
      <c r="AD163" s="116"/>
      <c r="AE163" s="123"/>
      <c r="AF163" s="123"/>
      <c r="AG163" s="123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25"/>
      <c r="AW163" s="13"/>
      <c r="AZ163" s="114"/>
    </row>
    <row r="164" spans="1:52" ht="19.5" x14ac:dyDescent="0.4">
      <c r="A164" s="117"/>
      <c r="B164" s="123"/>
      <c r="C164" s="123"/>
      <c r="D164" s="123"/>
      <c r="M164" s="26"/>
      <c r="N164" s="13"/>
      <c r="X164" s="25"/>
      <c r="Y164" s="13"/>
      <c r="AD164" s="116"/>
      <c r="AE164" s="123"/>
      <c r="AF164" s="123"/>
      <c r="AG164" s="123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25"/>
      <c r="AW164" s="13"/>
      <c r="AZ164" s="114"/>
    </row>
    <row r="165" spans="1:52" ht="19.5" x14ac:dyDescent="0.4">
      <c r="A165" s="117"/>
      <c r="B165" s="123"/>
      <c r="C165" s="123"/>
      <c r="D165" s="123"/>
      <c r="K165" s="115"/>
      <c r="L165" s="115"/>
      <c r="M165" s="17"/>
      <c r="N165" s="13"/>
      <c r="X165" s="25"/>
      <c r="Y165" s="13"/>
      <c r="AD165" s="116"/>
      <c r="AE165" s="123"/>
      <c r="AF165" s="123"/>
      <c r="AG165" s="123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25"/>
      <c r="AW165" s="13"/>
      <c r="AZ165" s="114"/>
    </row>
    <row r="166" spans="1:52" ht="19.5" x14ac:dyDescent="0.4">
      <c r="A166" s="117"/>
      <c r="B166" s="123"/>
      <c r="C166" s="123"/>
      <c r="D166" s="123"/>
      <c r="M166" s="26"/>
      <c r="N166" s="13"/>
      <c r="O166" s="115"/>
      <c r="P166" s="115"/>
      <c r="Q166" s="115"/>
      <c r="R166" s="115"/>
      <c r="S166" s="115"/>
      <c r="T166" s="115"/>
      <c r="U166" s="115"/>
      <c r="V166" s="115"/>
      <c r="W166" s="115"/>
      <c r="X166" s="25">
        <v>45679</v>
      </c>
      <c r="Y166" s="13" t="s">
        <v>146</v>
      </c>
      <c r="AD166" s="116"/>
      <c r="AE166" s="123"/>
      <c r="AF166" s="123"/>
      <c r="AG166" s="123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25"/>
      <c r="AW166" s="13"/>
      <c r="AZ166" s="114"/>
    </row>
    <row r="167" spans="1:52" ht="19.5" x14ac:dyDescent="0.4">
      <c r="A167" s="117"/>
      <c r="B167" s="123"/>
      <c r="C167" s="123"/>
      <c r="D167" s="123"/>
      <c r="K167" s="115"/>
      <c r="L167" s="115"/>
      <c r="M167" s="17"/>
      <c r="N167" s="13"/>
      <c r="O167" s="115"/>
      <c r="P167" s="115"/>
      <c r="Q167" s="115"/>
      <c r="R167" s="115"/>
      <c r="S167" s="115"/>
      <c r="T167" s="115"/>
      <c r="U167" s="115"/>
      <c r="V167" s="115"/>
      <c r="W167" s="115"/>
      <c r="X167" s="25"/>
      <c r="Y167" s="13"/>
      <c r="AD167" s="116"/>
      <c r="AE167" s="123"/>
      <c r="AF167" s="123"/>
      <c r="AG167" s="123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25"/>
      <c r="AW167" s="13"/>
      <c r="AZ167" s="114"/>
    </row>
    <row r="168" spans="1:52" ht="19.5" x14ac:dyDescent="0.4">
      <c r="A168" s="117"/>
      <c r="B168" s="123"/>
      <c r="C168" s="123"/>
      <c r="D168" s="123"/>
      <c r="M168" s="26"/>
      <c r="N168" s="13"/>
      <c r="O168" s="115"/>
      <c r="P168" s="115"/>
      <c r="Q168" s="115"/>
      <c r="R168" s="115"/>
      <c r="S168" s="115"/>
      <c r="T168" s="115"/>
      <c r="U168" s="115"/>
      <c r="V168" s="115"/>
      <c r="W168" s="115"/>
      <c r="X168" s="25"/>
      <c r="Y168" s="13"/>
      <c r="AD168" s="116"/>
      <c r="AE168" s="123"/>
      <c r="AF168" s="123"/>
      <c r="AG168" s="123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25"/>
      <c r="AW168" s="13"/>
      <c r="AZ168" s="114"/>
    </row>
    <row r="169" spans="1:52" ht="19.5" x14ac:dyDescent="0.4">
      <c r="A169" s="117"/>
      <c r="B169" s="123"/>
      <c r="C169" s="123"/>
      <c r="D169" s="123"/>
      <c r="K169" s="115"/>
      <c r="L169" s="115"/>
      <c r="M169" s="17"/>
      <c r="N169" s="13"/>
      <c r="O169" s="115"/>
      <c r="P169" s="115"/>
      <c r="Q169" s="115"/>
      <c r="R169" s="115"/>
      <c r="S169" s="115"/>
      <c r="T169" s="115"/>
      <c r="U169" s="115"/>
      <c r="V169" s="115"/>
      <c r="W169" s="115"/>
      <c r="X169" s="25"/>
      <c r="Y169" s="13"/>
      <c r="AD169" s="116"/>
      <c r="AE169" s="123"/>
      <c r="AF169" s="123"/>
      <c r="AG169" s="123"/>
      <c r="AL169" s="115"/>
      <c r="AM169" s="115"/>
      <c r="AN169" s="115"/>
      <c r="AO169" s="115"/>
      <c r="AP169" s="115"/>
      <c r="AQ169" s="115"/>
      <c r="AR169" s="115"/>
      <c r="AS169" s="115"/>
      <c r="AT169" s="115"/>
      <c r="AU169" s="115"/>
      <c r="AV169" s="25"/>
      <c r="AW169" s="13"/>
      <c r="AZ169" s="114"/>
    </row>
    <row r="170" spans="1:52" ht="19.5" x14ac:dyDescent="0.4">
      <c r="A170" s="117"/>
      <c r="B170" s="123"/>
      <c r="C170" s="123"/>
      <c r="D170" s="123"/>
      <c r="K170" s="115"/>
      <c r="L170" s="115"/>
      <c r="M170" s="17"/>
      <c r="N170" s="13"/>
      <c r="O170" s="115"/>
      <c r="P170" s="115"/>
      <c r="Q170" s="115"/>
      <c r="R170" s="115"/>
      <c r="S170" s="115"/>
      <c r="T170" s="115"/>
      <c r="U170" s="115"/>
      <c r="V170" s="115"/>
      <c r="W170" s="115"/>
      <c r="X170" s="25"/>
      <c r="Y170" s="13"/>
      <c r="AD170" s="116"/>
      <c r="AE170" s="123"/>
      <c r="AF170" s="123"/>
      <c r="AG170" s="123"/>
      <c r="AL170" s="115"/>
      <c r="AM170" s="115"/>
      <c r="AN170" s="115"/>
      <c r="AO170" s="115"/>
      <c r="AP170" s="115"/>
      <c r="AQ170" s="115"/>
      <c r="AR170" s="115"/>
      <c r="AS170" s="115"/>
      <c r="AT170" s="115"/>
      <c r="AU170" s="115"/>
      <c r="AV170" s="25"/>
      <c r="AW170" s="13"/>
      <c r="AZ170" s="114"/>
    </row>
    <row r="171" spans="1:52" ht="19.5" x14ac:dyDescent="0.4">
      <c r="A171" s="117"/>
      <c r="B171" s="123"/>
      <c r="C171" s="123"/>
      <c r="D171" s="123"/>
      <c r="M171" s="26"/>
      <c r="N171" s="13"/>
      <c r="O171" s="115"/>
      <c r="P171" s="115"/>
      <c r="Q171" s="115"/>
      <c r="R171" s="115"/>
      <c r="S171" s="115"/>
      <c r="T171" s="115"/>
      <c r="U171" s="115"/>
      <c r="V171" s="115"/>
      <c r="W171" s="115"/>
      <c r="X171" s="25">
        <v>45679</v>
      </c>
      <c r="Y171" s="13" t="s">
        <v>147</v>
      </c>
      <c r="AD171" s="116"/>
      <c r="AE171" s="123"/>
      <c r="AF171" s="123"/>
      <c r="AG171" s="123"/>
      <c r="AL171" s="115"/>
      <c r="AM171" s="115"/>
      <c r="AN171" s="115"/>
      <c r="AO171" s="115"/>
      <c r="AP171" s="115"/>
      <c r="AQ171" s="115"/>
      <c r="AR171" s="115"/>
      <c r="AS171" s="115"/>
      <c r="AT171" s="115"/>
      <c r="AU171" s="115"/>
      <c r="AV171" s="25"/>
      <c r="AW171" s="13"/>
      <c r="AZ171" s="114"/>
    </row>
    <row r="172" spans="1:52" ht="19.5" x14ac:dyDescent="0.4">
      <c r="A172" s="117"/>
      <c r="B172" s="123"/>
      <c r="C172" s="123"/>
      <c r="D172" s="123"/>
      <c r="M172" s="26"/>
      <c r="N172" s="13"/>
      <c r="O172" s="115"/>
      <c r="P172" s="115"/>
      <c r="Q172" s="115"/>
      <c r="R172" s="115"/>
      <c r="S172" s="115"/>
      <c r="T172" s="115"/>
      <c r="U172" s="115"/>
      <c r="V172" s="115"/>
      <c r="W172" s="115"/>
      <c r="X172" s="25">
        <v>45680</v>
      </c>
      <c r="Y172" s="13" t="s">
        <v>148</v>
      </c>
      <c r="AD172" s="116"/>
      <c r="AE172" s="123"/>
      <c r="AF172" s="123"/>
      <c r="AG172" s="123"/>
      <c r="AL172" s="115"/>
      <c r="AM172" s="115"/>
      <c r="AN172" s="115"/>
      <c r="AO172" s="115"/>
      <c r="AP172" s="115"/>
      <c r="AQ172" s="115"/>
      <c r="AR172" s="115"/>
      <c r="AS172" s="115"/>
      <c r="AT172" s="115"/>
      <c r="AU172" s="115"/>
      <c r="AV172" s="25"/>
      <c r="AW172" s="13"/>
      <c r="AZ172" s="114"/>
    </row>
    <row r="173" spans="1:52" ht="19.5" x14ac:dyDescent="0.4">
      <c r="A173" s="117"/>
      <c r="B173" s="123"/>
      <c r="C173" s="123"/>
      <c r="D173" s="123"/>
      <c r="I173" s="115"/>
      <c r="J173" s="115"/>
      <c r="K173" s="115"/>
      <c r="L173" s="115"/>
      <c r="M173" s="26"/>
      <c r="N173" s="13"/>
      <c r="O173" s="115"/>
      <c r="P173" s="115"/>
      <c r="Q173" s="115"/>
      <c r="R173" s="115"/>
      <c r="S173" s="115"/>
      <c r="T173" s="115"/>
      <c r="U173" s="115"/>
      <c r="V173" s="115"/>
      <c r="W173" s="115"/>
      <c r="X173" s="25"/>
      <c r="Y173" s="13"/>
      <c r="AD173" s="116"/>
      <c r="AE173" s="123"/>
      <c r="AF173" s="123"/>
      <c r="AG173" s="123"/>
      <c r="AL173" s="115"/>
      <c r="AM173" s="115"/>
      <c r="AN173" s="115"/>
      <c r="AO173" s="115"/>
      <c r="AP173" s="115"/>
      <c r="AQ173" s="115"/>
      <c r="AR173" s="115"/>
      <c r="AS173" s="115"/>
      <c r="AT173" s="115"/>
      <c r="AU173" s="115"/>
      <c r="AV173" s="25"/>
      <c r="AW173" s="13"/>
      <c r="AZ173" s="114"/>
    </row>
    <row r="174" spans="1:52" ht="19.5" x14ac:dyDescent="0.4">
      <c r="A174" s="117"/>
      <c r="B174" s="123"/>
      <c r="C174" s="123"/>
      <c r="D174" s="123"/>
      <c r="M174" s="26"/>
      <c r="N174" s="13"/>
      <c r="O174" s="115"/>
      <c r="P174" s="115"/>
      <c r="Q174" s="115"/>
      <c r="R174" s="115"/>
      <c r="S174" s="115"/>
      <c r="T174" s="115"/>
      <c r="U174" s="115"/>
      <c r="V174" s="115"/>
      <c r="W174" s="115"/>
      <c r="X174" s="25">
        <v>45680</v>
      </c>
      <c r="Y174" s="13" t="s">
        <v>147</v>
      </c>
      <c r="AD174" s="116"/>
      <c r="AE174" s="123"/>
      <c r="AF174" s="123"/>
      <c r="AG174" s="123"/>
      <c r="AL174" s="115"/>
      <c r="AM174" s="115"/>
      <c r="AN174" s="115"/>
      <c r="AO174" s="115"/>
      <c r="AP174" s="115"/>
      <c r="AQ174" s="115"/>
      <c r="AR174" s="115"/>
      <c r="AS174" s="115"/>
      <c r="AT174" s="115"/>
      <c r="AU174" s="115"/>
      <c r="AV174" s="25"/>
      <c r="AW174" s="13"/>
      <c r="AZ174" s="114"/>
    </row>
    <row r="175" spans="1:52" ht="19.5" x14ac:dyDescent="0.4">
      <c r="A175" s="117"/>
      <c r="B175" s="123"/>
      <c r="C175" s="123"/>
      <c r="D175" s="123"/>
      <c r="I175" s="115"/>
      <c r="J175" s="115"/>
      <c r="K175" s="115"/>
      <c r="L175" s="115"/>
      <c r="M175" s="26"/>
      <c r="N175" s="13"/>
      <c r="O175" s="115"/>
      <c r="P175" s="115"/>
      <c r="Q175" s="115"/>
      <c r="R175" s="115"/>
      <c r="S175" s="115"/>
      <c r="T175" s="115"/>
      <c r="U175" s="115"/>
      <c r="V175" s="115"/>
      <c r="W175" s="115"/>
      <c r="X175" s="25"/>
      <c r="Y175" s="13"/>
      <c r="AD175" s="116"/>
      <c r="AE175" s="123"/>
      <c r="AF175" s="123"/>
      <c r="AG175" s="123"/>
      <c r="AL175" s="115"/>
      <c r="AM175" s="115"/>
      <c r="AN175" s="115"/>
      <c r="AO175" s="115"/>
      <c r="AP175" s="115"/>
      <c r="AQ175" s="115"/>
      <c r="AR175" s="115"/>
      <c r="AS175" s="115"/>
      <c r="AT175" s="115"/>
      <c r="AU175" s="115"/>
      <c r="AV175" s="25"/>
      <c r="AW175" s="13"/>
      <c r="AZ175" s="114"/>
    </row>
    <row r="176" spans="1:52" ht="19.5" x14ac:dyDescent="0.4">
      <c r="A176" s="117"/>
      <c r="B176" s="123"/>
      <c r="C176" s="123"/>
      <c r="D176" s="123"/>
      <c r="I176" s="115"/>
      <c r="J176" s="115"/>
      <c r="K176" s="115"/>
      <c r="L176" s="115"/>
      <c r="M176" s="17"/>
      <c r="N176" s="13"/>
      <c r="O176" s="115"/>
      <c r="P176" s="115"/>
      <c r="Q176" s="115"/>
      <c r="R176" s="115"/>
      <c r="S176" s="115"/>
      <c r="T176" s="115"/>
      <c r="U176" s="115"/>
      <c r="V176" s="115"/>
      <c r="W176" s="115"/>
      <c r="X176" s="25"/>
      <c r="Y176" s="13"/>
      <c r="AD176" s="116"/>
      <c r="AE176" s="123"/>
      <c r="AF176" s="123"/>
      <c r="AG176" s="123"/>
      <c r="AL176" s="115"/>
      <c r="AM176" s="115"/>
      <c r="AN176" s="115"/>
      <c r="AO176" s="115"/>
      <c r="AP176" s="115"/>
      <c r="AQ176" s="115"/>
      <c r="AR176" s="115"/>
      <c r="AS176" s="115"/>
      <c r="AT176" s="115"/>
      <c r="AU176" s="115"/>
      <c r="AV176" s="25"/>
      <c r="AW176" s="13"/>
      <c r="AZ176" s="114"/>
    </row>
    <row r="177" spans="1:52" ht="19.5" x14ac:dyDescent="0.4">
      <c r="A177" s="117"/>
      <c r="B177" s="123"/>
      <c r="C177" s="123"/>
      <c r="D177" s="123"/>
      <c r="M177" s="26"/>
      <c r="N177" s="13"/>
      <c r="O177" s="115"/>
      <c r="P177" s="115"/>
      <c r="Q177" s="115"/>
      <c r="R177" s="115"/>
      <c r="S177" s="115"/>
      <c r="T177" s="115"/>
      <c r="U177" s="115"/>
      <c r="V177" s="115"/>
      <c r="W177" s="115"/>
      <c r="X177" s="25">
        <v>45680</v>
      </c>
      <c r="Y177" s="13" t="s">
        <v>147</v>
      </c>
      <c r="AD177" s="116"/>
      <c r="AE177" s="123"/>
      <c r="AF177" s="123"/>
      <c r="AG177" s="123"/>
      <c r="AL177" s="115"/>
      <c r="AM177" s="115"/>
      <c r="AN177" s="115"/>
      <c r="AO177" s="115"/>
      <c r="AP177" s="115"/>
      <c r="AQ177" s="115"/>
      <c r="AR177" s="115"/>
      <c r="AS177" s="115"/>
      <c r="AT177" s="115"/>
      <c r="AU177" s="115"/>
      <c r="AV177" s="25"/>
      <c r="AW177" s="13"/>
      <c r="AZ177" s="114"/>
    </row>
    <row r="178" spans="1:52" ht="19.5" x14ac:dyDescent="0.4">
      <c r="A178" s="117"/>
      <c r="B178" s="123"/>
      <c r="C178" s="123"/>
      <c r="D178" s="123"/>
      <c r="M178" s="26"/>
      <c r="N178" s="13"/>
      <c r="O178" s="115"/>
      <c r="P178" s="115"/>
      <c r="Q178" s="115"/>
      <c r="R178" s="115"/>
      <c r="S178" s="115"/>
      <c r="T178" s="115"/>
      <c r="U178" s="115"/>
      <c r="V178" s="115"/>
      <c r="W178" s="115"/>
      <c r="X178" s="25"/>
      <c r="Y178" s="13"/>
      <c r="AD178" s="116"/>
      <c r="AE178" s="123"/>
      <c r="AF178" s="123"/>
      <c r="AG178" s="123"/>
      <c r="AL178" s="115"/>
      <c r="AM178" s="115"/>
      <c r="AN178" s="115"/>
      <c r="AO178" s="115"/>
      <c r="AP178" s="115"/>
      <c r="AQ178" s="115"/>
      <c r="AR178" s="115"/>
      <c r="AS178" s="115"/>
      <c r="AT178" s="115"/>
      <c r="AU178" s="115"/>
      <c r="AV178" s="25"/>
      <c r="AW178" s="13"/>
      <c r="AZ178" s="114"/>
    </row>
    <row r="179" spans="1:5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26"/>
      <c r="N179" s="13"/>
      <c r="O179" s="115"/>
      <c r="P179" s="115"/>
      <c r="Q179" s="115"/>
      <c r="R179" s="115"/>
      <c r="S179" s="115"/>
      <c r="T179" s="115"/>
      <c r="U179" s="115"/>
      <c r="V179" s="115"/>
      <c r="W179" s="115"/>
      <c r="X179" s="25"/>
      <c r="Y179" s="13"/>
      <c r="AD179" s="116"/>
      <c r="AE179" s="123"/>
      <c r="AF179" s="123"/>
      <c r="AG179" s="123"/>
      <c r="AL179" s="115"/>
      <c r="AM179" s="115"/>
      <c r="AN179" s="115"/>
      <c r="AO179" s="115"/>
      <c r="AP179" s="115"/>
      <c r="AQ179" s="115"/>
      <c r="AR179" s="115"/>
      <c r="AS179" s="115"/>
      <c r="AT179" s="115"/>
      <c r="AU179" s="115"/>
      <c r="AV179" s="25"/>
      <c r="AW179" s="13"/>
      <c r="AZ179" s="114"/>
    </row>
    <row r="180" spans="1:5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7"/>
      <c r="N180" s="13"/>
      <c r="O180" s="115"/>
      <c r="P180" s="115"/>
      <c r="Q180" s="115"/>
      <c r="R180" s="115"/>
      <c r="S180" s="115"/>
      <c r="T180" s="115"/>
      <c r="U180" s="115"/>
      <c r="V180" s="115"/>
      <c r="W180" s="115"/>
      <c r="X180" s="25"/>
      <c r="Y180" s="13"/>
      <c r="AD180" s="116"/>
      <c r="AE180" s="123"/>
      <c r="AF180" s="123"/>
      <c r="AG180" s="123"/>
      <c r="AL180" s="115"/>
      <c r="AM180" s="115"/>
      <c r="AN180" s="115"/>
      <c r="AO180" s="115"/>
      <c r="AP180" s="115"/>
      <c r="AQ180" s="115"/>
      <c r="AR180" s="115"/>
      <c r="AS180" s="115"/>
      <c r="AT180" s="115"/>
      <c r="AU180" s="115"/>
      <c r="AV180" s="25"/>
      <c r="AW180" s="13"/>
      <c r="AZ180" s="114"/>
    </row>
    <row r="181" spans="1:52" ht="19.5" x14ac:dyDescent="0.4">
      <c r="A181" s="117"/>
      <c r="B181" s="123"/>
      <c r="C181" s="123"/>
      <c r="D181" s="123"/>
      <c r="M181" s="26"/>
      <c r="N181" s="13"/>
      <c r="O181" s="115"/>
      <c r="P181" s="115"/>
      <c r="Q181" s="115"/>
      <c r="R181" s="115"/>
      <c r="S181" s="115"/>
      <c r="T181" s="115"/>
      <c r="U181" s="115"/>
      <c r="V181" s="115"/>
      <c r="W181" s="115"/>
      <c r="X181" s="25">
        <v>45680</v>
      </c>
      <c r="Y181" s="13" t="s">
        <v>146</v>
      </c>
      <c r="AD181" s="116"/>
      <c r="AE181" s="123"/>
      <c r="AF181" s="123"/>
      <c r="AG181" s="123"/>
      <c r="AL181" s="115"/>
      <c r="AM181" s="115"/>
      <c r="AN181" s="115"/>
      <c r="AO181" s="115"/>
      <c r="AP181" s="115"/>
      <c r="AQ181" s="115"/>
      <c r="AR181" s="115"/>
      <c r="AS181" s="115"/>
      <c r="AT181" s="115"/>
      <c r="AU181" s="115"/>
      <c r="AV181" s="25"/>
      <c r="AW181" s="13"/>
      <c r="AZ181" s="114"/>
    </row>
    <row r="182" spans="1:52" ht="19.5" x14ac:dyDescent="0.4">
      <c r="A182" s="117"/>
      <c r="B182" s="123"/>
      <c r="C182" s="123"/>
      <c r="D182" s="123"/>
      <c r="M182" s="26"/>
      <c r="N182" s="13"/>
      <c r="O182" s="115"/>
      <c r="P182" s="115"/>
      <c r="Q182" s="115"/>
      <c r="R182" s="115"/>
      <c r="S182" s="115"/>
      <c r="T182" s="115"/>
      <c r="U182" s="115"/>
      <c r="V182" s="115"/>
      <c r="W182" s="115"/>
      <c r="X182" s="25">
        <v>45680</v>
      </c>
      <c r="Y182" s="13" t="s">
        <v>146</v>
      </c>
      <c r="AD182" s="116"/>
      <c r="AE182" s="123"/>
      <c r="AF182" s="123"/>
      <c r="AG182" s="123"/>
      <c r="AL182" s="115"/>
      <c r="AM182" s="115"/>
      <c r="AN182" s="115"/>
      <c r="AO182" s="115"/>
      <c r="AP182" s="115"/>
      <c r="AQ182" s="115"/>
      <c r="AR182" s="115"/>
      <c r="AS182" s="115"/>
      <c r="AT182" s="115"/>
      <c r="AU182" s="115"/>
      <c r="AV182" s="25"/>
      <c r="AW182" s="13"/>
      <c r="AZ182" s="114"/>
    </row>
    <row r="183" spans="1:52" ht="19.5" x14ac:dyDescent="0.4">
      <c r="A183" s="117"/>
      <c r="B183" s="123"/>
      <c r="C183" s="123"/>
      <c r="D183" s="123"/>
      <c r="F183" s="115"/>
      <c r="G183" s="115"/>
      <c r="H183" s="115"/>
      <c r="I183" s="115"/>
      <c r="J183" s="115"/>
      <c r="K183" s="115"/>
      <c r="L183" s="115"/>
      <c r="M183" s="26"/>
      <c r="N183" s="13"/>
      <c r="O183" s="115"/>
      <c r="P183" s="115"/>
      <c r="Q183" s="115"/>
      <c r="R183" s="115"/>
      <c r="S183" s="115"/>
      <c r="T183" s="115"/>
      <c r="U183" s="115"/>
      <c r="V183" s="115"/>
      <c r="W183" s="115"/>
      <c r="X183" s="25">
        <v>45680</v>
      </c>
      <c r="Y183" s="13" t="s">
        <v>147</v>
      </c>
      <c r="AD183" s="116"/>
      <c r="AE183" s="123"/>
      <c r="AF183" s="123"/>
      <c r="AG183" s="123"/>
      <c r="AL183" s="115"/>
      <c r="AM183" s="115"/>
      <c r="AN183" s="115"/>
      <c r="AO183" s="115"/>
      <c r="AP183" s="115"/>
      <c r="AQ183" s="115"/>
      <c r="AR183" s="115"/>
      <c r="AS183" s="115"/>
      <c r="AT183" s="115"/>
      <c r="AU183" s="115"/>
      <c r="AV183" s="25"/>
      <c r="AW183" s="13"/>
      <c r="AZ183" s="114"/>
    </row>
    <row r="184" spans="1:52" ht="19.5" x14ac:dyDescent="0.4">
      <c r="A184" s="117"/>
      <c r="B184" s="123"/>
      <c r="C184" s="123"/>
      <c r="D184" s="123"/>
      <c r="F184" s="115"/>
      <c r="G184" s="115"/>
      <c r="H184" s="115"/>
      <c r="I184" s="115"/>
      <c r="J184" s="115"/>
      <c r="K184" s="115"/>
      <c r="L184" s="115"/>
      <c r="M184" s="26"/>
      <c r="N184" s="13"/>
      <c r="O184" s="115"/>
      <c r="P184" s="115"/>
      <c r="Q184" s="115"/>
      <c r="R184" s="115"/>
      <c r="S184" s="115"/>
      <c r="T184" s="115"/>
      <c r="U184" s="115"/>
      <c r="V184" s="115"/>
      <c r="W184" s="115"/>
      <c r="X184" s="25"/>
      <c r="Y184" s="13"/>
      <c r="AD184" s="116"/>
      <c r="AE184" s="123"/>
      <c r="AF184" s="123"/>
      <c r="AG184" s="123"/>
      <c r="AL184" s="115"/>
      <c r="AM184" s="115"/>
      <c r="AN184" s="115"/>
      <c r="AO184" s="115"/>
      <c r="AP184" s="115"/>
      <c r="AQ184" s="115"/>
      <c r="AR184" s="115"/>
      <c r="AS184" s="115"/>
      <c r="AT184" s="115"/>
      <c r="AU184" s="115"/>
      <c r="AV184" s="25"/>
      <c r="AW184" s="13"/>
      <c r="AZ184" s="114"/>
    </row>
    <row r="185" spans="1:52" ht="19.5" x14ac:dyDescent="0.4">
      <c r="A185" s="117"/>
      <c r="B185" s="123"/>
      <c r="C185" s="123"/>
      <c r="D185" s="123"/>
      <c r="F185" s="115"/>
      <c r="G185" s="115"/>
      <c r="H185" s="115"/>
      <c r="I185" s="115"/>
      <c r="J185" s="115"/>
      <c r="K185" s="115"/>
      <c r="L185" s="115"/>
      <c r="M185" s="26"/>
      <c r="N185" s="13"/>
      <c r="O185" s="115"/>
      <c r="P185" s="115"/>
      <c r="Q185" s="115"/>
      <c r="R185" s="115"/>
      <c r="S185" s="115"/>
      <c r="T185" s="115"/>
      <c r="U185" s="115"/>
      <c r="V185" s="115"/>
      <c r="W185" s="115"/>
      <c r="X185" s="25"/>
      <c r="Y185" s="13"/>
      <c r="AD185" s="116"/>
      <c r="AE185" s="123"/>
      <c r="AF185" s="123"/>
      <c r="AG185" s="123"/>
      <c r="AL185" s="115"/>
      <c r="AM185" s="115"/>
      <c r="AN185" s="115"/>
      <c r="AO185" s="115"/>
      <c r="AP185" s="115"/>
      <c r="AQ185" s="115"/>
      <c r="AR185" s="115"/>
      <c r="AS185" s="115"/>
      <c r="AT185" s="115"/>
      <c r="AU185" s="115"/>
      <c r="AV185" s="25"/>
      <c r="AW185" s="13"/>
      <c r="AZ185" s="114"/>
    </row>
    <row r="186" spans="1:52" ht="19.5" x14ac:dyDescent="0.4">
      <c r="A186" s="117"/>
      <c r="B186" s="123"/>
      <c r="C186" s="123"/>
      <c r="D186" s="123"/>
      <c r="F186" s="115"/>
      <c r="G186" s="115"/>
      <c r="H186" s="115"/>
      <c r="I186" s="115"/>
      <c r="J186" s="115"/>
      <c r="K186" s="115"/>
      <c r="L186" s="115"/>
      <c r="M186" s="26"/>
      <c r="N186" s="13"/>
      <c r="O186" s="115"/>
      <c r="P186" s="115"/>
      <c r="Q186" s="115"/>
      <c r="R186" s="115"/>
      <c r="S186" s="115"/>
      <c r="T186" s="115"/>
      <c r="U186" s="115"/>
      <c r="V186" s="115"/>
      <c r="W186" s="115"/>
      <c r="X186" s="25">
        <v>45680</v>
      </c>
      <c r="Y186" s="15" t="s">
        <v>142</v>
      </c>
      <c r="AD186" s="116"/>
      <c r="AE186" s="123"/>
      <c r="AF186" s="123"/>
      <c r="AG186" s="123"/>
      <c r="AL186" s="115"/>
      <c r="AM186" s="115"/>
      <c r="AN186" s="115"/>
      <c r="AO186" s="115"/>
      <c r="AP186" s="115"/>
      <c r="AQ186" s="115"/>
      <c r="AR186" s="115"/>
      <c r="AS186" s="115"/>
      <c r="AT186" s="115"/>
      <c r="AU186" s="115"/>
      <c r="AV186" s="25"/>
      <c r="AW186" s="13"/>
      <c r="AZ186" s="114"/>
    </row>
    <row r="187" spans="1:52" ht="19.5" x14ac:dyDescent="0.4">
      <c r="A187" s="117"/>
      <c r="B187" s="123"/>
      <c r="C187" s="123"/>
      <c r="D187" s="123"/>
      <c r="F187" s="115"/>
      <c r="G187" s="115"/>
      <c r="H187" s="115"/>
      <c r="I187" s="115"/>
      <c r="J187" s="115"/>
      <c r="K187" s="115"/>
      <c r="L187" s="115"/>
      <c r="M187" s="26"/>
      <c r="N187" s="13"/>
      <c r="O187" s="115"/>
      <c r="P187" s="115"/>
      <c r="Q187" s="115"/>
      <c r="R187" s="115"/>
      <c r="S187" s="115"/>
      <c r="T187" s="115"/>
      <c r="U187" s="115"/>
      <c r="V187" s="115"/>
      <c r="W187" s="115"/>
      <c r="X187" s="25"/>
      <c r="Y187" s="15"/>
      <c r="AD187" s="116"/>
      <c r="AE187" s="123"/>
      <c r="AF187" s="123"/>
      <c r="AG187" s="123"/>
      <c r="AL187" s="115"/>
      <c r="AM187" s="115"/>
      <c r="AN187" s="115"/>
      <c r="AO187" s="115"/>
      <c r="AP187" s="115"/>
      <c r="AQ187" s="115"/>
      <c r="AR187" s="115"/>
      <c r="AS187" s="115"/>
      <c r="AT187" s="115"/>
      <c r="AU187" s="115"/>
      <c r="AV187" s="25"/>
      <c r="AW187" s="13"/>
      <c r="AZ187" s="114"/>
    </row>
    <row r="188" spans="1:52" ht="19.5" x14ac:dyDescent="0.4">
      <c r="A188" s="117"/>
      <c r="B188" s="123"/>
      <c r="C188" s="123"/>
      <c r="D188" s="123"/>
      <c r="F188" s="115"/>
      <c r="G188" s="115"/>
      <c r="H188" s="115"/>
      <c r="I188" s="115"/>
      <c r="J188" s="115"/>
      <c r="K188" s="115"/>
      <c r="L188" s="115"/>
      <c r="M188" s="26"/>
      <c r="N188" s="13"/>
      <c r="O188" s="115"/>
      <c r="P188" s="115"/>
      <c r="Q188" s="115"/>
      <c r="R188" s="115"/>
      <c r="S188" s="115"/>
      <c r="T188" s="115"/>
      <c r="U188" s="115"/>
      <c r="V188" s="115"/>
      <c r="W188" s="115"/>
      <c r="X188" s="25">
        <v>45680</v>
      </c>
      <c r="Y188" s="15" t="s">
        <v>146</v>
      </c>
      <c r="AD188" s="116"/>
      <c r="AE188" s="123"/>
      <c r="AF188" s="123"/>
      <c r="AG188" s="123"/>
      <c r="AL188" s="115"/>
      <c r="AM188" s="115"/>
      <c r="AN188" s="115"/>
      <c r="AO188" s="115"/>
      <c r="AP188" s="115"/>
      <c r="AQ188" s="115"/>
      <c r="AR188" s="115"/>
      <c r="AS188" s="115"/>
      <c r="AT188" s="115"/>
      <c r="AU188" s="115"/>
      <c r="AV188" s="25"/>
      <c r="AW188" s="13"/>
      <c r="AZ188" s="114"/>
    </row>
    <row r="189" spans="1:52" ht="19.5" x14ac:dyDescent="0.4">
      <c r="A189" s="117"/>
      <c r="B189" s="123"/>
      <c r="C189" s="123"/>
      <c r="D189" s="123"/>
      <c r="F189" s="115"/>
      <c r="G189" s="115"/>
      <c r="H189" s="115"/>
      <c r="I189" s="115"/>
      <c r="J189" s="115"/>
      <c r="K189" s="115"/>
      <c r="L189" s="115"/>
      <c r="M189" s="26"/>
      <c r="N189" s="15"/>
      <c r="O189" s="115"/>
      <c r="P189" s="115"/>
      <c r="Q189" s="115"/>
      <c r="R189" s="115"/>
      <c r="S189" s="115"/>
      <c r="T189" s="115"/>
      <c r="U189" s="115"/>
      <c r="V189" s="115"/>
      <c r="W189" s="115"/>
      <c r="X189" s="25"/>
      <c r="Y189" s="15"/>
      <c r="AD189" s="116"/>
      <c r="AE189" s="123"/>
      <c r="AF189" s="123"/>
      <c r="AG189" s="123"/>
      <c r="AL189" s="115"/>
      <c r="AM189" s="115"/>
      <c r="AN189" s="115"/>
      <c r="AO189" s="115"/>
      <c r="AP189" s="115"/>
      <c r="AQ189" s="115"/>
      <c r="AR189" s="115"/>
      <c r="AS189" s="115"/>
      <c r="AT189" s="115"/>
      <c r="AU189" s="115"/>
      <c r="AV189" s="25"/>
      <c r="AW189" s="13"/>
      <c r="AZ189" s="114"/>
    </row>
    <row r="190" spans="1:52" ht="19.5" x14ac:dyDescent="0.4">
      <c r="A190" s="117"/>
      <c r="B190" s="123"/>
      <c r="C190" s="123"/>
      <c r="D190" s="123"/>
      <c r="F190" s="115"/>
      <c r="G190" s="115"/>
      <c r="H190" s="115"/>
      <c r="I190" s="115"/>
      <c r="J190" s="115"/>
      <c r="K190" s="115"/>
      <c r="L190" s="115"/>
      <c r="M190" s="26"/>
      <c r="N190" s="13"/>
      <c r="O190" s="115"/>
      <c r="P190" s="115"/>
      <c r="Q190" s="115"/>
      <c r="R190" s="115"/>
      <c r="S190" s="115"/>
      <c r="T190" s="115"/>
      <c r="U190" s="115"/>
      <c r="V190" s="115"/>
      <c r="W190" s="115"/>
      <c r="X190" s="25">
        <v>45680</v>
      </c>
      <c r="Y190" s="15" t="s">
        <v>146</v>
      </c>
      <c r="AD190" s="116"/>
      <c r="AE190" s="123"/>
      <c r="AF190" s="123"/>
      <c r="AG190" s="123"/>
      <c r="AL190" s="115"/>
      <c r="AM190" s="115"/>
      <c r="AN190" s="115"/>
      <c r="AO190" s="115"/>
      <c r="AP190" s="115"/>
      <c r="AQ190" s="115"/>
      <c r="AR190" s="115"/>
      <c r="AS190" s="115"/>
      <c r="AT190" s="115"/>
      <c r="AU190" s="115"/>
      <c r="AV190" s="25"/>
      <c r="AW190" s="13"/>
      <c r="AZ190" s="114"/>
    </row>
    <row r="191" spans="1:52" ht="19.5" x14ac:dyDescent="0.4">
      <c r="A191" s="117"/>
      <c r="B191" s="123"/>
      <c r="C191" s="123"/>
      <c r="D191" s="123"/>
      <c r="F191" s="115"/>
      <c r="G191" s="115"/>
      <c r="H191" s="115"/>
      <c r="I191" s="115"/>
      <c r="J191" s="115"/>
      <c r="K191" s="115"/>
      <c r="L191" s="115"/>
      <c r="M191" s="17"/>
      <c r="N191" s="13"/>
      <c r="O191" s="115"/>
      <c r="P191" s="115"/>
      <c r="Q191" s="115"/>
      <c r="R191" s="115"/>
      <c r="S191" s="115"/>
      <c r="T191" s="115"/>
      <c r="U191" s="115"/>
      <c r="V191" s="115"/>
      <c r="W191" s="115"/>
      <c r="X191" s="25"/>
      <c r="Y191" s="15"/>
      <c r="AD191" s="116"/>
      <c r="AE191" s="123"/>
      <c r="AF191" s="123"/>
      <c r="AG191" s="123"/>
      <c r="AL191" s="115"/>
      <c r="AM191" s="115"/>
      <c r="AN191" s="115"/>
      <c r="AO191" s="115"/>
      <c r="AP191" s="115"/>
      <c r="AQ191" s="115"/>
      <c r="AR191" s="115"/>
      <c r="AS191" s="115"/>
      <c r="AT191" s="115"/>
      <c r="AU191" s="115"/>
      <c r="AV191" s="25"/>
      <c r="AW191" s="13"/>
      <c r="AZ191" s="114"/>
    </row>
    <row r="192" spans="1:52" ht="19.5" x14ac:dyDescent="0.4">
      <c r="A192" s="117"/>
      <c r="B192" s="123"/>
      <c r="C192" s="123"/>
      <c r="D192" s="123"/>
      <c r="F192" s="115"/>
      <c r="G192" s="115"/>
      <c r="H192" s="115"/>
      <c r="I192" s="115"/>
      <c r="J192" s="115"/>
      <c r="K192" s="115"/>
      <c r="L192" s="115"/>
      <c r="M192" s="26"/>
      <c r="N192" s="13"/>
      <c r="O192" s="115"/>
      <c r="P192" s="115"/>
      <c r="Q192" s="115"/>
      <c r="R192" s="115"/>
      <c r="S192" s="115"/>
      <c r="T192" s="115"/>
      <c r="U192" s="115"/>
      <c r="V192" s="115"/>
      <c r="W192" s="115"/>
      <c r="X192" s="25"/>
      <c r="Y192" s="15"/>
      <c r="AD192" s="116"/>
      <c r="AE192" s="123"/>
      <c r="AF192" s="123"/>
      <c r="AG192" s="123"/>
      <c r="AL192" s="115"/>
      <c r="AM192" s="115"/>
      <c r="AN192" s="115"/>
      <c r="AO192" s="115"/>
      <c r="AP192" s="115"/>
      <c r="AQ192" s="115"/>
      <c r="AR192" s="115"/>
      <c r="AS192" s="115"/>
      <c r="AT192" s="115"/>
      <c r="AU192" s="115"/>
      <c r="AV192" s="25"/>
      <c r="AW192" s="13"/>
      <c r="AZ192" s="114"/>
    </row>
    <row r="193" spans="1:52" ht="19.5" x14ac:dyDescent="0.4">
      <c r="A193" s="117"/>
      <c r="B193" s="123"/>
      <c r="C193" s="123"/>
      <c r="D193" s="123"/>
      <c r="F193" s="115"/>
      <c r="G193" s="115"/>
      <c r="H193" s="115"/>
      <c r="I193" s="115"/>
      <c r="J193" s="115"/>
      <c r="K193" s="115"/>
      <c r="L193" s="115"/>
      <c r="M193" s="26"/>
      <c r="N193" s="13"/>
      <c r="O193" s="115"/>
      <c r="P193" s="115"/>
      <c r="Q193" s="115"/>
      <c r="R193" s="115"/>
      <c r="S193" s="115"/>
      <c r="T193" s="115"/>
      <c r="U193" s="115"/>
      <c r="V193" s="115"/>
      <c r="W193" s="115"/>
      <c r="X193" s="25"/>
      <c r="Y193" s="15"/>
      <c r="AD193" s="116"/>
      <c r="AE193" s="123"/>
      <c r="AF193" s="123"/>
      <c r="AG193" s="123"/>
      <c r="AL193" s="115"/>
      <c r="AM193" s="115"/>
      <c r="AN193" s="115"/>
      <c r="AO193" s="115"/>
      <c r="AP193" s="115"/>
      <c r="AQ193" s="115"/>
      <c r="AR193" s="115"/>
      <c r="AS193" s="115"/>
      <c r="AT193" s="115"/>
      <c r="AU193" s="115"/>
      <c r="AV193" s="25"/>
      <c r="AW193" s="13"/>
      <c r="AZ193" s="114"/>
    </row>
    <row r="194" spans="1:52" ht="19.5" x14ac:dyDescent="0.4">
      <c r="A194" s="117"/>
      <c r="B194" s="123"/>
      <c r="C194" s="123"/>
      <c r="D194" s="123"/>
      <c r="F194" s="115"/>
      <c r="G194" s="115"/>
      <c r="H194" s="115"/>
      <c r="I194" s="115"/>
      <c r="J194" s="115"/>
      <c r="K194" s="115"/>
      <c r="L194" s="115"/>
      <c r="M194" s="26"/>
      <c r="N194" s="13"/>
      <c r="O194" s="115"/>
      <c r="P194" s="115"/>
      <c r="Q194" s="115"/>
      <c r="R194" s="115"/>
      <c r="S194" s="115"/>
      <c r="T194" s="115"/>
      <c r="U194" s="115"/>
      <c r="V194" s="115"/>
      <c r="W194" s="115"/>
      <c r="X194" s="25">
        <v>45680</v>
      </c>
      <c r="Y194" s="15" t="s">
        <v>146</v>
      </c>
      <c r="AD194" s="116"/>
      <c r="AE194" s="123"/>
      <c r="AF194" s="123"/>
      <c r="AG194" s="123"/>
      <c r="AL194" s="115"/>
      <c r="AM194" s="115"/>
      <c r="AN194" s="115"/>
      <c r="AO194" s="115"/>
      <c r="AP194" s="115"/>
      <c r="AQ194" s="115"/>
      <c r="AR194" s="115"/>
      <c r="AS194" s="115"/>
      <c r="AT194" s="115"/>
      <c r="AU194" s="115"/>
      <c r="AV194" s="25"/>
      <c r="AW194" s="13"/>
      <c r="AZ194" s="114"/>
    </row>
    <row r="195" spans="1:52" ht="19.5" x14ac:dyDescent="0.4">
      <c r="A195" s="117"/>
      <c r="B195" s="123"/>
      <c r="C195" s="123"/>
      <c r="D195" s="123"/>
      <c r="F195" s="115"/>
      <c r="G195" s="115"/>
      <c r="H195" s="115"/>
      <c r="I195" s="115"/>
      <c r="J195" s="115"/>
      <c r="K195" s="115"/>
      <c r="L195" s="115"/>
      <c r="M195" s="26"/>
      <c r="N195" s="13"/>
      <c r="O195" s="115"/>
      <c r="P195" s="115"/>
      <c r="Q195" s="115"/>
      <c r="R195" s="115"/>
      <c r="S195" s="115"/>
      <c r="T195" s="115"/>
      <c r="U195" s="115"/>
      <c r="V195" s="115"/>
      <c r="W195" s="115"/>
      <c r="X195" s="25"/>
      <c r="Y195" s="15"/>
      <c r="AD195" s="116"/>
      <c r="AE195" s="123"/>
      <c r="AF195" s="123"/>
      <c r="AG195" s="123"/>
      <c r="AL195" s="115"/>
      <c r="AM195" s="115"/>
      <c r="AN195" s="115"/>
      <c r="AO195" s="115"/>
      <c r="AP195" s="115"/>
      <c r="AQ195" s="115"/>
      <c r="AR195" s="115"/>
      <c r="AS195" s="115"/>
      <c r="AT195" s="115"/>
      <c r="AU195" s="115"/>
      <c r="AV195" s="25"/>
      <c r="AW195" s="13"/>
      <c r="AZ195" s="114"/>
    </row>
    <row r="196" spans="1:52" ht="19.5" x14ac:dyDescent="0.4">
      <c r="A196" s="117"/>
      <c r="B196" s="123"/>
      <c r="C196" s="123"/>
      <c r="D196" s="123"/>
      <c r="F196" s="115"/>
      <c r="G196" s="115"/>
      <c r="H196" s="115"/>
      <c r="I196" s="115"/>
      <c r="J196" s="115"/>
      <c r="K196" s="115"/>
      <c r="L196" s="115"/>
      <c r="M196" s="26"/>
      <c r="N196" s="13"/>
      <c r="O196" s="115"/>
      <c r="P196" s="115"/>
      <c r="Q196" s="115"/>
      <c r="R196" s="115"/>
      <c r="S196" s="115"/>
      <c r="T196" s="115"/>
      <c r="U196" s="115"/>
      <c r="V196" s="115"/>
      <c r="W196" s="115"/>
      <c r="X196" s="25">
        <v>45680</v>
      </c>
      <c r="Y196" s="15" t="s">
        <v>147</v>
      </c>
      <c r="AD196" s="116"/>
      <c r="AE196" s="123"/>
      <c r="AF196" s="123"/>
      <c r="AG196" s="123"/>
      <c r="AL196" s="115"/>
      <c r="AM196" s="115"/>
      <c r="AN196" s="115"/>
      <c r="AO196" s="115"/>
      <c r="AP196" s="115"/>
      <c r="AQ196" s="115"/>
      <c r="AR196" s="115"/>
      <c r="AS196" s="115"/>
      <c r="AT196" s="115"/>
      <c r="AU196" s="115"/>
      <c r="AV196" s="25"/>
      <c r="AW196" s="13"/>
      <c r="AZ196" s="114"/>
    </row>
    <row r="197" spans="1:52" ht="19.5" x14ac:dyDescent="0.4">
      <c r="A197" s="117"/>
      <c r="B197" s="123"/>
      <c r="C197" s="123"/>
      <c r="D197" s="123"/>
      <c r="F197" s="115"/>
      <c r="G197" s="115"/>
      <c r="H197" s="115"/>
      <c r="I197" s="115"/>
      <c r="J197" s="115"/>
      <c r="K197" s="115"/>
      <c r="L197" s="115"/>
      <c r="M197" s="26"/>
      <c r="N197" s="13"/>
      <c r="O197" s="115"/>
      <c r="P197" s="115"/>
      <c r="Q197" s="115"/>
      <c r="R197" s="115"/>
      <c r="S197" s="115"/>
      <c r="T197" s="115"/>
      <c r="U197" s="115"/>
      <c r="V197" s="115"/>
      <c r="W197" s="115"/>
      <c r="X197" s="25"/>
      <c r="Y197" s="13"/>
      <c r="AD197" s="116"/>
      <c r="AE197" s="123"/>
      <c r="AF197" s="123"/>
      <c r="AG197" s="123"/>
      <c r="AL197" s="115"/>
      <c r="AM197" s="115"/>
      <c r="AN197" s="115"/>
      <c r="AO197" s="115"/>
      <c r="AP197" s="115"/>
      <c r="AQ197" s="115"/>
      <c r="AR197" s="115"/>
      <c r="AS197" s="115"/>
      <c r="AT197" s="115"/>
      <c r="AU197" s="115"/>
      <c r="AV197" s="25"/>
      <c r="AW197" s="13"/>
      <c r="AZ197" s="114"/>
    </row>
    <row r="198" spans="1:52" ht="19.5" x14ac:dyDescent="0.4">
      <c r="A198" s="117"/>
      <c r="B198" s="123"/>
      <c r="C198" s="123"/>
      <c r="D198" s="123"/>
      <c r="F198" s="115"/>
      <c r="G198" s="115"/>
      <c r="H198" s="115"/>
      <c r="I198" s="115"/>
      <c r="J198" s="115"/>
      <c r="K198" s="115"/>
      <c r="L198" s="115"/>
      <c r="M198" s="26"/>
      <c r="N198" s="13"/>
      <c r="O198" s="115"/>
      <c r="P198" s="115"/>
      <c r="Q198" s="115"/>
      <c r="R198" s="115"/>
      <c r="S198" s="115"/>
      <c r="T198" s="115"/>
      <c r="U198" s="115"/>
      <c r="V198" s="115"/>
      <c r="W198" s="115"/>
      <c r="X198" s="25"/>
      <c r="Y198" s="13"/>
      <c r="AD198" s="116"/>
      <c r="AE198" s="123"/>
      <c r="AF198" s="123"/>
      <c r="AG198" s="123"/>
      <c r="AL198" s="115"/>
      <c r="AM198" s="115"/>
      <c r="AN198" s="115"/>
      <c r="AO198" s="115"/>
      <c r="AP198" s="115"/>
      <c r="AQ198" s="115"/>
      <c r="AR198" s="115"/>
      <c r="AS198" s="115"/>
      <c r="AT198" s="115"/>
      <c r="AU198" s="115"/>
      <c r="AV198" s="25"/>
      <c r="AW198" s="13"/>
      <c r="AZ198" s="114"/>
    </row>
    <row r="199" spans="1:52" ht="19.5" x14ac:dyDescent="0.4">
      <c r="A199" s="117"/>
      <c r="B199" s="123"/>
      <c r="C199" s="123"/>
      <c r="D199" s="123"/>
      <c r="F199" s="115"/>
      <c r="G199" s="115"/>
      <c r="H199" s="115"/>
      <c r="I199" s="115"/>
      <c r="J199" s="115"/>
      <c r="K199" s="115"/>
      <c r="L199" s="115"/>
      <c r="M199" s="26"/>
      <c r="N199" s="13"/>
      <c r="O199" s="115"/>
      <c r="P199" s="115"/>
      <c r="Q199" s="115"/>
      <c r="R199" s="115"/>
      <c r="S199" s="115"/>
      <c r="T199" s="115"/>
      <c r="U199" s="115"/>
      <c r="V199" s="115"/>
      <c r="W199" s="115"/>
      <c r="X199" s="25"/>
      <c r="Y199" s="13"/>
      <c r="AD199" s="116"/>
      <c r="AE199" s="123"/>
      <c r="AF199" s="123"/>
      <c r="AG199" s="123"/>
      <c r="AL199" s="115"/>
      <c r="AM199" s="115"/>
      <c r="AN199" s="115"/>
      <c r="AO199" s="115"/>
      <c r="AP199" s="115"/>
      <c r="AQ199" s="115"/>
      <c r="AR199" s="115"/>
      <c r="AS199" s="115"/>
      <c r="AT199" s="115"/>
      <c r="AU199" s="115"/>
      <c r="AV199" s="25"/>
      <c r="AW199" s="13"/>
      <c r="AZ199" s="114"/>
    </row>
    <row r="200" spans="1:52" ht="19.5" x14ac:dyDescent="0.4">
      <c r="A200" s="117"/>
      <c r="B200" s="123"/>
      <c r="C200" s="123"/>
      <c r="D200" s="123"/>
      <c r="F200" s="115"/>
      <c r="G200" s="115"/>
      <c r="H200" s="115"/>
      <c r="I200" s="115"/>
      <c r="J200" s="115"/>
      <c r="K200" s="115"/>
      <c r="L200" s="115"/>
      <c r="M200" s="26"/>
      <c r="N200" s="13"/>
      <c r="O200" s="115"/>
      <c r="P200" s="115"/>
      <c r="Q200" s="115"/>
      <c r="R200" s="115"/>
      <c r="S200" s="115"/>
      <c r="T200" s="115"/>
      <c r="U200" s="115"/>
      <c r="V200" s="115"/>
      <c r="W200" s="115"/>
      <c r="X200" s="25"/>
      <c r="Y200" s="13"/>
      <c r="AD200" s="116"/>
      <c r="AE200" s="123"/>
      <c r="AF200" s="123"/>
      <c r="AG200" s="123"/>
      <c r="AL200" s="115"/>
      <c r="AM200" s="115"/>
      <c r="AN200" s="115"/>
      <c r="AO200" s="115"/>
      <c r="AP200" s="115"/>
      <c r="AQ200" s="115"/>
      <c r="AR200" s="115"/>
      <c r="AS200" s="115"/>
      <c r="AT200" s="115"/>
      <c r="AU200" s="115"/>
      <c r="AV200" s="25"/>
      <c r="AW200" s="13"/>
      <c r="AZ200" s="114"/>
    </row>
    <row r="201" spans="1:52" ht="19.5" x14ac:dyDescent="0.4">
      <c r="A201" s="117"/>
      <c r="B201" s="123"/>
      <c r="C201" s="123"/>
      <c r="D201" s="123"/>
      <c r="F201" s="115"/>
      <c r="G201" s="115"/>
      <c r="H201" s="115"/>
      <c r="I201" s="115"/>
      <c r="J201" s="115"/>
      <c r="K201" s="115"/>
      <c r="L201" s="115"/>
      <c r="M201" s="26"/>
      <c r="N201" s="13"/>
      <c r="O201" s="115"/>
      <c r="P201" s="115"/>
      <c r="Q201" s="115"/>
      <c r="R201" s="115"/>
      <c r="S201" s="115"/>
      <c r="T201" s="115"/>
      <c r="U201" s="115"/>
      <c r="V201" s="115"/>
      <c r="W201" s="115"/>
      <c r="X201" s="25"/>
      <c r="Y201" s="13"/>
      <c r="AD201" s="116"/>
      <c r="AE201" s="123"/>
      <c r="AF201" s="123"/>
      <c r="AG201" s="123"/>
      <c r="AL201" s="115"/>
      <c r="AM201" s="115"/>
      <c r="AN201" s="115"/>
      <c r="AO201" s="115"/>
      <c r="AP201" s="115"/>
      <c r="AQ201" s="115"/>
      <c r="AR201" s="115"/>
      <c r="AS201" s="115"/>
      <c r="AT201" s="115"/>
      <c r="AU201" s="115"/>
      <c r="AV201" s="25"/>
      <c r="AW201" s="13"/>
      <c r="AZ201" s="114"/>
    </row>
    <row r="202" spans="1:52" ht="19.5" x14ac:dyDescent="0.4">
      <c r="A202" s="117"/>
      <c r="B202" s="123"/>
      <c r="C202" s="123"/>
      <c r="D202" s="123"/>
      <c r="F202" s="115"/>
      <c r="G202" s="115"/>
      <c r="H202" s="115"/>
      <c r="I202" s="115"/>
      <c r="J202" s="115"/>
      <c r="K202" s="115"/>
      <c r="L202" s="115"/>
      <c r="M202" s="26"/>
      <c r="N202" s="13"/>
      <c r="O202" s="115"/>
      <c r="P202" s="115"/>
      <c r="Q202" s="115"/>
      <c r="R202" s="115"/>
      <c r="S202" s="115"/>
      <c r="T202" s="115"/>
      <c r="U202" s="115"/>
      <c r="V202" s="115"/>
      <c r="W202" s="115"/>
      <c r="X202" s="25"/>
      <c r="Y202" s="13"/>
      <c r="AD202" s="116"/>
      <c r="AE202" s="123"/>
      <c r="AF202" s="123"/>
      <c r="AG202" s="123"/>
      <c r="AL202" s="115"/>
      <c r="AM202" s="115"/>
      <c r="AN202" s="115"/>
      <c r="AO202" s="115"/>
      <c r="AP202" s="115"/>
      <c r="AQ202" s="115"/>
      <c r="AR202" s="115"/>
      <c r="AS202" s="115"/>
      <c r="AT202" s="115"/>
      <c r="AU202" s="115"/>
      <c r="AV202" s="25"/>
      <c r="AW202" s="13"/>
      <c r="AZ202" s="114"/>
    </row>
    <row r="203" spans="1:52" ht="19.5" x14ac:dyDescent="0.4">
      <c r="A203" s="117"/>
      <c r="B203" s="123"/>
      <c r="C203" s="123"/>
      <c r="D203" s="123"/>
      <c r="F203" s="115"/>
      <c r="G203" s="115"/>
      <c r="H203" s="115"/>
      <c r="I203" s="115"/>
      <c r="J203" s="115"/>
      <c r="K203" s="115"/>
      <c r="L203" s="115"/>
      <c r="M203" s="26"/>
      <c r="N203" s="13"/>
      <c r="O203" s="115"/>
      <c r="P203" s="115"/>
      <c r="Q203" s="115"/>
      <c r="R203" s="115"/>
      <c r="S203" s="115"/>
      <c r="T203" s="115"/>
      <c r="U203" s="115"/>
      <c r="V203" s="115"/>
      <c r="W203" s="115"/>
      <c r="X203" s="25">
        <v>45680</v>
      </c>
      <c r="Y203" s="13" t="s">
        <v>146</v>
      </c>
      <c r="AD203" s="116"/>
      <c r="AE203" s="123"/>
      <c r="AF203" s="123"/>
      <c r="AG203" s="123"/>
      <c r="AL203" s="115"/>
      <c r="AM203" s="115"/>
      <c r="AN203" s="115"/>
      <c r="AO203" s="115"/>
      <c r="AP203" s="115"/>
      <c r="AQ203" s="115"/>
      <c r="AR203" s="115"/>
      <c r="AS203" s="115"/>
      <c r="AT203" s="115"/>
      <c r="AU203" s="115"/>
      <c r="AV203" s="25"/>
      <c r="AW203" s="13"/>
      <c r="AZ203" s="114"/>
    </row>
    <row r="204" spans="1:52" ht="19.5" x14ac:dyDescent="0.4">
      <c r="A204" s="117"/>
      <c r="B204" s="123"/>
      <c r="C204" s="123"/>
      <c r="D204" s="123"/>
      <c r="F204" s="115"/>
      <c r="G204" s="115"/>
      <c r="H204" s="115"/>
      <c r="I204" s="115"/>
      <c r="J204" s="115"/>
      <c r="K204" s="115"/>
      <c r="L204" s="115"/>
      <c r="M204" s="17"/>
      <c r="N204" s="13"/>
      <c r="O204" s="115"/>
      <c r="P204" s="115"/>
      <c r="Q204" s="115"/>
      <c r="R204" s="115"/>
      <c r="S204" s="115"/>
      <c r="T204" s="115"/>
      <c r="U204" s="115"/>
      <c r="V204" s="115"/>
      <c r="W204" s="115"/>
      <c r="X204" s="25"/>
      <c r="Y204" s="13"/>
      <c r="AD204" s="116"/>
      <c r="AE204" s="123"/>
      <c r="AF204" s="123"/>
      <c r="AG204" s="123"/>
      <c r="AL204" s="115"/>
      <c r="AM204" s="115"/>
      <c r="AN204" s="115"/>
      <c r="AO204" s="115"/>
      <c r="AP204" s="115"/>
      <c r="AQ204" s="115"/>
      <c r="AR204" s="115"/>
      <c r="AS204" s="115"/>
      <c r="AT204" s="115"/>
      <c r="AU204" s="115"/>
      <c r="AV204" s="25"/>
      <c r="AW204" s="13"/>
      <c r="AZ204" s="114"/>
    </row>
    <row r="205" spans="1:52" ht="19.5" x14ac:dyDescent="0.4">
      <c r="A205" s="117"/>
      <c r="B205" s="123"/>
      <c r="C205" s="123"/>
      <c r="D205" s="123"/>
      <c r="F205" s="115"/>
      <c r="G205" s="115"/>
      <c r="H205" s="115"/>
      <c r="I205" s="115"/>
      <c r="J205" s="115"/>
      <c r="K205" s="115"/>
      <c r="L205" s="115"/>
      <c r="M205" s="26"/>
      <c r="N205" s="13"/>
      <c r="O205" s="115"/>
      <c r="P205" s="115"/>
      <c r="Q205" s="115"/>
      <c r="R205" s="115"/>
      <c r="S205" s="115"/>
      <c r="T205" s="115"/>
      <c r="U205" s="115"/>
      <c r="V205" s="115"/>
      <c r="W205" s="115"/>
      <c r="X205" s="25">
        <v>45680</v>
      </c>
      <c r="Y205" s="13" t="s">
        <v>147</v>
      </c>
      <c r="AD205" s="116"/>
      <c r="AE205" s="123"/>
      <c r="AF205" s="123"/>
      <c r="AG205" s="123"/>
      <c r="AL205" s="115"/>
      <c r="AM205" s="115"/>
      <c r="AN205" s="115"/>
      <c r="AO205" s="115"/>
      <c r="AP205" s="115"/>
      <c r="AQ205" s="115"/>
      <c r="AR205" s="115"/>
      <c r="AS205" s="115"/>
      <c r="AT205" s="115"/>
      <c r="AU205" s="115"/>
      <c r="AV205" s="25"/>
      <c r="AW205" s="13"/>
      <c r="AZ205" s="114"/>
    </row>
    <row r="206" spans="1:52" ht="19.5" x14ac:dyDescent="0.4">
      <c r="A206" s="117"/>
      <c r="B206" s="123"/>
      <c r="C206" s="123"/>
      <c r="D206" s="123"/>
      <c r="F206" s="115"/>
      <c r="G206" s="115"/>
      <c r="H206" s="115"/>
      <c r="I206" s="115"/>
      <c r="J206" s="115"/>
      <c r="K206" s="115"/>
      <c r="L206" s="115"/>
      <c r="M206" s="26"/>
      <c r="N206" s="13"/>
      <c r="O206" s="115"/>
      <c r="P206" s="115"/>
      <c r="Q206" s="115"/>
      <c r="R206" s="115"/>
      <c r="S206" s="115"/>
      <c r="T206" s="115"/>
      <c r="U206" s="115"/>
      <c r="V206" s="115"/>
      <c r="W206" s="115"/>
      <c r="X206" s="25">
        <v>45680</v>
      </c>
      <c r="Y206" s="13" t="s">
        <v>146</v>
      </c>
      <c r="AD206" s="116"/>
      <c r="AE206" s="123"/>
      <c r="AF206" s="123"/>
      <c r="AG206" s="123"/>
      <c r="AL206" s="115"/>
      <c r="AM206" s="115"/>
      <c r="AN206" s="115"/>
      <c r="AO206" s="115"/>
      <c r="AP206" s="115"/>
      <c r="AQ206" s="115"/>
      <c r="AR206" s="115"/>
      <c r="AS206" s="115"/>
      <c r="AT206" s="115"/>
      <c r="AU206" s="115"/>
      <c r="AV206" s="25"/>
      <c r="AW206" s="13"/>
      <c r="AZ206" s="114"/>
    </row>
    <row r="207" spans="1:52" ht="19.5" x14ac:dyDescent="0.4">
      <c r="A207" s="117"/>
      <c r="B207" s="123"/>
      <c r="C207" s="123"/>
      <c r="D207" s="123"/>
      <c r="F207" s="115"/>
      <c r="G207" s="115"/>
      <c r="H207" s="115"/>
      <c r="I207" s="115"/>
      <c r="J207" s="115"/>
      <c r="K207" s="115"/>
      <c r="L207" s="115"/>
      <c r="M207" s="17"/>
      <c r="N207" s="13"/>
      <c r="O207" s="115"/>
      <c r="P207" s="115"/>
      <c r="Q207" s="115"/>
      <c r="R207" s="115"/>
      <c r="S207" s="115"/>
      <c r="T207" s="115"/>
      <c r="U207" s="115"/>
      <c r="V207" s="115"/>
      <c r="W207" s="115"/>
      <c r="X207" s="25"/>
      <c r="Y207" s="13"/>
      <c r="AD207" s="116"/>
      <c r="AE207" s="123"/>
      <c r="AF207" s="123"/>
      <c r="AG207" s="123"/>
      <c r="AL207" s="115"/>
      <c r="AM207" s="115"/>
      <c r="AN207" s="115"/>
      <c r="AO207" s="115"/>
      <c r="AP207" s="115"/>
      <c r="AQ207" s="115"/>
      <c r="AR207" s="115"/>
      <c r="AS207" s="115"/>
      <c r="AT207" s="115"/>
      <c r="AU207" s="115"/>
      <c r="AV207" s="25"/>
      <c r="AW207" s="13"/>
      <c r="AZ207" s="114"/>
    </row>
    <row r="208" spans="1:52" ht="19.5" x14ac:dyDescent="0.4">
      <c r="A208" s="117"/>
      <c r="B208" s="123"/>
      <c r="C208" s="123"/>
      <c r="D208" s="123"/>
      <c r="F208" s="115"/>
      <c r="G208" s="115"/>
      <c r="H208" s="115"/>
      <c r="I208" s="115"/>
      <c r="J208" s="115"/>
      <c r="K208" s="115"/>
      <c r="L208" s="115"/>
      <c r="M208" s="26"/>
      <c r="N208" s="13"/>
      <c r="O208" s="115"/>
      <c r="P208" s="115"/>
      <c r="Q208" s="115"/>
      <c r="R208" s="115"/>
      <c r="S208" s="115"/>
      <c r="T208" s="115"/>
      <c r="U208" s="115"/>
      <c r="V208" s="115"/>
      <c r="W208" s="115"/>
      <c r="X208" s="25"/>
      <c r="Y208" s="13"/>
      <c r="AD208" s="116"/>
      <c r="AE208" s="123"/>
      <c r="AF208" s="123"/>
      <c r="AG208" s="123"/>
      <c r="AL208" s="115"/>
      <c r="AM208" s="115"/>
      <c r="AN208" s="115"/>
      <c r="AO208" s="115"/>
      <c r="AP208" s="115"/>
      <c r="AQ208" s="115"/>
      <c r="AR208" s="115"/>
      <c r="AS208" s="115"/>
      <c r="AT208" s="115"/>
      <c r="AU208" s="115"/>
      <c r="AV208" s="25"/>
      <c r="AW208" s="13"/>
      <c r="AZ208" s="114"/>
    </row>
    <row r="209" spans="1:52" ht="19.5" x14ac:dyDescent="0.4">
      <c r="A209" s="117"/>
      <c r="B209" s="123"/>
      <c r="C209" s="123"/>
      <c r="D209" s="123"/>
      <c r="F209" s="115"/>
      <c r="G209" s="115"/>
      <c r="H209" s="115"/>
      <c r="I209" s="115"/>
      <c r="J209" s="115"/>
      <c r="K209" s="115"/>
      <c r="L209" s="115"/>
      <c r="M209" s="17"/>
      <c r="N209" s="13"/>
      <c r="O209" s="115"/>
      <c r="P209" s="115"/>
      <c r="Q209" s="115"/>
      <c r="R209" s="115"/>
      <c r="S209" s="115"/>
      <c r="T209" s="115"/>
      <c r="U209" s="115"/>
      <c r="V209" s="115"/>
      <c r="W209" s="115"/>
      <c r="X209" s="25"/>
      <c r="Y209" s="13"/>
      <c r="AD209" s="116"/>
      <c r="AE209" s="123"/>
      <c r="AF209" s="123"/>
      <c r="AG209" s="123"/>
      <c r="AL209" s="115"/>
      <c r="AM209" s="115"/>
      <c r="AN209" s="115"/>
      <c r="AO209" s="115"/>
      <c r="AP209" s="115"/>
      <c r="AQ209" s="115"/>
      <c r="AR209" s="115"/>
      <c r="AS209" s="115"/>
      <c r="AT209" s="115"/>
      <c r="AU209" s="115"/>
      <c r="AV209" s="25"/>
      <c r="AW209" s="13"/>
      <c r="AZ209" s="114"/>
    </row>
    <row r="210" spans="1:52" ht="19.5" x14ac:dyDescent="0.4">
      <c r="A210" s="117"/>
      <c r="B210" s="123"/>
      <c r="C210" s="123"/>
      <c r="D210" s="123"/>
      <c r="M210" s="26"/>
      <c r="N210" s="13"/>
      <c r="X210" s="25">
        <v>45680</v>
      </c>
      <c r="Y210" s="13" t="s">
        <v>146</v>
      </c>
      <c r="AD210" s="117"/>
      <c r="AE210" s="123"/>
      <c r="AF210" s="123"/>
      <c r="AG210" s="123"/>
      <c r="AL210" s="115"/>
      <c r="AM210" s="115"/>
      <c r="AN210" s="115"/>
      <c r="AO210" s="115"/>
      <c r="AP210" s="115"/>
      <c r="AQ210" s="115"/>
      <c r="AR210" s="115"/>
      <c r="AS210" s="115"/>
      <c r="AT210" s="115"/>
      <c r="AU210" s="115" t="s">
        <v>149</v>
      </c>
      <c r="AV210" s="13">
        <f>SUBTOTAL(3,AV2:AV2)</f>
        <v>1</v>
      </c>
      <c r="AW210" s="13">
        <f>SUBTOTAL(3,AW2:AW2)</f>
        <v>1</v>
      </c>
      <c r="AZ210" s="114"/>
    </row>
    <row r="211" spans="1:52" ht="19.5" x14ac:dyDescent="0.4">
      <c r="A211" s="117"/>
      <c r="B211" s="123"/>
      <c r="C211" s="123"/>
      <c r="D211" s="123"/>
      <c r="J211" s="115"/>
      <c r="K211" s="115"/>
      <c r="L211" s="115"/>
      <c r="M211" s="17"/>
      <c r="N211" s="13"/>
      <c r="X211" s="25"/>
      <c r="Y211" s="13"/>
      <c r="AD211" s="117"/>
      <c r="AE211" s="123"/>
      <c r="AF211" s="123"/>
      <c r="AG211" s="123"/>
      <c r="AL211" s="115"/>
      <c r="AM211" s="115"/>
      <c r="AN211" s="115"/>
      <c r="AO211" s="115"/>
      <c r="AP211" s="115"/>
      <c r="AQ211" s="115"/>
      <c r="AR211" s="115"/>
      <c r="AS211" s="115"/>
      <c r="AT211" s="115"/>
      <c r="AU211" s="115"/>
      <c r="AV211" s="13"/>
      <c r="AW211" s="13"/>
      <c r="AZ211" s="114"/>
    </row>
    <row r="212" spans="1:52" ht="19.5" x14ac:dyDescent="0.4">
      <c r="A212" s="117"/>
      <c r="B212" s="123"/>
      <c r="C212" s="123"/>
      <c r="D212" s="123"/>
      <c r="M212" s="26"/>
      <c r="N212" s="13"/>
      <c r="X212" s="25"/>
      <c r="Y212" s="13"/>
      <c r="AD212" s="117"/>
      <c r="AE212" s="123"/>
      <c r="AF212" s="123"/>
      <c r="AG212" s="123"/>
      <c r="AL212" s="115"/>
      <c r="AM212" s="115"/>
      <c r="AN212" s="115"/>
      <c r="AO212" s="115"/>
      <c r="AP212" s="115"/>
      <c r="AQ212" s="115"/>
      <c r="AR212" s="115"/>
      <c r="AS212" s="115"/>
      <c r="AT212" s="115"/>
      <c r="AU212" s="115"/>
      <c r="AV212" s="13"/>
      <c r="AW212" s="13"/>
      <c r="AZ212" s="114"/>
    </row>
    <row r="213" spans="1:52" ht="19.5" x14ac:dyDescent="0.4">
      <c r="A213" s="117"/>
      <c r="B213" s="123"/>
      <c r="C213" s="123"/>
      <c r="D213" s="123"/>
      <c r="M213" s="26"/>
      <c r="N213" s="13"/>
      <c r="O213" s="115"/>
      <c r="P213" s="115"/>
      <c r="Q213" s="115"/>
      <c r="R213" s="115"/>
      <c r="S213" s="115"/>
      <c r="T213" s="115"/>
      <c r="U213" s="115"/>
      <c r="V213" s="115"/>
      <c r="W213" s="115"/>
      <c r="X213" s="25">
        <v>45682</v>
      </c>
      <c r="Y213" s="13" t="s">
        <v>147</v>
      </c>
      <c r="AD213" s="117"/>
      <c r="AE213" s="123"/>
      <c r="AF213" s="123"/>
      <c r="AG213" s="123"/>
      <c r="AL213" s="115"/>
      <c r="AM213" s="115"/>
      <c r="AN213" s="115"/>
      <c r="AO213" s="115"/>
      <c r="AP213" s="115"/>
      <c r="AQ213" s="115"/>
      <c r="AR213" s="115"/>
      <c r="AS213" s="115"/>
      <c r="AT213" s="115"/>
      <c r="AU213" s="115"/>
      <c r="AV213" s="13"/>
      <c r="AW213" s="13"/>
      <c r="AZ213" s="114"/>
    </row>
    <row r="214" spans="1:52" ht="19.5" x14ac:dyDescent="0.4">
      <c r="A214" s="117"/>
      <c r="B214" s="123"/>
      <c r="C214" s="123"/>
      <c r="D214" s="123"/>
      <c r="M214" s="26"/>
      <c r="N214" s="13"/>
      <c r="O214" s="115"/>
      <c r="P214" s="115"/>
      <c r="Q214" s="115"/>
      <c r="R214" s="115"/>
      <c r="S214" s="115"/>
      <c r="T214" s="115"/>
      <c r="U214" s="115"/>
      <c r="V214" s="115"/>
      <c r="W214" s="115"/>
      <c r="X214" s="25">
        <v>45682</v>
      </c>
      <c r="Y214" s="13" t="s">
        <v>146</v>
      </c>
      <c r="AD214" s="117"/>
      <c r="AE214" s="123"/>
      <c r="AF214" s="123"/>
      <c r="AG214" s="123"/>
      <c r="AL214" s="115"/>
      <c r="AM214" s="115"/>
      <c r="AN214" s="115"/>
      <c r="AO214" s="115"/>
      <c r="AP214" s="115"/>
      <c r="AQ214" s="115"/>
      <c r="AR214" s="115"/>
      <c r="AS214" s="115"/>
      <c r="AT214" s="115"/>
      <c r="AU214" s="115"/>
      <c r="AV214" s="13"/>
      <c r="AW214" s="13"/>
      <c r="AZ214" s="114"/>
    </row>
    <row r="215" spans="1:52" ht="19.5" x14ac:dyDescent="0.4">
      <c r="A215" s="117"/>
      <c r="B215" s="123"/>
      <c r="C215" s="123"/>
      <c r="D215" s="123"/>
      <c r="G215" s="115"/>
      <c r="H215" s="115"/>
      <c r="I215" s="115"/>
      <c r="J215" s="115"/>
      <c r="K215" s="115"/>
      <c r="L215" s="115"/>
      <c r="M215" s="26"/>
      <c r="N215" s="13"/>
      <c r="O215" s="115"/>
      <c r="P215" s="115"/>
      <c r="Q215" s="115"/>
      <c r="R215" s="115"/>
      <c r="S215" s="115"/>
      <c r="T215" s="115"/>
      <c r="U215" s="115"/>
      <c r="V215" s="115"/>
      <c r="W215" s="115"/>
      <c r="X215" s="25"/>
      <c r="Y215" s="13"/>
      <c r="AD215" s="117"/>
      <c r="AE215" s="123"/>
      <c r="AF215" s="123"/>
      <c r="AG215" s="123"/>
      <c r="AL215" s="115"/>
      <c r="AM215" s="115"/>
      <c r="AN215" s="115"/>
      <c r="AO215" s="115"/>
      <c r="AP215" s="115"/>
      <c r="AQ215" s="115"/>
      <c r="AR215" s="115"/>
      <c r="AS215" s="115"/>
      <c r="AT215" s="115"/>
      <c r="AU215" s="115"/>
      <c r="AV215" s="13"/>
      <c r="AW215" s="13"/>
      <c r="AZ215" s="114"/>
    </row>
    <row r="216" spans="1:52" ht="19.5" x14ac:dyDescent="0.4">
      <c r="A216" s="117"/>
      <c r="B216" s="123"/>
      <c r="C216" s="123"/>
      <c r="D216" s="123"/>
      <c r="G216" s="115"/>
      <c r="H216" s="115"/>
      <c r="I216" s="115"/>
      <c r="J216" s="115"/>
      <c r="K216" s="115"/>
      <c r="L216" s="115"/>
      <c r="M216" s="26"/>
      <c r="N216" s="13"/>
      <c r="O216" s="115"/>
      <c r="P216" s="115"/>
      <c r="Q216" s="115"/>
      <c r="R216" s="115"/>
      <c r="S216" s="115"/>
      <c r="T216" s="115"/>
      <c r="U216" s="115"/>
      <c r="V216" s="115"/>
      <c r="W216" s="115"/>
      <c r="X216" s="25"/>
      <c r="Y216" s="13"/>
      <c r="AD216" s="117"/>
      <c r="AE216" s="123"/>
      <c r="AF216" s="123"/>
      <c r="AG216" s="123"/>
      <c r="AL216" s="115"/>
      <c r="AM216" s="115"/>
      <c r="AN216" s="115"/>
      <c r="AO216" s="115"/>
      <c r="AP216" s="115"/>
      <c r="AQ216" s="115"/>
      <c r="AR216" s="115"/>
      <c r="AS216" s="115"/>
      <c r="AT216" s="115"/>
      <c r="AU216" s="115"/>
      <c r="AV216" s="13"/>
      <c r="AW216" s="13"/>
      <c r="AZ216" s="114"/>
    </row>
    <row r="217" spans="1:52" ht="19.5" x14ac:dyDescent="0.4">
      <c r="A217" s="117"/>
      <c r="B217" s="123"/>
      <c r="C217" s="123"/>
      <c r="D217" s="123"/>
      <c r="G217" s="115"/>
      <c r="H217" s="115"/>
      <c r="I217" s="115"/>
      <c r="J217" s="115"/>
      <c r="K217" s="115"/>
      <c r="L217" s="115"/>
      <c r="M217" s="17"/>
      <c r="N217" s="13"/>
      <c r="O217" s="115"/>
      <c r="P217" s="115"/>
      <c r="Q217" s="115"/>
      <c r="R217" s="115"/>
      <c r="S217" s="115"/>
      <c r="T217" s="115"/>
      <c r="U217" s="115"/>
      <c r="V217" s="115"/>
      <c r="W217" s="115"/>
      <c r="X217" s="25"/>
      <c r="Y217" s="13"/>
      <c r="AD217" s="117"/>
      <c r="AE217" s="123"/>
      <c r="AF217" s="123"/>
      <c r="AG217" s="123"/>
      <c r="AL217" s="115"/>
      <c r="AM217" s="115"/>
      <c r="AN217" s="115"/>
      <c r="AO217" s="115"/>
      <c r="AP217" s="115"/>
      <c r="AQ217" s="115"/>
      <c r="AR217" s="115"/>
      <c r="AS217" s="115"/>
      <c r="AT217" s="115"/>
      <c r="AU217" s="115"/>
      <c r="AV217" s="13"/>
      <c r="AW217" s="13"/>
      <c r="AZ217" s="114"/>
    </row>
    <row r="218" spans="1:52" ht="19.5" x14ac:dyDescent="0.4">
      <c r="A218" s="117"/>
      <c r="B218" s="123"/>
      <c r="C218" s="123"/>
      <c r="D218" s="123"/>
      <c r="G218" s="115"/>
      <c r="H218" s="115"/>
      <c r="I218" s="115"/>
      <c r="J218" s="115"/>
      <c r="K218" s="115"/>
      <c r="L218" s="115"/>
      <c r="M218" s="26"/>
      <c r="N218" s="13"/>
      <c r="O218" s="115"/>
      <c r="P218" s="115"/>
      <c r="Q218" s="115"/>
      <c r="R218" s="115"/>
      <c r="S218" s="115"/>
      <c r="T218" s="115"/>
      <c r="U218" s="115"/>
      <c r="V218" s="115"/>
      <c r="W218" s="115"/>
      <c r="X218" s="25"/>
      <c r="Y218" s="13"/>
      <c r="AD218" s="117"/>
      <c r="AE218" s="123"/>
      <c r="AF218" s="123"/>
      <c r="AG218" s="123"/>
      <c r="AL218" s="115"/>
      <c r="AM218" s="115"/>
      <c r="AN218" s="115"/>
      <c r="AO218" s="115"/>
      <c r="AP218" s="115"/>
      <c r="AQ218" s="115"/>
      <c r="AR218" s="115"/>
      <c r="AS218" s="115"/>
      <c r="AT218" s="115"/>
      <c r="AU218" s="115"/>
      <c r="AV218" s="13"/>
      <c r="AW218" s="13"/>
      <c r="AZ218" s="114"/>
    </row>
    <row r="219" spans="1:52" ht="19.5" x14ac:dyDescent="0.4">
      <c r="A219" s="117"/>
      <c r="B219" s="123"/>
      <c r="C219" s="123"/>
      <c r="D219" s="123"/>
      <c r="G219" s="115"/>
      <c r="H219" s="115"/>
      <c r="I219" s="115"/>
      <c r="J219" s="115"/>
      <c r="K219" s="115"/>
      <c r="L219" s="115"/>
      <c r="M219" s="17"/>
      <c r="N219" s="13"/>
      <c r="O219" s="115"/>
      <c r="P219" s="115"/>
      <c r="Q219" s="115"/>
      <c r="R219" s="115"/>
      <c r="S219" s="115"/>
      <c r="T219" s="115"/>
      <c r="U219" s="115"/>
      <c r="V219" s="115"/>
      <c r="W219" s="115"/>
      <c r="X219" s="25"/>
      <c r="Y219" s="13"/>
      <c r="AD219" s="117"/>
      <c r="AE219" s="123"/>
      <c r="AF219" s="123"/>
      <c r="AG219" s="123"/>
      <c r="AL219" s="115"/>
      <c r="AM219" s="115"/>
      <c r="AN219" s="115"/>
      <c r="AO219" s="115"/>
      <c r="AP219" s="115"/>
      <c r="AQ219" s="115"/>
      <c r="AR219" s="115"/>
      <c r="AS219" s="115"/>
      <c r="AT219" s="115"/>
      <c r="AU219" s="115"/>
      <c r="AV219" s="13"/>
      <c r="AW219" s="13"/>
      <c r="AZ219" s="114"/>
    </row>
    <row r="220" spans="1:52" ht="19.5" x14ac:dyDescent="0.4">
      <c r="A220" s="117"/>
      <c r="B220" s="123"/>
      <c r="C220" s="123"/>
      <c r="D220" s="123"/>
      <c r="M220" s="26"/>
      <c r="N220" s="13"/>
      <c r="O220" s="115"/>
      <c r="P220" s="115"/>
      <c r="Q220" s="115"/>
      <c r="R220" s="115"/>
      <c r="S220" s="115"/>
      <c r="T220" s="115"/>
      <c r="U220" s="115"/>
      <c r="V220" s="115"/>
      <c r="W220" s="115"/>
      <c r="X220" s="25">
        <v>45682</v>
      </c>
      <c r="Y220" s="13" t="s">
        <v>147</v>
      </c>
      <c r="AD220" s="117"/>
      <c r="AE220" s="123"/>
      <c r="AF220" s="123"/>
      <c r="AG220" s="123"/>
      <c r="AL220" s="115"/>
      <c r="AM220" s="115"/>
      <c r="AN220" s="115"/>
      <c r="AO220" s="115"/>
      <c r="AP220" s="115"/>
      <c r="AQ220" s="115"/>
      <c r="AR220" s="115"/>
      <c r="AS220" s="115"/>
      <c r="AT220" s="115"/>
      <c r="AU220" s="115"/>
      <c r="AV220" s="13"/>
      <c r="AW220" s="13"/>
      <c r="AZ220" s="114"/>
    </row>
    <row r="221" spans="1:52" ht="19.5" x14ac:dyDescent="0.4">
      <c r="A221" s="117"/>
      <c r="B221" s="123"/>
      <c r="C221" s="123"/>
      <c r="D221" s="123"/>
      <c r="J221" s="115"/>
      <c r="K221" s="115"/>
      <c r="L221" s="115"/>
      <c r="M221" s="17"/>
      <c r="N221" s="13"/>
      <c r="O221" s="115"/>
      <c r="P221" s="115"/>
      <c r="Q221" s="115"/>
      <c r="R221" s="115"/>
      <c r="S221" s="115"/>
      <c r="T221" s="115"/>
      <c r="U221" s="115"/>
      <c r="V221" s="115"/>
      <c r="W221" s="115"/>
      <c r="X221" s="25"/>
      <c r="Y221" s="13"/>
      <c r="AD221" s="117"/>
      <c r="AE221" s="123"/>
      <c r="AF221" s="123"/>
      <c r="AG221" s="123"/>
      <c r="AL221" s="115"/>
      <c r="AM221" s="115"/>
      <c r="AN221" s="115"/>
      <c r="AO221" s="115"/>
      <c r="AP221" s="115"/>
      <c r="AQ221" s="115"/>
      <c r="AR221" s="115"/>
      <c r="AS221" s="115"/>
      <c r="AT221" s="115"/>
      <c r="AU221" s="115"/>
      <c r="AV221" s="13"/>
      <c r="AW221" s="13"/>
      <c r="AZ221" s="114"/>
    </row>
    <row r="222" spans="1:52" ht="19.5" x14ac:dyDescent="0.4">
      <c r="A222" s="117"/>
      <c r="B222" s="123"/>
      <c r="C222" s="123"/>
      <c r="D222" s="123"/>
      <c r="J222" s="115"/>
      <c r="K222" s="115"/>
      <c r="L222" s="115"/>
      <c r="M222" s="17"/>
      <c r="N222" s="13"/>
      <c r="O222" s="115"/>
      <c r="P222" s="115"/>
      <c r="Q222" s="115"/>
      <c r="R222" s="115"/>
      <c r="S222" s="115"/>
      <c r="T222" s="115"/>
      <c r="U222" s="115"/>
      <c r="V222" s="115"/>
      <c r="W222" s="115"/>
      <c r="X222" s="25"/>
      <c r="Y222" s="13"/>
      <c r="AD222" s="117"/>
      <c r="AE222" s="123"/>
      <c r="AF222" s="123"/>
      <c r="AG222" s="123"/>
      <c r="AL222" s="115"/>
      <c r="AM222" s="115"/>
      <c r="AN222" s="115"/>
      <c r="AO222" s="115"/>
      <c r="AP222" s="115"/>
      <c r="AQ222" s="115"/>
      <c r="AR222" s="115"/>
      <c r="AS222" s="115"/>
      <c r="AT222" s="115"/>
      <c r="AU222" s="115"/>
      <c r="AV222" s="13"/>
      <c r="AW222" s="13"/>
      <c r="AZ222" s="114"/>
    </row>
    <row r="223" spans="1:52" ht="19.5" x14ac:dyDescent="0.4">
      <c r="A223" s="117"/>
      <c r="B223" s="123"/>
      <c r="C223" s="123"/>
      <c r="D223" s="123"/>
      <c r="M223" s="129"/>
      <c r="N223" s="13"/>
      <c r="O223" s="115"/>
      <c r="P223" s="115"/>
      <c r="Q223" s="115"/>
      <c r="R223" s="115"/>
      <c r="S223" s="115"/>
      <c r="T223" s="115"/>
      <c r="U223" s="115"/>
      <c r="V223" s="115"/>
      <c r="W223" s="115"/>
      <c r="X223" s="25"/>
      <c r="Y223" s="13"/>
      <c r="AD223" s="117"/>
      <c r="AE223" s="123"/>
      <c r="AF223" s="123"/>
      <c r="AG223" s="123"/>
      <c r="AL223" s="115"/>
      <c r="AM223" s="115"/>
      <c r="AN223" s="115"/>
      <c r="AO223" s="115"/>
      <c r="AP223" s="115"/>
      <c r="AQ223" s="115"/>
      <c r="AR223" s="115"/>
      <c r="AS223" s="115"/>
      <c r="AT223" s="115"/>
      <c r="AU223" s="115"/>
      <c r="AV223" s="13"/>
      <c r="AW223" s="13"/>
      <c r="AZ223" s="114"/>
    </row>
    <row r="224" spans="1:52" ht="19.5" x14ac:dyDescent="0.4">
      <c r="A224" s="117"/>
      <c r="B224" s="123"/>
      <c r="C224" s="123"/>
      <c r="D224" s="123"/>
      <c r="M224" s="26"/>
      <c r="N224" s="13"/>
      <c r="O224" s="115"/>
      <c r="P224" s="115"/>
      <c r="Q224" s="115"/>
      <c r="R224" s="115"/>
      <c r="S224" s="115"/>
      <c r="T224" s="115"/>
      <c r="U224" s="115"/>
      <c r="V224" s="115"/>
      <c r="W224" s="115"/>
      <c r="X224" s="25"/>
      <c r="Y224" s="13"/>
      <c r="AD224" s="117"/>
      <c r="AE224" s="123"/>
      <c r="AF224" s="123"/>
      <c r="AG224" s="123"/>
      <c r="AL224" s="115"/>
      <c r="AM224" s="115"/>
      <c r="AN224" s="115"/>
      <c r="AO224" s="115"/>
      <c r="AP224" s="115"/>
      <c r="AQ224" s="115"/>
      <c r="AR224" s="115"/>
      <c r="AS224" s="115"/>
      <c r="AT224" s="115"/>
      <c r="AU224" s="115"/>
      <c r="AV224" s="13"/>
      <c r="AW224" s="13"/>
      <c r="AZ224" s="114"/>
    </row>
    <row r="225" spans="1:52" ht="19.5" x14ac:dyDescent="0.4">
      <c r="A225" s="117"/>
      <c r="B225" s="123"/>
      <c r="C225" s="123"/>
      <c r="D225" s="123"/>
      <c r="M225" s="26"/>
      <c r="N225" s="13"/>
      <c r="X225" s="25">
        <v>45682</v>
      </c>
      <c r="Y225" s="15" t="s">
        <v>146</v>
      </c>
      <c r="AD225" s="117"/>
      <c r="AE225" s="123"/>
      <c r="AF225" s="123"/>
      <c r="AG225" s="123"/>
      <c r="AL225" s="115"/>
      <c r="AM225" s="115"/>
      <c r="AN225" s="115"/>
      <c r="AO225" s="115"/>
      <c r="AP225" s="115"/>
      <c r="AQ225" s="115"/>
      <c r="AR225" s="115"/>
      <c r="AS225" s="115"/>
      <c r="AT225" s="115"/>
      <c r="AU225" s="115"/>
      <c r="AV225" s="13"/>
      <c r="AW225" s="13"/>
      <c r="AZ225" s="114"/>
    </row>
    <row r="226" spans="1:52" ht="19.5" x14ac:dyDescent="0.4">
      <c r="A226" s="117"/>
      <c r="B226" s="123"/>
      <c r="C226" s="123"/>
      <c r="D226" s="123"/>
      <c r="M226" s="129"/>
      <c r="N226" s="13"/>
      <c r="X226" s="25"/>
      <c r="Y226" s="15"/>
      <c r="AD226" s="117"/>
      <c r="AE226" s="123"/>
      <c r="AF226" s="123"/>
      <c r="AG226" s="123"/>
      <c r="AL226" s="115"/>
      <c r="AM226" s="115"/>
      <c r="AN226" s="115"/>
      <c r="AO226" s="115"/>
      <c r="AP226" s="115"/>
      <c r="AQ226" s="115"/>
      <c r="AR226" s="115"/>
      <c r="AS226" s="115"/>
      <c r="AT226" s="115"/>
      <c r="AU226" s="115"/>
      <c r="AV226" s="13"/>
      <c r="AW226" s="13"/>
      <c r="AZ226" s="114"/>
    </row>
    <row r="227" spans="1:52" ht="19.5" x14ac:dyDescent="0.4">
      <c r="A227" s="117"/>
      <c r="B227" s="123"/>
      <c r="C227" s="123"/>
      <c r="D227" s="123"/>
      <c r="M227" s="26"/>
      <c r="N227" s="13"/>
      <c r="X227" s="25"/>
      <c r="Y227" s="15"/>
      <c r="AD227" s="117"/>
      <c r="AE227" s="123"/>
      <c r="AF227" s="123"/>
      <c r="AG227" s="123"/>
      <c r="AL227" s="115"/>
      <c r="AM227" s="115"/>
      <c r="AN227" s="115"/>
      <c r="AO227" s="115"/>
      <c r="AP227" s="115"/>
      <c r="AQ227" s="115"/>
      <c r="AR227" s="115"/>
      <c r="AS227" s="115"/>
      <c r="AT227" s="115"/>
      <c r="AU227" s="115"/>
      <c r="AV227" s="13"/>
      <c r="AW227" s="13"/>
      <c r="AZ227" s="114"/>
    </row>
    <row r="228" spans="1:52" ht="19.5" x14ac:dyDescent="0.4">
      <c r="A228" s="117"/>
      <c r="B228" s="123"/>
      <c r="C228" s="123"/>
      <c r="D228" s="123"/>
      <c r="I228" s="115"/>
      <c r="J228" s="115"/>
      <c r="K228" s="115"/>
      <c r="L228" s="115"/>
      <c r="M228" s="26"/>
      <c r="N228" s="13"/>
      <c r="X228" s="25"/>
      <c r="Y228" s="15"/>
      <c r="AD228" s="117"/>
      <c r="AE228" s="123"/>
      <c r="AF228" s="123"/>
      <c r="AG228" s="123"/>
      <c r="AL228" s="115"/>
      <c r="AM228" s="115"/>
      <c r="AN228" s="115"/>
      <c r="AO228" s="115"/>
      <c r="AP228" s="115"/>
      <c r="AQ228" s="115"/>
      <c r="AR228" s="115"/>
      <c r="AS228" s="115"/>
      <c r="AT228" s="115"/>
      <c r="AU228" s="115"/>
      <c r="AV228" s="13"/>
      <c r="AW228" s="13"/>
      <c r="AZ228" s="114"/>
    </row>
    <row r="229" spans="1:52" ht="19.5" x14ac:dyDescent="0.4">
      <c r="A229" s="117"/>
      <c r="B229" s="123"/>
      <c r="C229" s="123"/>
      <c r="D229" s="123"/>
      <c r="M229" s="26"/>
      <c r="N229" s="13"/>
      <c r="O229" s="115"/>
      <c r="P229" s="115"/>
      <c r="Q229" s="115"/>
      <c r="R229" s="115"/>
      <c r="S229" s="115"/>
      <c r="T229" s="115"/>
      <c r="U229" s="115"/>
      <c r="V229" s="115"/>
      <c r="W229" s="115"/>
      <c r="X229" s="25">
        <v>45682</v>
      </c>
      <c r="Y229" s="15" t="s">
        <v>146</v>
      </c>
      <c r="AD229" s="117"/>
      <c r="AE229" s="123"/>
      <c r="AF229" s="123"/>
      <c r="AG229" s="123"/>
      <c r="AL229" s="115"/>
      <c r="AM229" s="115"/>
      <c r="AN229" s="115"/>
      <c r="AO229" s="115"/>
      <c r="AP229" s="115"/>
      <c r="AQ229" s="115"/>
      <c r="AR229" s="115"/>
      <c r="AS229" s="115"/>
      <c r="AT229" s="115"/>
      <c r="AU229" s="115"/>
      <c r="AV229" s="13"/>
      <c r="AW229" s="13"/>
      <c r="AZ229" s="114"/>
    </row>
    <row r="230" spans="1:52" ht="19.5" x14ac:dyDescent="0.4">
      <c r="A230" s="117"/>
      <c r="B230" s="123"/>
      <c r="C230" s="123"/>
      <c r="D230" s="123"/>
      <c r="M230" s="129"/>
      <c r="N230" s="13"/>
      <c r="O230" s="115"/>
      <c r="P230" s="115"/>
      <c r="Q230" s="115"/>
      <c r="R230" s="115"/>
      <c r="S230" s="115"/>
      <c r="T230" s="115"/>
      <c r="U230" s="115"/>
      <c r="V230" s="115"/>
      <c r="W230" s="115"/>
      <c r="X230" s="25"/>
      <c r="Y230" s="15"/>
      <c r="AD230" s="117"/>
      <c r="AE230" s="123"/>
      <c r="AF230" s="123"/>
      <c r="AG230" s="123"/>
      <c r="AL230" s="115"/>
      <c r="AM230" s="115"/>
      <c r="AN230" s="115"/>
      <c r="AO230" s="115"/>
      <c r="AP230" s="115"/>
      <c r="AQ230" s="115"/>
      <c r="AR230" s="115"/>
      <c r="AS230" s="115"/>
      <c r="AT230" s="115"/>
      <c r="AU230" s="115"/>
      <c r="AV230" s="13"/>
      <c r="AW230" s="13"/>
      <c r="AZ230" s="114"/>
    </row>
    <row r="231" spans="1:52" ht="19.5" x14ac:dyDescent="0.4">
      <c r="A231" s="117"/>
      <c r="B231" s="123"/>
      <c r="C231" s="123"/>
      <c r="D231" s="123"/>
      <c r="M231" s="26"/>
      <c r="N231" s="13"/>
      <c r="O231" s="115"/>
      <c r="P231" s="115"/>
      <c r="Q231" s="115"/>
      <c r="R231" s="115"/>
      <c r="S231" s="115"/>
      <c r="T231" s="115"/>
      <c r="U231" s="115"/>
      <c r="V231" s="115"/>
      <c r="W231" s="115"/>
      <c r="X231" s="25">
        <v>45682</v>
      </c>
      <c r="Y231" s="15" t="s">
        <v>148</v>
      </c>
      <c r="AD231" s="117"/>
      <c r="AE231" s="123"/>
      <c r="AF231" s="123"/>
      <c r="AG231" s="123"/>
      <c r="AL231" s="115"/>
      <c r="AM231" s="115"/>
      <c r="AN231" s="115"/>
      <c r="AO231" s="115"/>
      <c r="AP231" s="115"/>
      <c r="AQ231" s="115"/>
      <c r="AR231" s="115"/>
      <c r="AS231" s="115"/>
      <c r="AT231" s="115"/>
      <c r="AU231" s="115"/>
      <c r="AV231" s="13"/>
      <c r="AW231" s="13"/>
      <c r="AZ231" s="114"/>
    </row>
    <row r="232" spans="1:52" ht="19.5" x14ac:dyDescent="0.4">
      <c r="A232" s="117"/>
      <c r="B232" s="123"/>
      <c r="C232" s="123"/>
      <c r="D232" s="123"/>
      <c r="M232" s="26"/>
      <c r="N232" s="13"/>
      <c r="O232" s="115"/>
      <c r="P232" s="115"/>
      <c r="Q232" s="115"/>
      <c r="R232" s="115"/>
      <c r="S232" s="115"/>
      <c r="T232" s="115"/>
      <c r="U232" s="115"/>
      <c r="V232" s="115"/>
      <c r="W232" s="115"/>
      <c r="X232" s="25">
        <v>45682</v>
      </c>
      <c r="Y232" s="15" t="s">
        <v>146</v>
      </c>
      <c r="AD232" s="117"/>
      <c r="AE232" s="123"/>
      <c r="AF232" s="123"/>
      <c r="AG232" s="123"/>
      <c r="AL232" s="115"/>
      <c r="AM232" s="115"/>
      <c r="AN232" s="115"/>
      <c r="AO232" s="115"/>
      <c r="AP232" s="115"/>
      <c r="AQ232" s="115"/>
      <c r="AR232" s="115"/>
      <c r="AS232" s="115"/>
      <c r="AT232" s="115"/>
      <c r="AU232" s="115"/>
      <c r="AV232" s="13"/>
      <c r="AW232" s="13"/>
      <c r="AZ232" s="114"/>
    </row>
    <row r="233" spans="1:52" ht="19.5" x14ac:dyDescent="0.4">
      <c r="A233" s="117"/>
      <c r="B233" s="123"/>
      <c r="C233" s="123"/>
      <c r="D233" s="123"/>
      <c r="M233" s="26"/>
      <c r="N233" s="13"/>
      <c r="O233" s="115"/>
      <c r="P233" s="115"/>
      <c r="Q233" s="115"/>
      <c r="R233" s="115"/>
      <c r="S233" s="115"/>
      <c r="T233" s="115"/>
      <c r="U233" s="115"/>
      <c r="V233" s="115"/>
      <c r="W233" s="115"/>
      <c r="X233" s="25">
        <v>45682</v>
      </c>
      <c r="Y233" s="15" t="s">
        <v>148</v>
      </c>
      <c r="AD233" s="117"/>
      <c r="AE233" s="123"/>
      <c r="AF233" s="123"/>
      <c r="AG233" s="123"/>
      <c r="AL233" s="115"/>
      <c r="AM233" s="115"/>
      <c r="AN233" s="115"/>
      <c r="AO233" s="115"/>
      <c r="AP233" s="115"/>
      <c r="AQ233" s="115"/>
      <c r="AR233" s="115"/>
      <c r="AS233" s="115"/>
      <c r="AT233" s="115"/>
      <c r="AU233" s="115"/>
      <c r="AV233" s="13"/>
      <c r="AW233" s="13"/>
      <c r="AZ233" s="114"/>
    </row>
    <row r="234" spans="1:52" ht="19.5" x14ac:dyDescent="0.4">
      <c r="A234" s="117"/>
      <c r="B234" s="123"/>
      <c r="C234" s="123"/>
      <c r="D234" s="123"/>
      <c r="I234" s="115"/>
      <c r="J234" s="115"/>
      <c r="K234" s="115"/>
      <c r="L234" s="115"/>
      <c r="M234" s="26"/>
      <c r="N234" s="13"/>
      <c r="O234" s="115"/>
      <c r="P234" s="115"/>
      <c r="Q234" s="115"/>
      <c r="R234" s="115"/>
      <c r="S234" s="115"/>
      <c r="T234" s="115"/>
      <c r="U234" s="115"/>
      <c r="V234" s="115"/>
      <c r="W234" s="115"/>
      <c r="X234" s="25"/>
      <c r="Y234" s="15"/>
      <c r="AD234" s="117"/>
      <c r="AE234" s="123"/>
      <c r="AF234" s="123"/>
      <c r="AG234" s="123"/>
      <c r="AL234" s="115"/>
      <c r="AM234" s="115"/>
      <c r="AN234" s="115"/>
      <c r="AO234" s="115"/>
      <c r="AP234" s="115"/>
      <c r="AQ234" s="115"/>
      <c r="AR234" s="115"/>
      <c r="AS234" s="115"/>
      <c r="AT234" s="115"/>
      <c r="AU234" s="115"/>
      <c r="AV234" s="13"/>
      <c r="AW234" s="13"/>
      <c r="AZ234" s="114"/>
    </row>
    <row r="235" spans="1:52" ht="19.5" x14ac:dyDescent="0.4">
      <c r="A235" s="117"/>
      <c r="B235" s="123"/>
      <c r="C235" s="123"/>
      <c r="D235" s="123"/>
      <c r="M235" s="26"/>
      <c r="N235" s="15"/>
      <c r="O235" s="115"/>
      <c r="P235" s="115"/>
      <c r="Q235" s="115"/>
      <c r="R235" s="115"/>
      <c r="S235" s="115"/>
      <c r="T235" s="115"/>
      <c r="U235" s="115"/>
      <c r="V235" s="115"/>
      <c r="W235" s="115"/>
      <c r="X235" s="25">
        <v>45682</v>
      </c>
      <c r="Y235" s="15" t="s">
        <v>148</v>
      </c>
      <c r="AD235" s="117"/>
      <c r="AE235" s="123"/>
      <c r="AF235" s="123"/>
      <c r="AG235" s="123"/>
      <c r="AL235" s="115"/>
      <c r="AM235" s="115"/>
      <c r="AN235" s="115"/>
      <c r="AO235" s="115"/>
      <c r="AP235" s="115"/>
      <c r="AQ235" s="115"/>
      <c r="AR235" s="115"/>
      <c r="AS235" s="115"/>
      <c r="AT235" s="115"/>
      <c r="AU235" s="115"/>
      <c r="AV235" s="13"/>
      <c r="AW235" s="13"/>
      <c r="AZ235" s="114"/>
    </row>
    <row r="236" spans="1:52" ht="19.5" x14ac:dyDescent="0.4">
      <c r="A236" s="117"/>
      <c r="B236" s="123"/>
      <c r="C236" s="123"/>
      <c r="D236" s="123"/>
      <c r="M236" s="26"/>
      <c r="N236" s="15"/>
      <c r="O236" s="115"/>
      <c r="P236" s="115"/>
      <c r="Q236" s="115"/>
      <c r="R236" s="115"/>
      <c r="S236" s="115"/>
      <c r="T236" s="115"/>
      <c r="U236" s="115"/>
      <c r="V236" s="115"/>
      <c r="W236" s="115"/>
      <c r="X236" s="25">
        <v>45682</v>
      </c>
      <c r="Y236" s="105" t="s">
        <v>148</v>
      </c>
      <c r="AD236" s="117"/>
      <c r="AE236" s="123"/>
      <c r="AF236" s="123"/>
      <c r="AG236" s="123"/>
      <c r="AL236" s="115"/>
      <c r="AM236" s="115"/>
      <c r="AN236" s="115"/>
      <c r="AO236" s="115"/>
      <c r="AP236" s="115"/>
      <c r="AQ236" s="115"/>
      <c r="AR236" s="115"/>
      <c r="AS236" s="115"/>
      <c r="AT236" s="115"/>
      <c r="AU236" s="115"/>
      <c r="AV236" s="13"/>
      <c r="AW236" s="13"/>
      <c r="AZ236" s="114"/>
    </row>
    <row r="237" spans="1:52" ht="19.5" x14ac:dyDescent="0.4">
      <c r="A237" s="117"/>
      <c r="B237" s="123"/>
      <c r="C237" s="123"/>
      <c r="D237" s="123"/>
      <c r="M237" s="26"/>
      <c r="N237" s="15"/>
      <c r="O237" s="115"/>
      <c r="P237" s="115"/>
      <c r="Q237" s="115"/>
      <c r="R237" s="115"/>
      <c r="S237" s="115"/>
      <c r="T237" s="115"/>
      <c r="U237" s="115"/>
      <c r="V237" s="115"/>
      <c r="W237" s="115"/>
      <c r="X237" s="25">
        <v>45682</v>
      </c>
      <c r="Y237" s="105" t="s">
        <v>146</v>
      </c>
      <c r="AD237" s="117"/>
      <c r="AE237" s="123"/>
      <c r="AF237" s="123"/>
      <c r="AG237" s="123"/>
      <c r="AL237" s="115"/>
      <c r="AM237" s="115"/>
      <c r="AN237" s="115"/>
      <c r="AO237" s="115"/>
      <c r="AP237" s="115"/>
      <c r="AQ237" s="115"/>
      <c r="AR237" s="115"/>
      <c r="AS237" s="115"/>
      <c r="AT237" s="115"/>
      <c r="AU237" s="115"/>
      <c r="AV237" s="13"/>
      <c r="AW237" s="13"/>
      <c r="AZ237" s="114"/>
    </row>
    <row r="238" spans="1:52" ht="19.5" x14ac:dyDescent="0.4">
      <c r="A238" s="117"/>
      <c r="B238" s="123"/>
      <c r="C238" s="123"/>
      <c r="D238" s="123"/>
      <c r="M238" s="129"/>
      <c r="N238" s="15"/>
      <c r="O238" s="115"/>
      <c r="P238" s="115"/>
      <c r="Q238" s="115"/>
      <c r="R238" s="115"/>
      <c r="S238" s="115"/>
      <c r="T238" s="115"/>
      <c r="U238" s="115"/>
      <c r="V238" s="115"/>
      <c r="W238" s="115"/>
      <c r="X238" s="25"/>
      <c r="Y238" s="105"/>
      <c r="AD238" s="117"/>
      <c r="AE238" s="123"/>
      <c r="AF238" s="123"/>
      <c r="AG238" s="123"/>
      <c r="AL238" s="115"/>
      <c r="AM238" s="115"/>
      <c r="AN238" s="115"/>
      <c r="AO238" s="115"/>
      <c r="AP238" s="115"/>
      <c r="AQ238" s="115"/>
      <c r="AR238" s="115"/>
      <c r="AS238" s="115"/>
      <c r="AT238" s="115"/>
      <c r="AU238" s="115"/>
      <c r="AV238" s="13"/>
      <c r="AW238" s="13"/>
      <c r="AZ238" s="114"/>
    </row>
    <row r="239" spans="1:52" ht="19.5" x14ac:dyDescent="0.4">
      <c r="A239" s="117"/>
      <c r="B239" s="123"/>
      <c r="C239" s="123"/>
      <c r="D239" s="123"/>
      <c r="F239" s="115"/>
      <c r="G239" s="115"/>
      <c r="H239" s="115"/>
      <c r="I239" s="115"/>
      <c r="J239" s="115"/>
      <c r="K239" s="115"/>
      <c r="L239" s="115"/>
      <c r="M239" s="26"/>
      <c r="N239" s="15"/>
      <c r="O239" s="115"/>
      <c r="P239" s="115"/>
      <c r="Q239" s="115"/>
      <c r="R239" s="115"/>
      <c r="S239" s="115"/>
      <c r="T239" s="115"/>
      <c r="U239" s="115"/>
      <c r="V239" s="115"/>
      <c r="W239" s="115"/>
      <c r="X239" s="25">
        <v>45682</v>
      </c>
      <c r="Y239" s="15" t="s">
        <v>146</v>
      </c>
      <c r="AD239" s="117"/>
      <c r="AE239" s="123"/>
      <c r="AF239" s="123"/>
      <c r="AG239" s="123"/>
      <c r="AL239" s="115"/>
      <c r="AM239" s="115"/>
      <c r="AN239" s="115"/>
      <c r="AO239" s="115"/>
      <c r="AP239" s="115"/>
      <c r="AQ239" s="115"/>
      <c r="AR239" s="115"/>
      <c r="AS239" s="115"/>
      <c r="AT239" s="115"/>
      <c r="AU239" s="115"/>
      <c r="AV239" s="13"/>
      <c r="AW239" s="13"/>
      <c r="AZ239" s="114"/>
    </row>
    <row r="240" spans="1:52" ht="19.5" x14ac:dyDescent="0.4">
      <c r="A240" s="117"/>
      <c r="B240" s="123"/>
      <c r="C240" s="123"/>
      <c r="D240" s="123"/>
      <c r="F240" s="115"/>
      <c r="G240" s="115"/>
      <c r="H240" s="115"/>
      <c r="I240" s="115"/>
      <c r="J240" s="115"/>
      <c r="K240" s="115"/>
      <c r="L240" s="115"/>
      <c r="M240" s="26"/>
      <c r="N240" s="15"/>
      <c r="O240" s="115"/>
      <c r="P240" s="115"/>
      <c r="Q240" s="115"/>
      <c r="R240" s="115"/>
      <c r="S240" s="115"/>
      <c r="T240" s="115"/>
      <c r="U240" s="115"/>
      <c r="V240" s="115"/>
      <c r="W240" s="115"/>
      <c r="X240" s="25">
        <v>45683</v>
      </c>
      <c r="Y240" s="13" t="s">
        <v>147</v>
      </c>
      <c r="AD240" s="117"/>
      <c r="AE240" s="123"/>
      <c r="AF240" s="123"/>
      <c r="AG240" s="123"/>
      <c r="AL240" s="115"/>
      <c r="AM240" s="115"/>
      <c r="AN240" s="115"/>
      <c r="AO240" s="115"/>
      <c r="AP240" s="115"/>
      <c r="AQ240" s="115"/>
      <c r="AR240" s="115"/>
      <c r="AS240" s="115"/>
      <c r="AT240" s="115"/>
      <c r="AU240" s="115"/>
      <c r="AV240" s="13"/>
      <c r="AW240" s="13"/>
      <c r="AZ240" s="114"/>
    </row>
    <row r="241" spans="1:52" ht="19.5" x14ac:dyDescent="0.4">
      <c r="A241" s="117"/>
      <c r="B241" s="123"/>
      <c r="C241" s="123"/>
      <c r="D241" s="123"/>
      <c r="F241" s="115"/>
      <c r="G241" s="115"/>
      <c r="H241" s="115"/>
      <c r="I241" s="115"/>
      <c r="J241" s="115"/>
      <c r="K241" s="115"/>
      <c r="L241" s="115"/>
      <c r="M241" s="26"/>
      <c r="N241" s="13"/>
      <c r="O241" s="115"/>
      <c r="P241" s="115"/>
      <c r="Q241" s="115"/>
      <c r="R241" s="115"/>
      <c r="S241" s="115"/>
      <c r="T241" s="115"/>
      <c r="U241" s="115"/>
      <c r="V241" s="115"/>
      <c r="W241" s="115"/>
      <c r="X241" s="25">
        <v>45683</v>
      </c>
      <c r="Y241" s="13" t="s">
        <v>147</v>
      </c>
      <c r="AD241" s="117"/>
      <c r="AE241" s="123"/>
      <c r="AF241" s="123"/>
      <c r="AG241" s="123"/>
      <c r="AL241" s="115"/>
      <c r="AM241" s="115"/>
      <c r="AN241" s="115"/>
      <c r="AO241" s="115"/>
      <c r="AP241" s="115"/>
      <c r="AQ241" s="115"/>
      <c r="AR241" s="115"/>
      <c r="AS241" s="115"/>
      <c r="AT241" s="115"/>
      <c r="AU241" s="115"/>
      <c r="AV241" s="13"/>
      <c r="AW241" s="13"/>
      <c r="AZ241" s="114"/>
    </row>
    <row r="242" spans="1:52" ht="19.5" x14ac:dyDescent="0.4">
      <c r="A242" s="117"/>
      <c r="B242" s="123"/>
      <c r="C242" s="123"/>
      <c r="D242" s="123"/>
      <c r="F242" s="115"/>
      <c r="G242" s="115"/>
      <c r="H242" s="115"/>
      <c r="I242" s="115"/>
      <c r="J242" s="115"/>
      <c r="K242" s="115"/>
      <c r="L242" s="115"/>
      <c r="M242" s="26"/>
      <c r="N242" s="13"/>
      <c r="O242" s="115"/>
      <c r="P242" s="115"/>
      <c r="Q242" s="115"/>
      <c r="R242" s="115"/>
      <c r="S242" s="115"/>
      <c r="T242" s="115"/>
      <c r="U242" s="115"/>
      <c r="V242" s="115"/>
      <c r="W242" s="115"/>
      <c r="X242" s="25"/>
      <c r="Y242" s="13"/>
      <c r="AD242" s="117"/>
      <c r="AE242" s="123"/>
      <c r="AF242" s="123"/>
      <c r="AG242" s="123"/>
      <c r="AL242" s="115"/>
      <c r="AM242" s="115"/>
      <c r="AN242" s="115"/>
      <c r="AO242" s="115"/>
      <c r="AP242" s="115"/>
      <c r="AQ242" s="115"/>
      <c r="AR242" s="115"/>
      <c r="AS242" s="115"/>
      <c r="AT242" s="115"/>
      <c r="AU242" s="115"/>
      <c r="AV242" s="13"/>
      <c r="AW242" s="13"/>
      <c r="AZ242" s="114"/>
    </row>
    <row r="243" spans="1:52" ht="19.5" x14ac:dyDescent="0.4">
      <c r="A243" s="117"/>
      <c r="B243" s="123"/>
      <c r="C243" s="123"/>
      <c r="D243" s="123"/>
      <c r="F243" s="115"/>
      <c r="G243" s="115"/>
      <c r="H243" s="115"/>
      <c r="I243" s="115"/>
      <c r="J243" s="115"/>
      <c r="K243" s="115"/>
      <c r="L243" s="115"/>
      <c r="M243" s="26"/>
      <c r="N243" s="13"/>
      <c r="O243" s="115"/>
      <c r="P243" s="115"/>
      <c r="Q243" s="115"/>
      <c r="R243" s="115"/>
      <c r="S243" s="115"/>
      <c r="T243" s="115"/>
      <c r="U243" s="115"/>
      <c r="V243" s="115"/>
      <c r="W243" s="115"/>
      <c r="X243" s="25">
        <v>45684</v>
      </c>
      <c r="Y243" s="13" t="s">
        <v>146</v>
      </c>
      <c r="AD243" s="117"/>
      <c r="AE243" s="123"/>
      <c r="AF243" s="123"/>
      <c r="AG243" s="123"/>
      <c r="AL243" s="115"/>
      <c r="AM243" s="115"/>
      <c r="AN243" s="115"/>
      <c r="AO243" s="115"/>
      <c r="AP243" s="115"/>
      <c r="AQ243" s="115"/>
      <c r="AR243" s="115"/>
      <c r="AS243" s="115"/>
      <c r="AT243" s="115"/>
      <c r="AU243" s="115"/>
      <c r="AV243" s="13"/>
      <c r="AW243" s="13"/>
      <c r="AZ243" s="114"/>
    </row>
    <row r="244" spans="1:52" ht="19.5" x14ac:dyDescent="0.4">
      <c r="A244" s="117"/>
      <c r="B244" s="123"/>
      <c r="C244" s="123"/>
      <c r="D244" s="123"/>
      <c r="F244" s="115"/>
      <c r="G244" s="115"/>
      <c r="H244" s="115"/>
      <c r="I244" s="115"/>
      <c r="J244" s="115"/>
      <c r="K244" s="115"/>
      <c r="L244" s="115"/>
      <c r="M244" s="26"/>
      <c r="N244" s="13"/>
      <c r="O244" s="115"/>
      <c r="P244" s="115"/>
      <c r="Q244" s="115"/>
      <c r="R244" s="115"/>
      <c r="S244" s="115"/>
      <c r="T244" s="115"/>
      <c r="U244" s="115"/>
      <c r="V244" s="115"/>
      <c r="W244" s="115"/>
      <c r="X244" s="25"/>
      <c r="Y244" s="13"/>
      <c r="AD244" s="117"/>
      <c r="AE244" s="123"/>
      <c r="AF244" s="123"/>
      <c r="AG244" s="123"/>
      <c r="AL244" s="115"/>
      <c r="AM244" s="115"/>
      <c r="AN244" s="115"/>
      <c r="AO244" s="115"/>
      <c r="AP244" s="115"/>
      <c r="AQ244" s="115"/>
      <c r="AR244" s="115"/>
      <c r="AS244" s="115"/>
      <c r="AT244" s="115"/>
      <c r="AU244" s="115"/>
      <c r="AV244" s="13"/>
      <c r="AW244" s="13"/>
      <c r="AZ244" s="114"/>
    </row>
    <row r="245" spans="1:52" ht="19.5" x14ac:dyDescent="0.4">
      <c r="A245" s="117"/>
      <c r="B245" s="123"/>
      <c r="C245" s="123"/>
      <c r="D245" s="123"/>
      <c r="F245" s="115"/>
      <c r="G245" s="115"/>
      <c r="H245" s="115"/>
      <c r="I245" s="115"/>
      <c r="J245" s="115"/>
      <c r="K245" s="115"/>
      <c r="L245" s="115"/>
      <c r="M245" s="129"/>
      <c r="N245" s="13"/>
      <c r="O245" s="115"/>
      <c r="P245" s="115"/>
      <c r="Q245" s="115"/>
      <c r="R245" s="115"/>
      <c r="S245" s="115"/>
      <c r="T245" s="115"/>
      <c r="U245" s="115"/>
      <c r="V245" s="115"/>
      <c r="W245" s="115"/>
      <c r="X245" s="25"/>
      <c r="Y245" s="13"/>
      <c r="AD245" s="117"/>
      <c r="AE245" s="123"/>
      <c r="AF245" s="123"/>
      <c r="AG245" s="123"/>
      <c r="AL245" s="115"/>
      <c r="AM245" s="115"/>
      <c r="AN245" s="115"/>
      <c r="AO245" s="115"/>
      <c r="AP245" s="115"/>
      <c r="AQ245" s="115"/>
      <c r="AR245" s="115"/>
      <c r="AS245" s="115"/>
      <c r="AT245" s="115"/>
      <c r="AU245" s="115"/>
      <c r="AV245" s="13"/>
      <c r="AW245" s="13"/>
      <c r="AZ245" s="114"/>
    </row>
    <row r="246" spans="1:52" ht="19.5" x14ac:dyDescent="0.4">
      <c r="A246" s="117"/>
      <c r="B246" s="123"/>
      <c r="C246" s="123"/>
      <c r="D246" s="123"/>
      <c r="F246" s="115"/>
      <c r="G246" s="115"/>
      <c r="H246" s="115"/>
      <c r="I246" s="115"/>
      <c r="J246" s="115"/>
      <c r="K246" s="115"/>
      <c r="L246" s="115"/>
      <c r="M246" s="26"/>
      <c r="N246" s="13"/>
      <c r="O246" s="115"/>
      <c r="P246" s="115"/>
      <c r="Q246" s="115"/>
      <c r="R246" s="115"/>
      <c r="S246" s="115"/>
      <c r="T246" s="115"/>
      <c r="U246" s="115"/>
      <c r="V246" s="115"/>
      <c r="W246" s="115"/>
      <c r="X246" s="25">
        <v>45684</v>
      </c>
      <c r="Y246" s="13" t="s">
        <v>148</v>
      </c>
      <c r="AD246" s="117"/>
      <c r="AE246" s="123"/>
      <c r="AF246" s="123"/>
      <c r="AG246" s="123"/>
      <c r="AL246" s="115"/>
      <c r="AM246" s="115"/>
      <c r="AN246" s="115"/>
      <c r="AO246" s="115"/>
      <c r="AP246" s="115"/>
      <c r="AQ246" s="115"/>
      <c r="AR246" s="115"/>
      <c r="AS246" s="115"/>
      <c r="AT246" s="115"/>
      <c r="AU246" s="115"/>
      <c r="AV246" s="13"/>
      <c r="AW246" s="13"/>
      <c r="AZ246" s="114"/>
    </row>
    <row r="247" spans="1:52" ht="19.5" x14ac:dyDescent="0.4">
      <c r="A247" s="117"/>
      <c r="B247" s="123"/>
      <c r="C247" s="123"/>
      <c r="D247" s="123"/>
      <c r="F247" s="115"/>
      <c r="G247" s="115"/>
      <c r="H247" s="115"/>
      <c r="I247" s="115"/>
      <c r="J247" s="115"/>
      <c r="K247" s="115"/>
      <c r="L247" s="115"/>
      <c r="M247" s="26"/>
      <c r="N247" s="13"/>
      <c r="O247" s="115"/>
      <c r="P247" s="115"/>
      <c r="Q247" s="115"/>
      <c r="R247" s="115"/>
      <c r="S247" s="115"/>
      <c r="T247" s="115"/>
      <c r="U247" s="115"/>
      <c r="V247" s="115"/>
      <c r="W247" s="115"/>
      <c r="X247" s="25"/>
      <c r="Y247" s="13"/>
      <c r="AD247" s="117"/>
      <c r="AE247" s="123"/>
      <c r="AF247" s="123"/>
      <c r="AG247" s="123"/>
      <c r="AL247" s="115"/>
      <c r="AM247" s="115"/>
      <c r="AN247" s="115"/>
      <c r="AO247" s="115"/>
      <c r="AP247" s="115"/>
      <c r="AQ247" s="115"/>
      <c r="AR247" s="115"/>
      <c r="AS247" s="115"/>
      <c r="AT247" s="115"/>
      <c r="AU247" s="115"/>
      <c r="AV247" s="13"/>
      <c r="AW247" s="13"/>
      <c r="AZ247" s="114"/>
    </row>
    <row r="248" spans="1:52" ht="19.5" x14ac:dyDescent="0.4">
      <c r="A248" s="117"/>
      <c r="B248" s="123"/>
      <c r="C248" s="123"/>
      <c r="D248" s="123"/>
      <c r="F248" s="115"/>
      <c r="G248" s="115"/>
      <c r="H248" s="115"/>
      <c r="I248" s="115"/>
      <c r="J248" s="115"/>
      <c r="K248" s="115"/>
      <c r="L248" s="115"/>
      <c r="M248" s="26"/>
      <c r="N248" s="13"/>
      <c r="O248" s="115"/>
      <c r="P248" s="115"/>
      <c r="Q248" s="115"/>
      <c r="R248" s="115"/>
      <c r="S248" s="115"/>
      <c r="T248" s="115"/>
      <c r="U248" s="115"/>
      <c r="V248" s="115"/>
      <c r="W248" s="115"/>
      <c r="X248" s="25"/>
      <c r="Y248" s="13"/>
      <c r="AD248" s="117"/>
      <c r="AE248" s="123"/>
      <c r="AF248" s="123"/>
      <c r="AG248" s="123"/>
      <c r="AL248" s="115"/>
      <c r="AM248" s="115"/>
      <c r="AN248" s="115"/>
      <c r="AO248" s="115"/>
      <c r="AP248" s="115"/>
      <c r="AQ248" s="115"/>
      <c r="AR248" s="115"/>
      <c r="AS248" s="115"/>
      <c r="AT248" s="115"/>
      <c r="AU248" s="115"/>
      <c r="AV248" s="13"/>
      <c r="AW248" s="13"/>
      <c r="AZ248" s="114"/>
    </row>
    <row r="249" spans="1:52" ht="19.5" x14ac:dyDescent="0.4">
      <c r="A249" s="117"/>
      <c r="B249" s="123"/>
      <c r="C249" s="123"/>
      <c r="D249" s="123"/>
      <c r="F249" s="115"/>
      <c r="G249" s="115"/>
      <c r="H249" s="115"/>
      <c r="I249" s="115"/>
      <c r="J249" s="115"/>
      <c r="K249" s="115"/>
      <c r="L249" s="115"/>
      <c r="M249" s="129"/>
      <c r="N249" s="13"/>
      <c r="O249" s="115"/>
      <c r="P249" s="115"/>
      <c r="Q249" s="115"/>
      <c r="R249" s="115"/>
      <c r="S249" s="115"/>
      <c r="T249" s="115"/>
      <c r="U249" s="115"/>
      <c r="V249" s="115"/>
      <c r="W249" s="115"/>
      <c r="X249" s="25"/>
      <c r="Y249" s="13"/>
      <c r="AD249" s="117"/>
      <c r="AE249" s="123"/>
      <c r="AF249" s="123"/>
      <c r="AG249" s="123"/>
      <c r="AL249" s="115"/>
      <c r="AM249" s="115"/>
      <c r="AN249" s="115"/>
      <c r="AO249" s="115"/>
      <c r="AP249" s="115"/>
      <c r="AQ249" s="115"/>
      <c r="AR249" s="115"/>
      <c r="AS249" s="115"/>
      <c r="AT249" s="115"/>
      <c r="AU249" s="115"/>
      <c r="AV249" s="13"/>
      <c r="AW249" s="13"/>
      <c r="AZ249" s="114"/>
    </row>
    <row r="250" spans="1:52" ht="19.5" x14ac:dyDescent="0.4">
      <c r="A250" s="117"/>
      <c r="B250" s="123"/>
      <c r="C250" s="123"/>
      <c r="D250" s="123"/>
      <c r="F250" s="115"/>
      <c r="G250" s="115"/>
      <c r="H250" s="115"/>
      <c r="I250" s="115"/>
      <c r="J250" s="115"/>
      <c r="K250" s="115"/>
      <c r="L250" s="115"/>
      <c r="M250" s="26"/>
      <c r="N250" s="25"/>
      <c r="O250" s="115"/>
      <c r="P250" s="115"/>
      <c r="Q250" s="115"/>
      <c r="R250" s="115"/>
      <c r="S250" s="115"/>
      <c r="T250" s="115"/>
      <c r="U250" s="115"/>
      <c r="V250" s="115"/>
      <c r="W250" s="115"/>
      <c r="X250" s="25"/>
      <c r="Y250" s="13"/>
      <c r="AD250" s="117"/>
      <c r="AE250" s="123"/>
      <c r="AF250" s="123"/>
      <c r="AG250" s="123"/>
      <c r="AL250" s="115"/>
      <c r="AM250" s="115"/>
      <c r="AN250" s="115"/>
      <c r="AO250" s="115"/>
      <c r="AP250" s="115"/>
      <c r="AQ250" s="115"/>
      <c r="AR250" s="115"/>
      <c r="AS250" s="115"/>
      <c r="AT250" s="115"/>
      <c r="AU250" s="115"/>
      <c r="AV250" s="13"/>
      <c r="AW250" s="13"/>
      <c r="AZ250" s="114"/>
    </row>
    <row r="251" spans="1:52" ht="19.5" x14ac:dyDescent="0.4">
      <c r="A251" s="117"/>
      <c r="B251" s="123"/>
      <c r="C251" s="123"/>
      <c r="D251" s="123"/>
      <c r="F251" s="115"/>
      <c r="G251" s="115"/>
      <c r="H251" s="115"/>
      <c r="I251" s="115"/>
      <c r="J251" s="115"/>
      <c r="K251" s="115"/>
      <c r="L251" s="115"/>
      <c r="M251" s="26"/>
      <c r="N251" s="13"/>
      <c r="O251" s="115"/>
      <c r="P251" s="115"/>
      <c r="Q251" s="115"/>
      <c r="R251" s="115"/>
      <c r="S251" s="115"/>
      <c r="T251" s="115"/>
      <c r="U251" s="115"/>
      <c r="V251" s="115"/>
      <c r="W251" s="115"/>
      <c r="X251" s="25"/>
      <c r="Y251" s="13"/>
      <c r="AD251" s="117"/>
      <c r="AE251" s="123"/>
      <c r="AF251" s="123"/>
      <c r="AG251" s="123"/>
      <c r="AL251" s="115"/>
      <c r="AM251" s="115"/>
      <c r="AN251" s="115"/>
      <c r="AO251" s="115"/>
      <c r="AP251" s="115"/>
      <c r="AQ251" s="115"/>
      <c r="AR251" s="115"/>
      <c r="AS251" s="115"/>
      <c r="AT251" s="115"/>
      <c r="AU251" s="115"/>
      <c r="AV251" s="13"/>
      <c r="AW251" s="13"/>
      <c r="AZ251" s="114"/>
    </row>
    <row r="252" spans="1:52" ht="19.5" x14ac:dyDescent="0.4">
      <c r="A252" s="117"/>
      <c r="B252" s="123"/>
      <c r="C252" s="123"/>
      <c r="D252" s="123"/>
      <c r="F252" s="115"/>
      <c r="G252" s="115"/>
      <c r="H252" s="115"/>
      <c r="I252" s="115"/>
      <c r="J252" s="115"/>
      <c r="K252" s="115"/>
      <c r="L252" s="115"/>
      <c r="M252" s="26"/>
      <c r="N252" s="13"/>
      <c r="O252" s="115"/>
      <c r="P252" s="115"/>
      <c r="Q252" s="115"/>
      <c r="R252" s="115"/>
      <c r="S252" s="115"/>
      <c r="T252" s="115"/>
      <c r="U252" s="115"/>
      <c r="V252" s="115"/>
      <c r="W252" s="115"/>
      <c r="X252" s="25"/>
      <c r="Y252" s="13"/>
      <c r="AD252" s="117"/>
      <c r="AE252" s="123"/>
      <c r="AF252" s="123"/>
      <c r="AG252" s="123"/>
      <c r="AL252" s="115"/>
      <c r="AM252" s="115"/>
      <c r="AN252" s="115"/>
      <c r="AO252" s="115"/>
      <c r="AP252" s="115"/>
      <c r="AQ252" s="115"/>
      <c r="AR252" s="115"/>
      <c r="AS252" s="115"/>
      <c r="AT252" s="115"/>
      <c r="AU252" s="115"/>
      <c r="AV252" s="13"/>
      <c r="AW252" s="13"/>
      <c r="AZ252" s="114"/>
    </row>
    <row r="253" spans="1:52" ht="19.5" x14ac:dyDescent="0.4">
      <c r="A253" s="117"/>
      <c r="B253" s="123"/>
      <c r="C253" s="123"/>
      <c r="D253" s="123"/>
      <c r="F253" s="115"/>
      <c r="G253" s="115"/>
      <c r="H253" s="115"/>
      <c r="I253" s="115"/>
      <c r="J253" s="115"/>
      <c r="K253" s="115"/>
      <c r="L253" s="115"/>
      <c r="M253" s="129"/>
      <c r="N253" s="13"/>
      <c r="O253" s="115"/>
      <c r="P253" s="115"/>
      <c r="Q253" s="115"/>
      <c r="R253" s="115"/>
      <c r="S253" s="115"/>
      <c r="T253" s="115"/>
      <c r="U253" s="115"/>
      <c r="V253" s="115"/>
      <c r="W253" s="115"/>
      <c r="X253" s="25"/>
      <c r="Y253" s="13"/>
      <c r="AD253" s="117"/>
      <c r="AE253" s="123"/>
      <c r="AF253" s="123"/>
      <c r="AG253" s="123"/>
      <c r="AL253" s="115"/>
      <c r="AM253" s="115"/>
      <c r="AN253" s="115"/>
      <c r="AO253" s="115"/>
      <c r="AP253" s="115"/>
      <c r="AQ253" s="115"/>
      <c r="AR253" s="115"/>
      <c r="AS253" s="115"/>
      <c r="AT253" s="115"/>
      <c r="AU253" s="115"/>
      <c r="AV253" s="13"/>
      <c r="AW253" s="13"/>
      <c r="AZ253" s="114"/>
    </row>
    <row r="254" spans="1:52" ht="19.5" x14ac:dyDescent="0.4">
      <c r="A254" s="117"/>
      <c r="B254" s="123"/>
      <c r="C254" s="123"/>
      <c r="D254" s="123"/>
      <c r="F254" s="115"/>
      <c r="G254" s="115"/>
      <c r="H254" s="115"/>
      <c r="I254" s="115"/>
      <c r="J254" s="115"/>
      <c r="K254" s="115"/>
      <c r="L254" s="115"/>
      <c r="M254" s="26"/>
      <c r="N254" s="134"/>
      <c r="O254" s="115"/>
      <c r="P254" s="115"/>
      <c r="Q254" s="115"/>
      <c r="R254" s="115"/>
      <c r="S254" s="115"/>
      <c r="T254" s="115"/>
      <c r="U254" s="115"/>
      <c r="V254" s="115"/>
      <c r="W254" s="115"/>
      <c r="X254" s="25"/>
      <c r="Y254" s="13"/>
      <c r="AD254" s="117"/>
      <c r="AE254" s="123"/>
      <c r="AF254" s="123"/>
      <c r="AG254" s="123"/>
      <c r="AL254" s="115"/>
      <c r="AM254" s="115"/>
      <c r="AN254" s="115"/>
      <c r="AO254" s="115"/>
      <c r="AP254" s="115"/>
      <c r="AQ254" s="115"/>
      <c r="AR254" s="115"/>
      <c r="AS254" s="115"/>
      <c r="AT254" s="115"/>
      <c r="AU254" s="115"/>
      <c r="AV254" s="13"/>
      <c r="AW254" s="13"/>
      <c r="AZ254" s="114"/>
    </row>
    <row r="255" spans="1:52" ht="19.5" x14ac:dyDescent="0.4">
      <c r="A255" s="117"/>
      <c r="B255" s="123"/>
      <c r="C255" s="123"/>
      <c r="D255" s="123"/>
      <c r="F255" s="115"/>
      <c r="G255" s="115"/>
      <c r="H255" s="115"/>
      <c r="I255" s="115"/>
      <c r="J255" s="115"/>
      <c r="K255" s="115"/>
      <c r="L255" s="115"/>
      <c r="M255" s="26"/>
      <c r="N255" s="13"/>
      <c r="O255" s="115"/>
      <c r="P255" s="115"/>
      <c r="Q255" s="115"/>
      <c r="R255" s="115"/>
      <c r="S255" s="115"/>
      <c r="T255" s="115"/>
      <c r="U255" s="115"/>
      <c r="V255" s="115"/>
      <c r="W255" s="115"/>
      <c r="X255" s="25">
        <v>45684</v>
      </c>
      <c r="Y255" s="13" t="s">
        <v>147</v>
      </c>
      <c r="AD255" s="117"/>
      <c r="AE255" s="123"/>
      <c r="AF255" s="123"/>
      <c r="AG255" s="123"/>
      <c r="AL255" s="115"/>
      <c r="AM255" s="115"/>
      <c r="AN255" s="115"/>
      <c r="AO255" s="115"/>
      <c r="AP255" s="115"/>
      <c r="AQ255" s="115"/>
      <c r="AR255" s="115"/>
      <c r="AS255" s="115"/>
      <c r="AT255" s="115"/>
      <c r="AU255" s="115"/>
      <c r="AV255" s="13"/>
      <c r="AW255" s="13"/>
      <c r="AZ255" s="114"/>
    </row>
    <row r="256" spans="1:52" ht="19.5" x14ac:dyDescent="0.4">
      <c r="A256" s="117"/>
      <c r="B256" s="123"/>
      <c r="C256" s="123"/>
      <c r="D256" s="123"/>
      <c r="F256" s="115"/>
      <c r="G256" s="115"/>
      <c r="H256" s="115"/>
      <c r="I256" s="115"/>
      <c r="J256" s="115"/>
      <c r="K256" s="115"/>
      <c r="L256" s="115"/>
      <c r="M256" s="129"/>
      <c r="N256" s="13"/>
      <c r="O256" s="115"/>
      <c r="P256" s="115"/>
      <c r="Q256" s="115"/>
      <c r="R256" s="115"/>
      <c r="S256" s="115"/>
      <c r="T256" s="115"/>
      <c r="U256" s="115"/>
      <c r="V256" s="115"/>
      <c r="W256" s="115"/>
      <c r="X256" s="25"/>
      <c r="Y256" s="13"/>
      <c r="AD256" s="117"/>
      <c r="AE256" s="123"/>
      <c r="AF256" s="123"/>
      <c r="AG256" s="123"/>
      <c r="AL256" s="115"/>
      <c r="AM256" s="115"/>
      <c r="AN256" s="115"/>
      <c r="AO256" s="115"/>
      <c r="AP256" s="115"/>
      <c r="AQ256" s="115"/>
      <c r="AR256" s="115"/>
      <c r="AS256" s="115"/>
      <c r="AT256" s="115"/>
      <c r="AU256" s="115"/>
      <c r="AV256" s="13"/>
      <c r="AW256" s="13"/>
      <c r="AZ256" s="114"/>
    </row>
    <row r="257" spans="1:52" ht="19.5" x14ac:dyDescent="0.4">
      <c r="A257" s="117"/>
      <c r="B257" s="123"/>
      <c r="C257" s="123"/>
      <c r="D257" s="123"/>
      <c r="F257" s="115"/>
      <c r="G257" s="115"/>
      <c r="H257" s="115"/>
      <c r="I257" s="115"/>
      <c r="J257" s="115"/>
      <c r="K257" s="115"/>
      <c r="L257" s="115"/>
      <c r="M257" s="26"/>
      <c r="N257" s="13"/>
      <c r="O257" s="115"/>
      <c r="P257" s="115"/>
      <c r="Q257" s="115"/>
      <c r="R257" s="115"/>
      <c r="S257" s="115"/>
      <c r="T257" s="115"/>
      <c r="U257" s="115"/>
      <c r="V257" s="115"/>
      <c r="W257" s="115"/>
      <c r="X257" s="25"/>
      <c r="Y257" s="13"/>
      <c r="AD257" s="117"/>
      <c r="AE257" s="123"/>
      <c r="AF257" s="123"/>
      <c r="AG257" s="123"/>
      <c r="AL257" s="115"/>
      <c r="AM257" s="115"/>
      <c r="AN257" s="115"/>
      <c r="AO257" s="115"/>
      <c r="AP257" s="115"/>
      <c r="AQ257" s="115"/>
      <c r="AR257" s="115"/>
      <c r="AS257" s="115"/>
      <c r="AT257" s="115"/>
      <c r="AU257" s="115"/>
      <c r="AV257" s="13"/>
      <c r="AW257" s="13"/>
      <c r="AZ257" s="114"/>
    </row>
    <row r="258" spans="1:52" ht="19.5" x14ac:dyDescent="0.4">
      <c r="A258" s="117"/>
      <c r="B258" s="123"/>
      <c r="C258" s="123"/>
      <c r="D258" s="123"/>
      <c r="F258" s="115"/>
      <c r="G258" s="115"/>
      <c r="H258" s="115"/>
      <c r="I258" s="115"/>
      <c r="J258" s="115"/>
      <c r="K258" s="115"/>
      <c r="L258" s="115"/>
      <c r="M258" s="26"/>
      <c r="N258" s="15"/>
      <c r="O258" s="115"/>
      <c r="P258" s="115"/>
      <c r="Q258" s="115"/>
      <c r="R258" s="115"/>
      <c r="S258" s="115"/>
      <c r="T258" s="115"/>
      <c r="U258" s="115"/>
      <c r="V258" s="115"/>
      <c r="W258" s="115"/>
      <c r="X258" s="25">
        <v>45684</v>
      </c>
      <c r="Y258" s="13" t="s">
        <v>146</v>
      </c>
      <c r="AD258" s="117"/>
      <c r="AE258" s="123"/>
      <c r="AF258" s="123"/>
      <c r="AG258" s="123"/>
      <c r="AL258" s="115"/>
      <c r="AM258" s="115"/>
      <c r="AN258" s="115"/>
      <c r="AO258" s="115"/>
      <c r="AP258" s="115"/>
      <c r="AQ258" s="115"/>
      <c r="AR258" s="115"/>
      <c r="AS258" s="115"/>
      <c r="AT258" s="115"/>
      <c r="AU258" s="115"/>
      <c r="AV258" s="13"/>
      <c r="AW258" s="13"/>
      <c r="AZ258" s="114"/>
    </row>
    <row r="259" spans="1:52" ht="19.5" x14ac:dyDescent="0.4">
      <c r="A259" s="117"/>
      <c r="B259" s="123"/>
      <c r="C259" s="123"/>
      <c r="D259" s="123"/>
      <c r="F259" s="115"/>
      <c r="G259" s="115"/>
      <c r="H259" s="115"/>
      <c r="I259" s="115"/>
      <c r="J259" s="115"/>
      <c r="K259" s="115"/>
      <c r="L259" s="115"/>
      <c r="M259" s="129"/>
      <c r="N259" s="15"/>
      <c r="O259" s="115"/>
      <c r="P259" s="115"/>
      <c r="Q259" s="115"/>
      <c r="R259" s="115"/>
      <c r="S259" s="115"/>
      <c r="T259" s="115"/>
      <c r="U259" s="115"/>
      <c r="V259" s="115"/>
      <c r="W259" s="115"/>
      <c r="X259" s="25"/>
      <c r="Y259" s="13"/>
      <c r="AD259" s="117"/>
      <c r="AE259" s="123"/>
      <c r="AF259" s="123"/>
      <c r="AG259" s="123"/>
      <c r="AL259" s="115"/>
      <c r="AM259" s="115"/>
      <c r="AN259" s="115"/>
      <c r="AO259" s="115"/>
      <c r="AP259" s="115"/>
      <c r="AQ259" s="115"/>
      <c r="AR259" s="115"/>
      <c r="AS259" s="115"/>
      <c r="AT259" s="115"/>
      <c r="AU259" s="115"/>
      <c r="AV259" s="13"/>
      <c r="AW259" s="13"/>
      <c r="AZ259" s="114"/>
    </row>
    <row r="260" spans="1:52" ht="19.5" x14ac:dyDescent="0.4">
      <c r="A260" s="117"/>
      <c r="B260" s="123"/>
      <c r="C260" s="123"/>
      <c r="D260" s="123"/>
      <c r="F260" s="115"/>
      <c r="G260" s="115"/>
      <c r="H260" s="115"/>
      <c r="I260" s="115"/>
      <c r="J260" s="115"/>
      <c r="K260" s="115"/>
      <c r="L260" s="115"/>
      <c r="M260" s="26"/>
      <c r="N260" s="15"/>
      <c r="O260" s="115"/>
      <c r="P260" s="115"/>
      <c r="Q260" s="115"/>
      <c r="R260" s="115"/>
      <c r="S260" s="115"/>
      <c r="T260" s="115"/>
      <c r="U260" s="115"/>
      <c r="V260" s="115"/>
      <c r="W260" s="115"/>
      <c r="X260" s="25"/>
      <c r="Y260" s="13"/>
      <c r="AD260" s="117"/>
      <c r="AE260" s="123"/>
      <c r="AF260" s="123"/>
      <c r="AG260" s="123"/>
      <c r="AL260" s="115"/>
      <c r="AM260" s="115"/>
      <c r="AN260" s="115"/>
      <c r="AO260" s="115"/>
      <c r="AP260" s="115"/>
      <c r="AQ260" s="115"/>
      <c r="AR260" s="115"/>
      <c r="AS260" s="115"/>
      <c r="AT260" s="115"/>
      <c r="AU260" s="115"/>
      <c r="AV260" s="13"/>
      <c r="AW260" s="13"/>
      <c r="AZ260" s="114"/>
    </row>
    <row r="261" spans="1:52" ht="19.5" x14ac:dyDescent="0.4">
      <c r="A261" s="117"/>
      <c r="B261" s="123"/>
      <c r="C261" s="123"/>
      <c r="D261" s="123"/>
      <c r="F261" s="115"/>
      <c r="G261" s="115"/>
      <c r="H261" s="115"/>
      <c r="I261" s="115"/>
      <c r="J261" s="115"/>
      <c r="K261" s="115"/>
      <c r="L261" s="115"/>
      <c r="M261" s="129"/>
      <c r="N261" s="15"/>
      <c r="O261" s="115"/>
      <c r="P261" s="115"/>
      <c r="Q261" s="115"/>
      <c r="R261" s="115"/>
      <c r="S261" s="115"/>
      <c r="T261" s="115"/>
      <c r="U261" s="115"/>
      <c r="V261" s="115"/>
      <c r="W261" s="115"/>
      <c r="X261" s="25"/>
      <c r="Y261" s="13"/>
      <c r="AD261" s="117"/>
      <c r="AE261" s="123"/>
      <c r="AF261" s="123"/>
      <c r="AG261" s="123"/>
      <c r="AL261" s="115"/>
      <c r="AM261" s="115"/>
      <c r="AN261" s="115"/>
      <c r="AO261" s="115"/>
      <c r="AP261" s="115"/>
      <c r="AQ261" s="115"/>
      <c r="AR261" s="115"/>
      <c r="AS261" s="115"/>
      <c r="AT261" s="115"/>
      <c r="AU261" s="115"/>
      <c r="AV261" s="13"/>
      <c r="AW261" s="13"/>
      <c r="AZ261" s="114"/>
    </row>
    <row r="262" spans="1:52" ht="19.5" x14ac:dyDescent="0.4">
      <c r="A262" s="117"/>
      <c r="B262" s="123"/>
      <c r="C262" s="123"/>
      <c r="D262" s="123"/>
      <c r="F262" s="115"/>
      <c r="G262" s="115"/>
      <c r="H262" s="115"/>
      <c r="I262" s="115"/>
      <c r="J262" s="115"/>
      <c r="K262" s="115"/>
      <c r="L262" s="115"/>
      <c r="M262" s="26"/>
      <c r="N262" s="15"/>
      <c r="O262" s="115"/>
      <c r="P262" s="115"/>
      <c r="Q262" s="115"/>
      <c r="R262" s="115"/>
      <c r="S262" s="115"/>
      <c r="T262" s="115"/>
      <c r="U262" s="115"/>
      <c r="V262" s="115"/>
      <c r="W262" s="115"/>
      <c r="X262" s="25"/>
      <c r="Y262" s="13"/>
      <c r="AD262" s="117"/>
      <c r="AE262" s="123"/>
      <c r="AF262" s="123"/>
      <c r="AG262" s="123"/>
      <c r="AL262" s="115"/>
      <c r="AM262" s="115"/>
      <c r="AN262" s="115"/>
      <c r="AO262" s="115"/>
      <c r="AP262" s="115"/>
      <c r="AQ262" s="115"/>
      <c r="AR262" s="115"/>
      <c r="AS262" s="115"/>
      <c r="AT262" s="115"/>
      <c r="AU262" s="115"/>
      <c r="AV262" s="13"/>
      <c r="AW262" s="13"/>
      <c r="AZ262" s="114"/>
    </row>
    <row r="263" spans="1:52" ht="19.5" x14ac:dyDescent="0.4">
      <c r="A263" s="117"/>
      <c r="B263" s="123"/>
      <c r="C263" s="123"/>
      <c r="D263" s="123"/>
      <c r="F263" s="115"/>
      <c r="G263" s="115"/>
      <c r="H263" s="115"/>
      <c r="I263" s="115"/>
      <c r="J263" s="115"/>
      <c r="K263" s="115"/>
      <c r="L263" s="115"/>
      <c r="M263" s="129"/>
      <c r="N263" s="15"/>
      <c r="O263" s="115"/>
      <c r="P263" s="115"/>
      <c r="Q263" s="115"/>
      <c r="R263" s="115"/>
      <c r="S263" s="115"/>
      <c r="T263" s="115"/>
      <c r="U263" s="115"/>
      <c r="V263" s="115"/>
      <c r="W263" s="115"/>
      <c r="X263" s="25"/>
      <c r="Y263" s="13"/>
      <c r="AD263" s="117"/>
      <c r="AE263" s="123"/>
      <c r="AF263" s="123"/>
      <c r="AG263" s="123"/>
      <c r="AL263" s="115"/>
      <c r="AM263" s="115"/>
      <c r="AN263" s="115"/>
      <c r="AO263" s="115"/>
      <c r="AP263" s="115"/>
      <c r="AQ263" s="115"/>
      <c r="AR263" s="115"/>
      <c r="AS263" s="115"/>
      <c r="AT263" s="115"/>
      <c r="AU263" s="115"/>
      <c r="AV263" s="13"/>
      <c r="AW263" s="13"/>
      <c r="AZ263" s="114"/>
    </row>
    <row r="264" spans="1:52" ht="19.5" x14ac:dyDescent="0.4">
      <c r="A264" s="117"/>
      <c r="B264" s="123"/>
      <c r="C264" s="123"/>
      <c r="D264" s="123"/>
      <c r="F264" s="115"/>
      <c r="G264" s="115"/>
      <c r="H264" s="115"/>
      <c r="I264" s="115"/>
      <c r="J264" s="115"/>
      <c r="K264" s="115"/>
      <c r="L264" s="115"/>
      <c r="M264" s="129"/>
      <c r="N264" s="15"/>
      <c r="O264" s="115"/>
      <c r="P264" s="115"/>
      <c r="Q264" s="115"/>
      <c r="R264" s="115"/>
      <c r="S264" s="115"/>
      <c r="T264" s="115"/>
      <c r="U264" s="115"/>
      <c r="V264" s="115"/>
      <c r="W264" s="115"/>
      <c r="X264" s="25"/>
      <c r="Y264" s="13"/>
      <c r="AD264" s="117"/>
      <c r="AE264" s="123"/>
      <c r="AF264" s="123"/>
      <c r="AG264" s="123"/>
      <c r="AL264" s="115"/>
      <c r="AM264" s="115"/>
      <c r="AN264" s="115"/>
      <c r="AO264" s="115"/>
      <c r="AP264" s="115"/>
      <c r="AQ264" s="115"/>
      <c r="AR264" s="115"/>
      <c r="AS264" s="115"/>
      <c r="AT264" s="115"/>
      <c r="AU264" s="115"/>
      <c r="AV264" s="13"/>
      <c r="AW264" s="13"/>
      <c r="AZ264" s="114"/>
    </row>
    <row r="265" spans="1:52" ht="19.5" x14ac:dyDescent="0.4">
      <c r="A265" s="117"/>
      <c r="B265" s="123"/>
      <c r="C265" s="123"/>
      <c r="D265" s="123"/>
      <c r="F265" s="115"/>
      <c r="G265" s="115"/>
      <c r="H265" s="115"/>
      <c r="I265" s="115"/>
      <c r="J265" s="115"/>
      <c r="K265" s="115"/>
      <c r="L265" s="115"/>
      <c r="M265" s="26"/>
      <c r="N265" s="15"/>
      <c r="O265" s="115"/>
      <c r="P265" s="115"/>
      <c r="Q265" s="115"/>
      <c r="R265" s="115"/>
      <c r="S265" s="115"/>
      <c r="T265" s="115"/>
      <c r="U265" s="115"/>
      <c r="V265" s="115"/>
      <c r="W265" s="115"/>
      <c r="X265" s="25">
        <v>45684</v>
      </c>
      <c r="Y265" s="13" t="s">
        <v>147</v>
      </c>
      <c r="AD265" s="117"/>
      <c r="AE265" s="123"/>
      <c r="AF265" s="123"/>
      <c r="AG265" s="123"/>
      <c r="AL265" s="115"/>
      <c r="AM265" s="115"/>
      <c r="AN265" s="115"/>
      <c r="AO265" s="115"/>
      <c r="AP265" s="115"/>
      <c r="AQ265" s="115"/>
      <c r="AR265" s="115"/>
      <c r="AS265" s="115"/>
      <c r="AT265" s="115"/>
      <c r="AU265" s="115"/>
      <c r="AV265" s="13"/>
      <c r="AW265" s="13"/>
      <c r="AZ265" s="114"/>
    </row>
    <row r="266" spans="1:52" ht="19.5" x14ac:dyDescent="0.4">
      <c r="A266" s="117"/>
      <c r="B266" s="123"/>
      <c r="C266" s="123"/>
      <c r="D266" s="123"/>
      <c r="F266" s="115"/>
      <c r="G266" s="115"/>
      <c r="H266" s="115"/>
      <c r="I266" s="115"/>
      <c r="J266" s="115"/>
      <c r="K266" s="115"/>
      <c r="L266" s="115"/>
      <c r="M266" s="26"/>
      <c r="N266" s="15"/>
      <c r="O266" s="115"/>
      <c r="P266" s="115"/>
      <c r="Q266" s="115"/>
      <c r="R266" s="115"/>
      <c r="S266" s="115"/>
      <c r="T266" s="115"/>
      <c r="U266" s="115"/>
      <c r="V266" s="115"/>
      <c r="W266" s="115"/>
      <c r="X266" s="25">
        <v>45684</v>
      </c>
      <c r="Y266" s="13" t="s">
        <v>146</v>
      </c>
      <c r="AD266" s="117"/>
      <c r="AE266" s="123"/>
      <c r="AF266" s="123"/>
      <c r="AG266" s="123"/>
      <c r="AL266" s="115"/>
      <c r="AM266" s="115"/>
      <c r="AN266" s="115"/>
      <c r="AO266" s="115"/>
      <c r="AP266" s="115"/>
      <c r="AQ266" s="115"/>
      <c r="AR266" s="115"/>
      <c r="AS266" s="115"/>
      <c r="AT266" s="115"/>
      <c r="AU266" s="115"/>
      <c r="AV266" s="13"/>
      <c r="AW266" s="13"/>
      <c r="AZ266" s="114"/>
    </row>
    <row r="267" spans="1:52" ht="19.5" x14ac:dyDescent="0.4">
      <c r="A267" s="117"/>
      <c r="B267" s="123"/>
      <c r="C267" s="123"/>
      <c r="D267" s="123"/>
      <c r="F267" s="115"/>
      <c r="G267" s="115"/>
      <c r="H267" s="115"/>
      <c r="I267" s="115"/>
      <c r="J267" s="115"/>
      <c r="K267" s="115"/>
      <c r="L267" s="115"/>
      <c r="M267" s="26"/>
      <c r="N267" s="15"/>
      <c r="O267" s="115"/>
      <c r="P267" s="115"/>
      <c r="Q267" s="115"/>
      <c r="R267" s="115"/>
      <c r="S267" s="115"/>
      <c r="T267" s="115"/>
      <c r="U267" s="115"/>
      <c r="V267" s="115"/>
      <c r="W267" s="115"/>
      <c r="X267" s="25">
        <v>45684</v>
      </c>
      <c r="Y267" s="13" t="s">
        <v>146</v>
      </c>
      <c r="AD267" s="117"/>
      <c r="AE267" s="123"/>
      <c r="AF267" s="123"/>
      <c r="AG267" s="123"/>
      <c r="AL267" s="115"/>
      <c r="AM267" s="115"/>
      <c r="AN267" s="115"/>
      <c r="AO267" s="115"/>
      <c r="AP267" s="115"/>
      <c r="AQ267" s="115"/>
      <c r="AR267" s="115"/>
      <c r="AS267" s="115"/>
      <c r="AT267" s="115"/>
      <c r="AU267" s="115"/>
      <c r="AV267" s="13"/>
      <c r="AW267" s="13"/>
      <c r="AZ267" s="114"/>
    </row>
    <row r="268" spans="1:52" ht="19.5" x14ac:dyDescent="0.4">
      <c r="A268" s="117"/>
      <c r="B268" s="123"/>
      <c r="C268" s="123"/>
      <c r="D268" s="123"/>
      <c r="F268" s="115"/>
      <c r="G268" s="115"/>
      <c r="H268" s="115"/>
      <c r="I268" s="115"/>
      <c r="J268" s="115"/>
      <c r="K268" s="115"/>
      <c r="L268" s="115"/>
      <c r="M268" s="20"/>
      <c r="N268" s="15"/>
      <c r="O268" s="115"/>
      <c r="P268" s="115"/>
      <c r="Q268" s="115"/>
      <c r="R268" s="115"/>
      <c r="S268" s="115"/>
      <c r="T268" s="115"/>
      <c r="U268" s="115"/>
      <c r="V268" s="115"/>
      <c r="W268" s="115"/>
      <c r="X268" s="25"/>
      <c r="Y268" s="13"/>
      <c r="AD268" s="117"/>
      <c r="AE268" s="123"/>
      <c r="AF268" s="123"/>
      <c r="AG268" s="123"/>
      <c r="AL268" s="115"/>
      <c r="AM268" s="115"/>
      <c r="AN268" s="115"/>
      <c r="AO268" s="115"/>
      <c r="AP268" s="115"/>
      <c r="AQ268" s="115"/>
      <c r="AR268" s="115"/>
      <c r="AS268" s="115"/>
      <c r="AT268" s="115"/>
      <c r="AU268" s="115"/>
      <c r="AV268" s="13"/>
      <c r="AW268" s="13"/>
      <c r="AZ268" s="114"/>
    </row>
    <row r="269" spans="1:52" ht="19.5" x14ac:dyDescent="0.4">
      <c r="A269" s="117"/>
      <c r="B269" s="123"/>
      <c r="C269" s="123"/>
      <c r="D269" s="123"/>
      <c r="F269" s="115"/>
      <c r="G269" s="115"/>
      <c r="H269" s="115"/>
      <c r="I269" s="115"/>
      <c r="J269" s="115"/>
      <c r="K269" s="115"/>
      <c r="L269" s="115"/>
      <c r="M269" s="20"/>
      <c r="N269" s="15"/>
      <c r="O269" s="115"/>
      <c r="P269" s="115"/>
      <c r="Q269" s="115"/>
      <c r="R269" s="115"/>
      <c r="S269" s="115"/>
      <c r="T269" s="115"/>
      <c r="U269" s="115"/>
      <c r="V269" s="115"/>
      <c r="W269" s="115"/>
      <c r="X269" s="25"/>
      <c r="Y269" s="13"/>
      <c r="AD269" s="117"/>
      <c r="AE269" s="123"/>
      <c r="AF269" s="123"/>
      <c r="AG269" s="123"/>
      <c r="AL269" s="115"/>
      <c r="AM269" s="115"/>
      <c r="AN269" s="115"/>
      <c r="AO269" s="115"/>
      <c r="AP269" s="115"/>
      <c r="AQ269" s="115"/>
      <c r="AR269" s="115"/>
      <c r="AS269" s="115"/>
      <c r="AT269" s="115"/>
      <c r="AU269" s="115"/>
      <c r="AV269" s="13"/>
      <c r="AW269" s="13"/>
      <c r="AZ269" s="114"/>
    </row>
    <row r="270" spans="1:52" ht="19.5" x14ac:dyDescent="0.4">
      <c r="A270" s="117"/>
      <c r="B270" s="123"/>
      <c r="C270" s="123"/>
      <c r="D270" s="123"/>
      <c r="F270" s="115"/>
      <c r="G270" s="115"/>
      <c r="H270" s="115"/>
      <c r="I270" s="115"/>
      <c r="J270" s="115"/>
      <c r="K270" s="115"/>
      <c r="L270" s="115"/>
      <c r="M270" s="25"/>
      <c r="N270" s="15"/>
      <c r="O270" s="115"/>
      <c r="P270" s="115"/>
      <c r="Q270" s="115"/>
      <c r="R270" s="115"/>
      <c r="S270" s="115"/>
      <c r="T270" s="115"/>
      <c r="U270" s="115"/>
      <c r="V270" s="115"/>
      <c r="W270" s="115"/>
      <c r="X270" s="25">
        <v>45684</v>
      </c>
      <c r="Y270" s="13" t="s">
        <v>147</v>
      </c>
      <c r="AD270" s="117"/>
      <c r="AE270" s="123"/>
      <c r="AF270" s="123"/>
      <c r="AG270" s="123"/>
      <c r="AL270" s="115"/>
      <c r="AM270" s="115"/>
      <c r="AN270" s="115"/>
      <c r="AO270" s="115"/>
      <c r="AP270" s="115"/>
      <c r="AQ270" s="115"/>
      <c r="AR270" s="115"/>
      <c r="AS270" s="115"/>
      <c r="AT270" s="115"/>
      <c r="AU270" s="115"/>
      <c r="AV270" s="13"/>
      <c r="AW270" s="13"/>
      <c r="AZ270" s="114"/>
    </row>
    <row r="271" spans="1:52" ht="19.5" x14ac:dyDescent="0.4">
      <c r="A271" s="117"/>
      <c r="B271" s="123"/>
      <c r="C271" s="123"/>
      <c r="D271" s="123"/>
      <c r="M271" s="25"/>
      <c r="N271" s="15"/>
      <c r="X271" s="25">
        <v>45685</v>
      </c>
      <c r="Y271" s="13" t="s">
        <v>146</v>
      </c>
      <c r="AD271" s="117"/>
      <c r="AE271" s="123"/>
      <c r="AF271" s="123"/>
      <c r="AG271" s="123"/>
      <c r="AL271" s="115"/>
      <c r="AM271" s="115"/>
      <c r="AN271" s="115"/>
      <c r="AO271" s="115"/>
      <c r="AP271" s="115"/>
      <c r="AQ271" s="115"/>
      <c r="AR271" s="115"/>
      <c r="AS271" s="115"/>
      <c r="AT271" s="115"/>
      <c r="AU271" s="115"/>
      <c r="AV271" s="25">
        <v>45263</v>
      </c>
      <c r="AW271" s="13" t="s">
        <v>162</v>
      </c>
      <c r="AZ271" s="114"/>
    </row>
    <row r="272" spans="1:52" ht="19.5" x14ac:dyDescent="0.4">
      <c r="A272" s="117"/>
      <c r="B272" s="123"/>
      <c r="C272" s="123"/>
      <c r="D272" s="123"/>
      <c r="M272" s="25"/>
      <c r="N272" s="15"/>
      <c r="U272" s="115"/>
      <c r="V272" s="115"/>
      <c r="W272" s="115"/>
      <c r="X272" s="25">
        <v>45685</v>
      </c>
      <c r="Y272" s="13" t="s">
        <v>147</v>
      </c>
      <c r="AD272" s="117"/>
      <c r="AE272" s="123"/>
      <c r="AF272" s="123"/>
      <c r="AG272" s="123"/>
      <c r="AL272" s="115"/>
      <c r="AM272" s="115"/>
      <c r="AN272" s="115"/>
      <c r="AO272" s="115"/>
      <c r="AP272" s="115"/>
      <c r="AQ272" s="115"/>
      <c r="AR272" s="115"/>
      <c r="AS272" s="115"/>
      <c r="AT272" s="115"/>
      <c r="AU272" s="115"/>
      <c r="AV272" s="25"/>
      <c r="AW272" s="13"/>
      <c r="AZ272" s="114"/>
    </row>
    <row r="273" spans="1:52" ht="19.5" x14ac:dyDescent="0.4">
      <c r="A273" s="117"/>
      <c r="B273" s="123"/>
      <c r="C273" s="123"/>
      <c r="D273" s="123"/>
      <c r="M273" s="133"/>
      <c r="N273" s="15"/>
      <c r="U273" s="115"/>
      <c r="V273" s="115"/>
      <c r="W273" s="115"/>
      <c r="X273" s="25"/>
      <c r="Y273" s="13"/>
      <c r="AD273" s="117"/>
      <c r="AE273" s="123"/>
      <c r="AF273" s="123"/>
      <c r="AG273" s="123"/>
      <c r="AL273" s="115"/>
      <c r="AM273" s="115"/>
      <c r="AN273" s="115"/>
      <c r="AO273" s="115"/>
      <c r="AP273" s="115"/>
      <c r="AQ273" s="115"/>
      <c r="AR273" s="115"/>
      <c r="AS273" s="115"/>
      <c r="AT273" s="115"/>
      <c r="AU273" s="115"/>
      <c r="AV273" s="25"/>
      <c r="AW273" s="13"/>
      <c r="AZ273" s="114"/>
    </row>
    <row r="274" spans="1:52" ht="19.5" x14ac:dyDescent="0.4">
      <c r="A274" s="117"/>
      <c r="B274" s="123"/>
      <c r="C274" s="123"/>
      <c r="D274" s="123"/>
      <c r="M274" s="25"/>
      <c r="N274" s="15"/>
      <c r="O274" s="115"/>
      <c r="P274" s="115"/>
      <c r="Q274" s="115"/>
      <c r="R274" s="115"/>
      <c r="S274" s="115"/>
      <c r="T274" s="115"/>
      <c r="U274" s="115"/>
      <c r="V274" s="115"/>
      <c r="W274" s="115"/>
      <c r="X274" s="25">
        <v>45685</v>
      </c>
      <c r="Y274" s="13" t="s">
        <v>147</v>
      </c>
      <c r="AD274" s="117"/>
      <c r="AE274" s="123"/>
      <c r="AF274" s="123"/>
      <c r="AG274" s="123"/>
      <c r="AL274" s="115"/>
      <c r="AM274" s="115"/>
      <c r="AN274" s="115"/>
      <c r="AO274" s="115"/>
      <c r="AP274" s="115"/>
      <c r="AQ274" s="115"/>
      <c r="AR274" s="115"/>
      <c r="AS274" s="115"/>
      <c r="AT274" s="115"/>
      <c r="AU274" s="115"/>
      <c r="AV274" s="25"/>
      <c r="AW274" s="13"/>
      <c r="AZ274" s="114"/>
    </row>
    <row r="275" spans="1:52" ht="19.5" x14ac:dyDescent="0.4">
      <c r="A275" s="117"/>
      <c r="B275" s="123"/>
      <c r="C275" s="123"/>
      <c r="D275" s="123"/>
      <c r="M275" s="25"/>
      <c r="N275" s="15"/>
      <c r="O275" s="115"/>
      <c r="P275" s="115"/>
      <c r="Q275" s="115"/>
      <c r="R275" s="115"/>
      <c r="S275" s="115"/>
      <c r="T275" s="115"/>
      <c r="U275" s="115"/>
      <c r="V275" s="115"/>
      <c r="W275" s="115"/>
      <c r="X275" s="25">
        <v>45685</v>
      </c>
      <c r="Y275" s="13" t="s">
        <v>148</v>
      </c>
      <c r="AD275" s="117"/>
      <c r="AE275" s="123"/>
      <c r="AF275" s="123"/>
      <c r="AG275" s="123"/>
      <c r="AL275" s="115"/>
      <c r="AM275" s="115"/>
      <c r="AN275" s="115"/>
      <c r="AO275" s="115"/>
      <c r="AP275" s="115"/>
      <c r="AQ275" s="115"/>
      <c r="AR275" s="115"/>
      <c r="AS275" s="115"/>
      <c r="AT275" s="115"/>
      <c r="AU275" s="115"/>
      <c r="AV275" s="25"/>
      <c r="AW275" s="13"/>
      <c r="AZ275" s="114"/>
    </row>
    <row r="276" spans="1:52" ht="19.5" x14ac:dyDescent="0.4">
      <c r="A276" s="117"/>
      <c r="B276" s="123"/>
      <c r="C276" s="123"/>
      <c r="D276" s="123"/>
      <c r="M276" s="25"/>
      <c r="N276" s="15"/>
      <c r="O276" s="115"/>
      <c r="P276" s="115"/>
      <c r="Q276" s="115"/>
      <c r="R276" s="115"/>
      <c r="S276" s="115"/>
      <c r="T276" s="115"/>
      <c r="U276" s="115"/>
      <c r="V276" s="115"/>
      <c r="W276" s="115"/>
      <c r="X276" s="25">
        <v>45685</v>
      </c>
      <c r="Y276" s="13" t="s">
        <v>148</v>
      </c>
      <c r="AD276" s="117"/>
      <c r="AE276" s="123"/>
      <c r="AF276" s="123"/>
      <c r="AG276" s="123"/>
      <c r="AL276" s="115"/>
      <c r="AM276" s="115"/>
      <c r="AN276" s="115"/>
      <c r="AO276" s="115"/>
      <c r="AP276" s="115"/>
      <c r="AQ276" s="115"/>
      <c r="AR276" s="115"/>
      <c r="AS276" s="115"/>
      <c r="AT276" s="115"/>
      <c r="AU276" s="115"/>
      <c r="AV276" s="25"/>
      <c r="AW276" s="13"/>
      <c r="AZ276" s="114"/>
    </row>
    <row r="277" spans="1:52" ht="19.5" x14ac:dyDescent="0.4">
      <c r="A277" s="117"/>
      <c r="B277" s="123"/>
      <c r="C277" s="123"/>
      <c r="D277" s="123"/>
      <c r="M277" s="133"/>
      <c r="N277" s="15"/>
      <c r="O277" s="115"/>
      <c r="P277" s="115"/>
      <c r="Q277" s="115"/>
      <c r="R277" s="115"/>
      <c r="S277" s="115"/>
      <c r="T277" s="115"/>
      <c r="U277" s="115"/>
      <c r="V277" s="115"/>
      <c r="W277" s="115"/>
      <c r="X277" s="25"/>
      <c r="Y277" s="13"/>
      <c r="AD277" s="117"/>
      <c r="AE277" s="123"/>
      <c r="AF277" s="123"/>
      <c r="AG277" s="123"/>
      <c r="AL277" s="115"/>
      <c r="AM277" s="115"/>
      <c r="AN277" s="115"/>
      <c r="AO277" s="115"/>
      <c r="AP277" s="115"/>
      <c r="AQ277" s="115"/>
      <c r="AR277" s="115"/>
      <c r="AS277" s="115"/>
      <c r="AT277" s="115"/>
      <c r="AU277" s="115"/>
      <c r="AV277" s="25"/>
      <c r="AW277" s="13"/>
      <c r="AZ277" s="114"/>
    </row>
    <row r="278" spans="1:5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25"/>
      <c r="N278" s="15"/>
      <c r="O278" s="115"/>
      <c r="P278" s="115"/>
      <c r="Q278" s="115"/>
      <c r="R278" s="115"/>
      <c r="S278" s="115"/>
      <c r="T278" s="115"/>
      <c r="U278" s="115"/>
      <c r="V278" s="115"/>
      <c r="W278" s="115"/>
      <c r="X278" s="25"/>
      <c r="Y278" s="13"/>
      <c r="AD278" s="117"/>
      <c r="AE278" s="123"/>
      <c r="AF278" s="123"/>
      <c r="AG278" s="123"/>
      <c r="AL278" s="115"/>
      <c r="AM278" s="115"/>
      <c r="AN278" s="115"/>
      <c r="AO278" s="115"/>
      <c r="AP278" s="115"/>
      <c r="AQ278" s="115"/>
      <c r="AR278" s="115"/>
      <c r="AS278" s="115"/>
      <c r="AT278" s="115"/>
      <c r="AU278" s="115"/>
      <c r="AV278" s="25"/>
      <c r="AW278" s="13"/>
      <c r="AZ278" s="114"/>
    </row>
    <row r="279" spans="1:5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33"/>
      <c r="N279" s="15"/>
      <c r="O279" s="115"/>
      <c r="P279" s="115"/>
      <c r="Q279" s="115"/>
      <c r="R279" s="115"/>
      <c r="S279" s="115"/>
      <c r="T279" s="115"/>
      <c r="U279" s="115"/>
      <c r="V279" s="115"/>
      <c r="W279" s="115"/>
      <c r="X279" s="25"/>
      <c r="Y279" s="13"/>
      <c r="AD279" s="117"/>
      <c r="AE279" s="123"/>
      <c r="AF279" s="123"/>
      <c r="AG279" s="123"/>
      <c r="AL279" s="115"/>
      <c r="AM279" s="115"/>
      <c r="AN279" s="115"/>
      <c r="AO279" s="115"/>
      <c r="AP279" s="115"/>
      <c r="AQ279" s="115"/>
      <c r="AR279" s="115"/>
      <c r="AS279" s="115"/>
      <c r="AT279" s="115"/>
      <c r="AU279" s="115"/>
      <c r="AV279" s="25"/>
      <c r="AW279" s="13"/>
      <c r="AZ279" s="114"/>
    </row>
    <row r="280" spans="1:52" ht="19.5" x14ac:dyDescent="0.4">
      <c r="A280" s="117"/>
      <c r="B280" s="123"/>
      <c r="C280" s="123"/>
      <c r="D280" s="123"/>
      <c r="M280" s="25"/>
      <c r="N280" s="15"/>
      <c r="O280" s="115"/>
      <c r="P280" s="115"/>
      <c r="Q280" s="115"/>
      <c r="R280" s="115"/>
      <c r="S280" s="115"/>
      <c r="T280" s="115"/>
      <c r="U280" s="115"/>
      <c r="V280" s="115"/>
      <c r="W280" s="115"/>
      <c r="X280" s="25">
        <v>45685</v>
      </c>
      <c r="Y280" s="13" t="s">
        <v>148</v>
      </c>
      <c r="AD280" s="117"/>
      <c r="AE280" s="123"/>
      <c r="AF280" s="123"/>
      <c r="AG280" s="123"/>
      <c r="AL280" s="115"/>
      <c r="AM280" s="115"/>
      <c r="AN280" s="115"/>
      <c r="AO280" s="115"/>
      <c r="AP280" s="115"/>
      <c r="AQ280" s="115"/>
      <c r="AR280" s="115"/>
      <c r="AS280" s="115"/>
      <c r="AT280" s="115"/>
      <c r="AU280" s="115"/>
      <c r="AV280" s="25"/>
      <c r="AW280" s="13"/>
      <c r="AZ280" s="114"/>
    </row>
    <row r="281" spans="1:52" ht="19.5" x14ac:dyDescent="0.4">
      <c r="A281" s="117"/>
      <c r="B281" s="123"/>
      <c r="C281" s="123"/>
      <c r="D281" s="123"/>
      <c r="M281" s="25"/>
      <c r="N281" s="15"/>
      <c r="O281" s="115"/>
      <c r="P281" s="115"/>
      <c r="Q281" s="115"/>
      <c r="R281" s="115"/>
      <c r="S281" s="115"/>
      <c r="T281" s="115"/>
      <c r="U281" s="115"/>
      <c r="V281" s="115"/>
      <c r="W281" s="115"/>
      <c r="X281" s="25">
        <v>45685</v>
      </c>
      <c r="Y281" s="13" t="s">
        <v>148</v>
      </c>
      <c r="AD281" s="117"/>
      <c r="AE281" s="123"/>
      <c r="AF281" s="123"/>
      <c r="AG281" s="123"/>
      <c r="AL281" s="115"/>
      <c r="AM281" s="115"/>
      <c r="AN281" s="115"/>
      <c r="AO281" s="115"/>
      <c r="AP281" s="115"/>
      <c r="AQ281" s="115"/>
      <c r="AR281" s="115"/>
      <c r="AS281" s="115"/>
      <c r="AT281" s="115"/>
      <c r="AU281" s="115"/>
      <c r="AV281" s="25"/>
      <c r="AW281" s="13"/>
      <c r="AZ281" s="114"/>
    </row>
    <row r="282" spans="1:52" ht="19.5" x14ac:dyDescent="0.4">
      <c r="A282" s="117"/>
      <c r="B282" s="123"/>
      <c r="C282" s="123"/>
      <c r="D282" s="123"/>
      <c r="M282" s="25"/>
      <c r="N282" s="15"/>
      <c r="O282" s="115"/>
      <c r="P282" s="115"/>
      <c r="Q282" s="115"/>
      <c r="R282" s="115"/>
      <c r="S282" s="115"/>
      <c r="T282" s="115"/>
      <c r="U282" s="115"/>
      <c r="V282" s="115"/>
      <c r="W282" s="115"/>
      <c r="X282" s="25">
        <v>45685</v>
      </c>
      <c r="Y282" s="13" t="s">
        <v>146</v>
      </c>
      <c r="AD282" s="117"/>
      <c r="AE282" s="123"/>
      <c r="AF282" s="123"/>
      <c r="AG282" s="123"/>
      <c r="AL282" s="115"/>
      <c r="AM282" s="115"/>
      <c r="AN282" s="115"/>
      <c r="AO282" s="115"/>
      <c r="AP282" s="115"/>
      <c r="AQ282" s="115"/>
      <c r="AR282" s="115"/>
      <c r="AS282" s="115"/>
      <c r="AT282" s="115"/>
      <c r="AU282" s="115"/>
      <c r="AV282" s="25"/>
      <c r="AW282" s="13"/>
      <c r="AZ282" s="114"/>
    </row>
    <row r="283" spans="1:5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25"/>
      <c r="N283" s="15"/>
      <c r="O283" s="115"/>
      <c r="P283" s="115"/>
      <c r="Q283" s="115"/>
      <c r="R283" s="115"/>
      <c r="S283" s="115"/>
      <c r="T283" s="115"/>
      <c r="U283" s="115"/>
      <c r="V283" s="115"/>
      <c r="W283" s="115"/>
      <c r="X283" s="25"/>
      <c r="Y283" s="13"/>
      <c r="AD283" s="117"/>
      <c r="AE283" s="123"/>
      <c r="AF283" s="123"/>
      <c r="AG283" s="123"/>
      <c r="AL283" s="115"/>
      <c r="AM283" s="115"/>
      <c r="AN283" s="115"/>
      <c r="AO283" s="115"/>
      <c r="AP283" s="115"/>
      <c r="AQ283" s="115"/>
      <c r="AR283" s="115"/>
      <c r="AS283" s="115"/>
      <c r="AT283" s="115"/>
      <c r="AU283" s="115"/>
      <c r="AV283" s="25"/>
      <c r="AW283" s="13"/>
      <c r="AZ283" s="114"/>
    </row>
    <row r="284" spans="1:52" ht="19.5" x14ac:dyDescent="0.4">
      <c r="A284" s="117"/>
      <c r="B284" s="123"/>
      <c r="C284" s="123"/>
      <c r="D284" s="123"/>
      <c r="M284" s="25"/>
      <c r="N284" s="15"/>
      <c r="X284" s="25">
        <v>45685</v>
      </c>
      <c r="Y284" s="13" t="s">
        <v>148</v>
      </c>
      <c r="AD284" s="117"/>
      <c r="AE284" s="123"/>
      <c r="AF284" s="123"/>
      <c r="AG284" s="123"/>
      <c r="AL284" s="115"/>
      <c r="AM284" s="115"/>
      <c r="AN284" s="115"/>
      <c r="AO284" s="115"/>
      <c r="AP284" s="115"/>
      <c r="AQ284" s="115"/>
      <c r="AR284" s="115"/>
      <c r="AS284" s="115"/>
      <c r="AT284" s="115"/>
      <c r="AU284" s="115" t="s">
        <v>150</v>
      </c>
      <c r="AV284" s="13">
        <f>SUBTOTAL(3,AV271:AV271)</f>
        <v>1</v>
      </c>
      <c r="AW284" s="13">
        <f>SUBTOTAL(3,AW271:AW271)</f>
        <v>1</v>
      </c>
      <c r="AZ284" s="114"/>
    </row>
    <row r="285" spans="1:52" ht="19.5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25"/>
      <c r="N285" s="15"/>
      <c r="X285" s="25"/>
      <c r="Y285" s="13"/>
      <c r="AD285" s="117"/>
      <c r="AE285" s="123"/>
      <c r="AF285" s="123"/>
      <c r="AG285" s="123"/>
      <c r="AL285" s="115"/>
      <c r="AM285" s="115"/>
      <c r="AN285" s="115"/>
      <c r="AO285" s="115"/>
      <c r="AP285" s="115"/>
      <c r="AQ285" s="115"/>
      <c r="AR285" s="115"/>
      <c r="AS285" s="115"/>
      <c r="AT285" s="115"/>
      <c r="AU285" s="115"/>
      <c r="AV285" s="13"/>
      <c r="AW285" s="13"/>
      <c r="AZ285" s="114"/>
    </row>
    <row r="286" spans="1:52" ht="19.5" x14ac:dyDescent="0.4">
      <c r="A286" s="117"/>
      <c r="B286" s="123"/>
      <c r="C286" s="123"/>
      <c r="D286" s="123"/>
      <c r="M286" s="25"/>
      <c r="N286" s="15"/>
      <c r="O286" s="115"/>
      <c r="P286" s="115"/>
      <c r="Q286" s="115"/>
      <c r="R286" s="115"/>
      <c r="S286" s="115"/>
      <c r="T286" s="115"/>
      <c r="U286" s="115"/>
      <c r="V286" s="115"/>
      <c r="W286" s="115"/>
      <c r="X286" s="25">
        <v>45685</v>
      </c>
      <c r="Y286" s="15" t="s">
        <v>146</v>
      </c>
      <c r="AD286" s="117"/>
      <c r="AE286" s="123"/>
      <c r="AF286" s="123"/>
      <c r="AG286" s="123"/>
      <c r="AL286" s="115"/>
      <c r="AM286" s="115"/>
      <c r="AN286" s="115"/>
      <c r="AO286" s="115"/>
      <c r="AP286" s="115"/>
      <c r="AQ286" s="115"/>
      <c r="AR286" s="115"/>
      <c r="AS286" s="115"/>
      <c r="AT286" s="115"/>
      <c r="AU286" s="115"/>
      <c r="AV286" s="13"/>
      <c r="AW286" s="13"/>
      <c r="AZ286" s="114"/>
    </row>
    <row r="287" spans="1:52" ht="19.5" x14ac:dyDescent="0.4">
      <c r="A287" s="117"/>
      <c r="B287" s="123"/>
      <c r="C287" s="123"/>
      <c r="D287" s="123"/>
      <c r="M287" s="25"/>
      <c r="N287" s="15"/>
      <c r="X287" s="25">
        <v>45685</v>
      </c>
      <c r="Y287" s="15" t="s">
        <v>146</v>
      </c>
      <c r="AD287" s="117"/>
      <c r="AE287" s="123"/>
      <c r="AF287" s="123"/>
      <c r="AG287" s="123"/>
      <c r="AL287" s="115"/>
      <c r="AM287" s="115"/>
      <c r="AN287" s="115"/>
      <c r="AO287" s="115"/>
      <c r="AP287" s="115"/>
      <c r="AQ287" s="115"/>
      <c r="AR287" s="115"/>
      <c r="AS287" s="115"/>
      <c r="AT287" s="115"/>
      <c r="AU287" s="115"/>
      <c r="AV287" s="25">
        <v>45264</v>
      </c>
      <c r="AW287" s="13" t="s">
        <v>162</v>
      </c>
      <c r="AZ287" s="114"/>
    </row>
    <row r="288" spans="1:52" ht="19.5" x14ac:dyDescent="0.4">
      <c r="A288" s="117"/>
      <c r="B288" s="123"/>
      <c r="C288" s="123"/>
      <c r="D288" s="123"/>
      <c r="M288" s="25"/>
      <c r="N288" s="15"/>
      <c r="T288" s="115"/>
      <c r="U288" s="115"/>
      <c r="V288" s="115"/>
      <c r="W288" s="115"/>
      <c r="X288" s="25">
        <v>45686</v>
      </c>
      <c r="Y288" s="15" t="s">
        <v>148</v>
      </c>
      <c r="AD288" s="117"/>
      <c r="AE288" s="123"/>
      <c r="AF288" s="123"/>
      <c r="AG288" s="123"/>
      <c r="AL288" s="115"/>
      <c r="AM288" s="115"/>
      <c r="AN288" s="115"/>
      <c r="AO288" s="115"/>
      <c r="AP288" s="115"/>
      <c r="AQ288" s="115"/>
      <c r="AR288" s="115"/>
      <c r="AS288" s="115"/>
      <c r="AT288" s="115"/>
      <c r="AU288" s="115"/>
      <c r="AV288" s="25"/>
      <c r="AW288" s="13"/>
      <c r="AZ288" s="114"/>
    </row>
    <row r="289" spans="1:52" ht="19.5" x14ac:dyDescent="0.4">
      <c r="A289" s="117"/>
      <c r="B289" s="123"/>
      <c r="C289" s="123"/>
      <c r="D289" s="123"/>
      <c r="M289" s="25"/>
      <c r="N289" s="15"/>
      <c r="R289" s="115"/>
      <c r="S289" s="115"/>
      <c r="T289" s="115"/>
      <c r="U289" s="115"/>
      <c r="V289" s="115"/>
      <c r="W289" s="115"/>
      <c r="X289" s="25">
        <v>45686</v>
      </c>
      <c r="Y289" s="15" t="s">
        <v>146</v>
      </c>
      <c r="AD289" s="117"/>
      <c r="AE289" s="123"/>
      <c r="AF289" s="123"/>
      <c r="AG289" s="123"/>
      <c r="AL289" s="115"/>
      <c r="AM289" s="115"/>
      <c r="AN289" s="115"/>
      <c r="AO289" s="115"/>
      <c r="AP289" s="115"/>
      <c r="AQ289" s="115"/>
      <c r="AR289" s="115"/>
      <c r="AS289" s="115"/>
      <c r="AT289" s="115"/>
      <c r="AU289" s="115"/>
      <c r="AV289" s="25"/>
      <c r="AW289" s="13"/>
      <c r="AZ289" s="114"/>
    </row>
    <row r="290" spans="1:5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25"/>
      <c r="N290" s="15"/>
      <c r="R290" s="115"/>
      <c r="S290" s="115"/>
      <c r="T290" s="115"/>
      <c r="U290" s="115"/>
      <c r="V290" s="115"/>
      <c r="W290" s="115"/>
      <c r="X290" s="25"/>
      <c r="Y290" s="15"/>
      <c r="AD290" s="117"/>
      <c r="AE290" s="123"/>
      <c r="AF290" s="123"/>
      <c r="AG290" s="123"/>
      <c r="AL290" s="115"/>
      <c r="AM290" s="115"/>
      <c r="AN290" s="115"/>
      <c r="AO290" s="115"/>
      <c r="AP290" s="115"/>
      <c r="AQ290" s="115"/>
      <c r="AR290" s="115"/>
      <c r="AS290" s="115"/>
      <c r="AT290" s="115"/>
      <c r="AU290" s="115"/>
      <c r="AV290" s="25"/>
      <c r="AW290" s="13"/>
      <c r="AZ290" s="114"/>
    </row>
    <row r="291" spans="1:52" ht="19.5" x14ac:dyDescent="0.4">
      <c r="A291" s="117"/>
      <c r="B291" s="123"/>
      <c r="C291" s="123"/>
      <c r="D291" s="123"/>
      <c r="M291" s="26"/>
      <c r="N291" s="15"/>
      <c r="R291" s="115"/>
      <c r="S291" s="115"/>
      <c r="T291" s="115"/>
      <c r="U291" s="115"/>
      <c r="V291" s="115"/>
      <c r="W291" s="115"/>
      <c r="X291" s="25">
        <v>45686</v>
      </c>
      <c r="Y291" s="15" t="s">
        <v>148</v>
      </c>
      <c r="AD291" s="117"/>
      <c r="AE291" s="123"/>
      <c r="AF291" s="123"/>
      <c r="AG291" s="123"/>
      <c r="AL291" s="115"/>
      <c r="AM291" s="115"/>
      <c r="AN291" s="115"/>
      <c r="AO291" s="115"/>
      <c r="AP291" s="115"/>
      <c r="AQ291" s="115"/>
      <c r="AR291" s="115"/>
      <c r="AS291" s="115"/>
      <c r="AT291" s="115"/>
      <c r="AU291" s="115"/>
      <c r="AV291" s="25"/>
      <c r="AW291" s="13"/>
      <c r="AZ291" s="114"/>
    </row>
    <row r="292" spans="1:5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26"/>
      <c r="N292" s="13"/>
      <c r="R292" s="115"/>
      <c r="S292" s="115"/>
      <c r="T292" s="115"/>
      <c r="U292" s="115"/>
      <c r="V292" s="115"/>
      <c r="W292" s="115"/>
      <c r="X292" s="25"/>
      <c r="Y292" s="15"/>
      <c r="AD292" s="117"/>
      <c r="AE292" s="123"/>
      <c r="AF292" s="123"/>
      <c r="AG292" s="123"/>
      <c r="AL292" s="115"/>
      <c r="AM292" s="115"/>
      <c r="AN292" s="115"/>
      <c r="AO292" s="115"/>
      <c r="AP292" s="115"/>
      <c r="AQ292" s="115"/>
      <c r="AR292" s="115"/>
      <c r="AS292" s="115"/>
      <c r="AT292" s="115"/>
      <c r="AU292" s="115"/>
      <c r="AV292" s="25"/>
      <c r="AW292" s="13"/>
      <c r="AZ292" s="114"/>
    </row>
    <row r="293" spans="1:52" ht="19.5" x14ac:dyDescent="0.4">
      <c r="A293" s="117"/>
      <c r="B293" s="123"/>
      <c r="C293" s="123"/>
      <c r="D293" s="123"/>
      <c r="M293" s="26"/>
      <c r="N293" s="13"/>
      <c r="X293" s="25">
        <v>45686</v>
      </c>
      <c r="Y293" s="15" t="s">
        <v>146</v>
      </c>
      <c r="AD293" s="117"/>
      <c r="AE293" s="123"/>
      <c r="AF293" s="123"/>
      <c r="AG293" s="123"/>
      <c r="AL293" s="115"/>
      <c r="AM293" s="115"/>
      <c r="AN293" s="115"/>
      <c r="AO293" s="115"/>
      <c r="AP293" s="115"/>
      <c r="AQ293" s="115"/>
      <c r="AR293" s="115"/>
      <c r="AS293" s="115"/>
      <c r="AT293" s="115"/>
      <c r="AU293" s="115" t="s">
        <v>154</v>
      </c>
      <c r="AV293" s="13">
        <f>SUBTOTAL(3,AV287:AV287)</f>
        <v>1</v>
      </c>
      <c r="AW293" s="13">
        <f>SUBTOTAL(3,AW287:AW287)</f>
        <v>1</v>
      </c>
      <c r="AZ293" s="114"/>
    </row>
    <row r="294" spans="1:5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26"/>
      <c r="N294" s="13"/>
      <c r="X294" s="25"/>
      <c r="Y294" s="15"/>
      <c r="AD294" s="117"/>
      <c r="AE294" s="123"/>
      <c r="AF294" s="123"/>
      <c r="AG294" s="123"/>
      <c r="AL294" s="115"/>
      <c r="AM294" s="115"/>
      <c r="AN294" s="115"/>
      <c r="AO294" s="115"/>
      <c r="AP294" s="115"/>
      <c r="AQ294" s="115"/>
      <c r="AR294" s="115"/>
      <c r="AS294" s="115"/>
      <c r="AT294" s="115"/>
      <c r="AU294" s="115"/>
      <c r="AV294" s="13"/>
      <c r="AW294" s="13"/>
      <c r="AZ294" s="114"/>
    </row>
    <row r="295" spans="1:52" ht="19.5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115"/>
      <c r="M295" s="26"/>
      <c r="N295" s="13"/>
      <c r="X295" s="25"/>
      <c r="Y295" s="15"/>
      <c r="AD295" s="117"/>
      <c r="AE295" s="123"/>
      <c r="AF295" s="123"/>
      <c r="AG295" s="123"/>
      <c r="AL295" s="115"/>
      <c r="AM295" s="115"/>
      <c r="AN295" s="115"/>
      <c r="AO295" s="115"/>
      <c r="AP295" s="115"/>
      <c r="AQ295" s="115"/>
      <c r="AR295" s="115"/>
      <c r="AS295" s="115"/>
      <c r="AT295" s="115"/>
      <c r="AU295" s="115"/>
      <c r="AV295" s="13"/>
      <c r="AW295" s="13"/>
      <c r="AZ295" s="114"/>
    </row>
    <row r="296" spans="1:52" ht="19.5" x14ac:dyDescent="0.4">
      <c r="A296" s="117"/>
      <c r="B296" s="123"/>
      <c r="C296" s="123"/>
      <c r="D296" s="123"/>
      <c r="M296" s="26"/>
      <c r="N296" s="13"/>
      <c r="X296" s="25">
        <v>45686</v>
      </c>
      <c r="Y296" s="15" t="s">
        <v>146</v>
      </c>
      <c r="AD296" s="117"/>
      <c r="AE296" s="123"/>
      <c r="AF296" s="123"/>
      <c r="AG296" s="123"/>
      <c r="AL296" s="115"/>
      <c r="AM296" s="115"/>
      <c r="AN296" s="115"/>
      <c r="AO296" s="115"/>
      <c r="AP296" s="115"/>
      <c r="AQ296" s="115"/>
      <c r="AR296" s="115"/>
      <c r="AS296" s="115"/>
      <c r="AT296" s="115"/>
      <c r="AU296" s="115"/>
      <c r="AV296" s="25">
        <v>45265</v>
      </c>
      <c r="AW296" s="13" t="s">
        <v>162</v>
      </c>
      <c r="AZ296" s="114"/>
    </row>
    <row r="297" spans="1:52" ht="19.5" x14ac:dyDescent="0.4">
      <c r="A297" s="117"/>
      <c r="B297" s="123"/>
      <c r="C297" s="123"/>
      <c r="D297" s="123"/>
      <c r="M297" s="26"/>
      <c r="N297" s="13"/>
      <c r="X297" s="25">
        <v>45686</v>
      </c>
      <c r="Y297" s="15" t="s">
        <v>146</v>
      </c>
      <c r="AD297" s="117"/>
      <c r="AE297" s="123"/>
      <c r="AF297" s="123"/>
      <c r="AG297" s="123"/>
      <c r="AL297" s="115"/>
      <c r="AM297" s="115"/>
      <c r="AN297" s="115"/>
      <c r="AO297" s="115"/>
      <c r="AP297" s="115"/>
      <c r="AQ297" s="115"/>
      <c r="AR297" s="115"/>
      <c r="AS297" s="115"/>
      <c r="AT297" s="115"/>
      <c r="AU297" s="115"/>
      <c r="AV297" s="25">
        <v>45265</v>
      </c>
      <c r="AW297" s="25" t="s">
        <v>162</v>
      </c>
      <c r="AZ297" s="114"/>
    </row>
    <row r="298" spans="1:52" ht="19.5" x14ac:dyDescent="0.4">
      <c r="A298" s="117"/>
      <c r="B298" s="123"/>
      <c r="C298" s="123"/>
      <c r="D298" s="123"/>
      <c r="M298" s="26"/>
      <c r="N298" s="13"/>
      <c r="O298" s="115"/>
      <c r="P298" s="115"/>
      <c r="Q298" s="115"/>
      <c r="R298" s="115"/>
      <c r="S298" s="115"/>
      <c r="T298" s="115"/>
      <c r="U298" s="115"/>
      <c r="V298" s="115"/>
      <c r="W298" s="115"/>
      <c r="X298" s="25">
        <v>45686</v>
      </c>
      <c r="Y298" s="15" t="s">
        <v>146</v>
      </c>
      <c r="AD298" s="117"/>
      <c r="AE298" s="123"/>
      <c r="AF298" s="123"/>
      <c r="AG298" s="123"/>
      <c r="AL298" s="115"/>
      <c r="AM298" s="115"/>
      <c r="AN298" s="115"/>
      <c r="AO298" s="115"/>
      <c r="AP298" s="115"/>
      <c r="AQ298" s="115"/>
      <c r="AR298" s="115"/>
      <c r="AS298" s="115"/>
      <c r="AT298" s="115"/>
      <c r="AU298" s="115"/>
      <c r="AV298" s="25"/>
      <c r="AW298" s="25"/>
      <c r="AZ298" s="114"/>
    </row>
    <row r="299" spans="1:52" ht="19.5" x14ac:dyDescent="0.4">
      <c r="A299" s="117"/>
      <c r="B299" s="123"/>
      <c r="C299" s="123"/>
      <c r="D299" s="123"/>
      <c r="M299" s="129"/>
      <c r="N299" s="13"/>
      <c r="O299" s="115"/>
      <c r="P299" s="115"/>
      <c r="Q299" s="115"/>
      <c r="R299" s="115"/>
      <c r="S299" s="115"/>
      <c r="T299" s="115"/>
      <c r="U299" s="115"/>
      <c r="V299" s="115"/>
      <c r="W299" s="115"/>
      <c r="X299" s="25"/>
      <c r="Y299" s="13"/>
      <c r="AD299" s="117"/>
      <c r="AE299" s="123"/>
      <c r="AF299" s="123"/>
      <c r="AG299" s="123"/>
      <c r="AL299" s="115"/>
      <c r="AM299" s="115"/>
      <c r="AN299" s="115"/>
      <c r="AO299" s="115"/>
      <c r="AP299" s="115"/>
      <c r="AQ299" s="115"/>
      <c r="AR299" s="115"/>
      <c r="AS299" s="115"/>
      <c r="AT299" s="115"/>
      <c r="AU299" s="115"/>
      <c r="AV299" s="25"/>
      <c r="AW299" s="25"/>
      <c r="AZ299" s="114"/>
    </row>
    <row r="300" spans="1:52" ht="19.5" x14ac:dyDescent="0.4">
      <c r="A300" s="117"/>
      <c r="B300" s="123"/>
      <c r="C300" s="123"/>
      <c r="D300" s="123"/>
      <c r="M300" s="26"/>
      <c r="N300" s="13"/>
      <c r="X300" s="25">
        <v>45686</v>
      </c>
      <c r="Y300" s="13" t="s">
        <v>146</v>
      </c>
      <c r="AD300" s="117"/>
      <c r="AE300" s="123"/>
      <c r="AF300" s="123"/>
      <c r="AG300" s="123"/>
      <c r="AL300" s="115"/>
      <c r="AM300" s="115"/>
      <c r="AN300" s="115"/>
      <c r="AO300" s="115"/>
      <c r="AP300" s="115"/>
      <c r="AQ300" s="115"/>
      <c r="AR300" s="115"/>
      <c r="AS300" s="115"/>
      <c r="AT300" s="115"/>
      <c r="AU300" s="115"/>
      <c r="AV300" s="25">
        <v>45265</v>
      </c>
      <c r="AW300" s="13" t="s">
        <v>162</v>
      </c>
      <c r="AZ300" s="114"/>
    </row>
    <row r="301" spans="1:5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26"/>
      <c r="N301" s="13"/>
      <c r="X301" s="25"/>
      <c r="Y301" s="13"/>
      <c r="AD301" s="117"/>
      <c r="AE301" s="123"/>
      <c r="AF301" s="123"/>
      <c r="AG301" s="123"/>
      <c r="AL301" s="115"/>
      <c r="AM301" s="115"/>
      <c r="AN301" s="115"/>
      <c r="AO301" s="115"/>
      <c r="AP301" s="115"/>
      <c r="AQ301" s="115"/>
      <c r="AR301" s="115"/>
      <c r="AS301" s="115"/>
      <c r="AT301" s="115"/>
      <c r="AU301" s="115"/>
      <c r="AV301" s="25"/>
      <c r="AW301" s="13"/>
      <c r="AZ301" s="114"/>
    </row>
    <row r="302" spans="1:52" ht="19.5" x14ac:dyDescent="0.4">
      <c r="A302" s="117"/>
      <c r="B302" s="123"/>
      <c r="C302" s="123"/>
      <c r="D302" s="123"/>
      <c r="M302" s="26"/>
      <c r="N302" s="13"/>
      <c r="T302" s="115"/>
      <c r="U302" s="115"/>
      <c r="V302" s="115"/>
      <c r="W302" s="115"/>
      <c r="X302" s="25">
        <v>45686</v>
      </c>
      <c r="Y302" s="15" t="s">
        <v>146</v>
      </c>
      <c r="AD302" s="117"/>
      <c r="AE302" s="123"/>
      <c r="AF302" s="123"/>
      <c r="AG302" s="123"/>
      <c r="AL302" s="115"/>
      <c r="AM302" s="115"/>
      <c r="AN302" s="115"/>
      <c r="AO302" s="115"/>
      <c r="AP302" s="115"/>
      <c r="AQ302" s="115"/>
      <c r="AR302" s="115"/>
      <c r="AS302" s="115"/>
      <c r="AT302" s="115"/>
      <c r="AU302" s="115"/>
      <c r="AV302" s="25"/>
      <c r="AW302" s="13"/>
      <c r="AZ302" s="114"/>
    </row>
    <row r="303" spans="1:52" ht="19.5" x14ac:dyDescent="0.4">
      <c r="A303" s="117"/>
      <c r="B303" s="123"/>
      <c r="C303" s="123"/>
      <c r="D303" s="123"/>
      <c r="M303" s="26"/>
      <c r="N303" s="13"/>
      <c r="X303" s="25">
        <v>45686</v>
      </c>
      <c r="Y303" s="15" t="s">
        <v>147</v>
      </c>
      <c r="AD303" s="117"/>
      <c r="AE303" s="123"/>
      <c r="AF303" s="123"/>
      <c r="AG303" s="123"/>
      <c r="AL303" s="115"/>
      <c r="AM303" s="115"/>
      <c r="AN303" s="115"/>
      <c r="AO303" s="115"/>
      <c r="AP303" s="115"/>
      <c r="AQ303" s="115"/>
      <c r="AR303" s="115"/>
      <c r="AS303" s="115"/>
      <c r="AT303" s="115"/>
      <c r="AU303" s="115"/>
      <c r="AV303" s="25">
        <v>45265</v>
      </c>
      <c r="AW303" s="13" t="s">
        <v>162</v>
      </c>
      <c r="AZ303" s="114"/>
    </row>
    <row r="304" spans="1:52" ht="19.5" x14ac:dyDescent="0.4">
      <c r="A304" s="117"/>
      <c r="B304" s="123"/>
      <c r="C304" s="123"/>
      <c r="D304" s="123"/>
      <c r="M304" s="26"/>
      <c r="N304" s="13"/>
      <c r="U304" s="115"/>
      <c r="V304" s="115"/>
      <c r="W304" s="115"/>
      <c r="X304" s="25">
        <v>45686</v>
      </c>
      <c r="Y304" s="15" t="s">
        <v>147</v>
      </c>
      <c r="AD304" s="117"/>
      <c r="AE304" s="123"/>
      <c r="AF304" s="123"/>
      <c r="AG304" s="123"/>
      <c r="AL304" s="115"/>
      <c r="AM304" s="115"/>
      <c r="AN304" s="115"/>
      <c r="AO304" s="115"/>
      <c r="AP304" s="115"/>
      <c r="AQ304" s="115"/>
      <c r="AR304" s="115"/>
      <c r="AS304" s="115"/>
      <c r="AT304" s="115"/>
      <c r="AU304" s="115"/>
      <c r="AV304" s="25"/>
      <c r="AW304" s="13"/>
      <c r="AZ304" s="114"/>
    </row>
    <row r="305" spans="1:52" ht="19.5" x14ac:dyDescent="0.4">
      <c r="A305" s="117"/>
      <c r="B305" s="123"/>
      <c r="C305" s="123"/>
      <c r="D305" s="123"/>
      <c r="M305" s="26"/>
      <c r="N305" s="13"/>
      <c r="O305" s="115"/>
      <c r="P305" s="115"/>
      <c r="Q305" s="115"/>
      <c r="R305" s="115"/>
      <c r="S305" s="115"/>
      <c r="T305" s="115"/>
      <c r="U305" s="115"/>
      <c r="V305" s="115"/>
      <c r="W305" s="115"/>
      <c r="X305" s="25">
        <v>45686</v>
      </c>
      <c r="Y305" s="13" t="s">
        <v>146</v>
      </c>
      <c r="AD305" s="117"/>
      <c r="AE305" s="123"/>
      <c r="AF305" s="123"/>
      <c r="AG305" s="123"/>
      <c r="AL305" s="115"/>
      <c r="AM305" s="115"/>
      <c r="AN305" s="115"/>
      <c r="AO305" s="115"/>
      <c r="AP305" s="115"/>
      <c r="AQ305" s="115"/>
      <c r="AR305" s="115"/>
      <c r="AS305" s="115"/>
      <c r="AT305" s="115"/>
      <c r="AU305" s="115"/>
      <c r="AV305" s="25"/>
      <c r="AW305" s="13"/>
      <c r="AZ305" s="114"/>
    </row>
    <row r="306" spans="1:52" ht="19.5" x14ac:dyDescent="0.4">
      <c r="A306" s="117"/>
      <c r="B306" s="123"/>
      <c r="C306" s="123"/>
      <c r="D306" s="123"/>
      <c r="M306" s="26"/>
      <c r="N306" s="13"/>
      <c r="X306" s="25">
        <v>45686</v>
      </c>
      <c r="Y306" s="25" t="s">
        <v>146</v>
      </c>
      <c r="AD306" s="117"/>
      <c r="AE306" s="123"/>
      <c r="AF306" s="123"/>
      <c r="AG306" s="123"/>
      <c r="AL306" s="115"/>
      <c r="AM306" s="115"/>
      <c r="AN306" s="115"/>
      <c r="AO306" s="115"/>
      <c r="AP306" s="115"/>
      <c r="AQ306" s="115"/>
      <c r="AR306" s="115"/>
      <c r="AS306" s="115"/>
      <c r="AT306" s="115"/>
      <c r="AU306" s="115"/>
      <c r="AV306" s="25">
        <v>45265</v>
      </c>
      <c r="AW306" s="13" t="s">
        <v>163</v>
      </c>
      <c r="AZ306" s="114"/>
    </row>
    <row r="307" spans="1:52" ht="19.5" x14ac:dyDescent="0.4">
      <c r="A307" s="117"/>
      <c r="B307" s="123"/>
      <c r="C307" s="123"/>
      <c r="D307" s="123"/>
      <c r="M307" s="26"/>
      <c r="N307" s="13"/>
      <c r="X307" s="25">
        <v>45686</v>
      </c>
      <c r="Y307" s="25" t="s">
        <v>147</v>
      </c>
      <c r="AD307" s="117"/>
      <c r="AE307" s="123"/>
      <c r="AF307" s="123"/>
      <c r="AG307" s="123"/>
      <c r="AL307" s="115"/>
      <c r="AM307" s="115"/>
      <c r="AN307" s="115"/>
      <c r="AO307" s="115"/>
      <c r="AP307" s="115"/>
      <c r="AQ307" s="115"/>
      <c r="AR307" s="115"/>
      <c r="AS307" s="115"/>
      <c r="AT307" s="115"/>
      <c r="AU307" s="115" t="s">
        <v>155</v>
      </c>
      <c r="AV307" s="13">
        <f>SUBTOTAL(3,AV296:AV306)</f>
        <v>5</v>
      </c>
      <c r="AW307" s="13">
        <f>SUBTOTAL(3,AW296:AW306)</f>
        <v>5</v>
      </c>
      <c r="AZ307" s="114"/>
    </row>
    <row r="308" spans="1:52" ht="19.5" x14ac:dyDescent="0.4">
      <c r="A308" s="117"/>
      <c r="B308" s="123"/>
      <c r="C308" s="123"/>
      <c r="D308" s="123"/>
      <c r="M308" s="26"/>
      <c r="N308" s="13"/>
      <c r="O308" s="115"/>
      <c r="P308" s="115"/>
      <c r="Q308" s="115"/>
      <c r="R308" s="115"/>
      <c r="S308" s="115"/>
      <c r="T308" s="115"/>
      <c r="U308" s="115"/>
      <c r="V308" s="115"/>
      <c r="W308" s="115"/>
      <c r="X308" s="25">
        <v>45686</v>
      </c>
      <c r="Y308" s="25" t="s">
        <v>148</v>
      </c>
      <c r="AD308" s="117"/>
      <c r="AE308" s="123"/>
      <c r="AF308" s="123"/>
      <c r="AG308" s="123"/>
      <c r="AL308" s="115"/>
      <c r="AM308" s="115"/>
      <c r="AN308" s="115"/>
      <c r="AO308" s="115"/>
      <c r="AP308" s="115"/>
      <c r="AQ308" s="115"/>
      <c r="AR308" s="115"/>
      <c r="AS308" s="115"/>
      <c r="AT308" s="115"/>
      <c r="AU308" s="115"/>
      <c r="AV308" s="13"/>
      <c r="AW308" s="13"/>
      <c r="AZ308" s="114"/>
    </row>
    <row r="309" spans="1:52" ht="19.5" x14ac:dyDescent="0.4">
      <c r="A309" s="117"/>
      <c r="B309" s="123"/>
      <c r="C309" s="123"/>
      <c r="D309" s="123"/>
      <c r="M309" s="26"/>
      <c r="N309" s="13"/>
      <c r="O309" s="115"/>
      <c r="P309" s="115"/>
      <c r="Q309" s="115"/>
      <c r="R309" s="115"/>
      <c r="S309" s="115"/>
      <c r="T309" s="115"/>
      <c r="U309" s="115"/>
      <c r="V309" s="115"/>
      <c r="W309" s="115"/>
      <c r="X309" s="25">
        <v>45686</v>
      </c>
      <c r="Y309" s="13" t="s">
        <v>146</v>
      </c>
      <c r="AD309" s="117"/>
      <c r="AE309" s="123"/>
      <c r="AF309" s="123"/>
      <c r="AG309" s="123"/>
      <c r="AL309" s="115"/>
      <c r="AM309" s="115"/>
      <c r="AN309" s="115"/>
      <c r="AO309" s="115"/>
      <c r="AP309" s="115"/>
      <c r="AQ309" s="115"/>
      <c r="AR309" s="115"/>
      <c r="AS309" s="115"/>
      <c r="AT309" s="115"/>
      <c r="AU309" s="115"/>
      <c r="AV309" s="13"/>
      <c r="AW309" s="13"/>
      <c r="AZ309" s="114"/>
    </row>
    <row r="310" spans="1:52" ht="19.5" x14ac:dyDescent="0.4">
      <c r="A310" s="117"/>
      <c r="B310" s="123"/>
      <c r="C310" s="123"/>
      <c r="D310" s="123"/>
      <c r="F310" s="115"/>
      <c r="G310" s="115"/>
      <c r="H310" s="115"/>
      <c r="I310" s="115"/>
      <c r="J310" s="115"/>
      <c r="K310" s="115"/>
      <c r="L310" s="115"/>
      <c r="M310" s="26"/>
      <c r="N310" s="13"/>
      <c r="O310" s="115"/>
      <c r="P310" s="115"/>
      <c r="Q310" s="115"/>
      <c r="R310" s="115"/>
      <c r="S310" s="115"/>
      <c r="T310" s="115"/>
      <c r="U310" s="115"/>
      <c r="V310" s="115"/>
      <c r="W310" s="115"/>
      <c r="X310" s="25">
        <v>45686</v>
      </c>
      <c r="Y310" s="13" t="s">
        <v>146</v>
      </c>
      <c r="AD310" s="117"/>
      <c r="AE310" s="123"/>
      <c r="AF310" s="123"/>
      <c r="AG310" s="123"/>
      <c r="AL310" s="115"/>
      <c r="AM310" s="115"/>
      <c r="AN310" s="115"/>
      <c r="AO310" s="115"/>
      <c r="AP310" s="115"/>
      <c r="AQ310" s="115"/>
      <c r="AR310" s="115"/>
      <c r="AS310" s="115"/>
      <c r="AT310" s="115"/>
      <c r="AU310" s="115"/>
      <c r="AV310" s="13"/>
      <c r="AW310" s="13"/>
      <c r="AZ310" s="114"/>
    </row>
    <row r="311" spans="1:52" ht="19.5" x14ac:dyDescent="0.4">
      <c r="A311" s="117"/>
      <c r="B311" s="123"/>
      <c r="C311" s="123"/>
      <c r="D311" s="123"/>
      <c r="F311" s="115"/>
      <c r="G311" s="115"/>
      <c r="H311" s="115"/>
      <c r="I311" s="115"/>
      <c r="J311" s="115"/>
      <c r="K311" s="115"/>
      <c r="L311" s="115"/>
      <c r="M311" s="26"/>
      <c r="N311" s="13"/>
      <c r="O311" s="115"/>
      <c r="P311" s="115"/>
      <c r="Q311" s="115"/>
      <c r="R311" s="115"/>
      <c r="S311" s="115"/>
      <c r="T311" s="115"/>
      <c r="U311" s="115"/>
      <c r="V311" s="115"/>
      <c r="W311" s="115"/>
      <c r="X311" s="25">
        <v>45686</v>
      </c>
      <c r="Y311" s="15" t="s">
        <v>148</v>
      </c>
      <c r="AD311" s="117"/>
      <c r="AE311" s="123"/>
      <c r="AF311" s="123"/>
      <c r="AG311" s="123"/>
      <c r="AL311" s="115"/>
      <c r="AM311" s="115"/>
      <c r="AN311" s="115"/>
      <c r="AO311" s="115"/>
      <c r="AP311" s="115"/>
      <c r="AQ311" s="115"/>
      <c r="AR311" s="115"/>
      <c r="AS311" s="115"/>
      <c r="AT311" s="115"/>
      <c r="AU311" s="115"/>
      <c r="AV311" s="13"/>
      <c r="AW311" s="13"/>
      <c r="AZ311" s="114"/>
    </row>
    <row r="312" spans="1:52" ht="19.5" x14ac:dyDescent="0.4">
      <c r="A312" s="117"/>
      <c r="B312" s="123"/>
      <c r="C312" s="123"/>
      <c r="D312" s="123"/>
      <c r="F312" s="115"/>
      <c r="G312" s="115"/>
      <c r="H312" s="115"/>
      <c r="I312" s="115"/>
      <c r="J312" s="115"/>
      <c r="K312" s="115"/>
      <c r="L312" s="115"/>
      <c r="M312" s="26"/>
      <c r="N312" s="13"/>
      <c r="O312" s="115"/>
      <c r="P312" s="115"/>
      <c r="Q312" s="115"/>
      <c r="R312" s="115"/>
      <c r="S312" s="115"/>
      <c r="T312" s="115"/>
      <c r="U312" s="115"/>
      <c r="V312" s="115"/>
      <c r="W312" s="115"/>
      <c r="X312" s="25">
        <v>45686</v>
      </c>
      <c r="Y312" s="15" t="s">
        <v>148</v>
      </c>
      <c r="AD312" s="117"/>
      <c r="AE312" s="123"/>
      <c r="AF312" s="123"/>
      <c r="AG312" s="123"/>
      <c r="AL312" s="115"/>
      <c r="AM312" s="115"/>
      <c r="AN312" s="115"/>
      <c r="AO312" s="115"/>
      <c r="AP312" s="115"/>
      <c r="AQ312" s="115"/>
      <c r="AR312" s="115"/>
      <c r="AS312" s="115"/>
      <c r="AT312" s="115"/>
      <c r="AU312" s="115"/>
      <c r="AV312" s="13"/>
      <c r="AW312" s="13"/>
      <c r="AZ312" s="114"/>
    </row>
    <row r="313" spans="1:52" ht="19.5" x14ac:dyDescent="0.4">
      <c r="A313" s="117"/>
      <c r="B313" s="123"/>
      <c r="C313" s="123"/>
      <c r="D313" s="123"/>
      <c r="F313" s="115"/>
      <c r="G313" s="115"/>
      <c r="H313" s="115"/>
      <c r="I313" s="115"/>
      <c r="J313" s="115"/>
      <c r="K313" s="115"/>
      <c r="L313" s="115"/>
      <c r="M313" s="26"/>
      <c r="N313" s="13"/>
      <c r="O313" s="115"/>
      <c r="P313" s="115"/>
      <c r="Q313" s="115"/>
      <c r="R313" s="115"/>
      <c r="S313" s="115"/>
      <c r="T313" s="115"/>
      <c r="U313" s="115"/>
      <c r="V313" s="115"/>
      <c r="W313" s="115"/>
      <c r="X313" s="25">
        <v>45686</v>
      </c>
      <c r="Y313" s="15" t="s">
        <v>148</v>
      </c>
      <c r="AD313" s="117"/>
      <c r="AE313" s="123"/>
      <c r="AF313" s="123"/>
      <c r="AG313" s="123"/>
      <c r="AL313" s="115"/>
      <c r="AM313" s="115"/>
      <c r="AN313" s="115"/>
      <c r="AO313" s="115"/>
      <c r="AP313" s="115"/>
      <c r="AQ313" s="115"/>
      <c r="AR313" s="115"/>
      <c r="AS313" s="115"/>
      <c r="AT313" s="115"/>
      <c r="AU313" s="115"/>
      <c r="AV313" s="13"/>
      <c r="AW313" s="13"/>
      <c r="AZ313" s="114"/>
    </row>
    <row r="314" spans="1:52" ht="19.5" x14ac:dyDescent="0.4">
      <c r="A314" s="117"/>
      <c r="B314" s="123"/>
      <c r="C314" s="123"/>
      <c r="D314" s="123"/>
      <c r="F314" s="115"/>
      <c r="G314" s="115"/>
      <c r="H314" s="115"/>
      <c r="I314" s="115"/>
      <c r="J314" s="115"/>
      <c r="K314" s="115"/>
      <c r="L314" s="115"/>
      <c r="M314" s="26"/>
      <c r="N314" s="13"/>
      <c r="O314" s="115"/>
      <c r="P314" s="115"/>
      <c r="Q314" s="115"/>
      <c r="R314" s="115"/>
      <c r="S314" s="115"/>
      <c r="T314" s="115"/>
      <c r="U314" s="115"/>
      <c r="V314" s="115"/>
      <c r="W314" s="115"/>
      <c r="X314" s="25">
        <v>45686</v>
      </c>
      <c r="Y314" s="15" t="s">
        <v>146</v>
      </c>
      <c r="AD314" s="117"/>
      <c r="AE314" s="123"/>
      <c r="AF314" s="123"/>
      <c r="AG314" s="123"/>
      <c r="AL314" s="115"/>
      <c r="AM314" s="115"/>
      <c r="AN314" s="115"/>
      <c r="AO314" s="115"/>
      <c r="AP314" s="115"/>
      <c r="AQ314" s="115"/>
      <c r="AR314" s="115"/>
      <c r="AS314" s="115"/>
      <c r="AT314" s="115"/>
      <c r="AU314" s="115"/>
      <c r="AV314" s="13"/>
      <c r="AW314" s="13"/>
      <c r="AZ314" s="114"/>
    </row>
    <row r="315" spans="1:52" ht="19.5" x14ac:dyDescent="0.4">
      <c r="A315" s="117"/>
      <c r="B315" s="123"/>
      <c r="C315" s="123"/>
      <c r="D315" s="123"/>
      <c r="F315" s="115"/>
      <c r="G315" s="115"/>
      <c r="H315" s="115"/>
      <c r="I315" s="115"/>
      <c r="J315" s="115"/>
      <c r="K315" s="115"/>
      <c r="L315" s="115"/>
      <c r="M315" s="26"/>
      <c r="N315" s="13"/>
      <c r="O315" s="115"/>
      <c r="P315" s="115"/>
      <c r="Q315" s="115"/>
      <c r="R315" s="115"/>
      <c r="S315" s="115"/>
      <c r="T315" s="115"/>
      <c r="U315" s="115"/>
      <c r="V315" s="115"/>
      <c r="W315" s="115"/>
      <c r="X315" s="25">
        <v>45686</v>
      </c>
      <c r="Y315" s="15" t="s">
        <v>148</v>
      </c>
      <c r="AD315" s="117"/>
      <c r="AE315" s="123"/>
      <c r="AF315" s="123"/>
      <c r="AG315" s="123"/>
      <c r="AL315" s="115"/>
      <c r="AM315" s="115"/>
      <c r="AN315" s="115"/>
      <c r="AO315" s="115"/>
      <c r="AP315" s="115"/>
      <c r="AQ315" s="115"/>
      <c r="AR315" s="115"/>
      <c r="AS315" s="115"/>
      <c r="AT315" s="115"/>
      <c r="AU315" s="115"/>
      <c r="AV315" s="13"/>
      <c r="AW315" s="13"/>
      <c r="AZ315" s="114"/>
    </row>
    <row r="316" spans="1:52" ht="19.5" x14ac:dyDescent="0.4">
      <c r="A316" s="117"/>
      <c r="B316" s="123"/>
      <c r="C316" s="123"/>
      <c r="D316" s="123"/>
      <c r="F316" s="115"/>
      <c r="G316" s="115"/>
      <c r="H316" s="115"/>
      <c r="I316" s="115"/>
      <c r="J316" s="115"/>
      <c r="K316" s="115"/>
      <c r="L316" s="115"/>
      <c r="M316" s="26"/>
      <c r="N316" s="13"/>
      <c r="O316" s="115"/>
      <c r="P316" s="115"/>
      <c r="Q316" s="115"/>
      <c r="R316" s="115"/>
      <c r="S316" s="115"/>
      <c r="T316" s="115"/>
      <c r="U316" s="115"/>
      <c r="V316" s="115"/>
      <c r="W316" s="115"/>
      <c r="X316" s="25">
        <v>45689</v>
      </c>
      <c r="Y316" s="15" t="s">
        <v>147</v>
      </c>
      <c r="AD316" s="117"/>
      <c r="AE316" s="123"/>
      <c r="AF316" s="123"/>
      <c r="AG316" s="123"/>
      <c r="AL316" s="115"/>
      <c r="AM316" s="115"/>
      <c r="AN316" s="115"/>
      <c r="AO316" s="115"/>
      <c r="AP316" s="115"/>
      <c r="AQ316" s="115"/>
      <c r="AR316" s="115"/>
      <c r="AS316" s="115"/>
      <c r="AT316" s="115"/>
      <c r="AU316" s="115"/>
      <c r="AV316" s="13"/>
      <c r="AW316" s="13"/>
      <c r="AZ316" s="114"/>
    </row>
    <row r="317" spans="1:52" ht="19.5" x14ac:dyDescent="0.4">
      <c r="A317" s="117"/>
      <c r="B317" s="123"/>
      <c r="C317" s="123"/>
      <c r="D317" s="123"/>
      <c r="F317" s="115"/>
      <c r="G317" s="115"/>
      <c r="H317" s="115"/>
      <c r="I317" s="115"/>
      <c r="J317" s="115"/>
      <c r="K317" s="115"/>
      <c r="L317" s="115"/>
      <c r="M317" s="26"/>
      <c r="N317" s="13"/>
      <c r="O317" s="115"/>
      <c r="P317" s="115"/>
      <c r="Q317" s="115"/>
      <c r="R317" s="115"/>
      <c r="S317" s="115"/>
      <c r="T317" s="115"/>
      <c r="U317" s="115"/>
      <c r="V317" s="115"/>
      <c r="W317" s="115"/>
      <c r="X317" s="25"/>
      <c r="Y317" s="15"/>
      <c r="AD317" s="117"/>
      <c r="AE317" s="123"/>
      <c r="AF317" s="123"/>
      <c r="AG317" s="123"/>
      <c r="AL317" s="115"/>
      <c r="AM317" s="115"/>
      <c r="AN317" s="115"/>
      <c r="AO317" s="115"/>
      <c r="AP317" s="115"/>
      <c r="AQ317" s="115"/>
      <c r="AR317" s="115"/>
      <c r="AS317" s="115"/>
      <c r="AT317" s="115"/>
      <c r="AU317" s="115"/>
      <c r="AV317" s="13"/>
      <c r="AW317" s="13"/>
      <c r="AZ317" s="114"/>
    </row>
    <row r="318" spans="1:52" ht="19.5" x14ac:dyDescent="0.4">
      <c r="A318" s="117"/>
      <c r="B318" s="123"/>
      <c r="C318" s="123"/>
      <c r="D318" s="123"/>
      <c r="F318" s="115"/>
      <c r="G318" s="115"/>
      <c r="H318" s="115"/>
      <c r="I318" s="115"/>
      <c r="J318" s="115"/>
      <c r="K318" s="115"/>
      <c r="L318" s="115"/>
      <c r="M318" s="26"/>
      <c r="N318" s="13"/>
      <c r="O318" s="115"/>
      <c r="P318" s="115"/>
      <c r="Q318" s="115"/>
      <c r="R318" s="115"/>
      <c r="S318" s="115"/>
      <c r="T318" s="115"/>
      <c r="U318" s="115"/>
      <c r="V318" s="115"/>
      <c r="W318" s="115"/>
      <c r="X318" s="25">
        <v>45689</v>
      </c>
      <c r="Y318" s="15" t="s">
        <v>147</v>
      </c>
      <c r="AD318" s="117"/>
      <c r="AE318" s="123"/>
      <c r="AF318" s="123"/>
      <c r="AG318" s="123"/>
      <c r="AL318" s="115"/>
      <c r="AM318" s="115"/>
      <c r="AN318" s="115"/>
      <c r="AO318" s="115"/>
      <c r="AP318" s="115"/>
      <c r="AQ318" s="115"/>
      <c r="AR318" s="115"/>
      <c r="AS318" s="115"/>
      <c r="AT318" s="115"/>
      <c r="AU318" s="115"/>
      <c r="AV318" s="13"/>
      <c r="AW318" s="13"/>
      <c r="AZ318" s="114"/>
    </row>
    <row r="319" spans="1:52" ht="19.5" x14ac:dyDescent="0.4">
      <c r="A319" s="117"/>
      <c r="B319" s="123"/>
      <c r="C319" s="123"/>
      <c r="D319" s="123"/>
      <c r="M319" s="26"/>
      <c r="N319" s="13"/>
      <c r="X319" s="25">
        <v>45689</v>
      </c>
      <c r="Y319" s="15" t="s">
        <v>146</v>
      </c>
      <c r="AD319" s="117"/>
      <c r="AE319" s="123"/>
      <c r="AF319" s="123"/>
      <c r="AG319" s="123"/>
      <c r="AI319" s="115"/>
      <c r="AJ319" s="115"/>
      <c r="AK319" s="115"/>
      <c r="AL319" s="115"/>
      <c r="AM319" s="115"/>
      <c r="AN319" s="115"/>
      <c r="AO319" s="115"/>
      <c r="AP319" s="115"/>
      <c r="AQ319" s="115"/>
      <c r="AR319" s="115"/>
      <c r="AS319" s="115"/>
      <c r="AT319" s="115"/>
      <c r="AU319" s="115"/>
      <c r="AV319" s="25">
        <v>45266</v>
      </c>
      <c r="AW319" s="25" t="s">
        <v>162</v>
      </c>
      <c r="AZ319" s="114"/>
    </row>
    <row r="320" spans="1:52" ht="19.5" x14ac:dyDescent="0.4">
      <c r="A320" s="117"/>
      <c r="B320" s="123"/>
      <c r="C320" s="123"/>
      <c r="D320" s="123"/>
      <c r="M320" s="129"/>
      <c r="N320" s="13"/>
      <c r="X320" s="25"/>
      <c r="Y320" s="15"/>
      <c r="AD320" s="117"/>
      <c r="AE320" s="123"/>
      <c r="AF320" s="123"/>
      <c r="AG320" s="123"/>
      <c r="AI320" s="115"/>
      <c r="AJ320" s="115"/>
      <c r="AK320" s="115"/>
      <c r="AL320" s="115"/>
      <c r="AM320" s="115"/>
      <c r="AN320" s="115"/>
      <c r="AO320" s="115"/>
      <c r="AP320" s="115"/>
      <c r="AQ320" s="115"/>
      <c r="AR320" s="115"/>
      <c r="AS320" s="115"/>
      <c r="AT320" s="115"/>
      <c r="AU320" s="115"/>
      <c r="AV320" s="25"/>
      <c r="AW320" s="25"/>
      <c r="AZ320" s="114"/>
    </row>
    <row r="321" spans="1:52" ht="19.5" x14ac:dyDescent="0.4">
      <c r="A321" s="117"/>
      <c r="B321" s="123"/>
      <c r="C321" s="123"/>
      <c r="D321" s="123"/>
      <c r="M321" s="26"/>
      <c r="N321" s="13"/>
      <c r="O321" s="115"/>
      <c r="P321" s="115"/>
      <c r="Q321" s="115"/>
      <c r="R321" s="115"/>
      <c r="S321" s="115"/>
      <c r="T321" s="115"/>
      <c r="U321" s="115"/>
      <c r="V321" s="115"/>
      <c r="W321" s="115"/>
      <c r="X321" s="25">
        <v>45689</v>
      </c>
      <c r="Y321" s="15" t="s">
        <v>146</v>
      </c>
      <c r="AD321" s="117"/>
      <c r="AE321" s="123"/>
      <c r="AF321" s="123"/>
      <c r="AG321" s="123"/>
      <c r="AI321" s="115"/>
      <c r="AJ321" s="115"/>
      <c r="AK321" s="115"/>
      <c r="AL321" s="115"/>
      <c r="AM321" s="115"/>
      <c r="AN321" s="115"/>
      <c r="AO321" s="115"/>
      <c r="AP321" s="115"/>
      <c r="AQ321" s="115"/>
      <c r="AR321" s="115"/>
      <c r="AS321" s="115"/>
      <c r="AT321" s="115"/>
      <c r="AU321" s="115"/>
      <c r="AV321" s="25"/>
      <c r="AW321" s="25"/>
      <c r="AZ321" s="114"/>
    </row>
    <row r="322" spans="1:52" ht="19.5" x14ac:dyDescent="0.4">
      <c r="A322" s="117"/>
      <c r="B322" s="123"/>
      <c r="C322" s="123"/>
      <c r="D322" s="123"/>
      <c r="G322" s="115"/>
      <c r="H322" s="115"/>
      <c r="I322" s="115"/>
      <c r="J322" s="115"/>
      <c r="K322" s="115"/>
      <c r="L322" s="115"/>
      <c r="M322" s="26"/>
      <c r="N322" s="13"/>
      <c r="O322" s="115"/>
      <c r="P322" s="115"/>
      <c r="Q322" s="115"/>
      <c r="R322" s="115"/>
      <c r="S322" s="115"/>
      <c r="T322" s="115"/>
      <c r="U322" s="115"/>
      <c r="V322" s="115"/>
      <c r="W322" s="115"/>
      <c r="X322" s="25"/>
      <c r="Y322" s="15"/>
      <c r="AD322" s="117"/>
      <c r="AE322" s="123"/>
      <c r="AF322" s="123"/>
      <c r="AG322" s="123"/>
      <c r="AI322" s="115"/>
      <c r="AJ322" s="115"/>
      <c r="AK322" s="115"/>
      <c r="AL322" s="115"/>
      <c r="AM322" s="115"/>
      <c r="AN322" s="115"/>
      <c r="AO322" s="115"/>
      <c r="AP322" s="115"/>
      <c r="AQ322" s="115"/>
      <c r="AR322" s="115"/>
      <c r="AS322" s="115"/>
      <c r="AT322" s="115"/>
      <c r="AU322" s="115"/>
      <c r="AV322" s="25"/>
      <c r="AW322" s="25"/>
      <c r="AZ322" s="114"/>
    </row>
    <row r="323" spans="1:52" ht="19.5" x14ac:dyDescent="0.4">
      <c r="A323" s="117"/>
      <c r="B323" s="123"/>
      <c r="C323" s="123"/>
      <c r="D323" s="123"/>
      <c r="G323" s="115"/>
      <c r="H323" s="115"/>
      <c r="I323" s="115"/>
      <c r="J323" s="115"/>
      <c r="K323" s="115"/>
      <c r="L323" s="115"/>
      <c r="M323" s="26"/>
      <c r="N323" s="13"/>
      <c r="O323" s="115"/>
      <c r="P323" s="115"/>
      <c r="Q323" s="115"/>
      <c r="R323" s="115"/>
      <c r="S323" s="115"/>
      <c r="T323" s="115"/>
      <c r="U323" s="115"/>
      <c r="V323" s="115"/>
      <c r="W323" s="115"/>
      <c r="X323" s="25"/>
      <c r="Y323" s="15"/>
      <c r="AD323" s="117"/>
      <c r="AE323" s="123"/>
      <c r="AF323" s="123"/>
      <c r="AG323" s="123"/>
      <c r="AI323" s="115"/>
      <c r="AJ323" s="115"/>
      <c r="AK323" s="115"/>
      <c r="AL323" s="115"/>
      <c r="AM323" s="115"/>
      <c r="AN323" s="115"/>
      <c r="AO323" s="115"/>
      <c r="AP323" s="115"/>
      <c r="AQ323" s="115"/>
      <c r="AR323" s="115"/>
      <c r="AS323" s="115"/>
      <c r="AT323" s="115"/>
      <c r="AU323" s="115"/>
      <c r="AV323" s="25"/>
      <c r="AW323" s="25"/>
      <c r="AZ323" s="114"/>
    </row>
    <row r="324" spans="1:52" ht="19.5" x14ac:dyDescent="0.4">
      <c r="A324" s="117"/>
      <c r="B324" s="123"/>
      <c r="C324" s="123"/>
      <c r="D324" s="123"/>
      <c r="M324" s="26"/>
      <c r="N324" s="13"/>
      <c r="O324" s="115"/>
      <c r="P324" s="115"/>
      <c r="Q324" s="115"/>
      <c r="R324" s="115"/>
      <c r="S324" s="115"/>
      <c r="T324" s="115"/>
      <c r="U324" s="115"/>
      <c r="V324" s="115"/>
      <c r="W324" s="115"/>
      <c r="X324" s="25">
        <v>45690</v>
      </c>
      <c r="Y324" s="15" t="s">
        <v>146</v>
      </c>
      <c r="AD324" s="117"/>
      <c r="AE324" s="123"/>
      <c r="AF324" s="123"/>
      <c r="AG324" s="123"/>
      <c r="AI324" s="115"/>
      <c r="AJ324" s="115"/>
      <c r="AK324" s="115"/>
      <c r="AL324" s="115"/>
      <c r="AM324" s="115"/>
      <c r="AN324" s="115"/>
      <c r="AO324" s="115"/>
      <c r="AP324" s="115"/>
      <c r="AQ324" s="115"/>
      <c r="AR324" s="115"/>
      <c r="AS324" s="115"/>
      <c r="AT324" s="115"/>
      <c r="AU324" s="115"/>
      <c r="AV324" s="25"/>
      <c r="AW324" s="25"/>
      <c r="AZ324" s="114"/>
    </row>
    <row r="325" spans="1:52" ht="19.5" x14ac:dyDescent="0.4">
      <c r="A325" s="117"/>
      <c r="B325" s="123"/>
      <c r="C325" s="123"/>
      <c r="D325" s="123"/>
      <c r="G325" s="115"/>
      <c r="H325" s="115"/>
      <c r="I325" s="115"/>
      <c r="J325" s="115"/>
      <c r="K325" s="115"/>
      <c r="L325" s="115"/>
      <c r="M325" s="26"/>
      <c r="N325" s="13"/>
      <c r="O325" s="115"/>
      <c r="P325" s="115"/>
      <c r="Q325" s="115"/>
      <c r="R325" s="115"/>
      <c r="S325" s="115"/>
      <c r="T325" s="115"/>
      <c r="U325" s="115"/>
      <c r="V325" s="115"/>
      <c r="W325" s="115"/>
      <c r="X325" s="25"/>
      <c r="Y325" s="15"/>
      <c r="AD325" s="117"/>
      <c r="AE325" s="123"/>
      <c r="AF325" s="123"/>
      <c r="AG325" s="123"/>
      <c r="AI325" s="115"/>
      <c r="AJ325" s="115"/>
      <c r="AK325" s="115"/>
      <c r="AL325" s="115"/>
      <c r="AM325" s="115"/>
      <c r="AN325" s="115"/>
      <c r="AO325" s="115"/>
      <c r="AP325" s="115"/>
      <c r="AQ325" s="115"/>
      <c r="AR325" s="115"/>
      <c r="AS325" s="115"/>
      <c r="AT325" s="115"/>
      <c r="AU325" s="115"/>
      <c r="AV325" s="25"/>
      <c r="AW325" s="25"/>
      <c r="AZ325" s="114"/>
    </row>
    <row r="326" spans="1:52" ht="19.5" x14ac:dyDescent="0.4">
      <c r="A326" s="117"/>
      <c r="B326" s="123"/>
      <c r="C326" s="123"/>
      <c r="D326" s="123"/>
      <c r="M326" s="26"/>
      <c r="N326" s="13"/>
      <c r="O326" s="115"/>
      <c r="P326" s="115"/>
      <c r="Q326" s="115"/>
      <c r="R326" s="115"/>
      <c r="S326" s="115"/>
      <c r="T326" s="115"/>
      <c r="U326" s="115"/>
      <c r="V326" s="115"/>
      <c r="W326" s="115"/>
      <c r="X326" s="25">
        <v>45691</v>
      </c>
      <c r="Y326" s="15" t="s">
        <v>146</v>
      </c>
      <c r="AD326" s="117"/>
      <c r="AE326" s="123"/>
      <c r="AF326" s="123"/>
      <c r="AG326" s="123"/>
      <c r="AI326" s="115"/>
      <c r="AJ326" s="115"/>
      <c r="AK326" s="115"/>
      <c r="AL326" s="115"/>
      <c r="AM326" s="115"/>
      <c r="AN326" s="115"/>
      <c r="AO326" s="115"/>
      <c r="AP326" s="115"/>
      <c r="AQ326" s="115"/>
      <c r="AR326" s="115"/>
      <c r="AS326" s="115"/>
      <c r="AT326" s="115"/>
      <c r="AU326" s="115"/>
      <c r="AV326" s="25"/>
      <c r="AW326" s="25"/>
      <c r="AZ326" s="114"/>
    </row>
    <row r="327" spans="1:52" ht="19.5" x14ac:dyDescent="0.4">
      <c r="A327" s="117"/>
      <c r="B327" s="123"/>
      <c r="C327" s="123"/>
      <c r="D327" s="123"/>
      <c r="M327" s="26"/>
      <c r="N327" s="13"/>
      <c r="X327" s="25">
        <v>45691</v>
      </c>
      <c r="Y327" s="15" t="s">
        <v>146</v>
      </c>
      <c r="AD327" s="117"/>
      <c r="AE327" s="123"/>
      <c r="AF327" s="123"/>
      <c r="AG327" s="123"/>
      <c r="AI327" s="115"/>
      <c r="AJ327" s="115"/>
      <c r="AK327" s="115"/>
      <c r="AL327" s="115"/>
      <c r="AM327" s="115"/>
      <c r="AN327" s="115"/>
      <c r="AO327" s="115"/>
      <c r="AP327" s="115"/>
      <c r="AQ327" s="115"/>
      <c r="AR327" s="115"/>
      <c r="AS327" s="115"/>
      <c r="AT327" s="115"/>
      <c r="AU327" s="115" t="s">
        <v>156</v>
      </c>
      <c r="AV327" s="13">
        <f>SUBTOTAL(3,AV319:AV319)</f>
        <v>1</v>
      </c>
      <c r="AW327" s="13">
        <f>SUBTOTAL(3,AW319:AW319)</f>
        <v>1</v>
      </c>
      <c r="AZ327" s="114"/>
    </row>
    <row r="328" spans="1:52" ht="19.5" x14ac:dyDescent="0.4">
      <c r="A328" s="117"/>
      <c r="B328" s="123"/>
      <c r="C328" s="123"/>
      <c r="D328" s="123"/>
      <c r="M328" s="26"/>
      <c r="N328" s="13"/>
      <c r="T328" s="115"/>
      <c r="U328" s="115"/>
      <c r="V328" s="115"/>
      <c r="W328" s="115"/>
      <c r="X328" s="25">
        <v>45691</v>
      </c>
      <c r="Y328" s="15" t="s">
        <v>146</v>
      </c>
      <c r="AD328" s="117"/>
      <c r="AE328" s="123"/>
      <c r="AF328" s="123"/>
      <c r="AG328" s="123"/>
      <c r="AI328" s="115"/>
      <c r="AJ328" s="115"/>
      <c r="AK328" s="115"/>
      <c r="AL328" s="115"/>
      <c r="AM328" s="115"/>
      <c r="AN328" s="115"/>
      <c r="AO328" s="115"/>
      <c r="AP328" s="115"/>
      <c r="AQ328" s="115"/>
      <c r="AR328" s="115"/>
      <c r="AS328" s="115"/>
      <c r="AT328" s="115"/>
      <c r="AU328" s="115"/>
      <c r="AV328" s="13"/>
      <c r="AW328" s="13"/>
      <c r="AZ328" s="114"/>
    </row>
    <row r="329" spans="1:52" ht="19.5" x14ac:dyDescent="0.4">
      <c r="A329" s="117"/>
      <c r="B329" s="123"/>
      <c r="C329" s="123"/>
      <c r="D329" s="123"/>
      <c r="G329" s="115"/>
      <c r="H329" s="115"/>
      <c r="I329" s="115"/>
      <c r="J329" s="115"/>
      <c r="K329" s="115"/>
      <c r="L329" s="115"/>
      <c r="M329" s="26"/>
      <c r="N329" s="13"/>
      <c r="T329" s="115"/>
      <c r="U329" s="115"/>
      <c r="V329" s="115"/>
      <c r="W329" s="115"/>
      <c r="X329" s="25"/>
      <c r="Y329" s="15"/>
      <c r="AD329" s="117"/>
      <c r="AE329" s="123"/>
      <c r="AF329" s="123"/>
      <c r="AG329" s="123"/>
      <c r="AI329" s="115"/>
      <c r="AJ329" s="115"/>
      <c r="AK329" s="115"/>
      <c r="AL329" s="115"/>
      <c r="AM329" s="115"/>
      <c r="AN329" s="115"/>
      <c r="AO329" s="115"/>
      <c r="AP329" s="115"/>
      <c r="AQ329" s="115"/>
      <c r="AR329" s="115"/>
      <c r="AS329" s="115"/>
      <c r="AT329" s="115"/>
      <c r="AU329" s="115"/>
      <c r="AV329" s="13"/>
      <c r="AW329" s="13"/>
      <c r="AZ329" s="114"/>
    </row>
    <row r="330" spans="1:52" ht="19.5" x14ac:dyDescent="0.4">
      <c r="A330" s="117"/>
      <c r="B330" s="123"/>
      <c r="C330" s="123"/>
      <c r="D330" s="123"/>
      <c r="M330" s="26"/>
      <c r="N330" s="13"/>
      <c r="O330" s="115"/>
      <c r="P330" s="115"/>
      <c r="Q330" s="115"/>
      <c r="R330" s="115"/>
      <c r="S330" s="115"/>
      <c r="T330" s="115"/>
      <c r="U330" s="115"/>
      <c r="V330" s="115"/>
      <c r="W330" s="115"/>
      <c r="X330" s="25">
        <v>45691</v>
      </c>
      <c r="Y330" s="15" t="s">
        <v>146</v>
      </c>
      <c r="AD330" s="117"/>
      <c r="AE330" s="123"/>
      <c r="AF330" s="123"/>
      <c r="AG330" s="123"/>
      <c r="AI330" s="115"/>
      <c r="AJ330" s="115"/>
      <c r="AK330" s="115"/>
      <c r="AL330" s="115"/>
      <c r="AM330" s="115"/>
      <c r="AN330" s="115"/>
      <c r="AO330" s="115"/>
      <c r="AP330" s="115"/>
      <c r="AQ330" s="115"/>
      <c r="AR330" s="115"/>
      <c r="AS330" s="115"/>
      <c r="AT330" s="115"/>
      <c r="AU330" s="115"/>
      <c r="AV330" s="13"/>
      <c r="AW330" s="13"/>
      <c r="AZ330" s="114"/>
    </row>
    <row r="331" spans="1:5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26"/>
      <c r="N331" s="13"/>
      <c r="O331" s="115"/>
      <c r="P331" s="115"/>
      <c r="Q331" s="115"/>
      <c r="R331" s="115"/>
      <c r="S331" s="115"/>
      <c r="T331" s="115"/>
      <c r="U331" s="115"/>
      <c r="V331" s="115"/>
      <c r="W331" s="115"/>
      <c r="X331" s="25"/>
      <c r="Y331" s="15"/>
      <c r="AD331" s="117"/>
      <c r="AE331" s="123"/>
      <c r="AF331" s="123"/>
      <c r="AG331" s="123"/>
      <c r="AI331" s="115"/>
      <c r="AJ331" s="115"/>
      <c r="AK331" s="115"/>
      <c r="AL331" s="115"/>
      <c r="AM331" s="115"/>
      <c r="AN331" s="115"/>
      <c r="AO331" s="115"/>
      <c r="AP331" s="115"/>
      <c r="AQ331" s="115"/>
      <c r="AR331" s="115"/>
      <c r="AS331" s="115"/>
      <c r="AT331" s="115"/>
      <c r="AU331" s="115"/>
      <c r="AV331" s="13"/>
      <c r="AW331" s="13"/>
      <c r="AZ331" s="114"/>
    </row>
    <row r="332" spans="1:52" ht="19.5" x14ac:dyDescent="0.4">
      <c r="A332" s="117"/>
      <c r="B332" s="123"/>
      <c r="C332" s="123"/>
      <c r="D332" s="123"/>
      <c r="G332" s="115"/>
      <c r="H332" s="115"/>
      <c r="I332" s="115"/>
      <c r="J332" s="115"/>
      <c r="K332" s="115"/>
      <c r="L332" s="115"/>
      <c r="M332" s="26"/>
      <c r="N332" s="13"/>
      <c r="O332" s="115"/>
      <c r="P332" s="115"/>
      <c r="Q332" s="115"/>
      <c r="R332" s="115"/>
      <c r="S332" s="115"/>
      <c r="T332" s="115"/>
      <c r="U332" s="115"/>
      <c r="V332" s="115"/>
      <c r="W332" s="115"/>
      <c r="X332" s="25"/>
      <c r="Y332" s="15"/>
      <c r="AD332" s="117"/>
      <c r="AE332" s="123"/>
      <c r="AF332" s="123"/>
      <c r="AG332" s="123"/>
      <c r="AI332" s="115"/>
      <c r="AJ332" s="115"/>
      <c r="AK332" s="115"/>
      <c r="AL332" s="115"/>
      <c r="AM332" s="115"/>
      <c r="AN332" s="115"/>
      <c r="AO332" s="115"/>
      <c r="AP332" s="115"/>
      <c r="AQ332" s="115"/>
      <c r="AR332" s="115"/>
      <c r="AS332" s="115"/>
      <c r="AT332" s="115"/>
      <c r="AU332" s="115"/>
      <c r="AV332" s="13"/>
      <c r="AW332" s="13"/>
      <c r="AZ332" s="114"/>
    </row>
    <row r="333" spans="1:52" ht="19.5" x14ac:dyDescent="0.4">
      <c r="A333" s="117"/>
      <c r="B333" s="123"/>
      <c r="C333" s="123"/>
      <c r="D333" s="123"/>
      <c r="G333" s="115"/>
      <c r="H333" s="115"/>
      <c r="I333" s="115"/>
      <c r="J333" s="115"/>
      <c r="K333" s="115"/>
      <c r="L333" s="115"/>
      <c r="M333" s="26"/>
      <c r="N333" s="13"/>
      <c r="O333" s="115"/>
      <c r="P333" s="115"/>
      <c r="Q333" s="115"/>
      <c r="R333" s="115"/>
      <c r="S333" s="115"/>
      <c r="T333" s="115"/>
      <c r="U333" s="115"/>
      <c r="V333" s="115"/>
      <c r="W333" s="115"/>
      <c r="X333" s="25"/>
      <c r="Y333" s="15"/>
      <c r="AD333" s="117"/>
      <c r="AE333" s="123"/>
      <c r="AF333" s="123"/>
      <c r="AG333" s="123"/>
      <c r="AI333" s="115"/>
      <c r="AJ333" s="115"/>
      <c r="AK333" s="115"/>
      <c r="AL333" s="115"/>
      <c r="AM333" s="115"/>
      <c r="AN333" s="115"/>
      <c r="AO333" s="115"/>
      <c r="AP333" s="115"/>
      <c r="AQ333" s="115"/>
      <c r="AR333" s="115"/>
      <c r="AS333" s="115"/>
      <c r="AT333" s="115"/>
      <c r="AU333" s="115"/>
      <c r="AV333" s="13"/>
      <c r="AW333" s="13"/>
      <c r="AZ333" s="114"/>
    </row>
    <row r="334" spans="1:52" ht="19.5" x14ac:dyDescent="0.4">
      <c r="A334" s="117"/>
      <c r="B334" s="123"/>
      <c r="C334" s="123"/>
      <c r="D334" s="123"/>
      <c r="G334" s="115"/>
      <c r="H334" s="115"/>
      <c r="I334" s="115"/>
      <c r="J334" s="115"/>
      <c r="K334" s="115"/>
      <c r="L334" s="115"/>
      <c r="M334" s="129"/>
      <c r="N334" s="13"/>
      <c r="O334" s="115"/>
      <c r="P334" s="115"/>
      <c r="Q334" s="115"/>
      <c r="R334" s="115"/>
      <c r="S334" s="115"/>
      <c r="T334" s="115"/>
      <c r="U334" s="115"/>
      <c r="V334" s="115"/>
      <c r="W334" s="115"/>
      <c r="X334" s="25"/>
      <c r="Y334" s="15"/>
      <c r="AD334" s="117"/>
      <c r="AE334" s="123"/>
      <c r="AF334" s="123"/>
      <c r="AG334" s="123"/>
      <c r="AI334" s="115"/>
      <c r="AJ334" s="115"/>
      <c r="AK334" s="115"/>
      <c r="AL334" s="115"/>
      <c r="AM334" s="115"/>
      <c r="AN334" s="115"/>
      <c r="AO334" s="115"/>
      <c r="AP334" s="115"/>
      <c r="AQ334" s="115"/>
      <c r="AR334" s="115"/>
      <c r="AS334" s="115"/>
      <c r="AT334" s="115"/>
      <c r="AU334" s="115"/>
      <c r="AV334" s="13"/>
      <c r="AW334" s="13"/>
      <c r="AZ334" s="114"/>
    </row>
    <row r="335" spans="1:52" ht="19.5" x14ac:dyDescent="0.4">
      <c r="A335" s="117"/>
      <c r="B335" s="123"/>
      <c r="C335" s="123"/>
      <c r="D335" s="123"/>
      <c r="M335" s="26"/>
      <c r="N335" s="13"/>
      <c r="O335" s="115"/>
      <c r="P335" s="115"/>
      <c r="Q335" s="115"/>
      <c r="R335" s="115"/>
      <c r="S335" s="115"/>
      <c r="T335" s="115"/>
      <c r="U335" s="115"/>
      <c r="V335" s="115"/>
      <c r="W335" s="115"/>
      <c r="X335" s="25">
        <v>45692</v>
      </c>
      <c r="Y335" s="15" t="s">
        <v>146</v>
      </c>
      <c r="AD335" s="117"/>
      <c r="AE335" s="123"/>
      <c r="AF335" s="123"/>
      <c r="AG335" s="123"/>
      <c r="AI335" s="115"/>
      <c r="AJ335" s="115"/>
      <c r="AK335" s="115"/>
      <c r="AL335" s="115"/>
      <c r="AM335" s="115"/>
      <c r="AN335" s="115"/>
      <c r="AO335" s="115"/>
      <c r="AP335" s="115"/>
      <c r="AQ335" s="115"/>
      <c r="AR335" s="115"/>
      <c r="AS335" s="115"/>
      <c r="AT335" s="115"/>
      <c r="AU335" s="115"/>
      <c r="AV335" s="13"/>
      <c r="AW335" s="13"/>
      <c r="AZ335" s="114"/>
    </row>
    <row r="336" spans="1:52" ht="19.5" x14ac:dyDescent="0.4">
      <c r="A336" s="117"/>
      <c r="B336" s="123"/>
      <c r="C336" s="123"/>
      <c r="D336" s="123"/>
      <c r="M336" s="129"/>
      <c r="N336" s="13"/>
      <c r="O336" s="115"/>
      <c r="P336" s="115"/>
      <c r="Q336" s="115"/>
      <c r="R336" s="115"/>
      <c r="S336" s="115"/>
      <c r="T336" s="115"/>
      <c r="U336" s="115"/>
      <c r="V336" s="115"/>
      <c r="W336" s="115"/>
      <c r="X336" s="25"/>
      <c r="Y336" s="15"/>
      <c r="AD336" s="117"/>
      <c r="AE336" s="123"/>
      <c r="AF336" s="123"/>
      <c r="AG336" s="123"/>
      <c r="AI336" s="115"/>
      <c r="AJ336" s="115"/>
      <c r="AK336" s="115"/>
      <c r="AL336" s="115"/>
      <c r="AM336" s="115"/>
      <c r="AN336" s="115"/>
      <c r="AO336" s="115"/>
      <c r="AP336" s="115"/>
      <c r="AQ336" s="115"/>
      <c r="AR336" s="115"/>
      <c r="AS336" s="115"/>
      <c r="AT336" s="115"/>
      <c r="AU336" s="115"/>
      <c r="AV336" s="13"/>
      <c r="AW336" s="13"/>
      <c r="AZ336" s="114"/>
    </row>
    <row r="337" spans="1:52" ht="19.5" x14ac:dyDescent="0.4">
      <c r="A337" s="117"/>
      <c r="B337" s="123"/>
      <c r="C337" s="123"/>
      <c r="D337" s="123"/>
      <c r="M337" s="26"/>
      <c r="N337" s="13"/>
      <c r="X337" s="25">
        <v>45692</v>
      </c>
      <c r="Y337" s="15" t="s">
        <v>146</v>
      </c>
      <c r="AD337" s="117"/>
      <c r="AE337" s="123"/>
      <c r="AF337" s="123"/>
      <c r="AG337" s="123"/>
      <c r="AI337" s="115"/>
      <c r="AJ337" s="115"/>
      <c r="AK337" s="115"/>
      <c r="AL337" s="115"/>
      <c r="AM337" s="115"/>
      <c r="AN337" s="115"/>
      <c r="AO337" s="115"/>
      <c r="AP337" s="115"/>
      <c r="AQ337" s="115"/>
      <c r="AR337" s="115"/>
      <c r="AS337" s="115"/>
      <c r="AT337" s="115"/>
      <c r="AU337" s="115"/>
      <c r="AV337" s="25">
        <v>45267</v>
      </c>
      <c r="AW337" s="13" t="s">
        <v>142</v>
      </c>
      <c r="AZ337" s="114"/>
    </row>
    <row r="338" spans="1:52" ht="19.5" x14ac:dyDescent="0.4">
      <c r="A338" s="117"/>
      <c r="B338" s="123"/>
      <c r="C338" s="123"/>
      <c r="D338" s="123"/>
      <c r="M338" s="26"/>
      <c r="N338" s="13"/>
      <c r="T338" s="115"/>
      <c r="U338" s="115"/>
      <c r="V338" s="115"/>
      <c r="W338" s="115"/>
      <c r="X338" s="25">
        <v>45692</v>
      </c>
      <c r="Y338" s="15" t="s">
        <v>146</v>
      </c>
      <c r="AD338" s="117"/>
      <c r="AE338" s="123"/>
      <c r="AF338" s="123"/>
      <c r="AG338" s="123"/>
      <c r="AI338" s="115"/>
      <c r="AJ338" s="115"/>
      <c r="AK338" s="115"/>
      <c r="AL338" s="115"/>
      <c r="AM338" s="115"/>
      <c r="AN338" s="115"/>
      <c r="AO338" s="115"/>
      <c r="AP338" s="115"/>
      <c r="AQ338" s="115"/>
      <c r="AR338" s="115"/>
      <c r="AS338" s="115"/>
      <c r="AT338" s="115"/>
      <c r="AU338" s="115"/>
      <c r="AV338" s="25"/>
      <c r="AW338" s="13"/>
      <c r="AZ338" s="114"/>
    </row>
    <row r="339" spans="1:52" ht="19.5" x14ac:dyDescent="0.4">
      <c r="A339" s="117"/>
      <c r="B339" s="123"/>
      <c r="C339" s="123"/>
      <c r="D339" s="123"/>
      <c r="M339" s="26"/>
      <c r="N339" s="13"/>
      <c r="P339" s="115"/>
      <c r="Q339" s="115"/>
      <c r="R339" s="115"/>
      <c r="S339" s="115"/>
      <c r="T339" s="115"/>
      <c r="U339" s="115"/>
      <c r="V339" s="115"/>
      <c r="W339" s="115"/>
      <c r="X339" s="25">
        <v>45692</v>
      </c>
      <c r="Y339" s="15" t="s">
        <v>146</v>
      </c>
      <c r="AD339" s="117"/>
      <c r="AE339" s="123"/>
      <c r="AF339" s="123"/>
      <c r="AG339" s="123"/>
      <c r="AI339" s="115"/>
      <c r="AJ339" s="115"/>
      <c r="AK339" s="115"/>
      <c r="AL339" s="115"/>
      <c r="AM339" s="115"/>
      <c r="AN339" s="115"/>
      <c r="AO339" s="115"/>
      <c r="AP339" s="115"/>
      <c r="AQ339" s="115"/>
      <c r="AR339" s="115"/>
      <c r="AS339" s="115"/>
      <c r="AT339" s="115"/>
      <c r="AU339" s="115"/>
      <c r="AV339" s="25"/>
      <c r="AW339" s="13"/>
      <c r="AZ339" s="114"/>
    </row>
    <row r="340" spans="1:5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26"/>
      <c r="N340" s="13"/>
      <c r="P340" s="115"/>
      <c r="Q340" s="115"/>
      <c r="R340" s="115"/>
      <c r="S340" s="115"/>
      <c r="T340" s="115"/>
      <c r="U340" s="115"/>
      <c r="V340" s="115"/>
      <c r="W340" s="115"/>
      <c r="X340" s="25"/>
      <c r="Y340" s="15"/>
      <c r="AD340" s="117"/>
      <c r="AE340" s="123"/>
      <c r="AF340" s="123"/>
      <c r="AG340" s="123"/>
      <c r="AI340" s="115"/>
      <c r="AJ340" s="115"/>
      <c r="AK340" s="115"/>
      <c r="AL340" s="115"/>
      <c r="AM340" s="115"/>
      <c r="AN340" s="115"/>
      <c r="AO340" s="115"/>
      <c r="AP340" s="115"/>
      <c r="AQ340" s="115"/>
      <c r="AR340" s="115"/>
      <c r="AS340" s="115"/>
      <c r="AT340" s="115"/>
      <c r="AU340" s="115"/>
      <c r="AV340" s="25"/>
      <c r="AW340" s="13"/>
      <c r="AZ340" s="114"/>
    </row>
    <row r="341" spans="1:5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29"/>
      <c r="N341" s="13"/>
      <c r="P341" s="115"/>
      <c r="Q341" s="115"/>
      <c r="R341" s="115"/>
      <c r="S341" s="115"/>
      <c r="T341" s="115"/>
      <c r="U341" s="115"/>
      <c r="V341" s="115"/>
      <c r="W341" s="115"/>
      <c r="X341" s="25"/>
      <c r="Y341" s="15"/>
      <c r="AD341" s="117"/>
      <c r="AE341" s="123"/>
      <c r="AF341" s="123"/>
      <c r="AG341" s="123"/>
      <c r="AI341" s="115"/>
      <c r="AJ341" s="115"/>
      <c r="AK341" s="115"/>
      <c r="AL341" s="115"/>
      <c r="AM341" s="115"/>
      <c r="AN341" s="115"/>
      <c r="AO341" s="115"/>
      <c r="AP341" s="115"/>
      <c r="AQ341" s="115"/>
      <c r="AR341" s="115"/>
      <c r="AS341" s="115"/>
      <c r="AT341" s="115"/>
      <c r="AU341" s="115"/>
      <c r="AV341" s="25"/>
      <c r="AW341" s="13"/>
      <c r="AZ341" s="114"/>
    </row>
    <row r="342" spans="1:52" ht="19.5" x14ac:dyDescent="0.4">
      <c r="A342" s="117"/>
      <c r="B342" s="123"/>
      <c r="C342" s="123"/>
      <c r="D342" s="123"/>
      <c r="M342" s="26"/>
      <c r="N342" s="13"/>
      <c r="O342" s="115"/>
      <c r="P342" s="115"/>
      <c r="Q342" s="115"/>
      <c r="R342" s="115"/>
      <c r="S342" s="115"/>
      <c r="T342" s="115"/>
      <c r="U342" s="115"/>
      <c r="V342" s="115"/>
      <c r="W342" s="115"/>
      <c r="X342" s="25">
        <v>45693</v>
      </c>
      <c r="Y342" s="15" t="s">
        <v>146</v>
      </c>
      <c r="AD342" s="117"/>
      <c r="AE342" s="123"/>
      <c r="AF342" s="123"/>
      <c r="AG342" s="123"/>
      <c r="AI342" s="115"/>
      <c r="AJ342" s="115"/>
      <c r="AK342" s="115"/>
      <c r="AL342" s="115"/>
      <c r="AM342" s="115"/>
      <c r="AN342" s="115"/>
      <c r="AO342" s="115"/>
      <c r="AP342" s="115"/>
      <c r="AQ342" s="115"/>
      <c r="AR342" s="115"/>
      <c r="AS342" s="115"/>
      <c r="AT342" s="115"/>
      <c r="AU342" s="115"/>
      <c r="AV342" s="25"/>
      <c r="AW342" s="13"/>
      <c r="AZ342" s="114"/>
    </row>
    <row r="343" spans="1:52" ht="19.5" x14ac:dyDescent="0.4">
      <c r="A343" s="117"/>
      <c r="B343" s="123"/>
      <c r="C343" s="123"/>
      <c r="D343" s="123"/>
      <c r="M343" s="129"/>
      <c r="N343" s="13"/>
      <c r="O343" s="115"/>
      <c r="P343" s="115"/>
      <c r="Q343" s="115"/>
      <c r="R343" s="115"/>
      <c r="S343" s="115"/>
      <c r="T343" s="115"/>
      <c r="U343" s="115"/>
      <c r="V343" s="115"/>
      <c r="W343" s="115"/>
      <c r="X343" s="25"/>
      <c r="Y343" s="15"/>
      <c r="AD343" s="117"/>
      <c r="AE343" s="123"/>
      <c r="AF343" s="123"/>
      <c r="AG343" s="123"/>
      <c r="AI343" s="115"/>
      <c r="AJ343" s="115"/>
      <c r="AK343" s="115"/>
      <c r="AL343" s="115"/>
      <c r="AM343" s="115"/>
      <c r="AN343" s="115"/>
      <c r="AO343" s="115"/>
      <c r="AP343" s="115"/>
      <c r="AQ343" s="115"/>
      <c r="AR343" s="115"/>
      <c r="AS343" s="115"/>
      <c r="AT343" s="115"/>
      <c r="AU343" s="115"/>
      <c r="AV343" s="25"/>
      <c r="AW343" s="13"/>
      <c r="AZ343" s="114"/>
    </row>
    <row r="344" spans="1:5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26"/>
      <c r="N344" s="13"/>
      <c r="O344" s="115"/>
      <c r="P344" s="115"/>
      <c r="Q344" s="115"/>
      <c r="R344" s="115"/>
      <c r="S344" s="115"/>
      <c r="T344" s="115"/>
      <c r="U344" s="115"/>
      <c r="V344" s="115"/>
      <c r="W344" s="115"/>
      <c r="X344" s="25"/>
      <c r="Y344" s="15"/>
      <c r="AD344" s="117"/>
      <c r="AE344" s="123"/>
      <c r="AF344" s="123"/>
      <c r="AG344" s="123"/>
      <c r="AI344" s="115"/>
      <c r="AJ344" s="115"/>
      <c r="AK344" s="115"/>
      <c r="AL344" s="115"/>
      <c r="AM344" s="115"/>
      <c r="AN344" s="115"/>
      <c r="AO344" s="115"/>
      <c r="AP344" s="115"/>
      <c r="AQ344" s="115"/>
      <c r="AR344" s="115"/>
      <c r="AS344" s="115"/>
      <c r="AT344" s="115"/>
      <c r="AU344" s="115"/>
      <c r="AV344" s="25"/>
      <c r="AW344" s="13"/>
      <c r="AZ344" s="114"/>
    </row>
    <row r="345" spans="1:52" ht="19.5" x14ac:dyDescent="0.4">
      <c r="A345" s="117"/>
      <c r="B345" s="123"/>
      <c r="C345" s="123"/>
      <c r="D345" s="123"/>
      <c r="M345" s="26"/>
      <c r="N345" s="13"/>
      <c r="X345" s="25">
        <v>45693</v>
      </c>
      <c r="Y345" s="15" t="s">
        <v>146</v>
      </c>
      <c r="AD345" s="117"/>
      <c r="AE345" s="123"/>
      <c r="AF345" s="123"/>
      <c r="AG345" s="123"/>
      <c r="AI345" s="115"/>
      <c r="AJ345" s="115"/>
      <c r="AK345" s="115"/>
      <c r="AL345" s="115"/>
      <c r="AM345" s="115"/>
      <c r="AN345" s="115"/>
      <c r="AO345" s="115"/>
      <c r="AP345" s="115"/>
      <c r="AQ345" s="115"/>
      <c r="AR345" s="115"/>
      <c r="AS345" s="115"/>
      <c r="AT345" s="115"/>
      <c r="AU345" s="115" t="s">
        <v>157</v>
      </c>
      <c r="AV345" s="13">
        <f>SUBTOTAL(3,AV337:AV337)</f>
        <v>1</v>
      </c>
      <c r="AW345" s="13">
        <f>SUBTOTAL(3,AW337:AW337)</f>
        <v>1</v>
      </c>
      <c r="AZ345" s="114"/>
    </row>
    <row r="346" spans="1:52" ht="19.5" x14ac:dyDescent="0.4">
      <c r="A346" s="117"/>
      <c r="B346" s="123"/>
      <c r="C346" s="123"/>
      <c r="D346" s="123"/>
      <c r="M346" s="26"/>
      <c r="N346" s="13"/>
      <c r="P346" s="115"/>
      <c r="Q346" s="115"/>
      <c r="R346" s="115"/>
      <c r="S346" s="115"/>
      <c r="T346" s="115"/>
      <c r="U346" s="115"/>
      <c r="V346" s="115"/>
      <c r="W346" s="115"/>
      <c r="X346" s="25">
        <v>45693</v>
      </c>
      <c r="Y346" s="15" t="s">
        <v>146</v>
      </c>
      <c r="AD346" s="117"/>
      <c r="AE346" s="123"/>
      <c r="AF346" s="123"/>
      <c r="AG346" s="123"/>
      <c r="AI346" s="115"/>
      <c r="AJ346" s="115"/>
      <c r="AK346" s="115"/>
      <c r="AL346" s="115"/>
      <c r="AM346" s="115"/>
      <c r="AN346" s="115"/>
      <c r="AO346" s="115"/>
      <c r="AP346" s="115"/>
      <c r="AQ346" s="115"/>
      <c r="AR346" s="115"/>
      <c r="AS346" s="115"/>
      <c r="AT346" s="115"/>
      <c r="AU346" s="115"/>
      <c r="AV346" s="13"/>
      <c r="AW346" s="13"/>
      <c r="AZ346" s="114"/>
    </row>
    <row r="347" spans="1:52" ht="19.5" x14ac:dyDescent="0.4">
      <c r="A347" s="117"/>
      <c r="B347" s="123"/>
      <c r="C347" s="123"/>
      <c r="D347" s="123"/>
      <c r="M347" s="129"/>
      <c r="N347" s="13"/>
      <c r="P347" s="115"/>
      <c r="Q347" s="115"/>
      <c r="R347" s="115"/>
      <c r="S347" s="115"/>
      <c r="T347" s="115"/>
      <c r="U347" s="115"/>
      <c r="V347" s="115"/>
      <c r="W347" s="115"/>
      <c r="X347" s="25"/>
      <c r="Y347" s="15"/>
      <c r="AD347" s="117"/>
      <c r="AE347" s="123"/>
      <c r="AF347" s="123"/>
      <c r="AG347" s="123"/>
      <c r="AI347" s="115"/>
      <c r="AJ347" s="115"/>
      <c r="AK347" s="115"/>
      <c r="AL347" s="115"/>
      <c r="AM347" s="115"/>
      <c r="AN347" s="115"/>
      <c r="AO347" s="115"/>
      <c r="AP347" s="115"/>
      <c r="AQ347" s="115"/>
      <c r="AR347" s="115"/>
      <c r="AS347" s="115"/>
      <c r="AT347" s="115"/>
      <c r="AU347" s="115"/>
      <c r="AV347" s="13"/>
      <c r="AW347" s="13"/>
      <c r="AZ347" s="114"/>
    </row>
    <row r="348" spans="1:52" ht="19.5" x14ac:dyDescent="0.4">
      <c r="A348" s="117"/>
      <c r="B348" s="123"/>
      <c r="C348" s="123"/>
      <c r="D348" s="123"/>
      <c r="M348" s="129"/>
      <c r="N348" s="13"/>
      <c r="P348" s="115"/>
      <c r="Q348" s="115"/>
      <c r="R348" s="115"/>
      <c r="S348" s="115"/>
      <c r="T348" s="115"/>
      <c r="U348" s="115"/>
      <c r="V348" s="115"/>
      <c r="W348" s="115"/>
      <c r="X348" s="25"/>
      <c r="Y348" s="15"/>
      <c r="AD348" s="117"/>
      <c r="AE348" s="123"/>
      <c r="AF348" s="123"/>
      <c r="AG348" s="123"/>
      <c r="AI348" s="115"/>
      <c r="AJ348" s="115"/>
      <c r="AK348" s="115"/>
      <c r="AL348" s="115"/>
      <c r="AM348" s="115"/>
      <c r="AN348" s="115"/>
      <c r="AO348" s="115"/>
      <c r="AP348" s="115"/>
      <c r="AQ348" s="115"/>
      <c r="AR348" s="115"/>
      <c r="AS348" s="115"/>
      <c r="AT348" s="115"/>
      <c r="AU348" s="115"/>
      <c r="AV348" s="13"/>
      <c r="AW348" s="13"/>
      <c r="AZ348" s="114"/>
    </row>
    <row r="349" spans="1:52" ht="19.5" x14ac:dyDescent="0.4">
      <c r="A349" s="117"/>
      <c r="B349" s="123"/>
      <c r="C349" s="123"/>
      <c r="D349" s="123"/>
      <c r="M349" s="26"/>
      <c r="N349" s="13"/>
      <c r="P349" s="115"/>
      <c r="Q349" s="115"/>
      <c r="R349" s="115"/>
      <c r="S349" s="115"/>
      <c r="T349" s="115"/>
      <c r="U349" s="115"/>
      <c r="V349" s="115"/>
      <c r="W349" s="115"/>
      <c r="X349" s="25">
        <v>45694</v>
      </c>
      <c r="Y349" s="15" t="s">
        <v>147</v>
      </c>
      <c r="AD349" s="117"/>
      <c r="AE349" s="123"/>
      <c r="AF349" s="123"/>
      <c r="AG349" s="123"/>
      <c r="AI349" s="115"/>
      <c r="AJ349" s="115"/>
      <c r="AK349" s="115"/>
      <c r="AL349" s="115"/>
      <c r="AM349" s="115"/>
      <c r="AN349" s="115"/>
      <c r="AO349" s="115"/>
      <c r="AP349" s="115"/>
      <c r="AQ349" s="115"/>
      <c r="AR349" s="115"/>
      <c r="AS349" s="115"/>
      <c r="AT349" s="115"/>
      <c r="AU349" s="115"/>
      <c r="AV349" s="13"/>
      <c r="AW349" s="13"/>
      <c r="AZ349" s="114"/>
    </row>
    <row r="350" spans="1:5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7"/>
      <c r="N350" s="13"/>
      <c r="P350" s="115"/>
      <c r="Q350" s="115"/>
      <c r="R350" s="115"/>
      <c r="S350" s="115"/>
      <c r="T350" s="115"/>
      <c r="U350" s="115"/>
      <c r="V350" s="115"/>
      <c r="W350" s="115"/>
      <c r="X350" s="25"/>
      <c r="Y350" s="15"/>
      <c r="AD350" s="117"/>
      <c r="AE350" s="123"/>
      <c r="AF350" s="123"/>
      <c r="AG350" s="123"/>
      <c r="AI350" s="115"/>
      <c r="AJ350" s="115"/>
      <c r="AK350" s="115"/>
      <c r="AL350" s="115"/>
      <c r="AM350" s="115"/>
      <c r="AN350" s="115"/>
      <c r="AO350" s="115"/>
      <c r="AP350" s="115"/>
      <c r="AQ350" s="115"/>
      <c r="AR350" s="115"/>
      <c r="AS350" s="115"/>
      <c r="AT350" s="115"/>
      <c r="AU350" s="115"/>
      <c r="AV350" s="13"/>
      <c r="AW350" s="13"/>
      <c r="AZ350" s="114"/>
    </row>
    <row r="351" spans="1:5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7"/>
      <c r="N351" s="13"/>
      <c r="P351" s="115"/>
      <c r="Q351" s="115"/>
      <c r="R351" s="115"/>
      <c r="S351" s="115"/>
      <c r="T351" s="115"/>
      <c r="U351" s="115"/>
      <c r="V351" s="115"/>
      <c r="W351" s="115"/>
      <c r="X351" s="25"/>
      <c r="Y351" s="15"/>
      <c r="AD351" s="117"/>
      <c r="AE351" s="123"/>
      <c r="AF351" s="123"/>
      <c r="AG351" s="123"/>
      <c r="AI351" s="115"/>
      <c r="AJ351" s="115"/>
      <c r="AK351" s="115"/>
      <c r="AL351" s="115"/>
      <c r="AM351" s="115"/>
      <c r="AN351" s="115"/>
      <c r="AO351" s="115"/>
      <c r="AP351" s="115"/>
      <c r="AQ351" s="115"/>
      <c r="AR351" s="115"/>
      <c r="AS351" s="115"/>
      <c r="AT351" s="115"/>
      <c r="AU351" s="115"/>
      <c r="AV351" s="13"/>
      <c r="AW351" s="13"/>
      <c r="AZ351" s="114"/>
    </row>
    <row r="352" spans="1:52" ht="19.5" x14ac:dyDescent="0.4">
      <c r="A352" s="117"/>
      <c r="B352" s="123"/>
      <c r="C352" s="123"/>
      <c r="D352" s="123"/>
      <c r="M352" s="26"/>
      <c r="N352" s="13"/>
      <c r="P352" s="115"/>
      <c r="Q352" s="115"/>
      <c r="R352" s="115"/>
      <c r="S352" s="115"/>
      <c r="T352" s="115"/>
      <c r="U352" s="115"/>
      <c r="V352" s="115"/>
      <c r="W352" s="115"/>
      <c r="X352" s="25">
        <v>45694</v>
      </c>
      <c r="Y352" s="105" t="s">
        <v>147</v>
      </c>
      <c r="AD352" s="117"/>
      <c r="AE352" s="123"/>
      <c r="AF352" s="123"/>
      <c r="AG352" s="123"/>
      <c r="AI352" s="115"/>
      <c r="AJ352" s="115"/>
      <c r="AK352" s="115"/>
      <c r="AL352" s="115"/>
      <c r="AM352" s="115"/>
      <c r="AN352" s="115"/>
      <c r="AO352" s="115"/>
      <c r="AP352" s="115"/>
      <c r="AQ352" s="115"/>
      <c r="AR352" s="115"/>
      <c r="AS352" s="115"/>
      <c r="AT352" s="115"/>
      <c r="AU352" s="115"/>
      <c r="AV352" s="13"/>
      <c r="AW352" s="13"/>
      <c r="AZ352" s="114"/>
    </row>
    <row r="353" spans="1:52" ht="19.5" x14ac:dyDescent="0.4">
      <c r="A353" s="117"/>
      <c r="B353" s="123"/>
      <c r="C353" s="123"/>
      <c r="D353" s="123"/>
      <c r="M353" s="26"/>
      <c r="N353" s="13"/>
      <c r="O353" s="115"/>
      <c r="P353" s="115"/>
      <c r="Q353" s="115"/>
      <c r="R353" s="115"/>
      <c r="S353" s="115"/>
      <c r="T353" s="115"/>
      <c r="U353" s="115"/>
      <c r="V353" s="115"/>
      <c r="W353" s="115"/>
      <c r="X353" s="25">
        <v>45694</v>
      </c>
      <c r="Y353" s="15" t="s">
        <v>147</v>
      </c>
      <c r="AD353" s="117"/>
      <c r="AE353" s="123"/>
      <c r="AF353" s="123"/>
      <c r="AG353" s="123"/>
      <c r="AI353" s="115"/>
      <c r="AJ353" s="115"/>
      <c r="AK353" s="115"/>
      <c r="AL353" s="115"/>
      <c r="AM353" s="115"/>
      <c r="AN353" s="115"/>
      <c r="AO353" s="115"/>
      <c r="AP353" s="115"/>
      <c r="AQ353" s="115"/>
      <c r="AR353" s="115"/>
      <c r="AS353" s="115"/>
      <c r="AT353" s="115"/>
      <c r="AU353" s="115"/>
      <c r="AV353" s="13"/>
      <c r="AW353" s="13"/>
      <c r="AZ353" s="114"/>
    </row>
    <row r="354" spans="1:52" ht="19.5" x14ac:dyDescent="0.4">
      <c r="A354" s="117"/>
      <c r="B354" s="123"/>
      <c r="C354" s="123"/>
      <c r="D354" s="123"/>
      <c r="M354" s="26"/>
      <c r="N354" s="13"/>
      <c r="O354" s="115"/>
      <c r="P354" s="115"/>
      <c r="Q354" s="115"/>
      <c r="R354" s="115"/>
      <c r="S354" s="115"/>
      <c r="T354" s="115"/>
      <c r="U354" s="115"/>
      <c r="V354" s="115"/>
      <c r="W354" s="115"/>
      <c r="X354" s="26">
        <v>45694</v>
      </c>
      <c r="Y354" s="15" t="s">
        <v>148</v>
      </c>
      <c r="AD354" s="117"/>
      <c r="AE354" s="123"/>
      <c r="AF354" s="123"/>
      <c r="AG354" s="123"/>
      <c r="AI354" s="115"/>
      <c r="AJ354" s="115"/>
      <c r="AK354" s="115"/>
      <c r="AL354" s="115"/>
      <c r="AM354" s="115"/>
      <c r="AN354" s="115"/>
      <c r="AO354" s="115"/>
      <c r="AP354" s="115"/>
      <c r="AQ354" s="115"/>
      <c r="AR354" s="115"/>
      <c r="AS354" s="115"/>
      <c r="AT354" s="115"/>
      <c r="AU354" s="115"/>
      <c r="AV354" s="13"/>
      <c r="AW354" s="13"/>
      <c r="AZ354" s="114"/>
    </row>
    <row r="355" spans="1:52" ht="19.5" x14ac:dyDescent="0.4">
      <c r="A355" s="117"/>
      <c r="B355" s="123"/>
      <c r="C355" s="123"/>
      <c r="D355" s="123"/>
      <c r="M355" s="26"/>
      <c r="N355" s="13"/>
      <c r="X355" s="26">
        <v>45694</v>
      </c>
      <c r="Y355" s="13" t="s">
        <v>147</v>
      </c>
      <c r="AD355" s="117"/>
      <c r="AE355" s="123"/>
      <c r="AF355" s="123"/>
      <c r="AG355" s="123"/>
      <c r="AI355" s="115"/>
      <c r="AJ355" s="115"/>
      <c r="AK355" s="115"/>
      <c r="AL355" s="115"/>
      <c r="AM355" s="115"/>
      <c r="AN355" s="115"/>
      <c r="AO355" s="115"/>
      <c r="AP355" s="115"/>
      <c r="AQ355" s="115"/>
      <c r="AR355" s="115"/>
      <c r="AS355" s="115"/>
      <c r="AT355" s="115"/>
      <c r="AU355" s="115"/>
      <c r="AV355" s="25">
        <v>45268</v>
      </c>
      <c r="AW355" s="13" t="s">
        <v>162</v>
      </c>
      <c r="AZ355" s="114"/>
    </row>
    <row r="356" spans="1:52" ht="19.5" x14ac:dyDescent="0.4">
      <c r="A356" s="117"/>
      <c r="B356" s="123"/>
      <c r="C356" s="123"/>
      <c r="D356" s="123"/>
      <c r="M356" s="26"/>
      <c r="N356" s="13"/>
      <c r="P356" s="115"/>
      <c r="Q356" s="115"/>
      <c r="R356" s="115"/>
      <c r="S356" s="115"/>
      <c r="T356" s="115"/>
      <c r="U356" s="115"/>
      <c r="V356" s="115"/>
      <c r="W356" s="115"/>
      <c r="X356" s="26">
        <v>45694</v>
      </c>
      <c r="Y356" s="13" t="s">
        <v>147</v>
      </c>
      <c r="AD356" s="117"/>
      <c r="AE356" s="123"/>
      <c r="AF356" s="123"/>
      <c r="AG356" s="123"/>
      <c r="AI356" s="115"/>
      <c r="AJ356" s="115"/>
      <c r="AK356" s="115"/>
      <c r="AL356" s="115"/>
      <c r="AM356" s="115"/>
      <c r="AN356" s="115"/>
      <c r="AO356" s="115"/>
      <c r="AP356" s="115"/>
      <c r="AQ356" s="115"/>
      <c r="AR356" s="115"/>
      <c r="AS356" s="115"/>
      <c r="AT356" s="115"/>
      <c r="AU356" s="115"/>
      <c r="AV356" s="25"/>
      <c r="AW356" s="13"/>
      <c r="AZ356" s="114"/>
    </row>
    <row r="357" spans="1:52" ht="19.5" x14ac:dyDescent="0.4">
      <c r="A357" s="117"/>
      <c r="B357" s="123"/>
      <c r="C357" s="123"/>
      <c r="D357" s="123"/>
      <c r="M357" s="26"/>
      <c r="N357" s="13"/>
      <c r="X357" s="26">
        <v>45694</v>
      </c>
      <c r="Y357" s="13" t="s">
        <v>147</v>
      </c>
      <c r="AD357" s="117"/>
      <c r="AE357" s="123"/>
      <c r="AF357" s="123"/>
      <c r="AG357" s="123"/>
      <c r="AI357" s="115"/>
      <c r="AJ357" s="115"/>
      <c r="AK357" s="115"/>
      <c r="AL357" s="115"/>
      <c r="AM357" s="115"/>
      <c r="AN357" s="115"/>
      <c r="AO357" s="115"/>
      <c r="AP357" s="115"/>
      <c r="AQ357" s="115"/>
      <c r="AR357" s="115"/>
      <c r="AS357" s="115"/>
      <c r="AT357" s="115"/>
      <c r="AU357" s="115"/>
      <c r="AV357" s="25">
        <v>45268</v>
      </c>
      <c r="AW357" s="13" t="s">
        <v>162</v>
      </c>
      <c r="AZ357" s="114"/>
    </row>
    <row r="358" spans="1:52" ht="19.5" x14ac:dyDescent="0.4">
      <c r="A358" s="117"/>
      <c r="B358" s="123"/>
      <c r="C358" s="123"/>
      <c r="D358" s="123"/>
      <c r="M358" s="26"/>
      <c r="N358" s="13"/>
      <c r="U358" s="115"/>
      <c r="V358" s="115"/>
      <c r="W358" s="115"/>
      <c r="X358" s="26">
        <v>45696</v>
      </c>
      <c r="Y358" s="13" t="s">
        <v>147</v>
      </c>
      <c r="AD358" s="117"/>
      <c r="AE358" s="123"/>
      <c r="AF358" s="123"/>
      <c r="AG358" s="123"/>
      <c r="AI358" s="115"/>
      <c r="AJ358" s="115"/>
      <c r="AK358" s="115"/>
      <c r="AL358" s="115"/>
      <c r="AM358" s="115"/>
      <c r="AN358" s="115"/>
      <c r="AO358" s="115"/>
      <c r="AP358" s="115"/>
      <c r="AQ358" s="115"/>
      <c r="AR358" s="115"/>
      <c r="AS358" s="115"/>
      <c r="AT358" s="115"/>
      <c r="AU358" s="115"/>
      <c r="AV358" s="25"/>
      <c r="AW358" s="13"/>
      <c r="AZ358" s="114"/>
    </row>
    <row r="359" spans="1:52" ht="19.5" x14ac:dyDescent="0.4">
      <c r="A359" s="117"/>
      <c r="B359" s="123"/>
      <c r="C359" s="123"/>
      <c r="D359" s="123"/>
      <c r="M359" s="26"/>
      <c r="N359" s="13"/>
      <c r="X359" s="26">
        <v>45698</v>
      </c>
      <c r="Y359" s="13" t="s">
        <v>147</v>
      </c>
      <c r="AD359" s="117"/>
      <c r="AE359" s="123"/>
      <c r="AF359" s="123"/>
      <c r="AG359" s="123"/>
      <c r="AI359" s="115"/>
      <c r="AJ359" s="115"/>
      <c r="AK359" s="115"/>
      <c r="AL359" s="115"/>
      <c r="AM359" s="115"/>
      <c r="AN359" s="115"/>
      <c r="AO359" s="115"/>
      <c r="AP359" s="115"/>
      <c r="AQ359" s="115"/>
      <c r="AR359" s="115"/>
      <c r="AS359" s="115"/>
      <c r="AT359" s="115"/>
      <c r="AU359" s="115"/>
      <c r="AV359" s="25">
        <v>45268</v>
      </c>
      <c r="AW359" s="13" t="s">
        <v>163</v>
      </c>
      <c r="AZ359" s="114"/>
    </row>
    <row r="360" spans="1:52" ht="19.5" x14ac:dyDescent="0.4">
      <c r="A360" s="117"/>
      <c r="B360" s="123"/>
      <c r="C360" s="123"/>
      <c r="D360" s="123"/>
      <c r="G360" s="115"/>
      <c r="H360" s="115"/>
      <c r="I360" s="115"/>
      <c r="J360" s="115"/>
      <c r="K360" s="115"/>
      <c r="L360" s="115"/>
      <c r="M360" s="17"/>
      <c r="N360" s="13"/>
      <c r="X360" s="26"/>
      <c r="Y360" s="13"/>
      <c r="AD360" s="117"/>
      <c r="AE360" s="123"/>
      <c r="AF360" s="123"/>
      <c r="AG360" s="123"/>
      <c r="AI360" s="115"/>
      <c r="AJ360" s="115"/>
      <c r="AK360" s="115"/>
      <c r="AL360" s="115"/>
      <c r="AM360" s="115"/>
      <c r="AN360" s="115"/>
      <c r="AO360" s="115"/>
      <c r="AP360" s="115"/>
      <c r="AQ360" s="115"/>
      <c r="AR360" s="115"/>
      <c r="AS360" s="115"/>
      <c r="AT360" s="115"/>
      <c r="AU360" s="115"/>
      <c r="AV360" s="25"/>
      <c r="AW360" s="13"/>
      <c r="AZ360" s="114"/>
    </row>
    <row r="361" spans="1:52" ht="19.5" x14ac:dyDescent="0.4">
      <c r="A361" s="117"/>
      <c r="B361" s="123"/>
      <c r="C361" s="123"/>
      <c r="D361" s="123"/>
      <c r="M361" s="26"/>
      <c r="N361" s="13"/>
      <c r="U361" s="115"/>
      <c r="V361" s="115"/>
      <c r="W361" s="115"/>
      <c r="X361" s="26">
        <v>45698</v>
      </c>
      <c r="Y361" s="13" t="s">
        <v>147</v>
      </c>
      <c r="AD361" s="117"/>
      <c r="AE361" s="123"/>
      <c r="AF361" s="123"/>
      <c r="AG361" s="123"/>
      <c r="AI361" s="115"/>
      <c r="AJ361" s="115"/>
      <c r="AK361" s="115"/>
      <c r="AL361" s="115"/>
      <c r="AM361" s="115"/>
      <c r="AN361" s="115"/>
      <c r="AO361" s="115"/>
      <c r="AP361" s="115"/>
      <c r="AQ361" s="115"/>
      <c r="AR361" s="115"/>
      <c r="AS361" s="115"/>
      <c r="AT361" s="115"/>
      <c r="AU361" s="115"/>
      <c r="AV361" s="25"/>
      <c r="AW361" s="13"/>
      <c r="AZ361" s="114"/>
    </row>
    <row r="362" spans="1:52" ht="19.5" x14ac:dyDescent="0.4">
      <c r="A362" s="117"/>
      <c r="B362" s="123"/>
      <c r="C362" s="123"/>
      <c r="D362" s="123"/>
      <c r="M362" s="26"/>
      <c r="N362" s="13"/>
      <c r="O362" s="115"/>
      <c r="P362" s="115"/>
      <c r="Q362" s="115"/>
      <c r="R362" s="115"/>
      <c r="S362" s="115"/>
      <c r="T362" s="115"/>
      <c r="U362" s="115"/>
      <c r="V362" s="115"/>
      <c r="W362" s="115"/>
      <c r="X362" s="26">
        <v>45699</v>
      </c>
      <c r="Y362" s="13" t="s">
        <v>148</v>
      </c>
      <c r="AD362" s="117"/>
      <c r="AE362" s="123"/>
      <c r="AF362" s="123"/>
      <c r="AG362" s="123"/>
      <c r="AI362" s="115"/>
      <c r="AJ362" s="115"/>
      <c r="AK362" s="115"/>
      <c r="AL362" s="115"/>
      <c r="AM362" s="115"/>
      <c r="AN362" s="115"/>
      <c r="AO362" s="115"/>
      <c r="AP362" s="115"/>
      <c r="AQ362" s="115"/>
      <c r="AR362" s="115"/>
      <c r="AS362" s="115"/>
      <c r="AT362" s="115"/>
      <c r="AU362" s="115"/>
      <c r="AV362" s="25"/>
      <c r="AW362" s="13"/>
      <c r="AZ362" s="114"/>
    </row>
    <row r="363" spans="1:52" ht="19.5" x14ac:dyDescent="0.4">
      <c r="A363" s="117"/>
      <c r="B363" s="123"/>
      <c r="C363" s="123"/>
      <c r="D363" s="123"/>
      <c r="G363" s="115"/>
      <c r="H363" s="115"/>
      <c r="I363" s="115"/>
      <c r="J363" s="115"/>
      <c r="K363" s="115"/>
      <c r="L363" s="115"/>
      <c r="M363" s="17"/>
      <c r="N363" s="13"/>
      <c r="O363" s="115"/>
      <c r="P363" s="115"/>
      <c r="Q363" s="115"/>
      <c r="R363" s="115"/>
      <c r="S363" s="115"/>
      <c r="T363" s="115"/>
      <c r="U363" s="115"/>
      <c r="V363" s="115"/>
      <c r="W363" s="115"/>
      <c r="X363" s="26"/>
      <c r="Y363" s="13"/>
      <c r="AD363" s="117"/>
      <c r="AE363" s="123"/>
      <c r="AF363" s="123"/>
      <c r="AG363" s="123"/>
      <c r="AI363" s="115"/>
      <c r="AJ363" s="115"/>
      <c r="AK363" s="115"/>
      <c r="AL363" s="115"/>
      <c r="AM363" s="115"/>
      <c r="AN363" s="115"/>
      <c r="AO363" s="115"/>
      <c r="AP363" s="115"/>
      <c r="AQ363" s="115"/>
      <c r="AR363" s="115"/>
      <c r="AS363" s="115"/>
      <c r="AT363" s="115"/>
      <c r="AU363" s="115"/>
      <c r="AV363" s="25"/>
      <c r="AW363" s="13"/>
      <c r="AZ363" s="114"/>
    </row>
    <row r="364" spans="1:52" ht="19.5" x14ac:dyDescent="0.4">
      <c r="A364" s="117"/>
      <c r="B364" s="123"/>
      <c r="C364" s="123"/>
      <c r="D364" s="123"/>
      <c r="M364" s="26"/>
      <c r="N364" s="13"/>
      <c r="X364" s="26">
        <v>45699</v>
      </c>
      <c r="Y364" s="13" t="s">
        <v>148</v>
      </c>
      <c r="AD364" s="117"/>
      <c r="AE364" s="123"/>
      <c r="AF364" s="123"/>
      <c r="AG364" s="123"/>
      <c r="AH364" s="115"/>
      <c r="AI364" s="115"/>
      <c r="AJ364" s="115"/>
      <c r="AK364" s="115"/>
      <c r="AL364" s="115"/>
      <c r="AM364" s="115"/>
      <c r="AN364" s="115"/>
      <c r="AO364" s="115"/>
      <c r="AP364" s="115"/>
      <c r="AQ364" s="115"/>
      <c r="AR364" s="115"/>
      <c r="AS364" s="115"/>
      <c r="AT364" s="115"/>
      <c r="AU364" s="115"/>
      <c r="AV364" s="25">
        <v>45268</v>
      </c>
      <c r="AW364" s="13" t="s">
        <v>163</v>
      </c>
      <c r="AZ364" s="114"/>
    </row>
    <row r="365" spans="1:52" ht="19.5" x14ac:dyDescent="0.4">
      <c r="A365" s="117"/>
      <c r="B365" s="123"/>
      <c r="C365" s="123"/>
      <c r="D365" s="123"/>
      <c r="G365" s="115"/>
      <c r="H365" s="115"/>
      <c r="I365" s="115"/>
      <c r="J365" s="115"/>
      <c r="K365" s="115"/>
      <c r="L365" s="115"/>
      <c r="M365" s="17"/>
      <c r="N365" s="13"/>
      <c r="X365" s="26"/>
      <c r="Y365" s="13"/>
      <c r="AD365" s="117"/>
      <c r="AE365" s="123"/>
      <c r="AF365" s="123"/>
      <c r="AG365" s="123"/>
      <c r="AH365" s="115"/>
      <c r="AI365" s="115"/>
      <c r="AJ365" s="115"/>
      <c r="AK365" s="115"/>
      <c r="AL365" s="115"/>
      <c r="AM365" s="115"/>
      <c r="AN365" s="115"/>
      <c r="AO365" s="115"/>
      <c r="AP365" s="115"/>
      <c r="AQ365" s="115"/>
      <c r="AR365" s="115"/>
      <c r="AS365" s="115"/>
      <c r="AT365" s="115"/>
      <c r="AU365" s="115"/>
      <c r="AV365" s="25"/>
      <c r="AW365" s="13"/>
      <c r="AZ365" s="114"/>
    </row>
    <row r="366" spans="1:52" ht="19.5" x14ac:dyDescent="0.4">
      <c r="A366" s="117"/>
      <c r="B366" s="123"/>
      <c r="C366" s="123"/>
      <c r="D366" s="123"/>
      <c r="M366" s="26"/>
      <c r="N366" s="13"/>
      <c r="Q366" s="115"/>
      <c r="R366" s="115"/>
      <c r="S366" s="115"/>
      <c r="T366" s="115"/>
      <c r="U366" s="115"/>
      <c r="V366" s="115"/>
      <c r="W366" s="115"/>
      <c r="X366" s="26">
        <v>45699</v>
      </c>
      <c r="Y366" s="13" t="s">
        <v>148</v>
      </c>
      <c r="AD366" s="117"/>
      <c r="AE366" s="123"/>
      <c r="AF366" s="123"/>
      <c r="AG366" s="123"/>
      <c r="AH366" s="115"/>
      <c r="AI366" s="115"/>
      <c r="AJ366" s="115"/>
      <c r="AK366" s="115"/>
      <c r="AL366" s="115"/>
      <c r="AM366" s="115"/>
      <c r="AN366" s="115"/>
      <c r="AO366" s="115"/>
      <c r="AP366" s="115"/>
      <c r="AQ366" s="115"/>
      <c r="AR366" s="115"/>
      <c r="AS366" s="115"/>
      <c r="AT366" s="115"/>
      <c r="AU366" s="115"/>
      <c r="AV366" s="25"/>
      <c r="AW366" s="13"/>
      <c r="AZ366" s="114"/>
    </row>
    <row r="367" spans="1:52" ht="19.5" x14ac:dyDescent="0.4">
      <c r="A367" s="117"/>
      <c r="B367" s="123"/>
      <c r="C367" s="123"/>
      <c r="D367" s="123"/>
      <c r="M367" s="26"/>
      <c r="N367" s="13"/>
      <c r="Q367" s="115"/>
      <c r="R367" s="115"/>
      <c r="S367" s="115"/>
      <c r="T367" s="115"/>
      <c r="U367" s="115"/>
      <c r="V367" s="115"/>
      <c r="W367" s="115"/>
      <c r="X367" s="26">
        <v>45699</v>
      </c>
      <c r="Y367" s="13" t="s">
        <v>148</v>
      </c>
      <c r="AD367" s="117"/>
      <c r="AE367" s="123"/>
      <c r="AF367" s="123"/>
      <c r="AG367" s="123"/>
      <c r="AH367" s="115"/>
      <c r="AI367" s="115"/>
      <c r="AJ367" s="115"/>
      <c r="AK367" s="115"/>
      <c r="AL367" s="115"/>
      <c r="AM367" s="115"/>
      <c r="AN367" s="115"/>
      <c r="AO367" s="115"/>
      <c r="AP367" s="115"/>
      <c r="AQ367" s="115"/>
      <c r="AR367" s="115"/>
      <c r="AS367" s="115"/>
      <c r="AT367" s="115"/>
      <c r="AU367" s="115"/>
      <c r="AV367" s="25"/>
      <c r="AW367" s="13"/>
      <c r="AZ367" s="114"/>
    </row>
    <row r="368" spans="1:52" ht="19.5" x14ac:dyDescent="0.4">
      <c r="A368" s="117"/>
      <c r="B368" s="123"/>
      <c r="C368" s="123"/>
      <c r="D368" s="123"/>
      <c r="M368" s="26"/>
      <c r="N368" s="13"/>
      <c r="Q368" s="115"/>
      <c r="R368" s="115"/>
      <c r="S368" s="115"/>
      <c r="T368" s="115"/>
      <c r="U368" s="115"/>
      <c r="V368" s="115"/>
      <c r="W368" s="115"/>
      <c r="X368" s="26">
        <v>45699</v>
      </c>
      <c r="Y368" s="13" t="s">
        <v>148</v>
      </c>
      <c r="AD368" s="117"/>
      <c r="AE368" s="123"/>
      <c r="AF368" s="123"/>
      <c r="AG368" s="123"/>
      <c r="AH368" s="115"/>
      <c r="AI368" s="115"/>
      <c r="AJ368" s="115"/>
      <c r="AK368" s="115"/>
      <c r="AL368" s="115"/>
      <c r="AM368" s="115"/>
      <c r="AN368" s="115"/>
      <c r="AO368" s="115"/>
      <c r="AP368" s="115"/>
      <c r="AQ368" s="115"/>
      <c r="AR368" s="115"/>
      <c r="AS368" s="115"/>
      <c r="AT368" s="115"/>
      <c r="AU368" s="115"/>
      <c r="AV368" s="25"/>
      <c r="AW368" s="13"/>
      <c r="AZ368" s="114"/>
    </row>
    <row r="369" spans="1:52" ht="19.5" x14ac:dyDescent="0.4">
      <c r="A369" s="117"/>
      <c r="B369" s="123"/>
      <c r="C369" s="123"/>
      <c r="D369" s="123"/>
      <c r="M369" s="26"/>
      <c r="N369" s="13"/>
      <c r="X369" s="26">
        <v>45699</v>
      </c>
      <c r="Y369" s="13" t="s">
        <v>148</v>
      </c>
      <c r="AD369" s="117"/>
      <c r="AE369" s="123"/>
      <c r="AF369" s="123"/>
      <c r="AG369" s="123"/>
      <c r="AH369" s="115"/>
      <c r="AI369" s="115"/>
      <c r="AJ369" s="115"/>
      <c r="AK369" s="115"/>
      <c r="AL369" s="115"/>
      <c r="AM369" s="115"/>
      <c r="AN369" s="115"/>
      <c r="AO369" s="115"/>
      <c r="AP369" s="115"/>
      <c r="AQ369" s="115"/>
      <c r="AR369" s="115"/>
      <c r="AS369" s="115"/>
      <c r="AT369" s="115"/>
      <c r="AU369" s="115" t="s">
        <v>158</v>
      </c>
      <c r="AV369" s="13">
        <f>SUBTOTAL(3,AV355:AV364)</f>
        <v>4</v>
      </c>
      <c r="AW369" s="13">
        <f>SUBTOTAL(3,AW355:AW364)</f>
        <v>4</v>
      </c>
      <c r="AZ369" s="114"/>
    </row>
    <row r="370" spans="1:52" ht="19.5" x14ac:dyDescent="0.4">
      <c r="A370" s="117"/>
      <c r="B370" s="123"/>
      <c r="C370" s="123"/>
      <c r="D370" s="123"/>
      <c r="M370" s="26"/>
      <c r="N370" s="15"/>
      <c r="U370" s="115"/>
      <c r="V370" s="115"/>
      <c r="W370" s="115"/>
      <c r="X370" s="26">
        <v>45706</v>
      </c>
      <c r="Y370" s="13" t="s">
        <v>146</v>
      </c>
      <c r="AD370" s="117"/>
      <c r="AE370" s="123"/>
      <c r="AF370" s="123"/>
      <c r="AG370" s="123"/>
      <c r="AH370" s="115"/>
      <c r="AI370" s="115"/>
      <c r="AJ370" s="115"/>
      <c r="AK370" s="115"/>
      <c r="AL370" s="115"/>
      <c r="AM370" s="115"/>
      <c r="AN370" s="115"/>
      <c r="AO370" s="115"/>
      <c r="AP370" s="115"/>
      <c r="AQ370" s="115"/>
      <c r="AR370" s="115"/>
      <c r="AS370" s="115"/>
      <c r="AT370" s="115"/>
      <c r="AU370" s="115"/>
      <c r="AV370" s="13"/>
      <c r="AW370" s="13"/>
      <c r="AZ370" s="114"/>
    </row>
    <row r="371" spans="1:52" ht="19.5" x14ac:dyDescent="0.4">
      <c r="A371" s="117"/>
      <c r="B371" s="123"/>
      <c r="C371" s="123"/>
      <c r="D371" s="123"/>
      <c r="M371" s="26"/>
      <c r="N371" s="13"/>
      <c r="T371" s="115"/>
      <c r="U371" s="115"/>
      <c r="V371" s="115"/>
      <c r="W371" s="115"/>
      <c r="X371" s="26">
        <v>45709</v>
      </c>
      <c r="Y371" s="13" t="s">
        <v>148</v>
      </c>
      <c r="AD371" s="117"/>
      <c r="AE371" s="123"/>
      <c r="AF371" s="123"/>
      <c r="AG371" s="123"/>
      <c r="AH371" s="115"/>
      <c r="AI371" s="115"/>
      <c r="AJ371" s="115"/>
      <c r="AK371" s="115"/>
      <c r="AL371" s="115"/>
      <c r="AM371" s="115"/>
      <c r="AN371" s="115"/>
      <c r="AO371" s="115"/>
      <c r="AP371" s="115"/>
      <c r="AQ371" s="115"/>
      <c r="AR371" s="115"/>
      <c r="AS371" s="115"/>
      <c r="AT371" s="115"/>
      <c r="AU371" s="115"/>
      <c r="AV371" s="13"/>
      <c r="AW371" s="13"/>
      <c r="AZ371" s="114"/>
    </row>
    <row r="372" spans="1:52" ht="19.5" x14ac:dyDescent="0.4">
      <c r="A372" s="117"/>
      <c r="B372" s="123"/>
      <c r="C372" s="123"/>
      <c r="D372" s="123"/>
      <c r="G372" s="115"/>
      <c r="H372" s="115"/>
      <c r="I372" s="115"/>
      <c r="J372" s="115"/>
      <c r="K372" s="115"/>
      <c r="L372" s="115"/>
      <c r="M372" s="17"/>
      <c r="N372" s="13"/>
      <c r="T372" s="115"/>
      <c r="U372" s="115"/>
      <c r="V372" s="115"/>
      <c r="W372" s="115"/>
      <c r="X372" s="26"/>
      <c r="Y372" s="13"/>
      <c r="AD372" s="117"/>
      <c r="AE372" s="123"/>
      <c r="AF372" s="123"/>
      <c r="AG372" s="123"/>
      <c r="AH372" s="115"/>
      <c r="AI372" s="115"/>
      <c r="AJ372" s="115"/>
      <c r="AK372" s="115"/>
      <c r="AL372" s="115"/>
      <c r="AM372" s="115"/>
      <c r="AN372" s="115"/>
      <c r="AO372" s="115"/>
      <c r="AP372" s="115"/>
      <c r="AQ372" s="115"/>
      <c r="AR372" s="115"/>
      <c r="AS372" s="115"/>
      <c r="AT372" s="115"/>
      <c r="AU372" s="115"/>
      <c r="AV372" s="13"/>
      <c r="AW372" s="13"/>
      <c r="AZ372" s="114"/>
    </row>
    <row r="373" spans="1:52" ht="19.5" x14ac:dyDescent="0.4">
      <c r="A373" s="117"/>
      <c r="B373" s="123"/>
      <c r="C373" s="123"/>
      <c r="D373" s="123"/>
      <c r="M373" s="26"/>
      <c r="N373" s="13"/>
      <c r="T373" s="115"/>
      <c r="U373" s="115"/>
      <c r="V373" s="115"/>
      <c r="W373" s="115"/>
      <c r="X373" s="26">
        <v>45709</v>
      </c>
      <c r="Y373" s="13" t="s">
        <v>147</v>
      </c>
      <c r="AD373" s="117"/>
      <c r="AE373" s="123"/>
      <c r="AF373" s="123"/>
      <c r="AG373" s="123"/>
      <c r="AH373" s="115"/>
      <c r="AI373" s="115"/>
      <c r="AJ373" s="115"/>
      <c r="AK373" s="115"/>
      <c r="AL373" s="115"/>
      <c r="AM373" s="115"/>
      <c r="AN373" s="115"/>
      <c r="AO373" s="115"/>
      <c r="AP373" s="115"/>
      <c r="AQ373" s="115"/>
      <c r="AR373" s="115"/>
      <c r="AS373" s="115"/>
      <c r="AT373" s="115"/>
      <c r="AU373" s="115"/>
      <c r="AV373" s="13"/>
      <c r="AW373" s="13"/>
      <c r="AZ373" s="114"/>
    </row>
    <row r="374" spans="1:52" ht="19.5" x14ac:dyDescent="0.4">
      <c r="A374" s="117"/>
      <c r="B374" s="123"/>
      <c r="C374" s="123"/>
      <c r="D374" s="123"/>
      <c r="G374" s="115"/>
      <c r="H374" s="115"/>
      <c r="I374" s="115"/>
      <c r="J374" s="115"/>
      <c r="K374" s="115"/>
      <c r="L374" s="115"/>
      <c r="M374" s="17"/>
      <c r="N374" s="13"/>
      <c r="T374" s="115"/>
      <c r="U374" s="115"/>
      <c r="V374" s="115"/>
      <c r="W374" s="115"/>
      <c r="X374" s="26"/>
      <c r="Y374" s="13"/>
      <c r="AD374" s="117"/>
      <c r="AE374" s="123"/>
      <c r="AF374" s="123"/>
      <c r="AG374" s="123"/>
      <c r="AH374" s="115"/>
      <c r="AI374" s="115"/>
      <c r="AJ374" s="115"/>
      <c r="AK374" s="115"/>
      <c r="AL374" s="115"/>
      <c r="AM374" s="115"/>
      <c r="AN374" s="115"/>
      <c r="AO374" s="115"/>
      <c r="AP374" s="115"/>
      <c r="AQ374" s="115"/>
      <c r="AR374" s="115"/>
      <c r="AS374" s="115"/>
      <c r="AT374" s="115"/>
      <c r="AU374" s="115"/>
      <c r="AV374" s="13"/>
      <c r="AW374" s="13"/>
      <c r="AZ374" s="114"/>
    </row>
    <row r="375" spans="1:52" ht="19.5" x14ac:dyDescent="0.4">
      <c r="A375" s="117"/>
      <c r="B375" s="123"/>
      <c r="C375" s="123"/>
      <c r="D375" s="123"/>
      <c r="M375" s="26"/>
      <c r="N375" s="13"/>
      <c r="T375" s="115"/>
      <c r="U375" s="115"/>
      <c r="V375" s="115"/>
      <c r="W375" s="115"/>
      <c r="X375" s="26">
        <v>45712</v>
      </c>
      <c r="Y375" s="13" t="s">
        <v>146</v>
      </c>
      <c r="AD375" s="117"/>
      <c r="AE375" s="123"/>
      <c r="AF375" s="123"/>
      <c r="AG375" s="123"/>
      <c r="AH375" s="115"/>
      <c r="AI375" s="115"/>
      <c r="AJ375" s="115"/>
      <c r="AK375" s="115"/>
      <c r="AL375" s="115"/>
      <c r="AM375" s="115"/>
      <c r="AN375" s="115"/>
      <c r="AO375" s="115"/>
      <c r="AP375" s="115"/>
      <c r="AQ375" s="115"/>
      <c r="AR375" s="115"/>
      <c r="AS375" s="115"/>
      <c r="AT375" s="115"/>
      <c r="AU375" s="115"/>
      <c r="AV375" s="13"/>
      <c r="AW375" s="13"/>
      <c r="AZ375" s="114"/>
    </row>
    <row r="376" spans="1:52" ht="19.5" x14ac:dyDescent="0.4">
      <c r="A376" s="117"/>
      <c r="B376" s="123"/>
      <c r="C376" s="123"/>
      <c r="D376" s="123"/>
      <c r="M376" s="26"/>
      <c r="N376" s="13"/>
      <c r="T376" s="115"/>
      <c r="U376" s="115"/>
      <c r="V376" s="115"/>
      <c r="W376" s="115"/>
      <c r="X376" s="26">
        <v>45712</v>
      </c>
      <c r="Y376" s="13" t="s">
        <v>148</v>
      </c>
      <c r="AD376" s="117"/>
      <c r="AE376" s="123"/>
      <c r="AF376" s="123"/>
      <c r="AG376" s="123"/>
      <c r="AH376" s="115"/>
      <c r="AI376" s="115"/>
      <c r="AJ376" s="115"/>
      <c r="AK376" s="115"/>
      <c r="AL376" s="115"/>
      <c r="AM376" s="115"/>
      <c r="AN376" s="115"/>
      <c r="AO376" s="115"/>
      <c r="AP376" s="115"/>
      <c r="AQ376" s="115"/>
      <c r="AR376" s="115"/>
      <c r="AS376" s="115"/>
      <c r="AT376" s="115"/>
      <c r="AU376" s="115"/>
      <c r="AV376" s="13"/>
      <c r="AW376" s="13"/>
      <c r="AZ376" s="114"/>
    </row>
    <row r="377" spans="1:52" ht="19.5" x14ac:dyDescent="0.4">
      <c r="A377" s="117"/>
      <c r="B377" s="123"/>
      <c r="C377" s="123"/>
      <c r="D377" s="123"/>
      <c r="G377" s="115"/>
      <c r="H377" s="115"/>
      <c r="I377" s="115"/>
      <c r="J377" s="115"/>
      <c r="K377" s="115"/>
      <c r="L377" s="115"/>
      <c r="M377" s="17"/>
      <c r="N377" s="13"/>
      <c r="T377" s="115"/>
      <c r="U377" s="115"/>
      <c r="V377" s="115"/>
      <c r="W377" s="115"/>
      <c r="X377" s="26"/>
      <c r="Y377" s="13"/>
      <c r="AD377" s="117"/>
      <c r="AE377" s="123"/>
      <c r="AF377" s="123"/>
      <c r="AG377" s="123"/>
      <c r="AH377" s="115"/>
      <c r="AI377" s="115"/>
      <c r="AJ377" s="115"/>
      <c r="AK377" s="115"/>
      <c r="AL377" s="115"/>
      <c r="AM377" s="115"/>
      <c r="AN377" s="115"/>
      <c r="AO377" s="115"/>
      <c r="AP377" s="115"/>
      <c r="AQ377" s="115"/>
      <c r="AR377" s="115"/>
      <c r="AS377" s="115"/>
      <c r="AT377" s="115"/>
      <c r="AU377" s="115"/>
      <c r="AV377" s="13"/>
      <c r="AW377" s="13"/>
      <c r="AZ377" s="114"/>
    </row>
    <row r="378" spans="1:52" ht="19.5" x14ac:dyDescent="0.4">
      <c r="A378" s="117"/>
      <c r="B378" s="123"/>
      <c r="C378" s="123"/>
      <c r="D378" s="123"/>
      <c r="M378" s="26"/>
      <c r="N378" s="13"/>
      <c r="R378" s="115"/>
      <c r="S378" s="115"/>
      <c r="T378" s="115"/>
      <c r="U378" s="115"/>
      <c r="V378" s="115"/>
      <c r="W378" s="115"/>
      <c r="X378" s="26">
        <v>45714</v>
      </c>
      <c r="Y378" s="13" t="s">
        <v>147</v>
      </c>
      <c r="AD378" s="117"/>
      <c r="AE378" s="123"/>
      <c r="AF378" s="123"/>
      <c r="AG378" s="123"/>
      <c r="AH378" s="115"/>
      <c r="AI378" s="115"/>
      <c r="AJ378" s="115"/>
      <c r="AK378" s="115"/>
      <c r="AL378" s="115"/>
      <c r="AM378" s="115"/>
      <c r="AN378" s="115"/>
      <c r="AO378" s="115"/>
      <c r="AP378" s="115"/>
      <c r="AQ378" s="115"/>
      <c r="AR378" s="115"/>
      <c r="AS378" s="115"/>
      <c r="AT378" s="115"/>
      <c r="AU378" s="115"/>
      <c r="AV378" s="13"/>
      <c r="AW378" s="13"/>
      <c r="AZ378" s="114"/>
    </row>
    <row r="379" spans="1:52" ht="19.5" x14ac:dyDescent="0.4">
      <c r="A379" s="117"/>
      <c r="B379" s="123"/>
      <c r="C379" s="123"/>
      <c r="D379" s="123"/>
      <c r="M379" s="26"/>
      <c r="N379" s="13"/>
      <c r="X379" s="26">
        <v>45714</v>
      </c>
      <c r="Y379" s="13" t="s">
        <v>147</v>
      </c>
      <c r="AD379" s="117"/>
      <c r="AE379" s="123"/>
      <c r="AF379" s="123"/>
      <c r="AG379" s="123"/>
      <c r="AH379" s="115"/>
      <c r="AI379" s="115"/>
      <c r="AJ379" s="115"/>
      <c r="AK379" s="115"/>
      <c r="AL379" s="115"/>
      <c r="AM379" s="115"/>
      <c r="AN379" s="115"/>
      <c r="AO379" s="115"/>
      <c r="AP379" s="115"/>
      <c r="AQ379" s="115"/>
      <c r="AR379" s="115"/>
      <c r="AS379" s="115"/>
      <c r="AT379" s="115"/>
      <c r="AU379" s="115"/>
      <c r="AV379" s="25">
        <v>45269</v>
      </c>
      <c r="AW379" s="13" t="s">
        <v>163</v>
      </c>
      <c r="AZ379" s="114"/>
    </row>
    <row r="380" spans="1:52" ht="19.5" x14ac:dyDescent="0.4">
      <c r="A380" s="117"/>
      <c r="B380" s="123"/>
      <c r="C380" s="123"/>
      <c r="D380" s="123"/>
      <c r="M380" s="26"/>
      <c r="N380" s="13"/>
      <c r="O380" s="115"/>
      <c r="P380" s="115"/>
      <c r="Q380" s="115"/>
      <c r="R380" s="115"/>
      <c r="S380" s="115"/>
      <c r="T380" s="115"/>
      <c r="U380" s="115"/>
      <c r="V380" s="115"/>
      <c r="W380" s="115"/>
      <c r="X380" s="26">
        <v>45714</v>
      </c>
      <c r="Y380" s="13" t="s">
        <v>147</v>
      </c>
      <c r="AD380" s="117"/>
      <c r="AE380" s="123"/>
      <c r="AF380" s="123"/>
      <c r="AG380" s="123"/>
      <c r="AH380" s="115"/>
      <c r="AI380" s="115"/>
      <c r="AJ380" s="115"/>
      <c r="AK380" s="115"/>
      <c r="AL380" s="115"/>
      <c r="AM380" s="115"/>
      <c r="AN380" s="115"/>
      <c r="AO380" s="115"/>
      <c r="AP380" s="115"/>
      <c r="AQ380" s="115"/>
      <c r="AR380" s="115"/>
      <c r="AS380" s="115"/>
      <c r="AT380" s="115"/>
      <c r="AU380" s="115"/>
      <c r="AV380" s="25"/>
      <c r="AW380" s="13"/>
      <c r="AZ380" s="114"/>
    </row>
    <row r="381" spans="1:52" ht="19.5" x14ac:dyDescent="0.4">
      <c r="A381" s="117"/>
      <c r="B381" s="123"/>
      <c r="C381" s="123"/>
      <c r="D381" s="123"/>
      <c r="M381" s="26"/>
      <c r="N381" s="13"/>
      <c r="O381" s="115"/>
      <c r="P381" s="115"/>
      <c r="Q381" s="115"/>
      <c r="R381" s="115"/>
      <c r="S381" s="115"/>
      <c r="T381" s="115"/>
      <c r="U381" s="115"/>
      <c r="V381" s="115" t="s">
        <v>145</v>
      </c>
      <c r="W381" s="115">
        <f>SUBTOTAL(3,W2:W380)</f>
        <v>0</v>
      </c>
      <c r="X381" s="26"/>
      <c r="Y381" s="13">
        <f>SUBTOTAL(3,Y2:Y380)</f>
        <v>145</v>
      </c>
      <c r="AD381" s="117"/>
      <c r="AE381" s="123"/>
      <c r="AF381" s="123"/>
      <c r="AG381" s="123"/>
      <c r="AH381" s="115"/>
      <c r="AI381" s="115"/>
      <c r="AJ381" s="115"/>
      <c r="AK381" s="115"/>
      <c r="AL381" s="115"/>
      <c r="AM381" s="115"/>
      <c r="AN381" s="115"/>
      <c r="AO381" s="115"/>
      <c r="AP381" s="115"/>
      <c r="AQ381" s="115"/>
      <c r="AR381" s="115"/>
      <c r="AS381" s="115"/>
      <c r="AT381" s="115"/>
      <c r="AU381" s="115"/>
      <c r="AV381" s="25"/>
      <c r="AW381" s="13"/>
      <c r="AZ381" s="114"/>
    </row>
    <row r="382" spans="1:52" ht="19.5" x14ac:dyDescent="0.4">
      <c r="A382" s="117"/>
      <c r="B382" s="123"/>
      <c r="C382" s="123"/>
      <c r="D382" s="123"/>
      <c r="M382" s="26"/>
      <c r="N382" s="13"/>
      <c r="X382" s="26"/>
      <c r="Y382" s="13"/>
      <c r="AD382" s="117"/>
      <c r="AE382" s="123"/>
      <c r="AF382" s="123"/>
      <c r="AG382" s="123"/>
      <c r="AH382" s="115"/>
      <c r="AI382" s="115"/>
      <c r="AJ382" s="115"/>
      <c r="AK382" s="115"/>
      <c r="AL382" s="115"/>
      <c r="AM382" s="115"/>
      <c r="AN382" s="115"/>
      <c r="AO382" s="115"/>
      <c r="AP382" s="115"/>
      <c r="AQ382" s="115"/>
      <c r="AR382" s="115"/>
      <c r="AS382" s="115"/>
      <c r="AT382" s="115"/>
      <c r="AU382" s="115"/>
      <c r="AV382" s="25">
        <v>45269</v>
      </c>
      <c r="AW382" s="13" t="s">
        <v>163</v>
      </c>
      <c r="AZ382" s="114"/>
    </row>
    <row r="383" spans="1:52" ht="19.5" x14ac:dyDescent="0.4">
      <c r="A383" s="117"/>
      <c r="B383" s="123"/>
      <c r="C383" s="123"/>
      <c r="D383" s="123"/>
      <c r="M383" s="26"/>
      <c r="N383" s="13"/>
      <c r="Q383" s="115"/>
      <c r="R383" s="115"/>
      <c r="S383" s="115"/>
      <c r="T383" s="115"/>
      <c r="U383" s="115"/>
      <c r="V383" s="115"/>
      <c r="W383" s="115"/>
      <c r="X383" s="26"/>
      <c r="Y383" s="13"/>
      <c r="AD383" s="117"/>
      <c r="AE383" s="123"/>
      <c r="AF383" s="123"/>
      <c r="AG383" s="123"/>
      <c r="AH383" s="115"/>
      <c r="AI383" s="115"/>
      <c r="AJ383" s="115"/>
      <c r="AK383" s="115"/>
      <c r="AL383" s="115"/>
      <c r="AM383" s="115"/>
      <c r="AN383" s="115"/>
      <c r="AO383" s="115"/>
      <c r="AP383" s="115"/>
      <c r="AQ383" s="115"/>
      <c r="AR383" s="115"/>
      <c r="AS383" s="115"/>
      <c r="AT383" s="115"/>
      <c r="AU383" s="115"/>
      <c r="AV383" s="25"/>
      <c r="AW383" s="13"/>
      <c r="AZ383" s="114"/>
    </row>
    <row r="384" spans="1:52" ht="19.5" x14ac:dyDescent="0.4">
      <c r="A384" s="117"/>
      <c r="B384" s="123"/>
      <c r="C384" s="123"/>
      <c r="D384" s="123"/>
      <c r="M384" s="26"/>
      <c r="N384" s="13"/>
      <c r="X384" s="26"/>
      <c r="Y384" s="13"/>
      <c r="AD384" s="117"/>
      <c r="AE384" s="123"/>
      <c r="AF384" s="123"/>
      <c r="AG384" s="123"/>
      <c r="AH384" s="115"/>
      <c r="AI384" s="115"/>
      <c r="AJ384" s="115"/>
      <c r="AK384" s="115"/>
      <c r="AL384" s="115"/>
      <c r="AM384" s="115"/>
      <c r="AN384" s="115"/>
      <c r="AO384" s="115"/>
      <c r="AP384" s="115"/>
      <c r="AQ384" s="115"/>
      <c r="AR384" s="115"/>
      <c r="AS384" s="115"/>
      <c r="AT384" s="115"/>
      <c r="AU384" s="115" t="s">
        <v>159</v>
      </c>
      <c r="AV384" s="13">
        <f>SUBTOTAL(3,AV379:AV382)</f>
        <v>2</v>
      </c>
      <c r="AW384" s="13">
        <f>SUBTOTAL(3,AW379:AW382)</f>
        <v>2</v>
      </c>
      <c r="AZ384" s="114"/>
    </row>
    <row r="385" spans="1:52" ht="19.5" x14ac:dyDescent="0.4">
      <c r="A385" s="117"/>
      <c r="B385" s="123"/>
      <c r="C385" s="123"/>
      <c r="D385" s="123"/>
      <c r="M385" s="26"/>
      <c r="N385" s="13"/>
      <c r="O385" s="115"/>
      <c r="P385" s="115"/>
      <c r="Q385" s="115"/>
      <c r="R385" s="115"/>
      <c r="S385" s="115"/>
      <c r="T385" s="115"/>
      <c r="U385" s="115"/>
      <c r="V385" s="115"/>
      <c r="W385" s="115"/>
      <c r="X385" s="26"/>
      <c r="Y385" s="13"/>
      <c r="AD385" s="117"/>
      <c r="AE385" s="123"/>
      <c r="AF385" s="123"/>
      <c r="AG385" s="123"/>
      <c r="AH385" s="115"/>
      <c r="AI385" s="115"/>
      <c r="AJ385" s="115"/>
      <c r="AK385" s="115"/>
      <c r="AL385" s="115"/>
      <c r="AM385" s="115"/>
      <c r="AN385" s="115"/>
      <c r="AO385" s="115"/>
      <c r="AP385" s="115"/>
      <c r="AQ385" s="115"/>
      <c r="AR385" s="115"/>
      <c r="AS385" s="115"/>
      <c r="AT385" s="115"/>
      <c r="AU385" s="115"/>
      <c r="AV385" s="13"/>
      <c r="AW385" s="13"/>
      <c r="AZ385" s="114"/>
    </row>
    <row r="386" spans="1:52" ht="19.5" x14ac:dyDescent="0.4">
      <c r="A386" s="117"/>
      <c r="B386" s="123"/>
      <c r="C386" s="123"/>
      <c r="D386" s="123"/>
      <c r="M386" s="26"/>
      <c r="N386" s="13"/>
      <c r="O386" s="115"/>
      <c r="P386" s="115"/>
      <c r="Q386" s="115"/>
      <c r="R386" s="115"/>
      <c r="S386" s="115"/>
      <c r="T386" s="115"/>
      <c r="U386" s="115"/>
      <c r="V386" s="115"/>
      <c r="W386" s="115"/>
      <c r="X386" s="26"/>
      <c r="Y386" s="13"/>
      <c r="AD386" s="117"/>
      <c r="AE386" s="123"/>
      <c r="AF386" s="123"/>
      <c r="AG386" s="123"/>
      <c r="AH386" s="115"/>
      <c r="AI386" s="115"/>
      <c r="AJ386" s="115"/>
      <c r="AK386" s="115"/>
      <c r="AL386" s="115"/>
      <c r="AM386" s="115"/>
      <c r="AN386" s="115"/>
      <c r="AO386" s="115"/>
      <c r="AP386" s="115"/>
      <c r="AQ386" s="115"/>
      <c r="AR386" s="115"/>
      <c r="AS386" s="115"/>
      <c r="AT386" s="115"/>
      <c r="AU386" s="115"/>
      <c r="AV386" s="13"/>
      <c r="AW386" s="13"/>
      <c r="AZ386" s="114"/>
    </row>
    <row r="387" spans="1:52" ht="19.5" x14ac:dyDescent="0.4">
      <c r="A387" s="117"/>
      <c r="B387" s="123"/>
      <c r="C387" s="123"/>
      <c r="D387" s="123"/>
      <c r="F387" s="115"/>
      <c r="G387" s="115"/>
      <c r="H387" s="115"/>
      <c r="I387" s="115"/>
      <c r="J387" s="115"/>
      <c r="K387" s="115"/>
      <c r="L387" s="115"/>
      <c r="M387" s="26"/>
      <c r="N387" s="13"/>
      <c r="O387" s="115"/>
      <c r="P387" s="115"/>
      <c r="Q387" s="115"/>
      <c r="R387" s="115"/>
      <c r="S387" s="115"/>
      <c r="T387" s="115"/>
      <c r="U387" s="115"/>
      <c r="V387" s="115"/>
      <c r="W387" s="115"/>
      <c r="X387" s="26"/>
      <c r="Y387" s="13"/>
      <c r="AD387" s="117"/>
      <c r="AE387" s="123"/>
      <c r="AF387" s="123"/>
      <c r="AG387" s="123"/>
      <c r="AH387" s="115"/>
      <c r="AI387" s="115"/>
      <c r="AJ387" s="115"/>
      <c r="AK387" s="115"/>
      <c r="AL387" s="115"/>
      <c r="AM387" s="115"/>
      <c r="AN387" s="115"/>
      <c r="AO387" s="115"/>
      <c r="AP387" s="115"/>
      <c r="AQ387" s="115"/>
      <c r="AR387" s="115"/>
      <c r="AS387" s="115"/>
      <c r="AT387" s="115"/>
      <c r="AU387" s="115"/>
      <c r="AV387" s="13"/>
      <c r="AW387" s="13"/>
      <c r="AZ387" s="114"/>
    </row>
    <row r="388" spans="1:52" ht="19.5" x14ac:dyDescent="0.4">
      <c r="A388" s="117"/>
      <c r="B388" s="123"/>
      <c r="C388" s="123"/>
      <c r="D388" s="123"/>
      <c r="M388" s="26"/>
      <c r="N388" s="13"/>
      <c r="X388" s="26"/>
      <c r="Y388" s="13"/>
      <c r="AD388" s="117"/>
      <c r="AE388" s="123"/>
      <c r="AF388" s="123"/>
      <c r="AG388" s="123"/>
      <c r="AH388" s="115"/>
      <c r="AI388" s="115"/>
      <c r="AJ388" s="115"/>
      <c r="AK388" s="115"/>
      <c r="AL388" s="115"/>
      <c r="AM388" s="115"/>
      <c r="AN388" s="115"/>
      <c r="AO388" s="115"/>
      <c r="AP388" s="115"/>
      <c r="AQ388" s="115"/>
      <c r="AR388" s="115"/>
      <c r="AS388" s="115"/>
      <c r="AT388" s="115"/>
      <c r="AU388" s="115"/>
      <c r="AV388" s="25">
        <v>45270</v>
      </c>
      <c r="AW388" s="13" t="s">
        <v>164</v>
      </c>
      <c r="AZ388" s="114"/>
    </row>
    <row r="389" spans="1:52" ht="19.5" x14ac:dyDescent="0.4">
      <c r="A389" s="117"/>
      <c r="B389" s="123"/>
      <c r="C389" s="123"/>
      <c r="D389" s="123"/>
      <c r="M389" s="26"/>
      <c r="N389" s="13"/>
      <c r="S389" s="115"/>
      <c r="T389" s="115"/>
      <c r="U389" s="115"/>
      <c r="V389" s="115"/>
      <c r="W389" s="115"/>
      <c r="X389" s="17"/>
      <c r="Y389" s="13"/>
      <c r="AD389" s="117"/>
      <c r="AE389" s="123"/>
      <c r="AF389" s="123"/>
      <c r="AG389" s="123"/>
      <c r="AH389" s="115"/>
      <c r="AI389" s="115"/>
      <c r="AJ389" s="115"/>
      <c r="AK389" s="115"/>
      <c r="AL389" s="115"/>
      <c r="AM389" s="115"/>
      <c r="AN389" s="115"/>
      <c r="AO389" s="115"/>
      <c r="AP389" s="115"/>
      <c r="AQ389" s="115"/>
      <c r="AR389" s="115"/>
      <c r="AS389" s="115"/>
      <c r="AT389" s="115"/>
      <c r="AU389" s="115"/>
      <c r="AV389" s="25"/>
      <c r="AW389" s="13"/>
      <c r="AZ389" s="114"/>
    </row>
    <row r="390" spans="1:52" ht="19.5" x14ac:dyDescent="0.4">
      <c r="A390" s="117"/>
      <c r="B390" s="123"/>
      <c r="C390" s="123"/>
      <c r="D390" s="123"/>
      <c r="M390" s="26"/>
      <c r="N390" s="13"/>
      <c r="X390" s="26"/>
      <c r="Y390" s="13"/>
      <c r="AD390" s="117"/>
      <c r="AE390" s="123"/>
      <c r="AF390" s="123"/>
      <c r="AG390" s="123"/>
      <c r="AH390" s="115"/>
      <c r="AI390" s="115"/>
      <c r="AJ390" s="115"/>
      <c r="AK390" s="115"/>
      <c r="AL390" s="115"/>
      <c r="AM390" s="115"/>
      <c r="AN390" s="115"/>
      <c r="AO390" s="115"/>
      <c r="AP390" s="115"/>
      <c r="AQ390" s="115"/>
      <c r="AR390" s="115"/>
      <c r="AS390" s="115"/>
      <c r="AT390" s="115"/>
      <c r="AU390" s="115"/>
      <c r="AV390" s="25"/>
      <c r="AW390" s="13"/>
      <c r="AZ390" s="114"/>
    </row>
    <row r="391" spans="1:52" ht="19.5" x14ac:dyDescent="0.4">
      <c r="A391" s="117"/>
      <c r="B391" s="123"/>
      <c r="C391" s="123"/>
      <c r="D391" s="123"/>
      <c r="M391" s="26"/>
      <c r="N391" s="13"/>
      <c r="P391" s="115"/>
      <c r="Q391" s="115"/>
      <c r="R391" s="115"/>
      <c r="S391" s="115"/>
      <c r="T391" s="115"/>
      <c r="U391" s="115"/>
      <c r="V391" s="115"/>
      <c r="W391" s="115"/>
      <c r="X391" s="26"/>
      <c r="Y391" s="13"/>
      <c r="AD391" s="117"/>
      <c r="AE391" s="123"/>
      <c r="AF391" s="123"/>
      <c r="AG391" s="123"/>
      <c r="AH391" s="115"/>
      <c r="AI391" s="115"/>
      <c r="AJ391" s="115"/>
      <c r="AK391" s="115"/>
      <c r="AL391" s="115"/>
      <c r="AM391" s="115"/>
      <c r="AN391" s="115"/>
      <c r="AO391" s="115"/>
      <c r="AP391" s="115"/>
      <c r="AQ391" s="115"/>
      <c r="AR391" s="115"/>
      <c r="AS391" s="115"/>
      <c r="AT391" s="115"/>
      <c r="AU391" s="115"/>
      <c r="AV391" s="25"/>
      <c r="AW391" s="13"/>
      <c r="AZ391" s="114"/>
    </row>
    <row r="392" spans="1:52" ht="19.5" x14ac:dyDescent="0.4">
      <c r="A392" s="117"/>
      <c r="B392" s="123"/>
      <c r="C392" s="123"/>
      <c r="D392" s="123"/>
      <c r="M392" s="26"/>
      <c r="N392" s="13"/>
      <c r="X392" s="26"/>
      <c r="Y392" s="13"/>
      <c r="AD392" s="117"/>
      <c r="AE392" s="123"/>
      <c r="AF392" s="123"/>
      <c r="AG392" s="123"/>
      <c r="AH392" s="115"/>
      <c r="AI392" s="115"/>
      <c r="AJ392" s="115"/>
      <c r="AK392" s="115"/>
      <c r="AL392" s="115"/>
      <c r="AM392" s="115"/>
      <c r="AN392" s="115"/>
      <c r="AO392" s="115"/>
      <c r="AP392" s="115"/>
      <c r="AQ392" s="115"/>
      <c r="AR392" s="115"/>
      <c r="AS392" s="115"/>
      <c r="AT392" s="115"/>
      <c r="AU392" s="115"/>
      <c r="AV392" s="25">
        <v>45270</v>
      </c>
      <c r="AW392" s="13" t="s">
        <v>164</v>
      </c>
      <c r="AZ392" s="114"/>
    </row>
    <row r="393" spans="1:52" ht="19.5" x14ac:dyDescent="0.4">
      <c r="A393" s="117"/>
      <c r="B393" s="123"/>
      <c r="C393" s="123"/>
      <c r="D393" s="123"/>
      <c r="M393" s="26"/>
      <c r="N393" s="13"/>
      <c r="R393" s="115"/>
      <c r="S393" s="115"/>
      <c r="T393" s="115"/>
      <c r="U393" s="115"/>
      <c r="V393" s="115"/>
      <c r="W393" s="115"/>
      <c r="X393" s="26"/>
      <c r="Y393" s="13"/>
      <c r="AD393" s="117"/>
      <c r="AE393" s="123"/>
      <c r="AF393" s="123"/>
      <c r="AG393" s="123"/>
      <c r="AH393" s="115"/>
      <c r="AI393" s="115"/>
      <c r="AJ393" s="115"/>
      <c r="AK393" s="115"/>
      <c r="AL393" s="115"/>
      <c r="AM393" s="115"/>
      <c r="AN393" s="115"/>
      <c r="AO393" s="115"/>
      <c r="AP393" s="115"/>
      <c r="AQ393" s="115"/>
      <c r="AR393" s="115"/>
      <c r="AS393" s="115"/>
      <c r="AT393" s="115"/>
      <c r="AU393" s="115"/>
      <c r="AV393" s="25"/>
      <c r="AW393" s="13"/>
      <c r="AZ393" s="114"/>
    </row>
    <row r="394" spans="1:52" ht="19.5" x14ac:dyDescent="0.4">
      <c r="A394" s="117"/>
      <c r="B394" s="123"/>
      <c r="C394" s="123"/>
      <c r="D394" s="123"/>
      <c r="F394" s="115"/>
      <c r="G394" s="115"/>
      <c r="H394" s="115"/>
      <c r="I394" s="115"/>
      <c r="J394" s="115"/>
      <c r="K394" s="115"/>
      <c r="L394" s="115"/>
      <c r="M394" s="26"/>
      <c r="N394" s="13"/>
      <c r="O394" s="115"/>
      <c r="P394" s="115"/>
      <c r="Q394" s="115"/>
      <c r="R394" s="115"/>
      <c r="S394" s="115"/>
      <c r="T394" s="115"/>
      <c r="U394" s="115"/>
      <c r="V394" s="115"/>
      <c r="W394" s="115"/>
      <c r="X394" s="26"/>
      <c r="Y394" s="13"/>
      <c r="AD394" s="117"/>
      <c r="AE394" s="123"/>
      <c r="AF394" s="123"/>
      <c r="AG394" s="123"/>
      <c r="AH394" s="115"/>
      <c r="AI394" s="115"/>
      <c r="AJ394" s="115"/>
      <c r="AK394" s="115"/>
      <c r="AL394" s="115"/>
      <c r="AM394" s="115"/>
      <c r="AN394" s="115"/>
      <c r="AO394" s="115"/>
      <c r="AP394" s="115"/>
      <c r="AQ394" s="115"/>
      <c r="AR394" s="115"/>
      <c r="AS394" s="115"/>
      <c r="AT394" s="115"/>
      <c r="AU394" s="115"/>
      <c r="AV394" s="25"/>
      <c r="AW394" s="13"/>
      <c r="AZ394" s="114"/>
    </row>
    <row r="395" spans="1:52" ht="19.5" x14ac:dyDescent="0.4">
      <c r="A395" s="117"/>
      <c r="B395" s="123"/>
      <c r="C395" s="123"/>
      <c r="D395" s="123"/>
      <c r="M395" s="26"/>
      <c r="N395" s="15"/>
      <c r="X395" s="26"/>
      <c r="Y395" s="13"/>
      <c r="AD395" s="117"/>
      <c r="AE395" s="123"/>
      <c r="AF395" s="123"/>
      <c r="AG395" s="123"/>
      <c r="AH395" s="115"/>
      <c r="AI395" s="115"/>
      <c r="AJ395" s="115"/>
      <c r="AK395" s="115"/>
      <c r="AL395" s="115"/>
      <c r="AM395" s="115"/>
      <c r="AN395" s="115"/>
      <c r="AO395" s="115"/>
      <c r="AP395" s="115"/>
      <c r="AQ395" s="115"/>
      <c r="AR395" s="115"/>
      <c r="AS395" s="115"/>
      <c r="AT395" s="115"/>
      <c r="AU395" s="115"/>
      <c r="AV395" s="25">
        <v>45270</v>
      </c>
      <c r="AW395" s="13" t="s">
        <v>162</v>
      </c>
      <c r="AZ395" s="114"/>
    </row>
    <row r="396" spans="1:52" ht="19.5" x14ac:dyDescent="0.4">
      <c r="A396" s="117"/>
      <c r="B396" s="123"/>
      <c r="C396" s="123"/>
      <c r="D396" s="123"/>
      <c r="M396" s="26"/>
      <c r="N396" s="15"/>
      <c r="Q396" s="115"/>
      <c r="R396" s="115"/>
      <c r="S396" s="115"/>
      <c r="T396" s="115"/>
      <c r="U396" s="115"/>
      <c r="V396" s="115"/>
      <c r="W396" s="115"/>
      <c r="X396" s="26"/>
      <c r="Y396" s="15"/>
      <c r="AD396" s="117"/>
      <c r="AE396" s="123"/>
      <c r="AF396" s="123"/>
      <c r="AG396" s="123"/>
      <c r="AH396" s="115"/>
      <c r="AI396" s="115"/>
      <c r="AJ396" s="115"/>
      <c r="AK396" s="115"/>
      <c r="AL396" s="115"/>
      <c r="AM396" s="115"/>
      <c r="AN396" s="115"/>
      <c r="AO396" s="115"/>
      <c r="AP396" s="115"/>
      <c r="AQ396" s="115"/>
      <c r="AR396" s="115"/>
      <c r="AS396" s="115"/>
      <c r="AT396" s="115"/>
      <c r="AU396" s="115"/>
      <c r="AV396" s="25"/>
      <c r="AW396" s="13"/>
      <c r="AZ396" s="114"/>
    </row>
    <row r="397" spans="1:52" ht="19.5" x14ac:dyDescent="0.4">
      <c r="A397" s="117"/>
      <c r="B397" s="123"/>
      <c r="C397" s="123"/>
      <c r="D397" s="123"/>
      <c r="G397" s="115"/>
      <c r="H397" s="115"/>
      <c r="I397" s="115"/>
      <c r="J397" s="115"/>
      <c r="K397" s="115"/>
      <c r="L397" s="115"/>
      <c r="M397" s="17"/>
      <c r="N397" s="15"/>
      <c r="Q397" s="115"/>
      <c r="R397" s="115"/>
      <c r="S397" s="115"/>
      <c r="T397" s="115"/>
      <c r="U397" s="115"/>
      <c r="V397" s="115"/>
      <c r="W397" s="115"/>
      <c r="X397" s="26"/>
      <c r="Y397" s="13"/>
      <c r="AD397" s="117"/>
      <c r="AE397" s="123"/>
      <c r="AF397" s="123"/>
      <c r="AG397" s="123"/>
      <c r="AH397" s="115"/>
      <c r="AI397" s="115"/>
      <c r="AJ397" s="115"/>
      <c r="AK397" s="115"/>
      <c r="AL397" s="115"/>
      <c r="AM397" s="115"/>
      <c r="AN397" s="115"/>
      <c r="AO397" s="115"/>
      <c r="AP397" s="115"/>
      <c r="AQ397" s="115"/>
      <c r="AR397" s="115"/>
      <c r="AS397" s="115"/>
      <c r="AT397" s="115"/>
      <c r="AU397" s="115"/>
      <c r="AV397" s="25"/>
      <c r="AW397" s="13"/>
      <c r="AZ397" s="114"/>
    </row>
    <row r="398" spans="1:52" ht="19.5" x14ac:dyDescent="0.4">
      <c r="A398" s="117"/>
      <c r="B398" s="123"/>
      <c r="C398" s="123"/>
      <c r="D398" s="123"/>
      <c r="M398" s="26"/>
      <c r="N398" s="15"/>
      <c r="X398" s="26"/>
      <c r="Y398" s="13"/>
      <c r="AD398" s="117"/>
      <c r="AE398" s="123"/>
      <c r="AF398" s="123"/>
      <c r="AG398" s="123"/>
      <c r="AH398" s="115"/>
      <c r="AI398" s="115"/>
      <c r="AJ398" s="115"/>
      <c r="AK398" s="115"/>
      <c r="AL398" s="115"/>
      <c r="AM398" s="115"/>
      <c r="AN398" s="115"/>
      <c r="AO398" s="115"/>
      <c r="AP398" s="115"/>
      <c r="AQ398" s="115"/>
      <c r="AR398" s="115"/>
      <c r="AS398" s="115"/>
      <c r="AT398" s="115"/>
      <c r="AU398" s="115"/>
      <c r="AV398" s="25">
        <v>45270</v>
      </c>
      <c r="AW398" s="13" t="s">
        <v>162</v>
      </c>
      <c r="AZ398" s="114"/>
    </row>
    <row r="399" spans="1:52" ht="19.5" x14ac:dyDescent="0.4">
      <c r="A399" s="117"/>
      <c r="B399" s="123"/>
      <c r="C399" s="123"/>
      <c r="D399" s="123"/>
      <c r="G399" s="115"/>
      <c r="H399" s="115"/>
      <c r="I399" s="115"/>
      <c r="J399" s="115"/>
      <c r="K399" s="115"/>
      <c r="L399" s="115"/>
      <c r="M399" s="17"/>
      <c r="N399" s="15"/>
      <c r="X399" s="26"/>
      <c r="Y399" s="13"/>
      <c r="AD399" s="117"/>
      <c r="AE399" s="123"/>
      <c r="AF399" s="123"/>
      <c r="AG399" s="123"/>
      <c r="AH399" s="115"/>
      <c r="AI399" s="115"/>
      <c r="AJ399" s="115"/>
      <c r="AK399" s="115"/>
      <c r="AL399" s="115"/>
      <c r="AM399" s="115"/>
      <c r="AN399" s="115"/>
      <c r="AO399" s="115"/>
      <c r="AP399" s="115"/>
      <c r="AQ399" s="115"/>
      <c r="AR399" s="115"/>
      <c r="AS399" s="115"/>
      <c r="AT399" s="115"/>
      <c r="AU399" s="115"/>
      <c r="AV399" s="25"/>
      <c r="AW399" s="13"/>
      <c r="AZ399" s="114"/>
    </row>
    <row r="400" spans="1:52" ht="19.5" x14ac:dyDescent="0.4">
      <c r="A400" s="117"/>
      <c r="B400" s="123"/>
      <c r="C400" s="123"/>
      <c r="D400" s="123"/>
      <c r="M400" s="26"/>
      <c r="N400" s="15"/>
      <c r="S400" s="115"/>
      <c r="T400" s="115"/>
      <c r="U400" s="115"/>
      <c r="V400" s="115"/>
      <c r="W400" s="115"/>
      <c r="X400" s="17"/>
      <c r="Y400" s="13"/>
      <c r="AD400" s="117"/>
      <c r="AE400" s="123"/>
      <c r="AF400" s="123"/>
      <c r="AG400" s="123"/>
      <c r="AH400" s="115"/>
      <c r="AI400" s="115"/>
      <c r="AJ400" s="115"/>
      <c r="AK400" s="115"/>
      <c r="AL400" s="115"/>
      <c r="AM400" s="115"/>
      <c r="AN400" s="115"/>
      <c r="AO400" s="115"/>
      <c r="AP400" s="115"/>
      <c r="AQ400" s="115"/>
      <c r="AR400" s="115"/>
      <c r="AS400" s="115"/>
      <c r="AT400" s="115"/>
      <c r="AU400" s="115"/>
      <c r="AV400" s="25"/>
      <c r="AW400" s="13"/>
      <c r="AZ400" s="114"/>
    </row>
    <row r="401" spans="1:52" ht="19.5" x14ac:dyDescent="0.4">
      <c r="A401" s="117"/>
      <c r="B401" s="123"/>
      <c r="C401" s="123"/>
      <c r="D401" s="123"/>
      <c r="G401" s="115"/>
      <c r="H401" s="115"/>
      <c r="I401" s="115"/>
      <c r="J401" s="115"/>
      <c r="K401" s="115"/>
      <c r="L401" s="115"/>
      <c r="M401" s="119"/>
      <c r="N401" s="119"/>
      <c r="S401" s="115"/>
      <c r="T401" s="115"/>
      <c r="U401" s="115"/>
      <c r="V401" s="115"/>
      <c r="W401" s="115"/>
      <c r="X401" s="17"/>
      <c r="Y401" s="13"/>
      <c r="AD401" s="117"/>
      <c r="AE401" s="123"/>
      <c r="AF401" s="123"/>
      <c r="AG401" s="123"/>
      <c r="AH401" s="115"/>
      <c r="AI401" s="115"/>
      <c r="AJ401" s="115"/>
      <c r="AK401" s="115"/>
      <c r="AL401" s="115"/>
      <c r="AM401" s="115"/>
      <c r="AN401" s="115"/>
      <c r="AO401" s="115"/>
      <c r="AP401" s="115"/>
      <c r="AQ401" s="115"/>
      <c r="AR401" s="115"/>
      <c r="AS401" s="115"/>
      <c r="AT401" s="115"/>
      <c r="AU401" s="115"/>
      <c r="AV401" s="25"/>
      <c r="AW401" s="13"/>
      <c r="AZ401" s="114"/>
    </row>
    <row r="402" spans="1:52" ht="19.5" x14ac:dyDescent="0.4">
      <c r="A402" s="117"/>
      <c r="B402" s="123"/>
      <c r="C402" s="123"/>
      <c r="D402" s="123"/>
      <c r="G402" s="115"/>
      <c r="H402" s="115"/>
      <c r="I402" s="115"/>
      <c r="J402" s="115"/>
      <c r="K402" s="115"/>
      <c r="L402" s="115"/>
      <c r="M402" s="119"/>
      <c r="N402" s="119"/>
      <c r="S402" s="115"/>
      <c r="T402" s="115"/>
      <c r="U402" s="115"/>
      <c r="V402" s="115"/>
      <c r="W402" s="115"/>
      <c r="X402" s="17"/>
      <c r="Y402" s="13"/>
      <c r="AD402" s="117"/>
      <c r="AE402" s="123"/>
      <c r="AF402" s="123"/>
      <c r="AG402" s="123"/>
      <c r="AH402" s="115"/>
      <c r="AI402" s="115"/>
      <c r="AJ402" s="115"/>
      <c r="AK402" s="115"/>
      <c r="AL402" s="115"/>
      <c r="AM402" s="115"/>
      <c r="AN402" s="115"/>
      <c r="AO402" s="115"/>
      <c r="AP402" s="115"/>
      <c r="AQ402" s="115"/>
      <c r="AR402" s="115"/>
      <c r="AS402" s="115"/>
      <c r="AT402" s="115"/>
      <c r="AU402" s="115"/>
      <c r="AV402" s="25"/>
      <c r="AW402" s="13"/>
      <c r="AZ402" s="114"/>
    </row>
    <row r="403" spans="1:52" ht="19.5" x14ac:dyDescent="0.4">
      <c r="A403" s="117"/>
      <c r="B403" s="123"/>
      <c r="C403" s="123"/>
      <c r="D403" s="123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26"/>
      <c r="Y403" s="13"/>
      <c r="AD403" s="117"/>
      <c r="AE403" s="123"/>
      <c r="AF403" s="123"/>
      <c r="AG403" s="123"/>
      <c r="AH403" s="115"/>
      <c r="AI403" s="115"/>
      <c r="AJ403" s="115"/>
      <c r="AK403" s="115"/>
      <c r="AL403" s="115"/>
      <c r="AM403" s="115"/>
      <c r="AN403" s="115"/>
      <c r="AO403" s="115"/>
      <c r="AP403" s="115"/>
      <c r="AQ403" s="115"/>
      <c r="AR403" s="115"/>
      <c r="AS403" s="115"/>
      <c r="AT403" s="115"/>
      <c r="AU403" s="115"/>
      <c r="AV403" s="25"/>
      <c r="AW403" s="13"/>
      <c r="AZ403" s="114"/>
    </row>
    <row r="404" spans="1:52" ht="19.5" x14ac:dyDescent="0.4">
      <c r="A404" s="117"/>
      <c r="B404" s="123"/>
      <c r="C404" s="123"/>
      <c r="D404" s="123"/>
      <c r="X404" s="26"/>
      <c r="Y404" s="13"/>
      <c r="AD404" s="117"/>
      <c r="AE404" s="123"/>
      <c r="AF404" s="123"/>
      <c r="AG404" s="123"/>
      <c r="AH404" s="115"/>
      <c r="AI404" s="115"/>
      <c r="AJ404" s="115"/>
      <c r="AK404" s="115"/>
      <c r="AL404" s="115"/>
      <c r="AM404" s="115"/>
      <c r="AN404" s="115"/>
      <c r="AO404" s="115"/>
      <c r="AP404" s="115"/>
      <c r="AQ404" s="115"/>
      <c r="AR404" s="115"/>
      <c r="AS404" s="115"/>
      <c r="AT404" s="115"/>
      <c r="AU404" s="115"/>
      <c r="AV404" s="25"/>
      <c r="AW404" s="13"/>
      <c r="AZ404" s="114"/>
    </row>
    <row r="405" spans="1:52" ht="19.5" x14ac:dyDescent="0.4">
      <c r="A405" s="117"/>
      <c r="B405" s="123"/>
      <c r="C405" s="123"/>
      <c r="D405" s="123"/>
      <c r="X405" s="26"/>
      <c r="Y405" s="13"/>
      <c r="AD405" s="117"/>
      <c r="AE405" s="123"/>
      <c r="AF405" s="123"/>
      <c r="AG405" s="123"/>
      <c r="AH405" s="115"/>
      <c r="AI405" s="115"/>
      <c r="AJ405" s="115"/>
      <c r="AK405" s="115"/>
      <c r="AL405" s="115"/>
      <c r="AM405" s="115"/>
      <c r="AN405" s="115"/>
      <c r="AO405" s="115"/>
      <c r="AP405" s="115"/>
      <c r="AQ405" s="115"/>
      <c r="AR405" s="115"/>
      <c r="AS405" s="115"/>
      <c r="AT405" s="115"/>
      <c r="AU405" s="115"/>
      <c r="AV405" s="25">
        <v>45270</v>
      </c>
      <c r="AW405" s="13" t="s">
        <v>163</v>
      </c>
      <c r="AZ405" s="114"/>
    </row>
    <row r="406" spans="1:52" ht="19.5" x14ac:dyDescent="0.4">
      <c r="A406" s="117"/>
      <c r="B406" s="123"/>
      <c r="C406" s="123"/>
      <c r="D406" s="123"/>
      <c r="S406" s="115"/>
      <c r="T406" s="115"/>
      <c r="U406" s="115"/>
      <c r="V406" s="115"/>
      <c r="W406" s="115"/>
      <c r="X406" s="17"/>
      <c r="Y406" s="13"/>
      <c r="AD406" s="117"/>
      <c r="AE406" s="123"/>
      <c r="AF406" s="123"/>
      <c r="AG406" s="123"/>
      <c r="AH406" s="115"/>
      <c r="AI406" s="115"/>
      <c r="AJ406" s="115"/>
      <c r="AK406" s="115"/>
      <c r="AL406" s="115"/>
      <c r="AM406" s="115"/>
      <c r="AN406" s="115"/>
      <c r="AO406" s="115"/>
      <c r="AP406" s="115"/>
      <c r="AQ406" s="115"/>
      <c r="AR406" s="115"/>
      <c r="AS406" s="115"/>
      <c r="AT406" s="115"/>
      <c r="AU406" s="115"/>
      <c r="AV406" s="25"/>
      <c r="AW406" s="13"/>
      <c r="AZ406" s="114"/>
    </row>
    <row r="407" spans="1:52" ht="19.5" x14ac:dyDescent="0.4">
      <c r="A407" s="117"/>
      <c r="B407" s="123"/>
      <c r="C407" s="123"/>
      <c r="D407" s="123"/>
      <c r="X407" s="26"/>
      <c r="Y407" s="13"/>
      <c r="AD407" s="117"/>
      <c r="AE407" s="123"/>
      <c r="AF407" s="123"/>
      <c r="AG407" s="123"/>
      <c r="AH407" s="115"/>
      <c r="AI407" s="115"/>
      <c r="AJ407" s="115"/>
      <c r="AK407" s="115"/>
      <c r="AL407" s="115"/>
      <c r="AM407" s="115"/>
      <c r="AN407" s="115"/>
      <c r="AO407" s="115"/>
      <c r="AP407" s="115"/>
      <c r="AQ407" s="115"/>
      <c r="AR407" s="115"/>
      <c r="AS407" s="115"/>
      <c r="AT407" s="115"/>
      <c r="AU407" s="115" t="s">
        <v>151</v>
      </c>
      <c r="AV407" s="13">
        <f>SUBTOTAL(3,AV388:AV405)</f>
        <v>5</v>
      </c>
      <c r="AW407" s="13">
        <f>SUBTOTAL(3,AW388:AW405)</f>
        <v>5</v>
      </c>
      <c r="AZ407" s="114"/>
    </row>
    <row r="408" spans="1:52" ht="19.5" x14ac:dyDescent="0.4">
      <c r="A408" s="117"/>
      <c r="B408" s="123"/>
      <c r="C408" s="123"/>
      <c r="D408" s="123"/>
      <c r="R408" s="115"/>
      <c r="S408" s="115"/>
      <c r="T408" s="115"/>
      <c r="U408" s="115"/>
      <c r="V408" s="115"/>
      <c r="W408" s="115"/>
      <c r="X408" s="26"/>
      <c r="Y408" s="13"/>
      <c r="AD408" s="117"/>
      <c r="AE408" s="123"/>
      <c r="AF408" s="123"/>
      <c r="AG408" s="123"/>
      <c r="AH408" s="115"/>
      <c r="AI408" s="115"/>
      <c r="AJ408" s="115"/>
      <c r="AK408" s="115"/>
      <c r="AL408" s="115"/>
      <c r="AM408" s="115"/>
      <c r="AN408" s="115"/>
      <c r="AO408" s="115"/>
      <c r="AP408" s="115"/>
      <c r="AQ408" s="115"/>
      <c r="AR408" s="115"/>
      <c r="AS408" s="115"/>
      <c r="AT408" s="115"/>
      <c r="AU408" s="115"/>
      <c r="AV408" s="13"/>
      <c r="AW408" s="13"/>
      <c r="AZ408" s="114"/>
    </row>
    <row r="409" spans="1:52" ht="19.5" x14ac:dyDescent="0.4">
      <c r="A409" s="117"/>
      <c r="B409" s="123"/>
      <c r="C409" s="123"/>
      <c r="D409" s="123"/>
      <c r="X409" s="26"/>
      <c r="Y409" s="13"/>
      <c r="AD409" s="117"/>
      <c r="AE409" s="123"/>
      <c r="AF409" s="123"/>
      <c r="AG409" s="123"/>
      <c r="AH409" s="115"/>
      <c r="AI409" s="115"/>
      <c r="AJ409" s="115"/>
      <c r="AK409" s="115"/>
      <c r="AL409" s="115"/>
      <c r="AM409" s="115"/>
      <c r="AN409" s="115"/>
      <c r="AO409" s="115"/>
      <c r="AP409" s="115"/>
      <c r="AQ409" s="115"/>
      <c r="AR409" s="115"/>
      <c r="AS409" s="115"/>
      <c r="AT409" s="115"/>
      <c r="AU409" s="115"/>
      <c r="AV409" s="25">
        <v>45271</v>
      </c>
      <c r="AW409" s="13" t="s">
        <v>162</v>
      </c>
      <c r="AZ409" s="114"/>
    </row>
    <row r="410" spans="1:52" ht="19.5" x14ac:dyDescent="0.4">
      <c r="A410" s="117"/>
      <c r="B410" s="123"/>
      <c r="C410" s="123"/>
      <c r="D410" s="123"/>
      <c r="X410" s="26"/>
      <c r="Y410" s="13"/>
      <c r="AD410" s="117"/>
      <c r="AE410" s="123"/>
      <c r="AF410" s="123"/>
      <c r="AG410" s="123"/>
      <c r="AH410" s="115"/>
      <c r="AI410" s="115"/>
      <c r="AJ410" s="115"/>
      <c r="AK410" s="115"/>
      <c r="AL410" s="115"/>
      <c r="AM410" s="115"/>
      <c r="AN410" s="115"/>
      <c r="AO410" s="115"/>
      <c r="AP410" s="115"/>
      <c r="AQ410" s="115"/>
      <c r="AR410" s="115"/>
      <c r="AS410" s="115"/>
      <c r="AT410" s="115"/>
      <c r="AU410" s="115"/>
      <c r="AV410" s="25">
        <v>45271</v>
      </c>
      <c r="AW410" s="13" t="s">
        <v>163</v>
      </c>
      <c r="AZ410" s="114"/>
    </row>
    <row r="411" spans="1:52" ht="19.5" x14ac:dyDescent="0.4">
      <c r="A411" s="117"/>
      <c r="B411" s="123"/>
      <c r="C411" s="123"/>
      <c r="D411" s="123"/>
      <c r="R411" s="115"/>
      <c r="S411" s="115"/>
      <c r="T411" s="115"/>
      <c r="U411" s="115"/>
      <c r="V411" s="115"/>
      <c r="W411" s="115"/>
      <c r="X411" s="26"/>
      <c r="Y411" s="13"/>
      <c r="AD411" s="117"/>
      <c r="AE411" s="123"/>
      <c r="AF411" s="123"/>
      <c r="AG411" s="123"/>
      <c r="AH411" s="115"/>
      <c r="AI411" s="115"/>
      <c r="AJ411" s="115"/>
      <c r="AK411" s="115"/>
      <c r="AL411" s="115"/>
      <c r="AM411" s="115"/>
      <c r="AN411" s="115"/>
      <c r="AO411" s="115"/>
      <c r="AP411" s="115"/>
      <c r="AQ411" s="115"/>
      <c r="AR411" s="115"/>
      <c r="AS411" s="115"/>
      <c r="AT411" s="115"/>
      <c r="AU411" s="115"/>
      <c r="AV411" s="25"/>
      <c r="AW411" s="13"/>
      <c r="AZ411" s="114"/>
    </row>
    <row r="412" spans="1:52" ht="19.5" x14ac:dyDescent="0.4">
      <c r="A412" s="117"/>
      <c r="B412" s="123"/>
      <c r="C412" s="123"/>
      <c r="D412" s="123"/>
      <c r="Q412" s="115"/>
      <c r="R412" s="115"/>
      <c r="S412" s="115"/>
      <c r="T412" s="115"/>
      <c r="U412" s="115"/>
      <c r="V412" s="115"/>
      <c r="W412" s="115"/>
      <c r="X412" s="26"/>
      <c r="Y412" s="13"/>
      <c r="AD412" s="117"/>
      <c r="AE412" s="123"/>
      <c r="AF412" s="123"/>
      <c r="AG412" s="123"/>
      <c r="AH412" s="115"/>
      <c r="AI412" s="115"/>
      <c r="AJ412" s="115"/>
      <c r="AK412" s="115"/>
      <c r="AL412" s="115"/>
      <c r="AM412" s="115"/>
      <c r="AN412" s="115"/>
      <c r="AO412" s="115"/>
      <c r="AP412" s="115"/>
      <c r="AQ412" s="115"/>
      <c r="AR412" s="115"/>
      <c r="AS412" s="115"/>
      <c r="AT412" s="115"/>
      <c r="AU412" s="115"/>
      <c r="AV412" s="25"/>
      <c r="AW412" s="13"/>
      <c r="AZ412" s="114"/>
    </row>
    <row r="413" spans="1:52" ht="19.5" x14ac:dyDescent="0.4">
      <c r="A413" s="117"/>
      <c r="B413" s="123"/>
      <c r="C413" s="123"/>
      <c r="D413" s="123"/>
      <c r="Q413" s="115"/>
      <c r="R413" s="115"/>
      <c r="S413" s="115"/>
      <c r="T413" s="115"/>
      <c r="U413" s="115"/>
      <c r="V413" s="115"/>
      <c r="W413" s="115"/>
      <c r="X413" s="17"/>
      <c r="Y413" s="13"/>
      <c r="AD413" s="117"/>
      <c r="AE413" s="123"/>
      <c r="AF413" s="123"/>
      <c r="AG413" s="123"/>
      <c r="AH413" s="115"/>
      <c r="AI413" s="115"/>
      <c r="AJ413" s="115"/>
      <c r="AK413" s="115"/>
      <c r="AL413" s="115"/>
      <c r="AM413" s="115"/>
      <c r="AN413" s="115"/>
      <c r="AO413" s="115"/>
      <c r="AP413" s="115"/>
      <c r="AQ413" s="115"/>
      <c r="AR413" s="115"/>
      <c r="AS413" s="115"/>
      <c r="AT413" s="115"/>
      <c r="AU413" s="115"/>
      <c r="AV413" s="25"/>
      <c r="AW413" s="13"/>
      <c r="AZ413" s="114"/>
    </row>
    <row r="414" spans="1:52" ht="19.5" x14ac:dyDescent="0.4">
      <c r="A414" s="117"/>
      <c r="B414" s="123"/>
      <c r="C414" s="123"/>
      <c r="D414" s="123"/>
      <c r="O414" s="115"/>
      <c r="P414" s="115"/>
      <c r="Q414" s="115"/>
      <c r="R414" s="115"/>
      <c r="S414" s="115"/>
      <c r="T414" s="115"/>
      <c r="U414" s="115"/>
      <c r="V414" s="115"/>
      <c r="W414" s="115"/>
      <c r="X414" s="26"/>
      <c r="Y414" s="13"/>
      <c r="AD414" s="117"/>
      <c r="AE414" s="123"/>
      <c r="AF414" s="123"/>
      <c r="AG414" s="123"/>
      <c r="AH414" s="115"/>
      <c r="AI414" s="115"/>
      <c r="AJ414" s="115"/>
      <c r="AK414" s="115"/>
      <c r="AL414" s="115"/>
      <c r="AM414" s="115"/>
      <c r="AN414" s="115"/>
      <c r="AO414" s="115"/>
      <c r="AP414" s="115"/>
      <c r="AQ414" s="115"/>
      <c r="AR414" s="115"/>
      <c r="AS414" s="115"/>
      <c r="AT414" s="115"/>
      <c r="AU414" s="115"/>
      <c r="AV414" s="25"/>
      <c r="AW414" s="13"/>
      <c r="AZ414" s="114"/>
    </row>
    <row r="415" spans="1:52" ht="19.5" x14ac:dyDescent="0.4">
      <c r="A415" s="117"/>
      <c r="B415" s="123"/>
      <c r="C415" s="123"/>
      <c r="D415" s="123"/>
      <c r="X415" s="26"/>
      <c r="Y415" s="13"/>
      <c r="AD415" s="117"/>
      <c r="AE415" s="123"/>
      <c r="AF415" s="123"/>
      <c r="AG415" s="123"/>
      <c r="AH415" s="115"/>
      <c r="AI415" s="115"/>
      <c r="AJ415" s="115"/>
      <c r="AK415" s="115"/>
      <c r="AL415" s="115"/>
      <c r="AM415" s="115"/>
      <c r="AN415" s="115"/>
      <c r="AO415" s="115"/>
      <c r="AP415" s="115"/>
      <c r="AQ415" s="115"/>
      <c r="AR415" s="115"/>
      <c r="AS415" s="115"/>
      <c r="AT415" s="115"/>
      <c r="AU415" s="115"/>
      <c r="AV415" s="25">
        <v>45271</v>
      </c>
      <c r="AW415" s="13" t="s">
        <v>163</v>
      </c>
      <c r="AZ415" s="114"/>
    </row>
    <row r="416" spans="1:52" ht="19.5" x14ac:dyDescent="0.4">
      <c r="A416" s="117"/>
      <c r="B416" s="123"/>
      <c r="C416" s="123"/>
      <c r="D416" s="123"/>
      <c r="R416" s="115"/>
      <c r="S416" s="115"/>
      <c r="T416" s="115"/>
      <c r="U416" s="115"/>
      <c r="V416" s="115"/>
      <c r="W416" s="115"/>
      <c r="X416" s="26"/>
      <c r="Y416" s="13"/>
      <c r="AD416" s="117"/>
      <c r="AE416" s="123"/>
      <c r="AF416" s="123"/>
      <c r="AG416" s="123"/>
      <c r="AH416" s="115"/>
      <c r="AI416" s="115"/>
      <c r="AJ416" s="115"/>
      <c r="AK416" s="115"/>
      <c r="AL416" s="115"/>
      <c r="AM416" s="115"/>
      <c r="AN416" s="115"/>
      <c r="AO416" s="115"/>
      <c r="AP416" s="115"/>
      <c r="AQ416" s="115"/>
      <c r="AR416" s="115"/>
      <c r="AS416" s="115"/>
      <c r="AT416" s="115"/>
      <c r="AU416" s="115"/>
      <c r="AV416" s="25"/>
      <c r="AW416" s="13"/>
      <c r="AZ416" s="114"/>
    </row>
    <row r="417" spans="1:52" ht="19.5" x14ac:dyDescent="0.4">
      <c r="A417" s="117"/>
      <c r="B417" s="123"/>
      <c r="C417" s="123"/>
      <c r="D417" s="123"/>
      <c r="P417" s="115"/>
      <c r="Q417" s="115"/>
      <c r="R417" s="115"/>
      <c r="S417" s="115"/>
      <c r="T417" s="115"/>
      <c r="U417" s="115"/>
      <c r="V417" s="115"/>
      <c r="W417" s="115"/>
      <c r="X417" s="26"/>
      <c r="Y417" s="13"/>
      <c r="AD417" s="117"/>
      <c r="AE417" s="123"/>
      <c r="AF417" s="123"/>
      <c r="AG417" s="123"/>
      <c r="AH417" s="115"/>
      <c r="AI417" s="115"/>
      <c r="AJ417" s="115"/>
      <c r="AK417" s="115"/>
      <c r="AL417" s="115"/>
      <c r="AM417" s="115"/>
      <c r="AN417" s="115"/>
      <c r="AO417" s="115"/>
      <c r="AP417" s="115"/>
      <c r="AQ417" s="115"/>
      <c r="AR417" s="115"/>
      <c r="AS417" s="115"/>
      <c r="AT417" s="115"/>
      <c r="AU417" s="115"/>
      <c r="AV417" s="25"/>
      <c r="AW417" s="13"/>
      <c r="AZ417" s="114"/>
    </row>
    <row r="418" spans="1:52" ht="19.5" x14ac:dyDescent="0.4">
      <c r="A418" s="117"/>
      <c r="B418" s="123"/>
      <c r="C418" s="123"/>
      <c r="D418" s="123"/>
      <c r="P418" s="115"/>
      <c r="Q418" s="115"/>
      <c r="R418" s="115"/>
      <c r="S418" s="115"/>
      <c r="T418" s="115"/>
      <c r="U418" s="115"/>
      <c r="V418" s="115"/>
      <c r="W418" s="115"/>
      <c r="X418" s="17"/>
      <c r="Y418" s="13"/>
      <c r="AD418" s="117"/>
      <c r="AE418" s="123"/>
      <c r="AF418" s="123"/>
      <c r="AG418" s="123"/>
      <c r="AH418" s="115"/>
      <c r="AI418" s="115"/>
      <c r="AJ418" s="115"/>
      <c r="AK418" s="115"/>
      <c r="AL418" s="115"/>
      <c r="AM418" s="115"/>
      <c r="AN418" s="115"/>
      <c r="AO418" s="115"/>
      <c r="AP418" s="115"/>
      <c r="AQ418" s="115"/>
      <c r="AR418" s="115"/>
      <c r="AS418" s="115"/>
      <c r="AT418" s="115"/>
      <c r="AU418" s="115"/>
      <c r="AV418" s="25"/>
      <c r="AW418" s="13"/>
      <c r="AZ418" s="114"/>
    </row>
    <row r="419" spans="1:52" ht="19.5" x14ac:dyDescent="0.4">
      <c r="A419" s="117"/>
      <c r="B419" s="123"/>
      <c r="C419" s="123"/>
      <c r="D419" s="123"/>
      <c r="X419" s="26"/>
      <c r="Y419" s="13"/>
      <c r="AD419" s="117"/>
      <c r="AE419" s="123"/>
      <c r="AF419" s="123"/>
      <c r="AG419" s="123"/>
      <c r="AH419" s="115"/>
      <c r="AI419" s="115"/>
      <c r="AJ419" s="115"/>
      <c r="AK419" s="115"/>
      <c r="AL419" s="115"/>
      <c r="AM419" s="115"/>
      <c r="AN419" s="115"/>
      <c r="AO419" s="115"/>
      <c r="AP419" s="115"/>
      <c r="AQ419" s="115"/>
      <c r="AR419" s="115"/>
      <c r="AS419" s="115"/>
      <c r="AT419" s="115"/>
      <c r="AU419" s="115" t="s">
        <v>165</v>
      </c>
      <c r="AV419" s="13">
        <f>SUBTOTAL(3,AV409:AV415)</f>
        <v>3</v>
      </c>
      <c r="AW419" s="13">
        <f>SUBTOTAL(3,AW409:AW415)</f>
        <v>3</v>
      </c>
      <c r="AZ419" s="114"/>
    </row>
    <row r="420" spans="1:52" ht="19.5" x14ac:dyDescent="0.4">
      <c r="A420" s="117"/>
      <c r="B420" s="123"/>
      <c r="C420" s="123"/>
      <c r="D420" s="123"/>
      <c r="X420" s="26"/>
      <c r="Y420" s="13"/>
      <c r="AD420" s="117"/>
      <c r="AE420" s="123"/>
      <c r="AF420" s="123"/>
      <c r="AG420" s="123"/>
      <c r="AH420" s="115"/>
      <c r="AI420" s="115"/>
      <c r="AJ420" s="115"/>
      <c r="AK420" s="115"/>
      <c r="AL420" s="115"/>
      <c r="AM420" s="115"/>
      <c r="AN420" s="115"/>
      <c r="AO420" s="115"/>
      <c r="AP420" s="115"/>
      <c r="AQ420" s="115"/>
      <c r="AR420" s="115"/>
      <c r="AS420" s="115"/>
      <c r="AT420" s="115"/>
      <c r="AU420" s="115"/>
      <c r="AV420" s="25">
        <v>45272</v>
      </c>
      <c r="AW420" s="13" t="s">
        <v>162</v>
      </c>
      <c r="AZ420" s="114"/>
    </row>
    <row r="421" spans="1:52" ht="19.5" x14ac:dyDescent="0.4">
      <c r="A421" s="117"/>
      <c r="B421" s="123"/>
      <c r="C421" s="123"/>
      <c r="D421" s="123"/>
      <c r="S421" s="115"/>
      <c r="T421" s="115"/>
      <c r="U421" s="115"/>
      <c r="V421" s="115"/>
      <c r="W421" s="115"/>
      <c r="X421" s="17"/>
      <c r="Y421" s="13"/>
      <c r="AD421" s="117"/>
      <c r="AE421" s="123"/>
      <c r="AF421" s="123"/>
      <c r="AG421" s="123"/>
      <c r="AH421" s="115"/>
      <c r="AI421" s="115"/>
      <c r="AJ421" s="115"/>
      <c r="AK421" s="115"/>
      <c r="AL421" s="115"/>
      <c r="AM421" s="115"/>
      <c r="AN421" s="115"/>
      <c r="AO421" s="115"/>
      <c r="AP421" s="115"/>
      <c r="AQ421" s="115"/>
      <c r="AR421" s="115"/>
      <c r="AS421" s="115"/>
      <c r="AT421" s="115"/>
      <c r="AU421" s="115"/>
      <c r="AV421" s="25"/>
      <c r="AW421" s="13"/>
      <c r="AZ421" s="114"/>
    </row>
    <row r="422" spans="1:52" ht="19.5" x14ac:dyDescent="0.4">
      <c r="A422" s="117"/>
      <c r="B422" s="123"/>
      <c r="C422" s="123"/>
      <c r="D422" s="123"/>
      <c r="X422" s="26"/>
      <c r="Y422" s="15"/>
      <c r="AD422" s="117"/>
      <c r="AE422" s="123"/>
      <c r="AF422" s="123"/>
      <c r="AG422" s="123"/>
      <c r="AH422" s="115"/>
      <c r="AI422" s="115"/>
      <c r="AJ422" s="115"/>
      <c r="AK422" s="115"/>
      <c r="AL422" s="115"/>
      <c r="AM422" s="115"/>
      <c r="AN422" s="115"/>
      <c r="AO422" s="115"/>
      <c r="AP422" s="115"/>
      <c r="AQ422" s="115"/>
      <c r="AR422" s="115"/>
      <c r="AS422" s="115"/>
      <c r="AT422" s="115"/>
      <c r="AU422" s="115"/>
      <c r="AV422" s="25">
        <v>45272</v>
      </c>
      <c r="AW422" s="13" t="s">
        <v>162</v>
      </c>
      <c r="AZ422" s="114"/>
    </row>
    <row r="423" spans="1:52" ht="19.5" x14ac:dyDescent="0.4">
      <c r="A423" s="117"/>
      <c r="B423" s="123"/>
      <c r="C423" s="123"/>
      <c r="D423" s="123"/>
      <c r="S423" s="115"/>
      <c r="T423" s="115"/>
      <c r="U423" s="115"/>
      <c r="V423" s="115"/>
      <c r="W423" s="115"/>
      <c r="X423" s="17"/>
      <c r="Y423" s="13"/>
      <c r="AD423" s="117"/>
      <c r="AE423" s="123"/>
      <c r="AF423" s="123"/>
      <c r="AG423" s="123"/>
      <c r="AH423" s="115"/>
      <c r="AI423" s="115"/>
      <c r="AJ423" s="115"/>
      <c r="AK423" s="115"/>
      <c r="AL423" s="115"/>
      <c r="AM423" s="115"/>
      <c r="AN423" s="115"/>
      <c r="AO423" s="115"/>
      <c r="AP423" s="115"/>
      <c r="AQ423" s="115"/>
      <c r="AR423" s="115"/>
      <c r="AS423" s="115"/>
      <c r="AT423" s="115"/>
      <c r="AU423" s="115"/>
      <c r="AV423" s="25"/>
      <c r="AW423" s="13"/>
      <c r="AZ423" s="114"/>
    </row>
    <row r="424" spans="1:52" ht="19.5" x14ac:dyDescent="0.4">
      <c r="A424" s="117"/>
      <c r="B424" s="123"/>
      <c r="C424" s="123"/>
      <c r="D424" s="123"/>
      <c r="S424" s="115"/>
      <c r="T424" s="115"/>
      <c r="U424" s="115"/>
      <c r="V424" s="115"/>
      <c r="W424" s="115"/>
      <c r="X424" s="17"/>
      <c r="Y424" s="13"/>
      <c r="AD424" s="117"/>
      <c r="AE424" s="123"/>
      <c r="AF424" s="123"/>
      <c r="AG424" s="123"/>
      <c r="AH424" s="115"/>
      <c r="AI424" s="115"/>
      <c r="AJ424" s="115"/>
      <c r="AK424" s="115"/>
      <c r="AL424" s="115"/>
      <c r="AM424" s="115"/>
      <c r="AN424" s="115"/>
      <c r="AO424" s="115"/>
      <c r="AP424" s="115"/>
      <c r="AQ424" s="115"/>
      <c r="AR424" s="115"/>
      <c r="AS424" s="115"/>
      <c r="AT424" s="115"/>
      <c r="AU424" s="115"/>
      <c r="AV424" s="25"/>
      <c r="AW424" s="13"/>
      <c r="AZ424" s="114"/>
    </row>
    <row r="425" spans="1:52" ht="19.5" x14ac:dyDescent="0.4">
      <c r="A425" s="117"/>
      <c r="B425" s="123"/>
      <c r="C425" s="123"/>
      <c r="D425" s="123"/>
      <c r="X425" s="26"/>
      <c r="Y425" s="13"/>
      <c r="AD425" s="117"/>
      <c r="AE425" s="123"/>
      <c r="AF425" s="123"/>
      <c r="AG425" s="123"/>
      <c r="AH425" s="115"/>
      <c r="AI425" s="115"/>
      <c r="AJ425" s="115"/>
      <c r="AK425" s="115"/>
      <c r="AL425" s="115"/>
      <c r="AM425" s="115"/>
      <c r="AN425" s="115"/>
      <c r="AO425" s="115"/>
      <c r="AP425" s="115"/>
      <c r="AQ425" s="115"/>
      <c r="AR425" s="115"/>
      <c r="AS425" s="115"/>
      <c r="AT425" s="115"/>
      <c r="AU425" s="115"/>
      <c r="AV425" s="25">
        <v>45272</v>
      </c>
      <c r="AW425" s="13" t="s">
        <v>162</v>
      </c>
      <c r="AZ425" s="114"/>
    </row>
    <row r="426" spans="1:52" ht="19.5" x14ac:dyDescent="0.4">
      <c r="A426" s="125"/>
      <c r="B426" s="126"/>
      <c r="C426" s="126"/>
      <c r="D426" s="126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26"/>
      <c r="Y426" s="13"/>
      <c r="AD426" s="117"/>
      <c r="AE426" s="123"/>
      <c r="AF426" s="123"/>
      <c r="AG426" s="123"/>
      <c r="AH426" s="115"/>
      <c r="AI426" s="115"/>
      <c r="AJ426" s="115"/>
      <c r="AK426" s="115"/>
      <c r="AL426" s="115"/>
      <c r="AM426" s="115"/>
      <c r="AN426" s="115"/>
      <c r="AO426" s="115"/>
      <c r="AP426" s="115"/>
      <c r="AQ426" s="115"/>
      <c r="AR426" s="115"/>
      <c r="AS426" s="115"/>
      <c r="AT426" s="115"/>
      <c r="AU426" s="115"/>
      <c r="AV426" s="25"/>
      <c r="AW426" s="13"/>
      <c r="AZ426" s="114"/>
    </row>
    <row r="427" spans="1:52" ht="19.5" x14ac:dyDescent="0.4">
      <c r="A427" s="125"/>
      <c r="B427" s="126"/>
      <c r="C427" s="126"/>
      <c r="D427" s="126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26"/>
      <c r="Y427" s="13"/>
      <c r="AD427" s="117"/>
      <c r="AE427" s="123"/>
      <c r="AF427" s="123"/>
      <c r="AG427" s="123"/>
      <c r="AH427" s="115"/>
      <c r="AI427" s="115"/>
      <c r="AJ427" s="115"/>
      <c r="AK427" s="115"/>
      <c r="AL427" s="115"/>
      <c r="AM427" s="115"/>
      <c r="AN427" s="115"/>
      <c r="AO427" s="115"/>
      <c r="AP427" s="115"/>
      <c r="AQ427" s="115"/>
      <c r="AR427" s="115"/>
      <c r="AS427" s="115"/>
      <c r="AT427" s="115"/>
      <c r="AU427" s="115"/>
      <c r="AV427" s="25"/>
      <c r="AW427" s="13"/>
      <c r="AZ427" s="114"/>
    </row>
    <row r="428" spans="1:52" ht="19.5" x14ac:dyDescent="0.4">
      <c r="A428" s="125"/>
      <c r="B428" s="126"/>
      <c r="C428" s="126"/>
      <c r="D428" s="126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7"/>
      <c r="Y428" s="13"/>
      <c r="AD428" s="117"/>
      <c r="AE428" s="123"/>
      <c r="AF428" s="123"/>
      <c r="AG428" s="123"/>
      <c r="AH428" s="115"/>
      <c r="AI428" s="115"/>
      <c r="AJ428" s="115"/>
      <c r="AK428" s="115"/>
      <c r="AL428" s="115"/>
      <c r="AM428" s="115"/>
      <c r="AN428" s="115"/>
      <c r="AO428" s="115"/>
      <c r="AP428" s="115"/>
      <c r="AQ428" s="115"/>
      <c r="AR428" s="115"/>
      <c r="AS428" s="115"/>
      <c r="AT428" s="115"/>
      <c r="AU428" s="115"/>
      <c r="AV428" s="25"/>
      <c r="AW428" s="13"/>
      <c r="AZ428" s="114"/>
    </row>
    <row r="429" spans="1:52" ht="19.5" x14ac:dyDescent="0.4">
      <c r="A429" s="125"/>
      <c r="B429" s="126"/>
      <c r="C429" s="126"/>
      <c r="D429" s="126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26"/>
      <c r="Y429" s="13"/>
      <c r="AD429" s="117"/>
      <c r="AE429" s="123"/>
      <c r="AF429" s="123"/>
      <c r="AG429" s="123"/>
      <c r="AH429" s="115"/>
      <c r="AI429" s="115"/>
      <c r="AJ429" s="115"/>
      <c r="AK429" s="115"/>
      <c r="AL429" s="115"/>
      <c r="AM429" s="115"/>
      <c r="AN429" s="115"/>
      <c r="AO429" s="115"/>
      <c r="AP429" s="115"/>
      <c r="AQ429" s="115"/>
      <c r="AR429" s="115"/>
      <c r="AS429" s="115"/>
      <c r="AT429" s="115"/>
      <c r="AU429" s="115"/>
      <c r="AV429" s="25"/>
      <c r="AW429" s="13"/>
      <c r="AZ429" s="114"/>
    </row>
    <row r="430" spans="1:52" ht="19.5" x14ac:dyDescent="0.4">
      <c r="X430" s="26"/>
      <c r="Y430" s="13"/>
      <c r="AD430" s="117"/>
      <c r="AE430" s="123"/>
      <c r="AF430" s="123"/>
      <c r="AG430" s="123"/>
      <c r="AH430" s="115"/>
      <c r="AI430" s="115"/>
      <c r="AJ430" s="115"/>
      <c r="AK430" s="115"/>
      <c r="AL430" s="115"/>
      <c r="AM430" s="115"/>
      <c r="AN430" s="115"/>
      <c r="AO430" s="115"/>
      <c r="AP430" s="115"/>
      <c r="AQ430" s="115"/>
      <c r="AR430" s="115"/>
      <c r="AS430" s="115"/>
      <c r="AT430" s="115"/>
      <c r="AU430" s="115"/>
      <c r="AV430" s="25">
        <v>45272</v>
      </c>
      <c r="AW430" s="13" t="s">
        <v>162</v>
      </c>
      <c r="AZ430" s="114"/>
    </row>
    <row r="431" spans="1:52" ht="19.5" x14ac:dyDescent="0.4">
      <c r="X431" s="26"/>
      <c r="Y431" s="13"/>
      <c r="AD431" s="117"/>
      <c r="AE431" s="123"/>
      <c r="AF431" s="123"/>
      <c r="AG431" s="123"/>
      <c r="AH431" s="115"/>
      <c r="AI431" s="115"/>
      <c r="AJ431" s="115"/>
      <c r="AK431" s="115"/>
      <c r="AL431" s="115"/>
      <c r="AM431" s="115"/>
      <c r="AN431" s="115"/>
      <c r="AO431" s="115"/>
      <c r="AP431" s="115"/>
      <c r="AQ431" s="115"/>
      <c r="AR431" s="115"/>
      <c r="AS431" s="115"/>
      <c r="AT431" s="115"/>
      <c r="AU431" s="115"/>
      <c r="AV431" s="25"/>
      <c r="AW431" s="13"/>
      <c r="AZ431" s="114"/>
    </row>
    <row r="432" spans="1:52" ht="19.5" x14ac:dyDescent="0.4"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26"/>
      <c r="Y432" s="25"/>
      <c r="AD432" s="117"/>
      <c r="AE432" s="123"/>
      <c r="AF432" s="123"/>
      <c r="AG432" s="123"/>
      <c r="AH432" s="115"/>
      <c r="AI432" s="115"/>
      <c r="AJ432" s="115"/>
      <c r="AK432" s="115"/>
      <c r="AL432" s="115"/>
      <c r="AM432" s="115"/>
      <c r="AN432" s="115"/>
      <c r="AO432" s="115"/>
      <c r="AP432" s="115"/>
      <c r="AQ432" s="115"/>
      <c r="AR432" s="115"/>
      <c r="AS432" s="115"/>
      <c r="AT432" s="115"/>
      <c r="AU432" s="115"/>
      <c r="AV432" s="25"/>
      <c r="AW432" s="13"/>
      <c r="AZ432" s="114"/>
    </row>
    <row r="433" spans="6:52" ht="19.5" x14ac:dyDescent="0.4">
      <c r="X433" s="26"/>
      <c r="Y433" s="25"/>
      <c r="AD433" s="117"/>
      <c r="AE433" s="123"/>
      <c r="AF433" s="123"/>
      <c r="AG433" s="123"/>
      <c r="AH433" s="115"/>
      <c r="AI433" s="115"/>
      <c r="AJ433" s="115"/>
      <c r="AK433" s="115"/>
      <c r="AL433" s="115"/>
      <c r="AM433" s="115"/>
      <c r="AN433" s="115"/>
      <c r="AO433" s="115"/>
      <c r="AP433" s="115"/>
      <c r="AQ433" s="115"/>
      <c r="AR433" s="115"/>
      <c r="AS433" s="115"/>
      <c r="AT433" s="115"/>
      <c r="AU433" s="115"/>
      <c r="AV433" s="25">
        <v>45272</v>
      </c>
      <c r="AW433" s="13" t="s">
        <v>162</v>
      </c>
      <c r="AZ433" s="114"/>
    </row>
    <row r="434" spans="6:52" ht="19.5" x14ac:dyDescent="0.4">
      <c r="X434" s="26"/>
      <c r="Y434" s="13"/>
      <c r="AD434" s="117"/>
      <c r="AE434" s="123"/>
      <c r="AF434" s="123"/>
      <c r="AG434" s="123"/>
      <c r="AH434" s="115"/>
      <c r="AI434" s="115"/>
      <c r="AJ434" s="115"/>
      <c r="AK434" s="115"/>
      <c r="AL434" s="115"/>
      <c r="AM434" s="115"/>
      <c r="AN434" s="115"/>
      <c r="AO434" s="115"/>
      <c r="AP434" s="115"/>
      <c r="AQ434" s="115"/>
      <c r="AR434" s="115"/>
      <c r="AS434" s="115"/>
      <c r="AT434" s="115"/>
      <c r="AU434" s="115"/>
      <c r="AV434" s="25">
        <v>45272</v>
      </c>
      <c r="AW434" s="15" t="s">
        <v>162</v>
      </c>
      <c r="AZ434" s="114"/>
    </row>
    <row r="435" spans="6:52" ht="19.5" x14ac:dyDescent="0.4">
      <c r="X435" s="26"/>
      <c r="Y435" s="13"/>
      <c r="AD435" s="117"/>
      <c r="AE435" s="123"/>
      <c r="AF435" s="123"/>
      <c r="AG435" s="123"/>
      <c r="AH435" s="115"/>
      <c r="AI435" s="115"/>
      <c r="AJ435" s="115"/>
      <c r="AK435" s="115"/>
      <c r="AL435" s="115"/>
      <c r="AM435" s="115"/>
      <c r="AN435" s="115"/>
      <c r="AO435" s="115"/>
      <c r="AP435" s="115"/>
      <c r="AQ435" s="115"/>
      <c r="AR435" s="115"/>
      <c r="AS435" s="115"/>
      <c r="AT435" s="115"/>
      <c r="AU435" s="115"/>
      <c r="AV435" s="25">
        <v>45272</v>
      </c>
      <c r="AW435" s="15" t="s">
        <v>162</v>
      </c>
      <c r="AZ435" s="114"/>
    </row>
    <row r="436" spans="6:52" ht="19.5" x14ac:dyDescent="0.4"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26"/>
      <c r="Y436" s="13"/>
      <c r="AD436" s="117"/>
      <c r="AE436" s="123"/>
      <c r="AF436" s="123"/>
      <c r="AG436" s="123"/>
      <c r="AH436" s="115"/>
      <c r="AI436" s="115"/>
      <c r="AJ436" s="115"/>
      <c r="AK436" s="115"/>
      <c r="AL436" s="115"/>
      <c r="AM436" s="115"/>
      <c r="AN436" s="115"/>
      <c r="AO436" s="115"/>
      <c r="AP436" s="115"/>
      <c r="AQ436" s="115"/>
      <c r="AR436" s="115"/>
      <c r="AS436" s="115"/>
      <c r="AT436" s="115"/>
      <c r="AU436" s="115"/>
      <c r="AV436" s="25"/>
      <c r="AW436" s="15"/>
      <c r="AZ436" s="114"/>
    </row>
    <row r="437" spans="6:52" ht="19.5" x14ac:dyDescent="0.4"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7"/>
      <c r="Y437" s="13"/>
      <c r="AD437" s="117"/>
      <c r="AE437" s="123"/>
      <c r="AF437" s="123"/>
      <c r="AG437" s="123"/>
      <c r="AH437" s="115"/>
      <c r="AI437" s="115"/>
      <c r="AJ437" s="115"/>
      <c r="AK437" s="115"/>
      <c r="AL437" s="115"/>
      <c r="AM437" s="115"/>
      <c r="AN437" s="115"/>
      <c r="AO437" s="115"/>
      <c r="AP437" s="115"/>
      <c r="AQ437" s="115"/>
      <c r="AR437" s="115"/>
      <c r="AS437" s="115"/>
      <c r="AT437" s="115"/>
      <c r="AU437" s="115"/>
      <c r="AV437" s="25"/>
      <c r="AW437" s="15"/>
      <c r="AZ437" s="114"/>
    </row>
    <row r="438" spans="6:52" ht="19.5" x14ac:dyDescent="0.4">
      <c r="X438" s="26"/>
      <c r="Y438" s="13"/>
      <c r="AD438" s="117"/>
      <c r="AE438" s="123"/>
      <c r="AF438" s="123"/>
      <c r="AG438" s="123"/>
      <c r="AH438" s="115"/>
      <c r="AI438" s="115"/>
      <c r="AJ438" s="115"/>
      <c r="AK438" s="115"/>
      <c r="AL438" s="115"/>
      <c r="AM438" s="115"/>
      <c r="AN438" s="115"/>
      <c r="AO438" s="115"/>
      <c r="AP438" s="115"/>
      <c r="AQ438" s="115"/>
      <c r="AR438" s="115"/>
      <c r="AS438" s="115"/>
      <c r="AT438" s="115"/>
      <c r="AU438" s="115"/>
      <c r="AV438" s="25">
        <v>45272</v>
      </c>
      <c r="AW438" s="15" t="s">
        <v>162</v>
      </c>
      <c r="AZ438" s="114"/>
    </row>
    <row r="439" spans="6:52" ht="19.5" x14ac:dyDescent="0.4"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26"/>
      <c r="Y439" s="13"/>
      <c r="AD439" s="117"/>
      <c r="AE439" s="123"/>
      <c r="AF439" s="123"/>
      <c r="AG439" s="123"/>
      <c r="AH439" s="115"/>
      <c r="AI439" s="115"/>
      <c r="AJ439" s="115"/>
      <c r="AK439" s="115"/>
      <c r="AL439" s="115"/>
      <c r="AM439" s="115"/>
      <c r="AN439" s="115"/>
      <c r="AO439" s="115"/>
      <c r="AP439" s="115"/>
      <c r="AQ439" s="115"/>
      <c r="AR439" s="115"/>
      <c r="AS439" s="115"/>
      <c r="AT439" s="115"/>
      <c r="AU439" s="115"/>
      <c r="AV439" s="25"/>
      <c r="AW439" s="15"/>
      <c r="AZ439" s="114"/>
    </row>
    <row r="440" spans="6:52" ht="19.5" x14ac:dyDescent="0.4"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26"/>
      <c r="Y440" s="13"/>
      <c r="AD440" s="117"/>
      <c r="AE440" s="123"/>
      <c r="AF440" s="123"/>
      <c r="AG440" s="123"/>
      <c r="AH440" s="115"/>
      <c r="AI440" s="115"/>
      <c r="AJ440" s="115"/>
      <c r="AK440" s="115"/>
      <c r="AL440" s="115"/>
      <c r="AM440" s="115"/>
      <c r="AN440" s="115"/>
      <c r="AO440" s="115"/>
      <c r="AP440" s="115"/>
      <c r="AQ440" s="115"/>
      <c r="AR440" s="115"/>
      <c r="AS440" s="115"/>
      <c r="AT440" s="115"/>
      <c r="AU440" s="115"/>
      <c r="AV440" s="25"/>
      <c r="AW440" s="15"/>
      <c r="AZ440" s="114"/>
    </row>
    <row r="441" spans="6:52" ht="19.5" x14ac:dyDescent="0.4"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7"/>
      <c r="Y441" s="13"/>
      <c r="AD441" s="117"/>
      <c r="AE441" s="123"/>
      <c r="AF441" s="123"/>
      <c r="AG441" s="123"/>
      <c r="AH441" s="115"/>
      <c r="AI441" s="115"/>
      <c r="AJ441" s="115"/>
      <c r="AK441" s="115"/>
      <c r="AL441" s="115"/>
      <c r="AM441" s="115"/>
      <c r="AN441" s="115"/>
      <c r="AO441" s="115"/>
      <c r="AP441" s="115"/>
      <c r="AQ441" s="115"/>
      <c r="AR441" s="115"/>
      <c r="AS441" s="115"/>
      <c r="AT441" s="115"/>
      <c r="AU441" s="115"/>
      <c r="AV441" s="25"/>
      <c r="AW441" s="15"/>
      <c r="AZ441" s="114"/>
    </row>
    <row r="442" spans="6:52" ht="19.5" x14ac:dyDescent="0.4"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26"/>
      <c r="Y442" s="13"/>
      <c r="AD442" s="117"/>
      <c r="AE442" s="123"/>
      <c r="AF442" s="123"/>
      <c r="AG442" s="123"/>
      <c r="AH442" s="115"/>
      <c r="AI442" s="115"/>
      <c r="AJ442" s="115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115"/>
      <c r="AU442" s="115"/>
      <c r="AV442" s="25"/>
      <c r="AW442" s="15"/>
      <c r="AZ442" s="114"/>
    </row>
    <row r="443" spans="6:52" ht="19.5" x14ac:dyDescent="0.4"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7"/>
      <c r="Y443" s="13"/>
      <c r="AD443" s="117"/>
      <c r="AE443" s="123"/>
      <c r="AF443" s="123"/>
      <c r="AG443" s="123"/>
      <c r="AH443" s="115"/>
      <c r="AI443" s="115"/>
      <c r="AJ443" s="115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115"/>
      <c r="AU443" s="115"/>
      <c r="AV443" s="25"/>
      <c r="AW443" s="15"/>
      <c r="AZ443" s="114"/>
    </row>
    <row r="444" spans="6:52" ht="19.5" x14ac:dyDescent="0.4"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26"/>
      <c r="Y444" s="13"/>
      <c r="AD444" s="117"/>
      <c r="AE444" s="123"/>
      <c r="AF444" s="123"/>
      <c r="AG444" s="123"/>
      <c r="AH444" s="115"/>
      <c r="AI444" s="115"/>
      <c r="AJ444" s="115"/>
      <c r="AK444" s="115"/>
      <c r="AL444" s="115"/>
      <c r="AM444" s="115"/>
      <c r="AN444" s="115"/>
      <c r="AO444" s="115"/>
      <c r="AP444" s="115"/>
      <c r="AQ444" s="115"/>
      <c r="AR444" s="115"/>
      <c r="AS444" s="115"/>
      <c r="AT444" s="115"/>
      <c r="AU444" s="115"/>
      <c r="AV444" s="25"/>
      <c r="AW444" s="15"/>
      <c r="AZ444" s="114"/>
    </row>
    <row r="445" spans="6:52" ht="19.5" x14ac:dyDescent="0.4">
      <c r="X445" s="26"/>
      <c r="Y445" s="13"/>
      <c r="AD445" s="117"/>
      <c r="AE445" s="123"/>
      <c r="AF445" s="123"/>
      <c r="AG445" s="123"/>
      <c r="AH445" s="115"/>
      <c r="AI445" s="115"/>
      <c r="AJ445" s="115"/>
      <c r="AK445" s="115"/>
      <c r="AL445" s="115"/>
      <c r="AM445" s="115"/>
      <c r="AN445" s="115"/>
      <c r="AO445" s="115"/>
      <c r="AP445" s="115"/>
      <c r="AQ445" s="115"/>
      <c r="AR445" s="115"/>
      <c r="AS445" s="115"/>
      <c r="AT445" s="115"/>
      <c r="AU445" s="115"/>
      <c r="AV445" s="25">
        <v>45272</v>
      </c>
      <c r="AW445" s="15" t="s">
        <v>162</v>
      </c>
      <c r="AZ445" s="114"/>
    </row>
    <row r="446" spans="6:52" ht="19.5" x14ac:dyDescent="0.4">
      <c r="Q446" s="115"/>
      <c r="R446" s="115"/>
      <c r="S446" s="115"/>
      <c r="T446" s="115"/>
      <c r="U446" s="115"/>
      <c r="V446" s="115"/>
      <c r="W446" s="115"/>
      <c r="X446" s="26"/>
      <c r="Y446" s="13"/>
      <c r="AD446" s="117"/>
      <c r="AE446" s="123"/>
      <c r="AF446" s="123"/>
      <c r="AG446" s="123"/>
      <c r="AH446" s="115"/>
      <c r="AI446" s="115"/>
      <c r="AJ446" s="115"/>
      <c r="AK446" s="115"/>
      <c r="AL446" s="115"/>
      <c r="AM446" s="115"/>
      <c r="AN446" s="115"/>
      <c r="AO446" s="115"/>
      <c r="AP446" s="115"/>
      <c r="AQ446" s="115"/>
      <c r="AR446" s="115"/>
      <c r="AS446" s="115"/>
      <c r="AT446" s="115"/>
      <c r="AU446" s="115"/>
      <c r="AV446" s="25"/>
      <c r="AW446" s="15"/>
      <c r="AZ446" s="114"/>
    </row>
    <row r="447" spans="6:52" ht="19.5" x14ac:dyDescent="0.4">
      <c r="Q447" s="115"/>
      <c r="R447" s="115"/>
      <c r="S447" s="115"/>
      <c r="T447" s="115"/>
      <c r="U447" s="115"/>
      <c r="V447" s="115"/>
      <c r="W447" s="115"/>
      <c r="X447" s="17"/>
      <c r="Y447" s="13"/>
      <c r="AD447" s="117"/>
      <c r="AE447" s="123"/>
      <c r="AF447" s="123"/>
      <c r="AG447" s="123"/>
      <c r="AH447" s="115"/>
      <c r="AI447" s="115"/>
      <c r="AJ447" s="115"/>
      <c r="AK447" s="115"/>
      <c r="AL447" s="115"/>
      <c r="AM447" s="115"/>
      <c r="AN447" s="115"/>
      <c r="AO447" s="115"/>
      <c r="AP447" s="115"/>
      <c r="AQ447" s="115"/>
      <c r="AR447" s="115"/>
      <c r="AS447" s="115"/>
      <c r="AT447" s="115"/>
      <c r="AU447" s="115"/>
      <c r="AV447" s="25"/>
      <c r="AW447" s="15"/>
      <c r="AZ447" s="114"/>
    </row>
    <row r="448" spans="6:52" ht="19.5" x14ac:dyDescent="0.4"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26"/>
      <c r="Y448" s="13"/>
      <c r="AD448" s="117"/>
      <c r="AE448" s="123"/>
      <c r="AF448" s="123"/>
      <c r="AG448" s="123"/>
      <c r="AH448" s="115"/>
      <c r="AI448" s="115"/>
      <c r="AJ448" s="115"/>
      <c r="AK448" s="115"/>
      <c r="AL448" s="115"/>
      <c r="AM448" s="115"/>
      <c r="AN448" s="115"/>
      <c r="AO448" s="115"/>
      <c r="AP448" s="115"/>
      <c r="AQ448" s="115"/>
      <c r="AR448" s="115"/>
      <c r="AS448" s="115"/>
      <c r="AT448" s="115"/>
      <c r="AU448" s="115"/>
      <c r="AV448" s="25"/>
      <c r="AW448" s="15"/>
      <c r="AZ448" s="114"/>
    </row>
    <row r="449" spans="6:52" ht="19.5" x14ac:dyDescent="0.4"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7"/>
      <c r="Y449" s="13"/>
      <c r="AD449" s="117"/>
      <c r="AE449" s="123"/>
      <c r="AF449" s="123"/>
      <c r="AG449" s="123"/>
      <c r="AH449" s="115"/>
      <c r="AI449" s="115"/>
      <c r="AJ449" s="115"/>
      <c r="AK449" s="115"/>
      <c r="AL449" s="115"/>
      <c r="AM449" s="115"/>
      <c r="AN449" s="115"/>
      <c r="AO449" s="115"/>
      <c r="AP449" s="115"/>
      <c r="AQ449" s="115"/>
      <c r="AR449" s="115"/>
      <c r="AS449" s="115"/>
      <c r="AT449" s="115"/>
      <c r="AU449" s="115"/>
      <c r="AV449" s="25"/>
      <c r="AW449" s="15"/>
      <c r="AZ449" s="114"/>
    </row>
    <row r="450" spans="6:52" ht="19.5" x14ac:dyDescent="0.4"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26"/>
      <c r="Y450" s="25"/>
      <c r="AD450" s="117"/>
      <c r="AE450" s="123"/>
      <c r="AF450" s="123"/>
      <c r="AG450" s="123"/>
      <c r="AH450" s="115"/>
      <c r="AI450" s="115"/>
      <c r="AJ450" s="115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15"/>
      <c r="AU450" s="115"/>
      <c r="AV450" s="25"/>
      <c r="AW450" s="15"/>
      <c r="AZ450" s="114"/>
    </row>
    <row r="451" spans="6:52" ht="19.5" x14ac:dyDescent="0.4"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7"/>
      <c r="Y451" s="13"/>
      <c r="AD451" s="117"/>
      <c r="AE451" s="123"/>
      <c r="AF451" s="123"/>
      <c r="AG451" s="123"/>
      <c r="AH451" s="115"/>
      <c r="AI451" s="115"/>
      <c r="AJ451" s="115"/>
      <c r="AK451" s="115"/>
      <c r="AL451" s="115"/>
      <c r="AM451" s="115"/>
      <c r="AN451" s="115"/>
      <c r="AO451" s="115"/>
      <c r="AP451" s="115"/>
      <c r="AQ451" s="115"/>
      <c r="AR451" s="115"/>
      <c r="AS451" s="115"/>
      <c r="AT451" s="115"/>
      <c r="AU451" s="115"/>
      <c r="AV451" s="25"/>
      <c r="AW451" s="15"/>
      <c r="AZ451" s="114"/>
    </row>
    <row r="452" spans="6:52" ht="19.5" x14ac:dyDescent="0.4"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26"/>
      <c r="Y452" s="13"/>
      <c r="AD452" s="117"/>
      <c r="AE452" s="123"/>
      <c r="AF452" s="123"/>
      <c r="AG452" s="123"/>
      <c r="AH452" s="115"/>
      <c r="AI452" s="115"/>
      <c r="AJ452" s="115"/>
      <c r="AK452" s="115"/>
      <c r="AL452" s="115"/>
      <c r="AM452" s="115"/>
      <c r="AN452" s="115"/>
      <c r="AO452" s="115"/>
      <c r="AP452" s="115"/>
      <c r="AQ452" s="115"/>
      <c r="AR452" s="115"/>
      <c r="AS452" s="115"/>
      <c r="AT452" s="115"/>
      <c r="AU452" s="115"/>
      <c r="AV452" s="25"/>
      <c r="AW452" s="15"/>
      <c r="AZ452" s="114"/>
    </row>
    <row r="453" spans="6:52" ht="19.5" x14ac:dyDescent="0.4">
      <c r="X453" s="26"/>
      <c r="Y453" s="13"/>
      <c r="AD453" s="117"/>
      <c r="AE453" s="123"/>
      <c r="AF453" s="123"/>
      <c r="AG453" s="123"/>
      <c r="AH453" s="115"/>
      <c r="AI453" s="115"/>
      <c r="AJ453" s="115"/>
      <c r="AK453" s="115"/>
      <c r="AL453" s="115"/>
      <c r="AM453" s="115"/>
      <c r="AN453" s="115"/>
      <c r="AO453" s="115"/>
      <c r="AP453" s="115"/>
      <c r="AQ453" s="115"/>
      <c r="AR453" s="115"/>
      <c r="AS453" s="115"/>
      <c r="AT453" s="115"/>
      <c r="AU453" s="115"/>
      <c r="AV453" s="25">
        <v>45272</v>
      </c>
      <c r="AW453" s="15" t="s">
        <v>162</v>
      </c>
      <c r="AZ453" s="114"/>
    </row>
    <row r="454" spans="6:52" ht="19.5" x14ac:dyDescent="0.4">
      <c r="R454" s="115"/>
      <c r="S454" s="115"/>
      <c r="T454" s="115"/>
      <c r="U454" s="115"/>
      <c r="V454" s="115"/>
      <c r="W454" s="115"/>
      <c r="X454" s="17"/>
      <c r="Y454" s="13"/>
      <c r="AD454" s="117"/>
      <c r="AE454" s="123"/>
      <c r="AF454" s="123"/>
      <c r="AG454" s="123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115"/>
      <c r="AT454" s="115"/>
      <c r="AU454" s="115"/>
      <c r="AV454" s="25"/>
      <c r="AW454" s="15"/>
      <c r="AZ454" s="114"/>
    </row>
    <row r="455" spans="6:52" ht="19.5" x14ac:dyDescent="0.4">
      <c r="Q455" s="115"/>
      <c r="R455" s="115"/>
      <c r="S455" s="115"/>
      <c r="T455" s="115"/>
      <c r="U455" s="115"/>
      <c r="V455" s="115"/>
      <c r="W455" s="115"/>
      <c r="X455" s="26"/>
      <c r="Y455" s="13"/>
      <c r="AD455" s="117"/>
      <c r="AE455" s="123"/>
      <c r="AF455" s="123"/>
      <c r="AG455" s="123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115"/>
      <c r="AU455" s="115"/>
      <c r="AV455" s="25"/>
      <c r="AW455" s="15"/>
      <c r="AZ455" s="114"/>
    </row>
    <row r="456" spans="6:52" ht="19.5" x14ac:dyDescent="0.4">
      <c r="Q456" s="115"/>
      <c r="R456" s="115"/>
      <c r="S456" s="115"/>
      <c r="T456" s="115"/>
      <c r="U456" s="115"/>
      <c r="V456" s="115"/>
      <c r="W456" s="115"/>
      <c r="X456" s="17"/>
      <c r="Y456" s="13"/>
      <c r="AD456" s="117"/>
      <c r="AE456" s="123"/>
      <c r="AF456" s="123"/>
      <c r="AG456" s="123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15"/>
      <c r="AT456" s="115"/>
      <c r="AU456" s="115"/>
      <c r="AV456" s="25"/>
      <c r="AW456" s="15"/>
      <c r="AZ456" s="114"/>
    </row>
    <row r="457" spans="6:52" ht="19.5" x14ac:dyDescent="0.4">
      <c r="Q457" s="115"/>
      <c r="R457" s="115"/>
      <c r="S457" s="115"/>
      <c r="T457" s="115"/>
      <c r="U457" s="115"/>
      <c r="V457" s="115"/>
      <c r="W457" s="115"/>
      <c r="X457" s="17"/>
      <c r="Y457" s="13"/>
      <c r="AD457" s="117"/>
      <c r="AE457" s="123"/>
      <c r="AF457" s="123"/>
      <c r="AG457" s="123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115"/>
      <c r="AU457" s="115"/>
      <c r="AV457" s="25"/>
      <c r="AW457" s="15"/>
      <c r="AZ457" s="114"/>
    </row>
    <row r="458" spans="6:52" ht="19.5" x14ac:dyDescent="0.4"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26"/>
      <c r="Y458" s="13"/>
      <c r="AD458" s="117"/>
      <c r="AE458" s="123"/>
      <c r="AF458" s="123"/>
      <c r="AG458" s="123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115"/>
      <c r="AU458" s="115"/>
      <c r="AV458" s="25"/>
      <c r="AW458" s="15"/>
      <c r="AZ458" s="114"/>
    </row>
    <row r="459" spans="6:52" ht="19.5" x14ac:dyDescent="0.4"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20"/>
      <c r="Y459" s="13"/>
      <c r="AD459" s="117"/>
      <c r="AE459" s="123"/>
      <c r="AF459" s="123"/>
      <c r="AG459" s="123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115"/>
      <c r="AU459" s="115"/>
      <c r="AV459" s="25"/>
      <c r="AW459" s="15"/>
      <c r="AZ459" s="114"/>
    </row>
    <row r="460" spans="6:52" ht="19.5" x14ac:dyDescent="0.4"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20"/>
      <c r="Y460" s="13"/>
      <c r="AD460" s="117"/>
      <c r="AE460" s="123"/>
      <c r="AF460" s="123"/>
      <c r="AG460" s="123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115"/>
      <c r="AU460" s="115"/>
      <c r="AV460" s="25"/>
      <c r="AW460" s="15"/>
      <c r="AZ460" s="114"/>
    </row>
    <row r="461" spans="6:52" ht="19.5" x14ac:dyDescent="0.4"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25"/>
      <c r="Y461" s="15"/>
      <c r="AD461" s="117"/>
      <c r="AE461" s="123"/>
      <c r="AF461" s="123"/>
      <c r="AG461" s="123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15"/>
      <c r="AU461" s="115"/>
      <c r="AV461" s="25"/>
      <c r="AW461" s="15"/>
      <c r="AZ461" s="114"/>
    </row>
    <row r="462" spans="6:52" ht="19.5" x14ac:dyDescent="0.4"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25"/>
      <c r="Y462" s="15"/>
      <c r="AD462" s="117"/>
      <c r="AE462" s="123"/>
      <c r="AF462" s="123"/>
      <c r="AG462" s="123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115"/>
      <c r="AT462" s="115"/>
      <c r="AU462" s="115"/>
      <c r="AV462" s="25"/>
      <c r="AW462" s="15"/>
      <c r="AZ462" s="114"/>
    </row>
    <row r="463" spans="6:52" ht="19.5" x14ac:dyDescent="0.4"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25"/>
      <c r="Y463" s="15"/>
      <c r="AD463" s="117"/>
      <c r="AE463" s="123"/>
      <c r="AF463" s="123"/>
      <c r="AG463" s="123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115"/>
      <c r="AT463" s="115"/>
      <c r="AU463" s="115"/>
      <c r="AV463" s="25"/>
      <c r="AW463" s="15"/>
      <c r="AZ463" s="114"/>
    </row>
    <row r="464" spans="6:52" ht="19.5" x14ac:dyDescent="0.4">
      <c r="X464" s="26"/>
      <c r="Y464" s="15"/>
      <c r="AD464" s="117"/>
      <c r="AE464" s="123"/>
      <c r="AF464" s="123"/>
      <c r="AG464" s="123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115"/>
      <c r="AT464" s="115"/>
      <c r="AU464" s="115"/>
      <c r="AV464" s="25">
        <v>45272</v>
      </c>
      <c r="AW464" s="15" t="s">
        <v>162</v>
      </c>
      <c r="AZ464" s="114"/>
    </row>
    <row r="465" spans="13:52" ht="19.5" x14ac:dyDescent="0.4">
      <c r="X465" s="26"/>
      <c r="Y465" s="13"/>
      <c r="AD465" s="117"/>
      <c r="AE465" s="123"/>
      <c r="AF465" s="123"/>
      <c r="AG465" s="123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15"/>
      <c r="AT465" s="115"/>
      <c r="AU465" s="115"/>
      <c r="AV465" s="25"/>
      <c r="AW465" s="15"/>
      <c r="AZ465" s="114"/>
    </row>
    <row r="466" spans="13:52" ht="19.5" x14ac:dyDescent="0.4"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26"/>
      <c r="Y466" s="13"/>
      <c r="AD466" s="117"/>
      <c r="AE466" s="123"/>
      <c r="AF466" s="123"/>
      <c r="AG466" s="123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115"/>
      <c r="AU466" s="115"/>
      <c r="AV466" s="25"/>
      <c r="AW466" s="15"/>
      <c r="AZ466" s="114"/>
    </row>
    <row r="467" spans="13:52" ht="19.5" x14ac:dyDescent="0.4">
      <c r="X467" s="26"/>
      <c r="Y467" s="13"/>
      <c r="AD467" s="117"/>
      <c r="AE467" s="123"/>
      <c r="AF467" s="123"/>
      <c r="AG467" s="123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115"/>
      <c r="AU467" s="115"/>
      <c r="AV467" s="25">
        <v>45272</v>
      </c>
      <c r="AW467" s="15" t="s">
        <v>162</v>
      </c>
      <c r="AZ467" s="114"/>
    </row>
    <row r="468" spans="13:52" ht="19.5" x14ac:dyDescent="0.4">
      <c r="P468" s="115"/>
      <c r="Q468" s="115"/>
      <c r="R468" s="115"/>
      <c r="S468" s="115"/>
      <c r="T468" s="115"/>
      <c r="U468" s="115"/>
      <c r="V468" s="115"/>
      <c r="W468" s="115"/>
      <c r="X468" s="17"/>
      <c r="Y468" s="13"/>
      <c r="AD468" s="117"/>
      <c r="AE468" s="123"/>
      <c r="AF468" s="123"/>
      <c r="AG468" s="123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15"/>
      <c r="AU468" s="115"/>
      <c r="AV468" s="25"/>
      <c r="AW468" s="15"/>
      <c r="AZ468" s="114"/>
    </row>
    <row r="469" spans="13:52" ht="19.5" x14ac:dyDescent="0.4">
      <c r="X469" s="26"/>
      <c r="Y469" s="13"/>
      <c r="AD469" s="117"/>
      <c r="AE469" s="123"/>
      <c r="AF469" s="123"/>
      <c r="AG469" s="123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15"/>
      <c r="AU469" s="115"/>
      <c r="AV469" s="25"/>
      <c r="AW469" s="15"/>
      <c r="AZ469" s="114"/>
    </row>
    <row r="470" spans="13:52" ht="19.5" x14ac:dyDescent="0.4"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26"/>
      <c r="Y470" s="13"/>
      <c r="AD470" s="117"/>
      <c r="AE470" s="123"/>
      <c r="AF470" s="123"/>
      <c r="AG470" s="123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15"/>
      <c r="AU470" s="115"/>
      <c r="AV470" s="25"/>
      <c r="AW470" s="15"/>
      <c r="AZ470" s="114"/>
    </row>
    <row r="471" spans="13:52" ht="19.5" x14ac:dyDescent="0.4">
      <c r="X471" s="26"/>
      <c r="Y471" s="13"/>
      <c r="AD471" s="117"/>
      <c r="AE471" s="123"/>
      <c r="AF471" s="123"/>
      <c r="AG471" s="123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15"/>
      <c r="AU471" s="115"/>
      <c r="AV471" s="25">
        <v>45272</v>
      </c>
      <c r="AW471" s="15" t="s">
        <v>162</v>
      </c>
      <c r="AZ471" s="114"/>
    </row>
    <row r="472" spans="13:52" ht="19.5" x14ac:dyDescent="0.4">
      <c r="X472" s="26"/>
      <c r="Y472" s="13"/>
      <c r="AD472" s="117"/>
      <c r="AE472" s="123"/>
      <c r="AF472" s="123"/>
      <c r="AG472" s="123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15"/>
      <c r="AU472" s="115" t="s">
        <v>166</v>
      </c>
      <c r="AV472" s="13">
        <f>SUBTOTAL(3,AV420:AV471)</f>
        <v>13</v>
      </c>
      <c r="AW472" s="15">
        <f>SUBTOTAL(3,AW420:AW471)</f>
        <v>13</v>
      </c>
      <c r="AZ472" s="114"/>
    </row>
    <row r="473" spans="13:52" ht="19.5" x14ac:dyDescent="0.4">
      <c r="P473" s="115"/>
      <c r="Q473" s="115"/>
      <c r="R473" s="115"/>
      <c r="S473" s="115"/>
      <c r="T473" s="115"/>
      <c r="U473" s="115"/>
      <c r="V473" s="115"/>
      <c r="W473" s="115"/>
      <c r="X473" s="17"/>
      <c r="Y473" s="13"/>
      <c r="AD473" s="117"/>
      <c r="AE473" s="123"/>
      <c r="AF473" s="123"/>
      <c r="AG473" s="123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115"/>
      <c r="AU473" s="115"/>
      <c r="AV473" s="13"/>
      <c r="AW473" s="15"/>
      <c r="AZ473" s="114"/>
    </row>
    <row r="474" spans="13:52" ht="19.5" x14ac:dyDescent="0.4">
      <c r="X474" s="26"/>
      <c r="Y474" s="13"/>
      <c r="AD474" s="117"/>
      <c r="AE474" s="123"/>
      <c r="AF474" s="123"/>
      <c r="AG474" s="123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115"/>
      <c r="AU474" s="115"/>
      <c r="AV474" s="25">
        <v>45273</v>
      </c>
      <c r="AW474" s="105" t="s">
        <v>164</v>
      </c>
      <c r="AZ474" s="114"/>
    </row>
    <row r="475" spans="13:52" ht="19.5" x14ac:dyDescent="0.4">
      <c r="X475" s="26"/>
      <c r="Y475" s="13"/>
      <c r="AD475" s="117"/>
      <c r="AE475" s="123"/>
      <c r="AF475" s="123"/>
      <c r="AG475" s="123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115"/>
      <c r="AU475" s="115"/>
      <c r="AV475" s="25">
        <v>45273</v>
      </c>
      <c r="AW475" s="15" t="s">
        <v>164</v>
      </c>
      <c r="AZ475" s="114"/>
    </row>
    <row r="476" spans="13:52" ht="19.5" x14ac:dyDescent="0.4"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26"/>
      <c r="Y476" s="13"/>
      <c r="AD476" s="117"/>
      <c r="AE476" s="123"/>
      <c r="AF476" s="123"/>
      <c r="AG476" s="123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15"/>
      <c r="AU476" s="115"/>
      <c r="AV476" s="25"/>
      <c r="AW476" s="13"/>
      <c r="AZ476" s="114"/>
    </row>
    <row r="477" spans="13:52" ht="19.5" x14ac:dyDescent="0.4">
      <c r="X477" s="26"/>
      <c r="Y477" s="13"/>
      <c r="AD477" s="117"/>
      <c r="AE477" s="123"/>
      <c r="AF477" s="123"/>
      <c r="AG477" s="123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15"/>
      <c r="AU477" s="115"/>
      <c r="AV477" s="25">
        <v>45273</v>
      </c>
      <c r="AW477" s="13" t="s">
        <v>164</v>
      </c>
      <c r="AZ477" s="114"/>
    </row>
    <row r="478" spans="13:52" ht="19.5" x14ac:dyDescent="0.4">
      <c r="X478" s="26"/>
      <c r="Y478" s="13"/>
      <c r="AD478" s="117"/>
      <c r="AE478" s="123"/>
      <c r="AF478" s="123"/>
      <c r="AG478" s="123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115"/>
      <c r="AU478" s="115"/>
      <c r="AV478" s="25">
        <v>45273</v>
      </c>
      <c r="AW478" s="15" t="s">
        <v>164</v>
      </c>
      <c r="AZ478" s="114"/>
    </row>
    <row r="479" spans="13:52" ht="19.5" x14ac:dyDescent="0.4">
      <c r="X479" s="26"/>
      <c r="Y479" s="13"/>
      <c r="AD479" s="117"/>
      <c r="AE479" s="123"/>
      <c r="AF479" s="123"/>
      <c r="AG479" s="123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115"/>
      <c r="AU479" s="115"/>
      <c r="AV479" s="25">
        <v>45273</v>
      </c>
      <c r="AW479" s="15" t="s">
        <v>162</v>
      </c>
      <c r="AZ479" s="114"/>
    </row>
    <row r="480" spans="13:52" ht="19.5" x14ac:dyDescent="0.4">
      <c r="O480" s="115"/>
      <c r="P480" s="115"/>
      <c r="Q480" s="115"/>
      <c r="R480" s="115"/>
      <c r="S480" s="115"/>
      <c r="T480" s="115"/>
      <c r="U480" s="115"/>
      <c r="V480" s="115"/>
      <c r="W480" s="115"/>
      <c r="X480" s="26"/>
      <c r="Y480" s="13"/>
      <c r="AD480" s="117"/>
      <c r="AE480" s="123"/>
      <c r="AF480" s="123"/>
      <c r="AG480" s="123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115"/>
      <c r="AU480" s="115"/>
      <c r="AV480" s="25"/>
      <c r="AW480" s="15"/>
      <c r="AZ480" s="114"/>
    </row>
    <row r="481" spans="13:52" ht="19.5" x14ac:dyDescent="0.4">
      <c r="X481" s="26"/>
      <c r="Y481" s="13"/>
      <c r="AD481" s="117"/>
      <c r="AE481" s="123"/>
      <c r="AF481" s="123"/>
      <c r="AG481" s="123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115"/>
      <c r="AU481" s="115"/>
      <c r="AV481" s="25">
        <v>45273</v>
      </c>
      <c r="AW481" s="15" t="s">
        <v>162</v>
      </c>
      <c r="AZ481" s="114"/>
    </row>
    <row r="482" spans="13:52" ht="19.5" x14ac:dyDescent="0.4">
      <c r="X482" s="26"/>
      <c r="Y482" s="13"/>
      <c r="AD482" s="117"/>
      <c r="AE482" s="123"/>
      <c r="AF482" s="123"/>
      <c r="AG482" s="123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115"/>
      <c r="AU482" s="115"/>
      <c r="AV482" s="25">
        <v>45273</v>
      </c>
      <c r="AW482" s="15" t="s">
        <v>162</v>
      </c>
      <c r="AZ482" s="114"/>
    </row>
    <row r="483" spans="13:52" ht="19.5" x14ac:dyDescent="0.4">
      <c r="X483" s="26"/>
      <c r="Y483" s="13"/>
      <c r="AD483" s="117"/>
      <c r="AE483" s="123"/>
      <c r="AF483" s="123"/>
      <c r="AG483" s="123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115"/>
      <c r="AU483" s="115"/>
      <c r="AV483" s="25">
        <v>45273</v>
      </c>
      <c r="AW483" s="15" t="s">
        <v>162</v>
      </c>
      <c r="AZ483" s="114"/>
    </row>
    <row r="484" spans="13:52" ht="19.5" x14ac:dyDescent="0.4"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26"/>
      <c r="Y484" s="13"/>
      <c r="AD484" s="117"/>
      <c r="AE484" s="123"/>
      <c r="AF484" s="123"/>
      <c r="AG484" s="123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15"/>
      <c r="AU484" s="115"/>
      <c r="AV484" s="25"/>
      <c r="AW484" s="15"/>
      <c r="AZ484" s="114"/>
    </row>
    <row r="485" spans="13:52" ht="19.5" x14ac:dyDescent="0.4">
      <c r="X485" s="26"/>
      <c r="Y485" s="13"/>
      <c r="AD485" s="117"/>
      <c r="AE485" s="123"/>
      <c r="AF485" s="123"/>
      <c r="AG485" s="123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115"/>
      <c r="AU485" s="115"/>
      <c r="AV485" s="25">
        <v>45273</v>
      </c>
      <c r="AW485" s="15" t="s">
        <v>162</v>
      </c>
      <c r="AZ485" s="114"/>
    </row>
    <row r="486" spans="13:52" ht="19.5" x14ac:dyDescent="0.4">
      <c r="X486" s="26"/>
      <c r="Y486" s="13"/>
      <c r="AD486" s="117"/>
      <c r="AE486" s="123"/>
      <c r="AF486" s="123"/>
      <c r="AG486" s="123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15"/>
      <c r="AU486" s="115"/>
      <c r="AV486" s="25">
        <v>45273</v>
      </c>
      <c r="AW486" s="15" t="s">
        <v>162</v>
      </c>
      <c r="AZ486" s="114"/>
    </row>
    <row r="487" spans="13:52" ht="19.5" x14ac:dyDescent="0.4">
      <c r="X487" s="26"/>
      <c r="Y487" s="13"/>
      <c r="AD487" s="117"/>
      <c r="AE487" s="123"/>
      <c r="AF487" s="123"/>
      <c r="AG487" s="123"/>
      <c r="AH487" s="115"/>
      <c r="AI487" s="115"/>
      <c r="AJ487" s="115"/>
      <c r="AK487" s="115"/>
      <c r="AL487" s="124"/>
      <c r="AM487" s="124"/>
      <c r="AN487" s="124"/>
      <c r="AO487" s="124"/>
      <c r="AP487" s="124"/>
      <c r="AQ487" s="124"/>
      <c r="AR487" s="124"/>
      <c r="AS487" s="124"/>
      <c r="AT487" s="124"/>
      <c r="AU487" s="124"/>
      <c r="AV487" s="25">
        <v>45273</v>
      </c>
      <c r="AW487" s="15" t="s">
        <v>162</v>
      </c>
      <c r="AZ487" s="114"/>
    </row>
    <row r="488" spans="13:52" ht="19.5" x14ac:dyDescent="0.4">
      <c r="X488" s="26"/>
      <c r="Y488" s="13"/>
      <c r="AD488" s="117"/>
      <c r="AE488" s="123"/>
      <c r="AF488" s="123"/>
      <c r="AG488" s="123"/>
      <c r="AH488" s="115"/>
      <c r="AI488" s="115"/>
      <c r="AJ488" s="115"/>
      <c r="AK488" s="115"/>
      <c r="AL488" s="124"/>
      <c r="AM488" s="124"/>
      <c r="AN488" s="124"/>
      <c r="AO488" s="124"/>
      <c r="AP488" s="124"/>
      <c r="AQ488" s="124"/>
      <c r="AR488" s="124"/>
      <c r="AS488" s="124"/>
      <c r="AT488" s="124"/>
      <c r="AU488" s="124"/>
      <c r="AV488" s="25">
        <v>45273</v>
      </c>
      <c r="AW488" s="15" t="s">
        <v>162</v>
      </c>
      <c r="AZ488" s="114"/>
    </row>
    <row r="489" spans="13:52" ht="19.5" x14ac:dyDescent="0.4">
      <c r="P489" s="115"/>
      <c r="Q489" s="115"/>
      <c r="R489" s="115"/>
      <c r="S489" s="115"/>
      <c r="T489" s="115"/>
      <c r="U489" s="115"/>
      <c r="V489" s="115"/>
      <c r="W489" s="115"/>
      <c r="X489" s="17"/>
      <c r="Y489" s="13"/>
      <c r="AD489" s="117"/>
      <c r="AE489" s="123"/>
      <c r="AF489" s="123"/>
      <c r="AG489" s="123"/>
      <c r="AH489" s="115"/>
      <c r="AI489" s="115"/>
      <c r="AJ489" s="115"/>
      <c r="AK489" s="115"/>
      <c r="AL489" s="124"/>
      <c r="AM489" s="124"/>
      <c r="AN489" s="124"/>
      <c r="AO489" s="124"/>
      <c r="AP489" s="124"/>
      <c r="AQ489" s="124"/>
      <c r="AR489" s="124"/>
      <c r="AS489" s="124"/>
      <c r="AT489" s="124"/>
      <c r="AU489" s="124"/>
      <c r="AV489" s="25"/>
      <c r="AW489" s="15"/>
      <c r="AZ489" s="114"/>
    </row>
    <row r="490" spans="13:52" ht="19.5" x14ac:dyDescent="0.4">
      <c r="X490" s="26"/>
      <c r="Y490" s="13"/>
      <c r="AD490" s="117"/>
      <c r="AE490" s="123"/>
      <c r="AF490" s="123"/>
      <c r="AG490" s="123"/>
      <c r="AH490" s="115"/>
      <c r="AI490" s="115"/>
      <c r="AJ490" s="115"/>
      <c r="AK490" s="115"/>
      <c r="AL490" s="124"/>
      <c r="AM490" s="124"/>
      <c r="AN490" s="124"/>
      <c r="AO490" s="124"/>
      <c r="AP490" s="124"/>
      <c r="AQ490" s="124"/>
      <c r="AR490" s="124"/>
      <c r="AS490" s="124"/>
      <c r="AT490" s="124"/>
      <c r="AU490" s="124"/>
      <c r="AV490" s="25">
        <v>45273</v>
      </c>
      <c r="AW490" s="15" t="s">
        <v>162</v>
      </c>
      <c r="AZ490" s="114"/>
    </row>
    <row r="491" spans="13:52" ht="19.5" x14ac:dyDescent="0.4">
      <c r="P491" s="115"/>
      <c r="Q491" s="115"/>
      <c r="R491" s="115"/>
      <c r="S491" s="115"/>
      <c r="T491" s="115"/>
      <c r="U491" s="115"/>
      <c r="V491" s="115"/>
      <c r="W491" s="115"/>
      <c r="X491" s="17"/>
      <c r="Y491" s="13"/>
      <c r="AD491" s="117"/>
      <c r="AE491" s="123"/>
      <c r="AF491" s="123"/>
      <c r="AG491" s="123"/>
      <c r="AH491" s="115"/>
      <c r="AI491" s="115"/>
      <c r="AJ491" s="115"/>
      <c r="AK491" s="115"/>
      <c r="AL491" s="124"/>
      <c r="AM491" s="124"/>
      <c r="AN491" s="124"/>
      <c r="AO491" s="124"/>
      <c r="AP491" s="124"/>
      <c r="AQ491" s="124"/>
      <c r="AR491" s="124"/>
      <c r="AS491" s="124"/>
      <c r="AT491" s="124"/>
      <c r="AU491" s="124"/>
      <c r="AV491" s="25"/>
      <c r="AW491" s="15"/>
      <c r="AZ491" s="114"/>
    </row>
    <row r="492" spans="13:52" ht="19.5" x14ac:dyDescent="0.4">
      <c r="X492" s="26"/>
      <c r="Y492" s="13"/>
      <c r="AD492" s="117"/>
      <c r="AE492" s="123"/>
      <c r="AF492" s="123"/>
      <c r="AG492" s="123"/>
      <c r="AH492" s="115"/>
      <c r="AI492" s="115"/>
      <c r="AJ492" s="115"/>
      <c r="AK492" s="115"/>
      <c r="AL492" s="124"/>
      <c r="AM492" s="124"/>
      <c r="AN492" s="124"/>
      <c r="AO492" s="124"/>
      <c r="AP492" s="124"/>
      <c r="AQ492" s="124"/>
      <c r="AR492" s="124"/>
      <c r="AS492" s="124"/>
      <c r="AT492" s="124"/>
      <c r="AU492" s="124"/>
      <c r="AV492" s="25">
        <v>45273</v>
      </c>
      <c r="AW492" s="15" t="s">
        <v>162</v>
      </c>
      <c r="AZ492" s="114"/>
    </row>
    <row r="493" spans="13:52" ht="19.5" x14ac:dyDescent="0.4">
      <c r="X493" s="26"/>
      <c r="Y493" s="13"/>
      <c r="AD493" s="117"/>
      <c r="AE493" s="123"/>
      <c r="AF493" s="123"/>
      <c r="AG493" s="123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115"/>
      <c r="AU493" s="115"/>
      <c r="AV493" s="25">
        <v>45273</v>
      </c>
      <c r="AW493" s="13" t="s">
        <v>162</v>
      </c>
      <c r="AZ493" s="114"/>
    </row>
    <row r="494" spans="13:52" ht="19.5" x14ac:dyDescent="0.4">
      <c r="X494" s="26"/>
      <c r="Y494" s="13"/>
      <c r="AD494" s="117"/>
      <c r="AE494" s="123"/>
      <c r="AF494" s="123"/>
      <c r="AG494" s="123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15"/>
      <c r="AU494" s="115"/>
      <c r="AV494" s="25">
        <v>45273</v>
      </c>
      <c r="AW494" s="15" t="s">
        <v>162</v>
      </c>
      <c r="AZ494" s="114"/>
    </row>
    <row r="495" spans="13:52" ht="19.5" x14ac:dyDescent="0.4">
      <c r="X495" s="26"/>
      <c r="Y495" s="13"/>
      <c r="AD495" s="117"/>
      <c r="AE495" s="123"/>
      <c r="AF495" s="123"/>
      <c r="AG495" s="123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115"/>
      <c r="AU495" s="115"/>
      <c r="AV495" s="25">
        <v>45273</v>
      </c>
      <c r="AW495" s="15" t="s">
        <v>162</v>
      </c>
      <c r="AZ495" s="114"/>
    </row>
    <row r="496" spans="13:52" ht="19.5" x14ac:dyDescent="0.4"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26"/>
      <c r="Y496" s="25"/>
      <c r="AD496" s="117"/>
      <c r="AE496" s="123"/>
      <c r="AF496" s="123"/>
      <c r="AG496" s="123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115"/>
      <c r="AU496" s="115"/>
      <c r="AV496" s="25"/>
      <c r="AW496" s="15"/>
      <c r="AZ496" s="114"/>
    </row>
    <row r="497" spans="6:52" ht="19.5" x14ac:dyDescent="0.4">
      <c r="X497" s="26"/>
      <c r="Y497" s="25"/>
      <c r="AD497" s="117"/>
      <c r="AE497" s="123"/>
      <c r="AF497" s="123"/>
      <c r="AG497" s="123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15"/>
      <c r="AU497" s="115"/>
      <c r="AV497" s="25">
        <v>45273</v>
      </c>
      <c r="AW497" s="15" t="s">
        <v>162</v>
      </c>
      <c r="AZ497" s="114"/>
    </row>
    <row r="498" spans="6:52" ht="19.5" x14ac:dyDescent="0.4">
      <c r="X498" s="26"/>
      <c r="Y498" s="13"/>
      <c r="AD498" s="117"/>
      <c r="AE498" s="123"/>
      <c r="AF498" s="123"/>
      <c r="AG498" s="123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15"/>
      <c r="AU498" s="115"/>
      <c r="AV498" s="25">
        <v>45273</v>
      </c>
      <c r="AW498" s="15" t="s">
        <v>162</v>
      </c>
      <c r="AZ498" s="114"/>
    </row>
    <row r="499" spans="6:52" ht="19.5" x14ac:dyDescent="0.4"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26"/>
      <c r="Y499" s="13"/>
      <c r="AD499" s="117"/>
      <c r="AE499" s="123"/>
      <c r="AF499" s="123"/>
      <c r="AG499" s="123"/>
      <c r="AH499" s="115"/>
      <c r="AI499" s="115"/>
      <c r="AJ499" s="115"/>
      <c r="AK499" s="115"/>
      <c r="AL499" s="115"/>
      <c r="AM499" s="115"/>
      <c r="AN499" s="115"/>
      <c r="AO499" s="115"/>
      <c r="AP499" s="115"/>
      <c r="AQ499" s="115"/>
      <c r="AR499" s="115"/>
      <c r="AS499" s="115"/>
      <c r="AT499" s="115"/>
      <c r="AU499" s="115"/>
      <c r="AV499" s="25"/>
      <c r="AW499" s="15"/>
      <c r="AZ499" s="114"/>
    </row>
    <row r="500" spans="6:52" ht="19.5" x14ac:dyDescent="0.4"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26"/>
      <c r="Y500" s="13"/>
      <c r="AD500" s="117"/>
      <c r="AE500" s="123"/>
      <c r="AF500" s="123"/>
      <c r="AG500" s="123"/>
      <c r="AH500" s="115"/>
      <c r="AI500" s="115"/>
      <c r="AJ500" s="115"/>
      <c r="AK500" s="115"/>
      <c r="AL500" s="115"/>
      <c r="AM500" s="115"/>
      <c r="AN500" s="115"/>
      <c r="AO500" s="115"/>
      <c r="AP500" s="115"/>
      <c r="AQ500" s="115"/>
      <c r="AR500" s="115"/>
      <c r="AS500" s="115"/>
      <c r="AT500" s="115"/>
      <c r="AU500" s="115"/>
      <c r="AV500" s="25"/>
      <c r="AW500" s="15"/>
      <c r="AZ500" s="114"/>
    </row>
    <row r="501" spans="6:52" ht="19.5" x14ac:dyDescent="0.4">
      <c r="X501" s="26"/>
      <c r="Y501" s="13"/>
      <c r="AD501" s="117"/>
      <c r="AE501" s="123"/>
      <c r="AF501" s="123"/>
      <c r="AG501" s="123"/>
      <c r="AH501" s="115"/>
      <c r="AI501" s="115"/>
      <c r="AJ501" s="115"/>
      <c r="AK501" s="115"/>
      <c r="AL501" s="115"/>
      <c r="AM501" s="115"/>
      <c r="AN501" s="115"/>
      <c r="AO501" s="115"/>
      <c r="AP501" s="115"/>
      <c r="AQ501" s="115"/>
      <c r="AR501" s="115"/>
      <c r="AS501" s="115"/>
      <c r="AT501" s="115"/>
      <c r="AU501" s="115"/>
      <c r="AV501" s="25">
        <v>45273</v>
      </c>
      <c r="AW501" s="15" t="s">
        <v>162</v>
      </c>
      <c r="AZ501" s="114"/>
    </row>
    <row r="502" spans="6:52" ht="19.5" x14ac:dyDescent="0.4">
      <c r="X502" s="26"/>
      <c r="Y502" s="13"/>
      <c r="AD502" s="117"/>
      <c r="AE502" s="123"/>
      <c r="AF502" s="123"/>
      <c r="AG502" s="123"/>
      <c r="AH502" s="115"/>
      <c r="AI502" s="115"/>
      <c r="AJ502" s="115"/>
      <c r="AK502" s="115"/>
      <c r="AL502" s="115"/>
      <c r="AM502" s="115"/>
      <c r="AN502" s="115"/>
      <c r="AO502" s="115"/>
      <c r="AP502" s="115"/>
      <c r="AQ502" s="115"/>
      <c r="AR502" s="115"/>
      <c r="AS502" s="115"/>
      <c r="AT502" s="115"/>
      <c r="AU502" s="115"/>
      <c r="AV502" s="25">
        <v>45273</v>
      </c>
      <c r="AW502" s="15" t="s">
        <v>162</v>
      </c>
      <c r="AZ502" s="114"/>
    </row>
    <row r="503" spans="6:52" ht="19.5" x14ac:dyDescent="0.4">
      <c r="X503" s="26"/>
      <c r="Y503" s="13"/>
      <c r="AD503" s="117"/>
      <c r="AE503" s="123"/>
      <c r="AF503" s="123"/>
      <c r="AG503" s="123"/>
      <c r="AH503" s="115"/>
      <c r="AI503" s="115"/>
      <c r="AJ503" s="115"/>
      <c r="AK503" s="115"/>
      <c r="AL503" s="115"/>
      <c r="AM503" s="115"/>
      <c r="AN503" s="115"/>
      <c r="AO503" s="115"/>
      <c r="AP503" s="115"/>
      <c r="AQ503" s="115"/>
      <c r="AR503" s="115"/>
      <c r="AS503" s="115"/>
      <c r="AT503" s="115"/>
      <c r="AU503" s="115"/>
      <c r="AV503" s="25">
        <v>45273</v>
      </c>
      <c r="AW503" s="13" t="s">
        <v>163</v>
      </c>
      <c r="AZ503" s="114"/>
    </row>
    <row r="504" spans="6:52" ht="19.5" x14ac:dyDescent="0.4">
      <c r="X504" s="26"/>
      <c r="Y504" s="13"/>
      <c r="AD504" s="117"/>
      <c r="AE504" s="123"/>
      <c r="AF504" s="123"/>
      <c r="AG504" s="123"/>
      <c r="AH504" s="115"/>
      <c r="AI504" s="115"/>
      <c r="AJ504" s="115"/>
      <c r="AK504" s="115"/>
      <c r="AL504" s="115"/>
      <c r="AM504" s="115"/>
      <c r="AN504" s="115"/>
      <c r="AO504" s="115"/>
      <c r="AP504" s="115"/>
      <c r="AQ504" s="115"/>
      <c r="AR504" s="115"/>
      <c r="AS504" s="115"/>
      <c r="AT504" s="115"/>
      <c r="AU504" s="115"/>
      <c r="AV504" s="25"/>
      <c r="AW504" s="13"/>
      <c r="AZ504" s="114"/>
    </row>
    <row r="505" spans="6:52" ht="19.5" x14ac:dyDescent="0.4">
      <c r="X505" s="26"/>
      <c r="Y505" s="13"/>
      <c r="AD505" s="117"/>
      <c r="AE505" s="123"/>
      <c r="AF505" s="123"/>
      <c r="AG505" s="123"/>
      <c r="AH505" s="115"/>
      <c r="AI505" s="115"/>
      <c r="AJ505" s="115"/>
      <c r="AK505" s="115"/>
      <c r="AL505" s="115"/>
      <c r="AM505" s="115"/>
      <c r="AN505" s="115"/>
      <c r="AO505" s="115"/>
      <c r="AP505" s="115"/>
      <c r="AQ505" s="115"/>
      <c r="AR505" s="115"/>
      <c r="AS505" s="115"/>
      <c r="AT505" s="115"/>
      <c r="AU505" s="115" t="s">
        <v>152</v>
      </c>
      <c r="AV505" s="13">
        <f>SUBTOTAL(3,AV474:AV503)</f>
        <v>22</v>
      </c>
      <c r="AW505" s="13">
        <f>SUBTOTAL(3,AW474:AW503)</f>
        <v>22</v>
      </c>
      <c r="AZ505" s="114"/>
    </row>
    <row r="506" spans="6:52" ht="19.5" x14ac:dyDescent="0.4">
      <c r="X506" s="26"/>
      <c r="Y506" s="13"/>
      <c r="AD506" s="117"/>
      <c r="AE506" s="123"/>
      <c r="AF506" s="123"/>
      <c r="AG506" s="123"/>
      <c r="AH506" s="115"/>
      <c r="AI506" s="115"/>
      <c r="AJ506" s="115"/>
      <c r="AK506" s="115"/>
      <c r="AL506" s="115"/>
      <c r="AM506" s="115"/>
      <c r="AN506" s="115"/>
      <c r="AO506" s="115"/>
      <c r="AP506" s="115"/>
      <c r="AQ506" s="115"/>
      <c r="AR506" s="115"/>
      <c r="AS506" s="115"/>
      <c r="AT506" s="115"/>
      <c r="AU506" s="115"/>
      <c r="AV506" s="25">
        <v>45274</v>
      </c>
      <c r="AW506" s="15" t="s">
        <v>162</v>
      </c>
      <c r="AZ506" s="114"/>
    </row>
    <row r="507" spans="6:52" ht="19.5" x14ac:dyDescent="0.4"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26"/>
      <c r="Y507" s="13"/>
      <c r="AD507" s="117"/>
      <c r="AE507" s="123"/>
      <c r="AF507" s="123"/>
      <c r="AG507" s="123"/>
      <c r="AH507" s="115"/>
      <c r="AI507" s="115"/>
      <c r="AJ507" s="115"/>
      <c r="AK507" s="115"/>
      <c r="AL507" s="115"/>
      <c r="AM507" s="115"/>
      <c r="AN507" s="115"/>
      <c r="AO507" s="115"/>
      <c r="AP507" s="115"/>
      <c r="AQ507" s="115"/>
      <c r="AR507" s="115"/>
      <c r="AS507" s="115"/>
      <c r="AT507" s="115"/>
      <c r="AU507" s="115"/>
      <c r="AV507" s="25"/>
      <c r="AW507" s="15"/>
      <c r="AZ507" s="114"/>
    </row>
    <row r="508" spans="6:52" ht="19.5" x14ac:dyDescent="0.4"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26"/>
      <c r="Y508" s="13"/>
      <c r="AD508" s="117"/>
      <c r="AE508" s="123"/>
      <c r="AF508" s="123"/>
      <c r="AG508" s="123"/>
      <c r="AH508" s="115"/>
      <c r="AI508" s="115"/>
      <c r="AJ508" s="115"/>
      <c r="AK508" s="115"/>
      <c r="AL508" s="115"/>
      <c r="AM508" s="115"/>
      <c r="AN508" s="115"/>
      <c r="AO508" s="115"/>
      <c r="AP508" s="115"/>
      <c r="AQ508" s="115"/>
      <c r="AR508" s="115"/>
      <c r="AS508" s="115"/>
      <c r="AT508" s="115"/>
      <c r="AU508" s="115"/>
      <c r="AV508" s="25"/>
      <c r="AW508" s="15"/>
      <c r="AZ508" s="114"/>
    </row>
    <row r="509" spans="6:52" ht="19.5" x14ac:dyDescent="0.4">
      <c r="X509" s="26"/>
      <c r="Y509" s="13"/>
      <c r="AD509" s="117"/>
      <c r="AE509" s="123"/>
      <c r="AF509" s="123"/>
      <c r="AG509" s="123"/>
      <c r="AH509" s="115"/>
      <c r="AI509" s="115"/>
      <c r="AJ509" s="115"/>
      <c r="AK509" s="115"/>
      <c r="AL509" s="115"/>
      <c r="AM509" s="115"/>
      <c r="AN509" s="115"/>
      <c r="AO509" s="115"/>
      <c r="AP509" s="115"/>
      <c r="AQ509" s="115"/>
      <c r="AR509" s="115"/>
      <c r="AS509" s="115"/>
      <c r="AT509" s="115"/>
      <c r="AU509" s="115"/>
      <c r="AV509" s="25">
        <v>45274</v>
      </c>
      <c r="AW509" s="15" t="s">
        <v>162</v>
      </c>
      <c r="AZ509" s="114"/>
    </row>
    <row r="510" spans="6:52" ht="19.5" x14ac:dyDescent="0.4">
      <c r="O510" s="115"/>
      <c r="P510" s="115"/>
      <c r="Q510" s="115"/>
      <c r="R510" s="115"/>
      <c r="S510" s="115"/>
      <c r="T510" s="115"/>
      <c r="U510" s="115"/>
      <c r="V510" s="115"/>
      <c r="W510" s="115"/>
      <c r="X510" s="26"/>
      <c r="Y510" s="13"/>
      <c r="AD510" s="117"/>
      <c r="AE510" s="123"/>
      <c r="AF510" s="123"/>
      <c r="AG510" s="123"/>
      <c r="AH510" s="115"/>
      <c r="AI510" s="115"/>
      <c r="AJ510" s="115"/>
      <c r="AK510" s="115"/>
      <c r="AL510" s="115"/>
      <c r="AM510" s="115"/>
      <c r="AN510" s="115"/>
      <c r="AO510" s="115"/>
      <c r="AP510" s="115"/>
      <c r="AQ510" s="115"/>
      <c r="AR510" s="115"/>
      <c r="AS510" s="115"/>
      <c r="AT510" s="115"/>
      <c r="AU510" s="115"/>
      <c r="AV510" s="25"/>
      <c r="AW510" s="15"/>
      <c r="AZ510" s="114"/>
    </row>
    <row r="511" spans="6:52" ht="19.5" x14ac:dyDescent="0.4"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26"/>
      <c r="Y511" s="13"/>
      <c r="AD511" s="117"/>
      <c r="AE511" s="123"/>
      <c r="AF511" s="123"/>
      <c r="AG511" s="123"/>
      <c r="AH511" s="115"/>
      <c r="AI511" s="115"/>
      <c r="AJ511" s="115"/>
      <c r="AK511" s="115"/>
      <c r="AL511" s="115"/>
      <c r="AM511" s="115"/>
      <c r="AN511" s="115"/>
      <c r="AO511" s="115"/>
      <c r="AP511" s="115"/>
      <c r="AQ511" s="115"/>
      <c r="AR511" s="115"/>
      <c r="AS511" s="115"/>
      <c r="AT511" s="115"/>
      <c r="AU511" s="115"/>
      <c r="AV511" s="25"/>
      <c r="AW511" s="15"/>
      <c r="AZ511" s="114"/>
    </row>
    <row r="512" spans="6:52" ht="19.5" x14ac:dyDescent="0.4"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26"/>
      <c r="Y512" s="13"/>
      <c r="AD512" s="117"/>
      <c r="AE512" s="123"/>
      <c r="AF512" s="123"/>
      <c r="AG512" s="123"/>
      <c r="AH512" s="115"/>
      <c r="AI512" s="115"/>
      <c r="AJ512" s="115"/>
      <c r="AK512" s="115"/>
      <c r="AL512" s="115"/>
      <c r="AM512" s="115"/>
      <c r="AN512" s="115"/>
      <c r="AO512" s="115"/>
      <c r="AP512" s="115"/>
      <c r="AQ512" s="115"/>
      <c r="AR512" s="115"/>
      <c r="AS512" s="115"/>
      <c r="AT512" s="115"/>
      <c r="AU512" s="115"/>
      <c r="AV512" s="25"/>
      <c r="AW512" s="15"/>
      <c r="AZ512" s="114"/>
    </row>
    <row r="513" spans="13:52" ht="19.5" x14ac:dyDescent="0.4">
      <c r="X513" s="26"/>
      <c r="Y513" s="13"/>
      <c r="AD513" s="117"/>
      <c r="AE513" s="123"/>
      <c r="AF513" s="123"/>
      <c r="AG513" s="123"/>
      <c r="AH513" s="115"/>
      <c r="AI513" s="115"/>
      <c r="AJ513" s="115"/>
      <c r="AK513" s="115"/>
      <c r="AL513" s="115"/>
      <c r="AM513" s="115"/>
      <c r="AN513" s="115"/>
      <c r="AO513" s="115"/>
      <c r="AP513" s="115"/>
      <c r="AQ513" s="115"/>
      <c r="AR513" s="115"/>
      <c r="AS513" s="115"/>
      <c r="AT513" s="115"/>
      <c r="AU513" s="115"/>
      <c r="AV513" s="25">
        <v>45274</v>
      </c>
      <c r="AW513" s="15" t="s">
        <v>162</v>
      </c>
      <c r="AZ513" s="114"/>
    </row>
    <row r="514" spans="13:52" ht="19.5" x14ac:dyDescent="0.4"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26"/>
      <c r="Y514" s="13"/>
      <c r="AD514" s="117"/>
      <c r="AE514" s="123"/>
      <c r="AF514" s="123"/>
      <c r="AG514" s="123"/>
      <c r="AH514" s="115"/>
      <c r="AI514" s="115"/>
      <c r="AJ514" s="115"/>
      <c r="AK514" s="115"/>
      <c r="AL514" s="115"/>
      <c r="AM514" s="115"/>
      <c r="AN514" s="115"/>
      <c r="AO514" s="115"/>
      <c r="AP514" s="115"/>
      <c r="AQ514" s="115"/>
      <c r="AR514" s="115"/>
      <c r="AS514" s="115"/>
      <c r="AT514" s="115"/>
      <c r="AU514" s="115"/>
      <c r="AV514" s="25"/>
      <c r="AW514" s="15"/>
      <c r="AZ514" s="114"/>
    </row>
    <row r="515" spans="13:52" ht="19.5" x14ac:dyDescent="0.4">
      <c r="X515" s="26"/>
      <c r="Y515" s="13"/>
      <c r="AD515" s="117"/>
      <c r="AE515" s="123"/>
      <c r="AF515" s="123"/>
      <c r="AG515" s="123"/>
      <c r="AH515" s="115"/>
      <c r="AI515" s="115"/>
      <c r="AJ515" s="115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15"/>
      <c r="AU515" s="115"/>
      <c r="AV515" s="25">
        <v>45274</v>
      </c>
      <c r="AW515" s="15" t="s">
        <v>162</v>
      </c>
      <c r="AZ515" s="114"/>
    </row>
    <row r="516" spans="13:52" ht="19.5" x14ac:dyDescent="0.4">
      <c r="X516" s="26"/>
      <c r="Y516" s="13"/>
      <c r="AD516" s="117"/>
      <c r="AE516" s="123"/>
      <c r="AF516" s="123"/>
      <c r="AG516" s="123"/>
      <c r="AH516" s="115"/>
      <c r="AI516" s="115"/>
      <c r="AJ516" s="115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15"/>
      <c r="AU516" s="115"/>
      <c r="AV516" s="25">
        <v>45274</v>
      </c>
      <c r="AW516" s="15" t="s">
        <v>163</v>
      </c>
      <c r="AZ516" s="114"/>
    </row>
    <row r="517" spans="13:52" ht="19.5" x14ac:dyDescent="0.4">
      <c r="P517" s="115"/>
      <c r="Q517" s="115"/>
      <c r="R517" s="115"/>
      <c r="S517" s="115"/>
      <c r="T517" s="115"/>
      <c r="U517" s="115"/>
      <c r="V517" s="115"/>
      <c r="W517" s="115"/>
      <c r="X517" s="17"/>
      <c r="Y517" s="13"/>
      <c r="AD517" s="117"/>
      <c r="AE517" s="123"/>
      <c r="AF517" s="123"/>
      <c r="AG517" s="123"/>
      <c r="AH517" s="115"/>
      <c r="AI517" s="115"/>
      <c r="AJ517" s="115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15"/>
      <c r="AU517" s="115"/>
      <c r="AV517" s="25"/>
      <c r="AW517" s="15"/>
      <c r="AZ517" s="114"/>
    </row>
    <row r="518" spans="13:52" ht="19.5" x14ac:dyDescent="0.4"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26"/>
      <c r="Y518" s="13"/>
      <c r="AD518" s="117"/>
      <c r="AE518" s="123"/>
      <c r="AF518" s="123"/>
      <c r="AG518" s="123"/>
      <c r="AH518" s="115"/>
      <c r="AI518" s="115"/>
      <c r="AJ518" s="115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15"/>
      <c r="AU518" s="115"/>
      <c r="AV518" s="25"/>
      <c r="AW518" s="15"/>
      <c r="AZ518" s="114"/>
    </row>
    <row r="519" spans="13:52" ht="19.5" x14ac:dyDescent="0.4">
      <c r="X519" s="26"/>
      <c r="Y519" s="25"/>
      <c r="AD519" s="117"/>
      <c r="AE519" s="123"/>
      <c r="AF519" s="123"/>
      <c r="AG519" s="123"/>
      <c r="AH519" s="115"/>
      <c r="AI519" s="115"/>
      <c r="AJ519" s="115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15"/>
      <c r="AU519" s="115" t="s">
        <v>167</v>
      </c>
      <c r="AV519" s="13">
        <f>SUBTOTAL(3,AV506:AV516)</f>
        <v>5</v>
      </c>
      <c r="AW519" s="15">
        <f>SUBTOTAL(3,AW506:AW516)</f>
        <v>5</v>
      </c>
      <c r="AZ519" s="114"/>
    </row>
    <row r="520" spans="13:52" ht="19.5" x14ac:dyDescent="0.4"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26"/>
      <c r="Y520" s="105"/>
      <c r="AD520" s="117"/>
      <c r="AE520" s="123"/>
      <c r="AF520" s="123"/>
      <c r="AG520" s="123"/>
      <c r="AH520" s="115"/>
      <c r="AI520" s="115"/>
      <c r="AJ520" s="115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115"/>
      <c r="AU520" s="115"/>
      <c r="AV520" s="13"/>
      <c r="AW520" s="15"/>
      <c r="AZ520" s="114"/>
    </row>
    <row r="521" spans="13:52" ht="19.5" x14ac:dyDescent="0.4">
      <c r="X521" s="26"/>
      <c r="Y521" s="105"/>
      <c r="AD521" s="117"/>
      <c r="AE521" s="123"/>
      <c r="AF521" s="123"/>
      <c r="AG521" s="123"/>
      <c r="AH521" s="115"/>
      <c r="AI521" s="115"/>
      <c r="AJ521" s="115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115"/>
      <c r="AU521" s="115"/>
      <c r="AV521" s="13"/>
      <c r="AW521" s="15"/>
      <c r="AZ521" s="114"/>
    </row>
    <row r="522" spans="13:52" ht="19.5" x14ac:dyDescent="0.4">
      <c r="P522" s="115"/>
      <c r="Q522" s="115"/>
      <c r="R522" s="115"/>
      <c r="S522" s="115"/>
      <c r="T522" s="115"/>
      <c r="U522" s="115"/>
      <c r="V522" s="115"/>
      <c r="W522" s="115"/>
      <c r="X522" s="17"/>
      <c r="Y522" s="15"/>
      <c r="AD522" s="117"/>
      <c r="AE522" s="123"/>
      <c r="AF522" s="123"/>
      <c r="AG522" s="123"/>
      <c r="AH522" s="115"/>
      <c r="AI522" s="115"/>
      <c r="AJ522" s="115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15"/>
      <c r="AU522" s="115"/>
      <c r="AV522" s="13"/>
      <c r="AW522" s="15"/>
      <c r="AZ522" s="114"/>
    </row>
    <row r="523" spans="13:52" ht="19.5" x14ac:dyDescent="0.4"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26"/>
      <c r="Y523" s="15"/>
      <c r="AD523" s="117"/>
      <c r="AE523" s="123"/>
      <c r="AF523" s="123"/>
      <c r="AG523" s="123"/>
      <c r="AH523" s="115"/>
      <c r="AI523" s="115"/>
      <c r="AJ523" s="115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15"/>
      <c r="AU523" s="115"/>
      <c r="AV523" s="13"/>
      <c r="AW523" s="15"/>
      <c r="AZ523" s="114"/>
    </row>
    <row r="524" spans="13:52" ht="19.5" x14ac:dyDescent="0.4"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26"/>
      <c r="Y524" s="15"/>
      <c r="AD524" s="117"/>
      <c r="AE524" s="123"/>
      <c r="AF524" s="123"/>
      <c r="AG524" s="123"/>
      <c r="AH524" s="115"/>
      <c r="AI524" s="115"/>
      <c r="AJ524" s="115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15"/>
      <c r="AU524" s="115"/>
      <c r="AV524" s="13"/>
      <c r="AW524" s="15"/>
      <c r="AZ524" s="114"/>
    </row>
    <row r="525" spans="13:52" ht="19.5" x14ac:dyDescent="0.4"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26"/>
      <c r="Y525" s="15"/>
      <c r="AD525" s="117"/>
      <c r="AE525" s="123"/>
      <c r="AF525" s="123"/>
      <c r="AG525" s="123"/>
      <c r="AH525" s="115"/>
      <c r="AI525" s="115"/>
      <c r="AJ525" s="115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15"/>
      <c r="AU525" s="115"/>
      <c r="AV525" s="13"/>
      <c r="AW525" s="15"/>
      <c r="AZ525" s="114"/>
    </row>
    <row r="526" spans="13:52" ht="19.5" x14ac:dyDescent="0.4"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26"/>
      <c r="Y526" s="15"/>
      <c r="AD526" s="117"/>
      <c r="AE526" s="123"/>
      <c r="AF526" s="123"/>
      <c r="AG526" s="123"/>
      <c r="AH526" s="115"/>
      <c r="AI526" s="115"/>
      <c r="AJ526" s="115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15"/>
      <c r="AU526" s="115"/>
      <c r="AV526" s="13"/>
      <c r="AW526" s="15"/>
      <c r="AZ526" s="114"/>
    </row>
    <row r="527" spans="13:52" ht="19.5" x14ac:dyDescent="0.4">
      <c r="X527" s="26"/>
      <c r="Y527" s="15"/>
      <c r="AD527" s="117"/>
      <c r="AE527" s="123"/>
      <c r="AF527" s="123"/>
      <c r="AG527" s="123"/>
      <c r="AH527" s="115"/>
      <c r="AI527" s="115"/>
      <c r="AJ527" s="115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15"/>
      <c r="AU527" s="115"/>
      <c r="AV527" s="25">
        <v>45275</v>
      </c>
      <c r="AW527" s="15" t="s">
        <v>163</v>
      </c>
      <c r="AZ527" s="114"/>
    </row>
    <row r="528" spans="13:52" ht="19.5" x14ac:dyDescent="0.4">
      <c r="X528" s="26"/>
      <c r="Y528" s="15"/>
      <c r="AD528" s="117"/>
      <c r="AE528" s="123"/>
      <c r="AF528" s="123"/>
      <c r="AG528" s="123"/>
      <c r="AH528" s="115"/>
      <c r="AI528" s="115"/>
      <c r="AJ528" s="115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15"/>
      <c r="AU528" s="115" t="s">
        <v>168</v>
      </c>
      <c r="AV528" s="13">
        <f>SUBTOTAL(3,AV527:AV527)</f>
        <v>1</v>
      </c>
      <c r="AW528" s="15">
        <f>SUBTOTAL(3,AW527:AW527)</f>
        <v>1</v>
      </c>
      <c r="AZ528" s="114"/>
    </row>
    <row r="529" spans="6:52" ht="19.5" x14ac:dyDescent="0.4">
      <c r="X529" s="26"/>
      <c r="Y529" s="15"/>
      <c r="AD529" s="117"/>
      <c r="AE529" s="123"/>
      <c r="AF529" s="123"/>
      <c r="AG529" s="123"/>
      <c r="AH529" s="115"/>
      <c r="AI529" s="115"/>
      <c r="AJ529" s="115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15"/>
      <c r="AU529" s="115"/>
      <c r="AV529" s="25">
        <v>45276</v>
      </c>
      <c r="AW529" s="15" t="s">
        <v>164</v>
      </c>
      <c r="AZ529" s="114"/>
    </row>
    <row r="530" spans="6:52" ht="19.5" x14ac:dyDescent="0.4">
      <c r="X530" s="26"/>
      <c r="Y530" s="15"/>
      <c r="AD530" s="117"/>
      <c r="AE530" s="123"/>
      <c r="AF530" s="123"/>
      <c r="AG530" s="123"/>
      <c r="AH530" s="115"/>
      <c r="AI530" s="115"/>
      <c r="AJ530" s="115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15"/>
      <c r="AU530" s="115"/>
      <c r="AV530" s="25">
        <v>45276</v>
      </c>
      <c r="AW530" s="15" t="s">
        <v>162</v>
      </c>
      <c r="AZ530" s="114"/>
    </row>
    <row r="531" spans="6:52" ht="19.5" x14ac:dyDescent="0.4">
      <c r="X531" s="26"/>
      <c r="Y531" s="15"/>
      <c r="AD531" s="117"/>
      <c r="AE531" s="123"/>
      <c r="AF531" s="123"/>
      <c r="AG531" s="123"/>
      <c r="AH531" s="115"/>
      <c r="AI531" s="115"/>
      <c r="AJ531" s="115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115"/>
      <c r="AU531" s="115"/>
      <c r="AV531" s="25">
        <v>45276</v>
      </c>
      <c r="AW531" s="15" t="s">
        <v>162</v>
      </c>
      <c r="AZ531" s="114"/>
    </row>
    <row r="532" spans="6:52" ht="19.5" x14ac:dyDescent="0.4">
      <c r="X532" s="26"/>
      <c r="Y532" s="15"/>
      <c r="AD532" s="117"/>
      <c r="AE532" s="123"/>
      <c r="AF532" s="123"/>
      <c r="AG532" s="123"/>
      <c r="AH532" s="115"/>
      <c r="AI532" s="115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15"/>
      <c r="AU532" s="115"/>
      <c r="AV532" s="25">
        <v>45276</v>
      </c>
      <c r="AW532" s="15" t="s">
        <v>162</v>
      </c>
      <c r="AZ532" s="114"/>
    </row>
    <row r="533" spans="6:52" ht="19.5" x14ac:dyDescent="0.4">
      <c r="X533" s="26"/>
      <c r="Y533" s="15"/>
      <c r="AD533" s="117"/>
      <c r="AE533" s="123"/>
      <c r="AF533" s="123"/>
      <c r="AG533" s="123"/>
      <c r="AH533" s="115"/>
      <c r="AI533" s="115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15"/>
      <c r="AU533" s="115"/>
      <c r="AV533" s="25">
        <v>45276</v>
      </c>
      <c r="AW533" s="15" t="s">
        <v>162</v>
      </c>
      <c r="AZ533" s="114"/>
    </row>
    <row r="534" spans="6:52" ht="19.5" x14ac:dyDescent="0.4"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26"/>
      <c r="Y534" s="15"/>
      <c r="AD534" s="117"/>
      <c r="AE534" s="123"/>
      <c r="AF534" s="123"/>
      <c r="AG534" s="123"/>
      <c r="AH534" s="115"/>
      <c r="AI534" s="115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15"/>
      <c r="AU534" s="115"/>
      <c r="AV534" s="25"/>
      <c r="AW534" s="15"/>
      <c r="AZ534" s="114"/>
    </row>
    <row r="535" spans="6:52" ht="19.5" x14ac:dyDescent="0.4">
      <c r="X535" s="26"/>
      <c r="Y535" s="15"/>
      <c r="AD535" s="117"/>
      <c r="AE535" s="123"/>
      <c r="AF535" s="123"/>
      <c r="AG535" s="123"/>
      <c r="AH535" s="115"/>
      <c r="AI535" s="115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15"/>
      <c r="AU535" s="115"/>
      <c r="AV535" s="25">
        <v>45276</v>
      </c>
      <c r="AW535" s="15" t="s">
        <v>162</v>
      </c>
      <c r="AZ535" s="114"/>
    </row>
    <row r="536" spans="6:52" ht="19.5" x14ac:dyDescent="0.4">
      <c r="X536" s="26"/>
      <c r="Y536" s="15"/>
      <c r="AD536" s="117"/>
      <c r="AE536" s="123"/>
      <c r="AF536" s="123"/>
      <c r="AG536" s="123"/>
      <c r="AH536" s="115"/>
      <c r="AI536" s="115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15"/>
      <c r="AU536" s="115"/>
      <c r="AV536" s="25">
        <v>45276</v>
      </c>
      <c r="AW536" s="15" t="s">
        <v>162</v>
      </c>
      <c r="AZ536" s="114"/>
    </row>
    <row r="537" spans="6:52" ht="19.5" x14ac:dyDescent="0.4">
      <c r="P537" s="115"/>
      <c r="Q537" s="115"/>
      <c r="R537" s="115"/>
      <c r="S537" s="115"/>
      <c r="T537" s="115"/>
      <c r="U537" s="115"/>
      <c r="V537" s="115"/>
      <c r="W537" s="115"/>
      <c r="X537" s="17"/>
      <c r="Y537" s="15"/>
      <c r="AD537" s="117"/>
      <c r="AE537" s="123"/>
      <c r="AF537" s="123"/>
      <c r="AG537" s="123"/>
      <c r="AH537" s="115"/>
      <c r="AI537" s="115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15"/>
      <c r="AU537" s="115"/>
      <c r="AV537" s="25"/>
      <c r="AW537" s="15"/>
      <c r="AZ537" s="114"/>
    </row>
    <row r="538" spans="6:52" ht="19.5" x14ac:dyDescent="0.4"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26"/>
      <c r="Y538" s="15"/>
      <c r="AD538" s="117"/>
      <c r="AE538" s="123"/>
      <c r="AF538" s="123"/>
      <c r="AG538" s="123"/>
      <c r="AH538" s="115"/>
      <c r="AI538" s="115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15"/>
      <c r="AU538" s="115"/>
      <c r="AV538" s="25"/>
      <c r="AW538" s="15"/>
      <c r="AZ538" s="114"/>
    </row>
    <row r="539" spans="6:52" ht="19.5" x14ac:dyDescent="0.4"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26"/>
      <c r="Y539" s="15"/>
      <c r="AD539" s="117"/>
      <c r="AE539" s="123"/>
      <c r="AF539" s="123"/>
      <c r="AG539" s="123"/>
      <c r="AH539" s="115"/>
      <c r="AI539" s="115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15"/>
      <c r="AU539" s="115"/>
      <c r="AV539" s="25"/>
      <c r="AW539" s="15"/>
      <c r="AZ539" s="114"/>
    </row>
    <row r="540" spans="6:52" ht="19.5" x14ac:dyDescent="0.4"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26"/>
      <c r="Y540" s="15"/>
      <c r="AD540" s="117"/>
      <c r="AE540" s="123"/>
      <c r="AF540" s="123"/>
      <c r="AG540" s="123"/>
      <c r="AH540" s="115"/>
      <c r="AI540" s="115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15"/>
      <c r="AU540" s="115"/>
      <c r="AV540" s="25"/>
      <c r="AW540" s="15"/>
      <c r="AZ540" s="114"/>
    </row>
    <row r="541" spans="6:52" ht="19.5" x14ac:dyDescent="0.4">
      <c r="X541" s="26"/>
      <c r="Y541" s="15"/>
      <c r="AC541" s="115"/>
      <c r="AD541" s="117"/>
      <c r="AE541" s="123"/>
      <c r="AF541" s="123"/>
      <c r="AG541" s="123"/>
      <c r="AH541" s="115"/>
      <c r="AI541" s="115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15"/>
      <c r="AU541" s="115"/>
      <c r="AV541" s="25">
        <v>45276</v>
      </c>
      <c r="AW541" s="15" t="s">
        <v>162</v>
      </c>
      <c r="AZ541" s="114"/>
    </row>
    <row r="542" spans="6:52" ht="19.5" x14ac:dyDescent="0.4">
      <c r="X542" s="26"/>
      <c r="Y542" s="15"/>
      <c r="AC542" s="115"/>
      <c r="AD542" s="117"/>
      <c r="AE542" s="123"/>
      <c r="AF542" s="123"/>
      <c r="AG542" s="123"/>
      <c r="AH542" s="115"/>
      <c r="AI542" s="115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15"/>
      <c r="AU542" s="115"/>
      <c r="AV542" s="25">
        <v>45276</v>
      </c>
      <c r="AW542" s="15" t="s">
        <v>162</v>
      </c>
      <c r="AZ542" s="114"/>
    </row>
    <row r="543" spans="6:52" ht="19.5" x14ac:dyDescent="0.4">
      <c r="X543" s="26"/>
      <c r="Y543" s="15"/>
      <c r="AC543" s="115"/>
      <c r="AD543" s="117"/>
      <c r="AE543" s="123"/>
      <c r="AF543" s="123"/>
      <c r="AG543" s="123"/>
      <c r="AH543" s="115"/>
      <c r="AI543" s="115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15"/>
      <c r="AU543" s="115"/>
      <c r="AV543" s="25">
        <v>45276</v>
      </c>
      <c r="AW543" s="15" t="s">
        <v>162</v>
      </c>
      <c r="AZ543" s="114"/>
    </row>
    <row r="544" spans="6:52" ht="19.5" x14ac:dyDescent="0.4">
      <c r="P544" s="115"/>
      <c r="Q544" s="115"/>
      <c r="R544" s="115"/>
      <c r="S544" s="115"/>
      <c r="T544" s="115"/>
      <c r="U544" s="115"/>
      <c r="V544" s="115"/>
      <c r="W544" s="115"/>
      <c r="X544" s="17"/>
      <c r="Y544" s="15"/>
      <c r="AC544" s="115"/>
      <c r="AD544" s="117"/>
      <c r="AE544" s="123"/>
      <c r="AF544" s="123"/>
      <c r="AG544" s="123"/>
      <c r="AH544" s="115"/>
      <c r="AI544" s="115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15"/>
      <c r="AU544" s="115"/>
      <c r="AV544" s="25"/>
      <c r="AW544" s="15"/>
      <c r="AZ544" s="114"/>
    </row>
    <row r="545" spans="6:52" ht="19.5" x14ac:dyDescent="0.4"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26"/>
      <c r="Y545" s="15"/>
      <c r="AC545" s="115"/>
      <c r="AD545" s="117"/>
      <c r="AE545" s="123"/>
      <c r="AF545" s="123"/>
      <c r="AG545" s="123"/>
      <c r="AH545" s="115"/>
      <c r="AI545" s="115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15"/>
      <c r="AU545" s="115"/>
      <c r="AV545" s="25"/>
      <c r="AW545" s="15"/>
      <c r="AZ545" s="114"/>
    </row>
    <row r="546" spans="6:52" ht="19.5" x14ac:dyDescent="0.4"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7"/>
      <c r="Y546" s="15"/>
      <c r="AC546" s="115"/>
      <c r="AD546" s="117"/>
      <c r="AE546" s="123"/>
      <c r="AF546" s="123"/>
      <c r="AG546" s="123"/>
      <c r="AH546" s="115"/>
      <c r="AI546" s="115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115"/>
      <c r="AU546" s="115"/>
      <c r="AV546" s="25"/>
      <c r="AW546" s="15"/>
      <c r="AZ546" s="114"/>
    </row>
    <row r="547" spans="6:52" ht="19.5" x14ac:dyDescent="0.4">
      <c r="X547" s="26"/>
      <c r="Y547" s="15"/>
      <c r="AC547" s="115"/>
      <c r="AD547" s="117"/>
      <c r="AE547" s="123"/>
      <c r="AF547" s="123"/>
      <c r="AG547" s="123"/>
      <c r="AH547" s="115"/>
      <c r="AI547" s="115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115"/>
      <c r="AU547" s="115"/>
      <c r="AV547" s="25"/>
      <c r="AW547" s="15"/>
      <c r="AZ547" s="114"/>
    </row>
    <row r="548" spans="6:52" ht="19.5" x14ac:dyDescent="0.4"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26"/>
      <c r="Y548" s="15"/>
      <c r="AC548" s="115"/>
      <c r="AD548" s="117"/>
      <c r="AE548" s="123"/>
      <c r="AF548" s="123"/>
      <c r="AG548" s="123"/>
      <c r="AH548" s="115"/>
      <c r="AI548" s="115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15"/>
      <c r="AU548" s="115"/>
      <c r="AV548" s="25"/>
      <c r="AW548" s="15"/>
      <c r="AZ548" s="114"/>
    </row>
    <row r="549" spans="6:52" ht="19.5" x14ac:dyDescent="0.4">
      <c r="X549" s="26"/>
      <c r="Y549" s="15"/>
      <c r="AC549" s="115"/>
      <c r="AD549" s="117"/>
      <c r="AE549" s="123"/>
      <c r="AF549" s="123"/>
      <c r="AG549" s="123"/>
      <c r="AH549" s="115"/>
      <c r="AI549" s="115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15"/>
      <c r="AU549" s="115"/>
      <c r="AV549" s="25">
        <v>45276</v>
      </c>
      <c r="AW549" s="15" t="s">
        <v>162</v>
      </c>
      <c r="AZ549" s="114"/>
    </row>
    <row r="550" spans="6:52" ht="19.5" x14ac:dyDescent="0.4">
      <c r="P550" s="115"/>
      <c r="Q550" s="115"/>
      <c r="R550" s="115"/>
      <c r="S550" s="115"/>
      <c r="T550" s="115"/>
      <c r="U550" s="115"/>
      <c r="V550" s="115"/>
      <c r="W550" s="115"/>
      <c r="X550" s="17"/>
      <c r="Y550" s="15"/>
      <c r="AC550" s="115"/>
      <c r="AD550" s="117"/>
      <c r="AE550" s="123"/>
      <c r="AF550" s="123"/>
      <c r="AG550" s="123"/>
      <c r="AH550" s="115"/>
      <c r="AI550" s="115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15"/>
      <c r="AU550" s="115"/>
      <c r="AV550" s="25"/>
      <c r="AW550" s="15"/>
      <c r="AZ550" s="114"/>
    </row>
    <row r="551" spans="6:52" ht="19.5" x14ac:dyDescent="0.4">
      <c r="X551" s="26"/>
      <c r="Y551" s="15"/>
      <c r="AC551" s="115"/>
      <c r="AD551" s="117"/>
      <c r="AE551" s="123"/>
      <c r="AF551" s="123"/>
      <c r="AG551" s="123"/>
      <c r="AH551" s="115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15"/>
      <c r="AU551" s="115"/>
      <c r="AV551" s="25">
        <v>45276</v>
      </c>
      <c r="AW551" s="15" t="s">
        <v>162</v>
      </c>
      <c r="AZ551" s="114"/>
    </row>
    <row r="552" spans="6:52" ht="19.5" x14ac:dyDescent="0.4">
      <c r="P552" s="115"/>
      <c r="Q552" s="115"/>
      <c r="R552" s="115"/>
      <c r="S552" s="115"/>
      <c r="T552" s="115"/>
      <c r="U552" s="115"/>
      <c r="V552" s="115"/>
      <c r="W552" s="115"/>
      <c r="X552" s="17"/>
      <c r="Y552" s="15"/>
      <c r="AC552" s="115"/>
      <c r="AD552" s="117"/>
      <c r="AE552" s="123"/>
      <c r="AF552" s="123"/>
      <c r="AG552" s="123"/>
      <c r="AH552" s="115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115"/>
      <c r="AU552" s="115"/>
      <c r="AV552" s="25"/>
      <c r="AW552" s="15"/>
      <c r="AZ552" s="114"/>
    </row>
    <row r="553" spans="6:52" ht="19.5" x14ac:dyDescent="0.4">
      <c r="O553" s="115"/>
      <c r="P553" s="115"/>
      <c r="Q553" s="115"/>
      <c r="R553" s="115"/>
      <c r="S553" s="115"/>
      <c r="T553" s="115"/>
      <c r="U553" s="115"/>
      <c r="V553" s="115"/>
      <c r="W553" s="115"/>
      <c r="X553" s="26"/>
      <c r="Y553" s="15"/>
      <c r="AC553" s="115"/>
      <c r="AD553" s="117"/>
      <c r="AE553" s="123"/>
      <c r="AF553" s="123"/>
      <c r="AG553" s="123"/>
      <c r="AH553" s="115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15"/>
      <c r="AU553" s="115"/>
      <c r="AV553" s="25"/>
      <c r="AW553" s="15"/>
      <c r="AZ553" s="114"/>
    </row>
    <row r="554" spans="6:52" ht="19.5" x14ac:dyDescent="0.4">
      <c r="O554" s="115"/>
      <c r="P554" s="115"/>
      <c r="Q554" s="115"/>
      <c r="R554" s="115"/>
      <c r="S554" s="115"/>
      <c r="T554" s="115"/>
      <c r="U554" s="115"/>
      <c r="V554" s="115"/>
      <c r="W554" s="115"/>
      <c r="X554" s="17"/>
      <c r="Y554" s="15"/>
      <c r="AC554" s="115"/>
      <c r="AD554" s="117"/>
      <c r="AE554" s="123"/>
      <c r="AF554" s="123"/>
      <c r="AG554" s="123"/>
      <c r="AH554" s="115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15"/>
      <c r="AU554" s="115"/>
      <c r="AV554" s="25"/>
      <c r="AW554" s="15"/>
      <c r="AZ554" s="114"/>
    </row>
    <row r="555" spans="6:52" ht="19.5" x14ac:dyDescent="0.4">
      <c r="X555" s="26"/>
      <c r="Y555" s="15"/>
      <c r="AC555" s="115"/>
      <c r="AD555" s="117"/>
      <c r="AE555" s="123"/>
      <c r="AF555" s="123"/>
      <c r="AG555" s="123"/>
      <c r="AH555" s="115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15"/>
      <c r="AU555" s="115"/>
      <c r="AV555" s="25">
        <v>45276</v>
      </c>
      <c r="AW555" s="15" t="s">
        <v>162</v>
      </c>
      <c r="AZ555" s="114"/>
    </row>
    <row r="556" spans="6:52" ht="19.5" x14ac:dyDescent="0.4">
      <c r="X556" s="26"/>
      <c r="Y556" s="15"/>
      <c r="AC556" s="115"/>
      <c r="AD556" s="117"/>
      <c r="AE556" s="123"/>
      <c r="AF556" s="123"/>
      <c r="AG556" s="123"/>
      <c r="AH556" s="115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15"/>
      <c r="AU556" s="115"/>
      <c r="AV556" s="25">
        <v>45276</v>
      </c>
      <c r="AW556" s="15" t="s">
        <v>162</v>
      </c>
      <c r="AZ556" s="114"/>
    </row>
    <row r="557" spans="6:52" ht="19.5" x14ac:dyDescent="0.4">
      <c r="X557" s="26"/>
      <c r="Y557" s="15"/>
      <c r="AC557" s="115"/>
      <c r="AD557" s="117"/>
      <c r="AE557" s="123"/>
      <c r="AF557" s="123"/>
      <c r="AG557" s="123"/>
      <c r="AH557" s="115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15"/>
      <c r="AU557" s="115"/>
      <c r="AV557" s="25">
        <v>45276</v>
      </c>
      <c r="AW557" s="15" t="s">
        <v>162</v>
      </c>
      <c r="AZ557" s="114"/>
    </row>
    <row r="558" spans="6:52" ht="19.5" x14ac:dyDescent="0.4">
      <c r="X558" s="26"/>
      <c r="Y558" s="15"/>
      <c r="AC558" s="115"/>
      <c r="AD558" s="117"/>
      <c r="AE558" s="123"/>
      <c r="AF558" s="123"/>
      <c r="AG558" s="123"/>
      <c r="AH558" s="115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15"/>
      <c r="AU558" s="115"/>
      <c r="AV558" s="25"/>
      <c r="AW558" s="15"/>
      <c r="AZ558" s="114"/>
    </row>
    <row r="559" spans="6:52" ht="19.5" x14ac:dyDescent="0.4">
      <c r="P559" s="115"/>
      <c r="Q559" s="115"/>
      <c r="R559" s="115"/>
      <c r="S559" s="115"/>
      <c r="T559" s="115"/>
      <c r="U559" s="115"/>
      <c r="V559" s="115"/>
      <c r="W559" s="115"/>
      <c r="X559" s="17"/>
      <c r="Y559" s="15"/>
      <c r="AC559" s="115"/>
      <c r="AD559" s="117"/>
      <c r="AE559" s="123"/>
      <c r="AF559" s="123"/>
      <c r="AG559" s="123"/>
      <c r="AH559" s="115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15"/>
      <c r="AU559" s="115"/>
      <c r="AV559" s="25"/>
      <c r="AW559" s="15"/>
      <c r="AZ559" s="114"/>
    </row>
    <row r="560" spans="6:52" ht="19.5" x14ac:dyDescent="0.4">
      <c r="X560" s="26"/>
      <c r="Y560" s="15"/>
      <c r="AC560" s="115"/>
      <c r="AD560" s="117"/>
      <c r="AE560" s="123"/>
      <c r="AF560" s="123"/>
      <c r="AG560" s="123"/>
      <c r="AH560" s="115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15"/>
      <c r="AU560" s="115"/>
      <c r="AV560" s="25">
        <v>45276</v>
      </c>
      <c r="AW560" s="15" t="s">
        <v>162</v>
      </c>
      <c r="AZ560" s="114"/>
    </row>
    <row r="561" spans="13:52" ht="19.5" x14ac:dyDescent="0.4">
      <c r="X561" s="26"/>
      <c r="Y561" s="15"/>
      <c r="AC561" s="115"/>
      <c r="AD561" s="117"/>
      <c r="AE561" s="123"/>
      <c r="AF561" s="123"/>
      <c r="AG561" s="123"/>
      <c r="AH561" s="115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15"/>
      <c r="AU561" s="115"/>
      <c r="AV561" s="25">
        <v>45276</v>
      </c>
      <c r="AW561" s="15" t="s">
        <v>162</v>
      </c>
      <c r="AZ561" s="114"/>
    </row>
    <row r="562" spans="13:52" ht="19.5" x14ac:dyDescent="0.4">
      <c r="P562" s="115"/>
      <c r="Q562" s="115"/>
      <c r="R562" s="115"/>
      <c r="S562" s="115"/>
      <c r="T562" s="115"/>
      <c r="U562" s="115"/>
      <c r="V562" s="115"/>
      <c r="W562" s="115"/>
      <c r="X562" s="17"/>
      <c r="Y562" s="15"/>
      <c r="AC562" s="115"/>
      <c r="AD562" s="117"/>
      <c r="AE562" s="123"/>
      <c r="AF562" s="123"/>
      <c r="AG562" s="123"/>
      <c r="AH562" s="115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15"/>
      <c r="AU562" s="115"/>
      <c r="AV562" s="25"/>
      <c r="AW562" s="15"/>
      <c r="AZ562" s="114"/>
    </row>
    <row r="563" spans="13:52" ht="19.5" x14ac:dyDescent="0.4"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26"/>
      <c r="Y563" s="15"/>
      <c r="AC563" s="115"/>
      <c r="AD563" s="117"/>
      <c r="AE563" s="123"/>
      <c r="AF563" s="123"/>
      <c r="AG563" s="123"/>
      <c r="AH563" s="115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15"/>
      <c r="AU563" s="115"/>
      <c r="AV563" s="25"/>
      <c r="AW563" s="15"/>
      <c r="AZ563" s="114"/>
    </row>
    <row r="564" spans="13:52" ht="19.5" x14ac:dyDescent="0.4"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7"/>
      <c r="Y564" s="15"/>
      <c r="AC564" s="115"/>
      <c r="AD564" s="117"/>
      <c r="AE564" s="123"/>
      <c r="AF564" s="123"/>
      <c r="AG564" s="123"/>
      <c r="AH564" s="115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15"/>
      <c r="AU564" s="115"/>
      <c r="AV564" s="25"/>
      <c r="AW564" s="15"/>
      <c r="AZ564" s="114"/>
    </row>
    <row r="565" spans="13:52" ht="19.5" x14ac:dyDescent="0.4"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26"/>
      <c r="Y565" s="15"/>
      <c r="AC565" s="115"/>
      <c r="AD565" s="117"/>
      <c r="AE565" s="123"/>
      <c r="AF565" s="123"/>
      <c r="AG565" s="123"/>
      <c r="AH565" s="115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15"/>
      <c r="AU565" s="115"/>
      <c r="AV565" s="25"/>
      <c r="AW565" s="15"/>
      <c r="AZ565" s="114"/>
    </row>
    <row r="566" spans="13:52" ht="19.5" x14ac:dyDescent="0.4">
      <c r="X566" s="26"/>
      <c r="Y566" s="15"/>
      <c r="AC566" s="115"/>
      <c r="AD566" s="117"/>
      <c r="AE566" s="123"/>
      <c r="AF566" s="123"/>
      <c r="AG566" s="123"/>
      <c r="AH566" s="115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115"/>
      <c r="AU566" s="115" t="s">
        <v>169</v>
      </c>
      <c r="AV566" s="13">
        <f>SUBTOTAL(3,AV529:AV561)</f>
        <v>17</v>
      </c>
      <c r="AW566" s="15">
        <f>SUBTOTAL(3,AW529:AW561)</f>
        <v>17</v>
      </c>
      <c r="AZ566" s="114"/>
    </row>
    <row r="567" spans="13:52" ht="19.5" x14ac:dyDescent="0.4"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26"/>
      <c r="Y567" s="15"/>
      <c r="AC567" s="115"/>
      <c r="AD567" s="117"/>
      <c r="AE567" s="123"/>
      <c r="AF567" s="123"/>
      <c r="AG567" s="123"/>
      <c r="AH567" s="115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15"/>
      <c r="AU567" s="115"/>
      <c r="AV567" s="13"/>
      <c r="AW567" s="15"/>
      <c r="AZ567" s="114"/>
    </row>
    <row r="568" spans="13:52" ht="19.5" x14ac:dyDescent="0.4">
      <c r="X568" s="26"/>
      <c r="Y568" s="15"/>
      <c r="AC568" s="115"/>
      <c r="AD568" s="117"/>
      <c r="AE568" s="123"/>
      <c r="AF568" s="123"/>
      <c r="AG568" s="123"/>
      <c r="AH568" s="115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15"/>
      <c r="AU568" s="115"/>
      <c r="AV568" s="25">
        <v>45277</v>
      </c>
      <c r="AW568" s="15" t="s">
        <v>162</v>
      </c>
      <c r="AZ568" s="114"/>
    </row>
    <row r="569" spans="13:52" ht="19.5" x14ac:dyDescent="0.4">
      <c r="P569" s="115"/>
      <c r="Q569" s="115"/>
      <c r="R569" s="115"/>
      <c r="S569" s="115"/>
      <c r="T569" s="115"/>
      <c r="U569" s="115"/>
      <c r="V569" s="115"/>
      <c r="W569" s="115"/>
      <c r="X569" s="17"/>
      <c r="Y569" s="15"/>
      <c r="AC569" s="115"/>
      <c r="AD569" s="117"/>
      <c r="AE569" s="123"/>
      <c r="AF569" s="123"/>
      <c r="AG569" s="123"/>
      <c r="AH569" s="115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115"/>
      <c r="AU569" s="115"/>
      <c r="AV569" s="25"/>
      <c r="AW569" s="15"/>
      <c r="AZ569" s="114"/>
    </row>
    <row r="570" spans="13:52" ht="19.5" x14ac:dyDescent="0.4"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26"/>
      <c r="Y570" s="15"/>
      <c r="AC570" s="115"/>
      <c r="AD570" s="117"/>
      <c r="AE570" s="123"/>
      <c r="AF570" s="123"/>
      <c r="AG570" s="123"/>
      <c r="AH570" s="115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115"/>
      <c r="AU570" s="115"/>
      <c r="AV570" s="25"/>
      <c r="AW570" s="15"/>
      <c r="AZ570" s="114"/>
    </row>
    <row r="571" spans="13:52" ht="19.5" x14ac:dyDescent="0.4"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7"/>
      <c r="Y571" s="15"/>
      <c r="AC571" s="115"/>
      <c r="AD571" s="117"/>
      <c r="AE571" s="123"/>
      <c r="AF571" s="123"/>
      <c r="AG571" s="123"/>
      <c r="AH571" s="115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115"/>
      <c r="AU571" s="115"/>
      <c r="AV571" s="25"/>
      <c r="AW571" s="15"/>
      <c r="AZ571" s="114"/>
    </row>
    <row r="572" spans="13:52" ht="19.5" x14ac:dyDescent="0.4"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7"/>
      <c r="Y572" s="15"/>
      <c r="AC572" s="115"/>
      <c r="AD572" s="117"/>
      <c r="AE572" s="123"/>
      <c r="AF572" s="123"/>
      <c r="AG572" s="123"/>
      <c r="AH572" s="115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115"/>
      <c r="AU572" s="115"/>
      <c r="AV572" s="25"/>
      <c r="AW572" s="15"/>
      <c r="AZ572" s="114"/>
    </row>
    <row r="573" spans="13:52" ht="19.5" x14ac:dyDescent="0.4">
      <c r="X573" s="26"/>
      <c r="Y573" s="15"/>
      <c r="AC573" s="115"/>
      <c r="AD573" s="117"/>
      <c r="AE573" s="123"/>
      <c r="AF573" s="123"/>
      <c r="AG573" s="123"/>
      <c r="AH573" s="115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115"/>
      <c r="AU573" s="115"/>
      <c r="AV573" s="25">
        <v>45277</v>
      </c>
      <c r="AW573" s="15" t="s">
        <v>162</v>
      </c>
      <c r="AZ573" s="114"/>
    </row>
    <row r="574" spans="13:52" ht="19.5" x14ac:dyDescent="0.4">
      <c r="O574" s="115"/>
      <c r="P574" s="115"/>
      <c r="Q574" s="115"/>
      <c r="R574" s="115"/>
      <c r="S574" s="115"/>
      <c r="T574" s="115"/>
      <c r="U574" s="115"/>
      <c r="V574" s="115"/>
      <c r="W574" s="115"/>
      <c r="X574" s="17"/>
      <c r="Y574" s="15"/>
      <c r="AC574" s="115"/>
      <c r="AD574" s="117"/>
      <c r="AE574" s="123"/>
      <c r="AF574" s="123"/>
      <c r="AG574" s="123"/>
      <c r="AH574" s="115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115"/>
      <c r="AU574" s="115"/>
      <c r="AV574" s="131"/>
      <c r="AW574" s="13"/>
      <c r="AZ574" s="114"/>
    </row>
    <row r="575" spans="13:52" ht="19.5" x14ac:dyDescent="0.4">
      <c r="X575" s="26"/>
      <c r="Y575" s="15"/>
      <c r="AC575" s="115"/>
      <c r="AD575" s="117"/>
      <c r="AE575" s="123"/>
      <c r="AF575" s="123"/>
      <c r="AG575" s="123"/>
      <c r="AH575" s="115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115"/>
      <c r="AU575" s="115"/>
      <c r="AV575" s="26">
        <v>45277</v>
      </c>
      <c r="AW575" s="13" t="s">
        <v>162</v>
      </c>
      <c r="AZ575" s="114"/>
    </row>
    <row r="576" spans="13:52" ht="19.5" x14ac:dyDescent="0.4">
      <c r="X576" s="26"/>
      <c r="Y576" s="15"/>
      <c r="AC576" s="115"/>
      <c r="AD576" s="117"/>
      <c r="AE576" s="123"/>
      <c r="AF576" s="123"/>
      <c r="AG576" s="123"/>
      <c r="AH576" s="115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115"/>
      <c r="AU576" s="115"/>
      <c r="AV576" s="26">
        <v>45277</v>
      </c>
      <c r="AW576" s="15" t="s">
        <v>162</v>
      </c>
      <c r="AZ576" s="114"/>
    </row>
    <row r="577" spans="6:52" ht="19.5" x14ac:dyDescent="0.4"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26"/>
      <c r="Y577" s="15"/>
      <c r="AC577" s="115"/>
      <c r="AD577" s="117"/>
      <c r="AE577" s="123"/>
      <c r="AF577" s="123"/>
      <c r="AG577" s="123"/>
      <c r="AH577" s="115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115"/>
      <c r="AU577" s="115"/>
      <c r="AV577" s="26"/>
      <c r="AW577" s="15"/>
      <c r="AZ577" s="114"/>
    </row>
    <row r="578" spans="6:52" ht="19.5" x14ac:dyDescent="0.4">
      <c r="X578" s="26"/>
      <c r="Y578" s="15"/>
      <c r="AC578" s="115"/>
      <c r="AD578" s="117"/>
      <c r="AE578" s="123"/>
      <c r="AF578" s="123"/>
      <c r="AG578" s="123"/>
      <c r="AH578" s="115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15"/>
      <c r="AU578" s="115"/>
      <c r="AV578" s="26">
        <v>45277</v>
      </c>
      <c r="AW578" s="15" t="s">
        <v>162</v>
      </c>
      <c r="AZ578" s="114"/>
    </row>
    <row r="579" spans="6:52" ht="19.5" x14ac:dyDescent="0.4">
      <c r="X579" s="26"/>
      <c r="Y579" s="15"/>
      <c r="AC579" s="115"/>
      <c r="AD579" s="117"/>
      <c r="AE579" s="123"/>
      <c r="AF579" s="123"/>
      <c r="AG579" s="123"/>
      <c r="AH579" s="115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115"/>
      <c r="AU579" s="115" t="s">
        <v>160</v>
      </c>
      <c r="AV579" s="17">
        <f>SUBTOTAL(3,AV568:AV578)</f>
        <v>5</v>
      </c>
      <c r="AW579" s="15">
        <f>SUBTOTAL(3,AW568:AW578)</f>
        <v>5</v>
      </c>
      <c r="AZ579" s="114"/>
    </row>
    <row r="580" spans="6:52" ht="19.5" x14ac:dyDescent="0.4"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26"/>
      <c r="Y580" s="15"/>
      <c r="AC580" s="115"/>
      <c r="AD580" s="117"/>
      <c r="AE580" s="123"/>
      <c r="AF580" s="123"/>
      <c r="AG580" s="123"/>
      <c r="AH580" s="115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15"/>
      <c r="AU580" s="115"/>
      <c r="AV580" s="17"/>
      <c r="AW580" s="15"/>
      <c r="AZ580" s="114"/>
    </row>
    <row r="581" spans="6:52" ht="19.5" x14ac:dyDescent="0.4"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26"/>
      <c r="Y581" s="15"/>
      <c r="AC581" s="115"/>
      <c r="AD581" s="117"/>
      <c r="AE581" s="123"/>
      <c r="AF581" s="123"/>
      <c r="AG581" s="123"/>
      <c r="AH581" s="115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115"/>
      <c r="AU581" s="115"/>
      <c r="AV581" s="17"/>
      <c r="AW581" s="15"/>
      <c r="AZ581" s="114"/>
    </row>
    <row r="582" spans="6:52" ht="19.5" x14ac:dyDescent="0.4">
      <c r="X582" s="26"/>
      <c r="Y582" s="15"/>
      <c r="AC582" s="115"/>
      <c r="AD582" s="117"/>
      <c r="AE582" s="123"/>
      <c r="AF582" s="123"/>
      <c r="AG582" s="123"/>
      <c r="AH582" s="115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15"/>
      <c r="AU582" s="115"/>
      <c r="AV582" s="26">
        <v>45278</v>
      </c>
      <c r="AW582" s="15" t="s">
        <v>164</v>
      </c>
      <c r="AZ582" s="114"/>
    </row>
    <row r="583" spans="6:52" ht="19.5" x14ac:dyDescent="0.4">
      <c r="X583" s="26"/>
      <c r="Y583" s="15"/>
      <c r="AC583" s="115"/>
      <c r="AD583" s="117"/>
      <c r="AE583" s="123"/>
      <c r="AF583" s="123"/>
      <c r="AG583" s="123"/>
      <c r="AH583" s="115"/>
      <c r="AI583" s="115"/>
      <c r="AJ583" s="115"/>
      <c r="AK583" s="115"/>
      <c r="AL583" s="115"/>
      <c r="AM583" s="115"/>
      <c r="AN583" s="115"/>
      <c r="AO583" s="115"/>
      <c r="AP583" s="115"/>
      <c r="AQ583" s="115"/>
      <c r="AR583" s="115"/>
      <c r="AS583" s="115"/>
      <c r="AT583" s="115"/>
      <c r="AU583" s="115"/>
      <c r="AV583" s="26">
        <v>45278</v>
      </c>
      <c r="AW583" s="15" t="s">
        <v>164</v>
      </c>
      <c r="AZ583" s="114"/>
    </row>
    <row r="584" spans="6:52" ht="19.5" x14ac:dyDescent="0.4"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26"/>
      <c r="Y584" s="15"/>
      <c r="AC584" s="115"/>
      <c r="AD584" s="117"/>
      <c r="AE584" s="123"/>
      <c r="AF584" s="123"/>
      <c r="AG584" s="123"/>
      <c r="AH584" s="115"/>
      <c r="AI584" s="115"/>
      <c r="AJ584" s="115"/>
      <c r="AK584" s="115"/>
      <c r="AL584" s="115"/>
      <c r="AM584" s="115"/>
      <c r="AN584" s="115"/>
      <c r="AO584" s="115"/>
      <c r="AP584" s="115"/>
      <c r="AQ584" s="115"/>
      <c r="AR584" s="115"/>
      <c r="AS584" s="115"/>
      <c r="AT584" s="115"/>
      <c r="AU584" s="115"/>
      <c r="AV584" s="26"/>
      <c r="AW584" s="15"/>
      <c r="AZ584" s="114"/>
    </row>
    <row r="585" spans="6:52" ht="19.5" x14ac:dyDescent="0.4">
      <c r="X585" s="26"/>
      <c r="Y585" s="15"/>
      <c r="AC585" s="115"/>
      <c r="AD585" s="117"/>
      <c r="AE585" s="123"/>
      <c r="AF585" s="123"/>
      <c r="AG585" s="123"/>
      <c r="AH585" s="115"/>
      <c r="AI585" s="115"/>
      <c r="AJ585" s="115"/>
      <c r="AK585" s="115"/>
      <c r="AL585" s="115"/>
      <c r="AM585" s="115"/>
      <c r="AN585" s="115"/>
      <c r="AO585" s="115"/>
      <c r="AP585" s="115"/>
      <c r="AQ585" s="115"/>
      <c r="AR585" s="115"/>
      <c r="AS585" s="115"/>
      <c r="AT585" s="115"/>
      <c r="AU585" s="115"/>
      <c r="AV585" s="26">
        <v>45278</v>
      </c>
      <c r="AW585" s="15" t="s">
        <v>162</v>
      </c>
      <c r="AZ585" s="114"/>
    </row>
    <row r="586" spans="6:52" ht="19.5" x14ac:dyDescent="0.4">
      <c r="O586" s="115"/>
      <c r="P586" s="115"/>
      <c r="Q586" s="115"/>
      <c r="R586" s="115"/>
      <c r="S586" s="115"/>
      <c r="T586" s="115"/>
      <c r="U586" s="115"/>
      <c r="V586" s="115"/>
      <c r="W586" s="115"/>
      <c r="X586" s="17"/>
      <c r="Y586" s="15"/>
      <c r="AC586" s="115"/>
      <c r="AD586" s="117"/>
      <c r="AE586" s="123"/>
      <c r="AF586" s="123"/>
      <c r="AG586" s="123"/>
      <c r="AH586" s="115"/>
      <c r="AI586" s="115"/>
      <c r="AJ586" s="115"/>
      <c r="AK586" s="115"/>
      <c r="AL586" s="115"/>
      <c r="AM586" s="115"/>
      <c r="AN586" s="115"/>
      <c r="AO586" s="115"/>
      <c r="AP586" s="115"/>
      <c r="AQ586" s="115"/>
      <c r="AR586" s="115"/>
      <c r="AS586" s="115"/>
      <c r="AT586" s="115"/>
      <c r="AU586" s="115"/>
      <c r="AV586" s="26"/>
      <c r="AW586" s="15"/>
      <c r="AZ586" s="114"/>
    </row>
    <row r="587" spans="6:52" ht="19.5" x14ac:dyDescent="0.4"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26"/>
      <c r="Y587" s="15"/>
      <c r="AC587" s="115"/>
      <c r="AD587" s="117"/>
      <c r="AE587" s="123"/>
      <c r="AF587" s="123"/>
      <c r="AG587" s="123"/>
      <c r="AH587" s="115"/>
      <c r="AI587" s="115"/>
      <c r="AJ587" s="115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115"/>
      <c r="AU587" s="115"/>
      <c r="AV587" s="26"/>
      <c r="AW587" s="15"/>
      <c r="AZ587" s="114"/>
    </row>
    <row r="588" spans="6:52" ht="19.5" x14ac:dyDescent="0.4"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7"/>
      <c r="Y588" s="15"/>
      <c r="AC588" s="115"/>
      <c r="AD588" s="117"/>
      <c r="AE588" s="123"/>
      <c r="AF588" s="123"/>
      <c r="AG588" s="123"/>
      <c r="AH588" s="115"/>
      <c r="AI588" s="115"/>
      <c r="AJ588" s="115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115"/>
      <c r="AU588" s="115"/>
      <c r="AV588" s="26"/>
      <c r="AW588" s="15"/>
      <c r="AZ588" s="114"/>
    </row>
    <row r="589" spans="6:52" ht="19.5" x14ac:dyDescent="0.4">
      <c r="X589" s="26"/>
      <c r="Y589" s="15"/>
      <c r="AC589" s="115"/>
      <c r="AD589" s="117"/>
      <c r="AE589" s="123"/>
      <c r="AF589" s="123"/>
      <c r="AG589" s="123"/>
      <c r="AH589" s="115"/>
      <c r="AI589" s="115"/>
      <c r="AJ589" s="115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15"/>
      <c r="AU589" s="115"/>
      <c r="AV589" s="26">
        <v>45278</v>
      </c>
      <c r="AW589" s="15" t="s">
        <v>142</v>
      </c>
      <c r="AZ589" s="114"/>
    </row>
    <row r="590" spans="6:52" ht="19.5" x14ac:dyDescent="0.4">
      <c r="X590" s="26"/>
      <c r="Y590" s="15"/>
      <c r="AC590" s="115"/>
      <c r="AD590" s="117"/>
      <c r="AE590" s="123"/>
      <c r="AF590" s="123"/>
      <c r="AG590" s="123"/>
      <c r="AH590" s="115"/>
      <c r="AI590" s="115"/>
      <c r="AJ590" s="115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115"/>
      <c r="AU590" s="115"/>
      <c r="AV590" s="26">
        <v>45278</v>
      </c>
      <c r="AW590" s="15" t="s">
        <v>162</v>
      </c>
      <c r="AZ590" s="114"/>
    </row>
    <row r="591" spans="6:52" ht="19.5" x14ac:dyDescent="0.4">
      <c r="X591" s="26"/>
      <c r="Y591" s="15"/>
      <c r="AC591" s="115"/>
      <c r="AD591" s="117"/>
      <c r="AE591" s="123"/>
      <c r="AF591" s="123"/>
      <c r="AG591" s="123"/>
      <c r="AH591" s="115"/>
      <c r="AI591" s="115"/>
      <c r="AJ591" s="115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115"/>
      <c r="AU591" s="115"/>
      <c r="AV591" s="26">
        <v>45278</v>
      </c>
      <c r="AW591" s="15" t="s">
        <v>162</v>
      </c>
      <c r="AZ591" s="114"/>
    </row>
    <row r="592" spans="6:52" ht="19.5" x14ac:dyDescent="0.4">
      <c r="O592" s="115"/>
      <c r="P592" s="115"/>
      <c r="Q592" s="115"/>
      <c r="R592" s="115"/>
      <c r="S592" s="115"/>
      <c r="T592" s="115"/>
      <c r="U592" s="115"/>
      <c r="V592" s="115"/>
      <c r="W592" s="115"/>
      <c r="X592" s="17"/>
      <c r="Y592" s="15"/>
      <c r="AC592" s="115"/>
      <c r="AD592" s="117"/>
      <c r="AE592" s="123"/>
      <c r="AF592" s="123"/>
      <c r="AG592" s="123"/>
      <c r="AH592" s="115"/>
      <c r="AI592" s="115"/>
      <c r="AJ592" s="115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15"/>
      <c r="AU592" s="115"/>
      <c r="AV592" s="26"/>
      <c r="AW592" s="15"/>
      <c r="AZ592" s="114"/>
    </row>
    <row r="593" spans="6:52" ht="19.5" x14ac:dyDescent="0.4"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26"/>
      <c r="Y593" s="15"/>
      <c r="AC593" s="115"/>
      <c r="AD593" s="117"/>
      <c r="AE593" s="123"/>
      <c r="AF593" s="123"/>
      <c r="AG593" s="123"/>
      <c r="AH593" s="115"/>
      <c r="AI593" s="115"/>
      <c r="AJ593" s="115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115"/>
      <c r="AU593" s="115"/>
      <c r="AV593" s="26"/>
      <c r="AW593" s="15"/>
      <c r="AZ593" s="114"/>
    </row>
    <row r="594" spans="6:52" ht="19.5" x14ac:dyDescent="0.4"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26"/>
      <c r="Y594" s="15"/>
      <c r="AC594" s="115"/>
      <c r="AD594" s="117"/>
      <c r="AE594" s="123"/>
      <c r="AF594" s="123"/>
      <c r="AG594" s="123"/>
      <c r="AH594" s="115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115"/>
      <c r="AU594" s="115"/>
      <c r="AV594" s="26"/>
      <c r="AW594" s="15"/>
      <c r="AZ594" s="114"/>
    </row>
    <row r="595" spans="6:52" ht="19.5" x14ac:dyDescent="0.4"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7"/>
      <c r="Y595" s="15"/>
      <c r="AC595" s="115"/>
      <c r="AD595" s="117"/>
      <c r="AE595" s="123"/>
      <c r="AF595" s="123"/>
      <c r="AG595" s="123"/>
      <c r="AH595" s="115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115"/>
      <c r="AU595" s="115"/>
      <c r="AV595" s="26"/>
      <c r="AW595" s="15"/>
      <c r="AZ595" s="114"/>
    </row>
    <row r="596" spans="6:52" ht="19.5" x14ac:dyDescent="0.4"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26"/>
      <c r="Y596" s="15"/>
      <c r="AC596" s="115"/>
      <c r="AD596" s="117"/>
      <c r="AE596" s="123"/>
      <c r="AF596" s="123"/>
      <c r="AG596" s="123"/>
      <c r="AH596" s="115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115"/>
      <c r="AU596" s="115"/>
      <c r="AV596" s="26"/>
      <c r="AW596" s="15"/>
      <c r="AZ596" s="114"/>
    </row>
    <row r="597" spans="6:52" ht="19.5" x14ac:dyDescent="0.4">
      <c r="X597" s="26"/>
      <c r="Y597" s="15"/>
      <c r="AC597" s="115"/>
      <c r="AD597" s="117"/>
      <c r="AE597" s="123"/>
      <c r="AF597" s="123"/>
      <c r="AG597" s="123"/>
      <c r="AH597" s="115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115"/>
      <c r="AU597" s="115"/>
      <c r="AV597" s="26">
        <v>45278</v>
      </c>
      <c r="AW597" s="15" t="s">
        <v>162</v>
      </c>
      <c r="AZ597" s="114"/>
    </row>
    <row r="598" spans="6:52" ht="19.5" x14ac:dyDescent="0.4"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26"/>
      <c r="Y598" s="15"/>
      <c r="AC598" s="115"/>
      <c r="AD598" s="117"/>
      <c r="AE598" s="123"/>
      <c r="AF598" s="123"/>
      <c r="AG598" s="123"/>
      <c r="AH598" s="115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115"/>
      <c r="AU598" s="115"/>
      <c r="AV598" s="26"/>
      <c r="AW598" s="15"/>
      <c r="AZ598" s="114"/>
    </row>
    <row r="599" spans="6:52" ht="19.5" x14ac:dyDescent="0.4">
      <c r="X599" s="26"/>
      <c r="Y599" s="15"/>
      <c r="AC599" s="115"/>
      <c r="AD599" s="117"/>
      <c r="AE599" s="123"/>
      <c r="AF599" s="123"/>
      <c r="AG599" s="123"/>
      <c r="AH599" s="115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115"/>
      <c r="AU599" s="115"/>
      <c r="AV599" s="26">
        <v>45278</v>
      </c>
      <c r="AW599" s="15" t="s">
        <v>163</v>
      </c>
      <c r="AZ599" s="114"/>
    </row>
    <row r="600" spans="6:52" ht="19.5" x14ac:dyDescent="0.4">
      <c r="X600" s="26"/>
      <c r="Y600" s="15"/>
      <c r="AC600" s="115"/>
      <c r="AD600" s="117"/>
      <c r="AE600" s="123"/>
      <c r="AF600" s="123"/>
      <c r="AG600" s="123"/>
      <c r="AH600" s="115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15"/>
      <c r="AU600" s="115"/>
      <c r="AV600" s="26">
        <v>45278</v>
      </c>
      <c r="AW600" s="105" t="s">
        <v>163</v>
      </c>
      <c r="AZ600" s="114"/>
    </row>
    <row r="601" spans="6:52" ht="19.5" x14ac:dyDescent="0.4">
      <c r="X601" s="25"/>
      <c r="Y601" s="13"/>
      <c r="AC601" s="115"/>
      <c r="AD601" s="117"/>
      <c r="AE601" s="123"/>
      <c r="AF601" s="123"/>
      <c r="AG601" s="123"/>
      <c r="AH601" s="115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115"/>
      <c r="AU601" s="115"/>
      <c r="AV601" s="26">
        <v>45278</v>
      </c>
      <c r="AW601" s="15" t="s">
        <v>163</v>
      </c>
      <c r="AZ601" s="114"/>
    </row>
    <row r="602" spans="6:52" ht="19.5" x14ac:dyDescent="0.4"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25"/>
      <c r="Y602" s="13"/>
      <c r="AC602" s="115"/>
      <c r="AD602" s="117"/>
      <c r="AE602" s="123"/>
      <c r="AF602" s="123"/>
      <c r="AG602" s="123"/>
      <c r="AH602" s="115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15"/>
      <c r="AU602" s="115"/>
      <c r="AV602" s="26"/>
      <c r="AW602" s="15"/>
      <c r="AZ602" s="114"/>
    </row>
    <row r="603" spans="6:52" ht="19.5" x14ac:dyDescent="0.4"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25"/>
      <c r="Y603" s="13"/>
      <c r="AC603" s="115"/>
      <c r="AD603" s="117"/>
      <c r="AE603" s="123"/>
      <c r="AF603" s="123"/>
      <c r="AG603" s="123"/>
      <c r="AH603" s="115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115"/>
      <c r="AU603" s="115"/>
      <c r="AV603" s="26"/>
      <c r="AW603" s="15"/>
      <c r="AZ603" s="114"/>
    </row>
    <row r="604" spans="6:52" ht="19.5" x14ac:dyDescent="0.4"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25"/>
      <c r="Y604" s="13"/>
      <c r="AC604" s="115"/>
      <c r="AD604" s="117"/>
      <c r="AE604" s="123"/>
      <c r="AF604" s="123"/>
      <c r="AG604" s="123"/>
      <c r="AH604" s="115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115"/>
      <c r="AU604" s="115"/>
      <c r="AV604" s="26"/>
      <c r="AW604" s="15"/>
      <c r="AZ604" s="114"/>
    </row>
    <row r="605" spans="6:52" ht="19.5" x14ac:dyDescent="0.4"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25"/>
      <c r="Y605" s="13"/>
      <c r="AC605" s="115"/>
      <c r="AD605" s="117"/>
      <c r="AE605" s="123"/>
      <c r="AF605" s="123"/>
      <c r="AG605" s="123"/>
      <c r="AH605" s="115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115"/>
      <c r="AU605" s="115"/>
      <c r="AV605" s="26"/>
      <c r="AW605" s="15"/>
      <c r="AZ605" s="114"/>
    </row>
    <row r="606" spans="6:52" ht="19.5" x14ac:dyDescent="0.4"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25"/>
      <c r="Y606" s="13"/>
      <c r="AC606" s="115"/>
      <c r="AD606" s="117"/>
      <c r="AE606" s="123"/>
      <c r="AF606" s="123"/>
      <c r="AG606" s="123"/>
      <c r="AH606" s="115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15"/>
      <c r="AU606" s="115"/>
      <c r="AV606" s="26"/>
      <c r="AW606" s="15"/>
      <c r="AZ606" s="114"/>
    </row>
    <row r="607" spans="6:52" ht="19.5" x14ac:dyDescent="0.4"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25"/>
      <c r="Y607" s="13"/>
      <c r="AC607" s="115"/>
      <c r="AD607" s="117"/>
      <c r="AE607" s="123"/>
      <c r="AF607" s="123"/>
      <c r="AG607" s="123"/>
      <c r="AH607" s="115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15"/>
      <c r="AU607" s="115"/>
      <c r="AV607" s="26"/>
      <c r="AW607" s="15"/>
      <c r="AZ607" s="114"/>
    </row>
    <row r="608" spans="6:52" ht="19.5" x14ac:dyDescent="0.4">
      <c r="X608" s="25"/>
      <c r="Y608" s="13"/>
      <c r="AC608" s="115"/>
      <c r="AD608" s="117"/>
      <c r="AE608" s="123"/>
      <c r="AF608" s="123"/>
      <c r="AG608" s="123"/>
      <c r="AH608" s="115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15"/>
      <c r="AU608" s="115"/>
      <c r="AV608" s="26">
        <v>45278</v>
      </c>
      <c r="AW608" s="15" t="s">
        <v>163</v>
      </c>
      <c r="AZ608" s="114"/>
    </row>
    <row r="609" spans="15:52" ht="19.5" x14ac:dyDescent="0.4">
      <c r="X609" s="25"/>
      <c r="Y609" s="13"/>
      <c r="AC609" s="115"/>
      <c r="AD609" s="117"/>
      <c r="AE609" s="123"/>
      <c r="AF609" s="123"/>
      <c r="AG609" s="123"/>
      <c r="AH609" s="115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115"/>
      <c r="AU609" s="115"/>
      <c r="AV609" s="26"/>
      <c r="AW609" s="15"/>
      <c r="AZ609" s="114"/>
    </row>
    <row r="610" spans="15:52" ht="19.5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3"/>
      <c r="Y610" s="13"/>
      <c r="AC610" s="115"/>
      <c r="AD610" s="117"/>
      <c r="AE610" s="123"/>
      <c r="AF610" s="123"/>
      <c r="AG610" s="123"/>
      <c r="AH610" s="115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115"/>
      <c r="AU610" s="115"/>
      <c r="AV610" s="26"/>
      <c r="AW610" s="15"/>
      <c r="AZ610" s="114"/>
    </row>
    <row r="611" spans="15:52" ht="19.5" x14ac:dyDescent="0.4">
      <c r="X611" s="25"/>
      <c r="Y611" s="13"/>
      <c r="AC611" s="115"/>
      <c r="AD611" s="117"/>
      <c r="AE611" s="123"/>
      <c r="AF611" s="123"/>
      <c r="AG611" s="123"/>
      <c r="AH611" s="115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115"/>
      <c r="AU611" s="115"/>
      <c r="AV611" s="26">
        <v>45278</v>
      </c>
      <c r="AW611" s="15" t="s">
        <v>163</v>
      </c>
      <c r="AZ611" s="114"/>
    </row>
    <row r="612" spans="15:52" ht="19.5" x14ac:dyDescent="0.4">
      <c r="O612" s="115"/>
      <c r="P612" s="115"/>
      <c r="Q612" s="115"/>
      <c r="R612" s="115"/>
      <c r="S612" s="115"/>
      <c r="T612" s="115"/>
      <c r="U612" s="115"/>
      <c r="V612" s="115"/>
      <c r="W612" s="115"/>
      <c r="X612" s="13"/>
      <c r="Y612" s="13"/>
      <c r="AC612" s="115"/>
      <c r="AD612" s="117"/>
      <c r="AE612" s="123"/>
      <c r="AF612" s="123"/>
      <c r="AG612" s="123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15"/>
      <c r="AU612" s="115"/>
      <c r="AV612" s="26"/>
      <c r="AW612" s="13"/>
      <c r="AZ612" s="114"/>
    </row>
    <row r="613" spans="15:52" ht="19.5" x14ac:dyDescent="0.4">
      <c r="X613" s="25"/>
      <c r="Y613" s="13"/>
      <c r="AC613" s="115"/>
      <c r="AD613" s="117"/>
      <c r="AE613" s="123"/>
      <c r="AF613" s="123"/>
      <c r="AG613" s="123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15"/>
      <c r="AU613" s="115" t="s">
        <v>153</v>
      </c>
      <c r="AV613" s="17">
        <f>SUBTOTAL(3,AV582:AV611)</f>
        <v>12</v>
      </c>
      <c r="AW613" s="13">
        <f>SUBTOTAL(3,AW582:AW611)</f>
        <v>12</v>
      </c>
      <c r="AZ613" s="114"/>
    </row>
    <row r="614" spans="15:52" ht="19.5" x14ac:dyDescent="0.4">
      <c r="O614" s="115"/>
      <c r="P614" s="115"/>
      <c r="Q614" s="115"/>
      <c r="R614" s="115"/>
      <c r="S614" s="115"/>
      <c r="T614" s="115"/>
      <c r="U614" s="115"/>
      <c r="V614" s="115"/>
      <c r="W614" s="115"/>
      <c r="X614" s="13"/>
      <c r="Y614" s="13"/>
      <c r="AC614" s="115"/>
      <c r="AD614" s="117"/>
      <c r="AE614" s="123"/>
      <c r="AF614" s="123"/>
      <c r="AG614" s="123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115"/>
      <c r="AU614" s="115"/>
      <c r="AV614" s="17"/>
      <c r="AW614" s="13"/>
      <c r="AZ614" s="114"/>
    </row>
    <row r="615" spans="15:52" ht="19.5" x14ac:dyDescent="0.4">
      <c r="X615" s="25"/>
      <c r="Y615" s="13"/>
      <c r="AC615" s="115"/>
      <c r="AD615" s="117"/>
      <c r="AE615" s="123"/>
      <c r="AF615" s="123"/>
      <c r="AG615" s="123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15"/>
      <c r="AU615" s="115"/>
      <c r="AV615" s="26">
        <v>45279</v>
      </c>
      <c r="AW615" s="25" t="s">
        <v>162</v>
      </c>
      <c r="AZ615" s="114"/>
    </row>
    <row r="616" spans="15:52" ht="19.5" x14ac:dyDescent="0.4">
      <c r="X616" s="25"/>
      <c r="Y616" s="13"/>
      <c r="AC616" s="115"/>
      <c r="AD616" s="117"/>
      <c r="AE616" s="123"/>
      <c r="AF616" s="123"/>
      <c r="AG616" s="123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15"/>
      <c r="AU616" s="115"/>
      <c r="AV616" s="26">
        <v>45279</v>
      </c>
      <c r="AW616" s="13" t="s">
        <v>162</v>
      </c>
      <c r="AZ616" s="114"/>
    </row>
    <row r="617" spans="15:52" ht="19.5" x14ac:dyDescent="0.4">
      <c r="O617" s="115"/>
      <c r="P617" s="115"/>
      <c r="Q617" s="115"/>
      <c r="R617" s="115"/>
      <c r="S617" s="115"/>
      <c r="T617" s="115"/>
      <c r="U617" s="115"/>
      <c r="V617" s="115"/>
      <c r="W617" s="115"/>
      <c r="X617" s="20"/>
      <c r="Y617" s="13"/>
      <c r="AC617" s="115"/>
      <c r="AD617" s="117"/>
      <c r="AE617" s="123"/>
      <c r="AF617" s="123"/>
      <c r="AG617" s="123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15"/>
      <c r="AU617" s="115"/>
      <c r="AV617" s="26"/>
      <c r="AW617" s="13"/>
      <c r="AZ617" s="114"/>
    </row>
    <row r="618" spans="15:52" ht="19.5" x14ac:dyDescent="0.4">
      <c r="O618" s="115"/>
      <c r="P618" s="115"/>
      <c r="Q618" s="115"/>
      <c r="R618" s="115"/>
      <c r="S618" s="115"/>
      <c r="T618" s="115"/>
      <c r="U618" s="115"/>
      <c r="V618" s="115"/>
      <c r="W618" s="115"/>
      <c r="X618" s="20"/>
      <c r="Y618" s="13"/>
      <c r="AC618" s="115"/>
      <c r="AD618" s="117"/>
      <c r="AE618" s="123"/>
      <c r="AF618" s="123"/>
      <c r="AG618" s="123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115"/>
      <c r="AU618" s="115"/>
      <c r="AV618" s="26"/>
      <c r="AW618" s="13"/>
      <c r="AZ618" s="114"/>
    </row>
    <row r="619" spans="15:52" ht="19.5" x14ac:dyDescent="0.4">
      <c r="X619" s="26"/>
      <c r="Y619" s="13"/>
      <c r="AC619" s="115"/>
      <c r="AD619" s="117"/>
      <c r="AE619" s="123"/>
      <c r="AF619" s="123"/>
      <c r="AG619" s="123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115"/>
      <c r="AU619" s="115"/>
      <c r="AV619" s="26">
        <v>45279</v>
      </c>
      <c r="AW619" s="13" t="s">
        <v>162</v>
      </c>
      <c r="AZ619" s="114"/>
    </row>
    <row r="620" spans="15:52" ht="19.5" x14ac:dyDescent="0.4">
      <c r="X620" s="26"/>
      <c r="Y620" s="13"/>
      <c r="AC620" s="115"/>
      <c r="AD620" s="117"/>
      <c r="AE620" s="123"/>
      <c r="AF620" s="123"/>
      <c r="AG620" s="123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15"/>
      <c r="AU620" s="115"/>
      <c r="AV620" s="26">
        <v>45279</v>
      </c>
      <c r="AW620" s="13" t="s">
        <v>162</v>
      </c>
      <c r="AZ620" s="114"/>
    </row>
    <row r="621" spans="15:52" ht="19.5" x14ac:dyDescent="0.4">
      <c r="X621" s="129"/>
      <c r="Y621" s="13"/>
      <c r="AC621" s="115"/>
      <c r="AD621" s="117"/>
      <c r="AE621" s="123"/>
      <c r="AF621" s="123"/>
      <c r="AG621" s="123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115"/>
      <c r="AU621" s="115"/>
      <c r="AV621" s="26"/>
      <c r="AW621" s="13"/>
      <c r="AZ621" s="114"/>
    </row>
    <row r="622" spans="15:52" ht="19.5" x14ac:dyDescent="0.4">
      <c r="X622" s="26"/>
      <c r="Y622" s="13"/>
      <c r="AC622" s="115"/>
      <c r="AD622" s="117"/>
      <c r="AE622" s="123"/>
      <c r="AF622" s="123"/>
      <c r="AG622" s="123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115"/>
      <c r="AU622" s="115"/>
      <c r="AV622" s="26">
        <v>45279</v>
      </c>
      <c r="AW622" s="13" t="s">
        <v>162</v>
      </c>
      <c r="AZ622" s="114"/>
    </row>
    <row r="623" spans="15:52" ht="19.5" x14ac:dyDescent="0.4">
      <c r="X623" s="26"/>
      <c r="Y623" s="13"/>
      <c r="AC623" s="115"/>
      <c r="AD623" s="117"/>
      <c r="AE623" s="123"/>
      <c r="AF623" s="123"/>
      <c r="AG623" s="123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15"/>
      <c r="AU623" s="115"/>
      <c r="AV623" s="26">
        <v>45279</v>
      </c>
      <c r="AW623" s="13" t="s">
        <v>162</v>
      </c>
      <c r="AZ623" s="114"/>
    </row>
    <row r="624" spans="15:52" ht="19.5" x14ac:dyDescent="0.4">
      <c r="X624" s="26"/>
      <c r="Y624" s="13"/>
      <c r="AC624" s="115"/>
      <c r="AD624" s="117"/>
      <c r="AE624" s="123"/>
      <c r="AF624" s="123"/>
      <c r="AG624" s="123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15"/>
      <c r="AU624" s="115" t="s">
        <v>170</v>
      </c>
      <c r="AV624" s="17">
        <f>SUBTOTAL(3,AV615:AV623)</f>
        <v>6</v>
      </c>
      <c r="AW624" s="13">
        <f>SUBTOTAL(3,AW615:AW623)</f>
        <v>6</v>
      </c>
      <c r="AZ624" s="114"/>
    </row>
    <row r="625" spans="24:52" ht="19.5" x14ac:dyDescent="0.4">
      <c r="X625" s="129"/>
      <c r="Y625" s="13"/>
      <c r="AC625" s="115"/>
      <c r="AD625" s="117"/>
      <c r="AE625" s="123"/>
      <c r="AF625" s="123"/>
      <c r="AG625" s="123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115"/>
      <c r="AU625" s="115"/>
      <c r="AV625" s="17"/>
      <c r="AW625" s="13"/>
      <c r="AZ625" s="114"/>
    </row>
    <row r="626" spans="24:52" ht="19.5" x14ac:dyDescent="0.4">
      <c r="X626" s="26"/>
      <c r="Y626" s="13"/>
      <c r="AC626" s="115"/>
      <c r="AD626" s="117"/>
      <c r="AE626" s="123"/>
      <c r="AF626" s="123"/>
      <c r="AG626" s="123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15"/>
      <c r="AU626" s="115"/>
      <c r="AV626" s="26">
        <v>45280</v>
      </c>
      <c r="AW626" s="13" t="s">
        <v>162</v>
      </c>
      <c r="AZ626" s="114"/>
    </row>
    <row r="627" spans="24:52" ht="19.5" x14ac:dyDescent="0.4">
      <c r="X627" s="26"/>
      <c r="Y627" s="13"/>
      <c r="AC627" s="115"/>
      <c r="AD627" s="116"/>
      <c r="AE627" s="123"/>
      <c r="AF627" s="123"/>
      <c r="AG627" s="123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15"/>
      <c r="AU627" s="115"/>
      <c r="AV627" s="26">
        <v>45280</v>
      </c>
      <c r="AW627" s="13" t="s">
        <v>162</v>
      </c>
      <c r="AZ627" s="114"/>
    </row>
    <row r="628" spans="24:52" ht="19.5" x14ac:dyDescent="0.4">
      <c r="X628" s="26"/>
      <c r="Y628" s="13"/>
      <c r="AC628" s="115"/>
      <c r="AD628" s="116"/>
      <c r="AE628" s="123"/>
      <c r="AF628" s="123"/>
      <c r="AG628" s="123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15"/>
      <c r="AU628" s="115"/>
      <c r="AV628" s="26">
        <v>45280</v>
      </c>
      <c r="AW628" s="13" t="s">
        <v>162</v>
      </c>
      <c r="AZ628" s="114"/>
    </row>
    <row r="629" spans="24:52" ht="19.5" x14ac:dyDescent="0.4">
      <c r="X629" s="26"/>
      <c r="Y629" s="13"/>
      <c r="AC629" s="115"/>
      <c r="AD629" s="116"/>
      <c r="AE629" s="123"/>
      <c r="AF629" s="123"/>
      <c r="AG629" s="123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15"/>
      <c r="AU629" s="115"/>
      <c r="AV629" s="26">
        <v>45280</v>
      </c>
      <c r="AW629" s="13" t="s">
        <v>162</v>
      </c>
      <c r="AZ629" s="114"/>
    </row>
    <row r="630" spans="24:52" ht="19.5" x14ac:dyDescent="0.4">
      <c r="X630" s="129"/>
      <c r="Y630" s="13"/>
      <c r="AC630" s="115"/>
      <c r="AD630" s="116"/>
      <c r="AE630" s="123"/>
      <c r="AF630" s="123"/>
      <c r="AG630" s="123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115"/>
      <c r="AU630" s="115"/>
      <c r="AV630" s="26"/>
      <c r="AW630" s="13"/>
      <c r="AZ630" s="114"/>
    </row>
    <row r="631" spans="24:52" ht="19.5" x14ac:dyDescent="0.4">
      <c r="X631" s="26"/>
      <c r="Y631" s="13"/>
      <c r="AC631" s="115"/>
      <c r="AD631" s="116"/>
      <c r="AE631" s="123"/>
      <c r="AF631" s="123"/>
      <c r="AG631" s="123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115"/>
      <c r="AU631" s="115"/>
      <c r="AV631" s="26">
        <v>45280</v>
      </c>
      <c r="AW631" s="13" t="s">
        <v>162</v>
      </c>
      <c r="AZ631" s="114"/>
    </row>
    <row r="632" spans="24:52" ht="19.5" x14ac:dyDescent="0.4">
      <c r="X632" s="130"/>
      <c r="Y632" s="119"/>
      <c r="AC632" s="115"/>
      <c r="AD632" s="116"/>
      <c r="AE632" s="123"/>
      <c r="AF632" s="123"/>
      <c r="AG632" s="123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115"/>
      <c r="AU632" s="115"/>
      <c r="AV632" s="26"/>
      <c r="AW632" s="13"/>
      <c r="AZ632" s="114"/>
    </row>
    <row r="633" spans="24:52" ht="19.5" x14ac:dyDescent="0.4">
      <c r="X633" s="130"/>
      <c r="Y633" s="119"/>
      <c r="AC633" s="115"/>
      <c r="AD633" s="116"/>
      <c r="AE633" s="123"/>
      <c r="AF633" s="123"/>
      <c r="AG633" s="123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15"/>
      <c r="AU633" s="115"/>
      <c r="AV633" s="26"/>
      <c r="AW633" s="13"/>
      <c r="AZ633" s="114"/>
    </row>
    <row r="634" spans="24:52" ht="19.5" x14ac:dyDescent="0.4">
      <c r="AC634" s="115"/>
      <c r="AD634" s="116"/>
      <c r="AE634" s="123"/>
      <c r="AF634" s="123"/>
      <c r="AG634" s="123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15"/>
      <c r="AU634" s="115"/>
      <c r="AV634" s="26">
        <v>45280</v>
      </c>
      <c r="AW634" s="13" t="s">
        <v>162</v>
      </c>
      <c r="AZ634" s="114"/>
    </row>
    <row r="635" spans="24:52" ht="19.5" x14ac:dyDescent="0.4">
      <c r="AC635" s="115"/>
      <c r="AD635" s="116"/>
      <c r="AE635" s="123"/>
      <c r="AF635" s="123"/>
      <c r="AG635" s="123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15"/>
      <c r="AU635" s="115"/>
      <c r="AV635" s="26">
        <v>45280</v>
      </c>
      <c r="AW635" s="13" t="s">
        <v>162</v>
      </c>
      <c r="AZ635" s="114"/>
    </row>
    <row r="636" spans="24:52" ht="19.5" x14ac:dyDescent="0.4">
      <c r="AC636" s="115"/>
      <c r="AD636" s="116"/>
      <c r="AE636" s="123"/>
      <c r="AF636" s="123"/>
      <c r="AG636" s="123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15"/>
      <c r="AU636" s="115"/>
      <c r="AV636" s="26">
        <v>45280</v>
      </c>
      <c r="AW636" s="13" t="s">
        <v>162</v>
      </c>
      <c r="AZ636" s="114"/>
    </row>
    <row r="637" spans="24:52" ht="19.5" x14ac:dyDescent="0.4">
      <c r="AB637" s="115"/>
      <c r="AC637" s="115"/>
      <c r="AD637" s="116"/>
      <c r="AE637" s="123"/>
      <c r="AF637" s="123"/>
      <c r="AG637" s="123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15"/>
      <c r="AU637" s="115"/>
      <c r="AV637" s="26">
        <v>45280</v>
      </c>
      <c r="AW637" s="13" t="s">
        <v>162</v>
      </c>
      <c r="AZ637" s="114"/>
    </row>
    <row r="638" spans="24:52" ht="19.5" x14ac:dyDescent="0.4">
      <c r="AB638" s="115"/>
      <c r="AC638" s="115"/>
      <c r="AD638" s="116"/>
      <c r="AE638" s="123"/>
      <c r="AF638" s="123"/>
      <c r="AG638" s="123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115"/>
      <c r="AU638" s="115"/>
      <c r="AV638" s="26">
        <v>45280</v>
      </c>
      <c r="AW638" s="13" t="s">
        <v>162</v>
      </c>
      <c r="AZ638" s="114"/>
    </row>
    <row r="639" spans="24:52" ht="19.5" x14ac:dyDescent="0.4">
      <c r="Z639" s="115"/>
      <c r="AA639" s="115"/>
      <c r="AB639" s="115"/>
      <c r="AC639" s="115"/>
      <c r="AD639" s="116"/>
      <c r="AE639" s="123"/>
      <c r="AF639" s="123"/>
      <c r="AG639" s="123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15"/>
      <c r="AU639" s="115"/>
      <c r="AV639" s="26">
        <v>45280</v>
      </c>
      <c r="AW639" s="13" t="s">
        <v>162</v>
      </c>
      <c r="AZ639" s="114"/>
    </row>
    <row r="640" spans="24:52" x14ac:dyDescent="0.4">
      <c r="Z640" s="115"/>
      <c r="AA640" s="115"/>
      <c r="AB640" s="115"/>
      <c r="AC640" s="115"/>
      <c r="AD640" s="115"/>
      <c r="AE640" s="122"/>
      <c r="AF640" s="122"/>
      <c r="AG640" s="122"/>
      <c r="AH640" s="115"/>
      <c r="AI640" s="115"/>
      <c r="AJ640" s="115"/>
      <c r="AK640" s="115"/>
      <c r="AL640" s="115"/>
      <c r="AM640" s="115"/>
      <c r="AN640" s="115"/>
      <c r="AO640" s="115"/>
      <c r="AP640" s="115"/>
      <c r="AQ640" s="115"/>
      <c r="AR640" s="115"/>
      <c r="AS640" s="115"/>
      <c r="AT640" s="115"/>
      <c r="AU640" s="115"/>
      <c r="AV640" s="26">
        <v>45280</v>
      </c>
      <c r="AW640" s="13" t="s">
        <v>162</v>
      </c>
      <c r="AZ640" s="114"/>
    </row>
    <row r="641" spans="26:52" x14ac:dyDescent="0.4">
      <c r="Z641" s="115"/>
      <c r="AA641" s="115"/>
      <c r="AB641" s="115"/>
      <c r="AC641" s="115"/>
      <c r="AD641" s="115"/>
      <c r="AE641" s="122"/>
      <c r="AF641" s="122"/>
      <c r="AG641" s="122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15"/>
      <c r="AU641" s="115"/>
      <c r="AV641" s="26">
        <v>45280</v>
      </c>
      <c r="AW641" s="13" t="s">
        <v>162</v>
      </c>
      <c r="AZ641" s="114"/>
    </row>
    <row r="642" spans="26:52" x14ac:dyDescent="0.4">
      <c r="Z642" s="115"/>
      <c r="AA642" s="115"/>
      <c r="AB642" s="115"/>
      <c r="AC642" s="115"/>
      <c r="AD642" s="115"/>
      <c r="AE642" s="122"/>
      <c r="AF642" s="122"/>
      <c r="AG642" s="122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115"/>
      <c r="AU642" s="115" t="s">
        <v>171</v>
      </c>
      <c r="AV642" s="17">
        <f>SUBTOTAL(3,AV626:AV641)</f>
        <v>13</v>
      </c>
      <c r="AW642" s="13">
        <f>SUBTOTAL(3,AW626:AW641)</f>
        <v>13</v>
      </c>
      <c r="AZ642" s="114"/>
    </row>
    <row r="643" spans="26:52" x14ac:dyDescent="0.4">
      <c r="Z643" s="115"/>
      <c r="AA643" s="115"/>
      <c r="AB643" s="115"/>
      <c r="AC643" s="115"/>
      <c r="AD643" s="115"/>
      <c r="AE643" s="122"/>
      <c r="AF643" s="122"/>
      <c r="AG643" s="122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15"/>
      <c r="AU643" s="115"/>
      <c r="AV643" s="26">
        <v>45283</v>
      </c>
      <c r="AW643" s="13" t="s">
        <v>162</v>
      </c>
      <c r="AZ643" s="114"/>
    </row>
    <row r="644" spans="26:52" x14ac:dyDescent="0.4">
      <c r="Z644" s="115"/>
      <c r="AA644" s="115"/>
      <c r="AB644" s="115"/>
      <c r="AC644" s="115"/>
      <c r="AD644" s="115"/>
      <c r="AE644" s="122"/>
      <c r="AF644" s="122"/>
      <c r="AG644" s="122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15"/>
      <c r="AU644" s="115"/>
      <c r="AV644" s="26">
        <v>45283</v>
      </c>
      <c r="AW644" s="13" t="s">
        <v>162</v>
      </c>
      <c r="AZ644" s="114"/>
    </row>
    <row r="645" spans="26:52" x14ac:dyDescent="0.4">
      <c r="Z645" s="115"/>
      <c r="AA645" s="115"/>
      <c r="AB645" s="115"/>
      <c r="AC645" s="115"/>
      <c r="AD645" s="115"/>
      <c r="AE645" s="122"/>
      <c r="AF645" s="122"/>
      <c r="AG645" s="122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115"/>
      <c r="AU645" s="115"/>
      <c r="AV645" s="26">
        <v>45283</v>
      </c>
      <c r="AW645" s="13" t="s">
        <v>162</v>
      </c>
      <c r="AZ645" s="114"/>
    </row>
    <row r="646" spans="26:52" x14ac:dyDescent="0.4">
      <c r="Z646" s="115"/>
      <c r="AA646" s="115"/>
      <c r="AB646" s="115"/>
      <c r="AC646" s="115"/>
      <c r="AD646" s="115"/>
      <c r="AE646" s="122"/>
      <c r="AF646" s="122"/>
      <c r="AG646" s="122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15"/>
      <c r="AU646" s="115"/>
      <c r="AV646" s="26">
        <v>45283</v>
      </c>
      <c r="AW646" s="13" t="s">
        <v>162</v>
      </c>
      <c r="AZ646" s="114"/>
    </row>
    <row r="647" spans="26:52" x14ac:dyDescent="0.4">
      <c r="Z647" s="115"/>
      <c r="AA647" s="115"/>
      <c r="AB647" s="115"/>
      <c r="AC647" s="115"/>
      <c r="AD647" s="115"/>
      <c r="AE647" s="122"/>
      <c r="AF647" s="122"/>
      <c r="AG647" s="122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15"/>
      <c r="AU647" s="115"/>
      <c r="AV647" s="26">
        <v>45283</v>
      </c>
      <c r="AW647" s="13" t="s">
        <v>162</v>
      </c>
      <c r="AZ647" s="114"/>
    </row>
    <row r="648" spans="26:52" x14ac:dyDescent="0.4">
      <c r="Z648" s="115"/>
      <c r="AA648" s="115"/>
      <c r="AB648" s="115"/>
      <c r="AC648" s="115"/>
      <c r="AD648" s="115"/>
      <c r="AE648" s="122"/>
      <c r="AF648" s="122"/>
      <c r="AG648" s="122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15"/>
      <c r="AU648" s="115"/>
      <c r="AV648" s="26">
        <v>45283</v>
      </c>
      <c r="AW648" s="13" t="s">
        <v>162</v>
      </c>
      <c r="AZ648" s="114"/>
    </row>
    <row r="649" spans="26:52" x14ac:dyDescent="0.4">
      <c r="Z649" s="115"/>
      <c r="AA649" s="115"/>
      <c r="AB649" s="115"/>
      <c r="AC649" s="115"/>
      <c r="AD649" s="115"/>
      <c r="AE649" s="122"/>
      <c r="AF649" s="122"/>
      <c r="AG649" s="122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115"/>
      <c r="AU649" s="115"/>
      <c r="AV649" s="26">
        <v>45283</v>
      </c>
      <c r="AW649" s="13" t="s">
        <v>162</v>
      </c>
      <c r="AZ649" s="114"/>
    </row>
    <row r="650" spans="26:52" x14ac:dyDescent="0.4">
      <c r="Z650" s="115"/>
      <c r="AA650" s="115"/>
      <c r="AB650" s="115"/>
      <c r="AC650" s="115"/>
      <c r="AD650" s="115"/>
      <c r="AE650" s="122"/>
      <c r="AF650" s="122"/>
      <c r="AG650" s="122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15"/>
      <c r="AU650" s="115"/>
      <c r="AV650" s="26">
        <v>45283</v>
      </c>
      <c r="AW650" s="13" t="s">
        <v>162</v>
      </c>
      <c r="AZ650" s="114"/>
    </row>
    <row r="651" spans="26:52" x14ac:dyDescent="0.4">
      <c r="Z651" s="115"/>
      <c r="AA651" s="115"/>
      <c r="AB651" s="115"/>
      <c r="AC651" s="115"/>
      <c r="AD651" s="115"/>
      <c r="AE651" s="122"/>
      <c r="AF651" s="122"/>
      <c r="AG651" s="122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15"/>
      <c r="AU651" s="115"/>
      <c r="AV651" s="26">
        <v>45283</v>
      </c>
      <c r="AW651" s="13" t="s">
        <v>162</v>
      </c>
      <c r="AZ651" s="114"/>
    </row>
    <row r="652" spans="26:52" x14ac:dyDescent="0.4">
      <c r="Z652" s="115"/>
      <c r="AA652" s="115"/>
      <c r="AB652" s="115"/>
      <c r="AC652" s="115"/>
      <c r="AD652" s="115"/>
      <c r="AE652" s="122"/>
      <c r="AF652" s="122"/>
      <c r="AG652" s="122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15"/>
      <c r="AU652" s="115"/>
      <c r="AV652" s="26">
        <v>45283</v>
      </c>
      <c r="AW652" s="13" t="s">
        <v>162</v>
      </c>
      <c r="AZ652" s="114"/>
    </row>
    <row r="653" spans="26:52" x14ac:dyDescent="0.4">
      <c r="Z653" s="115"/>
      <c r="AA653" s="115"/>
      <c r="AB653" s="115"/>
      <c r="AC653" s="115"/>
      <c r="AD653" s="115"/>
      <c r="AE653" s="122"/>
      <c r="AF653" s="122"/>
      <c r="AG653" s="122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15"/>
      <c r="AU653" s="115"/>
      <c r="AV653" s="26">
        <v>45283</v>
      </c>
      <c r="AW653" s="13" t="s">
        <v>163</v>
      </c>
      <c r="AZ653" s="114"/>
    </row>
    <row r="654" spans="26:52" x14ac:dyDescent="0.4">
      <c r="Z654" s="115"/>
      <c r="AA654" s="115"/>
      <c r="AB654" s="115"/>
      <c r="AC654" s="115"/>
      <c r="AD654" s="115"/>
      <c r="AE654" s="122"/>
      <c r="AF654" s="122"/>
      <c r="AG654" s="122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15"/>
      <c r="AU654" s="115"/>
      <c r="AV654" s="26">
        <v>45283</v>
      </c>
      <c r="AW654" s="13" t="s">
        <v>163</v>
      </c>
      <c r="AZ654" s="114"/>
    </row>
    <row r="655" spans="26:52" x14ac:dyDescent="0.4">
      <c r="Z655" s="115"/>
      <c r="AA655" s="115"/>
      <c r="AB655" s="115"/>
      <c r="AC655" s="115"/>
      <c r="AD655" s="115"/>
      <c r="AE655" s="122"/>
      <c r="AF655" s="122"/>
      <c r="AG655" s="122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15"/>
      <c r="AU655" s="115"/>
      <c r="AV655" s="26">
        <v>45283</v>
      </c>
      <c r="AW655" s="13" t="s">
        <v>163</v>
      </c>
      <c r="AZ655" s="114"/>
    </row>
    <row r="656" spans="26:52" x14ac:dyDescent="0.4">
      <c r="Z656" s="115"/>
      <c r="AA656" s="115"/>
      <c r="AB656" s="115"/>
      <c r="AC656" s="115"/>
      <c r="AD656" s="115"/>
      <c r="AE656" s="122"/>
      <c r="AF656" s="122"/>
      <c r="AG656" s="122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15"/>
      <c r="AU656" s="115" t="s">
        <v>161</v>
      </c>
      <c r="AV656" s="17">
        <f>SUBTOTAL(3,AV643:AV655)</f>
        <v>13</v>
      </c>
      <c r="AW656" s="13">
        <f>SUBTOTAL(3,AW643:AW655)</f>
        <v>13</v>
      </c>
      <c r="AZ656" s="114"/>
    </row>
    <row r="657" spans="26:52" x14ac:dyDescent="0.4">
      <c r="Z657" s="115"/>
      <c r="AA657" s="115"/>
      <c r="AB657" s="115"/>
      <c r="AC657" s="115"/>
      <c r="AD657" s="115"/>
      <c r="AE657" s="122"/>
      <c r="AF657" s="122"/>
      <c r="AG657" s="122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15"/>
      <c r="AU657" s="115"/>
      <c r="AV657" s="26">
        <v>45285</v>
      </c>
      <c r="AW657" s="13" t="s">
        <v>163</v>
      </c>
      <c r="AZ657" s="114"/>
    </row>
    <row r="658" spans="26:52" x14ac:dyDescent="0.4">
      <c r="Z658" s="115"/>
      <c r="AA658" s="115"/>
      <c r="AB658" s="115"/>
      <c r="AC658" s="115"/>
      <c r="AD658" s="115"/>
      <c r="AE658" s="122"/>
      <c r="AF658" s="122"/>
      <c r="AG658" s="122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15"/>
      <c r="AU658" s="115" t="s">
        <v>172</v>
      </c>
      <c r="AV658" s="17">
        <f>SUBTOTAL(3,AV657:AV657)</f>
        <v>1</v>
      </c>
      <c r="AW658" s="13">
        <f>SUBTOTAL(3,AW657:AW657)</f>
        <v>1</v>
      </c>
      <c r="AZ658" s="114"/>
    </row>
    <row r="659" spans="26:52" x14ac:dyDescent="0.4">
      <c r="Z659" s="115"/>
      <c r="AA659" s="115"/>
      <c r="AB659" s="115"/>
      <c r="AC659" s="115"/>
      <c r="AD659" s="115"/>
      <c r="AE659" s="122"/>
      <c r="AF659" s="122"/>
      <c r="AG659" s="122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15"/>
      <c r="AU659" s="115"/>
      <c r="AV659" s="26">
        <v>45299</v>
      </c>
      <c r="AW659" s="13" t="s">
        <v>164</v>
      </c>
      <c r="AZ659" s="114"/>
    </row>
    <row r="660" spans="26:52" x14ac:dyDescent="0.4">
      <c r="Z660" s="115"/>
      <c r="AA660" s="115"/>
      <c r="AB660" s="115"/>
      <c r="AC660" s="115"/>
      <c r="AD660" s="115"/>
      <c r="AE660" s="122"/>
      <c r="AF660" s="122"/>
      <c r="AG660" s="122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15"/>
      <c r="AU660" s="115"/>
      <c r="AV660" s="26">
        <v>45299</v>
      </c>
      <c r="AW660" s="13" t="s">
        <v>162</v>
      </c>
      <c r="AZ660" s="114"/>
    </row>
    <row r="661" spans="26:52" x14ac:dyDescent="0.4">
      <c r="Z661" s="115"/>
      <c r="AA661" s="115"/>
      <c r="AB661" s="115"/>
      <c r="AC661" s="115"/>
      <c r="AD661" s="115"/>
      <c r="AE661" s="122"/>
      <c r="AF661" s="122"/>
      <c r="AG661" s="122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15"/>
      <c r="AU661" s="115"/>
      <c r="AV661" s="26">
        <v>45299</v>
      </c>
      <c r="AW661" s="13" t="s">
        <v>162</v>
      </c>
      <c r="AZ661" s="114"/>
    </row>
    <row r="662" spans="26:52" x14ac:dyDescent="0.4">
      <c r="Z662" s="115"/>
      <c r="AA662" s="115"/>
      <c r="AB662" s="115"/>
      <c r="AC662" s="115"/>
      <c r="AD662" s="115"/>
      <c r="AE662" s="122"/>
      <c r="AF662" s="122"/>
      <c r="AG662" s="122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15"/>
      <c r="AU662" s="115"/>
      <c r="AV662" s="26">
        <v>45299</v>
      </c>
      <c r="AW662" s="15" t="s">
        <v>162</v>
      </c>
      <c r="AZ662" s="114"/>
    </row>
    <row r="663" spans="26:52" x14ac:dyDescent="0.4">
      <c r="Z663" s="115"/>
      <c r="AA663" s="115"/>
      <c r="AB663" s="115"/>
      <c r="AC663" s="115"/>
      <c r="AD663" s="115"/>
      <c r="AE663" s="122"/>
      <c r="AF663" s="122"/>
      <c r="AG663" s="122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15"/>
      <c r="AU663" s="115" t="s">
        <v>173</v>
      </c>
      <c r="AV663" s="17">
        <f>SUBTOTAL(3,AV659:AV662)</f>
        <v>4</v>
      </c>
      <c r="AW663" s="13">
        <f>SUBTOTAL(3,AW659:AW662)</f>
        <v>4</v>
      </c>
      <c r="AZ663" s="114"/>
    </row>
    <row r="664" spans="26:52" x14ac:dyDescent="0.4">
      <c r="Z664" s="115"/>
      <c r="AA664" s="115"/>
      <c r="AB664" s="115"/>
      <c r="AC664" s="115"/>
      <c r="AD664" s="115"/>
      <c r="AE664" s="122"/>
      <c r="AF664" s="122"/>
      <c r="AG664" s="122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15"/>
      <c r="AU664" s="115" t="s">
        <v>145</v>
      </c>
      <c r="AV664" s="17">
        <f>SUBTOTAL(3,AV2:AV662)</f>
        <v>136</v>
      </c>
      <c r="AW664" s="13">
        <f>SUBTOTAL(3,AW2:AW662)</f>
        <v>136</v>
      </c>
      <c r="AZ664" s="114"/>
    </row>
    <row r="665" spans="26:52" x14ac:dyDescent="0.4">
      <c r="Z665" s="115"/>
      <c r="AA665" s="115"/>
      <c r="AB665" s="115"/>
      <c r="AC665" s="115"/>
      <c r="AD665" s="115"/>
      <c r="AE665" s="122"/>
      <c r="AF665" s="122"/>
      <c r="AG665" s="122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 t="s">
        <v>145</v>
      </c>
      <c r="AT665" s="115"/>
      <c r="AU665" s="115"/>
      <c r="AV665" s="26"/>
      <c r="AW665" s="13"/>
      <c r="AZ665" s="114"/>
    </row>
    <row r="666" spans="26:52" x14ac:dyDescent="0.4">
      <c r="Z666" s="115"/>
      <c r="AA666" s="115"/>
      <c r="AB666" s="115"/>
      <c r="AC666" s="115"/>
      <c r="AD666" s="115"/>
      <c r="AE666" s="122"/>
      <c r="AF666" s="122"/>
      <c r="AG666" s="122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15"/>
      <c r="AU666" s="115"/>
      <c r="AV666" s="17"/>
      <c r="AW666" s="13"/>
      <c r="AZ666" s="114"/>
    </row>
    <row r="667" spans="26:52" x14ac:dyDescent="0.4">
      <c r="Z667" s="115"/>
      <c r="AA667" s="115"/>
      <c r="AB667" s="115"/>
      <c r="AC667" s="115"/>
      <c r="AD667" s="115"/>
      <c r="AE667" s="122"/>
      <c r="AF667" s="122"/>
      <c r="AG667" s="122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15"/>
      <c r="AU667" s="115"/>
      <c r="AV667" s="26"/>
      <c r="AW667" s="13"/>
      <c r="AZ667" s="114"/>
    </row>
    <row r="668" spans="26:52" x14ac:dyDescent="0.4">
      <c r="Z668" s="115"/>
      <c r="AA668" s="115"/>
      <c r="AB668" s="115"/>
      <c r="AC668" s="115"/>
      <c r="AD668" s="115"/>
      <c r="AE668" s="122"/>
      <c r="AF668" s="122"/>
      <c r="AG668" s="122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15"/>
      <c r="AU668" s="115"/>
      <c r="AV668" s="17"/>
      <c r="AW668" s="13"/>
      <c r="AZ668" s="114"/>
    </row>
    <row r="669" spans="26:52" x14ac:dyDescent="0.4">
      <c r="Z669" s="115"/>
      <c r="AA669" s="115"/>
      <c r="AB669" s="115"/>
      <c r="AC669" s="115"/>
      <c r="AD669" s="115"/>
      <c r="AE669" s="122"/>
      <c r="AF669" s="122"/>
      <c r="AG669" s="122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15"/>
      <c r="AU669" s="115"/>
      <c r="AV669" s="26"/>
      <c r="AW669" s="13"/>
      <c r="AZ669" s="114"/>
    </row>
    <row r="670" spans="26:52" x14ac:dyDescent="0.4">
      <c r="Z670" s="115"/>
      <c r="AA670" s="115"/>
      <c r="AB670" s="115"/>
      <c r="AC670" s="115"/>
      <c r="AD670" s="115"/>
      <c r="AE670" s="122"/>
      <c r="AF670" s="122"/>
      <c r="AG670" s="122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115"/>
      <c r="AU670" s="115"/>
      <c r="AV670" s="26"/>
      <c r="AW670" s="13"/>
      <c r="AZ670" s="114"/>
    </row>
    <row r="671" spans="26:52" x14ac:dyDescent="0.4">
      <c r="Z671" s="115"/>
      <c r="AA671" s="115"/>
      <c r="AB671" s="115"/>
      <c r="AC671" s="115"/>
      <c r="AD671" s="115"/>
      <c r="AE671" s="122"/>
      <c r="AF671" s="122"/>
      <c r="AG671" s="122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115"/>
      <c r="AU671" s="115"/>
      <c r="AV671" s="26"/>
      <c r="AW671" s="13"/>
      <c r="AZ671" s="114"/>
    </row>
    <row r="672" spans="26:52" x14ac:dyDescent="0.4">
      <c r="Z672" s="115"/>
      <c r="AA672" s="115"/>
      <c r="AB672" s="115"/>
      <c r="AC672" s="115"/>
      <c r="AD672" s="115"/>
      <c r="AE672" s="122"/>
      <c r="AF672" s="122"/>
      <c r="AG672" s="122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15"/>
      <c r="AU672" s="115"/>
      <c r="AV672" s="17"/>
      <c r="AW672" s="13"/>
      <c r="AZ672" s="114"/>
    </row>
    <row r="673" spans="26:52" x14ac:dyDescent="0.4">
      <c r="Z673" s="115"/>
      <c r="AA673" s="115"/>
      <c r="AB673" s="115"/>
      <c r="AC673" s="115"/>
      <c r="AD673" s="115"/>
      <c r="AE673" s="122"/>
      <c r="AF673" s="122"/>
      <c r="AG673" s="122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15"/>
      <c r="AU673" s="115"/>
      <c r="AV673" s="26"/>
      <c r="AW673" s="13"/>
      <c r="AZ673" s="114"/>
    </row>
    <row r="674" spans="26:52" x14ac:dyDescent="0.4">
      <c r="Z674" s="115"/>
      <c r="AA674" s="115"/>
      <c r="AB674" s="115"/>
      <c r="AC674" s="115"/>
      <c r="AD674" s="115"/>
      <c r="AE674" s="122"/>
      <c r="AF674" s="122"/>
      <c r="AG674" s="122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15"/>
      <c r="AU674" s="115"/>
      <c r="AV674" s="17"/>
      <c r="AW674" s="13"/>
      <c r="AZ674" s="114"/>
    </row>
    <row r="675" spans="26:52" x14ac:dyDescent="0.4">
      <c r="Z675" s="115"/>
      <c r="AA675" s="115"/>
      <c r="AB675" s="115"/>
      <c r="AC675" s="115"/>
      <c r="AD675" s="115"/>
      <c r="AE675" s="122"/>
      <c r="AF675" s="122"/>
      <c r="AG675" s="122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15"/>
      <c r="AU675" s="115"/>
      <c r="AV675" s="26"/>
      <c r="AW675" s="13"/>
      <c r="AZ675" s="114"/>
    </row>
    <row r="676" spans="26:52" x14ac:dyDescent="0.4">
      <c r="Z676" s="115"/>
      <c r="AA676" s="115"/>
      <c r="AB676" s="115"/>
      <c r="AC676" s="115"/>
      <c r="AD676" s="115"/>
      <c r="AE676" s="122"/>
      <c r="AF676" s="122"/>
      <c r="AG676" s="122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15"/>
      <c r="AU676" s="115"/>
      <c r="AV676" s="17"/>
      <c r="AW676" s="13"/>
      <c r="AZ676" s="114"/>
    </row>
    <row r="677" spans="26:52" x14ac:dyDescent="0.4">
      <c r="Z677" s="115"/>
      <c r="AA677" s="115"/>
      <c r="AB677" s="115"/>
      <c r="AC677" s="115"/>
      <c r="AD677" s="115"/>
      <c r="AE677" s="122"/>
      <c r="AF677" s="122"/>
      <c r="AG677" s="122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115"/>
      <c r="AU677" s="115"/>
      <c r="AV677" s="17"/>
      <c r="AW677" s="13"/>
      <c r="AZ677" s="114"/>
    </row>
    <row r="678" spans="26:52" x14ac:dyDescent="0.4">
      <c r="Z678" s="115"/>
      <c r="AA678" s="115"/>
      <c r="AB678" s="115"/>
      <c r="AC678" s="115"/>
      <c r="AD678" s="115"/>
      <c r="AE678" s="122"/>
      <c r="AF678" s="122"/>
      <c r="AG678" s="122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115"/>
      <c r="AU678" s="115"/>
      <c r="AV678" s="17"/>
      <c r="AW678" s="13"/>
      <c r="AZ678" s="114"/>
    </row>
    <row r="679" spans="26:52" x14ac:dyDescent="0.4">
      <c r="Z679" s="115"/>
      <c r="AA679" s="115"/>
      <c r="AB679" s="115"/>
      <c r="AC679" s="115"/>
      <c r="AD679" s="115"/>
      <c r="AE679" s="122"/>
      <c r="AF679" s="122"/>
      <c r="AG679" s="122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115"/>
      <c r="AU679" s="115"/>
      <c r="AV679" s="26"/>
      <c r="AW679" s="13"/>
      <c r="AZ679" s="114"/>
    </row>
    <row r="680" spans="26:52" x14ac:dyDescent="0.4">
      <c r="Z680" s="115"/>
      <c r="AA680" s="115"/>
      <c r="AB680" s="115"/>
      <c r="AC680" s="115"/>
      <c r="AD680" s="115"/>
      <c r="AE680" s="122"/>
      <c r="AF680" s="122"/>
      <c r="AG680" s="122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115"/>
      <c r="AU680" s="115"/>
      <c r="AV680" s="17"/>
      <c r="AW680" s="13"/>
      <c r="AZ680" s="114"/>
    </row>
    <row r="681" spans="26:52" x14ac:dyDescent="0.4">
      <c r="Z681" s="115"/>
      <c r="AA681" s="115"/>
      <c r="AB681" s="115"/>
      <c r="AC681" s="115"/>
      <c r="AD681" s="115"/>
      <c r="AE681" s="122"/>
      <c r="AF681" s="122"/>
      <c r="AG681" s="122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15"/>
      <c r="AU681" s="115"/>
      <c r="AV681" s="26"/>
      <c r="AW681" s="13"/>
      <c r="AZ681" s="114"/>
    </row>
    <row r="682" spans="26:52" x14ac:dyDescent="0.4">
      <c r="Z682" s="115"/>
      <c r="AA682" s="115"/>
      <c r="AB682" s="115"/>
      <c r="AC682" s="115"/>
      <c r="AD682" s="115"/>
      <c r="AE682" s="122"/>
      <c r="AF682" s="122"/>
      <c r="AG682" s="122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15"/>
      <c r="AU682" s="115"/>
      <c r="AV682" s="17"/>
      <c r="AW682" s="13"/>
      <c r="AZ682" s="114"/>
    </row>
    <row r="683" spans="26:52" x14ac:dyDescent="0.4">
      <c r="Z683" s="115"/>
      <c r="AA683" s="115"/>
      <c r="AB683" s="115"/>
      <c r="AC683" s="115"/>
      <c r="AD683" s="115"/>
      <c r="AE683" s="122"/>
      <c r="AF683" s="122"/>
      <c r="AG683" s="122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115"/>
      <c r="AU683" s="115"/>
      <c r="AV683" s="26"/>
      <c r="AW683" s="25"/>
      <c r="AZ683" s="114"/>
    </row>
    <row r="684" spans="26:52" x14ac:dyDescent="0.4">
      <c r="Z684" s="115"/>
      <c r="AA684" s="115"/>
      <c r="AB684" s="115"/>
      <c r="AC684" s="115"/>
      <c r="AD684" s="115"/>
      <c r="AE684" s="122"/>
      <c r="AF684" s="122"/>
      <c r="AG684" s="122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115"/>
      <c r="AU684" s="115"/>
      <c r="AV684" s="17"/>
      <c r="AW684" s="13"/>
      <c r="AZ684" s="114"/>
    </row>
    <row r="685" spans="26:52" x14ac:dyDescent="0.4">
      <c r="Z685" s="115"/>
      <c r="AA685" s="115"/>
      <c r="AB685" s="115"/>
      <c r="AC685" s="115"/>
      <c r="AD685" s="115"/>
      <c r="AE685" s="122"/>
      <c r="AF685" s="122"/>
      <c r="AG685" s="122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115"/>
      <c r="AU685" s="115"/>
      <c r="AV685" s="17"/>
      <c r="AW685" s="13"/>
      <c r="AZ685" s="114"/>
    </row>
    <row r="686" spans="26:52" x14ac:dyDescent="0.4">
      <c r="Z686" s="115"/>
      <c r="AA686" s="115"/>
      <c r="AB686" s="115"/>
      <c r="AC686" s="115"/>
      <c r="AD686" s="115"/>
      <c r="AE686" s="122"/>
      <c r="AF686" s="122"/>
      <c r="AG686" s="122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15"/>
      <c r="AU686" s="115"/>
      <c r="AV686" s="26"/>
      <c r="AW686" s="15"/>
      <c r="AZ686" s="114"/>
    </row>
    <row r="687" spans="26:52" x14ac:dyDescent="0.4">
      <c r="Z687" s="115"/>
      <c r="AA687" s="115"/>
      <c r="AB687" s="115"/>
      <c r="AC687" s="115"/>
      <c r="AD687" s="115"/>
      <c r="AE687" s="122"/>
      <c r="AF687" s="122"/>
      <c r="AG687" s="122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15"/>
      <c r="AU687" s="115"/>
      <c r="AV687" s="26"/>
      <c r="AW687" s="15"/>
      <c r="AZ687" s="114"/>
    </row>
    <row r="688" spans="26:52" x14ac:dyDescent="0.4">
      <c r="Z688" s="115"/>
      <c r="AA688" s="115"/>
      <c r="AB688" s="115"/>
      <c r="AC688" s="115"/>
      <c r="AD688" s="115"/>
      <c r="AE688" s="122"/>
      <c r="AF688" s="122"/>
      <c r="AG688" s="122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15"/>
      <c r="AU688" s="115"/>
      <c r="AV688" s="26"/>
      <c r="AW688" s="15"/>
      <c r="AZ688" s="114"/>
    </row>
    <row r="689" spans="26:52" x14ac:dyDescent="0.4">
      <c r="Z689" s="115"/>
      <c r="AA689" s="115"/>
      <c r="AB689" s="115"/>
      <c r="AC689" s="115"/>
      <c r="AD689" s="115"/>
      <c r="AE689" s="122"/>
      <c r="AF689" s="122"/>
      <c r="AG689" s="122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115"/>
      <c r="AU689" s="115"/>
      <c r="AV689" s="26"/>
      <c r="AW689" s="15"/>
      <c r="AZ689" s="114"/>
    </row>
    <row r="690" spans="26:52" x14ac:dyDescent="0.4">
      <c r="Z690" s="115"/>
      <c r="AA690" s="115"/>
      <c r="AB690" s="115"/>
      <c r="AC690" s="115"/>
      <c r="AD690" s="115"/>
      <c r="AE690" s="122"/>
      <c r="AF690" s="122"/>
      <c r="AG690" s="122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115"/>
      <c r="AU690" s="115"/>
      <c r="AV690" s="26"/>
      <c r="AW690" s="15"/>
      <c r="AZ690" s="114"/>
    </row>
    <row r="691" spans="26:52" x14ac:dyDescent="0.4">
      <c r="Z691" s="115"/>
      <c r="AA691" s="115"/>
      <c r="AB691" s="115"/>
      <c r="AC691" s="115"/>
      <c r="AD691" s="115"/>
      <c r="AE691" s="122"/>
      <c r="AF691" s="122"/>
      <c r="AG691" s="122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115"/>
      <c r="AU691" s="115"/>
      <c r="AV691" s="26"/>
      <c r="AW691" s="15"/>
      <c r="AZ691" s="114"/>
    </row>
    <row r="692" spans="26:52" x14ac:dyDescent="0.4">
      <c r="Z692" s="115"/>
      <c r="AA692" s="115"/>
      <c r="AB692" s="115"/>
      <c r="AC692" s="115"/>
      <c r="AD692" s="115"/>
      <c r="AE692" s="122"/>
      <c r="AF692" s="122"/>
      <c r="AG692" s="122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15"/>
      <c r="AU692" s="115"/>
      <c r="AV692" s="26"/>
      <c r="AW692" s="15"/>
      <c r="AZ692" s="114"/>
    </row>
    <row r="693" spans="26:52" x14ac:dyDescent="0.4">
      <c r="Z693" s="115"/>
      <c r="AA693" s="115"/>
      <c r="AB693" s="115"/>
      <c r="AC693" s="115"/>
      <c r="AD693" s="115"/>
      <c r="AE693" s="122"/>
      <c r="AF693" s="122"/>
      <c r="AG693" s="122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115"/>
      <c r="AU693" s="115"/>
      <c r="AV693" s="26"/>
      <c r="AW693" s="15"/>
      <c r="AZ693" s="114"/>
    </row>
    <row r="694" spans="26:52" x14ac:dyDescent="0.4">
      <c r="Z694" s="115"/>
      <c r="AA694" s="115"/>
      <c r="AB694" s="115"/>
      <c r="AC694" s="115"/>
      <c r="AD694" s="115"/>
      <c r="AE694" s="122"/>
      <c r="AF694" s="122"/>
      <c r="AG694" s="122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115"/>
      <c r="AU694" s="115"/>
      <c r="AV694" s="17"/>
      <c r="AW694" s="15"/>
      <c r="AZ694" s="114"/>
    </row>
    <row r="695" spans="26:52" x14ac:dyDescent="0.4">
      <c r="Z695" s="115"/>
      <c r="AA695" s="115"/>
      <c r="AB695" s="115"/>
      <c r="AC695" s="115"/>
      <c r="AD695" s="115"/>
      <c r="AE695" s="122"/>
      <c r="AF695" s="122"/>
      <c r="AG695" s="122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15"/>
      <c r="AU695" s="115"/>
      <c r="AV695" s="26"/>
      <c r="AW695" s="15"/>
      <c r="AZ695" s="114"/>
    </row>
    <row r="696" spans="26:52" x14ac:dyDescent="0.4">
      <c r="Z696" s="115"/>
      <c r="AA696" s="115"/>
      <c r="AB696" s="115"/>
      <c r="AC696" s="115"/>
      <c r="AD696" s="115"/>
      <c r="AE696" s="122"/>
      <c r="AF696" s="122"/>
      <c r="AG696" s="122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115"/>
      <c r="AU696" s="115"/>
      <c r="AV696" s="26"/>
      <c r="AW696" s="13"/>
      <c r="AZ696" s="114"/>
    </row>
    <row r="697" spans="26:52" x14ac:dyDescent="0.4">
      <c r="Z697" s="115"/>
      <c r="AA697" s="115"/>
      <c r="AB697" s="115"/>
      <c r="AC697" s="115"/>
      <c r="AD697" s="115"/>
      <c r="AE697" s="122"/>
      <c r="AF697" s="122"/>
      <c r="AG697" s="122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115"/>
      <c r="AT697" s="115"/>
      <c r="AU697" s="115"/>
      <c r="AV697" s="26"/>
      <c r="AW697" s="13"/>
      <c r="AZ697" s="114"/>
    </row>
    <row r="698" spans="26:52" x14ac:dyDescent="0.4">
      <c r="Z698" s="115"/>
      <c r="AA698" s="115"/>
      <c r="AB698" s="115"/>
      <c r="AC698" s="115"/>
      <c r="AD698" s="115"/>
      <c r="AE698" s="122"/>
      <c r="AF698" s="122"/>
      <c r="AG698" s="122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115"/>
      <c r="AT698" s="115"/>
      <c r="AU698" s="115"/>
      <c r="AV698" s="26"/>
      <c r="AW698" s="13"/>
      <c r="AZ698" s="114"/>
    </row>
    <row r="699" spans="26:52" x14ac:dyDescent="0.4">
      <c r="Z699" s="115"/>
      <c r="AA699" s="115"/>
      <c r="AB699" s="115"/>
      <c r="AC699" s="115"/>
      <c r="AD699" s="115"/>
      <c r="AE699" s="122"/>
      <c r="AF699" s="122"/>
      <c r="AG699" s="122"/>
      <c r="AH699" s="115"/>
      <c r="AI699" s="115"/>
      <c r="AJ699" s="115"/>
      <c r="AK699" s="115"/>
      <c r="AL699" s="115"/>
      <c r="AM699" s="115"/>
      <c r="AN699" s="115"/>
      <c r="AO699" s="115"/>
      <c r="AP699" s="115"/>
      <c r="AQ699" s="115"/>
      <c r="AR699" s="115"/>
      <c r="AS699" s="115"/>
      <c r="AT699" s="115"/>
      <c r="AU699" s="115"/>
      <c r="AV699" s="26"/>
      <c r="AW699" s="13"/>
      <c r="AZ699" s="114"/>
    </row>
    <row r="700" spans="26:52" x14ac:dyDescent="0.4">
      <c r="Z700" s="115"/>
      <c r="AA700" s="115"/>
      <c r="AB700" s="115"/>
      <c r="AC700" s="115"/>
      <c r="AD700" s="115"/>
      <c r="AE700" s="122"/>
      <c r="AF700" s="122"/>
      <c r="AG700" s="122"/>
      <c r="AH700" s="115"/>
      <c r="AI700" s="115"/>
      <c r="AJ700" s="115"/>
      <c r="AK700" s="115"/>
      <c r="AL700" s="115"/>
      <c r="AM700" s="115"/>
      <c r="AN700" s="115"/>
      <c r="AO700" s="115"/>
      <c r="AP700" s="115"/>
      <c r="AQ700" s="115"/>
      <c r="AR700" s="115"/>
      <c r="AS700" s="115"/>
      <c r="AT700" s="115"/>
      <c r="AU700" s="115"/>
      <c r="AV700" s="26"/>
      <c r="AW700" s="13"/>
      <c r="AZ700" s="114"/>
    </row>
    <row r="701" spans="26:52" x14ac:dyDescent="0.4">
      <c r="Z701" s="115"/>
      <c r="AA701" s="115"/>
      <c r="AB701" s="115"/>
      <c r="AC701" s="115"/>
      <c r="AD701" s="115"/>
      <c r="AE701" s="122"/>
      <c r="AF701" s="122"/>
      <c r="AG701" s="122"/>
      <c r="AH701" s="115"/>
      <c r="AI701" s="115"/>
      <c r="AJ701" s="115"/>
      <c r="AK701" s="115"/>
      <c r="AL701" s="115"/>
      <c r="AM701" s="115"/>
      <c r="AN701" s="115"/>
      <c r="AO701" s="115"/>
      <c r="AP701" s="115"/>
      <c r="AQ701" s="115"/>
      <c r="AR701" s="115"/>
      <c r="AS701" s="115"/>
      <c r="AT701" s="115"/>
      <c r="AU701" s="115"/>
      <c r="AV701" s="26"/>
      <c r="AW701" s="13"/>
      <c r="AZ701" s="114"/>
    </row>
    <row r="702" spans="26:52" x14ac:dyDescent="0.4">
      <c r="Z702" s="115"/>
      <c r="AA702" s="115"/>
      <c r="AB702" s="115"/>
      <c r="AC702" s="115"/>
      <c r="AD702" s="115"/>
      <c r="AE702" s="122"/>
      <c r="AF702" s="122"/>
      <c r="AG702" s="122"/>
      <c r="AH702" s="115"/>
      <c r="AI702" s="115"/>
      <c r="AJ702" s="115"/>
      <c r="AK702" s="115"/>
      <c r="AL702" s="115"/>
      <c r="AM702" s="115"/>
      <c r="AN702" s="115"/>
      <c r="AO702" s="115"/>
      <c r="AP702" s="115"/>
      <c r="AQ702" s="115"/>
      <c r="AR702" s="115"/>
      <c r="AS702" s="115"/>
      <c r="AT702" s="115"/>
      <c r="AU702" s="115"/>
      <c r="AV702" s="26"/>
      <c r="AW702" s="13"/>
      <c r="AZ702" s="114"/>
    </row>
    <row r="703" spans="26:52" x14ac:dyDescent="0.4">
      <c r="Z703" s="115"/>
      <c r="AA703" s="115"/>
      <c r="AB703" s="115"/>
      <c r="AC703" s="115"/>
      <c r="AD703" s="115"/>
      <c r="AE703" s="122"/>
      <c r="AF703" s="122"/>
      <c r="AG703" s="122"/>
      <c r="AH703" s="115"/>
      <c r="AI703" s="115"/>
      <c r="AJ703" s="115"/>
      <c r="AK703" s="115"/>
      <c r="AL703" s="115"/>
      <c r="AM703" s="115"/>
      <c r="AN703" s="115"/>
      <c r="AO703" s="115"/>
      <c r="AP703" s="115"/>
      <c r="AQ703" s="115"/>
      <c r="AR703" s="115"/>
      <c r="AS703" s="115"/>
      <c r="AT703" s="115"/>
      <c r="AU703" s="115"/>
      <c r="AV703" s="26"/>
      <c r="AW703" s="13"/>
      <c r="AZ703" s="114"/>
    </row>
    <row r="704" spans="26:52" x14ac:dyDescent="0.4">
      <c r="Z704" s="115"/>
      <c r="AA704" s="115"/>
      <c r="AB704" s="115"/>
      <c r="AC704" s="115"/>
      <c r="AD704" s="115"/>
      <c r="AE704" s="122"/>
      <c r="AF704" s="122"/>
      <c r="AG704" s="122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115"/>
      <c r="AT704" s="115"/>
      <c r="AU704" s="115"/>
      <c r="AV704" s="26"/>
      <c r="AW704" s="13"/>
      <c r="AZ704" s="114"/>
    </row>
    <row r="705" spans="25:52" x14ac:dyDescent="0.4">
      <c r="Z705" s="115"/>
      <c r="AA705" s="115"/>
      <c r="AB705" s="115"/>
      <c r="AC705" s="115"/>
      <c r="AD705" s="115"/>
      <c r="AE705" s="122"/>
      <c r="AF705" s="122"/>
      <c r="AG705" s="122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115"/>
      <c r="AT705" s="115"/>
      <c r="AU705" s="115"/>
      <c r="AV705" s="26"/>
      <c r="AW705" s="13"/>
      <c r="AZ705" s="114"/>
    </row>
    <row r="706" spans="25:52" x14ac:dyDescent="0.4">
      <c r="Z706" s="115"/>
      <c r="AA706" s="115"/>
      <c r="AB706" s="115"/>
      <c r="AC706" s="115"/>
      <c r="AD706" s="115"/>
      <c r="AE706" s="122"/>
      <c r="AF706" s="122"/>
      <c r="AG706" s="122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115"/>
      <c r="AT706" s="115"/>
      <c r="AU706" s="115"/>
      <c r="AV706" s="26"/>
      <c r="AW706" s="13"/>
      <c r="AZ706" s="114"/>
    </row>
    <row r="707" spans="25:52" x14ac:dyDescent="0.4">
      <c r="Z707" s="115"/>
      <c r="AA707" s="115"/>
      <c r="AB707" s="115"/>
      <c r="AC707" s="115"/>
      <c r="AD707" s="115"/>
      <c r="AE707" s="122"/>
      <c r="AF707" s="122"/>
      <c r="AG707" s="122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115"/>
      <c r="AU707" s="115"/>
      <c r="AV707" s="17"/>
      <c r="AW707" s="13"/>
      <c r="AZ707" s="114"/>
    </row>
    <row r="708" spans="25:52" x14ac:dyDescent="0.4">
      <c r="Z708" s="115"/>
      <c r="AA708" s="115"/>
      <c r="AB708" s="115"/>
      <c r="AC708" s="115"/>
      <c r="AD708" s="115"/>
      <c r="AE708" s="122"/>
      <c r="AF708" s="122"/>
      <c r="AG708" s="122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115"/>
      <c r="AT708" s="115"/>
      <c r="AU708" s="115"/>
      <c r="AV708" s="26"/>
      <c r="AW708" s="13"/>
      <c r="AZ708" s="114"/>
    </row>
    <row r="709" spans="25:52" x14ac:dyDescent="0.4">
      <c r="Z709" s="115"/>
      <c r="AA709" s="115"/>
      <c r="AB709" s="115"/>
      <c r="AC709" s="115"/>
      <c r="AD709" s="115"/>
      <c r="AE709" s="122"/>
      <c r="AF709" s="122"/>
      <c r="AG709" s="122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115"/>
      <c r="AT709" s="115"/>
      <c r="AU709" s="115"/>
      <c r="AV709" s="26"/>
      <c r="AW709" s="13"/>
      <c r="AZ709" s="114"/>
    </row>
    <row r="710" spans="25:52" x14ac:dyDescent="0.4">
      <c r="Z710" s="115"/>
      <c r="AA710" s="115"/>
      <c r="AB710" s="115"/>
      <c r="AC710" s="115"/>
      <c r="AD710" s="115"/>
      <c r="AE710" s="122"/>
      <c r="AF710" s="122"/>
      <c r="AG710" s="122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115"/>
      <c r="AU710" s="115"/>
      <c r="AV710" s="26"/>
      <c r="AW710" s="13"/>
      <c r="AZ710" s="114"/>
    </row>
    <row r="711" spans="25:52" x14ac:dyDescent="0.4">
      <c r="Z711" s="115"/>
      <c r="AA711" s="115"/>
      <c r="AB711" s="115"/>
      <c r="AC711" s="115"/>
      <c r="AD711" s="115"/>
      <c r="AE711" s="122"/>
      <c r="AF711" s="122"/>
      <c r="AG711" s="122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115"/>
      <c r="AT711" s="115"/>
      <c r="AU711" s="115"/>
      <c r="AV711" s="17"/>
      <c r="AW711" s="13"/>
      <c r="AZ711" s="114"/>
    </row>
    <row r="712" spans="25:52" x14ac:dyDescent="0.4">
      <c r="Z712" s="115"/>
      <c r="AA712" s="115"/>
      <c r="AB712" s="115"/>
      <c r="AC712" s="115"/>
      <c r="AD712" s="115"/>
      <c r="AE712" s="122"/>
      <c r="AF712" s="122"/>
      <c r="AG712" s="122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115"/>
      <c r="AT712" s="115"/>
      <c r="AU712" s="115"/>
      <c r="AV712" s="26"/>
      <c r="AW712" s="13"/>
      <c r="AZ712" s="114"/>
    </row>
    <row r="713" spans="25:52" x14ac:dyDescent="0.4">
      <c r="Z713" s="115"/>
      <c r="AA713" s="115"/>
      <c r="AB713" s="115"/>
      <c r="AC713" s="115"/>
      <c r="AD713" s="115"/>
      <c r="AE713" s="122"/>
      <c r="AF713" s="122"/>
      <c r="AG713" s="122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115"/>
      <c r="AT713" s="115"/>
      <c r="AU713" s="115"/>
      <c r="AV713" s="17"/>
      <c r="AW713" s="13"/>
      <c r="AZ713" s="114"/>
    </row>
    <row r="714" spans="25:52" x14ac:dyDescent="0.4">
      <c r="Z714" s="115"/>
      <c r="AA714" s="115"/>
      <c r="AB714" s="115"/>
      <c r="AC714" s="115"/>
      <c r="AD714" s="115"/>
      <c r="AE714" s="122"/>
      <c r="AF714" s="122"/>
      <c r="AG714" s="122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115"/>
      <c r="AU714" s="115"/>
      <c r="AV714" s="26"/>
      <c r="AW714" s="13"/>
      <c r="AZ714" s="114"/>
    </row>
    <row r="715" spans="25:52" x14ac:dyDescent="0.4">
      <c r="Z715" s="115"/>
      <c r="AA715" s="115"/>
      <c r="AB715" s="115"/>
      <c r="AC715" s="115"/>
      <c r="AD715" s="115"/>
      <c r="AE715" s="122"/>
      <c r="AF715" s="122"/>
      <c r="AG715" s="122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115"/>
      <c r="AT715" s="115"/>
      <c r="AU715" s="115"/>
      <c r="AV715" s="26"/>
      <c r="AW715" s="15"/>
      <c r="AZ715" s="114"/>
    </row>
    <row r="716" spans="25:52" x14ac:dyDescent="0.4">
      <c r="Z716" s="115"/>
      <c r="AA716" s="115"/>
      <c r="AB716" s="115"/>
      <c r="AC716" s="115"/>
      <c r="AD716" s="115"/>
      <c r="AE716" s="122"/>
      <c r="AF716" s="122"/>
      <c r="AG716" s="122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115"/>
      <c r="AT716" s="115"/>
      <c r="AU716" s="115"/>
      <c r="AV716" s="17"/>
      <c r="AW716" s="15"/>
      <c r="AZ716" s="114"/>
    </row>
    <row r="717" spans="25:52" x14ac:dyDescent="0.4">
      <c r="Z717" s="115"/>
      <c r="AA717" s="115"/>
      <c r="AB717" s="115"/>
      <c r="AC717" s="115"/>
      <c r="AD717" s="115"/>
      <c r="AE717" s="122"/>
      <c r="AF717" s="122"/>
      <c r="AG717" s="122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115"/>
      <c r="AU717" s="115"/>
      <c r="AV717" s="17"/>
      <c r="AW717" s="15"/>
      <c r="AZ717" s="114"/>
    </row>
    <row r="718" spans="25:52" x14ac:dyDescent="0.4">
      <c r="Y718" s="115"/>
      <c r="Z718" s="115"/>
      <c r="AA718" s="115"/>
      <c r="AB718" s="115"/>
      <c r="AC718" s="115"/>
      <c r="AD718" s="115"/>
      <c r="AE718" s="122"/>
      <c r="AF718" s="122"/>
      <c r="AG718" s="122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115"/>
      <c r="AU718" s="115"/>
      <c r="AV718" s="26"/>
      <c r="AW718" s="15"/>
      <c r="AZ718" s="114"/>
    </row>
    <row r="719" spans="25:52" x14ac:dyDescent="0.4">
      <c r="Y719" s="115"/>
      <c r="Z719" s="115"/>
      <c r="AA719" s="115"/>
      <c r="AB719" s="115"/>
      <c r="AC719" s="115"/>
      <c r="AD719" s="115"/>
      <c r="AE719" s="122"/>
      <c r="AF719" s="122"/>
      <c r="AG719" s="122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115"/>
      <c r="AT719" s="115"/>
      <c r="AU719" s="115"/>
      <c r="AV719" s="17"/>
      <c r="AW719" s="15"/>
      <c r="AZ719" s="114"/>
    </row>
    <row r="720" spans="25:52" x14ac:dyDescent="0.4">
      <c r="Y720" s="115"/>
      <c r="Z720" s="115"/>
      <c r="AA720" s="115"/>
      <c r="AB720" s="115"/>
      <c r="AC720" s="115"/>
      <c r="AD720" s="115"/>
      <c r="AE720" s="122"/>
      <c r="AF720" s="122"/>
      <c r="AG720" s="122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115"/>
      <c r="AT720" s="115"/>
      <c r="AU720" s="115"/>
      <c r="AV720" s="26"/>
      <c r="AW720" s="15"/>
      <c r="AZ720" s="114"/>
    </row>
    <row r="721" spans="25:52" x14ac:dyDescent="0.4">
      <c r="Y721" s="115"/>
      <c r="Z721" s="115"/>
      <c r="AA721" s="115"/>
      <c r="AB721" s="115"/>
      <c r="AC721" s="115"/>
      <c r="AD721" s="115"/>
      <c r="AE721" s="122"/>
      <c r="AF721" s="122"/>
      <c r="AG721" s="122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115"/>
      <c r="AT721" s="115"/>
      <c r="AU721" s="115"/>
      <c r="AV721" s="26"/>
      <c r="AW721" s="15"/>
      <c r="AZ721" s="114"/>
    </row>
    <row r="722" spans="25:52" x14ac:dyDescent="0.4">
      <c r="Y722" s="115"/>
      <c r="Z722" s="115"/>
      <c r="AA722" s="115"/>
      <c r="AB722" s="115"/>
      <c r="AC722" s="115"/>
      <c r="AD722" s="115"/>
      <c r="AE722" s="122"/>
      <c r="AF722" s="122"/>
      <c r="AG722" s="122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115"/>
      <c r="AT722" s="115"/>
      <c r="AU722" s="115"/>
      <c r="AV722" s="17"/>
      <c r="AW722" s="15"/>
      <c r="AZ722" s="114"/>
    </row>
    <row r="723" spans="25:52" x14ac:dyDescent="0.4">
      <c r="Y723" s="115"/>
      <c r="Z723" s="115"/>
      <c r="AA723" s="115"/>
      <c r="AB723" s="115"/>
      <c r="AC723" s="115"/>
      <c r="AD723" s="115"/>
      <c r="AE723" s="122"/>
      <c r="AF723" s="122"/>
      <c r="AG723" s="122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115"/>
      <c r="AT723" s="115"/>
      <c r="AU723" s="115"/>
      <c r="AV723" s="26"/>
      <c r="AW723" s="15"/>
      <c r="AZ723" s="114"/>
    </row>
    <row r="724" spans="25:52" x14ac:dyDescent="0.4">
      <c r="Y724" s="115"/>
      <c r="Z724" s="115"/>
      <c r="AA724" s="115"/>
      <c r="AB724" s="115"/>
      <c r="AC724" s="115"/>
      <c r="AD724" s="115"/>
      <c r="AE724" s="122"/>
      <c r="AF724" s="122"/>
      <c r="AG724" s="122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115"/>
      <c r="AT724" s="115"/>
      <c r="AU724" s="115"/>
      <c r="AV724" s="17"/>
      <c r="AW724" s="15"/>
      <c r="AZ724" s="114"/>
    </row>
    <row r="725" spans="25:52" x14ac:dyDescent="0.4">
      <c r="Y725" s="115"/>
      <c r="Z725" s="115"/>
      <c r="AA725" s="115"/>
      <c r="AB725" s="115"/>
      <c r="AC725" s="115"/>
      <c r="AD725" s="115"/>
      <c r="AE725" s="122"/>
      <c r="AF725" s="122"/>
      <c r="AG725" s="122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115"/>
      <c r="AT725" s="115"/>
      <c r="AU725" s="115"/>
      <c r="AV725" s="17"/>
      <c r="AW725" s="15"/>
      <c r="AZ725" s="114"/>
    </row>
    <row r="726" spans="25:52" x14ac:dyDescent="0.4">
      <c r="Y726" s="115"/>
      <c r="Z726" s="115"/>
      <c r="AA726" s="115"/>
      <c r="AB726" s="115"/>
      <c r="AC726" s="115"/>
      <c r="AD726" s="115"/>
      <c r="AE726" s="122"/>
      <c r="AF726" s="122"/>
      <c r="AG726" s="122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115"/>
      <c r="AT726" s="115"/>
      <c r="AU726" s="115"/>
      <c r="AV726" s="26"/>
      <c r="AW726" s="15"/>
      <c r="AZ726" s="114"/>
    </row>
    <row r="727" spans="25:52" x14ac:dyDescent="0.4">
      <c r="Y727" s="115"/>
      <c r="Z727" s="115"/>
      <c r="AA727" s="115"/>
      <c r="AB727" s="115"/>
      <c r="AC727" s="115"/>
      <c r="AD727" s="115"/>
      <c r="AE727" s="122"/>
      <c r="AF727" s="122"/>
      <c r="AG727" s="122"/>
      <c r="AH727" s="115"/>
      <c r="AI727" s="115"/>
      <c r="AJ727" s="115"/>
      <c r="AK727" s="115"/>
      <c r="AL727" s="115"/>
      <c r="AM727" s="115"/>
      <c r="AN727" s="115"/>
      <c r="AO727" s="115"/>
      <c r="AP727" s="115"/>
      <c r="AQ727" s="115"/>
      <c r="AR727" s="115"/>
      <c r="AS727" s="115"/>
      <c r="AT727" s="115"/>
      <c r="AU727" s="115"/>
      <c r="AV727" s="26"/>
      <c r="AW727" s="15"/>
      <c r="AZ727" s="114"/>
    </row>
    <row r="728" spans="25:52" x14ac:dyDescent="0.4">
      <c r="Y728" s="115"/>
      <c r="Z728" s="115"/>
      <c r="AA728" s="115"/>
      <c r="AB728" s="115"/>
      <c r="AC728" s="115"/>
      <c r="AD728" s="115"/>
      <c r="AE728" s="122"/>
      <c r="AF728" s="122"/>
      <c r="AG728" s="122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115"/>
      <c r="AT728" s="115"/>
      <c r="AU728" s="115"/>
      <c r="AV728" s="26"/>
      <c r="AW728" s="15"/>
      <c r="AZ728" s="114"/>
    </row>
    <row r="729" spans="25:52" x14ac:dyDescent="0.4">
      <c r="Y729" s="115"/>
      <c r="Z729" s="115"/>
      <c r="AA729" s="115"/>
      <c r="AB729" s="115"/>
      <c r="AC729" s="115"/>
      <c r="AD729" s="115"/>
      <c r="AE729" s="122"/>
      <c r="AF729" s="122"/>
      <c r="AG729" s="122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115"/>
      <c r="AT729" s="115"/>
      <c r="AU729" s="115"/>
      <c r="AV729" s="26"/>
      <c r="AW729" s="15"/>
      <c r="AZ729" s="114"/>
    </row>
    <row r="730" spans="25:52" x14ac:dyDescent="0.4">
      <c r="Y730" s="115"/>
      <c r="Z730" s="115"/>
      <c r="AA730" s="115"/>
      <c r="AB730" s="115"/>
      <c r="AC730" s="115"/>
      <c r="AD730" s="115"/>
      <c r="AE730" s="122"/>
      <c r="AF730" s="122"/>
      <c r="AG730" s="122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115"/>
      <c r="AT730" s="115"/>
      <c r="AU730" s="115"/>
      <c r="AV730" s="26"/>
      <c r="AW730" s="15"/>
      <c r="AZ730" s="114"/>
    </row>
    <row r="731" spans="25:52" x14ac:dyDescent="0.4">
      <c r="Y731" s="115"/>
      <c r="Z731" s="115"/>
      <c r="AA731" s="115"/>
      <c r="AB731" s="115"/>
      <c r="AC731" s="115"/>
      <c r="AD731" s="115"/>
      <c r="AE731" s="122"/>
      <c r="AF731" s="122"/>
      <c r="AG731" s="122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115"/>
      <c r="AT731" s="115"/>
      <c r="AU731" s="115"/>
      <c r="AV731" s="26"/>
      <c r="AW731" s="15"/>
      <c r="AZ731" s="114"/>
    </row>
    <row r="732" spans="25:52" x14ac:dyDescent="0.4">
      <c r="Y732" s="115"/>
      <c r="Z732" s="115"/>
      <c r="AA732" s="115"/>
      <c r="AB732" s="115"/>
      <c r="AC732" s="115"/>
      <c r="AD732" s="115"/>
      <c r="AE732" s="122"/>
      <c r="AF732" s="122"/>
      <c r="AG732" s="122"/>
      <c r="AH732" s="115"/>
      <c r="AI732" s="115"/>
      <c r="AJ732" s="115"/>
      <c r="AK732" s="115"/>
      <c r="AL732" s="115"/>
      <c r="AM732" s="115"/>
      <c r="AN732" s="115"/>
      <c r="AO732" s="115"/>
      <c r="AP732" s="115"/>
      <c r="AQ732" s="115"/>
      <c r="AR732" s="115"/>
      <c r="AS732" s="115"/>
      <c r="AT732" s="115"/>
      <c r="AU732" s="115"/>
      <c r="AV732" s="26"/>
      <c r="AW732" s="15"/>
      <c r="AZ732" s="114"/>
    </row>
    <row r="733" spans="25:52" x14ac:dyDescent="0.4">
      <c r="Y733" s="115"/>
      <c r="Z733" s="115"/>
      <c r="AA733" s="115"/>
      <c r="AB733" s="115"/>
      <c r="AC733" s="115"/>
      <c r="AD733" s="115"/>
      <c r="AE733" s="122"/>
      <c r="AF733" s="122"/>
      <c r="AG733" s="122"/>
      <c r="AH733" s="115"/>
      <c r="AI733" s="115"/>
      <c r="AJ733" s="115"/>
      <c r="AK733" s="115"/>
      <c r="AL733" s="115"/>
      <c r="AM733" s="115"/>
      <c r="AN733" s="115"/>
      <c r="AO733" s="115"/>
      <c r="AP733" s="115"/>
      <c r="AQ733" s="115"/>
      <c r="AR733" s="115"/>
      <c r="AS733" s="115"/>
      <c r="AT733" s="115"/>
      <c r="AU733" s="115"/>
      <c r="AV733" s="17"/>
      <c r="AW733" s="15"/>
      <c r="AZ733" s="114"/>
    </row>
    <row r="734" spans="25:52" x14ac:dyDescent="0.4">
      <c r="Y734" s="115"/>
      <c r="Z734" s="115"/>
      <c r="AA734" s="115"/>
      <c r="AB734" s="115"/>
      <c r="AC734" s="115"/>
      <c r="AD734" s="115"/>
      <c r="AE734" s="122"/>
      <c r="AF734" s="122"/>
      <c r="AG734" s="122"/>
      <c r="AH734" s="115"/>
      <c r="AI734" s="115"/>
      <c r="AJ734" s="115"/>
      <c r="AK734" s="115"/>
      <c r="AL734" s="115"/>
      <c r="AM734" s="115"/>
      <c r="AN734" s="115"/>
      <c r="AO734" s="115"/>
      <c r="AP734" s="115"/>
      <c r="AQ734" s="115"/>
      <c r="AR734" s="115"/>
      <c r="AS734" s="115"/>
      <c r="AT734" s="115"/>
      <c r="AU734" s="115"/>
      <c r="AV734" s="26"/>
      <c r="AW734" s="15"/>
      <c r="AZ734" s="114"/>
    </row>
    <row r="735" spans="25:52" x14ac:dyDescent="0.4">
      <c r="Y735" s="115"/>
      <c r="Z735" s="115"/>
      <c r="AA735" s="115"/>
      <c r="AB735" s="115"/>
      <c r="AC735" s="115"/>
      <c r="AD735" s="115"/>
      <c r="AE735" s="122"/>
      <c r="AF735" s="122"/>
      <c r="AG735" s="122"/>
      <c r="AH735" s="115"/>
      <c r="AI735" s="115"/>
      <c r="AJ735" s="115"/>
      <c r="AK735" s="115"/>
      <c r="AL735" s="115"/>
      <c r="AM735" s="115"/>
      <c r="AN735" s="115"/>
      <c r="AO735" s="115"/>
      <c r="AP735" s="115"/>
      <c r="AQ735" s="115"/>
      <c r="AR735" s="115"/>
      <c r="AS735" s="115"/>
      <c r="AT735" s="115"/>
      <c r="AU735" s="115"/>
      <c r="AV735" s="26"/>
      <c r="AW735" s="15"/>
      <c r="AZ735" s="114"/>
    </row>
    <row r="736" spans="25:52" x14ac:dyDescent="0.4">
      <c r="Y736" s="115"/>
      <c r="Z736" s="115"/>
      <c r="AA736" s="115"/>
      <c r="AB736" s="115"/>
      <c r="AC736" s="115"/>
      <c r="AD736" s="115"/>
      <c r="AE736" s="122"/>
      <c r="AF736" s="122"/>
      <c r="AG736" s="122"/>
      <c r="AH736" s="115"/>
      <c r="AI736" s="115"/>
      <c r="AJ736" s="115"/>
      <c r="AK736" s="115"/>
      <c r="AL736" s="115"/>
      <c r="AM736" s="115"/>
      <c r="AN736" s="115"/>
      <c r="AO736" s="115"/>
      <c r="AP736" s="115"/>
      <c r="AQ736" s="115"/>
      <c r="AR736" s="115"/>
      <c r="AS736" s="115"/>
      <c r="AT736" s="115"/>
      <c r="AU736" s="115"/>
      <c r="AV736" s="26"/>
      <c r="AW736" s="15"/>
      <c r="AZ736" s="114"/>
    </row>
    <row r="737" spans="5:52" x14ac:dyDescent="0.4">
      <c r="Y737" s="115"/>
      <c r="Z737" s="115"/>
      <c r="AA737" s="115"/>
      <c r="AB737" s="115"/>
      <c r="AC737" s="115"/>
      <c r="AD737" s="115"/>
      <c r="AE737" s="122"/>
      <c r="AF737" s="122"/>
      <c r="AG737" s="122"/>
      <c r="AH737" s="115"/>
      <c r="AI737" s="115"/>
      <c r="AJ737" s="115"/>
      <c r="AK737" s="115"/>
      <c r="AL737" s="115"/>
      <c r="AM737" s="115"/>
      <c r="AN737" s="115"/>
      <c r="AO737" s="115"/>
      <c r="AP737" s="115"/>
      <c r="AQ737" s="115"/>
      <c r="AR737" s="115"/>
      <c r="AS737" s="115"/>
      <c r="AT737" s="115"/>
      <c r="AU737" s="115"/>
      <c r="AV737" s="26"/>
      <c r="AW737" s="13"/>
      <c r="AZ737" s="114"/>
    </row>
    <row r="738" spans="5:52" x14ac:dyDescent="0.4">
      <c r="Y738" s="115"/>
      <c r="Z738" s="115"/>
      <c r="AA738" s="115"/>
      <c r="AB738" s="115"/>
      <c r="AC738" s="115"/>
      <c r="AD738" s="115"/>
      <c r="AE738" s="122"/>
      <c r="AF738" s="122"/>
      <c r="AG738" s="122"/>
      <c r="AH738" s="115"/>
      <c r="AI738" s="115"/>
      <c r="AJ738" s="115"/>
      <c r="AK738" s="115"/>
      <c r="AL738" s="115"/>
      <c r="AM738" s="115"/>
      <c r="AN738" s="115"/>
      <c r="AO738" s="115"/>
      <c r="AP738" s="115"/>
      <c r="AQ738" s="115"/>
      <c r="AR738" s="115"/>
      <c r="AS738" s="115"/>
      <c r="AT738" s="115"/>
      <c r="AU738" s="115"/>
      <c r="AV738" s="17"/>
      <c r="AW738" s="13"/>
      <c r="AZ738" s="114"/>
    </row>
    <row r="739" spans="5:52" x14ac:dyDescent="0.4">
      <c r="Y739" s="115"/>
      <c r="Z739" s="115"/>
      <c r="AA739" s="115"/>
      <c r="AB739" s="115"/>
      <c r="AC739" s="115"/>
      <c r="AD739" s="115"/>
      <c r="AE739" s="122"/>
      <c r="AF739" s="122"/>
      <c r="AG739" s="122"/>
      <c r="AH739" s="115"/>
      <c r="AI739" s="115"/>
      <c r="AJ739" s="115"/>
      <c r="AK739" s="115"/>
      <c r="AL739" s="115"/>
      <c r="AM739" s="115"/>
      <c r="AN739" s="115"/>
      <c r="AO739" s="115"/>
      <c r="AP739" s="115"/>
      <c r="AQ739" s="115"/>
      <c r="AR739" s="115"/>
      <c r="AS739" s="115"/>
      <c r="AT739" s="115"/>
      <c r="AU739" s="115"/>
      <c r="AV739" s="26"/>
      <c r="AW739" s="13"/>
      <c r="AZ739" s="114"/>
    </row>
    <row r="740" spans="5:52" x14ac:dyDescent="0.4">
      <c r="Y740" s="115"/>
      <c r="Z740" s="115"/>
      <c r="AA740" s="115"/>
      <c r="AB740" s="115"/>
      <c r="AC740" s="115"/>
      <c r="AD740" s="115"/>
      <c r="AE740" s="122"/>
      <c r="AF740" s="122"/>
      <c r="AG740" s="122"/>
      <c r="AH740" s="115"/>
      <c r="AI740" s="115"/>
      <c r="AJ740" s="115"/>
      <c r="AK740" s="115"/>
      <c r="AL740" s="115"/>
      <c r="AM740" s="115"/>
      <c r="AN740" s="115"/>
      <c r="AO740" s="115"/>
      <c r="AP740" s="115"/>
      <c r="AQ740" s="115"/>
      <c r="AR740" s="115"/>
      <c r="AS740" s="115"/>
      <c r="AT740" s="115"/>
      <c r="AU740" s="115"/>
      <c r="AV740" s="26"/>
      <c r="AW740" s="13"/>
      <c r="AZ740" s="114"/>
    </row>
    <row r="741" spans="5:52" x14ac:dyDescent="0.4">
      <c r="Y741" s="115"/>
      <c r="Z741" s="115"/>
      <c r="AA741" s="115"/>
      <c r="AB741" s="115"/>
      <c r="AC741" s="115"/>
      <c r="AD741" s="115"/>
      <c r="AE741" s="122"/>
      <c r="AF741" s="122"/>
      <c r="AG741" s="122"/>
      <c r="AH741" s="115"/>
      <c r="AI741" s="115"/>
      <c r="AJ741" s="115"/>
      <c r="AK741" s="115"/>
      <c r="AL741" s="115"/>
      <c r="AM741" s="115"/>
      <c r="AN741" s="115"/>
      <c r="AO741" s="115"/>
      <c r="AP741" s="115"/>
      <c r="AQ741" s="115"/>
      <c r="AR741" s="115"/>
      <c r="AS741" s="115"/>
      <c r="AT741" s="115"/>
      <c r="AU741" s="115"/>
      <c r="AV741" s="26"/>
      <c r="AW741" s="13"/>
      <c r="AZ741" s="114"/>
    </row>
    <row r="742" spans="5:52" x14ac:dyDescent="0.4">
      <c r="Y742" s="115"/>
      <c r="Z742" s="115"/>
      <c r="AA742" s="115"/>
      <c r="AB742" s="115"/>
      <c r="AC742" s="115"/>
      <c r="AD742" s="115"/>
      <c r="AE742" s="122"/>
      <c r="AF742" s="122"/>
      <c r="AG742" s="122"/>
      <c r="AH742" s="115"/>
      <c r="AI742" s="115"/>
      <c r="AJ742" s="115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115"/>
      <c r="AU742" s="115"/>
      <c r="AV742" s="26"/>
      <c r="AW742" s="13"/>
      <c r="AZ742" s="114"/>
    </row>
    <row r="743" spans="5:52" x14ac:dyDescent="0.4">
      <c r="Y743" s="115"/>
      <c r="Z743" s="115"/>
      <c r="AA743" s="115"/>
      <c r="AB743" s="115"/>
      <c r="AC743" s="115"/>
      <c r="AD743" s="115"/>
      <c r="AE743" s="122"/>
      <c r="AF743" s="122"/>
      <c r="AG743" s="122"/>
      <c r="AH743" s="115"/>
      <c r="AI743" s="115"/>
      <c r="AJ743" s="115"/>
      <c r="AK743" s="115"/>
      <c r="AL743" s="115"/>
      <c r="AM743" s="115"/>
      <c r="AN743" s="115"/>
      <c r="AO743" s="115"/>
      <c r="AP743" s="115"/>
      <c r="AQ743" s="115"/>
      <c r="AR743" s="115"/>
      <c r="AS743" s="115"/>
      <c r="AT743" s="115"/>
      <c r="AU743" s="115"/>
      <c r="AV743" s="26"/>
      <c r="AW743" s="13"/>
      <c r="AZ743" s="114"/>
    </row>
    <row r="744" spans="5:52" x14ac:dyDescent="0.4">
      <c r="Y744" s="115"/>
      <c r="Z744" s="115"/>
      <c r="AA744" s="115"/>
      <c r="AB744" s="115"/>
      <c r="AC744" s="115"/>
      <c r="AD744" s="115"/>
      <c r="AE744" s="122"/>
      <c r="AF744" s="122"/>
      <c r="AG744" s="122"/>
      <c r="AH744" s="115"/>
      <c r="AI744" s="115"/>
      <c r="AJ744" s="115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115"/>
      <c r="AU744" s="115"/>
      <c r="AV744" s="26"/>
      <c r="AW744" s="13"/>
      <c r="AZ744" s="114"/>
    </row>
    <row r="745" spans="5:52" x14ac:dyDescent="0.4">
      <c r="Y745" s="115"/>
      <c r="Z745" s="115"/>
      <c r="AA745" s="115"/>
      <c r="AB745" s="115"/>
      <c r="AC745" s="115"/>
      <c r="AD745" s="115"/>
      <c r="AE745" s="122"/>
      <c r="AF745" s="122"/>
      <c r="AG745" s="122"/>
      <c r="AH745" s="115"/>
      <c r="AI745" s="115"/>
      <c r="AJ745" s="115"/>
      <c r="AK745" s="115"/>
      <c r="AL745" s="115"/>
      <c r="AM745" s="115"/>
      <c r="AN745" s="115"/>
      <c r="AO745" s="115"/>
      <c r="AP745" s="115"/>
      <c r="AQ745" s="115"/>
      <c r="AR745" s="115"/>
      <c r="AS745" s="115"/>
      <c r="AT745" s="115"/>
      <c r="AU745" s="115"/>
      <c r="AV745" s="17"/>
      <c r="AW745" s="13"/>
      <c r="AZ745" s="114"/>
    </row>
    <row r="746" spans="5:52" x14ac:dyDescent="0.4">
      <c r="Y746" s="115"/>
      <c r="Z746" s="115"/>
      <c r="AA746" s="115"/>
      <c r="AB746" s="115"/>
      <c r="AC746" s="115"/>
      <c r="AD746" s="115"/>
      <c r="AE746" s="122"/>
      <c r="AF746" s="122"/>
      <c r="AG746" s="122"/>
      <c r="AH746" s="115"/>
      <c r="AI746" s="115"/>
      <c r="AJ746" s="115"/>
      <c r="AK746" s="115"/>
      <c r="AL746" s="115"/>
      <c r="AM746" s="115"/>
      <c r="AN746" s="115"/>
      <c r="AO746" s="115"/>
      <c r="AP746" s="115"/>
      <c r="AQ746" s="115"/>
      <c r="AR746" s="115"/>
      <c r="AS746" s="115"/>
      <c r="AT746" s="115"/>
      <c r="AU746" s="115"/>
      <c r="AV746" s="26"/>
      <c r="AW746" s="13"/>
      <c r="AZ746" s="114"/>
    </row>
    <row r="747" spans="5:52" x14ac:dyDescent="0.4">
      <c r="Y747" s="115"/>
      <c r="Z747" s="115"/>
      <c r="AA747" s="115"/>
      <c r="AB747" s="115"/>
      <c r="AC747" s="115"/>
      <c r="AD747" s="115"/>
      <c r="AE747" s="122"/>
      <c r="AF747" s="122"/>
      <c r="AG747" s="122"/>
      <c r="AH747" s="115"/>
      <c r="AI747" s="115"/>
      <c r="AJ747" s="115"/>
      <c r="AK747" s="115"/>
      <c r="AL747" s="115"/>
      <c r="AM747" s="115"/>
      <c r="AN747" s="115"/>
      <c r="AO747" s="115"/>
      <c r="AP747" s="115"/>
      <c r="AQ747" s="115"/>
      <c r="AR747" s="115"/>
      <c r="AS747" s="115"/>
      <c r="AT747" s="115"/>
      <c r="AU747" s="115"/>
      <c r="AV747" s="26"/>
      <c r="AW747" s="13"/>
      <c r="AZ747" s="114"/>
    </row>
    <row r="748" spans="5:52" x14ac:dyDescent="0.4"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22"/>
      <c r="AF748" s="122"/>
      <c r="AG748" s="122"/>
      <c r="AH748" s="115"/>
      <c r="AI748" s="115"/>
      <c r="AJ748" s="115"/>
      <c r="AK748" s="115"/>
      <c r="AL748" s="115"/>
      <c r="AM748" s="115"/>
      <c r="AN748" s="115"/>
      <c r="AO748" s="115"/>
      <c r="AP748" s="115"/>
      <c r="AQ748" s="115"/>
      <c r="AR748" s="115"/>
      <c r="AS748" s="115"/>
      <c r="AT748" s="115"/>
      <c r="AU748" s="115"/>
      <c r="AV748" s="26"/>
      <c r="AW748" s="13"/>
      <c r="AZ748" s="114"/>
    </row>
    <row r="749" spans="5:52" x14ac:dyDescent="0.4"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22"/>
      <c r="AF749" s="122"/>
      <c r="AG749" s="122"/>
      <c r="AH749" s="115"/>
      <c r="AI749" s="115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115"/>
      <c r="AT749" s="115"/>
      <c r="AU749" s="115"/>
      <c r="AV749" s="26"/>
      <c r="AW749" s="13"/>
      <c r="AZ749" s="114"/>
    </row>
    <row r="750" spans="5:52" x14ac:dyDescent="0.4"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22"/>
      <c r="AF750" s="122"/>
      <c r="AG750" s="122"/>
      <c r="AH750" s="115"/>
      <c r="AI750" s="115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115"/>
      <c r="AU750" s="115"/>
      <c r="AV750" s="26"/>
      <c r="AW750" s="13"/>
      <c r="AZ750" s="114"/>
    </row>
    <row r="751" spans="5:52" x14ac:dyDescent="0.4"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22"/>
      <c r="AF751" s="122"/>
      <c r="AG751" s="122"/>
      <c r="AH751" s="115"/>
      <c r="AI751" s="115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115"/>
      <c r="AT751" s="115"/>
      <c r="AU751" s="115"/>
      <c r="AV751" s="26"/>
      <c r="AW751" s="13"/>
      <c r="AZ751" s="114"/>
    </row>
    <row r="752" spans="5:52" x14ac:dyDescent="0.4"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22"/>
      <c r="AF752" s="122"/>
      <c r="AG752" s="122"/>
      <c r="AH752" s="115"/>
      <c r="AI752" s="115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115"/>
      <c r="AU752" s="115"/>
      <c r="AV752" s="26"/>
      <c r="AW752" s="13"/>
      <c r="AZ752" s="114"/>
    </row>
    <row r="753" spans="4:52" x14ac:dyDescent="0.4"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22"/>
      <c r="AF753" s="122"/>
      <c r="AG753" s="122"/>
      <c r="AH753" s="115"/>
      <c r="AI753" s="115"/>
      <c r="AJ753" s="115"/>
      <c r="AK753" s="115"/>
      <c r="AL753" s="115"/>
      <c r="AM753" s="115"/>
      <c r="AN753" s="115"/>
      <c r="AO753" s="115"/>
      <c r="AP753" s="115"/>
      <c r="AQ753" s="115"/>
      <c r="AR753" s="115"/>
      <c r="AS753" s="115"/>
      <c r="AT753" s="115"/>
      <c r="AU753" s="115"/>
      <c r="AV753" s="26"/>
      <c r="AW753" s="13"/>
      <c r="AZ753" s="114"/>
    </row>
    <row r="754" spans="4:52" x14ac:dyDescent="0.4"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22"/>
      <c r="AF754" s="122"/>
      <c r="AG754" s="122"/>
      <c r="AH754" s="115"/>
      <c r="AI754" s="115"/>
      <c r="AJ754" s="115"/>
      <c r="AK754" s="115"/>
      <c r="AL754" s="115"/>
      <c r="AM754" s="115"/>
      <c r="AN754" s="115"/>
      <c r="AO754" s="115"/>
      <c r="AP754" s="115"/>
      <c r="AQ754" s="115"/>
      <c r="AR754" s="115"/>
      <c r="AS754" s="115"/>
      <c r="AT754" s="115"/>
      <c r="AU754" s="115"/>
      <c r="AV754" s="26"/>
      <c r="AW754" s="13"/>
      <c r="AZ754" s="114"/>
    </row>
    <row r="755" spans="4:52" x14ac:dyDescent="0.4"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22"/>
      <c r="AF755" s="122"/>
      <c r="AG755" s="122"/>
      <c r="AH755" s="115"/>
      <c r="AI755" s="115"/>
      <c r="AJ755" s="115"/>
      <c r="AK755" s="115"/>
      <c r="AL755" s="115"/>
      <c r="AM755" s="115"/>
      <c r="AN755" s="115"/>
      <c r="AO755" s="115"/>
      <c r="AP755" s="115"/>
      <c r="AQ755" s="115"/>
      <c r="AR755" s="115"/>
      <c r="AS755" s="115"/>
      <c r="AT755" s="115"/>
      <c r="AU755" s="115"/>
      <c r="AV755" s="26"/>
      <c r="AW755" s="13"/>
      <c r="AZ755" s="114"/>
    </row>
    <row r="756" spans="4:52" x14ac:dyDescent="0.4"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22"/>
      <c r="AF756" s="122"/>
      <c r="AG756" s="122"/>
      <c r="AH756" s="115"/>
      <c r="AI756" s="115"/>
      <c r="AJ756" s="115"/>
      <c r="AK756" s="115"/>
      <c r="AL756" s="115"/>
      <c r="AM756" s="115"/>
      <c r="AN756" s="115"/>
      <c r="AO756" s="115"/>
      <c r="AP756" s="115"/>
      <c r="AQ756" s="115"/>
      <c r="AR756" s="115"/>
      <c r="AS756" s="115"/>
      <c r="AT756" s="115"/>
      <c r="AU756" s="115"/>
      <c r="AV756" s="26"/>
      <c r="AW756" s="13"/>
      <c r="AZ756" s="114"/>
    </row>
    <row r="757" spans="4:52" x14ac:dyDescent="0.4"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22"/>
      <c r="AF757" s="122"/>
      <c r="AG757" s="122"/>
      <c r="AH757" s="115"/>
      <c r="AI757" s="115"/>
      <c r="AJ757" s="115"/>
      <c r="AK757" s="115"/>
      <c r="AL757" s="115"/>
      <c r="AM757" s="115"/>
      <c r="AN757" s="115"/>
      <c r="AO757" s="115"/>
      <c r="AP757" s="115"/>
      <c r="AQ757" s="115"/>
      <c r="AR757" s="115"/>
      <c r="AS757" s="115"/>
      <c r="AT757" s="115"/>
      <c r="AU757" s="115"/>
      <c r="AV757" s="26"/>
      <c r="AW757" s="13"/>
      <c r="AZ757" s="114"/>
    </row>
    <row r="758" spans="4:52" x14ac:dyDescent="0.4"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22"/>
      <c r="AF758" s="122"/>
      <c r="AG758" s="122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115"/>
      <c r="AT758" s="115"/>
      <c r="AU758" s="115"/>
      <c r="AV758" s="26"/>
      <c r="AW758" s="13"/>
      <c r="AZ758" s="114"/>
    </row>
    <row r="759" spans="4:52" x14ac:dyDescent="0.4"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22"/>
      <c r="AF759" s="122"/>
      <c r="AG759" s="122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115"/>
      <c r="AT759" s="115"/>
      <c r="AU759" s="115"/>
      <c r="AV759" s="26"/>
      <c r="AW759" s="13"/>
      <c r="AZ759" s="114"/>
    </row>
    <row r="760" spans="4:52" x14ac:dyDescent="0.4"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22"/>
      <c r="AF760" s="122"/>
      <c r="AG760" s="122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115"/>
      <c r="AT760" s="115"/>
      <c r="AU760" s="115"/>
      <c r="AV760" s="26"/>
      <c r="AW760" s="13"/>
      <c r="AZ760" s="114"/>
    </row>
    <row r="761" spans="4:52" x14ac:dyDescent="0.4"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22"/>
      <c r="AF761" s="122"/>
      <c r="AG761" s="122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115"/>
      <c r="AT761" s="115"/>
      <c r="AU761" s="115"/>
      <c r="AV761" s="26"/>
      <c r="AW761" s="13"/>
      <c r="AZ761" s="114"/>
    </row>
    <row r="762" spans="4:52" x14ac:dyDescent="0.4"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22"/>
      <c r="AF762" s="122"/>
      <c r="AG762" s="122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115"/>
      <c r="AT762" s="115"/>
      <c r="AU762" s="115"/>
      <c r="AV762" s="26"/>
      <c r="AW762" s="13"/>
      <c r="AZ762" s="114"/>
    </row>
    <row r="763" spans="4:52" x14ac:dyDescent="0.4"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22"/>
      <c r="AF763" s="122"/>
      <c r="AG763" s="122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115"/>
      <c r="AT763" s="115"/>
      <c r="AU763" s="115"/>
      <c r="AV763" s="26"/>
      <c r="AW763" s="13"/>
      <c r="AZ763" s="114"/>
    </row>
    <row r="764" spans="4:52" x14ac:dyDescent="0.4"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22"/>
      <c r="AF764" s="122"/>
      <c r="AG764" s="122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115"/>
      <c r="AT764" s="115"/>
      <c r="AU764" s="115"/>
      <c r="AV764" s="17"/>
      <c r="AW764" s="13"/>
      <c r="AZ764" s="114"/>
    </row>
    <row r="765" spans="4:52" x14ac:dyDescent="0.4"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22"/>
      <c r="AF765" s="122"/>
      <c r="AG765" s="122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115"/>
      <c r="AT765" s="115"/>
      <c r="AU765" s="115"/>
      <c r="AV765" s="26"/>
      <c r="AW765" s="13"/>
      <c r="AZ765" s="114"/>
    </row>
    <row r="766" spans="4:52" x14ac:dyDescent="0.4"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22"/>
      <c r="AF766" s="122"/>
      <c r="AG766" s="122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115"/>
      <c r="AT766" s="115"/>
      <c r="AU766" s="115"/>
      <c r="AV766" s="26"/>
      <c r="AW766" s="13"/>
      <c r="AZ766" s="114"/>
    </row>
    <row r="767" spans="4:52" x14ac:dyDescent="0.4"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22"/>
      <c r="AF767" s="122"/>
      <c r="AG767" s="122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115"/>
      <c r="AT767" s="115"/>
      <c r="AU767" s="115"/>
      <c r="AV767" s="26"/>
      <c r="AW767" s="13"/>
      <c r="AZ767" s="114"/>
    </row>
    <row r="768" spans="4:52" x14ac:dyDescent="0.4"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22"/>
      <c r="AF768" s="122"/>
      <c r="AG768" s="122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115"/>
      <c r="AT768" s="115"/>
      <c r="AU768" s="115"/>
      <c r="AV768" s="26"/>
      <c r="AW768" s="15"/>
      <c r="AZ768" s="114"/>
    </row>
    <row r="769" spans="3:52" x14ac:dyDescent="0.4"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22"/>
      <c r="AF769" s="122"/>
      <c r="AG769" s="122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115"/>
      <c r="AT769" s="115"/>
      <c r="AU769" s="115"/>
      <c r="AV769" s="26"/>
      <c r="AW769" s="15"/>
      <c r="AZ769" s="114"/>
    </row>
    <row r="770" spans="3:52" x14ac:dyDescent="0.4"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22"/>
      <c r="AF770" s="122"/>
      <c r="AG770" s="122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115"/>
      <c r="AU770" s="115"/>
      <c r="AV770" s="26"/>
      <c r="AW770" s="15"/>
      <c r="AZ770" s="114"/>
    </row>
    <row r="771" spans="3:52" x14ac:dyDescent="0.4"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22"/>
      <c r="AF771" s="122"/>
      <c r="AG771" s="122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115"/>
      <c r="AT771" s="115"/>
      <c r="AU771" s="115"/>
      <c r="AV771" s="26"/>
      <c r="AW771" s="13"/>
      <c r="AZ771" s="114"/>
    </row>
    <row r="772" spans="3:52" x14ac:dyDescent="0.4"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22"/>
      <c r="AF772" s="122"/>
      <c r="AG772" s="122"/>
      <c r="AH772" s="115"/>
      <c r="AI772" s="115"/>
      <c r="AJ772" s="115"/>
      <c r="AK772" s="115"/>
      <c r="AL772" s="115"/>
      <c r="AM772" s="115"/>
      <c r="AN772" s="115"/>
      <c r="AO772" s="115"/>
      <c r="AP772" s="115"/>
      <c r="AQ772" s="115"/>
      <c r="AR772" s="115"/>
      <c r="AS772" s="115"/>
      <c r="AT772" s="115"/>
      <c r="AU772" s="115"/>
      <c r="AV772" s="26"/>
      <c r="AW772" s="13"/>
      <c r="AZ772" s="114"/>
    </row>
    <row r="773" spans="3:52" x14ac:dyDescent="0.4"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22"/>
      <c r="AF773" s="122"/>
      <c r="AG773" s="122"/>
      <c r="AH773" s="115"/>
      <c r="AI773" s="115"/>
      <c r="AJ773" s="115"/>
      <c r="AK773" s="115"/>
      <c r="AL773" s="115"/>
      <c r="AM773" s="115"/>
      <c r="AN773" s="115"/>
      <c r="AO773" s="115"/>
      <c r="AP773" s="115"/>
      <c r="AQ773" s="115"/>
      <c r="AR773" s="115"/>
      <c r="AS773" s="115"/>
      <c r="AT773" s="115"/>
      <c r="AU773" s="115"/>
      <c r="AV773" s="26"/>
      <c r="AW773" s="13"/>
      <c r="AZ773" s="114"/>
    </row>
    <row r="774" spans="3:52" x14ac:dyDescent="0.4"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22"/>
      <c r="AF774" s="122"/>
      <c r="AG774" s="122"/>
      <c r="AH774" s="115"/>
      <c r="AI774" s="115"/>
      <c r="AJ774" s="115"/>
      <c r="AK774" s="115"/>
      <c r="AL774" s="115"/>
      <c r="AM774" s="115"/>
      <c r="AN774" s="115"/>
      <c r="AO774" s="115"/>
      <c r="AP774" s="115"/>
      <c r="AQ774" s="115"/>
      <c r="AR774" s="115"/>
      <c r="AS774" s="115"/>
      <c r="AT774" s="115"/>
      <c r="AU774" s="115"/>
      <c r="AV774" s="17"/>
      <c r="AW774" s="13"/>
      <c r="AZ774" s="114"/>
    </row>
    <row r="775" spans="3:52" x14ac:dyDescent="0.4"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22"/>
      <c r="AF775" s="122"/>
      <c r="AG775" s="122"/>
      <c r="AH775" s="115"/>
      <c r="AI775" s="115"/>
      <c r="AJ775" s="115"/>
      <c r="AK775" s="115"/>
      <c r="AL775" s="115"/>
      <c r="AM775" s="115"/>
      <c r="AN775" s="115"/>
      <c r="AO775" s="115"/>
      <c r="AP775" s="115"/>
      <c r="AQ775" s="115"/>
      <c r="AR775" s="115"/>
      <c r="AS775" s="115"/>
      <c r="AT775" s="115"/>
      <c r="AU775" s="115"/>
      <c r="AV775" s="26"/>
      <c r="AW775" s="13"/>
      <c r="AZ775" s="114"/>
    </row>
    <row r="776" spans="3:52" x14ac:dyDescent="0.4"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22"/>
      <c r="AF776" s="122"/>
      <c r="AG776" s="122"/>
      <c r="AH776" s="115"/>
      <c r="AI776" s="115"/>
      <c r="AJ776" s="115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115"/>
      <c r="AU776" s="115"/>
      <c r="AV776" s="26"/>
      <c r="AW776" s="25"/>
      <c r="AZ776" s="114"/>
    </row>
    <row r="777" spans="3:52" x14ac:dyDescent="0.4"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22"/>
      <c r="AF777" s="122"/>
      <c r="AG777" s="122"/>
      <c r="AH777" s="115"/>
      <c r="AI777" s="115"/>
      <c r="AJ777" s="115"/>
      <c r="AK777" s="115"/>
      <c r="AL777" s="115"/>
      <c r="AM777" s="115"/>
      <c r="AN777" s="115"/>
      <c r="AO777" s="115"/>
      <c r="AP777" s="115"/>
      <c r="AQ777" s="115"/>
      <c r="AR777" s="115"/>
      <c r="AS777" s="115"/>
      <c r="AT777" s="115"/>
      <c r="AU777" s="115"/>
      <c r="AV777" s="26"/>
      <c r="AW777" s="13"/>
      <c r="AZ777" s="114"/>
    </row>
    <row r="778" spans="3:52" x14ac:dyDescent="0.4"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22"/>
      <c r="AF778" s="122"/>
      <c r="AG778" s="122"/>
      <c r="AH778" s="115"/>
      <c r="AI778" s="115"/>
      <c r="AJ778" s="115"/>
      <c r="AK778" s="115"/>
      <c r="AL778" s="115"/>
      <c r="AM778" s="115"/>
      <c r="AN778" s="115"/>
      <c r="AO778" s="115"/>
      <c r="AP778" s="115"/>
      <c r="AQ778" s="115"/>
      <c r="AR778" s="115"/>
      <c r="AS778" s="115"/>
      <c r="AT778" s="115"/>
      <c r="AU778" s="115"/>
      <c r="AV778" s="26"/>
      <c r="AW778" s="13"/>
      <c r="AZ778" s="114"/>
    </row>
    <row r="779" spans="3:52" x14ac:dyDescent="0.4"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22"/>
      <c r="AF779" s="122"/>
      <c r="AG779" s="122"/>
      <c r="AH779" s="115"/>
      <c r="AI779" s="115"/>
      <c r="AJ779" s="115"/>
      <c r="AK779" s="115"/>
      <c r="AL779" s="115"/>
      <c r="AM779" s="115"/>
      <c r="AN779" s="115"/>
      <c r="AO779" s="115"/>
      <c r="AP779" s="115"/>
      <c r="AQ779" s="115"/>
      <c r="AR779" s="115"/>
      <c r="AS779" s="115"/>
      <c r="AT779" s="115"/>
      <c r="AU779" s="115"/>
      <c r="AV779" s="26"/>
      <c r="AW779" s="13"/>
      <c r="AZ779" s="114"/>
    </row>
    <row r="780" spans="3:52" x14ac:dyDescent="0.4"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22"/>
      <c r="AF780" s="122"/>
      <c r="AG780" s="122"/>
      <c r="AH780" s="115"/>
      <c r="AI780" s="115"/>
      <c r="AJ780" s="115"/>
      <c r="AK780" s="115"/>
      <c r="AL780" s="115"/>
      <c r="AM780" s="115"/>
      <c r="AN780" s="115"/>
      <c r="AO780" s="115"/>
      <c r="AP780" s="115"/>
      <c r="AQ780" s="115"/>
      <c r="AR780" s="115"/>
      <c r="AS780" s="115"/>
      <c r="AT780" s="115"/>
      <c r="AU780" s="115"/>
      <c r="AV780" s="26"/>
      <c r="AW780" s="13"/>
      <c r="AZ780" s="114"/>
    </row>
    <row r="781" spans="3:52" x14ac:dyDescent="0.4"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22"/>
      <c r="AF781" s="122"/>
      <c r="AG781" s="122"/>
      <c r="AH781" s="115"/>
      <c r="AI781" s="115"/>
      <c r="AJ781" s="115"/>
      <c r="AK781" s="115"/>
      <c r="AV781" s="26"/>
      <c r="AW781" s="13"/>
      <c r="AZ781" s="114"/>
    </row>
    <row r="782" spans="3:52" x14ac:dyDescent="0.4"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22"/>
      <c r="AF782" s="122"/>
      <c r="AG782" s="122"/>
      <c r="AH782" s="115"/>
      <c r="AI782" s="115"/>
      <c r="AJ782" s="115"/>
      <c r="AK782" s="115"/>
      <c r="AL782" s="115"/>
      <c r="AM782" s="115"/>
      <c r="AN782" s="115"/>
      <c r="AO782" s="115"/>
      <c r="AP782" s="115"/>
      <c r="AQ782" s="115"/>
      <c r="AR782" s="115"/>
      <c r="AS782" s="115"/>
      <c r="AT782" s="115"/>
      <c r="AU782" s="115"/>
      <c r="AV782" s="26"/>
      <c r="AW782" s="13"/>
      <c r="AZ782" s="114"/>
    </row>
    <row r="783" spans="3:52" x14ac:dyDescent="0.4"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22"/>
      <c r="AF783" s="122"/>
      <c r="AG783" s="122"/>
      <c r="AH783" s="115"/>
      <c r="AI783" s="115"/>
      <c r="AJ783" s="115"/>
      <c r="AK783" s="115"/>
      <c r="AL783" s="115"/>
      <c r="AM783" s="115"/>
      <c r="AN783" s="115"/>
      <c r="AO783" s="115"/>
      <c r="AP783" s="115"/>
      <c r="AQ783" s="115"/>
      <c r="AR783" s="115"/>
      <c r="AS783" s="115"/>
      <c r="AT783" s="115"/>
      <c r="AU783" s="115"/>
      <c r="AV783" s="17"/>
      <c r="AW783" s="13"/>
      <c r="AZ783" s="114"/>
    </row>
    <row r="784" spans="3:52" x14ac:dyDescent="0.4"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22"/>
      <c r="AF784" s="122"/>
      <c r="AG784" s="122"/>
      <c r="AH784" s="115"/>
      <c r="AI784" s="115"/>
      <c r="AJ784" s="115"/>
      <c r="AK784" s="115"/>
      <c r="AL784" s="115"/>
      <c r="AM784" s="115"/>
      <c r="AN784" s="115"/>
      <c r="AO784" s="115"/>
      <c r="AP784" s="115"/>
      <c r="AQ784" s="115"/>
      <c r="AR784" s="115"/>
      <c r="AS784" s="115"/>
      <c r="AT784" s="115"/>
      <c r="AU784" s="115"/>
      <c r="AV784" s="26"/>
      <c r="AW784" s="13"/>
      <c r="AZ784" s="114"/>
    </row>
    <row r="785" spans="1:52" x14ac:dyDescent="0.4"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22"/>
      <c r="AF785" s="122"/>
      <c r="AG785" s="122"/>
      <c r="AH785" s="115"/>
      <c r="AI785" s="115"/>
      <c r="AJ785" s="115"/>
      <c r="AK785" s="115"/>
      <c r="AL785" s="115"/>
      <c r="AM785" s="115"/>
      <c r="AN785" s="115"/>
      <c r="AO785" s="115"/>
      <c r="AP785" s="115"/>
      <c r="AQ785" s="115"/>
      <c r="AR785" s="115"/>
      <c r="AS785" s="115"/>
      <c r="AT785" s="115"/>
      <c r="AU785" s="115"/>
      <c r="AV785" s="26"/>
      <c r="AW785" s="15"/>
      <c r="AZ785" s="114"/>
    </row>
    <row r="786" spans="1:52" x14ac:dyDescent="0.4"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22"/>
      <c r="AF786" s="122"/>
      <c r="AG786" s="122"/>
      <c r="AH786" s="115"/>
      <c r="AI786" s="115"/>
      <c r="AJ786" s="115"/>
      <c r="AK786" s="115"/>
      <c r="AL786" s="115"/>
      <c r="AM786" s="115"/>
      <c r="AN786" s="115"/>
      <c r="AO786" s="115"/>
      <c r="AP786" s="115"/>
      <c r="AQ786" s="115"/>
      <c r="AR786" s="115"/>
      <c r="AS786" s="115"/>
      <c r="AT786" s="115"/>
      <c r="AU786" s="115"/>
      <c r="AV786" s="17"/>
      <c r="AW786" s="15"/>
      <c r="AZ786" s="114"/>
    </row>
    <row r="787" spans="1:52" x14ac:dyDescent="0.4"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22"/>
      <c r="AF787" s="122"/>
      <c r="AG787" s="122"/>
      <c r="AH787" s="115"/>
      <c r="AI787" s="115"/>
      <c r="AJ787" s="115"/>
      <c r="AK787" s="115"/>
      <c r="AL787" s="115"/>
      <c r="AM787" s="115"/>
      <c r="AN787" s="115"/>
      <c r="AO787" s="115"/>
      <c r="AP787" s="115"/>
      <c r="AQ787" s="115"/>
      <c r="AR787" s="115"/>
      <c r="AS787" s="115"/>
      <c r="AT787" s="115"/>
      <c r="AU787" s="115"/>
      <c r="AV787" s="26"/>
      <c r="AW787" s="15"/>
      <c r="AZ787" s="114"/>
    </row>
    <row r="788" spans="1:52" x14ac:dyDescent="0.4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22"/>
      <c r="AF788" s="122"/>
      <c r="AG788" s="122"/>
      <c r="AH788" s="115"/>
      <c r="AI788" s="115"/>
      <c r="AJ788" s="115"/>
      <c r="AK788" s="115"/>
      <c r="AL788" s="115"/>
      <c r="AM788" s="115"/>
      <c r="AN788" s="115"/>
      <c r="AO788" s="115"/>
      <c r="AP788" s="115"/>
      <c r="AQ788" s="115"/>
      <c r="AR788" s="115"/>
      <c r="AS788" s="115"/>
      <c r="AT788" s="115"/>
      <c r="AU788" s="115"/>
      <c r="AV788" s="26"/>
      <c r="AW788" s="15"/>
      <c r="AZ788" s="114"/>
    </row>
    <row r="789" spans="1:52" x14ac:dyDescent="0.4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22"/>
      <c r="AF789" s="122"/>
      <c r="AG789" s="122"/>
      <c r="AH789" s="115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115"/>
      <c r="AT789" s="115"/>
      <c r="AU789" s="115"/>
      <c r="AV789" s="17"/>
      <c r="AW789" s="13"/>
      <c r="AZ789" s="114"/>
    </row>
    <row r="790" spans="1:52" x14ac:dyDescent="0.4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22"/>
      <c r="AF790" s="122"/>
      <c r="AG790" s="122"/>
      <c r="AH790" s="115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115"/>
      <c r="AU790" s="115"/>
      <c r="AV790" s="17"/>
      <c r="AW790" s="13"/>
      <c r="AZ790" s="114"/>
    </row>
    <row r="791" spans="1:52" x14ac:dyDescent="0.4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22"/>
      <c r="AF791" s="122"/>
      <c r="AG791" s="122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115"/>
      <c r="AT791" s="115"/>
      <c r="AU791" s="115"/>
      <c r="AV791" s="26"/>
      <c r="AW791" s="13"/>
      <c r="AZ791" s="114"/>
    </row>
    <row r="792" spans="1:52" x14ac:dyDescent="0.4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22"/>
      <c r="AF792" s="122"/>
      <c r="AG792" s="122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115"/>
      <c r="AT792" s="115"/>
      <c r="AU792" s="115"/>
      <c r="AV792" s="26"/>
      <c r="AW792" s="13"/>
      <c r="AZ792" s="114"/>
    </row>
    <row r="793" spans="1:52" x14ac:dyDescent="0.4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22"/>
      <c r="AF793" s="122"/>
      <c r="AG793" s="122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115"/>
      <c r="AT793" s="115"/>
      <c r="AU793" s="115"/>
      <c r="AV793" s="17"/>
      <c r="AW793" s="13"/>
      <c r="AZ793" s="114"/>
    </row>
    <row r="794" spans="1:52" x14ac:dyDescent="0.4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22"/>
      <c r="AF794" s="122"/>
      <c r="AG794" s="122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115"/>
      <c r="AT794" s="115"/>
      <c r="AU794" s="115"/>
      <c r="AV794" s="26"/>
      <c r="AW794" s="15"/>
      <c r="AZ794" s="114"/>
    </row>
    <row r="795" spans="1:52" x14ac:dyDescent="0.4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22"/>
      <c r="AF795" s="122"/>
      <c r="AG795" s="122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115"/>
      <c r="AT795" s="115"/>
      <c r="AU795" s="115"/>
      <c r="AV795" s="26"/>
      <c r="AW795" s="15"/>
      <c r="AZ795" s="114"/>
    </row>
    <row r="796" spans="1:52" x14ac:dyDescent="0.4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22"/>
      <c r="AF796" s="122"/>
      <c r="AG796" s="122"/>
      <c r="AH796" s="115"/>
      <c r="AI796" s="115"/>
      <c r="AJ796" s="115"/>
      <c r="AK796" s="115"/>
      <c r="AL796" s="115"/>
      <c r="AM796" s="115"/>
      <c r="AN796" s="115"/>
      <c r="AO796" s="115"/>
      <c r="AP796" s="115"/>
      <c r="AQ796" s="115"/>
      <c r="AR796" s="115"/>
      <c r="AS796" s="115"/>
      <c r="AT796" s="115"/>
      <c r="AU796" s="115"/>
      <c r="AV796" s="26"/>
      <c r="AW796" s="15"/>
      <c r="AZ796" s="114"/>
    </row>
    <row r="797" spans="1:52" x14ac:dyDescent="0.4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22"/>
      <c r="AF797" s="122"/>
      <c r="AG797" s="122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115"/>
      <c r="AT797" s="115"/>
      <c r="AU797" s="115"/>
      <c r="AV797" s="26"/>
      <c r="AW797" s="13"/>
      <c r="AZ797" s="114"/>
    </row>
    <row r="798" spans="1:52" x14ac:dyDescent="0.4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22"/>
      <c r="AF798" s="122"/>
      <c r="AG798" s="122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115"/>
      <c r="AT798" s="115"/>
      <c r="AU798" s="115"/>
      <c r="AV798" s="26"/>
      <c r="AW798" s="25"/>
      <c r="AZ798" s="114"/>
    </row>
    <row r="799" spans="1:52" x14ac:dyDescent="0.4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22"/>
      <c r="AF799" s="122"/>
      <c r="AG799" s="122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115"/>
      <c r="AT799" s="115"/>
      <c r="AU799" s="115"/>
      <c r="AV799" s="26"/>
      <c r="AW799" s="13"/>
      <c r="AZ799" s="114"/>
    </row>
    <row r="800" spans="1:52" x14ac:dyDescent="0.4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  <c r="AD800" s="115"/>
      <c r="AE800" s="122"/>
      <c r="AF800" s="122"/>
      <c r="AG800" s="122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115"/>
      <c r="AT800" s="115"/>
      <c r="AU800" s="115"/>
      <c r="AV800" s="26"/>
      <c r="AW800" s="13"/>
      <c r="AZ800" s="114"/>
    </row>
    <row r="801" spans="1:52" x14ac:dyDescent="0.4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  <c r="AD801" s="115"/>
      <c r="AE801" s="122"/>
      <c r="AF801" s="122"/>
      <c r="AG801" s="122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115"/>
      <c r="AT801" s="115"/>
      <c r="AU801" s="115"/>
      <c r="AV801" s="26"/>
      <c r="AW801" s="13"/>
      <c r="AZ801" s="114"/>
    </row>
    <row r="802" spans="1:52" x14ac:dyDescent="0.4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  <c r="AD802" s="115"/>
      <c r="AE802" s="122"/>
      <c r="AF802" s="122"/>
      <c r="AG802" s="122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115"/>
      <c r="AT802" s="115"/>
      <c r="AU802" s="115"/>
      <c r="AV802" s="26"/>
      <c r="AW802" s="13"/>
      <c r="AZ802" s="114"/>
    </row>
    <row r="803" spans="1:52" x14ac:dyDescent="0.4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  <c r="AD803" s="115"/>
      <c r="AE803" s="122"/>
      <c r="AF803" s="122"/>
      <c r="AG803" s="122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15"/>
      <c r="AT803" s="115"/>
      <c r="AU803" s="115"/>
      <c r="AV803" s="26"/>
      <c r="AW803" s="13"/>
      <c r="AZ803" s="114"/>
    </row>
    <row r="804" spans="1:52" x14ac:dyDescent="0.4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  <c r="AD804" s="115"/>
      <c r="AE804" s="122"/>
      <c r="AF804" s="122"/>
      <c r="AG804" s="122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115"/>
      <c r="AT804" s="115"/>
      <c r="AU804" s="115"/>
      <c r="AV804" s="26"/>
      <c r="AW804" s="13"/>
      <c r="AZ804" s="114"/>
    </row>
    <row r="805" spans="1:52" x14ac:dyDescent="0.4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22"/>
      <c r="AF805" s="122"/>
      <c r="AG805" s="122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115"/>
      <c r="AT805" s="115"/>
      <c r="AU805" s="115"/>
      <c r="AV805" s="26"/>
      <c r="AW805" s="13"/>
      <c r="AZ805" s="114"/>
    </row>
    <row r="806" spans="1:52" x14ac:dyDescent="0.4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  <c r="AD806" s="115"/>
      <c r="AE806" s="122"/>
      <c r="AF806" s="122"/>
      <c r="AG806" s="122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115"/>
      <c r="AT806" s="115"/>
      <c r="AU806" s="115"/>
      <c r="AV806" s="26"/>
      <c r="AW806" s="13"/>
      <c r="AZ806" s="114"/>
    </row>
    <row r="807" spans="1:52" x14ac:dyDescent="0.4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22"/>
      <c r="AF807" s="122"/>
      <c r="AG807" s="122"/>
      <c r="AH807" s="115"/>
      <c r="AI807" s="115"/>
      <c r="AJ807" s="115"/>
      <c r="AK807" s="115"/>
      <c r="AL807" s="115"/>
      <c r="AM807" s="115"/>
      <c r="AN807" s="115"/>
      <c r="AO807" s="115"/>
      <c r="AP807" s="115"/>
      <c r="AQ807" s="115"/>
      <c r="AR807" s="115"/>
      <c r="AS807" s="115"/>
      <c r="AT807" s="115"/>
      <c r="AU807" s="115"/>
      <c r="AV807" s="26"/>
      <c r="AW807" s="13"/>
      <c r="AZ807" s="114"/>
    </row>
    <row r="808" spans="1:52" x14ac:dyDescent="0.4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22"/>
      <c r="AF808" s="122"/>
      <c r="AG808" s="122"/>
      <c r="AH808" s="115"/>
      <c r="AI808" s="115"/>
      <c r="AJ808" s="115"/>
      <c r="AK808" s="115"/>
      <c r="AL808" s="115"/>
      <c r="AM808" s="115"/>
      <c r="AN808" s="115"/>
      <c r="AO808" s="115"/>
      <c r="AP808" s="115"/>
      <c r="AQ808" s="115"/>
      <c r="AR808" s="115"/>
      <c r="AS808" s="115"/>
      <c r="AT808" s="115"/>
      <c r="AU808" s="115"/>
      <c r="AV808" s="26"/>
      <c r="AW808" s="13"/>
      <c r="AZ808" s="114"/>
    </row>
    <row r="809" spans="1:52" x14ac:dyDescent="0.4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22"/>
      <c r="AF809" s="122"/>
      <c r="AG809" s="122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115"/>
      <c r="AT809" s="115"/>
      <c r="AU809" s="115"/>
      <c r="AV809" s="26"/>
      <c r="AW809" s="15"/>
      <c r="AZ809" s="114"/>
    </row>
    <row r="810" spans="1:52" x14ac:dyDescent="0.4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22"/>
      <c r="AF810" s="122"/>
      <c r="AG810" s="122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115"/>
      <c r="AT810" s="115"/>
      <c r="AU810" s="115"/>
      <c r="AV810" s="26"/>
      <c r="AW810" s="15"/>
      <c r="AZ810" s="114"/>
    </row>
    <row r="811" spans="1:52" x14ac:dyDescent="0.4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22"/>
      <c r="AF811" s="122"/>
      <c r="AG811" s="122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115"/>
      <c r="AT811" s="115"/>
      <c r="AU811" s="115"/>
      <c r="AV811" s="26"/>
      <c r="AW811" s="15"/>
      <c r="AZ811" s="114"/>
    </row>
    <row r="812" spans="1:52" x14ac:dyDescent="0.4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22"/>
      <c r="AF812" s="122"/>
      <c r="AG812" s="122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115"/>
      <c r="AT812" s="115"/>
      <c r="AU812" s="115"/>
      <c r="AV812" s="26"/>
      <c r="AW812" s="15"/>
      <c r="AZ812" s="114"/>
    </row>
    <row r="813" spans="1:52" x14ac:dyDescent="0.4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22"/>
      <c r="AF813" s="122"/>
      <c r="AG813" s="122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115"/>
      <c r="AT813" s="115"/>
      <c r="AU813" s="115"/>
      <c r="AV813" s="26"/>
      <c r="AW813" s="13"/>
      <c r="AZ813" s="114"/>
    </row>
    <row r="814" spans="1:52" x14ac:dyDescent="0.4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22"/>
      <c r="AF814" s="122"/>
      <c r="AG814" s="122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115"/>
      <c r="AT814" s="115"/>
      <c r="AU814" s="115"/>
      <c r="AV814" s="26"/>
      <c r="AW814" s="15"/>
      <c r="AZ814" s="114"/>
    </row>
    <row r="815" spans="1:52" x14ac:dyDescent="0.4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22"/>
      <c r="AF815" s="122"/>
      <c r="AG815" s="122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115"/>
      <c r="AT815" s="115"/>
      <c r="AU815" s="115"/>
      <c r="AV815" s="26"/>
      <c r="AW815" s="15"/>
      <c r="AZ815" s="114"/>
    </row>
    <row r="816" spans="1:52" x14ac:dyDescent="0.4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22"/>
      <c r="AF816" s="122"/>
      <c r="AG816" s="122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115"/>
      <c r="AT816" s="115"/>
      <c r="AU816" s="115"/>
      <c r="AV816" s="26"/>
      <c r="AW816" s="15"/>
      <c r="AZ816" s="114"/>
    </row>
    <row r="817" spans="1:52" x14ac:dyDescent="0.4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22"/>
      <c r="AF817" s="122"/>
      <c r="AG817" s="122"/>
      <c r="AH817" s="115"/>
      <c r="AI817" s="115"/>
      <c r="AJ817" s="115"/>
      <c r="AK817" s="115"/>
      <c r="AL817" s="115"/>
      <c r="AM817" s="115"/>
      <c r="AN817" s="115"/>
      <c r="AO817" s="115"/>
      <c r="AP817" s="115"/>
      <c r="AQ817" s="115"/>
      <c r="AR817" s="115"/>
      <c r="AS817" s="115"/>
      <c r="AT817" s="115"/>
      <c r="AU817" s="115"/>
      <c r="AV817" s="26"/>
      <c r="AW817" s="15"/>
      <c r="AZ817" s="114"/>
    </row>
    <row r="818" spans="1:52" x14ac:dyDescent="0.4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22"/>
      <c r="AF818" s="122"/>
      <c r="AG818" s="122"/>
      <c r="AH818" s="115"/>
      <c r="AI818" s="115"/>
      <c r="AJ818" s="115"/>
      <c r="AK818" s="115"/>
      <c r="AL818" s="115"/>
      <c r="AM818" s="115"/>
      <c r="AN818" s="115"/>
      <c r="AO818" s="115"/>
      <c r="AP818" s="115"/>
      <c r="AQ818" s="115"/>
      <c r="AR818" s="115"/>
      <c r="AS818" s="115"/>
      <c r="AT818" s="115"/>
      <c r="AU818" s="115"/>
      <c r="AV818" s="26"/>
      <c r="AW818" s="15"/>
      <c r="AZ818" s="114"/>
    </row>
    <row r="819" spans="1:52" x14ac:dyDescent="0.4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22"/>
      <c r="AF819" s="122"/>
      <c r="AG819" s="122"/>
      <c r="AH819" s="115"/>
      <c r="AI819" s="115"/>
      <c r="AJ819" s="115"/>
      <c r="AK819" s="115"/>
      <c r="AL819" s="115"/>
      <c r="AM819" s="115"/>
      <c r="AN819" s="115"/>
      <c r="AO819" s="115"/>
      <c r="AP819" s="115"/>
      <c r="AQ819" s="115"/>
      <c r="AR819" s="115"/>
      <c r="AS819" s="115"/>
      <c r="AT819" s="115"/>
      <c r="AU819" s="115"/>
      <c r="AV819" s="26"/>
      <c r="AW819" s="105"/>
      <c r="AZ819" s="114"/>
    </row>
    <row r="820" spans="1:52" x14ac:dyDescent="0.4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22"/>
      <c r="AF820" s="122"/>
      <c r="AG820" s="122"/>
      <c r="AH820" s="115"/>
      <c r="AI820" s="115"/>
      <c r="AJ820" s="115"/>
      <c r="AK820" s="115"/>
      <c r="AL820" s="115"/>
      <c r="AM820" s="115"/>
      <c r="AN820" s="115"/>
      <c r="AO820" s="115"/>
      <c r="AP820" s="115"/>
      <c r="AQ820" s="115"/>
      <c r="AR820" s="115"/>
      <c r="AS820" s="115"/>
      <c r="AT820" s="115"/>
      <c r="AU820" s="115"/>
      <c r="AV820" s="17"/>
      <c r="AW820" s="15"/>
      <c r="AZ820" s="114"/>
    </row>
    <row r="821" spans="1:52" x14ac:dyDescent="0.4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22"/>
      <c r="AF821" s="122"/>
      <c r="AG821" s="122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115"/>
      <c r="AT821" s="115"/>
      <c r="AU821" s="115"/>
      <c r="AV821" s="26"/>
      <c r="AW821" s="15"/>
      <c r="AZ821" s="114"/>
    </row>
    <row r="822" spans="1:52" x14ac:dyDescent="0.4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22"/>
      <c r="AF822" s="122"/>
      <c r="AG822" s="122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115"/>
      <c r="AT822" s="115"/>
      <c r="AU822" s="115"/>
      <c r="AV822" s="26"/>
      <c r="AW822" s="15"/>
      <c r="AZ822" s="114"/>
    </row>
    <row r="823" spans="1:52" x14ac:dyDescent="0.4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22"/>
      <c r="AF823" s="122"/>
      <c r="AG823" s="122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115"/>
      <c r="AT823" s="115"/>
      <c r="AU823" s="115"/>
      <c r="AV823" s="26"/>
      <c r="AW823" s="105"/>
      <c r="AZ823" s="114"/>
    </row>
    <row r="824" spans="1:52" x14ac:dyDescent="0.4">
      <c r="AV824" s="26"/>
      <c r="AW824" s="15"/>
      <c r="AZ824" s="114"/>
    </row>
    <row r="825" spans="1:52" x14ac:dyDescent="0.4">
      <c r="AF825" s="122"/>
      <c r="AG825" s="122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115"/>
      <c r="AT825" s="115"/>
      <c r="AU825" s="115"/>
      <c r="AV825" s="26"/>
      <c r="AW825" s="15"/>
      <c r="AZ825" s="114"/>
    </row>
    <row r="826" spans="1:52" x14ac:dyDescent="0.4">
      <c r="AB826" s="115"/>
      <c r="AC826" s="115"/>
      <c r="AD826" s="115"/>
      <c r="AE826" s="122"/>
      <c r="AF826" s="122"/>
      <c r="AG826" s="122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115"/>
      <c r="AT826" s="115"/>
      <c r="AU826" s="115"/>
      <c r="AV826" s="26"/>
      <c r="AW826" s="15"/>
      <c r="AZ826" s="114"/>
    </row>
    <row r="827" spans="1:52" x14ac:dyDescent="0.4"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22"/>
      <c r="AF827" s="122"/>
      <c r="AG827" s="122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115"/>
      <c r="AT827" s="115"/>
      <c r="AU827" s="115"/>
      <c r="AV827" s="26"/>
      <c r="AW827" s="15"/>
      <c r="AZ827" s="114"/>
    </row>
    <row r="828" spans="1:52" x14ac:dyDescent="0.4"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22"/>
      <c r="AF828" s="122"/>
      <c r="AG828" s="122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115"/>
      <c r="AT828" s="115"/>
      <c r="AU828" s="115"/>
      <c r="AV828" s="17"/>
      <c r="AW828" s="15"/>
      <c r="AZ828" s="114"/>
    </row>
    <row r="829" spans="1:52" x14ac:dyDescent="0.4"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22"/>
      <c r="AF829" s="122"/>
      <c r="AG829" s="122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115"/>
      <c r="AT829" s="115"/>
      <c r="AU829" s="115"/>
      <c r="AV829" s="26"/>
      <c r="AW829" s="15"/>
      <c r="AZ829" s="114"/>
    </row>
    <row r="830" spans="1:52" x14ac:dyDescent="0.4"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22"/>
      <c r="AF830" s="122"/>
      <c r="AG830" s="122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115"/>
      <c r="AT830" s="115"/>
      <c r="AU830" s="115"/>
      <c r="AV830" s="26"/>
      <c r="AW830" s="15"/>
      <c r="AZ830" s="114"/>
    </row>
    <row r="831" spans="1:52" x14ac:dyDescent="0.4"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22"/>
      <c r="AF831" s="122"/>
      <c r="AG831" s="122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115"/>
      <c r="AT831" s="115"/>
      <c r="AU831" s="115"/>
      <c r="AV831" s="26"/>
      <c r="AW831" s="15"/>
      <c r="AZ831" s="114"/>
    </row>
    <row r="832" spans="1:52" x14ac:dyDescent="0.4"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22"/>
      <c r="AF832" s="122"/>
      <c r="AG832" s="122"/>
      <c r="AH832" s="115"/>
      <c r="AI832" s="115"/>
      <c r="AJ832" s="115"/>
      <c r="AK832" s="115"/>
      <c r="AL832" s="115"/>
      <c r="AM832" s="115"/>
      <c r="AN832" s="115"/>
      <c r="AO832" s="115"/>
      <c r="AP832" s="115"/>
      <c r="AQ832" s="115"/>
      <c r="AR832" s="115"/>
      <c r="AS832" s="115"/>
      <c r="AT832" s="115"/>
      <c r="AU832" s="115"/>
      <c r="AV832" s="26"/>
      <c r="AW832" s="15"/>
      <c r="AZ832" s="114"/>
    </row>
    <row r="833" spans="2:52" x14ac:dyDescent="0.4"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22"/>
      <c r="AF833" s="122"/>
      <c r="AG833" s="122"/>
      <c r="AH833" s="115"/>
      <c r="AI833" s="115"/>
      <c r="AJ833" s="115"/>
      <c r="AK833" s="115"/>
      <c r="AL833" s="115"/>
      <c r="AM833" s="115"/>
      <c r="AN833" s="115"/>
      <c r="AO833" s="115"/>
      <c r="AP833" s="115"/>
      <c r="AQ833" s="115"/>
      <c r="AR833" s="115"/>
      <c r="AS833" s="115"/>
      <c r="AT833" s="115"/>
      <c r="AU833" s="115"/>
      <c r="AV833" s="26"/>
      <c r="AW833" s="15"/>
      <c r="AZ833" s="114"/>
    </row>
    <row r="834" spans="2:52" x14ac:dyDescent="0.4"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22"/>
      <c r="AF834" s="122"/>
      <c r="AG834" s="122"/>
      <c r="AH834" s="115"/>
      <c r="AI834" s="115"/>
      <c r="AJ834" s="115"/>
      <c r="AK834" s="115"/>
      <c r="AL834" s="115"/>
      <c r="AM834" s="115"/>
      <c r="AN834" s="115"/>
      <c r="AO834" s="115"/>
      <c r="AP834" s="115"/>
      <c r="AQ834" s="115"/>
      <c r="AR834" s="115"/>
      <c r="AS834" s="115"/>
      <c r="AT834" s="115"/>
      <c r="AU834" s="115"/>
      <c r="AV834" s="26"/>
      <c r="AW834" s="15"/>
      <c r="AZ834" s="114"/>
    </row>
    <row r="835" spans="2:52" x14ac:dyDescent="0.4"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22"/>
      <c r="AF835" s="122"/>
      <c r="AG835" s="122"/>
      <c r="AH835" s="115"/>
      <c r="AI835" s="115"/>
      <c r="AJ835" s="115"/>
      <c r="AK835" s="115"/>
      <c r="AL835" s="115"/>
      <c r="AM835" s="115"/>
      <c r="AN835" s="115"/>
      <c r="AO835" s="115"/>
      <c r="AP835" s="115"/>
      <c r="AQ835" s="115"/>
      <c r="AR835" s="115"/>
      <c r="AS835" s="115"/>
      <c r="AT835" s="115"/>
      <c r="AU835" s="115"/>
      <c r="AV835" s="26"/>
      <c r="AW835" s="15"/>
      <c r="AZ835" s="114"/>
    </row>
    <row r="836" spans="2:52" x14ac:dyDescent="0.4"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22"/>
      <c r="AF836" s="122"/>
      <c r="AG836" s="122"/>
      <c r="AH836" s="115"/>
      <c r="AI836" s="115"/>
      <c r="AJ836" s="115"/>
      <c r="AK836" s="115"/>
      <c r="AL836" s="115"/>
      <c r="AM836" s="115"/>
      <c r="AN836" s="115"/>
      <c r="AO836" s="115"/>
      <c r="AP836" s="115"/>
      <c r="AQ836" s="115"/>
      <c r="AR836" s="115"/>
      <c r="AS836" s="115"/>
      <c r="AT836" s="115"/>
      <c r="AU836" s="115"/>
      <c r="AV836" s="17"/>
      <c r="AW836" s="15"/>
      <c r="AZ836" s="114"/>
    </row>
    <row r="837" spans="2:52" x14ac:dyDescent="0.4"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22"/>
      <c r="AF837" s="122"/>
      <c r="AG837" s="122"/>
      <c r="AH837" s="115"/>
      <c r="AI837" s="115"/>
      <c r="AJ837" s="115"/>
      <c r="AK837" s="115"/>
      <c r="AL837" s="115"/>
      <c r="AM837" s="115"/>
      <c r="AN837" s="115"/>
      <c r="AO837" s="115"/>
      <c r="AP837" s="115"/>
      <c r="AQ837" s="115"/>
      <c r="AR837" s="115"/>
      <c r="AS837" s="115"/>
      <c r="AT837" s="115"/>
      <c r="AU837" s="115"/>
      <c r="AV837" s="26"/>
      <c r="AW837" s="15"/>
      <c r="AZ837" s="114"/>
    </row>
    <row r="838" spans="2:52" x14ac:dyDescent="0.4"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22"/>
      <c r="AF838" s="122"/>
      <c r="AG838" s="122"/>
      <c r="AH838" s="115"/>
      <c r="AI838" s="115"/>
      <c r="AJ838" s="115"/>
      <c r="AK838" s="115"/>
      <c r="AL838" s="115"/>
      <c r="AM838" s="115"/>
      <c r="AN838" s="115"/>
      <c r="AO838" s="115"/>
      <c r="AP838" s="115"/>
      <c r="AQ838" s="115"/>
      <c r="AR838" s="115"/>
      <c r="AS838" s="115"/>
      <c r="AT838" s="115"/>
      <c r="AU838" s="115"/>
      <c r="AV838" s="26"/>
      <c r="AW838" s="15"/>
      <c r="AZ838" s="114"/>
    </row>
    <row r="839" spans="2:52" x14ac:dyDescent="0.4"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22"/>
      <c r="AF839" s="122"/>
      <c r="AG839" s="122"/>
      <c r="AH839" s="115"/>
      <c r="AI839" s="115"/>
      <c r="AJ839" s="115"/>
      <c r="AK839" s="115"/>
      <c r="AL839" s="115"/>
      <c r="AM839" s="115"/>
      <c r="AN839" s="115"/>
      <c r="AO839" s="115"/>
      <c r="AP839" s="115"/>
      <c r="AQ839" s="115"/>
      <c r="AR839" s="115"/>
      <c r="AS839" s="115"/>
      <c r="AT839" s="115"/>
      <c r="AU839" s="115"/>
      <c r="AV839" s="26"/>
      <c r="AW839" s="15"/>
      <c r="AZ839" s="114"/>
    </row>
    <row r="840" spans="2:52" x14ac:dyDescent="0.4"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22"/>
      <c r="AF840" s="122"/>
      <c r="AG840" s="122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115"/>
      <c r="AT840" s="115"/>
      <c r="AU840" s="115"/>
      <c r="AV840" s="26"/>
      <c r="AW840" s="15"/>
      <c r="AZ840" s="114"/>
    </row>
    <row r="841" spans="2:52" x14ac:dyDescent="0.4"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22"/>
      <c r="AF841" s="122"/>
      <c r="AG841" s="122"/>
      <c r="AH841" s="115"/>
      <c r="AI841" s="115"/>
      <c r="AJ841" s="115"/>
      <c r="AK841" s="115"/>
      <c r="AL841" s="115"/>
      <c r="AM841" s="115"/>
      <c r="AN841" s="115"/>
      <c r="AO841" s="115"/>
      <c r="AP841" s="115"/>
      <c r="AQ841" s="115"/>
      <c r="AR841" s="115"/>
      <c r="AS841" s="115"/>
      <c r="AT841" s="115"/>
      <c r="AU841" s="115"/>
      <c r="AV841" s="26"/>
      <c r="AW841" s="15"/>
      <c r="AZ841" s="114"/>
    </row>
    <row r="842" spans="2:52" x14ac:dyDescent="0.4"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22"/>
      <c r="AF842" s="122"/>
      <c r="AG842" s="122"/>
      <c r="AH842" s="115"/>
      <c r="AI842" s="115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115"/>
      <c r="AT842" s="115"/>
      <c r="AU842" s="115"/>
      <c r="AV842" s="26"/>
      <c r="AW842" s="15"/>
      <c r="AZ842" s="114"/>
    </row>
    <row r="843" spans="2:52" x14ac:dyDescent="0.4"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22"/>
      <c r="AF843" s="122"/>
      <c r="AG843" s="122"/>
      <c r="AH843" s="115"/>
      <c r="AI843" s="115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115"/>
      <c r="AT843" s="115"/>
      <c r="AU843" s="115"/>
      <c r="AV843" s="26"/>
      <c r="AW843" s="15"/>
      <c r="AZ843" s="114"/>
    </row>
    <row r="844" spans="2:52" x14ac:dyDescent="0.4"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22"/>
      <c r="AF844" s="122"/>
      <c r="AG844" s="122"/>
      <c r="AH844" s="115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115"/>
      <c r="AT844" s="115"/>
      <c r="AU844" s="115"/>
      <c r="AV844" s="17"/>
      <c r="AW844" s="15"/>
      <c r="AZ844" s="114"/>
    </row>
    <row r="845" spans="2:52" x14ac:dyDescent="0.4"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22"/>
      <c r="AF845" s="122"/>
      <c r="AG845" s="122"/>
      <c r="AH845" s="115"/>
      <c r="AI845" s="115"/>
      <c r="AJ845" s="115"/>
      <c r="AK845" s="115"/>
      <c r="AL845" s="115"/>
      <c r="AM845" s="115"/>
      <c r="AN845" s="115"/>
      <c r="AO845" s="115"/>
      <c r="AP845" s="115"/>
      <c r="AQ845" s="115"/>
      <c r="AR845" s="115"/>
      <c r="AS845" s="115"/>
      <c r="AT845" s="115"/>
      <c r="AU845" s="115"/>
      <c r="AV845" s="26"/>
      <c r="AW845" s="15"/>
      <c r="AZ845" s="114"/>
    </row>
    <row r="846" spans="2:52" x14ac:dyDescent="0.4"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22"/>
      <c r="AF846" s="122"/>
      <c r="AG846" s="122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115"/>
      <c r="AT846" s="115"/>
      <c r="AU846" s="115"/>
      <c r="AV846" s="26"/>
      <c r="AW846" s="15"/>
      <c r="AZ846" s="114"/>
    </row>
    <row r="847" spans="2:52" x14ac:dyDescent="0.4"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22"/>
      <c r="AF847" s="122"/>
      <c r="AG847" s="122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115"/>
      <c r="AT847" s="115"/>
      <c r="AU847" s="115"/>
      <c r="AV847" s="26"/>
      <c r="AW847" s="15"/>
      <c r="AZ847" s="114"/>
    </row>
    <row r="848" spans="2:52" x14ac:dyDescent="0.4"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22"/>
      <c r="AF848" s="122"/>
      <c r="AG848" s="122"/>
      <c r="AH848" s="115"/>
      <c r="AI848" s="115"/>
      <c r="AJ848" s="115"/>
      <c r="AK848" s="115"/>
      <c r="AL848" s="115"/>
      <c r="AM848" s="115"/>
      <c r="AN848" s="115"/>
      <c r="AO848" s="115"/>
      <c r="AP848" s="115"/>
      <c r="AQ848" s="115"/>
      <c r="AR848" s="115"/>
      <c r="AS848" s="115"/>
      <c r="AT848" s="115"/>
      <c r="AU848" s="115"/>
      <c r="AV848" s="26"/>
      <c r="AW848" s="15"/>
      <c r="AZ848" s="114"/>
    </row>
    <row r="849" spans="1:52" x14ac:dyDescent="0.4"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  <c r="AD849" s="115"/>
      <c r="AE849" s="122"/>
      <c r="AF849" s="122"/>
      <c r="AG849" s="122"/>
      <c r="AH849" s="115"/>
      <c r="AI849" s="115"/>
      <c r="AJ849" s="115"/>
      <c r="AK849" s="115"/>
      <c r="AL849" s="115"/>
      <c r="AM849" s="115"/>
      <c r="AN849" s="115"/>
      <c r="AO849" s="115"/>
      <c r="AP849" s="115"/>
      <c r="AQ849" s="115"/>
      <c r="AR849" s="115"/>
      <c r="AS849" s="115"/>
      <c r="AT849" s="115"/>
      <c r="AU849" s="115"/>
      <c r="AV849" s="26"/>
      <c r="AW849" s="15"/>
      <c r="AZ849" s="114"/>
    </row>
    <row r="850" spans="1:52" x14ac:dyDescent="0.4"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22"/>
      <c r="AF850" s="122"/>
      <c r="AG850" s="122"/>
      <c r="AH850" s="115"/>
      <c r="AI850" s="115"/>
      <c r="AJ850" s="115"/>
      <c r="AK850" s="115"/>
      <c r="AL850" s="115"/>
      <c r="AM850" s="115"/>
      <c r="AN850" s="115"/>
      <c r="AO850" s="115"/>
      <c r="AP850" s="115"/>
      <c r="AQ850" s="115"/>
      <c r="AR850" s="115"/>
      <c r="AS850" s="115"/>
      <c r="AT850" s="115"/>
      <c r="AU850" s="115"/>
      <c r="AV850" s="26"/>
      <c r="AW850" s="15"/>
      <c r="AZ850" s="114"/>
    </row>
    <row r="851" spans="1:52" x14ac:dyDescent="0.4"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22"/>
      <c r="AF851" s="122"/>
      <c r="AG851" s="122"/>
      <c r="AH851" s="115"/>
      <c r="AI851" s="115"/>
      <c r="AJ851" s="115"/>
      <c r="AK851" s="115"/>
      <c r="AL851" s="115"/>
      <c r="AM851" s="115"/>
      <c r="AN851" s="115"/>
      <c r="AO851" s="115"/>
      <c r="AP851" s="115"/>
      <c r="AQ851" s="115"/>
      <c r="AR851" s="115"/>
      <c r="AS851" s="115"/>
      <c r="AT851" s="115"/>
      <c r="AU851" s="115"/>
      <c r="AV851" s="26"/>
      <c r="AW851" s="15"/>
      <c r="AZ851" s="114"/>
    </row>
    <row r="852" spans="1:52" x14ac:dyDescent="0.4"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22"/>
      <c r="AF852" s="122"/>
      <c r="AG852" s="122"/>
      <c r="AH852" s="115"/>
      <c r="AI852" s="115"/>
      <c r="AJ852" s="115"/>
      <c r="AK852" s="115"/>
      <c r="AL852" s="115"/>
      <c r="AM852" s="115"/>
      <c r="AN852" s="115"/>
      <c r="AO852" s="115"/>
      <c r="AP852" s="115"/>
      <c r="AQ852" s="115"/>
      <c r="AR852" s="115"/>
      <c r="AS852" s="115"/>
      <c r="AT852" s="115"/>
      <c r="AU852" s="115"/>
      <c r="AV852" s="26"/>
      <c r="AW852" s="15"/>
      <c r="AZ852" s="114"/>
    </row>
    <row r="853" spans="1:52" x14ac:dyDescent="0.4"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  <c r="AD853" s="115"/>
      <c r="AE853" s="122"/>
      <c r="AF853" s="122"/>
      <c r="AG853" s="122"/>
      <c r="AH853" s="115"/>
      <c r="AI853" s="115"/>
      <c r="AJ853" s="115"/>
      <c r="AK853" s="115"/>
      <c r="AL853" s="115"/>
      <c r="AM853" s="115"/>
      <c r="AN853" s="115"/>
      <c r="AO853" s="115"/>
      <c r="AP853" s="115"/>
      <c r="AQ853" s="115"/>
      <c r="AR853" s="115"/>
      <c r="AS853" s="115"/>
      <c r="AT853" s="115"/>
      <c r="AU853" s="115"/>
      <c r="AV853" s="17"/>
      <c r="AW853" s="15"/>
      <c r="AZ853" s="114"/>
    </row>
    <row r="854" spans="1:52" x14ac:dyDescent="0.4"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22"/>
      <c r="AF854" s="122"/>
      <c r="AG854" s="122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115"/>
      <c r="AT854" s="115"/>
      <c r="AU854" s="115"/>
      <c r="AV854" s="26"/>
      <c r="AW854" s="15"/>
      <c r="AZ854" s="114"/>
    </row>
    <row r="855" spans="1:52" x14ac:dyDescent="0.4"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22"/>
      <c r="AF855" s="122"/>
      <c r="AG855" s="122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115"/>
      <c r="AT855" s="115"/>
      <c r="AU855" s="115"/>
      <c r="AV855" s="17"/>
      <c r="AW855" s="15"/>
      <c r="AZ855" s="114"/>
    </row>
    <row r="856" spans="1:52" x14ac:dyDescent="0.4"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  <c r="AD856" s="115"/>
      <c r="AE856" s="122"/>
      <c r="AF856" s="122"/>
      <c r="AG856" s="122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115"/>
      <c r="AT856" s="115"/>
      <c r="AU856" s="115"/>
      <c r="AV856" s="26"/>
      <c r="AW856" s="15"/>
      <c r="AZ856" s="114"/>
    </row>
    <row r="857" spans="1:52" x14ac:dyDescent="0.4"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22"/>
      <c r="AF857" s="122"/>
      <c r="AG857" s="122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115"/>
      <c r="AT857" s="115"/>
      <c r="AU857" s="115"/>
      <c r="AV857" s="17"/>
      <c r="AW857" s="15"/>
      <c r="AZ857" s="114"/>
    </row>
    <row r="858" spans="1:52" x14ac:dyDescent="0.4"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22"/>
      <c r="AF858" s="122"/>
      <c r="AG858" s="122"/>
      <c r="AH858" s="115"/>
      <c r="AI858" s="115"/>
      <c r="AJ858" s="115"/>
      <c r="AK858" s="115"/>
      <c r="AL858" s="115"/>
      <c r="AM858" s="115"/>
      <c r="AN858" s="115"/>
      <c r="AO858" s="115"/>
      <c r="AP858" s="115"/>
      <c r="AQ858" s="115"/>
      <c r="AR858" s="115"/>
      <c r="AS858" s="115"/>
      <c r="AT858" s="115"/>
      <c r="AU858" s="115"/>
      <c r="AV858" s="26"/>
      <c r="AW858" s="15"/>
      <c r="AZ858" s="114"/>
    </row>
    <row r="859" spans="1:52" x14ac:dyDescent="0.4"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  <c r="AD859" s="115"/>
      <c r="AE859" s="122"/>
      <c r="AF859" s="122"/>
      <c r="AG859" s="122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115"/>
      <c r="AT859" s="115"/>
      <c r="AU859" s="115"/>
      <c r="AV859" s="26"/>
      <c r="AW859" s="15"/>
      <c r="AZ859" s="114"/>
    </row>
    <row r="860" spans="1:52" x14ac:dyDescent="0.4"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22"/>
      <c r="AF860" s="122"/>
      <c r="AG860" s="122"/>
      <c r="AH860" s="115"/>
      <c r="AI860" s="115"/>
      <c r="AJ860" s="115"/>
      <c r="AK860" s="115"/>
      <c r="AL860" s="115"/>
      <c r="AM860" s="115"/>
      <c r="AN860" s="115"/>
      <c r="AO860" s="115"/>
      <c r="AP860" s="115"/>
      <c r="AQ860" s="115"/>
      <c r="AR860" s="115"/>
      <c r="AS860" s="115"/>
      <c r="AT860" s="115"/>
      <c r="AU860" s="115"/>
      <c r="AV860" s="17"/>
      <c r="AW860" s="15"/>
      <c r="AZ860" s="114"/>
    </row>
    <row r="861" spans="1:52" x14ac:dyDescent="0.4"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22"/>
      <c r="AF861" s="122"/>
      <c r="AG861" s="122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115"/>
      <c r="AU861" s="115"/>
      <c r="AV861" s="26"/>
      <c r="AW861" s="15"/>
      <c r="AZ861" s="114"/>
    </row>
    <row r="862" spans="1:52" x14ac:dyDescent="0.4"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22"/>
      <c r="AF862" s="122"/>
      <c r="AG862" s="122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115"/>
      <c r="AU862" s="115"/>
      <c r="AV862" s="26"/>
      <c r="AW862" s="15"/>
      <c r="AZ862" s="114"/>
    </row>
    <row r="863" spans="1:52" x14ac:dyDescent="0.4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22"/>
      <c r="AF863" s="122"/>
      <c r="AG863" s="122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115"/>
      <c r="AT863" s="115"/>
      <c r="AU863" s="115"/>
      <c r="AV863" s="26"/>
      <c r="AW863" s="105"/>
      <c r="AZ863" s="114"/>
    </row>
    <row r="864" spans="1:52" x14ac:dyDescent="0.4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22"/>
      <c r="AF864" s="122"/>
      <c r="AG864" s="122"/>
      <c r="AH864" s="115"/>
      <c r="AI864" s="115"/>
      <c r="AJ864" s="115"/>
      <c r="AK864" s="115"/>
      <c r="AL864" s="115"/>
      <c r="AM864" s="115"/>
      <c r="AN864" s="115"/>
      <c r="AO864" s="115"/>
      <c r="AP864" s="115"/>
      <c r="AQ864" s="115"/>
      <c r="AR864" s="115"/>
      <c r="AS864" s="115"/>
      <c r="AT864" s="115"/>
      <c r="AU864" s="115"/>
      <c r="AV864" s="17"/>
      <c r="AW864" s="15"/>
      <c r="AZ864" s="114"/>
    </row>
    <row r="865" spans="1:52" x14ac:dyDescent="0.4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  <c r="AD865" s="115"/>
      <c r="AE865" s="122"/>
      <c r="AF865" s="122"/>
      <c r="AG865" s="122"/>
      <c r="AH865" s="115"/>
      <c r="AI865" s="115"/>
      <c r="AJ865" s="115"/>
      <c r="AK865" s="115"/>
      <c r="AL865" s="115"/>
      <c r="AM865" s="115"/>
      <c r="AN865" s="115"/>
      <c r="AO865" s="115"/>
      <c r="AP865" s="115"/>
      <c r="AQ865" s="115"/>
      <c r="AR865" s="115"/>
      <c r="AS865" s="115"/>
      <c r="AT865" s="115"/>
      <c r="AU865" s="115"/>
      <c r="AV865" s="17"/>
      <c r="AW865" s="15"/>
      <c r="AZ865" s="114"/>
    </row>
    <row r="866" spans="1:52" x14ac:dyDescent="0.4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22"/>
      <c r="AF866" s="122"/>
      <c r="AG866" s="122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115"/>
      <c r="AT866" s="115"/>
      <c r="AU866" s="115"/>
      <c r="AV866" s="26"/>
      <c r="AW866" s="15"/>
      <c r="AZ866" s="114"/>
    </row>
    <row r="867" spans="1:52" x14ac:dyDescent="0.4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22"/>
      <c r="AF867" s="122"/>
      <c r="AG867" s="122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115"/>
      <c r="AT867" s="115"/>
      <c r="AU867" s="115"/>
      <c r="AV867" s="26"/>
      <c r="AW867" s="15"/>
      <c r="AZ867" s="114"/>
    </row>
    <row r="868" spans="1:52" x14ac:dyDescent="0.4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  <c r="AD868" s="115"/>
      <c r="AE868" s="122"/>
      <c r="AF868" s="122"/>
      <c r="AG868" s="122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115"/>
      <c r="AT868" s="115"/>
      <c r="AU868" s="115"/>
      <c r="AV868" s="26"/>
      <c r="AW868" s="15"/>
      <c r="AZ868" s="114"/>
    </row>
    <row r="869" spans="1:52" x14ac:dyDescent="0.4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22"/>
      <c r="AF869" s="122"/>
      <c r="AG869" s="122"/>
      <c r="AH869" s="115"/>
      <c r="AI869" s="115"/>
      <c r="AJ869" s="115"/>
      <c r="AK869" s="115"/>
      <c r="AL869" s="115"/>
      <c r="AM869" s="115"/>
      <c r="AN869" s="115"/>
      <c r="AO869" s="115"/>
      <c r="AP869" s="115"/>
      <c r="AQ869" s="115"/>
      <c r="AR869" s="115"/>
      <c r="AS869" s="115"/>
      <c r="AT869" s="115"/>
      <c r="AU869" s="115"/>
      <c r="AV869" s="26"/>
      <c r="AW869" s="15"/>
      <c r="AZ869" s="114"/>
    </row>
    <row r="870" spans="1:52" x14ac:dyDescent="0.4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22"/>
      <c r="AF870" s="122"/>
      <c r="AG870" s="122"/>
      <c r="AH870" s="115"/>
      <c r="AI870" s="115"/>
      <c r="AJ870" s="115"/>
      <c r="AK870" s="115"/>
      <c r="AL870" s="115"/>
      <c r="AM870" s="115"/>
      <c r="AN870" s="115"/>
      <c r="AO870" s="115"/>
      <c r="AP870" s="115"/>
      <c r="AQ870" s="115"/>
      <c r="AR870" s="115"/>
      <c r="AS870" s="115"/>
      <c r="AT870" s="115"/>
      <c r="AU870" s="115"/>
      <c r="AV870" s="26"/>
      <c r="AW870" s="15"/>
      <c r="AZ870" s="114"/>
    </row>
    <row r="871" spans="1:52" x14ac:dyDescent="0.4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  <c r="AD871" s="115"/>
      <c r="AE871" s="122"/>
      <c r="AF871" s="122"/>
      <c r="AG871" s="122"/>
      <c r="AH871" s="115"/>
      <c r="AI871" s="115"/>
      <c r="AJ871" s="115"/>
      <c r="AK871" s="115"/>
      <c r="AL871" s="115"/>
      <c r="AM871" s="115"/>
      <c r="AN871" s="115"/>
      <c r="AO871" s="115"/>
      <c r="AP871" s="115"/>
      <c r="AQ871" s="115"/>
      <c r="AR871" s="115"/>
      <c r="AS871" s="115"/>
      <c r="AT871" s="115"/>
      <c r="AU871" s="115"/>
      <c r="AV871" s="26"/>
      <c r="AW871" s="15"/>
      <c r="AZ871" s="114"/>
    </row>
    <row r="872" spans="1:52" x14ac:dyDescent="0.4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  <c r="AD872" s="115"/>
      <c r="AE872" s="122"/>
      <c r="AF872" s="122"/>
      <c r="AG872" s="122"/>
      <c r="AH872" s="115"/>
      <c r="AI872" s="115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115"/>
      <c r="AT872" s="115"/>
      <c r="AU872" s="115"/>
      <c r="AV872" s="26"/>
      <c r="AW872" s="15"/>
      <c r="AZ872" s="114"/>
    </row>
    <row r="873" spans="1:52" x14ac:dyDescent="0.4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22"/>
      <c r="AF873" s="122"/>
      <c r="AG873" s="122"/>
      <c r="AH873" s="115"/>
      <c r="AI873" s="115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115"/>
      <c r="AT873" s="115"/>
      <c r="AU873" s="115"/>
      <c r="AV873" s="26"/>
      <c r="AW873" s="15"/>
      <c r="AZ873" s="114"/>
    </row>
    <row r="874" spans="1:52" x14ac:dyDescent="0.4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  <c r="AD874" s="115"/>
      <c r="AE874" s="122"/>
      <c r="AF874" s="122"/>
      <c r="AG874" s="122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115"/>
      <c r="AT874" s="115"/>
      <c r="AU874" s="115"/>
      <c r="AV874" s="26"/>
      <c r="AW874" s="105"/>
      <c r="AZ874" s="114"/>
    </row>
    <row r="875" spans="1:52" x14ac:dyDescent="0.4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  <c r="AD875" s="115"/>
      <c r="AE875" s="122"/>
      <c r="AF875" s="122"/>
      <c r="AG875" s="122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115"/>
      <c r="AT875" s="115"/>
      <c r="AU875" s="115"/>
      <c r="AV875" s="26"/>
      <c r="AW875" s="15"/>
      <c r="AZ875" s="114"/>
    </row>
    <row r="876" spans="1:52" x14ac:dyDescent="0.4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  <c r="AD876" s="115"/>
      <c r="AE876" s="122"/>
      <c r="AF876" s="122"/>
      <c r="AG876" s="122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115"/>
      <c r="AT876" s="115"/>
      <c r="AU876" s="115"/>
      <c r="AV876" s="26"/>
      <c r="AW876" s="15"/>
      <c r="AZ876" s="114"/>
    </row>
    <row r="877" spans="1:52" x14ac:dyDescent="0.4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  <c r="AD877" s="115"/>
      <c r="AE877" s="122"/>
      <c r="AF877" s="122"/>
      <c r="AG877" s="122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115"/>
      <c r="AT877" s="115"/>
      <c r="AU877" s="115"/>
      <c r="AV877" s="26"/>
      <c r="AW877" s="13"/>
      <c r="AZ877" s="114"/>
    </row>
    <row r="878" spans="1:52" x14ac:dyDescent="0.4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  <c r="AD878" s="115"/>
      <c r="AE878" s="122"/>
      <c r="AF878" s="122"/>
      <c r="AG878" s="122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115"/>
      <c r="AT878" s="115"/>
      <c r="AU878" s="115"/>
      <c r="AV878" s="17"/>
      <c r="AW878" s="13"/>
      <c r="AZ878" s="114"/>
    </row>
    <row r="879" spans="1:52" x14ac:dyDescent="0.4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22"/>
      <c r="AF879" s="122"/>
      <c r="AG879" s="122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115"/>
      <c r="AS879" s="115"/>
      <c r="AT879" s="115"/>
      <c r="AU879" s="115"/>
      <c r="AV879" s="26"/>
      <c r="AW879" s="13"/>
      <c r="AZ879" s="114"/>
    </row>
    <row r="880" spans="1:52" x14ac:dyDescent="0.4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22"/>
      <c r="AF880" s="122"/>
      <c r="AG880" s="122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115"/>
      <c r="AT880" s="115"/>
      <c r="AU880" s="115"/>
      <c r="AV880" s="26"/>
      <c r="AW880" s="13"/>
      <c r="AZ880" s="114"/>
    </row>
    <row r="881" spans="1:52" x14ac:dyDescent="0.4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  <c r="AD881" s="115"/>
      <c r="AE881" s="122"/>
      <c r="AF881" s="122"/>
      <c r="AG881" s="122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115"/>
      <c r="AT881" s="115"/>
      <c r="AU881" s="115"/>
      <c r="AV881" s="26"/>
      <c r="AW881" s="13"/>
      <c r="AZ881" s="114"/>
    </row>
    <row r="882" spans="1:52" x14ac:dyDescent="0.4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22"/>
      <c r="AF882" s="122"/>
      <c r="AG882" s="122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115"/>
      <c r="AT882" s="115"/>
      <c r="AU882" s="115"/>
      <c r="AV882" s="26"/>
      <c r="AW882" s="13"/>
      <c r="AZ882" s="114"/>
    </row>
    <row r="883" spans="1:52" x14ac:dyDescent="0.4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22"/>
      <c r="AF883" s="122"/>
      <c r="AG883" s="122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115"/>
      <c r="AT883" s="115"/>
      <c r="AU883" s="115"/>
      <c r="AV883" s="26"/>
      <c r="AW883" s="13"/>
      <c r="AZ883" s="114"/>
    </row>
    <row r="884" spans="1:52" x14ac:dyDescent="0.4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22"/>
      <c r="AF884" s="122"/>
      <c r="AG884" s="122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115"/>
      <c r="AS884" s="115"/>
      <c r="AT884" s="115"/>
      <c r="AU884" s="115"/>
      <c r="AV884" s="26"/>
      <c r="AW884" s="13"/>
      <c r="AZ884" s="114"/>
    </row>
    <row r="885" spans="1:52" x14ac:dyDescent="0.4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22"/>
      <c r="AF885" s="122"/>
      <c r="AG885" s="122"/>
      <c r="AH885" s="115"/>
      <c r="AI885" s="115"/>
      <c r="AJ885" s="115"/>
      <c r="AK885" s="115"/>
      <c r="AL885" s="115"/>
      <c r="AM885" s="115"/>
      <c r="AN885" s="115"/>
      <c r="AO885" s="115"/>
      <c r="AP885" s="115"/>
      <c r="AQ885" s="115"/>
      <c r="AR885" s="115"/>
      <c r="AS885" s="115"/>
      <c r="AT885" s="115"/>
      <c r="AU885" s="115"/>
      <c r="AV885" s="17"/>
      <c r="AW885" s="13"/>
      <c r="AZ885" s="114"/>
    </row>
    <row r="886" spans="1:52" x14ac:dyDescent="0.4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22"/>
      <c r="AF886" s="122"/>
      <c r="AG886" s="122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115"/>
      <c r="AT886" s="115"/>
      <c r="AU886" s="115"/>
      <c r="AV886" s="26"/>
      <c r="AW886" s="13"/>
      <c r="AZ886" s="114"/>
    </row>
    <row r="887" spans="1:52" x14ac:dyDescent="0.4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22"/>
      <c r="AF887" s="122"/>
      <c r="AG887" s="122"/>
      <c r="AH887" s="115"/>
      <c r="AI887" s="115"/>
      <c r="AJ887" s="115"/>
      <c r="AK887" s="115"/>
      <c r="AL887" s="115"/>
      <c r="AM887" s="115"/>
      <c r="AN887" s="115"/>
      <c r="AO887" s="115"/>
      <c r="AP887" s="115"/>
      <c r="AQ887" s="115"/>
      <c r="AR887" s="115"/>
      <c r="AS887" s="115"/>
      <c r="AT887" s="115"/>
      <c r="AU887" s="115"/>
      <c r="AV887" s="26"/>
      <c r="AW887" s="13"/>
      <c r="AZ887" s="114"/>
    </row>
    <row r="888" spans="1:52" x14ac:dyDescent="0.4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22"/>
      <c r="AF888" s="122"/>
      <c r="AG888" s="122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115"/>
      <c r="AT888" s="115"/>
      <c r="AU888" s="115"/>
      <c r="AV888" s="26"/>
      <c r="AW888" s="13"/>
      <c r="AZ888" s="114"/>
    </row>
    <row r="889" spans="1:52" x14ac:dyDescent="0.4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22"/>
      <c r="AF889" s="122"/>
      <c r="AG889" s="122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115"/>
      <c r="AT889" s="115"/>
      <c r="AU889" s="115"/>
      <c r="AV889" s="26"/>
      <c r="AW889" s="13"/>
      <c r="AZ889" s="114"/>
    </row>
    <row r="890" spans="1:52" x14ac:dyDescent="0.4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22"/>
      <c r="AF890" s="122"/>
      <c r="AG890" s="122"/>
      <c r="AH890" s="115"/>
      <c r="AI890" s="115"/>
      <c r="AJ890" s="115"/>
      <c r="AK890" s="115"/>
      <c r="AL890" s="115"/>
      <c r="AM890" s="115"/>
      <c r="AN890" s="115"/>
      <c r="AO890" s="115"/>
      <c r="AP890" s="115"/>
      <c r="AQ890" s="115"/>
      <c r="AR890" s="115"/>
      <c r="AS890" s="115"/>
      <c r="AT890" s="115"/>
      <c r="AU890" s="115"/>
      <c r="AV890" s="26"/>
      <c r="AW890" s="25"/>
      <c r="AZ890" s="114"/>
    </row>
    <row r="891" spans="1:52" x14ac:dyDescent="0.4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  <c r="AD891" s="115"/>
      <c r="AE891" s="122"/>
      <c r="AF891" s="122"/>
      <c r="AG891" s="122"/>
      <c r="AH891" s="115"/>
      <c r="AI891" s="115"/>
      <c r="AJ891" s="115"/>
      <c r="AK891" s="115"/>
      <c r="AL891" s="115"/>
      <c r="AM891" s="115"/>
      <c r="AN891" s="115"/>
      <c r="AO891" s="115"/>
      <c r="AP891" s="115"/>
      <c r="AQ891" s="115"/>
      <c r="AR891" s="115"/>
      <c r="AS891" s="115"/>
      <c r="AT891" s="115"/>
      <c r="AU891" s="115"/>
      <c r="AV891" s="17"/>
      <c r="AW891" s="13"/>
      <c r="AZ891" s="114"/>
    </row>
    <row r="892" spans="1:52" x14ac:dyDescent="0.4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22"/>
      <c r="AF892" s="122"/>
      <c r="AG892" s="122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115"/>
      <c r="AT892" s="115"/>
      <c r="AU892" s="115"/>
      <c r="AV892" s="26"/>
      <c r="AW892" s="15"/>
      <c r="AZ892" s="114"/>
    </row>
    <row r="893" spans="1:52" x14ac:dyDescent="0.4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  <c r="AD893" s="115"/>
      <c r="AE893" s="122"/>
      <c r="AF893" s="122"/>
      <c r="AG893" s="122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115"/>
      <c r="AT893" s="115"/>
      <c r="AU893" s="115"/>
      <c r="AV893" s="26"/>
      <c r="AW893" s="15"/>
      <c r="AZ893" s="114"/>
    </row>
    <row r="894" spans="1:52" x14ac:dyDescent="0.4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22"/>
      <c r="AF894" s="122"/>
      <c r="AG894" s="122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115"/>
      <c r="AT894" s="115"/>
      <c r="AU894" s="115"/>
      <c r="AV894" s="17"/>
      <c r="AW894" s="15"/>
      <c r="AZ894" s="114"/>
    </row>
    <row r="895" spans="1:52" x14ac:dyDescent="0.4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22"/>
      <c r="AF895" s="122"/>
      <c r="AG895" s="122"/>
      <c r="AH895" s="115"/>
      <c r="AI895" s="115"/>
      <c r="AJ895" s="115"/>
      <c r="AK895" s="115"/>
      <c r="AL895" s="115"/>
      <c r="AM895" s="115"/>
      <c r="AN895" s="115"/>
      <c r="AO895" s="115"/>
      <c r="AP895" s="115"/>
      <c r="AQ895" s="115"/>
      <c r="AR895" s="115"/>
      <c r="AS895" s="115"/>
      <c r="AT895" s="115"/>
      <c r="AU895" s="115"/>
      <c r="AV895" s="26"/>
      <c r="AW895" s="15"/>
      <c r="AZ895" s="114"/>
    </row>
    <row r="896" spans="1:52" x14ac:dyDescent="0.4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  <c r="AD896" s="115"/>
      <c r="AE896" s="122"/>
      <c r="AF896" s="122"/>
      <c r="AG896" s="122"/>
      <c r="AH896" s="115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115"/>
      <c r="AT896" s="115"/>
      <c r="AU896" s="115"/>
      <c r="AV896" s="26"/>
      <c r="AW896" s="15"/>
      <c r="AZ896" s="114"/>
    </row>
    <row r="897" spans="1:52" x14ac:dyDescent="0.4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22"/>
      <c r="AF897" s="122"/>
      <c r="AG897" s="122"/>
      <c r="AH897" s="115"/>
      <c r="AI897" s="115"/>
      <c r="AJ897" s="115"/>
      <c r="AK897" s="115"/>
      <c r="AL897" s="115"/>
      <c r="AM897" s="115"/>
      <c r="AN897" s="115"/>
      <c r="AO897" s="115"/>
      <c r="AP897" s="115"/>
      <c r="AQ897" s="115"/>
      <c r="AR897" s="115"/>
      <c r="AS897" s="115"/>
      <c r="AT897" s="115"/>
      <c r="AU897" s="115"/>
      <c r="AV897" s="26"/>
      <c r="AW897" s="13"/>
      <c r="AZ897" s="114"/>
    </row>
    <row r="898" spans="1:52" x14ac:dyDescent="0.4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  <c r="AD898" s="115"/>
      <c r="AE898" s="122"/>
      <c r="AF898" s="122"/>
      <c r="AG898" s="122"/>
      <c r="AH898" s="115"/>
      <c r="AI898" s="115"/>
      <c r="AJ898" s="115"/>
      <c r="AK898" s="115"/>
      <c r="AL898" s="115"/>
      <c r="AM898" s="115"/>
      <c r="AN898" s="115"/>
      <c r="AO898" s="115"/>
      <c r="AP898" s="115"/>
      <c r="AQ898" s="115"/>
      <c r="AR898" s="115"/>
      <c r="AS898" s="115"/>
      <c r="AT898" s="115"/>
      <c r="AU898" s="115"/>
      <c r="AV898" s="26"/>
      <c r="AW898" s="13"/>
      <c r="AZ898" s="114"/>
    </row>
    <row r="899" spans="1:52" x14ac:dyDescent="0.4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  <c r="AD899" s="115"/>
      <c r="AE899" s="122"/>
      <c r="AF899" s="122"/>
      <c r="AG899" s="122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115"/>
      <c r="AT899" s="115"/>
      <c r="AU899" s="115"/>
      <c r="AV899" s="26"/>
      <c r="AW899" s="13"/>
      <c r="AZ899" s="114"/>
    </row>
    <row r="900" spans="1:52" x14ac:dyDescent="0.4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  <c r="AD900" s="115"/>
      <c r="AE900" s="122"/>
      <c r="AF900" s="122"/>
      <c r="AG900" s="122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115"/>
      <c r="AT900" s="115"/>
      <c r="AU900" s="115"/>
      <c r="AV900" s="26"/>
      <c r="AW900" s="13"/>
      <c r="AZ900" s="114"/>
    </row>
    <row r="901" spans="1:52" x14ac:dyDescent="0.4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22"/>
      <c r="AF901" s="122"/>
      <c r="AG901" s="122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115"/>
      <c r="AT901" s="115"/>
      <c r="AU901" s="115"/>
      <c r="AV901" s="26"/>
      <c r="AW901" s="13"/>
      <c r="AZ901" s="114"/>
    </row>
    <row r="902" spans="1:52" x14ac:dyDescent="0.4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  <c r="AD902" s="115"/>
      <c r="AE902" s="122"/>
      <c r="AF902" s="122"/>
      <c r="AG902" s="122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115"/>
      <c r="AT902" s="115"/>
      <c r="AU902" s="115"/>
      <c r="AV902" s="26"/>
      <c r="AW902" s="13"/>
      <c r="AZ902" s="114"/>
    </row>
    <row r="903" spans="1:52" x14ac:dyDescent="0.4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22"/>
      <c r="AF903" s="122"/>
      <c r="AG903" s="122"/>
      <c r="AH903" s="115"/>
      <c r="AI903" s="115"/>
      <c r="AJ903" s="115"/>
      <c r="AK903" s="115"/>
      <c r="AL903" s="115"/>
      <c r="AM903" s="115"/>
      <c r="AN903" s="115"/>
      <c r="AO903" s="115"/>
      <c r="AP903" s="115"/>
      <c r="AQ903" s="115"/>
      <c r="AR903" s="115"/>
      <c r="AS903" s="115"/>
      <c r="AT903" s="115"/>
      <c r="AU903" s="115"/>
      <c r="AV903" s="26"/>
      <c r="AW903" s="13"/>
      <c r="AZ903" s="114"/>
    </row>
    <row r="904" spans="1:52" x14ac:dyDescent="0.4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22"/>
      <c r="AF904" s="122"/>
      <c r="AG904" s="122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115"/>
      <c r="AT904" s="115"/>
      <c r="AU904" s="115"/>
      <c r="AV904" s="26"/>
      <c r="AW904" s="13"/>
      <c r="AZ904" s="114"/>
    </row>
    <row r="905" spans="1:52" x14ac:dyDescent="0.4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22"/>
      <c r="AF905" s="122"/>
      <c r="AG905" s="122"/>
      <c r="AH905" s="115"/>
      <c r="AI905" s="115"/>
      <c r="AJ905" s="115"/>
      <c r="AK905" s="115"/>
      <c r="AL905" s="115"/>
      <c r="AM905" s="115"/>
      <c r="AN905" s="115"/>
      <c r="AO905" s="115"/>
      <c r="AP905" s="115"/>
      <c r="AQ905" s="115"/>
      <c r="AR905" s="115"/>
      <c r="AS905" s="115"/>
      <c r="AT905" s="115"/>
      <c r="AU905" s="115"/>
      <c r="AV905" s="17"/>
      <c r="AW905" s="13"/>
      <c r="AZ905" s="114"/>
    </row>
    <row r="906" spans="1:52" x14ac:dyDescent="0.4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22"/>
      <c r="AF906" s="122"/>
      <c r="AG906" s="122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15"/>
      <c r="AT906" s="115"/>
      <c r="AU906" s="115"/>
      <c r="AV906" s="26"/>
      <c r="AW906" s="13"/>
      <c r="AZ906" s="114"/>
    </row>
    <row r="907" spans="1:52" x14ac:dyDescent="0.4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  <c r="AD907" s="115"/>
      <c r="AE907" s="122"/>
      <c r="AF907" s="122"/>
      <c r="AG907" s="122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115"/>
      <c r="AT907" s="115"/>
      <c r="AU907" s="115"/>
      <c r="AV907" s="17"/>
      <c r="AW907" s="13"/>
      <c r="AZ907" s="114"/>
    </row>
    <row r="908" spans="1:52" x14ac:dyDescent="0.4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  <c r="AD908" s="115"/>
      <c r="AE908" s="122"/>
      <c r="AF908" s="122"/>
      <c r="AG908" s="122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115"/>
      <c r="AT908" s="115"/>
      <c r="AU908" s="115"/>
      <c r="AV908" s="26"/>
      <c r="AW908" s="13"/>
      <c r="AZ908" s="114"/>
    </row>
    <row r="909" spans="1:52" x14ac:dyDescent="0.4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  <c r="AD909" s="115"/>
      <c r="AE909" s="122"/>
      <c r="AF909" s="122"/>
      <c r="AG909" s="122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115"/>
      <c r="AT909" s="115"/>
      <c r="AU909" s="115"/>
      <c r="AV909" s="26"/>
      <c r="AW909" s="13"/>
      <c r="AZ909" s="114"/>
    </row>
    <row r="910" spans="1:52" x14ac:dyDescent="0.4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  <c r="AD910" s="115"/>
      <c r="AE910" s="122"/>
      <c r="AF910" s="122"/>
      <c r="AG910" s="122"/>
      <c r="AH910" s="115"/>
      <c r="AI910" s="115"/>
      <c r="AJ910" s="115"/>
      <c r="AK910" s="115"/>
      <c r="AL910" s="115"/>
      <c r="AM910" s="115"/>
      <c r="AN910" s="115"/>
      <c r="AO910" s="115"/>
      <c r="AP910" s="115"/>
      <c r="AQ910" s="115"/>
      <c r="AR910" s="115"/>
      <c r="AS910" s="115"/>
      <c r="AT910" s="115"/>
      <c r="AU910" s="115"/>
      <c r="AV910" s="26"/>
      <c r="AW910" s="13"/>
      <c r="AZ910" s="114"/>
    </row>
    <row r="911" spans="1:52" x14ac:dyDescent="0.4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  <c r="AD911" s="115"/>
      <c r="AE911" s="122"/>
      <c r="AF911" s="122"/>
      <c r="AG911" s="122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15"/>
      <c r="AR911" s="115"/>
      <c r="AS911" s="115"/>
      <c r="AT911" s="115"/>
      <c r="AU911" s="115"/>
      <c r="AV911" s="26"/>
      <c r="AW911" s="15"/>
      <c r="AZ911" s="114"/>
    </row>
    <row r="912" spans="1:52" x14ac:dyDescent="0.4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22"/>
      <c r="AF912" s="122"/>
      <c r="AG912" s="122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115"/>
      <c r="AT912" s="115"/>
      <c r="AU912" s="115"/>
      <c r="AV912" s="26"/>
      <c r="AW912" s="15"/>
      <c r="AZ912" s="114"/>
    </row>
    <row r="913" spans="1:53" x14ac:dyDescent="0.4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22"/>
      <c r="AF913" s="122"/>
      <c r="AG913" s="122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115"/>
      <c r="AT913" s="115"/>
      <c r="AU913" s="115"/>
      <c r="AV913" s="26"/>
      <c r="AW913" s="15"/>
      <c r="AZ913" s="114"/>
    </row>
    <row r="914" spans="1:53" x14ac:dyDescent="0.4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  <c r="AD914" s="115"/>
      <c r="AE914" s="122"/>
      <c r="AF914" s="122"/>
      <c r="AG914" s="122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15"/>
      <c r="AT914" s="115"/>
      <c r="AU914" s="115"/>
      <c r="AV914" s="26"/>
      <c r="AW914" s="13"/>
      <c r="AZ914" s="114"/>
    </row>
    <row r="915" spans="1:53" x14ac:dyDescent="0.4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  <c r="AD915" s="115"/>
      <c r="AE915" s="122"/>
      <c r="AF915" s="122"/>
      <c r="AG915" s="122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115"/>
      <c r="AT915" s="115"/>
      <c r="AU915" s="115"/>
      <c r="AV915" s="26"/>
      <c r="AW915" s="15"/>
      <c r="AZ915" s="114"/>
    </row>
    <row r="916" spans="1:53" x14ac:dyDescent="0.4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22"/>
      <c r="AF916" s="122"/>
      <c r="AG916" s="122"/>
      <c r="AH916" s="115"/>
      <c r="AI916" s="115"/>
      <c r="AJ916" s="115"/>
      <c r="AK916" s="115"/>
      <c r="AL916" s="115"/>
      <c r="AM916" s="115"/>
      <c r="AN916" s="115"/>
      <c r="AO916" s="115"/>
      <c r="AP916" s="115"/>
      <c r="AQ916" s="115"/>
      <c r="AR916" s="115"/>
      <c r="AS916" s="115"/>
      <c r="AT916" s="115"/>
      <c r="AU916" s="115"/>
      <c r="AV916" s="26"/>
      <c r="AW916" s="15"/>
      <c r="AZ916" s="114"/>
      <c r="BA916" s="120"/>
    </row>
    <row r="917" spans="1:53" x14ac:dyDescent="0.4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  <c r="AD917" s="115"/>
      <c r="AE917" s="122"/>
      <c r="AF917" s="122"/>
      <c r="AG917" s="122"/>
      <c r="AH917" s="115"/>
      <c r="AI917" s="115"/>
      <c r="AJ917" s="115"/>
      <c r="AK917" s="115"/>
      <c r="AL917" s="115"/>
      <c r="AM917" s="115"/>
      <c r="AN917" s="115"/>
      <c r="AO917" s="115"/>
      <c r="AP917" s="115"/>
      <c r="AQ917" s="115"/>
      <c r="AR917" s="115"/>
      <c r="AS917" s="115"/>
      <c r="AT917" s="115"/>
      <c r="AU917" s="115"/>
      <c r="AV917" s="26"/>
      <c r="AW917" s="15"/>
      <c r="AZ917" s="114"/>
      <c r="BA917" s="120"/>
    </row>
    <row r="918" spans="1:53" x14ac:dyDescent="0.4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  <c r="AD918" s="115"/>
      <c r="AE918" s="122"/>
      <c r="AF918" s="122"/>
      <c r="AG918" s="122"/>
      <c r="AH918" s="115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15"/>
      <c r="AT918" s="115"/>
      <c r="AU918" s="115"/>
      <c r="AV918" s="26"/>
      <c r="AW918" s="15"/>
      <c r="AZ918" s="114"/>
      <c r="BA918" s="120"/>
    </row>
    <row r="919" spans="1:53" x14ac:dyDescent="0.4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  <c r="AD919" s="115"/>
      <c r="AE919" s="122"/>
      <c r="AF919" s="122"/>
      <c r="AG919" s="122"/>
      <c r="AH919" s="115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115"/>
      <c r="AT919" s="115"/>
      <c r="AU919" s="115"/>
      <c r="AV919" s="26"/>
      <c r="AW919" s="15"/>
      <c r="AZ919" s="114"/>
      <c r="BA919" s="120"/>
    </row>
    <row r="920" spans="1:53" x14ac:dyDescent="0.4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  <c r="AD920" s="115"/>
      <c r="AE920" s="122"/>
      <c r="AF920" s="122"/>
      <c r="AG920" s="122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115"/>
      <c r="AT920" s="115"/>
      <c r="AU920" s="115"/>
      <c r="AV920" s="26"/>
      <c r="AW920" s="15"/>
      <c r="AZ920" s="114"/>
      <c r="BA920" s="120"/>
    </row>
    <row r="921" spans="1:53" x14ac:dyDescent="0.4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  <c r="AD921" s="115"/>
      <c r="AE921" s="122"/>
      <c r="AF921" s="122"/>
      <c r="AG921" s="122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115"/>
      <c r="AT921" s="115"/>
      <c r="AU921" s="115"/>
      <c r="AV921" s="26"/>
      <c r="AW921" s="15"/>
      <c r="AZ921" s="114"/>
      <c r="BA921" s="120"/>
    </row>
    <row r="922" spans="1:53" x14ac:dyDescent="0.4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22"/>
      <c r="AF922" s="122"/>
      <c r="AG922" s="122"/>
      <c r="AH922" s="115"/>
      <c r="AI922" s="115"/>
      <c r="AJ922" s="115"/>
      <c r="AK922" s="115"/>
      <c r="AL922" s="115"/>
      <c r="AM922" s="115"/>
      <c r="AN922" s="115"/>
      <c r="AO922" s="115"/>
      <c r="AP922" s="115"/>
      <c r="AQ922" s="115"/>
      <c r="AR922" s="115"/>
      <c r="AS922" s="115"/>
      <c r="AT922" s="115"/>
      <c r="AU922" s="115"/>
      <c r="AV922" s="26"/>
      <c r="AW922" s="15"/>
      <c r="AZ922" s="114"/>
      <c r="BA922" s="120"/>
    </row>
    <row r="923" spans="1:53" x14ac:dyDescent="0.4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22"/>
      <c r="AF923" s="122"/>
      <c r="AG923" s="122"/>
      <c r="AH923" s="115"/>
      <c r="AI923" s="115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15"/>
      <c r="AT923" s="115"/>
      <c r="AU923" s="115"/>
      <c r="AV923" s="17"/>
      <c r="AW923" s="15"/>
      <c r="AZ923" s="114"/>
      <c r="BA923" s="120"/>
    </row>
    <row r="924" spans="1:53" x14ac:dyDescent="0.4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  <c r="AD924" s="115"/>
      <c r="AE924" s="122"/>
      <c r="AF924" s="122"/>
      <c r="AG924" s="122"/>
      <c r="AH924" s="115"/>
      <c r="AI924" s="115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115"/>
      <c r="AT924" s="115"/>
      <c r="AU924" s="115"/>
      <c r="AV924" s="26"/>
      <c r="AW924" s="15"/>
      <c r="AZ924" s="114"/>
      <c r="BA924" s="120"/>
    </row>
    <row r="925" spans="1:53" x14ac:dyDescent="0.4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  <c r="AD925" s="115"/>
      <c r="AE925" s="122"/>
      <c r="AF925" s="122"/>
      <c r="AG925" s="122"/>
      <c r="AH925" s="115"/>
      <c r="AI925" s="115"/>
      <c r="AJ925" s="115"/>
      <c r="AK925" s="115"/>
      <c r="AL925" s="115"/>
      <c r="AM925" s="115"/>
      <c r="AN925" s="115"/>
      <c r="AO925" s="115"/>
      <c r="AP925" s="115"/>
      <c r="AQ925" s="115"/>
      <c r="AR925" s="115"/>
      <c r="AS925" s="115"/>
      <c r="AT925" s="115"/>
      <c r="AU925" s="115"/>
      <c r="AV925" s="26"/>
      <c r="AW925" s="15"/>
      <c r="AZ925" s="114"/>
    </row>
    <row r="926" spans="1:53" x14ac:dyDescent="0.4">
      <c r="AV926" s="26"/>
      <c r="AW926" s="15"/>
      <c r="AZ926" s="114"/>
    </row>
    <row r="927" spans="1:53" x14ac:dyDescent="0.4">
      <c r="AI927" s="115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115"/>
      <c r="AT927" s="115"/>
      <c r="AU927" s="115"/>
      <c r="AV927" s="17"/>
      <c r="AW927" s="15"/>
      <c r="AZ927" s="114"/>
    </row>
    <row r="928" spans="1:53" x14ac:dyDescent="0.4"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115"/>
      <c r="AT928" s="115"/>
      <c r="AU928" s="115"/>
      <c r="AV928" s="17"/>
      <c r="AW928" s="15"/>
      <c r="AZ928" s="114"/>
    </row>
    <row r="929" spans="4:56" x14ac:dyDescent="0.4">
      <c r="AG929" s="122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115"/>
      <c r="AS929" s="115"/>
      <c r="AT929" s="115"/>
      <c r="AU929" s="115"/>
      <c r="AV929" s="17"/>
      <c r="AW929" s="15"/>
      <c r="AZ929" s="114"/>
    </row>
    <row r="930" spans="4:56" x14ac:dyDescent="0.4">
      <c r="AB930" s="115"/>
      <c r="AC930" s="115"/>
      <c r="AD930" s="115"/>
      <c r="AE930" s="122"/>
      <c r="AF930" s="122"/>
      <c r="AG930" s="122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115"/>
      <c r="AT930" s="115"/>
      <c r="AU930" s="115"/>
      <c r="AV930" s="26"/>
      <c r="AW930" s="15"/>
      <c r="AZ930" s="114"/>
    </row>
    <row r="931" spans="4:56" x14ac:dyDescent="0.4">
      <c r="AB931" s="115"/>
      <c r="AC931" s="115"/>
      <c r="AD931" s="115"/>
      <c r="AE931" s="122"/>
      <c r="AF931" s="122"/>
      <c r="AG931" s="122"/>
      <c r="AH931" s="115"/>
      <c r="AI931" s="115"/>
      <c r="AJ931" s="115"/>
      <c r="AK931" s="115"/>
      <c r="AL931" s="115"/>
      <c r="AM931" s="115"/>
      <c r="AN931" s="115"/>
      <c r="AO931" s="115"/>
      <c r="AP931" s="115"/>
      <c r="AQ931" s="115"/>
      <c r="AR931" s="115"/>
      <c r="AS931" s="115"/>
      <c r="AT931" s="115"/>
      <c r="AU931" s="115"/>
      <c r="AV931" s="17"/>
      <c r="AW931" s="15"/>
      <c r="AZ931" s="114"/>
    </row>
    <row r="932" spans="4:56" x14ac:dyDescent="0.4">
      <c r="AA932" s="115"/>
      <c r="AB932" s="115"/>
      <c r="AC932" s="115"/>
      <c r="AD932" s="115"/>
      <c r="AE932" s="122"/>
      <c r="AF932" s="122"/>
      <c r="AG932" s="122"/>
      <c r="AH932" s="115"/>
      <c r="AI932" s="115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115"/>
      <c r="AT932" s="115"/>
      <c r="AU932" s="115"/>
      <c r="AV932" s="26"/>
      <c r="AW932" s="15"/>
      <c r="AZ932" s="114"/>
    </row>
    <row r="933" spans="4:56" x14ac:dyDescent="0.4">
      <c r="AA933" s="115"/>
      <c r="AB933" s="115"/>
      <c r="AC933" s="115"/>
      <c r="AD933" s="115"/>
      <c r="AE933" s="122"/>
      <c r="AF933" s="122"/>
      <c r="AG933" s="122"/>
      <c r="AH933" s="115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15"/>
      <c r="AT933" s="115"/>
      <c r="AU933" s="115"/>
      <c r="AV933" s="17"/>
      <c r="AW933" s="15"/>
      <c r="AZ933" s="114"/>
    </row>
    <row r="934" spans="4:56" x14ac:dyDescent="0.4">
      <c r="AA934" s="115"/>
      <c r="AB934" s="115"/>
      <c r="AC934" s="115"/>
      <c r="AD934" s="115"/>
      <c r="AE934" s="122"/>
      <c r="AF934" s="122"/>
      <c r="AG934" s="122"/>
      <c r="AH934" s="115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15"/>
      <c r="AS934" s="115"/>
      <c r="AT934" s="115"/>
      <c r="AU934" s="115"/>
      <c r="AV934" s="17"/>
      <c r="AW934" s="15"/>
      <c r="AZ934" s="114"/>
    </row>
    <row r="935" spans="4:56" x14ac:dyDescent="0.4">
      <c r="AA935" s="115"/>
      <c r="AB935" s="115"/>
      <c r="AC935" s="115"/>
      <c r="AD935" s="115"/>
      <c r="AE935" s="122"/>
      <c r="AF935" s="122"/>
      <c r="AG935" s="122"/>
      <c r="AH935" s="115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115"/>
      <c r="AT935" s="115"/>
      <c r="AU935" s="115"/>
      <c r="AV935" s="17"/>
      <c r="AW935" s="15"/>
      <c r="AZ935" s="114"/>
    </row>
    <row r="936" spans="4:56" x14ac:dyDescent="0.4">
      <c r="AA936" s="115"/>
      <c r="AB936" s="115"/>
      <c r="AC936" s="115"/>
      <c r="AD936" s="115"/>
      <c r="AE936" s="122"/>
      <c r="AF936" s="122"/>
      <c r="AG936" s="122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115"/>
      <c r="AT936" s="115"/>
      <c r="AU936" s="115"/>
      <c r="AV936" s="26"/>
      <c r="AW936" s="15"/>
      <c r="AZ936" s="114"/>
    </row>
    <row r="937" spans="4:56" x14ac:dyDescent="0.4">
      <c r="AA937" s="115"/>
      <c r="AB937" s="115"/>
      <c r="AC937" s="115"/>
      <c r="AD937" s="115"/>
      <c r="AE937" s="122"/>
      <c r="AF937" s="122"/>
      <c r="AG937" s="122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115"/>
      <c r="AT937" s="115"/>
      <c r="AU937" s="115"/>
      <c r="AV937" s="17"/>
      <c r="AW937" s="15"/>
      <c r="AZ937" s="114"/>
    </row>
    <row r="938" spans="4:56" ht="19.5" x14ac:dyDescent="0.4">
      <c r="AV938" s="26"/>
      <c r="AW938" s="15"/>
      <c r="BA938" s="116"/>
      <c r="BB938" s="116"/>
      <c r="BC938" s="116"/>
      <c r="BD938" s="116"/>
    </row>
    <row r="939" spans="4:56" ht="19.5" x14ac:dyDescent="0.4">
      <c r="AF939" s="122"/>
      <c r="AG939" s="122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115"/>
      <c r="AT939" s="115"/>
      <c r="AU939" s="115"/>
      <c r="AV939" s="17"/>
      <c r="AW939" s="15"/>
      <c r="BA939" s="117"/>
      <c r="BB939" s="116"/>
      <c r="BC939" s="116"/>
      <c r="BD939" s="116"/>
    </row>
    <row r="940" spans="4:56" ht="19.5" x14ac:dyDescent="0.4">
      <c r="X940" s="115"/>
      <c r="Y940" s="115"/>
      <c r="Z940" s="115"/>
      <c r="AA940" s="115"/>
      <c r="AB940" s="115"/>
      <c r="AC940" s="115"/>
      <c r="AD940" s="115"/>
      <c r="AE940" s="122"/>
      <c r="AF940" s="122"/>
      <c r="AG940" s="122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15"/>
      <c r="AT940" s="115"/>
      <c r="AU940" s="115"/>
      <c r="AV940" s="26"/>
      <c r="AW940" s="15"/>
      <c r="BA940" s="117"/>
      <c r="BB940" s="116"/>
      <c r="BC940" s="116"/>
      <c r="BD940" s="116"/>
    </row>
    <row r="941" spans="4:56" ht="19.5" x14ac:dyDescent="0.4"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  <c r="AD941" s="115"/>
      <c r="AE941" s="122"/>
      <c r="AF941" s="122"/>
      <c r="AG941" s="122"/>
      <c r="AH941" s="115"/>
      <c r="AI941" s="115"/>
      <c r="AJ941" s="115"/>
      <c r="AK941" s="115"/>
      <c r="AL941" s="115"/>
      <c r="AM941" s="115"/>
      <c r="AN941" s="115"/>
      <c r="AO941" s="115"/>
      <c r="AP941" s="115"/>
      <c r="AQ941" s="115"/>
      <c r="AR941" s="115"/>
      <c r="AS941" s="115"/>
      <c r="AT941" s="115"/>
      <c r="AU941" s="115"/>
      <c r="AV941" s="26"/>
      <c r="AW941" s="13"/>
      <c r="BA941" s="117"/>
      <c r="BB941" s="116"/>
      <c r="BC941" s="116"/>
      <c r="BD941" s="116"/>
    </row>
    <row r="942" spans="4:56" ht="19.5" x14ac:dyDescent="0.4"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  <c r="AD942" s="115"/>
      <c r="AE942" s="122"/>
      <c r="AF942" s="122"/>
      <c r="AG942" s="122"/>
      <c r="AH942" s="115"/>
      <c r="AI942" s="115"/>
      <c r="AJ942" s="115"/>
      <c r="AK942" s="115"/>
      <c r="AL942" s="115"/>
      <c r="AM942" s="115"/>
      <c r="AN942" s="115"/>
      <c r="AO942" s="115"/>
      <c r="AP942" s="115"/>
      <c r="AQ942" s="115"/>
      <c r="AR942" s="115"/>
      <c r="AS942" s="115"/>
      <c r="AT942" s="115"/>
      <c r="AU942" s="115"/>
      <c r="AV942" s="26"/>
      <c r="AW942" s="15"/>
      <c r="BA942" s="117"/>
      <c r="BB942" s="116"/>
      <c r="BC942" s="116"/>
      <c r="BD942" s="116"/>
    </row>
    <row r="943" spans="4:56" ht="19.5" x14ac:dyDescent="0.4"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  <c r="AD943" s="115"/>
      <c r="AE943" s="122"/>
      <c r="AF943" s="122"/>
      <c r="AG943" s="122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15"/>
      <c r="AS943" s="115"/>
      <c r="AT943" s="115"/>
      <c r="AU943" s="115"/>
      <c r="AV943" s="17"/>
      <c r="AW943" s="15"/>
      <c r="BA943" s="117"/>
      <c r="BB943" s="116"/>
      <c r="BC943" s="116"/>
      <c r="BD943" s="116"/>
    </row>
    <row r="944" spans="4:56" ht="19.5" x14ac:dyDescent="0.4"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22"/>
      <c r="AF944" s="122"/>
      <c r="AG944" s="122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115"/>
      <c r="AT944" s="115"/>
      <c r="AU944" s="115"/>
      <c r="AV944" s="26"/>
      <c r="AW944" s="15"/>
      <c r="BA944" s="117"/>
      <c r="BB944" s="116"/>
      <c r="BC944" s="116"/>
      <c r="BD944" s="116"/>
    </row>
    <row r="945" spans="1:56" ht="19.5" x14ac:dyDescent="0.4"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  <c r="AD945" s="115"/>
      <c r="AE945" s="122"/>
      <c r="AF945" s="122"/>
      <c r="AG945" s="122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115"/>
      <c r="AS945" s="115"/>
      <c r="AT945" s="115"/>
      <c r="AU945" s="115"/>
      <c r="AV945" s="26"/>
      <c r="AW945" s="15"/>
      <c r="BA945" s="117"/>
      <c r="BB945" s="116"/>
      <c r="BC945" s="116"/>
      <c r="BD945" s="116"/>
    </row>
    <row r="946" spans="1:56" ht="19.5" x14ac:dyDescent="0.4"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22"/>
      <c r="AF946" s="122"/>
      <c r="AG946" s="122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115"/>
      <c r="AT946" s="115"/>
      <c r="AU946" s="115"/>
      <c r="AV946" s="17"/>
      <c r="AW946" s="15"/>
      <c r="BA946" s="117"/>
      <c r="BB946" s="116"/>
      <c r="BC946" s="116"/>
      <c r="BD946" s="116"/>
    </row>
    <row r="947" spans="1:56" ht="19.5" x14ac:dyDescent="0.4"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  <c r="AD947" s="115"/>
      <c r="AE947" s="122"/>
      <c r="AF947" s="122"/>
      <c r="AG947" s="122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115"/>
      <c r="AS947" s="115"/>
      <c r="AT947" s="115"/>
      <c r="AU947" s="115"/>
      <c r="AV947" s="26"/>
      <c r="AW947" s="15"/>
      <c r="BA947" s="117"/>
      <c r="BB947" s="116"/>
      <c r="BC947" s="116"/>
      <c r="BD947" s="116"/>
    </row>
    <row r="948" spans="1:56" ht="19.5" x14ac:dyDescent="0.4">
      <c r="AV948" s="26"/>
      <c r="AW948" s="15"/>
      <c r="BA948" s="117"/>
      <c r="BB948" s="116"/>
      <c r="BC948" s="116"/>
      <c r="BD948" s="116"/>
    </row>
    <row r="949" spans="1:56" ht="19.5" x14ac:dyDescent="0.4">
      <c r="AF949" s="122"/>
      <c r="AG949" s="122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115"/>
      <c r="AT949" s="115"/>
      <c r="AU949" s="115"/>
      <c r="AV949" s="17"/>
      <c r="AW949" s="15"/>
      <c r="BA949" s="117"/>
      <c r="BB949" s="116"/>
      <c r="BC949" s="116"/>
      <c r="BD949" s="116"/>
    </row>
    <row r="950" spans="1:56" ht="19.5" x14ac:dyDescent="0.4">
      <c r="AC950" s="115"/>
      <c r="AD950" s="115"/>
      <c r="AE950" s="122"/>
      <c r="AF950" s="122"/>
      <c r="AG950" s="122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15"/>
      <c r="AT950" s="115"/>
      <c r="AU950" s="115"/>
      <c r="AV950" s="26"/>
      <c r="AW950" s="15"/>
      <c r="BA950" s="117"/>
      <c r="BB950" s="116"/>
      <c r="BC950" s="116"/>
      <c r="BD950" s="116"/>
    </row>
    <row r="951" spans="1:56" ht="19.5" x14ac:dyDescent="0.4">
      <c r="AC951" s="115"/>
      <c r="AD951" s="115"/>
      <c r="AE951" s="122"/>
      <c r="AF951" s="122"/>
      <c r="AG951" s="122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115"/>
      <c r="AT951" s="115"/>
      <c r="AU951" s="115"/>
      <c r="AV951" s="17"/>
      <c r="AW951" s="15"/>
      <c r="BA951" s="117"/>
      <c r="BB951" s="116"/>
      <c r="BC951" s="116"/>
      <c r="BD951" s="116"/>
    </row>
    <row r="952" spans="1:56" ht="19.5" x14ac:dyDescent="0.4">
      <c r="AB952" s="115"/>
      <c r="AC952" s="115"/>
      <c r="AD952" s="115"/>
      <c r="AE952" s="122"/>
      <c r="AF952" s="122"/>
      <c r="AG952" s="122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115"/>
      <c r="AT952" s="115"/>
      <c r="AU952" s="115"/>
      <c r="AV952" s="26"/>
      <c r="AW952" s="15"/>
      <c r="BA952" s="117"/>
      <c r="BB952" s="116"/>
      <c r="BC952" s="116"/>
      <c r="BD952" s="116"/>
    </row>
    <row r="953" spans="1:56" ht="19.5" x14ac:dyDescent="0.4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  <c r="AD953" s="115"/>
      <c r="AE953" s="122"/>
      <c r="AF953" s="122"/>
      <c r="AG953" s="122"/>
      <c r="AH953" s="115"/>
      <c r="AI953" s="115"/>
      <c r="AJ953" s="115"/>
      <c r="AK953" s="115"/>
      <c r="AL953" s="115"/>
      <c r="AM953" s="115"/>
      <c r="AN953" s="115"/>
      <c r="AO953" s="115"/>
      <c r="AP953" s="115"/>
      <c r="AQ953" s="115"/>
      <c r="AR953" s="115"/>
      <c r="AS953" s="115"/>
      <c r="AT953" s="115"/>
      <c r="AU953" s="115"/>
      <c r="AV953" s="26"/>
      <c r="AW953" s="15"/>
      <c r="BA953" s="117"/>
      <c r="BB953" s="116"/>
      <c r="BC953" s="116"/>
      <c r="BD953" s="116"/>
    </row>
    <row r="954" spans="1:56" ht="19.5" x14ac:dyDescent="0.4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  <c r="AD954" s="115"/>
      <c r="AE954" s="122"/>
      <c r="AF954" s="122"/>
      <c r="AG954" s="122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115"/>
      <c r="AT954" s="115"/>
      <c r="AU954" s="115"/>
      <c r="AV954" s="26"/>
      <c r="AW954" s="15"/>
      <c r="BA954" s="117"/>
      <c r="BB954" s="116"/>
      <c r="BC954" s="116"/>
      <c r="BD954" s="116"/>
    </row>
    <row r="955" spans="1:56" ht="19.5" x14ac:dyDescent="0.4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22"/>
      <c r="AF955" s="122"/>
      <c r="AG955" s="122"/>
      <c r="AH955" s="115"/>
      <c r="AI955" s="115"/>
      <c r="AJ955" s="115"/>
      <c r="AK955" s="115"/>
      <c r="AL955" s="115"/>
      <c r="AM955" s="115"/>
      <c r="AN955" s="115"/>
      <c r="AO955" s="115"/>
      <c r="AP955" s="115"/>
      <c r="AQ955" s="115"/>
      <c r="AR955" s="115"/>
      <c r="AS955" s="115"/>
      <c r="AT955" s="115"/>
      <c r="AU955" s="115"/>
      <c r="AV955" s="26"/>
      <c r="AW955" s="15"/>
      <c r="BA955" s="117"/>
      <c r="BB955" s="116"/>
      <c r="BC955" s="116"/>
      <c r="BD955" s="116"/>
    </row>
    <row r="956" spans="1:56" ht="19.5" x14ac:dyDescent="0.4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22"/>
      <c r="AF956" s="122"/>
      <c r="AG956" s="122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115"/>
      <c r="AU956" s="115"/>
      <c r="AV956" s="26"/>
      <c r="AW956" s="105"/>
      <c r="BA956" s="117"/>
      <c r="BB956" s="116"/>
      <c r="BC956" s="116"/>
      <c r="BD956" s="116"/>
    </row>
    <row r="957" spans="1:56" ht="19.5" x14ac:dyDescent="0.4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22"/>
      <c r="AF957" s="122"/>
      <c r="AG957" s="122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15"/>
      <c r="AT957" s="115"/>
      <c r="AU957" s="115"/>
      <c r="AV957" s="26"/>
      <c r="AW957" s="105"/>
      <c r="BA957" s="117"/>
      <c r="BB957" s="116"/>
      <c r="BC957" s="116"/>
      <c r="BD957" s="116"/>
    </row>
    <row r="958" spans="1:56" ht="19.5" x14ac:dyDescent="0.4">
      <c r="AV958" s="26"/>
      <c r="AW958" s="13"/>
      <c r="BA958" s="117"/>
      <c r="BB958" s="116"/>
      <c r="BC958" s="116"/>
      <c r="BD958" s="116"/>
    </row>
    <row r="959" spans="1:56" ht="19.5" x14ac:dyDescent="0.4">
      <c r="AC959" s="115"/>
      <c r="AD959" s="115"/>
      <c r="AE959" s="122"/>
      <c r="AF959" s="122"/>
      <c r="AG959" s="122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115"/>
      <c r="AT959" s="115"/>
      <c r="AU959" s="115"/>
      <c r="AV959" s="26"/>
      <c r="AW959" s="13"/>
      <c r="BA959" s="117"/>
      <c r="BB959" s="116"/>
      <c r="BC959" s="116"/>
      <c r="BD959" s="116"/>
    </row>
    <row r="960" spans="1:56" ht="19.5" x14ac:dyDescent="0.4">
      <c r="X960" s="115"/>
      <c r="Y960" s="115"/>
      <c r="Z960" s="115"/>
      <c r="AA960" s="115"/>
      <c r="AB960" s="115"/>
      <c r="AC960" s="115"/>
      <c r="AD960" s="115"/>
      <c r="AE960" s="122"/>
      <c r="AF960" s="122"/>
      <c r="AG960" s="122"/>
      <c r="AH960" s="115"/>
      <c r="AI960" s="115"/>
      <c r="AJ960" s="115"/>
      <c r="AK960" s="115"/>
      <c r="AL960" s="115"/>
      <c r="AM960" s="115"/>
      <c r="AN960" s="115"/>
      <c r="AO960" s="115"/>
      <c r="AP960" s="115"/>
      <c r="AQ960" s="115"/>
      <c r="AR960" s="115"/>
      <c r="AS960" s="115"/>
      <c r="AT960" s="115"/>
      <c r="AU960" s="115"/>
      <c r="AV960" s="26"/>
      <c r="AW960" s="13"/>
      <c r="BA960" s="117"/>
      <c r="BB960" s="116"/>
      <c r="BC960" s="116"/>
      <c r="BD960" s="116"/>
    </row>
    <row r="961" spans="3:56" ht="19.5" x14ac:dyDescent="0.4">
      <c r="AV961" s="26"/>
      <c r="AW961" s="13"/>
      <c r="BA961" s="117"/>
      <c r="BB961" s="116"/>
      <c r="BC961" s="116"/>
      <c r="BD961" s="116"/>
    </row>
    <row r="962" spans="3:56" ht="19.5" x14ac:dyDescent="0.4"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  <c r="AD962" s="115"/>
      <c r="AE962" s="122"/>
      <c r="AF962" s="122"/>
      <c r="AG962" s="122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115"/>
      <c r="AT962" s="115"/>
      <c r="AU962" s="115"/>
      <c r="AV962" s="26"/>
      <c r="AW962" s="13"/>
      <c r="BA962" s="117"/>
      <c r="BB962" s="116"/>
      <c r="BC962" s="116"/>
      <c r="BD962" s="116"/>
    </row>
    <row r="963" spans="3:56" ht="19.5" x14ac:dyDescent="0.4"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  <c r="AD963" s="115"/>
      <c r="AE963" s="122"/>
      <c r="AF963" s="122"/>
      <c r="AG963" s="122"/>
      <c r="AH963" s="115"/>
      <c r="AI963" s="115"/>
      <c r="AJ963" s="115"/>
      <c r="AK963" s="115"/>
      <c r="AL963" s="115"/>
      <c r="AM963" s="115"/>
      <c r="AN963" s="115"/>
      <c r="AO963" s="115"/>
      <c r="AP963" s="115"/>
      <c r="AQ963" s="115"/>
      <c r="AR963" s="115"/>
      <c r="AS963" s="115"/>
      <c r="AT963" s="115"/>
      <c r="AU963" s="115"/>
      <c r="AV963" s="26"/>
      <c r="AW963" s="13"/>
      <c r="BA963" s="117"/>
      <c r="BB963" s="116"/>
      <c r="BC963" s="116"/>
      <c r="BD963" s="116"/>
    </row>
    <row r="964" spans="3:56" ht="19.5" x14ac:dyDescent="0.4"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  <c r="AD964" s="115"/>
      <c r="AE964" s="122"/>
      <c r="AF964" s="122"/>
      <c r="AG964" s="122"/>
      <c r="AH964" s="115"/>
      <c r="AI964" s="115"/>
      <c r="AJ964" s="115"/>
      <c r="AK964" s="115"/>
      <c r="AL964" s="115"/>
      <c r="AM964" s="115"/>
      <c r="AN964" s="115"/>
      <c r="AO964" s="115"/>
      <c r="AP964" s="115"/>
      <c r="AQ964" s="115"/>
      <c r="AR964" s="115"/>
      <c r="AS964" s="115"/>
      <c r="AT964" s="115"/>
      <c r="AU964" s="115"/>
      <c r="AV964" s="26"/>
      <c r="AW964" s="13"/>
      <c r="BA964" s="117"/>
      <c r="BB964" s="116"/>
      <c r="BC964" s="116"/>
      <c r="BD964" s="116"/>
    </row>
    <row r="965" spans="3:56" ht="19.5" x14ac:dyDescent="0.4"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  <c r="AD965" s="115"/>
      <c r="AE965" s="122"/>
      <c r="AF965" s="122"/>
      <c r="AG965" s="122"/>
      <c r="AH965" s="115"/>
      <c r="AI965" s="115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15"/>
      <c r="AT965" s="115"/>
      <c r="AU965" s="115"/>
      <c r="AV965" s="26"/>
      <c r="AW965" s="13"/>
      <c r="BA965" s="117"/>
      <c r="BB965" s="116"/>
      <c r="BC965" s="116"/>
      <c r="BD965" s="116"/>
    </row>
    <row r="966" spans="3:56" ht="19.5" x14ac:dyDescent="0.4"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22"/>
      <c r="AF966" s="122"/>
      <c r="AG966" s="122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115"/>
      <c r="AT966" s="115"/>
      <c r="AU966" s="115"/>
      <c r="AV966" s="26"/>
      <c r="AW966" s="13"/>
      <c r="BA966" s="117"/>
      <c r="BB966" s="116"/>
      <c r="BC966" s="116"/>
      <c r="BD966" s="116"/>
    </row>
    <row r="967" spans="3:56" ht="19.5" x14ac:dyDescent="0.4"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  <c r="AD967" s="115"/>
      <c r="AE967" s="122"/>
      <c r="AF967" s="122"/>
      <c r="AG967" s="122"/>
      <c r="AH967" s="115"/>
      <c r="AI967" s="115"/>
      <c r="AJ967" s="115"/>
      <c r="AK967" s="115"/>
      <c r="AL967" s="115"/>
      <c r="AM967" s="115"/>
      <c r="AN967" s="115"/>
      <c r="AO967" s="115"/>
      <c r="AP967" s="115"/>
      <c r="AQ967" s="115"/>
      <c r="AR967" s="115"/>
      <c r="AS967" s="115"/>
      <c r="AT967" s="115"/>
      <c r="AU967" s="115"/>
      <c r="AV967" s="26"/>
      <c r="AW967" s="13"/>
      <c r="BA967" s="117"/>
      <c r="BB967" s="116"/>
      <c r="BC967" s="116"/>
      <c r="BD967" s="116"/>
    </row>
    <row r="968" spans="3:56" ht="19.5" x14ac:dyDescent="0.4"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22"/>
      <c r="AF968" s="122"/>
      <c r="AG968" s="122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115"/>
      <c r="AT968" s="115"/>
      <c r="AU968" s="115"/>
      <c r="AV968" s="26"/>
      <c r="AW968" s="13"/>
      <c r="BA968" s="117"/>
      <c r="BB968" s="116"/>
      <c r="BC968" s="116"/>
      <c r="BD968" s="116"/>
    </row>
    <row r="969" spans="3:56" ht="19.5" x14ac:dyDescent="0.4"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22"/>
      <c r="AF969" s="122"/>
      <c r="AG969" s="122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15"/>
      <c r="AT969" s="115"/>
      <c r="AU969" s="115"/>
      <c r="AV969" s="26"/>
      <c r="AW969" s="13"/>
      <c r="BA969" s="117"/>
      <c r="BB969" s="116"/>
      <c r="BC969" s="116"/>
      <c r="BD969" s="116"/>
    </row>
    <row r="970" spans="3:56" ht="19.5" x14ac:dyDescent="0.4">
      <c r="AV970" s="26"/>
      <c r="AW970" s="15"/>
      <c r="BA970" s="117"/>
      <c r="BB970" s="116"/>
      <c r="BC970" s="116"/>
      <c r="BD970" s="116"/>
    </row>
    <row r="971" spans="3:56" ht="19.5" x14ac:dyDescent="0.4"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22"/>
      <c r="AF971" s="122"/>
      <c r="AG971" s="122"/>
      <c r="AH971" s="115"/>
      <c r="AI971" s="115"/>
      <c r="AJ971" s="115"/>
      <c r="AK971" s="115"/>
      <c r="AL971" s="115"/>
      <c r="AM971" s="115"/>
      <c r="AN971" s="115"/>
      <c r="AO971" s="115"/>
      <c r="AP971" s="115"/>
      <c r="AQ971" s="115"/>
      <c r="AR971" s="115"/>
      <c r="AS971" s="115"/>
      <c r="AT971" s="115"/>
      <c r="AU971" s="115"/>
      <c r="AV971" s="26"/>
      <c r="AW971" s="15"/>
      <c r="BA971" s="117"/>
      <c r="BB971" s="116"/>
      <c r="BC971" s="116"/>
      <c r="BD971" s="116"/>
    </row>
    <row r="972" spans="3:56" ht="19.5" x14ac:dyDescent="0.4"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22"/>
      <c r="AF972" s="122"/>
      <c r="AG972" s="122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115"/>
      <c r="AT972" s="115"/>
      <c r="AU972" s="115"/>
      <c r="AV972" s="17"/>
      <c r="AW972" s="15"/>
      <c r="BA972" s="117"/>
      <c r="BB972" s="116"/>
      <c r="BC972" s="116"/>
      <c r="BD972" s="116"/>
    </row>
    <row r="973" spans="3:56" ht="19.5" x14ac:dyDescent="0.4">
      <c r="AV973" s="26"/>
      <c r="AW973" s="15"/>
      <c r="BA973" s="117"/>
      <c r="BB973" s="116"/>
      <c r="BC973" s="116"/>
      <c r="BD973" s="116"/>
    </row>
    <row r="974" spans="3:56" ht="19.5" x14ac:dyDescent="0.4">
      <c r="AV974" s="26"/>
      <c r="AW974" s="13"/>
      <c r="BA974" s="117"/>
      <c r="BB974" s="116"/>
      <c r="BC974" s="116"/>
      <c r="BD974" s="116"/>
    </row>
    <row r="975" spans="3:56" ht="19.5" x14ac:dyDescent="0.4">
      <c r="AB975" s="115"/>
      <c r="AC975" s="115"/>
      <c r="AD975" s="115"/>
      <c r="AE975" s="122"/>
      <c r="AF975" s="122"/>
      <c r="AG975" s="122"/>
      <c r="AH975" s="115"/>
      <c r="AI975" s="115"/>
      <c r="AJ975" s="115"/>
      <c r="AK975" s="115"/>
      <c r="AL975" s="115"/>
      <c r="AM975" s="115"/>
      <c r="AN975" s="115"/>
      <c r="AO975" s="115"/>
      <c r="AP975" s="115"/>
      <c r="AQ975" s="115"/>
      <c r="AR975" s="115"/>
      <c r="AS975" s="115"/>
      <c r="AT975" s="115"/>
      <c r="AU975" s="115"/>
      <c r="AV975" s="26"/>
      <c r="AW975" s="13"/>
      <c r="BA975" s="117"/>
      <c r="BB975" s="116"/>
      <c r="BC975" s="116"/>
      <c r="BD975" s="116"/>
    </row>
    <row r="976" spans="3:56" ht="19.5" x14ac:dyDescent="0.4"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22"/>
      <c r="AF976" s="122"/>
      <c r="AG976" s="122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15"/>
      <c r="AT976" s="115"/>
      <c r="AU976" s="115"/>
      <c r="AV976" s="26"/>
      <c r="AW976" s="13"/>
      <c r="BA976" s="117"/>
      <c r="BB976" s="116"/>
      <c r="BC976" s="116"/>
      <c r="BD976" s="116"/>
    </row>
    <row r="977" spans="1:56" ht="19.5" x14ac:dyDescent="0.4"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22"/>
      <c r="AF977" s="122"/>
      <c r="AG977" s="122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15"/>
      <c r="AT977" s="115"/>
      <c r="AU977" s="115"/>
      <c r="AV977" s="17"/>
      <c r="AW977" s="13"/>
      <c r="BA977" s="117"/>
      <c r="BB977" s="116"/>
      <c r="BC977" s="116"/>
      <c r="BD977" s="116"/>
    </row>
    <row r="978" spans="1:56" ht="19.5" x14ac:dyDescent="0.4"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22"/>
      <c r="AF978" s="122"/>
      <c r="AG978" s="122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115"/>
      <c r="AT978" s="115"/>
      <c r="AU978" s="115"/>
      <c r="AV978" s="26"/>
      <c r="AW978" s="25"/>
      <c r="BA978" s="117"/>
      <c r="BB978" s="116"/>
      <c r="BC978" s="116"/>
      <c r="BD978" s="116"/>
    </row>
    <row r="979" spans="1:56" ht="19.5" x14ac:dyDescent="0.4"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22"/>
      <c r="AF979" s="122"/>
      <c r="AG979" s="122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115"/>
      <c r="AU979" s="115"/>
      <c r="AV979" s="17"/>
      <c r="AW979" s="13"/>
      <c r="BA979" s="117"/>
      <c r="BB979" s="116"/>
      <c r="BC979" s="116"/>
      <c r="BD979" s="116"/>
    </row>
    <row r="980" spans="1:56" ht="19.5" x14ac:dyDescent="0.4"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22"/>
      <c r="AF980" s="122"/>
      <c r="AG980" s="122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115"/>
      <c r="AU980" s="115"/>
      <c r="AV980" s="26"/>
      <c r="AW980" s="13"/>
      <c r="BA980" s="117"/>
      <c r="BB980" s="116"/>
      <c r="BC980" s="116"/>
      <c r="BD980" s="116"/>
    </row>
    <row r="981" spans="1:56" ht="19.5" x14ac:dyDescent="0.4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22"/>
      <c r="AF981" s="122"/>
      <c r="AG981" s="122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115"/>
      <c r="AT981" s="115"/>
      <c r="AU981" s="115"/>
      <c r="AV981" s="26"/>
      <c r="AW981" s="13"/>
      <c r="BA981" s="117"/>
      <c r="BB981" s="116"/>
      <c r="BC981" s="116"/>
      <c r="BD981" s="116"/>
    </row>
    <row r="982" spans="1:56" ht="19.5" x14ac:dyDescent="0.4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22"/>
      <c r="AF982" s="122"/>
      <c r="AG982" s="122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15"/>
      <c r="AT982" s="115"/>
      <c r="AU982" s="115"/>
      <c r="AV982" s="26"/>
      <c r="AW982" s="13"/>
      <c r="BA982" s="117"/>
      <c r="BB982" s="116"/>
      <c r="BC982" s="116"/>
      <c r="BD982" s="116"/>
    </row>
    <row r="983" spans="1:56" ht="19.5" x14ac:dyDescent="0.4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22"/>
      <c r="AF983" s="122"/>
      <c r="AG983" s="122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115"/>
      <c r="AT983" s="115"/>
      <c r="AU983" s="115"/>
      <c r="AV983" s="26"/>
      <c r="AW983" s="13"/>
      <c r="BA983" s="117"/>
      <c r="BB983" s="116"/>
      <c r="BC983" s="116"/>
      <c r="BD983" s="116"/>
    </row>
    <row r="984" spans="1:56" ht="19.5" x14ac:dyDescent="0.4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22"/>
      <c r="AF984" s="122"/>
      <c r="AG984" s="122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115"/>
      <c r="AR984" s="115"/>
      <c r="AS984" s="115"/>
      <c r="AT984" s="115"/>
      <c r="AU984" s="115"/>
      <c r="AV984" s="26"/>
      <c r="AW984" s="13"/>
      <c r="BA984" s="117"/>
      <c r="BB984" s="116"/>
      <c r="BC984" s="116"/>
      <c r="BD984" s="116"/>
    </row>
    <row r="985" spans="1:56" ht="19.5" x14ac:dyDescent="0.4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22"/>
      <c r="AF985" s="122"/>
      <c r="AG985" s="122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115"/>
      <c r="AS985" s="115"/>
      <c r="AT985" s="115"/>
      <c r="AU985" s="115"/>
      <c r="AV985" s="26"/>
      <c r="AW985" s="13"/>
      <c r="BA985" s="117"/>
      <c r="BB985" s="116"/>
      <c r="BC985" s="116"/>
      <c r="BD985" s="116"/>
    </row>
    <row r="986" spans="1:56" ht="19.5" x14ac:dyDescent="0.4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22"/>
      <c r="AF986" s="122"/>
      <c r="AG986" s="122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115"/>
      <c r="AT986" s="115"/>
      <c r="AU986" s="115"/>
      <c r="AV986" s="26"/>
      <c r="AW986" s="13"/>
      <c r="BA986" s="117"/>
      <c r="BB986" s="116"/>
      <c r="BC986" s="116"/>
      <c r="BD986" s="116"/>
    </row>
    <row r="987" spans="1:56" ht="19.5" x14ac:dyDescent="0.4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22"/>
      <c r="AF987" s="122"/>
      <c r="AG987" s="122"/>
      <c r="AH987" s="115"/>
      <c r="AI987" s="115"/>
      <c r="AJ987" s="115"/>
      <c r="AK987" s="115"/>
      <c r="AL987" s="115"/>
      <c r="AM987" s="115"/>
      <c r="AN987" s="115"/>
      <c r="AO987" s="115"/>
      <c r="AP987" s="115"/>
      <c r="AQ987" s="115"/>
      <c r="AR987" s="115"/>
      <c r="AS987" s="115"/>
      <c r="AT987" s="115"/>
      <c r="AU987" s="115"/>
      <c r="AV987" s="26"/>
      <c r="AW987" s="13"/>
      <c r="BA987" s="117"/>
      <c r="BB987" s="116"/>
      <c r="BC987" s="116"/>
      <c r="BD987" s="116"/>
    </row>
    <row r="988" spans="1:56" ht="19.5" x14ac:dyDescent="0.4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22"/>
      <c r="AF988" s="122"/>
      <c r="AG988" s="122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115"/>
      <c r="AT988" s="115"/>
      <c r="AU988" s="115"/>
      <c r="AV988" s="26"/>
      <c r="AW988" s="15"/>
      <c r="BA988" s="117"/>
      <c r="BB988" s="116"/>
      <c r="BC988" s="116"/>
      <c r="BD988" s="116"/>
    </row>
    <row r="989" spans="1:56" ht="19.5" x14ac:dyDescent="0.4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22"/>
      <c r="AF989" s="122"/>
      <c r="AG989" s="122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115"/>
      <c r="AU989" s="115"/>
      <c r="AV989" s="26"/>
      <c r="AW989" s="15"/>
      <c r="BA989" s="117"/>
      <c r="BB989" s="116"/>
      <c r="BC989" s="116"/>
      <c r="BD989" s="116"/>
    </row>
    <row r="990" spans="1:56" ht="19.5" x14ac:dyDescent="0.4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22"/>
      <c r="AF990" s="122"/>
      <c r="AG990" s="122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115"/>
      <c r="AU990" s="115"/>
      <c r="AV990" s="26"/>
      <c r="AW990" s="15"/>
      <c r="BA990" s="117"/>
      <c r="BB990" s="116"/>
      <c r="BC990" s="116"/>
      <c r="BD990" s="116"/>
    </row>
    <row r="991" spans="1:56" ht="19.5" x14ac:dyDescent="0.4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22"/>
      <c r="AF991" s="122"/>
      <c r="AG991" s="122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115"/>
      <c r="AT991" s="115"/>
      <c r="AU991" s="115"/>
      <c r="AV991" s="26"/>
      <c r="AW991" s="15"/>
      <c r="BA991" s="117"/>
      <c r="BB991" s="116"/>
      <c r="BC991" s="116"/>
      <c r="BD991" s="116"/>
    </row>
    <row r="992" spans="1:56" ht="19.5" x14ac:dyDescent="0.4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22"/>
      <c r="AF992" s="122"/>
      <c r="AG992" s="122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115"/>
      <c r="AU992" s="115"/>
      <c r="AV992" s="26"/>
      <c r="AW992" s="25"/>
      <c r="BA992" s="117"/>
      <c r="BB992" s="116"/>
      <c r="BC992" s="116"/>
      <c r="BD992" s="116"/>
    </row>
    <row r="993" spans="1:56" ht="19.5" x14ac:dyDescent="0.4">
      <c r="AV993" s="26"/>
      <c r="AW993" s="15"/>
      <c r="BA993" s="117"/>
      <c r="BB993" s="116"/>
      <c r="BC993" s="116"/>
      <c r="BD993" s="116"/>
    </row>
    <row r="994" spans="1:56" ht="19.5" x14ac:dyDescent="0.4">
      <c r="AD994" s="115"/>
      <c r="AE994" s="122"/>
      <c r="AF994" s="122"/>
      <c r="AG994" s="122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15"/>
      <c r="AS994" s="115"/>
      <c r="AT994" s="115"/>
      <c r="AU994" s="115"/>
      <c r="AV994" s="26"/>
      <c r="AW994" s="15"/>
      <c r="BA994" s="117"/>
      <c r="BB994" s="116"/>
      <c r="BC994" s="116"/>
      <c r="BD994" s="116"/>
    </row>
    <row r="995" spans="1:56" ht="19.5" x14ac:dyDescent="0.4">
      <c r="AB995" s="115"/>
      <c r="AC995" s="115"/>
      <c r="AD995" s="115"/>
      <c r="AE995" s="122"/>
      <c r="AF995" s="122"/>
      <c r="AG995" s="122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115"/>
      <c r="AU995" s="115"/>
      <c r="AV995" s="26"/>
      <c r="AW995" s="15"/>
      <c r="BA995" s="117"/>
      <c r="BB995" s="116"/>
      <c r="BC995" s="116"/>
      <c r="BD995" s="116"/>
    </row>
    <row r="996" spans="1:56" ht="19.5" x14ac:dyDescent="0.4">
      <c r="AB996" s="115"/>
      <c r="AC996" s="115"/>
      <c r="AD996" s="115"/>
      <c r="AE996" s="122"/>
      <c r="AF996" s="122"/>
      <c r="AG996" s="122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115"/>
      <c r="AT996" s="115"/>
      <c r="AU996" s="115"/>
      <c r="AV996" s="17"/>
      <c r="AW996" s="15"/>
      <c r="BA996" s="117"/>
      <c r="BB996" s="116"/>
      <c r="BC996" s="116"/>
      <c r="BD996" s="116"/>
    </row>
    <row r="997" spans="1:56" ht="19.5" x14ac:dyDescent="0.4">
      <c r="Y997" s="115"/>
      <c r="Z997" s="115"/>
      <c r="AA997" s="115"/>
      <c r="AB997" s="115"/>
      <c r="AC997" s="115"/>
      <c r="AD997" s="115"/>
      <c r="AE997" s="122"/>
      <c r="AF997" s="122"/>
      <c r="AG997" s="122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115"/>
      <c r="AT997" s="115"/>
      <c r="AU997" s="115"/>
      <c r="AV997" s="26"/>
      <c r="AW997" s="15"/>
      <c r="BA997" s="117"/>
      <c r="BB997" s="116"/>
      <c r="BC997" s="116"/>
      <c r="BD997" s="116"/>
    </row>
    <row r="998" spans="1:56" ht="19.5" x14ac:dyDescent="0.4">
      <c r="Y998" s="115"/>
      <c r="Z998" s="115"/>
      <c r="AA998" s="115"/>
      <c r="AB998" s="115"/>
      <c r="AC998" s="115"/>
      <c r="AD998" s="115"/>
      <c r="AE998" s="122"/>
      <c r="AF998" s="122"/>
      <c r="AG998" s="122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115"/>
      <c r="AT998" s="115"/>
      <c r="AU998" s="115"/>
      <c r="AV998" s="17"/>
      <c r="AW998" s="15"/>
      <c r="BA998" s="117"/>
      <c r="BB998" s="116"/>
      <c r="BC998" s="116"/>
      <c r="BD998" s="116"/>
    </row>
    <row r="999" spans="1:56" ht="19.5" x14ac:dyDescent="0.4">
      <c r="Y999" s="115"/>
      <c r="Z999" s="115"/>
      <c r="AA999" s="115"/>
      <c r="AB999" s="115"/>
      <c r="AC999" s="115"/>
      <c r="AD999" s="115"/>
      <c r="AE999" s="122"/>
      <c r="AF999" s="122"/>
      <c r="AG999" s="122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115"/>
      <c r="AT999" s="115"/>
      <c r="AU999" s="115"/>
      <c r="AV999" s="26"/>
      <c r="AW999" s="15"/>
      <c r="BA999" s="117"/>
      <c r="BB999" s="116"/>
      <c r="BC999" s="116"/>
      <c r="BD999" s="116"/>
    </row>
    <row r="1000" spans="1:56" ht="19.5" x14ac:dyDescent="0.4">
      <c r="Y1000" s="115"/>
      <c r="Z1000" s="115"/>
      <c r="AA1000" s="115"/>
      <c r="AB1000" s="115"/>
      <c r="AC1000" s="115"/>
      <c r="AD1000" s="115"/>
      <c r="AE1000" s="122"/>
      <c r="AF1000" s="122"/>
      <c r="AG1000" s="122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115"/>
      <c r="AT1000" s="115"/>
      <c r="AU1000" s="115"/>
      <c r="AV1000" s="17"/>
      <c r="AW1000" s="13"/>
      <c r="BA1000" s="117"/>
      <c r="BB1000" s="116"/>
      <c r="BC1000" s="116"/>
      <c r="BD1000" s="116"/>
    </row>
    <row r="1001" spans="1:56" ht="19.5" x14ac:dyDescent="0.4">
      <c r="Y1001" s="115"/>
      <c r="Z1001" s="115"/>
      <c r="AA1001" s="115"/>
      <c r="AB1001" s="115"/>
      <c r="AC1001" s="115"/>
      <c r="AD1001" s="115"/>
      <c r="AE1001" s="122"/>
      <c r="AF1001" s="122"/>
      <c r="AG1001" s="122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115"/>
      <c r="AU1001" s="115"/>
      <c r="AV1001" s="17"/>
      <c r="AW1001" s="13"/>
      <c r="BA1001" s="117"/>
      <c r="BB1001" s="116"/>
      <c r="BC1001" s="116"/>
      <c r="BD1001" s="116"/>
    </row>
    <row r="1002" spans="1:56" ht="19.5" x14ac:dyDescent="0.4">
      <c r="AV1002" s="26"/>
      <c r="AW1002" s="13"/>
      <c r="BA1002" s="117"/>
      <c r="BB1002" s="116"/>
      <c r="BC1002" s="116"/>
      <c r="BD1002" s="116"/>
    </row>
    <row r="1003" spans="1:56" ht="19.5" x14ac:dyDescent="0.4">
      <c r="AD1003" s="115"/>
      <c r="AE1003" s="122"/>
      <c r="AF1003" s="122"/>
      <c r="AG1003" s="122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15"/>
      <c r="AS1003" s="115"/>
      <c r="AT1003" s="115"/>
      <c r="AU1003" s="115"/>
      <c r="AV1003" s="17"/>
      <c r="AW1003" s="13"/>
      <c r="BA1003" s="117"/>
      <c r="BB1003" s="116"/>
      <c r="BC1003" s="116"/>
      <c r="BD1003" s="116"/>
    </row>
    <row r="1004" spans="1:56" ht="19.5" x14ac:dyDescent="0.4">
      <c r="A1004" s="115"/>
      <c r="B1004" s="115"/>
      <c r="C1004" s="115"/>
      <c r="D1004" s="115"/>
      <c r="E1004" s="115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22"/>
      <c r="AF1004" s="122"/>
      <c r="AG1004" s="122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115"/>
      <c r="AT1004" s="115"/>
      <c r="AU1004" s="115"/>
      <c r="AV1004" s="26"/>
      <c r="AW1004" s="13"/>
      <c r="BA1004" s="117"/>
      <c r="BB1004" s="116"/>
      <c r="BC1004" s="116"/>
      <c r="BD1004" s="116"/>
    </row>
    <row r="1005" spans="1:56" ht="19.5" x14ac:dyDescent="0.4">
      <c r="A1005" s="115"/>
      <c r="B1005" s="115"/>
      <c r="C1005" s="115"/>
      <c r="D1005" s="115"/>
      <c r="E1005" s="115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22"/>
      <c r="AF1005" s="122"/>
      <c r="AG1005" s="122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115"/>
      <c r="AU1005" s="115"/>
      <c r="AV1005" s="26"/>
      <c r="AW1005" s="13"/>
      <c r="BA1005" s="117"/>
      <c r="BB1005" s="116"/>
      <c r="BC1005" s="116"/>
      <c r="BD1005" s="116"/>
    </row>
    <row r="1006" spans="1:56" ht="19.5" x14ac:dyDescent="0.4">
      <c r="A1006" s="115"/>
      <c r="B1006" s="115"/>
      <c r="C1006" s="115"/>
      <c r="D1006" s="115"/>
      <c r="E1006" s="115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22"/>
      <c r="AF1006" s="122"/>
      <c r="AG1006" s="122"/>
      <c r="AH1006" s="115"/>
      <c r="AI1006" s="115"/>
      <c r="AJ1006" s="115"/>
      <c r="AK1006" s="115"/>
      <c r="AL1006" s="115"/>
      <c r="AM1006" s="115"/>
      <c r="AN1006" s="115"/>
      <c r="AO1006" s="115"/>
      <c r="AP1006" s="115"/>
      <c r="AQ1006" s="115"/>
      <c r="AR1006" s="115"/>
      <c r="AS1006" s="115"/>
      <c r="AT1006" s="115"/>
      <c r="AU1006" s="115"/>
      <c r="AV1006" s="26"/>
      <c r="AW1006" s="13"/>
      <c r="BA1006" s="117"/>
      <c r="BB1006" s="116"/>
      <c r="BC1006" s="116"/>
      <c r="BD1006" s="116"/>
    </row>
    <row r="1007" spans="1:56" ht="19.5" x14ac:dyDescent="0.4">
      <c r="A1007" s="115"/>
      <c r="B1007" s="115"/>
      <c r="C1007" s="115"/>
      <c r="D1007" s="115"/>
      <c r="E1007" s="115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22"/>
      <c r="AF1007" s="122"/>
      <c r="AG1007" s="122"/>
      <c r="AH1007" s="115"/>
      <c r="AI1007" s="115"/>
      <c r="AJ1007" s="115"/>
      <c r="AK1007" s="115"/>
      <c r="AL1007" s="115"/>
      <c r="AM1007" s="115"/>
      <c r="AN1007" s="115"/>
      <c r="AO1007" s="115"/>
      <c r="AP1007" s="115"/>
      <c r="AQ1007" s="115"/>
      <c r="AR1007" s="115"/>
      <c r="AS1007" s="115"/>
      <c r="AT1007" s="115"/>
      <c r="AU1007" s="115"/>
      <c r="AV1007" s="26"/>
      <c r="AW1007" s="13"/>
      <c r="BA1007" s="117"/>
      <c r="BB1007" s="116"/>
      <c r="BC1007" s="116"/>
      <c r="BD1007" s="116"/>
    </row>
    <row r="1008" spans="1:56" ht="19.5" x14ac:dyDescent="0.4">
      <c r="A1008" s="115"/>
      <c r="B1008" s="115"/>
      <c r="C1008" s="115"/>
      <c r="D1008" s="115"/>
      <c r="E1008" s="115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22"/>
      <c r="AF1008" s="122"/>
      <c r="AG1008" s="122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115"/>
      <c r="AT1008" s="115"/>
      <c r="AU1008" s="115"/>
      <c r="AV1008" s="17"/>
      <c r="AW1008" s="13"/>
      <c r="BA1008" s="117"/>
      <c r="BB1008" s="116"/>
      <c r="BC1008" s="116"/>
      <c r="BD1008" s="116"/>
    </row>
    <row r="1009" spans="1:56" ht="19.5" x14ac:dyDescent="0.4">
      <c r="A1009" s="115"/>
      <c r="B1009" s="115"/>
      <c r="C1009" s="115"/>
      <c r="D1009" s="115"/>
      <c r="E1009" s="115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22"/>
      <c r="AF1009" s="122"/>
      <c r="AG1009" s="122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115"/>
      <c r="AT1009" s="115"/>
      <c r="AU1009" s="115"/>
      <c r="AV1009" s="26"/>
      <c r="AW1009" s="13"/>
      <c r="BA1009" s="117"/>
      <c r="BB1009" s="116"/>
      <c r="BC1009" s="116"/>
      <c r="BD1009" s="116"/>
    </row>
    <row r="1010" spans="1:56" ht="19.5" x14ac:dyDescent="0.4">
      <c r="A1010" s="115"/>
      <c r="B1010" s="115"/>
      <c r="C1010" s="115"/>
      <c r="D1010" s="115"/>
      <c r="E1010" s="115"/>
      <c r="F1010" s="115"/>
      <c r="G1010" s="115"/>
      <c r="H1010" s="115"/>
      <c r="I1010" s="115"/>
      <c r="J1010" s="115"/>
      <c r="K1010" s="115"/>
      <c r="L1010" s="115"/>
      <c r="M1010" s="115"/>
      <c r="N1010" s="115"/>
      <c r="O1010" s="115"/>
      <c r="P1010" s="115"/>
      <c r="Q1010" s="115"/>
      <c r="R1010" s="115"/>
      <c r="S1010" s="115"/>
      <c r="T1010" s="115"/>
      <c r="U1010" s="115"/>
      <c r="V1010" s="115"/>
      <c r="W1010" s="115"/>
      <c r="X1010" s="115"/>
      <c r="Y1010" s="115"/>
      <c r="Z1010" s="115"/>
      <c r="AA1010" s="115"/>
      <c r="AB1010" s="115"/>
      <c r="AC1010" s="115"/>
      <c r="AD1010" s="115"/>
      <c r="AE1010" s="122"/>
      <c r="AF1010" s="122"/>
      <c r="AG1010" s="122"/>
      <c r="AH1010" s="115"/>
      <c r="AI1010" s="115"/>
      <c r="AJ1010" s="115"/>
      <c r="AK1010" s="115"/>
      <c r="AL1010" s="115"/>
      <c r="AM1010" s="115"/>
      <c r="AN1010" s="115"/>
      <c r="AO1010" s="115"/>
      <c r="AP1010" s="115"/>
      <c r="AQ1010" s="115"/>
      <c r="AR1010" s="115"/>
      <c r="AS1010" s="115"/>
      <c r="AT1010" s="115"/>
      <c r="AU1010" s="115"/>
      <c r="AV1010" s="26"/>
      <c r="AW1010" s="15"/>
      <c r="BA1010" s="117"/>
      <c r="BB1010" s="116"/>
      <c r="BC1010" s="116"/>
      <c r="BD1010" s="116"/>
    </row>
    <row r="1011" spans="1:56" ht="19.5" x14ac:dyDescent="0.4">
      <c r="AV1011" s="26"/>
      <c r="AW1011" s="15"/>
      <c r="BA1011" s="117"/>
      <c r="BB1011" s="116"/>
      <c r="BC1011" s="116"/>
      <c r="BD1011" s="116"/>
    </row>
    <row r="1012" spans="1:56" ht="19.5" x14ac:dyDescent="0.4">
      <c r="AC1012" s="115"/>
      <c r="AD1012" s="115"/>
      <c r="AE1012" s="122"/>
      <c r="AF1012" s="122"/>
      <c r="AG1012" s="122"/>
      <c r="AH1012" s="115"/>
      <c r="AI1012" s="115"/>
      <c r="AJ1012" s="115"/>
      <c r="AK1012" s="115"/>
      <c r="AL1012" s="115"/>
      <c r="AM1012" s="115"/>
      <c r="AN1012" s="115"/>
      <c r="AO1012" s="115"/>
      <c r="AP1012" s="115"/>
      <c r="AQ1012" s="115"/>
      <c r="AR1012" s="115"/>
      <c r="AS1012" s="115"/>
      <c r="AT1012" s="115"/>
      <c r="AU1012" s="115"/>
      <c r="AV1012" s="26"/>
      <c r="AW1012" s="13"/>
      <c r="BA1012" s="117"/>
      <c r="BB1012" s="116"/>
      <c r="BC1012" s="116"/>
      <c r="BD1012" s="116"/>
    </row>
    <row r="1013" spans="1:56" ht="19.5" x14ac:dyDescent="0.4">
      <c r="AA1013" s="115"/>
      <c r="AB1013" s="115"/>
      <c r="AC1013" s="115"/>
      <c r="AD1013" s="115"/>
      <c r="AE1013" s="122"/>
      <c r="AF1013" s="122"/>
      <c r="AG1013" s="122"/>
      <c r="AH1013" s="115"/>
      <c r="AI1013" s="115"/>
      <c r="AJ1013" s="115"/>
      <c r="AK1013" s="115"/>
      <c r="AL1013" s="115"/>
      <c r="AM1013" s="115"/>
      <c r="AN1013" s="115"/>
      <c r="AO1013" s="115"/>
      <c r="AP1013" s="115"/>
      <c r="AQ1013" s="115"/>
      <c r="AR1013" s="115"/>
      <c r="AS1013" s="115"/>
      <c r="AT1013" s="115"/>
      <c r="AU1013" s="115"/>
      <c r="AV1013" s="26"/>
      <c r="AW1013" s="15"/>
      <c r="BA1013" s="117"/>
      <c r="BB1013" s="116"/>
      <c r="BC1013" s="116"/>
      <c r="BD1013" s="116"/>
    </row>
    <row r="1014" spans="1:56" ht="19.5" x14ac:dyDescent="0.4">
      <c r="AA1014" s="115"/>
      <c r="AB1014" s="115"/>
      <c r="AC1014" s="115"/>
      <c r="AD1014" s="115"/>
      <c r="AE1014" s="122"/>
      <c r="AF1014" s="122"/>
      <c r="AG1014" s="122"/>
      <c r="AH1014" s="115"/>
      <c r="AI1014" s="115"/>
      <c r="AJ1014" s="115"/>
      <c r="AK1014" s="115"/>
      <c r="AL1014" s="115"/>
      <c r="AM1014" s="115"/>
      <c r="AN1014" s="115"/>
      <c r="AO1014" s="115"/>
      <c r="AP1014" s="115"/>
      <c r="AQ1014" s="115"/>
      <c r="AR1014" s="115"/>
      <c r="AS1014" s="115"/>
      <c r="AT1014" s="115"/>
      <c r="AU1014" s="115"/>
      <c r="AV1014" s="26"/>
      <c r="AW1014" s="15"/>
      <c r="BA1014" s="117"/>
      <c r="BB1014" s="116"/>
      <c r="BC1014" s="116"/>
      <c r="BD1014" s="116"/>
    </row>
    <row r="1015" spans="1:56" ht="19.5" x14ac:dyDescent="0.4">
      <c r="AA1015" s="115"/>
      <c r="AB1015" s="115"/>
      <c r="AC1015" s="115"/>
      <c r="AD1015" s="115"/>
      <c r="AE1015" s="122"/>
      <c r="AF1015" s="122"/>
      <c r="AG1015" s="122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115"/>
      <c r="AT1015" s="115"/>
      <c r="AU1015" s="115"/>
      <c r="AV1015" s="17"/>
      <c r="AW1015" s="15"/>
      <c r="BA1015" s="117"/>
      <c r="BB1015" s="116"/>
      <c r="BC1015" s="116"/>
      <c r="BD1015" s="116"/>
    </row>
    <row r="1016" spans="1:56" ht="19.5" x14ac:dyDescent="0.4">
      <c r="Z1016" s="115"/>
      <c r="AA1016" s="115"/>
      <c r="AB1016" s="115"/>
      <c r="AC1016" s="115"/>
      <c r="AD1016" s="115"/>
      <c r="AE1016" s="122"/>
      <c r="AF1016" s="122"/>
      <c r="AG1016" s="122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115"/>
      <c r="AU1016" s="115"/>
      <c r="AV1016" s="26"/>
      <c r="AW1016" s="15"/>
      <c r="BA1016" s="117"/>
      <c r="BB1016" s="116"/>
      <c r="BC1016" s="116"/>
      <c r="BD1016" s="116"/>
    </row>
    <row r="1017" spans="1:56" ht="19.5" x14ac:dyDescent="0.4">
      <c r="Z1017" s="115"/>
      <c r="AA1017" s="115"/>
      <c r="AB1017" s="115"/>
      <c r="AC1017" s="115"/>
      <c r="AD1017" s="115"/>
      <c r="AE1017" s="122"/>
      <c r="AF1017" s="122"/>
      <c r="AG1017" s="122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115"/>
      <c r="AT1017" s="115"/>
      <c r="AU1017" s="115"/>
      <c r="AV1017" s="26"/>
      <c r="AW1017" s="15"/>
      <c r="BA1017" s="117"/>
      <c r="BB1017" s="116"/>
      <c r="BC1017" s="116"/>
      <c r="BD1017" s="116"/>
    </row>
    <row r="1018" spans="1:56" ht="19.5" x14ac:dyDescent="0.4">
      <c r="Z1018" s="115"/>
      <c r="AA1018" s="115"/>
      <c r="AB1018" s="115"/>
      <c r="AC1018" s="115"/>
      <c r="AD1018" s="115"/>
      <c r="AE1018" s="122"/>
      <c r="AF1018" s="122"/>
      <c r="AG1018" s="122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115"/>
      <c r="AT1018" s="115"/>
      <c r="AU1018" s="115"/>
      <c r="AV1018" s="26"/>
      <c r="AW1018" s="105"/>
      <c r="BA1018" s="117"/>
      <c r="BB1018" s="116"/>
      <c r="BC1018" s="116"/>
      <c r="BD1018" s="116"/>
    </row>
    <row r="1019" spans="1:56" ht="19.5" x14ac:dyDescent="0.4">
      <c r="Z1019" s="115"/>
      <c r="AA1019" s="115"/>
      <c r="AB1019" s="115"/>
      <c r="AC1019" s="115"/>
      <c r="AD1019" s="115"/>
      <c r="AE1019" s="122"/>
      <c r="AF1019" s="122"/>
      <c r="AG1019" s="122"/>
      <c r="AH1019" s="115"/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115"/>
      <c r="AT1019" s="115"/>
      <c r="AU1019" s="115"/>
      <c r="AV1019" s="17"/>
      <c r="AW1019" s="15"/>
      <c r="BA1019" s="117"/>
      <c r="BB1019" s="116"/>
      <c r="BC1019" s="116"/>
      <c r="BD1019" s="116"/>
    </row>
    <row r="1020" spans="1:56" ht="19.5" x14ac:dyDescent="0.4">
      <c r="Z1020" s="115"/>
      <c r="AA1020" s="115"/>
      <c r="AB1020" s="115"/>
      <c r="AC1020" s="115"/>
      <c r="AD1020" s="115"/>
      <c r="AE1020" s="122"/>
      <c r="AF1020" s="122"/>
      <c r="AG1020" s="122"/>
      <c r="AH1020" s="115"/>
      <c r="AI1020" s="115"/>
      <c r="AJ1020" s="115"/>
      <c r="AK1020" s="115"/>
      <c r="AL1020" s="115"/>
      <c r="AM1020" s="115"/>
      <c r="AN1020" s="115"/>
      <c r="AO1020" s="115"/>
      <c r="AP1020" s="115"/>
      <c r="AQ1020" s="115"/>
      <c r="AR1020" s="115"/>
      <c r="AS1020" s="115"/>
      <c r="AT1020" s="115"/>
      <c r="AU1020" s="115"/>
      <c r="AV1020" s="26"/>
      <c r="AW1020" s="15"/>
      <c r="BA1020" s="117"/>
      <c r="BB1020" s="116"/>
      <c r="BC1020" s="116"/>
      <c r="BD1020" s="116"/>
    </row>
    <row r="1021" spans="1:56" ht="19.5" x14ac:dyDescent="0.4">
      <c r="Z1021" s="115"/>
      <c r="AA1021" s="115"/>
      <c r="AB1021" s="115"/>
      <c r="AC1021" s="115"/>
      <c r="AD1021" s="115"/>
      <c r="AE1021" s="122"/>
      <c r="AF1021" s="122"/>
      <c r="AG1021" s="122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15"/>
      <c r="AT1021" s="115"/>
      <c r="AU1021" s="115"/>
      <c r="AV1021" s="17"/>
      <c r="AW1021" s="15"/>
      <c r="BA1021" s="117"/>
      <c r="BB1021" s="116"/>
      <c r="BC1021" s="116"/>
      <c r="BD1021" s="116"/>
    </row>
    <row r="1022" spans="1:56" ht="19.5" x14ac:dyDescent="0.4">
      <c r="E1022" s="115"/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22"/>
      <c r="AF1022" s="122"/>
      <c r="AG1022" s="122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15"/>
      <c r="AT1022" s="115"/>
      <c r="AU1022" s="115"/>
      <c r="AV1022" s="26"/>
      <c r="AW1022" s="15"/>
      <c r="BA1022" s="117"/>
      <c r="BB1022" s="116"/>
      <c r="BC1022" s="116"/>
      <c r="BD1022" s="116"/>
    </row>
    <row r="1023" spans="1:56" ht="19.5" x14ac:dyDescent="0.4">
      <c r="E1023" s="115"/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22"/>
      <c r="AF1023" s="122"/>
      <c r="AG1023" s="122"/>
      <c r="AH1023" s="115"/>
      <c r="AI1023" s="115"/>
      <c r="AJ1023" s="115"/>
      <c r="AK1023" s="115"/>
      <c r="AL1023" s="115"/>
      <c r="AM1023" s="115"/>
      <c r="AN1023" s="115"/>
      <c r="AO1023" s="115"/>
      <c r="AP1023" s="115"/>
      <c r="AQ1023" s="115"/>
      <c r="AR1023" s="115"/>
      <c r="AS1023" s="115"/>
      <c r="AT1023" s="115"/>
      <c r="AU1023" s="115"/>
      <c r="AV1023" s="17"/>
      <c r="AW1023" s="15"/>
      <c r="BA1023" s="117"/>
      <c r="BB1023" s="116"/>
      <c r="BC1023" s="116"/>
      <c r="BD1023" s="116"/>
    </row>
    <row r="1024" spans="1:56" ht="19.5" x14ac:dyDescent="0.4">
      <c r="E1024" s="115"/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22"/>
      <c r="AF1024" s="122"/>
      <c r="AG1024" s="122"/>
      <c r="AH1024" s="115"/>
      <c r="AI1024" s="115"/>
      <c r="AJ1024" s="115"/>
      <c r="AK1024" s="115"/>
      <c r="AL1024" s="115"/>
      <c r="AM1024" s="115"/>
      <c r="AN1024" s="115"/>
      <c r="AO1024" s="115"/>
      <c r="AP1024" s="115"/>
      <c r="AQ1024" s="115"/>
      <c r="AR1024" s="115"/>
      <c r="AS1024" s="115"/>
      <c r="AT1024" s="115"/>
      <c r="AU1024" s="115"/>
      <c r="AV1024" s="26"/>
      <c r="AW1024" s="15"/>
      <c r="BA1024" s="117"/>
      <c r="BB1024" s="116"/>
      <c r="BC1024" s="116"/>
      <c r="BD1024" s="116"/>
    </row>
    <row r="1025" spans="1:56" ht="19.5" x14ac:dyDescent="0.4">
      <c r="E1025" s="115"/>
      <c r="F1025" s="115"/>
      <c r="G1025" s="115"/>
      <c r="H1025" s="115"/>
      <c r="I1025" s="115"/>
      <c r="J1025" s="115"/>
      <c r="K1025" s="115"/>
      <c r="L1025" s="115"/>
      <c r="M1025" s="115"/>
      <c r="N1025" s="115"/>
      <c r="O1025" s="115"/>
      <c r="P1025" s="115"/>
      <c r="Q1025" s="115"/>
      <c r="R1025" s="115"/>
      <c r="S1025" s="115"/>
      <c r="T1025" s="115"/>
      <c r="U1025" s="115"/>
      <c r="V1025" s="115"/>
      <c r="W1025" s="115"/>
      <c r="X1025" s="115"/>
      <c r="Y1025" s="115"/>
      <c r="Z1025" s="115"/>
      <c r="AA1025" s="115"/>
      <c r="AB1025" s="115"/>
      <c r="AC1025" s="115"/>
      <c r="AD1025" s="115"/>
      <c r="AE1025" s="122"/>
      <c r="AF1025" s="122"/>
      <c r="AG1025" s="122"/>
      <c r="AH1025" s="115"/>
      <c r="AI1025" s="115"/>
      <c r="AJ1025" s="115"/>
      <c r="AK1025" s="115"/>
      <c r="AL1025" s="115"/>
      <c r="AM1025" s="115"/>
      <c r="AN1025" s="115"/>
      <c r="AO1025" s="115"/>
      <c r="AP1025" s="115"/>
      <c r="AQ1025" s="115"/>
      <c r="AR1025" s="115"/>
      <c r="AS1025" s="115"/>
      <c r="AT1025" s="115"/>
      <c r="AU1025" s="115"/>
      <c r="AV1025" s="17"/>
      <c r="AW1025" s="15"/>
      <c r="BA1025" s="117"/>
      <c r="BB1025" s="116"/>
      <c r="BC1025" s="116"/>
      <c r="BD1025" s="116"/>
    </row>
    <row r="1026" spans="1:56" ht="19.5" x14ac:dyDescent="0.4">
      <c r="A1026" s="115"/>
      <c r="B1026" s="115"/>
      <c r="C1026" s="115"/>
      <c r="D1026" s="115"/>
      <c r="E1026" s="115"/>
      <c r="F1026" s="115"/>
      <c r="G1026" s="115"/>
      <c r="H1026" s="115"/>
      <c r="I1026" s="115"/>
      <c r="J1026" s="115"/>
      <c r="K1026" s="115"/>
      <c r="L1026" s="115"/>
      <c r="M1026" s="115"/>
      <c r="N1026" s="115"/>
      <c r="O1026" s="115"/>
      <c r="P1026" s="115"/>
      <c r="Q1026" s="115"/>
      <c r="R1026" s="115"/>
      <c r="S1026" s="115"/>
      <c r="T1026" s="115"/>
      <c r="U1026" s="115"/>
      <c r="V1026" s="115"/>
      <c r="W1026" s="115"/>
      <c r="X1026" s="115"/>
      <c r="Y1026" s="115"/>
      <c r="Z1026" s="115"/>
      <c r="AA1026" s="115"/>
      <c r="AB1026" s="115"/>
      <c r="AC1026" s="115"/>
      <c r="AD1026" s="115"/>
      <c r="AE1026" s="122"/>
      <c r="AF1026" s="122"/>
      <c r="AG1026" s="122"/>
      <c r="AH1026" s="115"/>
      <c r="AI1026" s="115"/>
      <c r="AJ1026" s="115"/>
      <c r="AK1026" s="115"/>
      <c r="AL1026" s="115"/>
      <c r="AM1026" s="115"/>
      <c r="AN1026" s="115"/>
      <c r="AO1026" s="115"/>
      <c r="AP1026" s="115"/>
      <c r="AQ1026" s="115"/>
      <c r="AR1026" s="115"/>
      <c r="AS1026" s="115"/>
      <c r="AT1026" s="115"/>
      <c r="AU1026" s="115"/>
      <c r="AV1026" s="26"/>
      <c r="AW1026" s="15"/>
      <c r="BA1026" s="117"/>
      <c r="BB1026" s="116"/>
      <c r="BC1026" s="116"/>
      <c r="BD1026" s="116"/>
    </row>
    <row r="1027" spans="1:56" ht="19.5" x14ac:dyDescent="0.4">
      <c r="A1027" s="115"/>
      <c r="B1027" s="115"/>
      <c r="C1027" s="115"/>
      <c r="D1027" s="115"/>
      <c r="E1027" s="115"/>
      <c r="F1027" s="115"/>
      <c r="G1027" s="115"/>
      <c r="H1027" s="115"/>
      <c r="I1027" s="115"/>
      <c r="J1027" s="115"/>
      <c r="K1027" s="115"/>
      <c r="L1027" s="115"/>
      <c r="M1027" s="115"/>
      <c r="N1027" s="115"/>
      <c r="O1027" s="115"/>
      <c r="P1027" s="115"/>
      <c r="Q1027" s="115"/>
      <c r="R1027" s="115"/>
      <c r="S1027" s="115"/>
      <c r="T1027" s="115"/>
      <c r="U1027" s="115"/>
      <c r="V1027" s="115"/>
      <c r="W1027" s="115"/>
      <c r="X1027" s="115"/>
      <c r="Y1027" s="115"/>
      <c r="Z1027" s="115"/>
      <c r="AA1027" s="115"/>
      <c r="AB1027" s="115"/>
      <c r="AC1027" s="115"/>
      <c r="AD1027" s="115"/>
      <c r="AE1027" s="122"/>
      <c r="AF1027" s="122"/>
      <c r="AG1027" s="122"/>
      <c r="AH1027" s="115"/>
      <c r="AI1027" s="115"/>
      <c r="AJ1027" s="115"/>
      <c r="AK1027" s="115"/>
      <c r="AL1027" s="115"/>
      <c r="AM1027" s="115"/>
      <c r="AN1027" s="115"/>
      <c r="AO1027" s="115"/>
      <c r="AP1027" s="115"/>
      <c r="AQ1027" s="115"/>
      <c r="AR1027" s="115"/>
      <c r="AS1027" s="115"/>
      <c r="AT1027" s="115"/>
      <c r="AU1027" s="115"/>
      <c r="AV1027" s="26"/>
      <c r="AW1027" s="15"/>
      <c r="BA1027" s="117"/>
      <c r="BB1027" s="116"/>
      <c r="BC1027" s="116"/>
      <c r="BD1027" s="116"/>
    </row>
    <row r="1028" spans="1:56" ht="19.5" x14ac:dyDescent="0.4">
      <c r="A1028" s="115"/>
      <c r="B1028" s="115"/>
      <c r="C1028" s="115"/>
      <c r="D1028" s="115"/>
      <c r="E1028" s="115"/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22"/>
      <c r="AF1028" s="122"/>
      <c r="AG1028" s="122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115"/>
      <c r="AU1028" s="115"/>
      <c r="AV1028" s="26"/>
      <c r="AW1028" s="15"/>
      <c r="BA1028" s="117"/>
      <c r="BB1028" s="116"/>
      <c r="BC1028" s="116"/>
      <c r="BD1028" s="116"/>
    </row>
    <row r="1029" spans="1:56" ht="19.5" x14ac:dyDescent="0.4">
      <c r="A1029" s="115"/>
      <c r="B1029" s="115"/>
      <c r="C1029" s="115"/>
      <c r="D1029" s="115"/>
      <c r="E1029" s="115"/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22"/>
      <c r="AF1029" s="122"/>
      <c r="AG1029" s="122"/>
      <c r="AH1029" s="115"/>
      <c r="AI1029" s="115"/>
      <c r="AJ1029" s="115"/>
      <c r="AK1029" s="115"/>
      <c r="AL1029" s="115"/>
      <c r="AM1029" s="115"/>
      <c r="AN1029" s="115"/>
      <c r="AO1029" s="115"/>
      <c r="AP1029" s="115"/>
      <c r="AQ1029" s="115"/>
      <c r="AR1029" s="115"/>
      <c r="AS1029" s="115"/>
      <c r="AT1029" s="115"/>
      <c r="AU1029" s="115"/>
      <c r="AV1029" s="26"/>
      <c r="AW1029" s="15"/>
      <c r="BA1029" s="117"/>
      <c r="BB1029" s="116"/>
      <c r="BC1029" s="116"/>
      <c r="BD1029" s="116"/>
    </row>
    <row r="1030" spans="1:56" ht="19.5" x14ac:dyDescent="0.4">
      <c r="A1030" s="115"/>
      <c r="B1030" s="115"/>
      <c r="C1030" s="115"/>
      <c r="D1030" s="115"/>
      <c r="E1030" s="115"/>
      <c r="F1030" s="115"/>
      <c r="G1030" s="115"/>
      <c r="H1030" s="115"/>
      <c r="I1030" s="115"/>
      <c r="J1030" s="115"/>
      <c r="K1030" s="115"/>
      <c r="L1030" s="115"/>
      <c r="M1030" s="115"/>
      <c r="N1030" s="115"/>
      <c r="O1030" s="115"/>
      <c r="P1030" s="115"/>
      <c r="Q1030" s="115"/>
      <c r="R1030" s="115"/>
      <c r="S1030" s="115"/>
      <c r="T1030" s="115"/>
      <c r="U1030" s="115"/>
      <c r="V1030" s="115"/>
      <c r="W1030" s="115"/>
      <c r="X1030" s="115"/>
      <c r="Y1030" s="115"/>
      <c r="Z1030" s="115"/>
      <c r="AA1030" s="115"/>
      <c r="AB1030" s="115"/>
      <c r="AC1030" s="115"/>
      <c r="AD1030" s="115"/>
      <c r="AE1030" s="122"/>
      <c r="AF1030" s="122"/>
      <c r="AG1030" s="122"/>
      <c r="AH1030" s="115"/>
      <c r="AI1030" s="115"/>
      <c r="AJ1030" s="115"/>
      <c r="AK1030" s="115"/>
      <c r="AL1030" s="115"/>
      <c r="AM1030" s="115"/>
      <c r="AN1030" s="115"/>
      <c r="AO1030" s="115"/>
      <c r="AP1030" s="115"/>
      <c r="AQ1030" s="115"/>
      <c r="AR1030" s="115"/>
      <c r="AS1030" s="115"/>
      <c r="AT1030" s="115"/>
      <c r="AU1030" s="115"/>
      <c r="AV1030" s="26"/>
      <c r="AW1030" s="15"/>
      <c r="BA1030" s="117"/>
      <c r="BB1030" s="116"/>
      <c r="BC1030" s="116"/>
      <c r="BD1030" s="116"/>
    </row>
    <row r="1031" spans="1:56" ht="19.5" x14ac:dyDescent="0.4">
      <c r="A1031" s="115"/>
      <c r="B1031" s="115"/>
      <c r="C1031" s="115"/>
      <c r="D1031" s="115"/>
      <c r="E1031" s="115"/>
      <c r="F1031" s="115"/>
      <c r="G1031" s="115"/>
      <c r="H1031" s="115"/>
      <c r="I1031" s="115"/>
      <c r="J1031" s="115"/>
      <c r="K1031" s="115"/>
      <c r="L1031" s="115"/>
      <c r="M1031" s="115"/>
      <c r="N1031" s="115"/>
      <c r="O1031" s="115"/>
      <c r="P1031" s="115"/>
      <c r="Q1031" s="115"/>
      <c r="R1031" s="115"/>
      <c r="S1031" s="115"/>
      <c r="T1031" s="115"/>
      <c r="U1031" s="115"/>
      <c r="V1031" s="115"/>
      <c r="W1031" s="115"/>
      <c r="X1031" s="115"/>
      <c r="Y1031" s="115"/>
      <c r="Z1031" s="115"/>
      <c r="AA1031" s="115"/>
      <c r="AB1031" s="115"/>
      <c r="AC1031" s="115"/>
      <c r="AD1031" s="115"/>
      <c r="AE1031" s="122"/>
      <c r="AF1031" s="122"/>
      <c r="AG1031" s="122"/>
      <c r="AH1031" s="115"/>
      <c r="AI1031" s="115"/>
      <c r="AJ1031" s="115"/>
      <c r="AK1031" s="115"/>
      <c r="AL1031" s="115"/>
      <c r="AM1031" s="115"/>
      <c r="AN1031" s="115"/>
      <c r="AO1031" s="115"/>
      <c r="AP1031" s="115"/>
      <c r="AQ1031" s="115"/>
      <c r="AR1031" s="115"/>
      <c r="AS1031" s="115"/>
      <c r="AT1031" s="115"/>
      <c r="AU1031" s="115"/>
      <c r="AV1031" s="26"/>
      <c r="AW1031" s="15"/>
      <c r="BA1031" s="117"/>
      <c r="BB1031" s="116"/>
      <c r="BC1031" s="116"/>
      <c r="BD1031" s="116"/>
    </row>
    <row r="1032" spans="1:56" ht="19.5" x14ac:dyDescent="0.4">
      <c r="A1032" s="115"/>
      <c r="B1032" s="115"/>
      <c r="C1032" s="115"/>
      <c r="D1032" s="115"/>
      <c r="E1032" s="115"/>
      <c r="F1032" s="115"/>
      <c r="G1032" s="115"/>
      <c r="H1032" s="115"/>
      <c r="I1032" s="115"/>
      <c r="J1032" s="115"/>
      <c r="K1032" s="115"/>
      <c r="L1032" s="115"/>
      <c r="M1032" s="115"/>
      <c r="N1032" s="115"/>
      <c r="O1032" s="115"/>
      <c r="P1032" s="115"/>
      <c r="Q1032" s="115"/>
      <c r="R1032" s="115"/>
      <c r="S1032" s="115"/>
      <c r="T1032" s="115"/>
      <c r="U1032" s="115"/>
      <c r="V1032" s="115"/>
      <c r="W1032" s="115"/>
      <c r="X1032" s="115"/>
      <c r="Y1032" s="115"/>
      <c r="Z1032" s="115"/>
      <c r="AA1032" s="115"/>
      <c r="AB1032" s="115"/>
      <c r="AC1032" s="115"/>
      <c r="AD1032" s="115"/>
      <c r="AE1032" s="122"/>
      <c r="AF1032" s="122"/>
      <c r="AG1032" s="122"/>
      <c r="AH1032" s="115"/>
      <c r="AI1032" s="115"/>
      <c r="AJ1032" s="115"/>
      <c r="AK1032" s="115"/>
      <c r="AL1032" s="115"/>
      <c r="AM1032" s="115"/>
      <c r="AN1032" s="115"/>
      <c r="AO1032" s="115"/>
      <c r="AP1032" s="115"/>
      <c r="AQ1032" s="115"/>
      <c r="AR1032" s="115"/>
      <c r="AS1032" s="115"/>
      <c r="AT1032" s="115"/>
      <c r="AU1032" s="115"/>
      <c r="AV1032" s="17"/>
      <c r="AW1032" s="15"/>
      <c r="BA1032" s="117"/>
      <c r="BB1032" s="116"/>
      <c r="BC1032" s="116"/>
      <c r="BD1032" s="116"/>
    </row>
    <row r="1033" spans="1:56" ht="19.5" x14ac:dyDescent="0.4">
      <c r="A1033" s="115"/>
      <c r="B1033" s="115"/>
      <c r="C1033" s="115"/>
      <c r="D1033" s="115"/>
      <c r="E1033" s="115"/>
      <c r="F1033" s="115"/>
      <c r="G1033" s="115"/>
      <c r="H1033" s="115"/>
      <c r="I1033" s="115"/>
      <c r="J1033" s="115"/>
      <c r="K1033" s="115"/>
      <c r="L1033" s="115"/>
      <c r="M1033" s="115"/>
      <c r="N1033" s="115"/>
      <c r="O1033" s="115"/>
      <c r="P1033" s="115"/>
      <c r="Q1033" s="115"/>
      <c r="R1033" s="115"/>
      <c r="S1033" s="115"/>
      <c r="T1033" s="115"/>
      <c r="U1033" s="115"/>
      <c r="V1033" s="115"/>
      <c r="W1033" s="115"/>
      <c r="X1033" s="115"/>
      <c r="Y1033" s="115"/>
      <c r="Z1033" s="115"/>
      <c r="AA1033" s="115"/>
      <c r="AB1033" s="115"/>
      <c r="AC1033" s="115"/>
      <c r="AD1033" s="115"/>
      <c r="AE1033" s="122"/>
      <c r="AF1033" s="122"/>
      <c r="AG1033" s="122"/>
      <c r="AH1033" s="115"/>
      <c r="AI1033" s="115"/>
      <c r="AJ1033" s="115"/>
      <c r="AK1033" s="115"/>
      <c r="AL1033" s="115"/>
      <c r="AM1033" s="115"/>
      <c r="AN1033" s="115"/>
      <c r="AO1033" s="115"/>
      <c r="AP1033" s="115"/>
      <c r="AQ1033" s="115"/>
      <c r="AR1033" s="115"/>
      <c r="AS1033" s="115"/>
      <c r="AT1033" s="115"/>
      <c r="AU1033" s="115"/>
      <c r="AV1033" s="26"/>
      <c r="AW1033" s="15"/>
      <c r="BA1033" s="117"/>
      <c r="BB1033" s="116"/>
      <c r="BC1033" s="116"/>
      <c r="BD1033" s="116"/>
    </row>
    <row r="1034" spans="1:56" ht="19.5" x14ac:dyDescent="0.4">
      <c r="A1034" s="115"/>
      <c r="B1034" s="115"/>
      <c r="C1034" s="115"/>
      <c r="D1034" s="115"/>
      <c r="E1034" s="115"/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22"/>
      <c r="AF1034" s="122"/>
      <c r="AG1034" s="122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15"/>
      <c r="AT1034" s="115"/>
      <c r="AU1034" s="115"/>
      <c r="AV1034" s="17"/>
      <c r="AW1034" s="15"/>
      <c r="BA1034" s="117"/>
      <c r="BB1034" s="116"/>
      <c r="BC1034" s="116"/>
      <c r="BD1034" s="116"/>
    </row>
    <row r="1035" spans="1:56" ht="19.5" x14ac:dyDescent="0.4">
      <c r="A1035" s="115"/>
      <c r="B1035" s="115"/>
      <c r="C1035" s="115"/>
      <c r="D1035" s="115"/>
      <c r="E1035" s="115"/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22"/>
      <c r="AF1035" s="122"/>
      <c r="AG1035" s="122"/>
      <c r="AH1035" s="115"/>
      <c r="AI1035" s="115"/>
      <c r="AJ1035" s="115"/>
      <c r="AK1035" s="115"/>
      <c r="AL1035" s="115"/>
      <c r="AM1035" s="115"/>
      <c r="AN1035" s="115"/>
      <c r="AO1035" s="115"/>
      <c r="AP1035" s="115"/>
      <c r="AQ1035" s="115"/>
      <c r="AR1035" s="115"/>
      <c r="AS1035" s="115"/>
      <c r="AT1035" s="115"/>
      <c r="AU1035" s="115"/>
      <c r="AV1035" s="26"/>
      <c r="AW1035" s="15"/>
      <c r="BA1035" s="117"/>
      <c r="BB1035" s="116"/>
      <c r="BC1035" s="116"/>
      <c r="BD1035" s="116"/>
    </row>
    <row r="1036" spans="1:56" ht="19.5" x14ac:dyDescent="0.4">
      <c r="A1036" s="115"/>
      <c r="B1036" s="115"/>
      <c r="C1036" s="115"/>
      <c r="D1036" s="115"/>
      <c r="E1036" s="115"/>
      <c r="F1036" s="115"/>
      <c r="G1036" s="115"/>
      <c r="H1036" s="115"/>
      <c r="I1036" s="115"/>
      <c r="J1036" s="115"/>
      <c r="K1036" s="115"/>
      <c r="L1036" s="115"/>
      <c r="M1036" s="115"/>
      <c r="N1036" s="115"/>
      <c r="O1036" s="115"/>
      <c r="P1036" s="115"/>
      <c r="Q1036" s="115"/>
      <c r="R1036" s="115"/>
      <c r="S1036" s="115"/>
      <c r="T1036" s="115"/>
      <c r="U1036" s="115"/>
      <c r="V1036" s="115"/>
      <c r="W1036" s="115"/>
      <c r="X1036" s="115"/>
      <c r="Y1036" s="115"/>
      <c r="Z1036" s="115"/>
      <c r="AA1036" s="115"/>
      <c r="AB1036" s="115"/>
      <c r="AC1036" s="115"/>
      <c r="AD1036" s="115"/>
      <c r="AE1036" s="122"/>
      <c r="AF1036" s="122"/>
      <c r="AG1036" s="122"/>
      <c r="AH1036" s="115"/>
      <c r="AI1036" s="115"/>
      <c r="AJ1036" s="115"/>
      <c r="AK1036" s="115"/>
      <c r="AL1036" s="115"/>
      <c r="AM1036" s="115"/>
      <c r="AN1036" s="115"/>
      <c r="AO1036" s="115"/>
      <c r="AP1036" s="115"/>
      <c r="AQ1036" s="115"/>
      <c r="AR1036" s="115"/>
      <c r="AS1036" s="115"/>
      <c r="AT1036" s="115"/>
      <c r="AU1036" s="115"/>
      <c r="AV1036" s="20"/>
      <c r="AW1036" s="15"/>
      <c r="BA1036" s="117"/>
      <c r="BB1036" s="116"/>
      <c r="BC1036" s="116"/>
      <c r="BD1036" s="116"/>
    </row>
    <row r="1037" spans="1:56" ht="19.5" x14ac:dyDescent="0.4">
      <c r="A1037" s="115"/>
      <c r="B1037" s="115"/>
      <c r="C1037" s="115"/>
      <c r="D1037" s="115"/>
      <c r="E1037" s="115"/>
      <c r="F1037" s="115"/>
      <c r="G1037" s="115"/>
      <c r="H1037" s="115"/>
      <c r="I1037" s="115"/>
      <c r="J1037" s="115"/>
      <c r="K1037" s="115"/>
      <c r="L1037" s="115"/>
      <c r="M1037" s="115"/>
      <c r="N1037" s="115"/>
      <c r="O1037" s="115"/>
      <c r="P1037" s="115"/>
      <c r="Q1037" s="115"/>
      <c r="R1037" s="115"/>
      <c r="S1037" s="115"/>
      <c r="T1037" s="115"/>
      <c r="U1037" s="115"/>
      <c r="V1037" s="115"/>
      <c r="W1037" s="115"/>
      <c r="X1037" s="115"/>
      <c r="Y1037" s="115"/>
      <c r="Z1037" s="115"/>
      <c r="AA1037" s="115"/>
      <c r="AB1037" s="115"/>
      <c r="AC1037" s="115"/>
      <c r="AD1037" s="115"/>
      <c r="AE1037" s="122"/>
      <c r="AF1037" s="122"/>
      <c r="AG1037" s="122"/>
      <c r="AH1037" s="115"/>
      <c r="AI1037" s="115"/>
      <c r="AJ1037" s="115"/>
      <c r="AK1037" s="115"/>
      <c r="AL1037" s="115"/>
      <c r="AM1037" s="115"/>
      <c r="AN1037" s="115"/>
      <c r="AO1037" s="115"/>
      <c r="AP1037" s="115"/>
      <c r="AQ1037" s="115"/>
      <c r="AR1037" s="115"/>
      <c r="AS1037" s="115"/>
      <c r="AT1037" s="115"/>
      <c r="AU1037" s="115"/>
      <c r="AV1037" s="20"/>
      <c r="AW1037" s="15"/>
      <c r="BA1037" s="117"/>
      <c r="BB1037" s="116"/>
      <c r="BC1037" s="116"/>
      <c r="BD1037" s="116"/>
    </row>
    <row r="1038" spans="1:56" ht="19.5" x14ac:dyDescent="0.4">
      <c r="A1038" s="115"/>
      <c r="B1038" s="115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  <c r="P1038" s="115"/>
      <c r="Q1038" s="115"/>
      <c r="R1038" s="115"/>
      <c r="S1038" s="115"/>
      <c r="T1038" s="115"/>
      <c r="U1038" s="115"/>
      <c r="V1038" s="115"/>
      <c r="W1038" s="115"/>
      <c r="X1038" s="115"/>
      <c r="Y1038" s="115"/>
      <c r="Z1038" s="115"/>
      <c r="AA1038" s="115"/>
      <c r="AB1038" s="115"/>
      <c r="AC1038" s="115"/>
      <c r="AD1038" s="115"/>
      <c r="AE1038" s="122"/>
      <c r="AF1038" s="122"/>
      <c r="AG1038" s="122"/>
      <c r="AH1038" s="115"/>
      <c r="AI1038" s="115"/>
      <c r="AJ1038" s="115"/>
      <c r="AK1038" s="115"/>
      <c r="AL1038" s="115"/>
      <c r="AM1038" s="115"/>
      <c r="AN1038" s="115"/>
      <c r="AO1038" s="115"/>
      <c r="AP1038" s="115"/>
      <c r="AQ1038" s="115"/>
      <c r="AR1038" s="115"/>
      <c r="AS1038" s="115"/>
      <c r="AT1038" s="115"/>
      <c r="AU1038" s="115"/>
      <c r="AV1038" s="20"/>
      <c r="AW1038" s="15"/>
      <c r="BA1038" s="117"/>
      <c r="BB1038" s="116"/>
      <c r="BC1038" s="116"/>
      <c r="BD1038" s="116"/>
    </row>
    <row r="1039" spans="1:56" ht="19.5" x14ac:dyDescent="0.4">
      <c r="A1039" s="115"/>
      <c r="B1039" s="115"/>
      <c r="C1039" s="115"/>
      <c r="D1039" s="115"/>
      <c r="E1039" s="115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22"/>
      <c r="AF1039" s="122"/>
      <c r="AG1039" s="122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115"/>
      <c r="AS1039" s="115"/>
      <c r="AT1039" s="115"/>
      <c r="AU1039" s="115"/>
      <c r="AV1039" s="20"/>
      <c r="AW1039" s="15"/>
      <c r="BA1039" s="117"/>
      <c r="BB1039" s="116"/>
      <c r="BC1039" s="116"/>
      <c r="BD1039" s="116"/>
    </row>
    <row r="1040" spans="1:56" ht="19.5" x14ac:dyDescent="0.4">
      <c r="A1040" s="115"/>
      <c r="B1040" s="115"/>
      <c r="C1040" s="115"/>
      <c r="D1040" s="115"/>
      <c r="E1040" s="115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22"/>
      <c r="AF1040" s="122"/>
      <c r="AG1040" s="122"/>
      <c r="AH1040" s="115"/>
      <c r="AI1040" s="115"/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115"/>
      <c r="AT1040" s="115"/>
      <c r="AU1040" s="115"/>
      <c r="AV1040" s="25"/>
      <c r="AW1040" s="15"/>
      <c r="BA1040" s="117"/>
      <c r="BB1040" s="116"/>
      <c r="BC1040" s="116"/>
      <c r="BD1040" s="116"/>
    </row>
    <row r="1041" spans="1:56" ht="19.5" x14ac:dyDescent="0.4">
      <c r="A1041" s="115"/>
      <c r="B1041" s="115"/>
      <c r="C1041" s="115"/>
      <c r="D1041" s="115"/>
      <c r="E1041" s="115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22"/>
      <c r="AF1041" s="122"/>
      <c r="AG1041" s="122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115"/>
      <c r="AU1041" s="115"/>
      <c r="AV1041" s="13"/>
      <c r="AW1041" s="15"/>
      <c r="BA1041" s="117"/>
      <c r="BB1041" s="116"/>
      <c r="BC1041" s="116"/>
      <c r="BD1041" s="116"/>
    </row>
    <row r="1042" spans="1:56" ht="19.5" x14ac:dyDescent="0.4">
      <c r="AV1042" s="25"/>
      <c r="AW1042" s="15"/>
      <c r="BA1042" s="117"/>
      <c r="BB1042" s="116"/>
      <c r="BC1042" s="116"/>
      <c r="BD1042" s="116"/>
    </row>
    <row r="1043" spans="1:56" ht="19.5" x14ac:dyDescent="0.4">
      <c r="AB1043" s="115"/>
      <c r="AC1043" s="115"/>
      <c r="AD1043" s="115"/>
      <c r="AE1043" s="122"/>
      <c r="AF1043" s="122"/>
      <c r="AG1043" s="122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115"/>
      <c r="AU1043" s="115"/>
      <c r="AV1043" s="13"/>
      <c r="AW1043" s="15"/>
      <c r="BA1043" s="117"/>
      <c r="BB1043" s="116"/>
      <c r="BC1043" s="116"/>
      <c r="BD1043" s="116"/>
    </row>
    <row r="1044" spans="1:56" ht="19.5" x14ac:dyDescent="0.4">
      <c r="D1044" s="115"/>
      <c r="E1044" s="115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22"/>
      <c r="AF1044" s="122"/>
      <c r="AG1044" s="122"/>
      <c r="AH1044" s="115"/>
      <c r="AI1044" s="115"/>
      <c r="AJ1044" s="115"/>
      <c r="AK1044" s="115"/>
      <c r="AL1044" s="115"/>
      <c r="AM1044" s="115"/>
      <c r="AN1044" s="115"/>
      <c r="AO1044" s="115"/>
      <c r="AP1044" s="115"/>
      <c r="AQ1044" s="115"/>
      <c r="AR1044" s="115"/>
      <c r="AS1044" s="115"/>
      <c r="AT1044" s="115"/>
      <c r="AU1044" s="115"/>
      <c r="AV1044" s="25"/>
      <c r="AW1044" s="15"/>
      <c r="BA1044" s="117"/>
      <c r="BB1044" s="116"/>
      <c r="BC1044" s="116"/>
      <c r="BD1044" s="116"/>
    </row>
    <row r="1045" spans="1:56" ht="19.5" x14ac:dyDescent="0.4">
      <c r="A1045" s="115"/>
      <c r="B1045" s="115"/>
      <c r="C1045" s="115"/>
      <c r="D1045" s="115"/>
      <c r="E1045" s="115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22"/>
      <c r="AF1045" s="122"/>
      <c r="AG1045" s="122"/>
      <c r="AH1045" s="115"/>
      <c r="AI1045" s="115"/>
      <c r="AJ1045" s="115"/>
      <c r="AK1045" s="115"/>
      <c r="AL1045" s="115"/>
      <c r="AM1045" s="115"/>
      <c r="AN1045" s="115"/>
      <c r="AO1045" s="115"/>
      <c r="AP1045" s="115"/>
      <c r="AQ1045" s="115"/>
      <c r="AR1045" s="115"/>
      <c r="AS1045" s="115"/>
      <c r="AT1045" s="115"/>
      <c r="AU1045" s="115"/>
      <c r="AV1045" s="25"/>
      <c r="AW1045" s="15"/>
      <c r="BA1045" s="117"/>
      <c r="BB1045" s="116"/>
      <c r="BC1045" s="116"/>
      <c r="BD1045" s="116"/>
    </row>
    <row r="1046" spans="1:56" ht="19.5" x14ac:dyDescent="0.4">
      <c r="A1046" s="115"/>
      <c r="B1046" s="115"/>
      <c r="C1046" s="115"/>
      <c r="D1046" s="115"/>
      <c r="E1046" s="115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22"/>
      <c r="AF1046" s="122"/>
      <c r="AG1046" s="122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115"/>
      <c r="AT1046" s="115"/>
      <c r="AU1046" s="115"/>
      <c r="AV1046" s="13"/>
      <c r="AW1046" s="15"/>
      <c r="BA1046" s="117"/>
      <c r="BB1046" s="116"/>
      <c r="BC1046" s="116"/>
      <c r="BD1046" s="116"/>
    </row>
    <row r="1047" spans="1:56" ht="19.5" x14ac:dyDescent="0.4">
      <c r="A1047" s="115"/>
      <c r="B1047" s="115"/>
      <c r="C1047" s="115"/>
      <c r="D1047" s="115"/>
      <c r="E1047" s="115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22"/>
      <c r="AF1047" s="122"/>
      <c r="AG1047" s="122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115"/>
      <c r="AU1047" s="115"/>
      <c r="AV1047" s="25"/>
      <c r="AW1047" s="15"/>
      <c r="BA1047" s="117"/>
      <c r="BB1047" s="116"/>
      <c r="BC1047" s="116"/>
      <c r="BD1047" s="116"/>
    </row>
    <row r="1048" spans="1:56" ht="19.5" x14ac:dyDescent="0.4">
      <c r="A1048" s="115"/>
      <c r="B1048" s="115"/>
      <c r="C1048" s="115"/>
      <c r="D1048" s="115"/>
      <c r="E1048" s="115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22"/>
      <c r="AF1048" s="122"/>
      <c r="AG1048" s="122"/>
      <c r="AH1048" s="115"/>
      <c r="AI1048" s="115"/>
      <c r="AJ1048" s="115"/>
      <c r="AK1048" s="115"/>
      <c r="AL1048" s="115"/>
      <c r="AM1048" s="115"/>
      <c r="AN1048" s="115"/>
      <c r="AO1048" s="115"/>
      <c r="AP1048" s="115"/>
      <c r="AQ1048" s="115"/>
      <c r="AR1048" s="115"/>
      <c r="AS1048" s="115"/>
      <c r="AT1048" s="115"/>
      <c r="AU1048" s="115"/>
      <c r="AV1048" s="13"/>
      <c r="AW1048" s="15"/>
      <c r="BA1048" s="117"/>
      <c r="BB1048" s="116"/>
      <c r="BC1048" s="116"/>
      <c r="BD1048" s="116"/>
    </row>
    <row r="1049" spans="1:56" ht="19.5" x14ac:dyDescent="0.4">
      <c r="A1049" s="115"/>
      <c r="B1049" s="115"/>
      <c r="C1049" s="115"/>
      <c r="D1049" s="115"/>
      <c r="E1049" s="115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22"/>
      <c r="AF1049" s="122"/>
      <c r="AG1049" s="122"/>
      <c r="AH1049" s="115"/>
      <c r="AI1049" s="115"/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115"/>
      <c r="AT1049" s="115"/>
      <c r="AU1049" s="115"/>
      <c r="AV1049" s="25"/>
      <c r="AW1049" s="15"/>
      <c r="BA1049" s="117"/>
      <c r="BB1049" s="116"/>
      <c r="BC1049" s="116"/>
      <c r="BD1049" s="116"/>
    </row>
    <row r="1050" spans="1:56" ht="19.5" x14ac:dyDescent="0.4">
      <c r="A1050" s="115"/>
      <c r="B1050" s="115"/>
      <c r="C1050" s="115"/>
      <c r="D1050" s="115"/>
      <c r="E1050" s="115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22"/>
      <c r="AF1050" s="122"/>
      <c r="AG1050" s="122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115"/>
      <c r="AT1050" s="115"/>
      <c r="AU1050" s="115"/>
      <c r="AV1050" s="26"/>
      <c r="AW1050" s="15"/>
      <c r="BA1050" s="117"/>
      <c r="BB1050" s="116"/>
      <c r="BC1050" s="116"/>
      <c r="BD1050" s="116"/>
    </row>
    <row r="1051" spans="1:56" ht="19.5" x14ac:dyDescent="0.4">
      <c r="A1051" s="115"/>
      <c r="B1051" s="115"/>
      <c r="C1051" s="115"/>
      <c r="D1051" s="115"/>
      <c r="E1051" s="115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22"/>
      <c r="AF1051" s="122"/>
      <c r="AG1051" s="122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115"/>
      <c r="AT1051" s="115"/>
      <c r="AU1051" s="115"/>
      <c r="AV1051" s="17"/>
      <c r="AW1051" s="13"/>
      <c r="BA1051" s="117"/>
      <c r="BB1051" s="116"/>
      <c r="BC1051" s="116"/>
      <c r="BD1051" s="116"/>
    </row>
    <row r="1052" spans="1:56" ht="19.5" x14ac:dyDescent="0.4">
      <c r="A1052" s="115"/>
      <c r="B1052" s="115"/>
      <c r="C1052" s="115"/>
      <c r="D1052" s="115"/>
      <c r="E1052" s="115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22"/>
      <c r="AF1052" s="122"/>
      <c r="AG1052" s="122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115"/>
      <c r="AU1052" s="115"/>
      <c r="AV1052" s="26"/>
      <c r="AW1052" s="13"/>
      <c r="BA1052" s="117"/>
      <c r="BB1052" s="116"/>
      <c r="BC1052" s="116"/>
      <c r="BD1052" s="116"/>
    </row>
    <row r="1053" spans="1:56" ht="19.5" x14ac:dyDescent="0.4">
      <c r="A1053" s="115"/>
      <c r="B1053" s="115"/>
      <c r="C1053" s="115"/>
      <c r="D1053" s="115"/>
      <c r="E1053" s="115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22"/>
      <c r="AF1053" s="122"/>
      <c r="AG1053" s="122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115"/>
      <c r="AU1053" s="115"/>
      <c r="AV1053" s="17"/>
      <c r="AW1053" s="13"/>
      <c r="BA1053" s="117"/>
      <c r="BB1053" s="116"/>
      <c r="BC1053" s="116"/>
      <c r="BD1053" s="116"/>
    </row>
    <row r="1054" spans="1:56" ht="19.5" x14ac:dyDescent="0.4">
      <c r="A1054" s="115"/>
      <c r="B1054" s="115"/>
      <c r="C1054" s="115"/>
      <c r="D1054" s="115"/>
      <c r="E1054" s="115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22"/>
      <c r="AF1054" s="122"/>
      <c r="AG1054" s="122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15"/>
      <c r="AT1054" s="115"/>
      <c r="AU1054" s="115"/>
      <c r="AV1054" s="26"/>
      <c r="AW1054" s="15"/>
      <c r="BA1054" s="117"/>
      <c r="BB1054" s="116"/>
      <c r="BC1054" s="116"/>
      <c r="BD1054" s="116"/>
    </row>
    <row r="1055" spans="1:56" ht="19.5" x14ac:dyDescent="0.4">
      <c r="A1055" s="115"/>
      <c r="B1055" s="115"/>
      <c r="C1055" s="115"/>
      <c r="D1055" s="115"/>
      <c r="E1055" s="115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22"/>
      <c r="AF1055" s="122"/>
      <c r="AG1055" s="122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115"/>
      <c r="AU1055" s="115"/>
      <c r="AV1055" s="17"/>
      <c r="AW1055" s="15"/>
      <c r="BA1055" s="117"/>
      <c r="BB1055" s="116"/>
      <c r="BC1055" s="116"/>
      <c r="BD1055" s="116"/>
    </row>
    <row r="1056" spans="1:56" ht="19.5" x14ac:dyDescent="0.4">
      <c r="AV1056" s="26"/>
      <c r="AW1056" s="105"/>
      <c r="BA1056" s="117"/>
      <c r="BB1056" s="116"/>
      <c r="BC1056" s="116"/>
      <c r="BD1056" s="116"/>
    </row>
    <row r="1057" spans="1:56" ht="19.5" x14ac:dyDescent="0.4">
      <c r="AB1057" s="115"/>
      <c r="AC1057" s="115"/>
      <c r="AD1057" s="115"/>
      <c r="AE1057" s="122"/>
      <c r="AF1057" s="122"/>
      <c r="AG1057" s="122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15"/>
      <c r="AT1057" s="115"/>
      <c r="AU1057" s="115"/>
      <c r="AV1057" s="17"/>
      <c r="AW1057" s="15"/>
      <c r="BA1057" s="117"/>
      <c r="BB1057" s="116"/>
      <c r="BC1057" s="116"/>
      <c r="BD1057" s="116"/>
    </row>
    <row r="1058" spans="1:56" ht="19.5" x14ac:dyDescent="0.4">
      <c r="Y1058" s="115"/>
      <c r="Z1058" s="115"/>
      <c r="AA1058" s="115"/>
      <c r="AB1058" s="115"/>
      <c r="AC1058" s="115"/>
      <c r="AD1058" s="115"/>
      <c r="AE1058" s="122"/>
      <c r="AF1058" s="122"/>
      <c r="AG1058" s="122"/>
      <c r="AH1058" s="115"/>
      <c r="AI1058" s="115"/>
      <c r="AJ1058" s="115"/>
      <c r="AK1058" s="115"/>
      <c r="AL1058" s="115"/>
      <c r="AM1058" s="115"/>
      <c r="AN1058" s="115"/>
      <c r="AO1058" s="115"/>
      <c r="AP1058" s="115"/>
      <c r="AQ1058" s="115"/>
      <c r="AR1058" s="115"/>
      <c r="AS1058" s="115"/>
      <c r="AT1058" s="115"/>
      <c r="AU1058" s="115"/>
      <c r="AV1058" s="26"/>
      <c r="AW1058" s="15"/>
      <c r="BA1058" s="117"/>
      <c r="BB1058" s="116"/>
      <c r="BC1058" s="116"/>
      <c r="BD1058" s="116"/>
    </row>
    <row r="1059" spans="1:56" ht="19.5" x14ac:dyDescent="0.4">
      <c r="Y1059" s="115"/>
      <c r="Z1059" s="115"/>
      <c r="AA1059" s="115"/>
      <c r="AB1059" s="115"/>
      <c r="AC1059" s="115"/>
      <c r="AD1059" s="115"/>
      <c r="AE1059" s="122"/>
      <c r="AF1059" s="122"/>
      <c r="AG1059" s="122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115"/>
      <c r="AS1059" s="115"/>
      <c r="AT1059" s="115"/>
      <c r="AU1059" s="115"/>
      <c r="AV1059" s="17"/>
      <c r="AW1059" s="15"/>
      <c r="BA1059" s="117"/>
      <c r="BB1059" s="116"/>
      <c r="BC1059" s="116"/>
      <c r="BD1059" s="116"/>
    </row>
    <row r="1060" spans="1:56" ht="19.5" x14ac:dyDescent="0.4">
      <c r="E1060" s="115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22"/>
      <c r="AF1060" s="122"/>
      <c r="AG1060" s="122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115"/>
      <c r="AT1060" s="115"/>
      <c r="AU1060" s="115"/>
      <c r="AV1060" s="26"/>
      <c r="AW1060" s="15"/>
      <c r="BA1060" s="117"/>
      <c r="BB1060" s="116"/>
      <c r="BC1060" s="116"/>
      <c r="BD1060" s="116"/>
    </row>
    <row r="1061" spans="1:56" ht="19.5" x14ac:dyDescent="0.4">
      <c r="E1061" s="115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22"/>
      <c r="AF1061" s="122"/>
      <c r="AG1061" s="122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115"/>
      <c r="AT1061" s="115"/>
      <c r="AU1061" s="115"/>
      <c r="AV1061" s="17"/>
      <c r="AW1061" s="15"/>
      <c r="BA1061" s="117"/>
      <c r="BB1061" s="116"/>
      <c r="BC1061" s="116"/>
      <c r="BD1061" s="116"/>
    </row>
    <row r="1062" spans="1:56" ht="19.5" x14ac:dyDescent="0.4">
      <c r="A1062" s="115"/>
      <c r="B1062" s="115"/>
      <c r="C1062" s="115"/>
      <c r="D1062" s="115"/>
      <c r="E1062" s="115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22"/>
      <c r="AF1062" s="122"/>
      <c r="AG1062" s="122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115"/>
      <c r="AT1062" s="115"/>
      <c r="AU1062" s="115"/>
      <c r="AV1062" s="26"/>
      <c r="AW1062" s="15"/>
      <c r="BA1062" s="117"/>
      <c r="BB1062" s="116"/>
      <c r="BC1062" s="116"/>
      <c r="BD1062" s="116"/>
    </row>
    <row r="1063" spans="1:56" ht="19.5" x14ac:dyDescent="0.4">
      <c r="A1063" s="115"/>
      <c r="B1063" s="115"/>
      <c r="C1063" s="115"/>
      <c r="D1063" s="115"/>
      <c r="E1063" s="115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22"/>
      <c r="AF1063" s="122"/>
      <c r="AG1063" s="122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15"/>
      <c r="AT1063" s="115"/>
      <c r="AU1063" s="115"/>
      <c r="AV1063" s="26"/>
      <c r="AW1063" s="15"/>
      <c r="BA1063" s="117"/>
      <c r="BB1063" s="116"/>
      <c r="BC1063" s="116"/>
      <c r="BD1063" s="116"/>
    </row>
    <row r="1064" spans="1:56" ht="19.5" x14ac:dyDescent="0.4">
      <c r="A1064" s="115"/>
      <c r="B1064" s="115"/>
      <c r="C1064" s="115"/>
      <c r="D1064" s="115"/>
      <c r="E1064" s="115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22"/>
      <c r="AF1064" s="122"/>
      <c r="AG1064" s="122"/>
      <c r="AH1064" s="115"/>
      <c r="AI1064" s="115"/>
      <c r="AJ1064" s="115"/>
      <c r="AK1064" s="115"/>
      <c r="AL1064" s="115"/>
      <c r="AM1064" s="115"/>
      <c r="AN1064" s="115"/>
      <c r="AO1064" s="115"/>
      <c r="AP1064" s="115"/>
      <c r="AQ1064" s="115"/>
      <c r="AR1064" s="115"/>
      <c r="AS1064" s="115"/>
      <c r="AT1064" s="115"/>
      <c r="AU1064" s="115"/>
      <c r="AV1064" s="17"/>
      <c r="AW1064" s="15"/>
      <c r="BA1064" s="117"/>
      <c r="BB1064" s="116"/>
      <c r="BC1064" s="116"/>
      <c r="BD1064" s="116"/>
    </row>
    <row r="1065" spans="1:56" ht="19.5" x14ac:dyDescent="0.4">
      <c r="A1065" s="115"/>
      <c r="B1065" s="115"/>
      <c r="C1065" s="115"/>
      <c r="D1065" s="115"/>
      <c r="E1065" s="115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22"/>
      <c r="AF1065" s="122"/>
      <c r="AG1065" s="122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115"/>
      <c r="AT1065" s="115"/>
      <c r="AU1065" s="115"/>
      <c r="AV1065" s="26"/>
      <c r="AW1065" s="15"/>
      <c r="BA1065" s="117"/>
      <c r="BB1065" s="116"/>
      <c r="BC1065" s="116"/>
      <c r="BD1065" s="116"/>
    </row>
    <row r="1066" spans="1:56" ht="19.5" x14ac:dyDescent="0.4">
      <c r="A1066" s="115"/>
      <c r="B1066" s="115"/>
      <c r="C1066" s="115"/>
      <c r="D1066" s="115"/>
      <c r="E1066" s="115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22"/>
      <c r="AF1066" s="122"/>
      <c r="AG1066" s="122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15"/>
      <c r="AT1066" s="115"/>
      <c r="AU1066" s="115"/>
      <c r="AV1066" s="17"/>
      <c r="AW1066" s="15"/>
      <c r="BA1066" s="117"/>
      <c r="BB1066" s="116"/>
      <c r="BC1066" s="116"/>
      <c r="BD1066" s="116"/>
    </row>
    <row r="1067" spans="1:56" ht="19.5" x14ac:dyDescent="0.4">
      <c r="AV1067" s="26"/>
      <c r="AW1067" s="15"/>
      <c r="BA1067" s="117"/>
      <c r="BB1067" s="116"/>
      <c r="BC1067" s="116"/>
      <c r="BD1067" s="116"/>
    </row>
    <row r="1068" spans="1:56" ht="19.5" x14ac:dyDescent="0.4">
      <c r="AB1068" s="115"/>
      <c r="AC1068" s="115"/>
      <c r="AD1068" s="115"/>
      <c r="AE1068" s="122"/>
      <c r="AF1068" s="122"/>
      <c r="AG1068" s="122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115"/>
      <c r="AU1068" s="115"/>
      <c r="AV1068" s="17"/>
      <c r="AW1068" s="15"/>
      <c r="BA1068" s="117"/>
      <c r="BB1068" s="116"/>
      <c r="BC1068" s="116"/>
      <c r="BD1068" s="116"/>
    </row>
    <row r="1069" spans="1:56" ht="19.5" x14ac:dyDescent="0.4">
      <c r="AV1069" s="26"/>
      <c r="AW1069" s="15"/>
      <c r="BA1069" s="117"/>
      <c r="BB1069" s="116"/>
      <c r="BC1069" s="116"/>
      <c r="BD1069" s="116"/>
    </row>
    <row r="1070" spans="1:56" ht="19.5" x14ac:dyDescent="0.4">
      <c r="AB1070" s="115"/>
      <c r="AC1070" s="115"/>
      <c r="AD1070" s="115"/>
      <c r="AE1070" s="122"/>
      <c r="AF1070" s="122"/>
      <c r="AG1070" s="122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115"/>
      <c r="AT1070" s="115"/>
      <c r="AU1070" s="115"/>
      <c r="AV1070" s="17"/>
      <c r="AW1070" s="15"/>
      <c r="BA1070" s="117"/>
      <c r="BB1070" s="116"/>
      <c r="BC1070" s="116"/>
      <c r="BD1070" s="116"/>
    </row>
    <row r="1071" spans="1:56" ht="19.5" x14ac:dyDescent="0.4">
      <c r="AV1071" s="26"/>
      <c r="AW1071" s="15"/>
      <c r="BA1071" s="117"/>
      <c r="BB1071" s="116"/>
      <c r="BC1071" s="116"/>
      <c r="BD1071" s="116"/>
    </row>
    <row r="1072" spans="1:56" ht="19.5" x14ac:dyDescent="0.4">
      <c r="AB1072" s="115"/>
      <c r="AC1072" s="115"/>
      <c r="AD1072" s="115"/>
      <c r="AE1072" s="122"/>
      <c r="AF1072" s="122"/>
      <c r="AG1072" s="122"/>
      <c r="AH1072" s="115"/>
      <c r="AI1072" s="115"/>
      <c r="AJ1072" s="115"/>
      <c r="AK1072" s="115"/>
      <c r="AL1072" s="115"/>
      <c r="AM1072" s="115"/>
      <c r="AN1072" s="115"/>
      <c r="AO1072" s="115"/>
      <c r="AP1072" s="115"/>
      <c r="AQ1072" s="115"/>
      <c r="AR1072" s="115"/>
      <c r="AS1072" s="115"/>
      <c r="AT1072" s="115"/>
      <c r="AU1072" s="115"/>
      <c r="AV1072" s="17"/>
      <c r="AW1072" s="15"/>
      <c r="BA1072" s="117"/>
      <c r="BB1072" s="116"/>
      <c r="BC1072" s="116"/>
      <c r="BD1072" s="116"/>
    </row>
    <row r="1073" spans="2:56" ht="19.5" x14ac:dyDescent="0.4">
      <c r="B1073" s="115"/>
      <c r="C1073" s="115"/>
      <c r="D1073" s="115"/>
      <c r="E1073" s="115"/>
      <c r="F1073" s="115"/>
      <c r="G1073" s="115"/>
      <c r="H1073" s="115"/>
      <c r="I1073" s="115"/>
      <c r="J1073" s="115"/>
      <c r="K1073" s="115"/>
      <c r="L1073" s="115"/>
      <c r="M1073" s="115"/>
      <c r="N1073" s="115"/>
      <c r="O1073" s="115"/>
      <c r="P1073" s="115"/>
      <c r="Q1073" s="115"/>
      <c r="R1073" s="115"/>
      <c r="S1073" s="115"/>
      <c r="T1073" s="115"/>
      <c r="U1073" s="115"/>
      <c r="V1073" s="115"/>
      <c r="W1073" s="115"/>
      <c r="X1073" s="115"/>
      <c r="Y1073" s="115"/>
      <c r="Z1073" s="115"/>
      <c r="AA1073" s="115"/>
      <c r="AB1073" s="115"/>
      <c r="AC1073" s="115"/>
      <c r="AD1073" s="115"/>
      <c r="AE1073" s="122"/>
      <c r="AF1073" s="122"/>
      <c r="AG1073" s="122"/>
      <c r="AH1073" s="115"/>
      <c r="AI1073" s="115"/>
      <c r="AJ1073" s="115"/>
      <c r="AK1073" s="115"/>
      <c r="AL1073" s="115"/>
      <c r="AM1073" s="115"/>
      <c r="AN1073" s="115"/>
      <c r="AO1073" s="115"/>
      <c r="AP1073" s="115"/>
      <c r="AQ1073" s="115"/>
      <c r="AR1073" s="115"/>
      <c r="AS1073" s="115"/>
      <c r="AT1073" s="115"/>
      <c r="AU1073" s="115"/>
      <c r="AV1073" s="26"/>
      <c r="AW1073" s="15"/>
      <c r="BA1073" s="117"/>
      <c r="BB1073" s="116"/>
      <c r="BC1073" s="116"/>
      <c r="BD1073" s="116"/>
    </row>
    <row r="1074" spans="2:56" ht="19.5" x14ac:dyDescent="0.4">
      <c r="B1074" s="115"/>
      <c r="C1074" s="115"/>
      <c r="D1074" s="115"/>
      <c r="E1074" s="115"/>
      <c r="F1074" s="115"/>
      <c r="G1074" s="115"/>
      <c r="H1074" s="115"/>
      <c r="I1074" s="115"/>
      <c r="J1074" s="115"/>
      <c r="K1074" s="115"/>
      <c r="L1074" s="115"/>
      <c r="M1074" s="115"/>
      <c r="N1074" s="115"/>
      <c r="O1074" s="115"/>
      <c r="P1074" s="115"/>
      <c r="Q1074" s="115"/>
      <c r="R1074" s="115"/>
      <c r="S1074" s="115"/>
      <c r="T1074" s="115"/>
      <c r="U1074" s="115"/>
      <c r="V1074" s="115"/>
      <c r="W1074" s="115"/>
      <c r="X1074" s="115"/>
      <c r="Y1074" s="115"/>
      <c r="Z1074" s="115"/>
      <c r="AA1074" s="115"/>
      <c r="AB1074" s="115"/>
      <c r="AC1074" s="115"/>
      <c r="AD1074" s="115"/>
      <c r="AE1074" s="122"/>
      <c r="AF1074" s="122"/>
      <c r="AG1074" s="122"/>
      <c r="AH1074" s="115"/>
      <c r="AI1074" s="115"/>
      <c r="AJ1074" s="115"/>
      <c r="AK1074" s="115"/>
      <c r="AL1074" s="115"/>
      <c r="AM1074" s="115"/>
      <c r="AN1074" s="115"/>
      <c r="AO1074" s="115"/>
      <c r="AP1074" s="115"/>
      <c r="AQ1074" s="115"/>
      <c r="AR1074" s="115"/>
      <c r="AS1074" s="115"/>
      <c r="AT1074" s="115"/>
      <c r="AU1074" s="115"/>
      <c r="AV1074" s="17"/>
      <c r="AW1074" s="15"/>
      <c r="BA1074" s="117"/>
      <c r="BB1074" s="116"/>
      <c r="BC1074" s="116"/>
      <c r="BD1074" s="116"/>
    </row>
    <row r="1075" spans="2:56" ht="19.5" x14ac:dyDescent="0.4">
      <c r="B1075" s="115"/>
      <c r="C1075" s="115"/>
      <c r="D1075" s="115"/>
      <c r="E1075" s="115"/>
      <c r="F1075" s="115"/>
      <c r="G1075" s="115"/>
      <c r="H1075" s="115"/>
      <c r="I1075" s="115"/>
      <c r="J1075" s="115"/>
      <c r="K1075" s="115"/>
      <c r="L1075" s="115"/>
      <c r="M1075" s="115"/>
      <c r="N1075" s="115"/>
      <c r="O1075" s="115"/>
      <c r="P1075" s="115"/>
      <c r="Q1075" s="115"/>
      <c r="R1075" s="115"/>
      <c r="S1075" s="115"/>
      <c r="T1075" s="115"/>
      <c r="U1075" s="115"/>
      <c r="V1075" s="115"/>
      <c r="W1075" s="115"/>
      <c r="X1075" s="115"/>
      <c r="Y1075" s="115"/>
      <c r="Z1075" s="115"/>
      <c r="AA1075" s="115"/>
      <c r="AB1075" s="115"/>
      <c r="AC1075" s="115"/>
      <c r="AD1075" s="115"/>
      <c r="AE1075" s="122"/>
      <c r="AF1075" s="122"/>
      <c r="AG1075" s="122"/>
      <c r="AH1075" s="115"/>
      <c r="AI1075" s="115"/>
      <c r="AJ1075" s="115"/>
      <c r="AK1075" s="115"/>
      <c r="AL1075" s="115"/>
      <c r="AM1075" s="115"/>
      <c r="AN1075" s="115"/>
      <c r="AO1075" s="115"/>
      <c r="AP1075" s="115"/>
      <c r="AQ1075" s="115"/>
      <c r="AR1075" s="115"/>
      <c r="AS1075" s="115"/>
      <c r="AT1075" s="115"/>
      <c r="AU1075" s="115"/>
      <c r="AV1075" s="26"/>
      <c r="AW1075" s="15"/>
      <c r="BA1075" s="117"/>
      <c r="BB1075" s="116"/>
      <c r="BC1075" s="116"/>
      <c r="BD1075" s="116"/>
    </row>
    <row r="1076" spans="2:56" ht="19.5" x14ac:dyDescent="0.4">
      <c r="AV1076" s="26"/>
      <c r="AW1076" s="15"/>
      <c r="BA1076" s="117"/>
      <c r="BB1076" s="116"/>
      <c r="BC1076" s="116"/>
      <c r="BD1076" s="116"/>
    </row>
    <row r="1077" spans="2:56" ht="19.5" x14ac:dyDescent="0.4">
      <c r="AB1077" s="115"/>
      <c r="AC1077" s="115"/>
      <c r="AD1077" s="115"/>
      <c r="AE1077" s="122"/>
      <c r="AF1077" s="122"/>
      <c r="AG1077" s="122"/>
      <c r="AH1077" s="115"/>
      <c r="AI1077" s="115"/>
      <c r="AJ1077" s="115"/>
      <c r="AK1077" s="115"/>
      <c r="AL1077" s="115"/>
      <c r="AM1077" s="115"/>
      <c r="AN1077" s="115"/>
      <c r="AO1077" s="115"/>
      <c r="AP1077" s="115"/>
      <c r="AQ1077" s="115"/>
      <c r="AR1077" s="115"/>
      <c r="AS1077" s="115"/>
      <c r="AT1077" s="115"/>
      <c r="AU1077" s="115"/>
      <c r="AV1077" s="17"/>
      <c r="AW1077" s="15"/>
      <c r="BA1077" s="117"/>
      <c r="BB1077" s="116"/>
      <c r="BC1077" s="116"/>
      <c r="BD1077" s="116"/>
    </row>
    <row r="1078" spans="2:56" ht="19.5" x14ac:dyDescent="0.4">
      <c r="Z1078" s="115"/>
      <c r="AA1078" s="115"/>
      <c r="AB1078" s="115"/>
      <c r="AC1078" s="115"/>
      <c r="AD1078" s="115"/>
      <c r="AE1078" s="122"/>
      <c r="AF1078" s="122"/>
      <c r="AG1078" s="122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115"/>
      <c r="AR1078" s="115"/>
      <c r="AS1078" s="115"/>
      <c r="AT1078" s="115"/>
      <c r="AU1078" s="115"/>
      <c r="AV1078" s="26"/>
      <c r="AW1078" s="15"/>
      <c r="BA1078" s="117"/>
      <c r="BB1078" s="116"/>
      <c r="BC1078" s="116"/>
      <c r="BD1078" s="116"/>
    </row>
    <row r="1079" spans="2:56" ht="19.5" x14ac:dyDescent="0.4">
      <c r="Z1079" s="115"/>
      <c r="AA1079" s="115"/>
      <c r="AB1079" s="115"/>
      <c r="AC1079" s="115"/>
      <c r="AD1079" s="115"/>
      <c r="AE1079" s="122"/>
      <c r="AF1079" s="122"/>
      <c r="AG1079" s="122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115"/>
      <c r="AT1079" s="115"/>
      <c r="AU1079" s="115"/>
      <c r="AV1079" s="17"/>
      <c r="AW1079" s="13"/>
      <c r="BA1079" s="117"/>
      <c r="BB1079" s="116"/>
      <c r="BC1079" s="116"/>
      <c r="BD1079" s="116"/>
    </row>
    <row r="1080" spans="2:56" ht="19.5" x14ac:dyDescent="0.4">
      <c r="Y1080" s="115"/>
      <c r="Z1080" s="115"/>
      <c r="AA1080" s="115"/>
      <c r="AB1080" s="115"/>
      <c r="AC1080" s="115"/>
      <c r="AD1080" s="115"/>
      <c r="AE1080" s="122"/>
      <c r="AF1080" s="122"/>
      <c r="AG1080" s="122"/>
      <c r="AH1080" s="115"/>
      <c r="AI1080" s="115"/>
      <c r="AJ1080" s="115"/>
      <c r="AK1080" s="115"/>
      <c r="AL1080" s="115"/>
      <c r="AM1080" s="115"/>
      <c r="AN1080" s="115"/>
      <c r="AO1080" s="115"/>
      <c r="AP1080" s="115"/>
      <c r="AQ1080" s="115"/>
      <c r="AR1080" s="115"/>
      <c r="AS1080" s="115"/>
      <c r="AT1080" s="115"/>
      <c r="AU1080" s="115"/>
      <c r="AV1080" s="26"/>
      <c r="AW1080" s="13"/>
      <c r="BA1080" s="117"/>
      <c r="BB1080" s="116"/>
      <c r="BC1080" s="116"/>
      <c r="BD1080" s="116"/>
    </row>
    <row r="1081" spans="2:56" ht="19.5" x14ac:dyDescent="0.4">
      <c r="Y1081" s="115"/>
      <c r="Z1081" s="115"/>
      <c r="AA1081" s="115"/>
      <c r="AB1081" s="115"/>
      <c r="AC1081" s="115"/>
      <c r="AD1081" s="115"/>
      <c r="AE1081" s="122"/>
      <c r="AF1081" s="122"/>
      <c r="AG1081" s="122"/>
      <c r="AH1081" s="115"/>
      <c r="AI1081" s="115"/>
      <c r="AJ1081" s="115"/>
      <c r="AK1081" s="115"/>
      <c r="AL1081" s="115"/>
      <c r="AM1081" s="115"/>
      <c r="AN1081" s="115"/>
      <c r="AO1081" s="115"/>
      <c r="AP1081" s="115"/>
      <c r="AQ1081" s="115"/>
      <c r="AR1081" s="115"/>
      <c r="AS1081" s="115"/>
      <c r="AT1081" s="115"/>
      <c r="AU1081" s="115"/>
      <c r="AV1081" s="17"/>
      <c r="AW1081" s="13"/>
      <c r="BA1081" s="117"/>
      <c r="BB1081" s="116"/>
      <c r="BC1081" s="116"/>
      <c r="BD1081" s="116"/>
    </row>
    <row r="1082" spans="2:56" ht="19.5" x14ac:dyDescent="0.4">
      <c r="C1082" s="115"/>
      <c r="D1082" s="115"/>
      <c r="E1082" s="115"/>
      <c r="F1082" s="115"/>
      <c r="G1082" s="115"/>
      <c r="H1082" s="115"/>
      <c r="I1082" s="115"/>
      <c r="J1082" s="115"/>
      <c r="K1082" s="115"/>
      <c r="L1082" s="115"/>
      <c r="M1082" s="115"/>
      <c r="N1082" s="115"/>
      <c r="O1082" s="115"/>
      <c r="P1082" s="115"/>
      <c r="Q1082" s="115"/>
      <c r="R1082" s="115"/>
      <c r="S1082" s="115"/>
      <c r="T1082" s="115"/>
      <c r="U1082" s="115"/>
      <c r="V1082" s="115"/>
      <c r="W1082" s="115"/>
      <c r="X1082" s="115"/>
      <c r="Y1082" s="115"/>
      <c r="Z1082" s="115"/>
      <c r="AA1082" s="115"/>
      <c r="AB1082" s="115"/>
      <c r="AC1082" s="115"/>
      <c r="AD1082" s="115"/>
      <c r="AE1082" s="122"/>
      <c r="AF1082" s="122"/>
      <c r="AG1082" s="122"/>
      <c r="AH1082" s="115"/>
      <c r="AI1082" s="115"/>
      <c r="AJ1082" s="115"/>
      <c r="AK1082" s="115"/>
      <c r="AL1082" s="115"/>
      <c r="AM1082" s="115"/>
      <c r="AN1082" s="115"/>
      <c r="AO1082" s="115"/>
      <c r="AP1082" s="115"/>
      <c r="AQ1082" s="115"/>
      <c r="AR1082" s="115"/>
      <c r="AS1082" s="115"/>
      <c r="AT1082" s="115"/>
      <c r="AU1082" s="115"/>
      <c r="AV1082" s="26"/>
      <c r="AW1082" s="15"/>
      <c r="BA1082" s="117"/>
      <c r="BB1082" s="116"/>
      <c r="BC1082" s="116"/>
      <c r="BD1082" s="116"/>
    </row>
    <row r="1083" spans="2:56" ht="19.5" x14ac:dyDescent="0.4">
      <c r="C1083" s="115"/>
      <c r="D1083" s="115"/>
      <c r="E1083" s="115"/>
      <c r="F1083" s="115"/>
      <c r="G1083" s="115"/>
      <c r="H1083" s="115"/>
      <c r="I1083" s="115"/>
      <c r="J1083" s="115"/>
      <c r="K1083" s="115"/>
      <c r="L1083" s="115"/>
      <c r="M1083" s="115"/>
      <c r="N1083" s="115"/>
      <c r="O1083" s="115"/>
      <c r="P1083" s="115"/>
      <c r="Q1083" s="115"/>
      <c r="R1083" s="115"/>
      <c r="S1083" s="115"/>
      <c r="T1083" s="115"/>
      <c r="U1083" s="115"/>
      <c r="V1083" s="115"/>
      <c r="W1083" s="115"/>
      <c r="X1083" s="115"/>
      <c r="Y1083" s="115"/>
      <c r="Z1083" s="115"/>
      <c r="AA1083" s="115"/>
      <c r="AB1083" s="115"/>
      <c r="AC1083" s="115"/>
      <c r="AD1083" s="115"/>
      <c r="AE1083" s="122"/>
      <c r="AF1083" s="122"/>
      <c r="AG1083" s="122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115"/>
      <c r="AU1083" s="115"/>
      <c r="AV1083" s="17"/>
      <c r="AW1083" s="15"/>
      <c r="BA1083" s="117"/>
      <c r="BB1083" s="116"/>
      <c r="BC1083" s="116"/>
      <c r="BD1083" s="116"/>
    </row>
    <row r="1084" spans="2:56" ht="19.5" x14ac:dyDescent="0.4">
      <c r="C1084" s="115"/>
      <c r="D1084" s="115"/>
      <c r="E1084" s="115"/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15"/>
      <c r="AC1084" s="115"/>
      <c r="AD1084" s="115"/>
      <c r="AE1084" s="122"/>
      <c r="AF1084" s="122"/>
      <c r="AG1084" s="122"/>
      <c r="AH1084" s="115"/>
      <c r="AI1084" s="115"/>
      <c r="AJ1084" s="115"/>
      <c r="AK1084" s="115"/>
      <c r="AL1084" s="115"/>
      <c r="AM1084" s="115"/>
      <c r="AN1084" s="115"/>
      <c r="AO1084" s="115"/>
      <c r="AP1084" s="115"/>
      <c r="AQ1084" s="115"/>
      <c r="AR1084" s="115"/>
      <c r="AS1084" s="115"/>
      <c r="AT1084" s="115"/>
      <c r="AU1084" s="115"/>
      <c r="AV1084" s="26"/>
      <c r="AW1084" s="105"/>
      <c r="BA1084" s="117"/>
      <c r="BB1084" s="116"/>
      <c r="BC1084" s="116"/>
      <c r="BD1084" s="116"/>
    </row>
    <row r="1085" spans="2:56" ht="19.5" x14ac:dyDescent="0.4">
      <c r="C1085" s="115"/>
      <c r="D1085" s="115"/>
      <c r="E1085" s="115"/>
      <c r="F1085" s="115"/>
      <c r="G1085" s="115"/>
      <c r="H1085" s="115"/>
      <c r="I1085" s="115"/>
      <c r="J1085" s="115"/>
      <c r="K1085" s="115"/>
      <c r="L1085" s="115"/>
      <c r="M1085" s="115"/>
      <c r="N1085" s="115"/>
      <c r="O1085" s="115"/>
      <c r="P1085" s="115"/>
      <c r="Q1085" s="115"/>
      <c r="R1085" s="115"/>
      <c r="S1085" s="115"/>
      <c r="T1085" s="115"/>
      <c r="U1085" s="115"/>
      <c r="V1085" s="115"/>
      <c r="W1085" s="115"/>
      <c r="X1085" s="115"/>
      <c r="Y1085" s="115"/>
      <c r="Z1085" s="115"/>
      <c r="AA1085" s="115"/>
      <c r="AB1085" s="115"/>
      <c r="AC1085" s="115"/>
      <c r="AD1085" s="115"/>
      <c r="AE1085" s="122"/>
      <c r="AF1085" s="122"/>
      <c r="AG1085" s="122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15"/>
      <c r="AS1085" s="115"/>
      <c r="AT1085" s="115"/>
      <c r="AU1085" s="115"/>
      <c r="AV1085" s="17"/>
      <c r="AW1085" s="15"/>
      <c r="BA1085" s="117"/>
      <c r="BB1085" s="116"/>
      <c r="BC1085" s="116"/>
      <c r="BD1085" s="116"/>
    </row>
    <row r="1086" spans="2:56" ht="19.5" x14ac:dyDescent="0.4">
      <c r="C1086" s="115"/>
      <c r="D1086" s="115"/>
      <c r="E1086" s="115"/>
      <c r="F1086" s="115"/>
      <c r="G1086" s="115"/>
      <c r="H1086" s="115"/>
      <c r="I1086" s="115"/>
      <c r="J1086" s="115"/>
      <c r="K1086" s="115"/>
      <c r="L1086" s="115"/>
      <c r="M1086" s="115"/>
      <c r="N1086" s="115"/>
      <c r="O1086" s="115"/>
      <c r="P1086" s="115"/>
      <c r="Q1086" s="115"/>
      <c r="R1086" s="115"/>
      <c r="S1086" s="115"/>
      <c r="T1086" s="115"/>
      <c r="U1086" s="115"/>
      <c r="V1086" s="115"/>
      <c r="W1086" s="115"/>
      <c r="X1086" s="115"/>
      <c r="Y1086" s="115"/>
      <c r="Z1086" s="115"/>
      <c r="AA1086" s="115"/>
      <c r="AB1086" s="115"/>
      <c r="AC1086" s="115"/>
      <c r="AD1086" s="115"/>
      <c r="AE1086" s="122"/>
      <c r="AF1086" s="122"/>
      <c r="AG1086" s="122"/>
      <c r="AH1086" s="115"/>
      <c r="AI1086" s="115"/>
      <c r="AJ1086" s="115"/>
      <c r="AK1086" s="115"/>
      <c r="AL1086" s="115"/>
      <c r="AM1086" s="115"/>
      <c r="AN1086" s="115"/>
      <c r="AO1086" s="115"/>
      <c r="AP1086" s="115"/>
      <c r="AQ1086" s="115"/>
      <c r="AR1086" s="115"/>
      <c r="AS1086" s="115"/>
      <c r="AT1086" s="115"/>
      <c r="AU1086" s="115"/>
      <c r="AV1086" s="26"/>
      <c r="AW1086" s="15"/>
      <c r="BA1086" s="117"/>
      <c r="BB1086" s="116"/>
      <c r="BC1086" s="116"/>
      <c r="BD1086" s="116"/>
    </row>
    <row r="1087" spans="2:56" ht="19.5" x14ac:dyDescent="0.4"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  <c r="P1087" s="115"/>
      <c r="Q1087" s="115"/>
      <c r="R1087" s="115"/>
      <c r="S1087" s="115"/>
      <c r="T1087" s="115"/>
      <c r="U1087" s="115"/>
      <c r="V1087" s="115"/>
      <c r="W1087" s="115"/>
      <c r="X1087" s="115"/>
      <c r="Y1087" s="115"/>
      <c r="Z1087" s="115"/>
      <c r="AA1087" s="115"/>
      <c r="AB1087" s="115"/>
      <c r="AC1087" s="115"/>
      <c r="AD1087" s="115"/>
      <c r="AE1087" s="122"/>
      <c r="AF1087" s="122"/>
      <c r="AG1087" s="122"/>
      <c r="AH1087" s="115"/>
      <c r="AI1087" s="115"/>
      <c r="AJ1087" s="115"/>
      <c r="AK1087" s="115"/>
      <c r="AL1087" s="115"/>
      <c r="AM1087" s="115"/>
      <c r="AN1087" s="115"/>
      <c r="AO1087" s="115"/>
      <c r="AP1087" s="115"/>
      <c r="AQ1087" s="115"/>
      <c r="AR1087" s="115"/>
      <c r="AS1087" s="115"/>
      <c r="AT1087" s="115"/>
      <c r="AU1087" s="115"/>
      <c r="AV1087" s="26"/>
      <c r="AW1087" s="15"/>
      <c r="BA1087" s="117"/>
      <c r="BB1087" s="116"/>
      <c r="BC1087" s="116"/>
      <c r="BD1087" s="116"/>
    </row>
    <row r="1088" spans="2:56" ht="19.5" x14ac:dyDescent="0.4">
      <c r="AV1088" s="26"/>
      <c r="AW1088" s="15"/>
      <c r="BA1088" s="117"/>
      <c r="BB1088" s="116"/>
      <c r="BC1088" s="116"/>
      <c r="BD1088" s="116"/>
    </row>
    <row r="1089" spans="1:56" ht="19.5" x14ac:dyDescent="0.4">
      <c r="AA1089" s="115"/>
      <c r="AB1089" s="115"/>
      <c r="AC1089" s="115"/>
      <c r="AD1089" s="115"/>
      <c r="AE1089" s="122"/>
      <c r="AF1089" s="122"/>
      <c r="AG1089" s="122"/>
      <c r="AH1089" s="115"/>
      <c r="AI1089" s="115"/>
      <c r="AJ1089" s="115"/>
      <c r="AK1089" s="115"/>
      <c r="AL1089" s="115"/>
      <c r="AM1089" s="115"/>
      <c r="AN1089" s="115"/>
      <c r="AO1089" s="115"/>
      <c r="AP1089" s="115"/>
      <c r="AQ1089" s="115"/>
      <c r="AR1089" s="115"/>
      <c r="AS1089" s="115"/>
      <c r="AT1089" s="115"/>
      <c r="AU1089" s="115"/>
      <c r="AV1089" s="26"/>
      <c r="AW1089" s="15"/>
      <c r="BA1089" s="117"/>
      <c r="BB1089" s="116"/>
      <c r="BC1089" s="116"/>
      <c r="BD1089" s="116"/>
    </row>
    <row r="1090" spans="1:56" ht="19.5" x14ac:dyDescent="0.4">
      <c r="A1090" s="115"/>
      <c r="B1090" s="115"/>
      <c r="C1090" s="115"/>
      <c r="D1090" s="115"/>
      <c r="E1090" s="115"/>
      <c r="F1090" s="115"/>
      <c r="G1090" s="115"/>
      <c r="H1090" s="115"/>
      <c r="I1090" s="115"/>
      <c r="J1090" s="115"/>
      <c r="K1090" s="115"/>
      <c r="L1090" s="115"/>
      <c r="M1090" s="115"/>
      <c r="N1090" s="115"/>
      <c r="O1090" s="115"/>
      <c r="P1090" s="115"/>
      <c r="Q1090" s="115"/>
      <c r="R1090" s="115"/>
      <c r="S1090" s="115"/>
      <c r="T1090" s="115"/>
      <c r="U1090" s="115"/>
      <c r="V1090" s="115"/>
      <c r="W1090" s="115"/>
      <c r="X1090" s="115"/>
      <c r="Y1090" s="115"/>
      <c r="Z1090" s="115"/>
      <c r="AA1090" s="115"/>
      <c r="AB1090" s="115"/>
      <c r="AC1090" s="115"/>
      <c r="AD1090" s="115"/>
      <c r="AE1090" s="122"/>
      <c r="AF1090" s="122"/>
      <c r="AG1090" s="122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115"/>
      <c r="AT1090" s="115"/>
      <c r="AU1090" s="115"/>
      <c r="AV1090" s="26"/>
      <c r="AW1090" s="15"/>
      <c r="BA1090" s="117"/>
      <c r="BB1090" s="116"/>
      <c r="BC1090" s="116"/>
      <c r="BD1090" s="116"/>
    </row>
    <row r="1091" spans="1:56" ht="19.5" x14ac:dyDescent="0.4">
      <c r="A1091" s="115"/>
      <c r="B1091" s="115"/>
      <c r="C1091" s="115"/>
      <c r="D1091" s="115"/>
      <c r="E1091" s="115"/>
      <c r="F1091" s="115"/>
      <c r="G1091" s="115"/>
      <c r="H1091" s="115"/>
      <c r="I1091" s="115"/>
      <c r="J1091" s="115"/>
      <c r="K1091" s="115"/>
      <c r="L1091" s="115"/>
      <c r="M1091" s="115"/>
      <c r="N1091" s="115"/>
      <c r="O1091" s="115"/>
      <c r="P1091" s="115"/>
      <c r="Q1091" s="115"/>
      <c r="R1091" s="115"/>
      <c r="S1091" s="115"/>
      <c r="T1091" s="115"/>
      <c r="U1091" s="115"/>
      <c r="V1091" s="115"/>
      <c r="W1091" s="115"/>
      <c r="X1091" s="115"/>
      <c r="Y1091" s="115"/>
      <c r="Z1091" s="115"/>
      <c r="AA1091" s="115"/>
      <c r="AB1091" s="115"/>
      <c r="AC1091" s="115"/>
      <c r="AD1091" s="115"/>
      <c r="AE1091" s="122"/>
      <c r="AF1091" s="122"/>
      <c r="AG1091" s="122"/>
      <c r="AH1091" s="115"/>
      <c r="AI1091" s="115"/>
      <c r="AJ1091" s="115"/>
      <c r="AK1091" s="115"/>
      <c r="AL1091" s="115"/>
      <c r="AM1091" s="115"/>
      <c r="AN1091" s="115"/>
      <c r="AO1091" s="115"/>
      <c r="AP1091" s="115"/>
      <c r="AQ1091" s="115"/>
      <c r="AR1091" s="115"/>
      <c r="AS1091" s="115"/>
      <c r="AT1091" s="115"/>
      <c r="AU1091" s="115"/>
      <c r="AV1091" s="26"/>
      <c r="AW1091" s="15"/>
      <c r="BA1091" s="117"/>
      <c r="BB1091" s="116"/>
      <c r="BC1091" s="116"/>
      <c r="BD1091" s="116"/>
    </row>
    <row r="1092" spans="1:56" ht="19.5" x14ac:dyDescent="0.4">
      <c r="A1092" s="115"/>
      <c r="B1092" s="115"/>
      <c r="C1092" s="115"/>
      <c r="D1092" s="115"/>
      <c r="E1092" s="115"/>
      <c r="F1092" s="115"/>
      <c r="G1092" s="115"/>
      <c r="H1092" s="115"/>
      <c r="I1092" s="115"/>
      <c r="J1092" s="115"/>
      <c r="K1092" s="115"/>
      <c r="L1092" s="115"/>
      <c r="M1092" s="115"/>
      <c r="N1092" s="115"/>
      <c r="O1092" s="115"/>
      <c r="P1092" s="115"/>
      <c r="Q1092" s="115"/>
      <c r="R1092" s="115"/>
      <c r="S1092" s="115"/>
      <c r="T1092" s="115"/>
      <c r="U1092" s="115"/>
      <c r="V1092" s="115"/>
      <c r="W1092" s="115"/>
      <c r="X1092" s="115"/>
      <c r="Y1092" s="115"/>
      <c r="Z1092" s="115"/>
      <c r="AA1092" s="115"/>
      <c r="AB1092" s="115"/>
      <c r="AC1092" s="115"/>
      <c r="AD1092" s="115"/>
      <c r="AE1092" s="122"/>
      <c r="AF1092" s="122"/>
      <c r="AG1092" s="122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115"/>
      <c r="AT1092" s="115"/>
      <c r="AU1092" s="115"/>
      <c r="AV1092" s="17"/>
      <c r="AW1092" s="15"/>
      <c r="BA1092" s="117"/>
      <c r="BB1092" s="116"/>
      <c r="BC1092" s="116"/>
      <c r="BD1092" s="116"/>
    </row>
    <row r="1093" spans="1:56" ht="19.5" x14ac:dyDescent="0.4">
      <c r="AV1093" s="26"/>
      <c r="AW1093" s="15"/>
      <c r="BA1093" s="117"/>
      <c r="BB1093" s="116"/>
      <c r="BC1093" s="116"/>
      <c r="BD1093" s="116"/>
    </row>
    <row r="1094" spans="1:56" ht="19.5" x14ac:dyDescent="0.4">
      <c r="AB1094" s="115"/>
      <c r="AC1094" s="115"/>
      <c r="AD1094" s="115"/>
      <c r="AE1094" s="122"/>
      <c r="AF1094" s="122"/>
      <c r="AG1094" s="122"/>
      <c r="AH1094" s="115"/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115"/>
      <c r="AS1094" s="115"/>
      <c r="AT1094" s="115"/>
      <c r="AU1094" s="115"/>
      <c r="AV1094" s="17"/>
      <c r="AW1094" s="15"/>
      <c r="BA1094" s="117"/>
      <c r="BB1094" s="116"/>
      <c r="BC1094" s="116"/>
      <c r="BD1094" s="116"/>
    </row>
    <row r="1095" spans="1:56" ht="19.5" x14ac:dyDescent="0.4">
      <c r="AA1095" s="115"/>
      <c r="AB1095" s="115"/>
      <c r="AC1095" s="115"/>
      <c r="AD1095" s="115"/>
      <c r="AE1095" s="122"/>
      <c r="AF1095" s="122"/>
      <c r="AG1095" s="122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115"/>
      <c r="AT1095" s="115"/>
      <c r="AU1095" s="115"/>
      <c r="AV1095" s="26"/>
      <c r="AW1095" s="15"/>
      <c r="BA1095" s="117"/>
      <c r="BB1095" s="116"/>
      <c r="BC1095" s="116"/>
      <c r="BD1095" s="116"/>
    </row>
    <row r="1096" spans="1:56" ht="19.5" x14ac:dyDescent="0.4">
      <c r="C1096" s="115"/>
      <c r="D1096" s="115"/>
      <c r="E1096" s="115"/>
      <c r="F1096" s="115"/>
      <c r="G1096" s="115"/>
      <c r="H1096" s="115"/>
      <c r="I1096" s="115"/>
      <c r="J1096" s="115"/>
      <c r="K1096" s="115"/>
      <c r="L1096" s="115"/>
      <c r="M1096" s="115"/>
      <c r="N1096" s="115"/>
      <c r="O1096" s="115"/>
      <c r="P1096" s="115"/>
      <c r="Q1096" s="115"/>
      <c r="R1096" s="115"/>
      <c r="S1096" s="115"/>
      <c r="T1096" s="115"/>
      <c r="U1096" s="115"/>
      <c r="V1096" s="115"/>
      <c r="W1096" s="115"/>
      <c r="X1096" s="115"/>
      <c r="Y1096" s="115"/>
      <c r="Z1096" s="115"/>
      <c r="AA1096" s="115"/>
      <c r="AB1096" s="115"/>
      <c r="AC1096" s="115"/>
      <c r="AD1096" s="115"/>
      <c r="AE1096" s="122"/>
      <c r="AF1096" s="122"/>
      <c r="AG1096" s="122"/>
      <c r="AH1096" s="115"/>
      <c r="AI1096" s="115"/>
      <c r="AJ1096" s="115"/>
      <c r="AK1096" s="115"/>
      <c r="AL1096" s="115"/>
      <c r="AM1096" s="115"/>
      <c r="AN1096" s="115"/>
      <c r="AO1096" s="115"/>
      <c r="AP1096" s="115"/>
      <c r="AQ1096" s="115"/>
      <c r="AR1096" s="115"/>
      <c r="AS1096" s="115"/>
      <c r="AT1096" s="115"/>
      <c r="AU1096" s="115"/>
      <c r="AV1096" s="26"/>
      <c r="AW1096" s="15"/>
      <c r="BA1096" s="117"/>
      <c r="BB1096" s="116"/>
      <c r="BC1096" s="116"/>
      <c r="BD1096" s="116"/>
    </row>
    <row r="1097" spans="1:56" ht="19.5" x14ac:dyDescent="0.4">
      <c r="C1097" s="115"/>
      <c r="D1097" s="115"/>
      <c r="E1097" s="115"/>
      <c r="F1097" s="115"/>
      <c r="G1097" s="115"/>
      <c r="H1097" s="115"/>
      <c r="I1097" s="115"/>
      <c r="J1097" s="115"/>
      <c r="K1097" s="115"/>
      <c r="L1097" s="115"/>
      <c r="M1097" s="115"/>
      <c r="N1097" s="115"/>
      <c r="O1097" s="115"/>
      <c r="P1097" s="115"/>
      <c r="Q1097" s="115"/>
      <c r="R1097" s="115"/>
      <c r="S1097" s="115"/>
      <c r="T1097" s="115"/>
      <c r="U1097" s="115"/>
      <c r="V1097" s="115"/>
      <c r="W1097" s="115"/>
      <c r="X1097" s="115"/>
      <c r="Y1097" s="115"/>
      <c r="Z1097" s="115"/>
      <c r="AA1097" s="115"/>
      <c r="AB1097" s="115"/>
      <c r="AC1097" s="115"/>
      <c r="AD1097" s="115"/>
      <c r="AE1097" s="122"/>
      <c r="AF1097" s="122"/>
      <c r="AG1097" s="122"/>
      <c r="AH1097" s="115"/>
      <c r="AI1097" s="115"/>
      <c r="AJ1097" s="115"/>
      <c r="AK1097" s="115"/>
      <c r="AL1097" s="115"/>
      <c r="AM1097" s="115"/>
      <c r="AN1097" s="115"/>
      <c r="AO1097" s="115"/>
      <c r="AP1097" s="115"/>
      <c r="AQ1097" s="115"/>
      <c r="AR1097" s="115"/>
      <c r="AS1097" s="115"/>
      <c r="AT1097" s="115"/>
      <c r="AU1097" s="115"/>
      <c r="AV1097" s="26"/>
      <c r="AW1097" s="15"/>
      <c r="BA1097" s="117"/>
      <c r="BB1097" s="116"/>
      <c r="BC1097" s="116"/>
      <c r="BD1097" s="116"/>
    </row>
    <row r="1098" spans="1:56" ht="19.5" x14ac:dyDescent="0.4">
      <c r="B1098" s="115"/>
      <c r="C1098" s="115"/>
      <c r="D1098" s="115"/>
      <c r="E1098" s="115"/>
      <c r="F1098" s="115"/>
      <c r="G1098" s="115"/>
      <c r="H1098" s="115"/>
      <c r="I1098" s="115"/>
      <c r="J1098" s="115"/>
      <c r="K1098" s="115"/>
      <c r="L1098" s="115"/>
      <c r="M1098" s="115"/>
      <c r="N1098" s="115"/>
      <c r="O1098" s="115"/>
      <c r="P1098" s="115"/>
      <c r="Q1098" s="115"/>
      <c r="R1098" s="115"/>
      <c r="S1098" s="115"/>
      <c r="T1098" s="115"/>
      <c r="U1098" s="115"/>
      <c r="V1098" s="115"/>
      <c r="W1098" s="115"/>
      <c r="X1098" s="115"/>
      <c r="Y1098" s="115"/>
      <c r="Z1098" s="115"/>
      <c r="AA1098" s="115"/>
      <c r="AB1098" s="115"/>
      <c r="AC1098" s="115"/>
      <c r="AD1098" s="115"/>
      <c r="AE1098" s="122"/>
      <c r="AF1098" s="122"/>
      <c r="AG1098" s="122"/>
      <c r="AH1098" s="115"/>
      <c r="AI1098" s="115"/>
      <c r="AJ1098" s="115"/>
      <c r="AK1098" s="115"/>
      <c r="AL1098" s="115"/>
      <c r="AM1098" s="115"/>
      <c r="AN1098" s="115"/>
      <c r="AO1098" s="115"/>
      <c r="AP1098" s="115"/>
      <c r="AQ1098" s="115"/>
      <c r="AR1098" s="115"/>
      <c r="AS1098" s="115"/>
      <c r="AT1098" s="115"/>
      <c r="AU1098" s="115"/>
      <c r="AV1098" s="26"/>
      <c r="AW1098" s="15"/>
      <c r="BA1098" s="117"/>
      <c r="BB1098" s="116"/>
      <c r="BC1098" s="116"/>
      <c r="BD1098" s="116"/>
    </row>
    <row r="1099" spans="1:56" ht="19.5" x14ac:dyDescent="0.4">
      <c r="A1099" s="115"/>
      <c r="B1099" s="115"/>
      <c r="C1099" s="115"/>
      <c r="D1099" s="115"/>
      <c r="E1099" s="115"/>
      <c r="F1099" s="115"/>
      <c r="G1099" s="115"/>
      <c r="H1099" s="115"/>
      <c r="I1099" s="115"/>
      <c r="J1099" s="115"/>
      <c r="K1099" s="115"/>
      <c r="L1099" s="115"/>
      <c r="M1099" s="115"/>
      <c r="N1099" s="115"/>
      <c r="O1099" s="115"/>
      <c r="P1099" s="115"/>
      <c r="Q1099" s="115"/>
      <c r="R1099" s="115"/>
      <c r="S1099" s="115"/>
      <c r="T1099" s="115"/>
      <c r="U1099" s="115"/>
      <c r="V1099" s="115"/>
      <c r="W1099" s="115"/>
      <c r="X1099" s="115"/>
      <c r="Y1099" s="115"/>
      <c r="Z1099" s="115"/>
      <c r="AA1099" s="115"/>
      <c r="AB1099" s="115"/>
      <c r="AC1099" s="115"/>
      <c r="AD1099" s="115"/>
      <c r="AE1099" s="122"/>
      <c r="AF1099" s="122"/>
      <c r="AG1099" s="122"/>
      <c r="AH1099" s="115"/>
      <c r="AI1099" s="115"/>
      <c r="AJ1099" s="115"/>
      <c r="AK1099" s="115"/>
      <c r="AL1099" s="115"/>
      <c r="AM1099" s="115"/>
      <c r="AN1099" s="115"/>
      <c r="AO1099" s="115"/>
      <c r="AP1099" s="115"/>
      <c r="AQ1099" s="115"/>
      <c r="AR1099" s="115"/>
      <c r="AS1099" s="115"/>
      <c r="AT1099" s="115"/>
      <c r="AU1099" s="115"/>
      <c r="AV1099" s="26"/>
      <c r="AW1099" s="15"/>
      <c r="BA1099" s="117"/>
      <c r="BB1099" s="116"/>
      <c r="BC1099" s="116"/>
      <c r="BD1099" s="116"/>
    </row>
    <row r="1100" spans="1:56" ht="19.5" x14ac:dyDescent="0.4">
      <c r="A1100" s="115"/>
      <c r="B1100" s="115"/>
      <c r="C1100" s="115"/>
      <c r="D1100" s="115"/>
      <c r="E1100" s="115"/>
      <c r="F1100" s="115"/>
      <c r="G1100" s="115"/>
      <c r="H1100" s="115"/>
      <c r="I1100" s="115"/>
      <c r="J1100" s="115"/>
      <c r="K1100" s="115"/>
      <c r="L1100" s="115"/>
      <c r="M1100" s="115"/>
      <c r="N1100" s="115"/>
      <c r="O1100" s="115"/>
      <c r="P1100" s="115"/>
      <c r="Q1100" s="115"/>
      <c r="R1100" s="115"/>
      <c r="S1100" s="115"/>
      <c r="T1100" s="115"/>
      <c r="U1100" s="115"/>
      <c r="V1100" s="115"/>
      <c r="W1100" s="115"/>
      <c r="X1100" s="115"/>
      <c r="Y1100" s="115"/>
      <c r="Z1100" s="115"/>
      <c r="AA1100" s="115"/>
      <c r="AB1100" s="115"/>
      <c r="AC1100" s="115"/>
      <c r="AD1100" s="115"/>
      <c r="AE1100" s="122"/>
      <c r="AF1100" s="122"/>
      <c r="AG1100" s="122"/>
      <c r="AH1100" s="115"/>
      <c r="AI1100" s="115"/>
      <c r="AJ1100" s="115"/>
      <c r="AK1100" s="115"/>
      <c r="AL1100" s="115"/>
      <c r="AM1100" s="115"/>
      <c r="AN1100" s="115"/>
      <c r="AO1100" s="115"/>
      <c r="AP1100" s="115"/>
      <c r="AQ1100" s="115"/>
      <c r="AR1100" s="115"/>
      <c r="AS1100" s="115"/>
      <c r="AT1100" s="115"/>
      <c r="AU1100" s="115"/>
      <c r="AV1100" s="26"/>
      <c r="AW1100" s="15"/>
      <c r="BA1100" s="117"/>
      <c r="BB1100" s="116"/>
      <c r="BC1100" s="116"/>
      <c r="BD1100" s="116"/>
    </row>
    <row r="1101" spans="1:56" ht="19.5" x14ac:dyDescent="0.4">
      <c r="A1101" s="115"/>
      <c r="B1101" s="115"/>
      <c r="C1101" s="115"/>
      <c r="D1101" s="115"/>
      <c r="E1101" s="115"/>
      <c r="F1101" s="115"/>
      <c r="G1101" s="115"/>
      <c r="H1101" s="115"/>
      <c r="I1101" s="115"/>
      <c r="J1101" s="115"/>
      <c r="K1101" s="115"/>
      <c r="L1101" s="115"/>
      <c r="M1101" s="115"/>
      <c r="N1101" s="115"/>
      <c r="O1101" s="115"/>
      <c r="P1101" s="115"/>
      <c r="Q1101" s="115"/>
      <c r="R1101" s="115"/>
      <c r="S1101" s="115"/>
      <c r="T1101" s="115"/>
      <c r="U1101" s="115"/>
      <c r="V1101" s="115"/>
      <c r="W1101" s="115"/>
      <c r="X1101" s="115"/>
      <c r="Y1101" s="115"/>
      <c r="Z1101" s="115"/>
      <c r="AA1101" s="115"/>
      <c r="AB1101" s="115"/>
      <c r="AC1101" s="115"/>
      <c r="AD1101" s="115"/>
      <c r="AE1101" s="122"/>
      <c r="AF1101" s="122"/>
      <c r="AG1101" s="122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115"/>
      <c r="AT1101" s="115"/>
      <c r="AU1101" s="115"/>
      <c r="AV1101" s="17"/>
      <c r="AW1101" s="15"/>
      <c r="BA1101" s="117"/>
      <c r="BB1101" s="116"/>
      <c r="BC1101" s="116"/>
      <c r="BD1101" s="116"/>
    </row>
    <row r="1102" spans="1:56" ht="19.5" x14ac:dyDescent="0.4">
      <c r="AV1102" s="26"/>
      <c r="AW1102" s="15"/>
      <c r="BA1102" s="117"/>
      <c r="BB1102" s="116"/>
      <c r="BC1102" s="116"/>
      <c r="BD1102" s="116"/>
    </row>
    <row r="1103" spans="1:56" ht="19.5" x14ac:dyDescent="0.4">
      <c r="AB1103" s="115"/>
      <c r="AC1103" s="115"/>
      <c r="AD1103" s="115"/>
      <c r="AE1103" s="122"/>
      <c r="AF1103" s="122"/>
      <c r="AG1103" s="122"/>
      <c r="AH1103" s="115"/>
      <c r="AI1103" s="115"/>
      <c r="AJ1103" s="115"/>
      <c r="AK1103" s="115"/>
      <c r="AL1103" s="115"/>
      <c r="AM1103" s="115"/>
      <c r="AN1103" s="115"/>
      <c r="AO1103" s="115"/>
      <c r="AP1103" s="115"/>
      <c r="AQ1103" s="115"/>
      <c r="AR1103" s="115"/>
      <c r="AS1103" s="115"/>
      <c r="AT1103" s="115"/>
      <c r="AU1103" s="115"/>
      <c r="AV1103" s="17"/>
      <c r="AW1103" s="13"/>
      <c r="BA1103" s="117"/>
      <c r="BB1103" s="116"/>
      <c r="BC1103" s="116"/>
      <c r="BD1103" s="116"/>
    </row>
    <row r="1104" spans="1:56" ht="19.5" x14ac:dyDescent="0.4">
      <c r="AB1104" s="115"/>
      <c r="AC1104" s="115"/>
      <c r="AD1104" s="115"/>
      <c r="AE1104" s="122"/>
      <c r="AF1104" s="122"/>
      <c r="AG1104" s="122"/>
      <c r="AH1104" s="115"/>
      <c r="AI1104" s="115"/>
      <c r="AJ1104" s="115"/>
      <c r="AK1104" s="115"/>
      <c r="AL1104" s="115"/>
      <c r="AM1104" s="115"/>
      <c r="AN1104" s="115"/>
      <c r="AO1104" s="115"/>
      <c r="AP1104" s="115"/>
      <c r="AQ1104" s="115"/>
      <c r="AR1104" s="115"/>
      <c r="AS1104" s="115"/>
      <c r="AT1104" s="115"/>
      <c r="AU1104" s="115"/>
      <c r="AV1104" s="17"/>
      <c r="AW1104" s="13"/>
      <c r="BA1104" s="117"/>
      <c r="BB1104" s="116"/>
      <c r="BC1104" s="116"/>
      <c r="BD1104" s="116"/>
    </row>
    <row r="1105" spans="1:56" ht="19.5" x14ac:dyDescent="0.4">
      <c r="AV1105" s="26"/>
      <c r="AW1105" s="13"/>
      <c r="BA1105" s="117"/>
      <c r="BB1105" s="116"/>
      <c r="BC1105" s="116"/>
      <c r="BD1105" s="116"/>
    </row>
    <row r="1106" spans="1:56" ht="19.5" x14ac:dyDescent="0.4">
      <c r="AV1106" s="26"/>
      <c r="AW1106" s="13"/>
      <c r="BA1106" s="116"/>
      <c r="BB1106" s="116"/>
      <c r="BC1106" s="116"/>
      <c r="BD1106" s="116"/>
    </row>
    <row r="1107" spans="1:56" ht="19.5" x14ac:dyDescent="0.4">
      <c r="D1107" s="115"/>
      <c r="E1107" s="115"/>
      <c r="F1107" s="115"/>
      <c r="G1107" s="115"/>
      <c r="H1107" s="115"/>
      <c r="I1107" s="115"/>
      <c r="J1107" s="115"/>
      <c r="K1107" s="115"/>
      <c r="L1107" s="115"/>
      <c r="M1107" s="115"/>
      <c r="N1107" s="115"/>
      <c r="O1107" s="115"/>
      <c r="P1107" s="115"/>
      <c r="Q1107" s="115"/>
      <c r="R1107" s="115"/>
      <c r="S1107" s="115"/>
      <c r="T1107" s="115"/>
      <c r="U1107" s="115"/>
      <c r="V1107" s="115"/>
      <c r="W1107" s="115"/>
      <c r="X1107" s="115"/>
      <c r="Y1107" s="115"/>
      <c r="Z1107" s="115"/>
      <c r="AA1107" s="115"/>
      <c r="AB1107" s="115"/>
      <c r="AC1107" s="115"/>
      <c r="AD1107" s="115"/>
      <c r="AE1107" s="122"/>
      <c r="AF1107" s="122"/>
      <c r="AG1107" s="122"/>
      <c r="AH1107" s="115"/>
      <c r="AI1107" s="115"/>
      <c r="AJ1107" s="115"/>
      <c r="AK1107" s="115"/>
      <c r="AL1107" s="115"/>
      <c r="AM1107" s="115"/>
      <c r="AN1107" s="115"/>
      <c r="AO1107" s="115"/>
      <c r="AP1107" s="115"/>
      <c r="AQ1107" s="115"/>
      <c r="AR1107" s="115"/>
      <c r="AS1107" s="115"/>
      <c r="AT1107" s="115"/>
      <c r="AU1107" s="115"/>
      <c r="AV1107" s="26"/>
      <c r="AW1107" s="13"/>
      <c r="BA1107" s="118"/>
      <c r="BB1107" s="118"/>
      <c r="BC1107" s="118"/>
      <c r="BD1107" s="118"/>
    </row>
    <row r="1108" spans="1:56" ht="19.5" x14ac:dyDescent="0.4">
      <c r="D1108" s="115"/>
      <c r="E1108" s="115"/>
      <c r="F1108" s="115"/>
      <c r="G1108" s="115"/>
      <c r="H1108" s="115"/>
      <c r="I1108" s="115"/>
      <c r="J1108" s="115"/>
      <c r="K1108" s="115"/>
      <c r="L1108" s="115"/>
      <c r="M1108" s="115"/>
      <c r="N1108" s="115"/>
      <c r="O1108" s="115"/>
      <c r="P1108" s="115"/>
      <c r="Q1108" s="115"/>
      <c r="R1108" s="115"/>
      <c r="S1108" s="115"/>
      <c r="T1108" s="115"/>
      <c r="U1108" s="115"/>
      <c r="V1108" s="115"/>
      <c r="W1108" s="115"/>
      <c r="X1108" s="115"/>
      <c r="Y1108" s="115"/>
      <c r="Z1108" s="115"/>
      <c r="AA1108" s="115"/>
      <c r="AB1108" s="115"/>
      <c r="AC1108" s="115"/>
      <c r="AD1108" s="115"/>
      <c r="AE1108" s="122"/>
      <c r="AF1108" s="122"/>
      <c r="AG1108" s="122"/>
      <c r="AH1108" s="115"/>
      <c r="AI1108" s="115"/>
      <c r="AJ1108" s="115"/>
      <c r="AK1108" s="115"/>
      <c r="AL1108" s="115"/>
      <c r="AM1108" s="115"/>
      <c r="AN1108" s="115"/>
      <c r="AO1108" s="115"/>
      <c r="AP1108" s="115"/>
      <c r="AQ1108" s="115"/>
      <c r="AR1108" s="115"/>
      <c r="AS1108" s="115"/>
      <c r="AT1108" s="115"/>
      <c r="AU1108" s="115"/>
      <c r="AV1108" s="26"/>
      <c r="AW1108" s="13"/>
      <c r="BA1108" s="118"/>
      <c r="BB1108" s="118"/>
      <c r="BC1108" s="118"/>
      <c r="BD1108" s="118"/>
    </row>
    <row r="1109" spans="1:56" ht="19.5" x14ac:dyDescent="0.4">
      <c r="B1109" s="115"/>
      <c r="C1109" s="115"/>
      <c r="D1109" s="115"/>
      <c r="E1109" s="115"/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15"/>
      <c r="AD1109" s="115"/>
      <c r="AE1109" s="122"/>
      <c r="AF1109" s="122"/>
      <c r="AG1109" s="122"/>
      <c r="AH1109" s="115"/>
      <c r="AI1109" s="115"/>
      <c r="AJ1109" s="115"/>
      <c r="AK1109" s="115"/>
      <c r="AL1109" s="115"/>
      <c r="AM1109" s="115"/>
      <c r="AN1109" s="115"/>
      <c r="AO1109" s="115"/>
      <c r="AP1109" s="115"/>
      <c r="AQ1109" s="115"/>
      <c r="AR1109" s="115"/>
      <c r="AS1109" s="115"/>
      <c r="AT1109" s="115"/>
      <c r="AU1109" s="115"/>
      <c r="AV1109" s="26"/>
      <c r="AW1109" s="13"/>
      <c r="BA1109" s="118"/>
      <c r="BB1109" s="118"/>
      <c r="BC1109" s="118"/>
      <c r="BD1109" s="118"/>
    </row>
    <row r="1110" spans="1:56" ht="19.5" x14ac:dyDescent="0.4">
      <c r="B1110" s="115"/>
      <c r="C1110" s="115"/>
      <c r="D1110" s="115"/>
      <c r="E1110" s="115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22"/>
      <c r="AF1110" s="122"/>
      <c r="AG1110" s="122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115"/>
      <c r="AT1110" s="115"/>
      <c r="AU1110" s="115"/>
      <c r="AV1110" s="26"/>
      <c r="AW1110" s="15"/>
      <c r="BA1110" s="118"/>
      <c r="BB1110" s="118"/>
      <c r="BC1110" s="118"/>
      <c r="BD1110" s="118"/>
    </row>
    <row r="1111" spans="1:56" ht="19.5" x14ac:dyDescent="0.4">
      <c r="B1111" s="115"/>
      <c r="C1111" s="115"/>
      <c r="D1111" s="115"/>
      <c r="E1111" s="115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22"/>
      <c r="AF1111" s="122"/>
      <c r="AG1111" s="122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15"/>
      <c r="AT1111" s="115"/>
      <c r="AU1111" s="115"/>
      <c r="AV1111" s="26"/>
      <c r="AW1111" s="15"/>
      <c r="BA1111" s="118"/>
      <c r="BB1111" s="118"/>
      <c r="BC1111" s="118"/>
      <c r="BD1111" s="118"/>
    </row>
    <row r="1112" spans="1:56" ht="19.5" x14ac:dyDescent="0.4">
      <c r="A1112" s="115"/>
      <c r="B1112" s="115"/>
      <c r="C1112" s="115"/>
      <c r="D1112" s="115"/>
      <c r="E1112" s="115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22"/>
      <c r="AF1112" s="122"/>
      <c r="AG1112" s="122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15"/>
      <c r="AT1112" s="115"/>
      <c r="AU1112" s="115"/>
      <c r="AV1112" s="26"/>
      <c r="AW1112" s="15"/>
      <c r="BA1112" s="118"/>
      <c r="BB1112" s="118"/>
      <c r="BC1112" s="118"/>
      <c r="BD1112" s="118"/>
    </row>
    <row r="1113" spans="1:56" ht="19.5" x14ac:dyDescent="0.4">
      <c r="A1113" s="115"/>
      <c r="B1113" s="115"/>
      <c r="C1113" s="115"/>
      <c r="D1113" s="115"/>
      <c r="E1113" s="115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22"/>
      <c r="AF1113" s="122"/>
      <c r="AG1113" s="122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15"/>
      <c r="AT1113" s="115"/>
      <c r="AU1113" s="115"/>
      <c r="AV1113" s="26"/>
      <c r="AW1113" s="15"/>
      <c r="BA1113" s="118"/>
      <c r="BB1113" s="118"/>
      <c r="BC1113" s="118"/>
      <c r="BD1113" s="118"/>
    </row>
    <row r="1114" spans="1:56" ht="20.25" customHeight="1" x14ac:dyDescent="0.4">
      <c r="A1114" s="115"/>
      <c r="B1114" s="115"/>
      <c r="C1114" s="115"/>
      <c r="D1114" s="115"/>
      <c r="E1114" s="115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22"/>
      <c r="AF1114" s="122"/>
      <c r="AG1114" s="122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15"/>
      <c r="AT1114" s="115"/>
      <c r="AU1114" s="115"/>
      <c r="AV1114" s="26"/>
      <c r="AW1114" s="15"/>
      <c r="BA1114" s="118"/>
      <c r="BB1114" s="118"/>
      <c r="BC1114" s="118"/>
      <c r="BD1114" s="118"/>
    </row>
    <row r="1115" spans="1:56" x14ac:dyDescent="0.4">
      <c r="AV1115" s="26"/>
      <c r="AW1115" s="15"/>
    </row>
    <row r="1116" spans="1:56" x14ac:dyDescent="0.4">
      <c r="AV1116" s="26"/>
      <c r="AW1116" s="13"/>
    </row>
    <row r="1117" spans="1:56" x14ac:dyDescent="0.4">
      <c r="Z1117" s="115"/>
      <c r="AA1117" s="115"/>
      <c r="AB1117" s="115"/>
      <c r="AC1117" s="115"/>
      <c r="AD1117" s="115"/>
      <c r="AE1117" s="122"/>
      <c r="AF1117" s="122"/>
      <c r="AG1117" s="122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15"/>
      <c r="AU1117" s="115"/>
      <c r="AV1117" s="26"/>
      <c r="AW1117" s="13"/>
    </row>
    <row r="1118" spans="1:56" x14ac:dyDescent="0.4">
      <c r="Z1118" s="115"/>
      <c r="AA1118" s="115"/>
      <c r="AB1118" s="115"/>
      <c r="AC1118" s="115"/>
      <c r="AD1118" s="115"/>
      <c r="AE1118" s="122"/>
      <c r="AF1118" s="122"/>
      <c r="AG1118" s="122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15"/>
      <c r="AU1118" s="115"/>
      <c r="AV1118" s="17"/>
      <c r="AW1118" s="13"/>
    </row>
    <row r="1119" spans="1:56" x14ac:dyDescent="0.4">
      <c r="C1119" s="115"/>
      <c r="D1119" s="115"/>
      <c r="E1119" s="115"/>
      <c r="F1119" s="115"/>
      <c r="G1119" s="115"/>
      <c r="H1119" s="115"/>
      <c r="I1119" s="115"/>
      <c r="J1119" s="115"/>
      <c r="K1119" s="115"/>
      <c r="L1119" s="115"/>
      <c r="M1119" s="115"/>
      <c r="N1119" s="115"/>
      <c r="O1119" s="115"/>
      <c r="P1119" s="115"/>
      <c r="Q1119" s="115"/>
      <c r="R1119" s="115"/>
      <c r="S1119" s="115"/>
      <c r="T1119" s="115"/>
      <c r="U1119" s="115"/>
      <c r="V1119" s="115"/>
      <c r="W1119" s="115"/>
      <c r="X1119" s="115"/>
      <c r="Y1119" s="115"/>
      <c r="Z1119" s="115"/>
      <c r="AA1119" s="115"/>
      <c r="AB1119" s="115"/>
      <c r="AC1119" s="115"/>
      <c r="AD1119" s="115"/>
      <c r="AE1119" s="122"/>
      <c r="AF1119" s="122"/>
      <c r="AG1119" s="122"/>
      <c r="AH1119" s="115"/>
      <c r="AI1119" s="115"/>
      <c r="AJ1119" s="115"/>
      <c r="AK1119" s="115"/>
      <c r="AL1119" s="115"/>
      <c r="AM1119" s="115"/>
      <c r="AN1119" s="115"/>
      <c r="AO1119" s="115"/>
      <c r="AP1119" s="115"/>
      <c r="AQ1119" s="115"/>
      <c r="AR1119" s="115"/>
      <c r="AS1119" s="115"/>
      <c r="AT1119" s="115"/>
      <c r="AU1119" s="115"/>
      <c r="AV1119" s="26"/>
      <c r="AW1119" s="13"/>
    </row>
    <row r="1120" spans="1:56" x14ac:dyDescent="0.4">
      <c r="C1120" s="115"/>
      <c r="D1120" s="115"/>
      <c r="E1120" s="115"/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15"/>
      <c r="AC1120" s="115"/>
      <c r="AD1120" s="115"/>
      <c r="AE1120" s="122"/>
      <c r="AF1120" s="122"/>
      <c r="AG1120" s="122"/>
      <c r="AH1120" s="115"/>
      <c r="AI1120" s="115"/>
      <c r="AJ1120" s="115"/>
      <c r="AK1120" s="115"/>
      <c r="AL1120" s="115"/>
      <c r="AM1120" s="115"/>
      <c r="AN1120" s="115"/>
      <c r="AO1120" s="115"/>
      <c r="AP1120" s="115"/>
      <c r="AQ1120" s="115"/>
      <c r="AR1120" s="115"/>
      <c r="AS1120" s="115"/>
      <c r="AT1120" s="115"/>
      <c r="AU1120" s="115"/>
      <c r="AV1120" s="26"/>
      <c r="AW1120" s="13"/>
    </row>
    <row r="1121" spans="1:49" x14ac:dyDescent="0.4">
      <c r="AV1121" s="26"/>
      <c r="AW1121" s="13"/>
    </row>
    <row r="1122" spans="1:49" x14ac:dyDescent="0.4">
      <c r="E1122" s="115"/>
      <c r="F1122" s="115"/>
      <c r="G1122" s="115"/>
      <c r="H1122" s="115"/>
      <c r="I1122" s="115"/>
      <c r="J1122" s="115"/>
      <c r="K1122" s="115"/>
      <c r="L1122" s="115"/>
      <c r="M1122" s="115"/>
      <c r="N1122" s="115"/>
      <c r="O1122" s="115"/>
      <c r="P1122" s="115"/>
      <c r="Q1122" s="115"/>
      <c r="R1122" s="115"/>
      <c r="S1122" s="115"/>
      <c r="T1122" s="115"/>
      <c r="U1122" s="115"/>
      <c r="V1122" s="115"/>
      <c r="W1122" s="115"/>
      <c r="X1122" s="115"/>
      <c r="Y1122" s="115"/>
      <c r="Z1122" s="115"/>
      <c r="AA1122" s="115"/>
      <c r="AB1122" s="115"/>
      <c r="AC1122" s="115"/>
      <c r="AD1122" s="115"/>
      <c r="AE1122" s="122"/>
      <c r="AF1122" s="122"/>
      <c r="AG1122" s="122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15"/>
      <c r="AT1122" s="115"/>
      <c r="AU1122" s="115"/>
      <c r="AV1122" s="26"/>
      <c r="AW1122" s="13"/>
    </row>
    <row r="1123" spans="1:49" x14ac:dyDescent="0.4">
      <c r="C1123" s="115"/>
      <c r="D1123" s="115"/>
      <c r="E1123" s="115"/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15"/>
      <c r="AC1123" s="115"/>
      <c r="AD1123" s="115"/>
      <c r="AE1123" s="122"/>
      <c r="AF1123" s="122"/>
      <c r="AG1123" s="122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115"/>
      <c r="AU1123" s="115"/>
      <c r="AV1123" s="26"/>
      <c r="AW1123" s="13"/>
    </row>
    <row r="1124" spans="1:49" x14ac:dyDescent="0.4">
      <c r="AV1124" s="26"/>
      <c r="AW1124" s="13"/>
    </row>
    <row r="1125" spans="1:49" x14ac:dyDescent="0.4">
      <c r="C1125" s="115"/>
      <c r="D1125" s="115"/>
      <c r="E1125" s="115"/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15"/>
      <c r="AC1125" s="115"/>
      <c r="AD1125" s="115"/>
      <c r="AE1125" s="122"/>
      <c r="AF1125" s="122"/>
      <c r="AG1125" s="122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15"/>
      <c r="AU1125" s="115"/>
      <c r="AV1125" s="26"/>
      <c r="AW1125" s="13"/>
    </row>
    <row r="1126" spans="1:49" x14ac:dyDescent="0.4">
      <c r="AV1126" s="26"/>
      <c r="AW1126" s="13"/>
    </row>
    <row r="1127" spans="1:49" x14ac:dyDescent="0.4">
      <c r="Y1127" s="115"/>
      <c r="Z1127" s="115"/>
      <c r="AA1127" s="115"/>
      <c r="AB1127" s="115"/>
      <c r="AC1127" s="115"/>
      <c r="AD1127" s="115"/>
      <c r="AE1127" s="122"/>
      <c r="AF1127" s="122"/>
      <c r="AG1127" s="122"/>
      <c r="AH1127" s="115"/>
      <c r="AI1127" s="115"/>
      <c r="AJ1127" s="115"/>
      <c r="AK1127" s="115"/>
      <c r="AL1127" s="115"/>
      <c r="AM1127" s="115"/>
      <c r="AN1127" s="115"/>
      <c r="AO1127" s="115"/>
      <c r="AP1127" s="115"/>
      <c r="AQ1127" s="115"/>
      <c r="AR1127" s="115"/>
      <c r="AS1127" s="115"/>
      <c r="AT1127" s="115"/>
      <c r="AU1127" s="115"/>
      <c r="AV1127" s="26"/>
      <c r="AW1127" s="13"/>
    </row>
    <row r="1128" spans="1:49" x14ac:dyDescent="0.4">
      <c r="AV1128" s="26"/>
      <c r="AW1128" s="13"/>
    </row>
    <row r="1129" spans="1:49" x14ac:dyDescent="0.4">
      <c r="D1129" s="115"/>
      <c r="E1129" s="115"/>
      <c r="F1129" s="115"/>
      <c r="G1129" s="115"/>
      <c r="H1129" s="115"/>
      <c r="I1129" s="115"/>
      <c r="J1129" s="115"/>
      <c r="K1129" s="115"/>
      <c r="L1129" s="115"/>
      <c r="M1129" s="115"/>
      <c r="N1129" s="115"/>
      <c r="O1129" s="115"/>
      <c r="P1129" s="115"/>
      <c r="Q1129" s="115"/>
      <c r="R1129" s="115"/>
      <c r="S1129" s="115"/>
      <c r="T1129" s="115"/>
      <c r="U1129" s="115"/>
      <c r="V1129" s="115"/>
      <c r="W1129" s="115"/>
      <c r="X1129" s="115"/>
      <c r="Y1129" s="115"/>
      <c r="Z1129" s="115"/>
      <c r="AA1129" s="115"/>
      <c r="AB1129" s="115"/>
      <c r="AC1129" s="115"/>
      <c r="AD1129" s="115"/>
      <c r="AE1129" s="122"/>
      <c r="AF1129" s="122"/>
      <c r="AG1129" s="122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115"/>
      <c r="AT1129" s="115"/>
      <c r="AU1129" s="115"/>
      <c r="AV1129" s="26"/>
      <c r="AW1129" s="15"/>
    </row>
    <row r="1130" spans="1:49" x14ac:dyDescent="0.4">
      <c r="D1130" s="115"/>
      <c r="E1130" s="115"/>
      <c r="F1130" s="115"/>
      <c r="G1130" s="115"/>
      <c r="H1130" s="115"/>
      <c r="I1130" s="115"/>
      <c r="J1130" s="115"/>
      <c r="K1130" s="115"/>
      <c r="L1130" s="115"/>
      <c r="M1130" s="115"/>
      <c r="N1130" s="115"/>
      <c r="O1130" s="115"/>
      <c r="P1130" s="115"/>
      <c r="Q1130" s="115"/>
      <c r="R1130" s="115"/>
      <c r="S1130" s="115"/>
      <c r="T1130" s="115"/>
      <c r="U1130" s="115"/>
      <c r="V1130" s="115"/>
      <c r="W1130" s="115"/>
      <c r="X1130" s="115"/>
      <c r="Y1130" s="115"/>
      <c r="Z1130" s="115"/>
      <c r="AA1130" s="115"/>
      <c r="AB1130" s="115"/>
      <c r="AC1130" s="115"/>
      <c r="AD1130" s="115"/>
      <c r="AE1130" s="122"/>
      <c r="AF1130" s="122"/>
      <c r="AG1130" s="122"/>
      <c r="AH1130" s="115"/>
      <c r="AI1130" s="115"/>
      <c r="AJ1130" s="115"/>
      <c r="AK1130" s="115"/>
      <c r="AL1130" s="115"/>
      <c r="AM1130" s="115"/>
      <c r="AN1130" s="115"/>
      <c r="AO1130" s="115"/>
      <c r="AP1130" s="115"/>
      <c r="AQ1130" s="115"/>
      <c r="AR1130" s="115"/>
      <c r="AS1130" s="115"/>
      <c r="AT1130" s="115"/>
      <c r="AU1130" s="115"/>
      <c r="AV1130" s="26"/>
      <c r="AW1130" s="15"/>
    </row>
    <row r="1131" spans="1:49" x14ac:dyDescent="0.4">
      <c r="D1131" s="115"/>
      <c r="E1131" s="115"/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22"/>
      <c r="AF1131" s="122"/>
      <c r="AG1131" s="122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15"/>
      <c r="AT1131" s="115"/>
      <c r="AU1131" s="115"/>
      <c r="AV1131" s="26"/>
      <c r="AW1131" s="15"/>
    </row>
    <row r="1132" spans="1:49" x14ac:dyDescent="0.4">
      <c r="AV1132" s="26"/>
      <c r="AW1132" s="13"/>
    </row>
    <row r="1133" spans="1:49" x14ac:dyDescent="0.4">
      <c r="A1133" s="115"/>
      <c r="B1133" s="115"/>
      <c r="C1133" s="115"/>
      <c r="D1133" s="115"/>
      <c r="E1133" s="115"/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22"/>
      <c r="AF1133" s="122"/>
      <c r="AG1133" s="122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115"/>
      <c r="AU1133" s="115"/>
      <c r="AV1133" s="26"/>
      <c r="AW1133" s="15"/>
    </row>
    <row r="1134" spans="1:49" x14ac:dyDescent="0.4">
      <c r="AV1134" s="26"/>
      <c r="AW1134" s="15"/>
    </row>
    <row r="1135" spans="1:49" x14ac:dyDescent="0.4">
      <c r="AV1135" s="26"/>
      <c r="AW1135" s="15"/>
    </row>
    <row r="1136" spans="1:49" x14ac:dyDescent="0.4">
      <c r="E1136" s="115"/>
      <c r="F1136" s="115"/>
      <c r="G1136" s="115"/>
      <c r="H1136" s="115"/>
      <c r="I1136" s="115"/>
      <c r="J1136" s="115"/>
      <c r="K1136" s="115"/>
      <c r="L1136" s="115"/>
      <c r="M1136" s="115"/>
      <c r="N1136" s="115"/>
      <c r="O1136" s="115"/>
      <c r="P1136" s="115"/>
      <c r="Q1136" s="115"/>
      <c r="R1136" s="115"/>
      <c r="S1136" s="115"/>
      <c r="T1136" s="115"/>
      <c r="U1136" s="115"/>
      <c r="V1136" s="115"/>
      <c r="W1136" s="115"/>
      <c r="X1136" s="115"/>
      <c r="Y1136" s="115"/>
      <c r="Z1136" s="115"/>
      <c r="AA1136" s="115"/>
      <c r="AB1136" s="115"/>
      <c r="AC1136" s="115"/>
      <c r="AD1136" s="115"/>
      <c r="AE1136" s="122"/>
      <c r="AF1136" s="122"/>
      <c r="AG1136" s="122"/>
      <c r="AH1136" s="115"/>
      <c r="AI1136" s="115"/>
      <c r="AJ1136" s="115"/>
      <c r="AK1136" s="115"/>
      <c r="AL1136" s="115"/>
      <c r="AM1136" s="115"/>
      <c r="AN1136" s="115"/>
      <c r="AO1136" s="115"/>
      <c r="AP1136" s="115"/>
      <c r="AQ1136" s="115"/>
      <c r="AR1136" s="115"/>
      <c r="AS1136" s="115"/>
      <c r="AT1136" s="115"/>
      <c r="AU1136" s="115"/>
      <c r="AV1136" s="26"/>
      <c r="AW1136" s="15"/>
    </row>
    <row r="1137" spans="1:49" x14ac:dyDescent="0.4">
      <c r="C1137" s="115"/>
      <c r="D1137" s="115"/>
      <c r="E1137" s="115"/>
      <c r="F1137" s="115"/>
      <c r="G1137" s="115"/>
      <c r="H1137" s="115"/>
      <c r="I1137" s="115"/>
      <c r="J1137" s="115"/>
      <c r="K1137" s="115"/>
      <c r="L1137" s="115"/>
      <c r="M1137" s="115"/>
      <c r="N1137" s="115"/>
      <c r="O1137" s="115"/>
      <c r="P1137" s="115"/>
      <c r="Q1137" s="115"/>
      <c r="R1137" s="115"/>
      <c r="S1137" s="115"/>
      <c r="T1137" s="115"/>
      <c r="U1137" s="115"/>
      <c r="V1137" s="115"/>
      <c r="W1137" s="115"/>
      <c r="X1137" s="115"/>
      <c r="Y1137" s="115"/>
      <c r="Z1137" s="115"/>
      <c r="AA1137" s="115"/>
      <c r="AB1137" s="115"/>
      <c r="AC1137" s="115"/>
      <c r="AD1137" s="115"/>
      <c r="AE1137" s="122"/>
      <c r="AF1137" s="122"/>
      <c r="AG1137" s="122"/>
      <c r="AH1137" s="115"/>
      <c r="AI1137" s="115"/>
      <c r="AJ1137" s="115"/>
      <c r="AK1137" s="115"/>
      <c r="AL1137" s="115"/>
      <c r="AM1137" s="115"/>
      <c r="AN1137" s="115"/>
      <c r="AO1137" s="115"/>
      <c r="AP1137" s="115"/>
      <c r="AQ1137" s="115"/>
      <c r="AR1137" s="115"/>
      <c r="AS1137" s="115"/>
      <c r="AT1137" s="115"/>
      <c r="AU1137" s="115"/>
      <c r="AV1137" s="26"/>
      <c r="AW1137" s="15"/>
    </row>
    <row r="1138" spans="1:49" x14ac:dyDescent="0.4">
      <c r="AV1138" s="26"/>
      <c r="AW1138" s="15"/>
    </row>
    <row r="1139" spans="1:49" x14ac:dyDescent="0.4">
      <c r="X1139" s="115"/>
      <c r="Y1139" s="115"/>
      <c r="Z1139" s="115"/>
      <c r="AA1139" s="115"/>
      <c r="AB1139" s="115"/>
      <c r="AC1139" s="115"/>
      <c r="AD1139" s="115"/>
      <c r="AE1139" s="122"/>
      <c r="AF1139" s="122"/>
      <c r="AG1139" s="122"/>
      <c r="AH1139" s="115"/>
      <c r="AI1139" s="115"/>
      <c r="AJ1139" s="115"/>
      <c r="AK1139" s="115"/>
      <c r="AL1139" s="115"/>
      <c r="AM1139" s="115"/>
      <c r="AN1139" s="115"/>
      <c r="AO1139" s="115"/>
      <c r="AP1139" s="115"/>
      <c r="AQ1139" s="115"/>
      <c r="AR1139" s="115"/>
      <c r="AS1139" s="115"/>
      <c r="AT1139" s="115"/>
      <c r="AU1139" s="115"/>
      <c r="AV1139" s="26"/>
      <c r="AW1139" s="15"/>
    </row>
    <row r="1140" spans="1:49" x14ac:dyDescent="0.4">
      <c r="D1140" s="115"/>
      <c r="E1140" s="115"/>
      <c r="F1140" s="115"/>
      <c r="G1140" s="115"/>
      <c r="H1140" s="115"/>
      <c r="I1140" s="115"/>
      <c r="J1140" s="115"/>
      <c r="K1140" s="115"/>
      <c r="L1140" s="115"/>
      <c r="M1140" s="115"/>
      <c r="N1140" s="115"/>
      <c r="O1140" s="115"/>
      <c r="P1140" s="115"/>
      <c r="Q1140" s="115"/>
      <c r="R1140" s="115"/>
      <c r="S1140" s="115"/>
      <c r="T1140" s="115"/>
      <c r="U1140" s="115"/>
      <c r="V1140" s="115"/>
      <c r="W1140" s="115"/>
      <c r="X1140" s="115"/>
      <c r="Y1140" s="115"/>
      <c r="Z1140" s="115"/>
      <c r="AA1140" s="115"/>
      <c r="AB1140" s="115"/>
      <c r="AC1140" s="115"/>
      <c r="AD1140" s="115"/>
      <c r="AE1140" s="122"/>
      <c r="AF1140" s="122"/>
      <c r="AG1140" s="122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115"/>
      <c r="AT1140" s="115"/>
      <c r="AU1140" s="115"/>
      <c r="AV1140" s="26"/>
      <c r="AW1140" s="15"/>
    </row>
    <row r="1141" spans="1:49" x14ac:dyDescent="0.4">
      <c r="D1141" s="115"/>
      <c r="E1141" s="115"/>
      <c r="F1141" s="115"/>
      <c r="G1141" s="115"/>
      <c r="H1141" s="115"/>
      <c r="I1141" s="115"/>
      <c r="J1141" s="115"/>
      <c r="K1141" s="115"/>
      <c r="L1141" s="115"/>
      <c r="M1141" s="115"/>
      <c r="N1141" s="115"/>
      <c r="O1141" s="115"/>
      <c r="P1141" s="115"/>
      <c r="Q1141" s="115"/>
      <c r="R1141" s="115"/>
      <c r="S1141" s="115"/>
      <c r="T1141" s="115"/>
      <c r="U1141" s="115"/>
      <c r="V1141" s="115"/>
      <c r="W1141" s="115"/>
      <c r="X1141" s="115"/>
      <c r="Y1141" s="115"/>
      <c r="Z1141" s="115"/>
      <c r="AA1141" s="115"/>
      <c r="AB1141" s="115"/>
      <c r="AC1141" s="115"/>
      <c r="AD1141" s="115"/>
      <c r="AE1141" s="122"/>
      <c r="AF1141" s="122"/>
      <c r="AG1141" s="122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15"/>
      <c r="AT1141" s="115"/>
      <c r="AU1141" s="115"/>
      <c r="AV1141" s="26"/>
      <c r="AW1141" s="15"/>
    </row>
    <row r="1142" spans="1:49" x14ac:dyDescent="0.4">
      <c r="D1142" s="115"/>
      <c r="E1142" s="115"/>
      <c r="F1142" s="115"/>
      <c r="G1142" s="115"/>
      <c r="H1142" s="115"/>
      <c r="I1142" s="115"/>
      <c r="J1142" s="115"/>
      <c r="K1142" s="115"/>
      <c r="L1142" s="115"/>
      <c r="M1142" s="115"/>
      <c r="N1142" s="115"/>
      <c r="O1142" s="115"/>
      <c r="P1142" s="115"/>
      <c r="Q1142" s="115"/>
      <c r="R1142" s="115"/>
      <c r="S1142" s="115"/>
      <c r="T1142" s="115"/>
      <c r="U1142" s="115"/>
      <c r="V1142" s="115"/>
      <c r="W1142" s="115"/>
      <c r="X1142" s="115"/>
      <c r="Y1142" s="115"/>
      <c r="Z1142" s="115"/>
      <c r="AA1142" s="115"/>
      <c r="AB1142" s="115"/>
      <c r="AC1142" s="115"/>
      <c r="AD1142" s="115"/>
      <c r="AE1142" s="122"/>
      <c r="AF1142" s="122"/>
      <c r="AG1142" s="122"/>
      <c r="AH1142" s="115"/>
      <c r="AI1142" s="115"/>
      <c r="AJ1142" s="115"/>
      <c r="AK1142" s="115"/>
      <c r="AL1142" s="115"/>
      <c r="AM1142" s="115"/>
      <c r="AN1142" s="115"/>
      <c r="AO1142" s="115"/>
      <c r="AP1142" s="115"/>
      <c r="AQ1142" s="115"/>
      <c r="AR1142" s="115"/>
      <c r="AS1142" s="115"/>
      <c r="AT1142" s="115"/>
      <c r="AU1142" s="115"/>
      <c r="AV1142" s="26"/>
      <c r="AW1142" s="15"/>
    </row>
    <row r="1143" spans="1:49" x14ac:dyDescent="0.4">
      <c r="C1143" s="115"/>
      <c r="D1143" s="115"/>
      <c r="E1143" s="115"/>
      <c r="F1143" s="115"/>
      <c r="G1143" s="115"/>
      <c r="H1143" s="115"/>
      <c r="I1143" s="115"/>
      <c r="J1143" s="115"/>
      <c r="K1143" s="115"/>
      <c r="L1143" s="115"/>
      <c r="M1143" s="115"/>
      <c r="N1143" s="115"/>
      <c r="O1143" s="115"/>
      <c r="P1143" s="115"/>
      <c r="Q1143" s="115"/>
      <c r="R1143" s="115"/>
      <c r="S1143" s="115"/>
      <c r="T1143" s="115"/>
      <c r="U1143" s="115"/>
      <c r="V1143" s="115"/>
      <c r="W1143" s="115"/>
      <c r="X1143" s="115"/>
      <c r="Y1143" s="115"/>
      <c r="Z1143" s="115"/>
      <c r="AA1143" s="115"/>
      <c r="AB1143" s="115"/>
      <c r="AC1143" s="115"/>
      <c r="AD1143" s="115"/>
      <c r="AE1143" s="122"/>
      <c r="AF1143" s="122"/>
      <c r="AG1143" s="122"/>
      <c r="AH1143" s="115"/>
      <c r="AI1143" s="115"/>
      <c r="AJ1143" s="115"/>
      <c r="AK1143" s="115"/>
      <c r="AL1143" s="115"/>
      <c r="AM1143" s="115"/>
      <c r="AN1143" s="115"/>
      <c r="AO1143" s="115"/>
      <c r="AP1143" s="115"/>
      <c r="AQ1143" s="115"/>
      <c r="AR1143" s="115"/>
      <c r="AS1143" s="115"/>
      <c r="AT1143" s="115"/>
      <c r="AU1143" s="115"/>
      <c r="AV1143" s="26"/>
      <c r="AW1143" s="15"/>
    </row>
    <row r="1144" spans="1:49" x14ac:dyDescent="0.4">
      <c r="AV1144" s="26"/>
      <c r="AW1144" s="15"/>
    </row>
    <row r="1145" spans="1:49" x14ac:dyDescent="0.4">
      <c r="AA1145" s="115"/>
      <c r="AB1145" s="115"/>
      <c r="AC1145" s="115"/>
      <c r="AD1145" s="115"/>
      <c r="AE1145" s="122"/>
      <c r="AF1145" s="122"/>
      <c r="AG1145" s="122"/>
      <c r="AH1145" s="115"/>
      <c r="AI1145" s="115"/>
      <c r="AJ1145" s="115"/>
      <c r="AK1145" s="115"/>
      <c r="AL1145" s="115"/>
      <c r="AM1145" s="115"/>
      <c r="AN1145" s="115"/>
      <c r="AO1145" s="115"/>
      <c r="AP1145" s="115"/>
      <c r="AQ1145" s="115"/>
      <c r="AR1145" s="115"/>
      <c r="AS1145" s="115"/>
      <c r="AT1145" s="115"/>
      <c r="AU1145" s="115"/>
      <c r="AV1145" s="17"/>
      <c r="AW1145" s="15"/>
    </row>
    <row r="1146" spans="1:49" x14ac:dyDescent="0.4">
      <c r="AV1146" s="26"/>
      <c r="AW1146" s="15"/>
    </row>
    <row r="1147" spans="1:49" x14ac:dyDescent="0.4">
      <c r="Y1147" s="115"/>
      <c r="Z1147" s="115"/>
      <c r="AA1147" s="115"/>
      <c r="AB1147" s="115"/>
      <c r="AC1147" s="115"/>
      <c r="AD1147" s="115"/>
      <c r="AE1147" s="122"/>
      <c r="AF1147" s="122"/>
      <c r="AG1147" s="122"/>
      <c r="AH1147" s="115"/>
      <c r="AI1147" s="115"/>
      <c r="AJ1147" s="115"/>
      <c r="AK1147" s="115"/>
      <c r="AL1147" s="115"/>
      <c r="AM1147" s="115"/>
      <c r="AN1147" s="115"/>
      <c r="AO1147" s="115"/>
      <c r="AP1147" s="115"/>
      <c r="AQ1147" s="115"/>
      <c r="AR1147" s="115"/>
      <c r="AS1147" s="115"/>
      <c r="AT1147" s="115"/>
      <c r="AU1147" s="115"/>
      <c r="AV1147" s="26"/>
      <c r="AW1147" s="15"/>
    </row>
    <row r="1148" spans="1:49" x14ac:dyDescent="0.4">
      <c r="AV1148" s="26"/>
      <c r="AW1148" s="15"/>
    </row>
    <row r="1149" spans="1:49" x14ac:dyDescent="0.4">
      <c r="AV1149" s="26"/>
      <c r="AW1149" s="15"/>
    </row>
    <row r="1150" spans="1:49" x14ac:dyDescent="0.4">
      <c r="E1150" s="115"/>
      <c r="F1150" s="115"/>
      <c r="G1150" s="115"/>
      <c r="H1150" s="115"/>
      <c r="I1150" s="115"/>
      <c r="J1150" s="115"/>
      <c r="K1150" s="115"/>
      <c r="L1150" s="115"/>
      <c r="M1150" s="115"/>
      <c r="N1150" s="115"/>
      <c r="O1150" s="115"/>
      <c r="P1150" s="115"/>
      <c r="Q1150" s="115"/>
      <c r="R1150" s="115"/>
      <c r="S1150" s="115"/>
      <c r="T1150" s="115"/>
      <c r="U1150" s="115"/>
      <c r="V1150" s="115"/>
      <c r="W1150" s="115"/>
      <c r="X1150" s="115"/>
      <c r="Y1150" s="115"/>
      <c r="Z1150" s="115"/>
      <c r="AA1150" s="115"/>
      <c r="AB1150" s="115"/>
      <c r="AC1150" s="115"/>
      <c r="AD1150" s="115"/>
      <c r="AE1150" s="122"/>
      <c r="AF1150" s="122"/>
      <c r="AG1150" s="122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115"/>
      <c r="AU1150" s="115"/>
      <c r="AV1150" s="26"/>
      <c r="AW1150" s="15"/>
    </row>
    <row r="1151" spans="1:49" x14ac:dyDescent="0.4">
      <c r="E1151" s="115"/>
      <c r="F1151" s="115"/>
      <c r="G1151" s="115"/>
      <c r="H1151" s="115"/>
      <c r="I1151" s="115"/>
      <c r="J1151" s="115"/>
      <c r="K1151" s="115"/>
      <c r="L1151" s="115"/>
      <c r="M1151" s="115"/>
      <c r="N1151" s="115"/>
      <c r="O1151" s="115"/>
      <c r="P1151" s="115"/>
      <c r="Q1151" s="115"/>
      <c r="R1151" s="115"/>
      <c r="S1151" s="115"/>
      <c r="T1151" s="115"/>
      <c r="U1151" s="115"/>
      <c r="V1151" s="115"/>
      <c r="W1151" s="115"/>
      <c r="X1151" s="115"/>
      <c r="Y1151" s="115"/>
      <c r="Z1151" s="115"/>
      <c r="AA1151" s="115"/>
      <c r="AB1151" s="115"/>
      <c r="AC1151" s="115"/>
      <c r="AD1151" s="115"/>
      <c r="AE1151" s="122"/>
      <c r="AF1151" s="122"/>
      <c r="AG1151" s="122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115"/>
      <c r="AU1151" s="115"/>
      <c r="AV1151" s="26"/>
      <c r="AW1151" s="15"/>
    </row>
    <row r="1152" spans="1:49" x14ac:dyDescent="0.4">
      <c r="A1152" s="115"/>
      <c r="B1152" s="115"/>
      <c r="C1152" s="115"/>
      <c r="D1152" s="115"/>
      <c r="E1152" s="115"/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22"/>
      <c r="AF1152" s="122"/>
      <c r="AG1152" s="122"/>
      <c r="AH1152" s="115"/>
      <c r="AI1152" s="115"/>
      <c r="AJ1152" s="115"/>
      <c r="AK1152" s="115"/>
      <c r="AL1152" s="115"/>
      <c r="AM1152" s="115"/>
      <c r="AN1152" s="115"/>
      <c r="AO1152" s="115"/>
      <c r="AP1152" s="115"/>
      <c r="AQ1152" s="115"/>
      <c r="AR1152" s="115"/>
      <c r="AS1152" s="115"/>
      <c r="AT1152" s="115"/>
      <c r="AU1152" s="115"/>
      <c r="AV1152" s="26"/>
      <c r="AW1152" s="15"/>
    </row>
    <row r="1153" spans="1:49" x14ac:dyDescent="0.4">
      <c r="A1153" s="115"/>
      <c r="B1153" s="115"/>
      <c r="C1153" s="115"/>
      <c r="D1153" s="115"/>
      <c r="E1153" s="115"/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15"/>
      <c r="AE1153" s="122"/>
      <c r="AF1153" s="122"/>
      <c r="AG1153" s="122"/>
      <c r="AH1153" s="115"/>
      <c r="AI1153" s="115"/>
      <c r="AJ1153" s="115"/>
      <c r="AK1153" s="115"/>
      <c r="AL1153" s="115"/>
      <c r="AM1153" s="115"/>
      <c r="AN1153" s="115"/>
      <c r="AO1153" s="115"/>
      <c r="AP1153" s="115"/>
      <c r="AQ1153" s="115"/>
      <c r="AR1153" s="115"/>
      <c r="AS1153" s="115"/>
      <c r="AT1153" s="115"/>
      <c r="AU1153" s="115"/>
      <c r="AV1153" s="26"/>
      <c r="AW1153" s="15"/>
    </row>
    <row r="1154" spans="1:49" x14ac:dyDescent="0.4">
      <c r="AV1154" s="26"/>
      <c r="AW1154" s="15"/>
    </row>
    <row r="1155" spans="1:49" x14ac:dyDescent="0.4">
      <c r="AA1155" s="115"/>
      <c r="AB1155" s="115"/>
      <c r="AC1155" s="115"/>
      <c r="AD1155" s="115"/>
      <c r="AE1155" s="122"/>
      <c r="AF1155" s="122"/>
      <c r="AG1155" s="122"/>
      <c r="AH1155" s="115"/>
      <c r="AI1155" s="115"/>
      <c r="AJ1155" s="115"/>
      <c r="AK1155" s="115"/>
      <c r="AL1155" s="115"/>
      <c r="AM1155" s="115"/>
      <c r="AN1155" s="115"/>
      <c r="AO1155" s="115"/>
      <c r="AP1155" s="115"/>
      <c r="AQ1155" s="115"/>
      <c r="AR1155" s="115"/>
      <c r="AS1155" s="115"/>
      <c r="AT1155" s="115"/>
      <c r="AU1155" s="115"/>
      <c r="AV1155" s="17"/>
      <c r="AW1155" s="15"/>
    </row>
    <row r="1156" spans="1:49" x14ac:dyDescent="0.4">
      <c r="AV1156" s="26"/>
      <c r="AW1156" s="15"/>
    </row>
    <row r="1157" spans="1:49" x14ac:dyDescent="0.4">
      <c r="E1157" s="115"/>
      <c r="F1157" s="115"/>
      <c r="G1157" s="115"/>
      <c r="H1157" s="115"/>
      <c r="I1157" s="115"/>
      <c r="J1157" s="115"/>
      <c r="K1157" s="115"/>
      <c r="L1157" s="115"/>
      <c r="M1157" s="115"/>
      <c r="N1157" s="115"/>
      <c r="O1157" s="115"/>
      <c r="P1157" s="115"/>
      <c r="Q1157" s="115"/>
      <c r="R1157" s="115"/>
      <c r="S1157" s="115"/>
      <c r="T1157" s="115"/>
      <c r="U1157" s="115"/>
      <c r="V1157" s="115"/>
      <c r="W1157" s="115"/>
      <c r="X1157" s="115"/>
      <c r="Y1157" s="115"/>
      <c r="Z1157" s="115"/>
      <c r="AA1157" s="115"/>
      <c r="AB1157" s="115"/>
      <c r="AC1157" s="115"/>
      <c r="AD1157" s="115"/>
      <c r="AE1157" s="122"/>
      <c r="AF1157" s="122"/>
      <c r="AG1157" s="122"/>
      <c r="AH1157" s="115"/>
      <c r="AI1157" s="115"/>
      <c r="AJ1157" s="115"/>
      <c r="AK1157" s="115"/>
      <c r="AL1157" s="115"/>
      <c r="AM1157" s="115"/>
      <c r="AN1157" s="115"/>
      <c r="AO1157" s="115"/>
      <c r="AP1157" s="115"/>
      <c r="AQ1157" s="115"/>
      <c r="AR1157" s="115"/>
      <c r="AS1157" s="115"/>
      <c r="AT1157" s="115"/>
      <c r="AU1157" s="115"/>
      <c r="AV1157" s="26"/>
      <c r="AW1157" s="15"/>
    </row>
    <row r="1158" spans="1:49" x14ac:dyDescent="0.4">
      <c r="C1158" s="115"/>
      <c r="D1158" s="115"/>
      <c r="E1158" s="115"/>
      <c r="F1158" s="115"/>
      <c r="G1158" s="115"/>
      <c r="H1158" s="115"/>
      <c r="I1158" s="115"/>
      <c r="J1158" s="115"/>
      <c r="K1158" s="115"/>
      <c r="L1158" s="115"/>
      <c r="M1158" s="115"/>
      <c r="N1158" s="115"/>
      <c r="O1158" s="115"/>
      <c r="P1158" s="115"/>
      <c r="Q1158" s="115"/>
      <c r="R1158" s="115"/>
      <c r="S1158" s="115"/>
      <c r="T1158" s="115"/>
      <c r="U1158" s="115"/>
      <c r="V1158" s="115"/>
      <c r="W1158" s="115"/>
      <c r="X1158" s="115"/>
      <c r="Y1158" s="115"/>
      <c r="Z1158" s="115"/>
      <c r="AA1158" s="115"/>
      <c r="AB1158" s="115"/>
      <c r="AC1158" s="115"/>
      <c r="AD1158" s="115"/>
      <c r="AE1158" s="122"/>
      <c r="AF1158" s="122"/>
      <c r="AG1158" s="122"/>
      <c r="AH1158" s="115"/>
      <c r="AI1158" s="115"/>
      <c r="AJ1158" s="115"/>
      <c r="AK1158" s="115"/>
      <c r="AL1158" s="115"/>
      <c r="AM1158" s="115"/>
      <c r="AN1158" s="115"/>
      <c r="AO1158" s="115"/>
      <c r="AP1158" s="115"/>
      <c r="AQ1158" s="115"/>
      <c r="AR1158" s="115"/>
      <c r="AS1158" s="115"/>
      <c r="AT1158" s="115"/>
      <c r="AU1158" s="115"/>
      <c r="AV1158" s="26"/>
      <c r="AW1158" s="15"/>
    </row>
    <row r="1159" spans="1:49" x14ac:dyDescent="0.4">
      <c r="C1159" s="115"/>
      <c r="D1159" s="115"/>
      <c r="E1159" s="115"/>
      <c r="F1159" s="115"/>
      <c r="G1159" s="115"/>
      <c r="H1159" s="115"/>
      <c r="I1159" s="115"/>
      <c r="J1159" s="115"/>
      <c r="K1159" s="115"/>
      <c r="L1159" s="115"/>
      <c r="M1159" s="115"/>
      <c r="N1159" s="115"/>
      <c r="O1159" s="115"/>
      <c r="P1159" s="115"/>
      <c r="Q1159" s="115"/>
      <c r="R1159" s="115"/>
      <c r="S1159" s="115"/>
      <c r="T1159" s="115"/>
      <c r="U1159" s="115"/>
      <c r="V1159" s="115"/>
      <c r="W1159" s="115"/>
      <c r="X1159" s="115"/>
      <c r="Y1159" s="115"/>
      <c r="Z1159" s="115"/>
      <c r="AA1159" s="115"/>
      <c r="AB1159" s="115"/>
      <c r="AC1159" s="115"/>
      <c r="AD1159" s="115"/>
      <c r="AE1159" s="122"/>
      <c r="AF1159" s="122"/>
      <c r="AG1159" s="122"/>
      <c r="AH1159" s="115"/>
      <c r="AI1159" s="115"/>
      <c r="AJ1159" s="115"/>
      <c r="AK1159" s="115"/>
      <c r="AL1159" s="115"/>
      <c r="AM1159" s="115"/>
      <c r="AN1159" s="115"/>
      <c r="AO1159" s="115"/>
      <c r="AP1159" s="115"/>
      <c r="AQ1159" s="115"/>
      <c r="AR1159" s="115"/>
      <c r="AS1159" s="115"/>
      <c r="AT1159" s="115"/>
      <c r="AU1159" s="115"/>
      <c r="AV1159" s="17"/>
      <c r="AW1159" s="15"/>
    </row>
    <row r="1160" spans="1:49" x14ac:dyDescent="0.4">
      <c r="AV1160" s="26"/>
      <c r="AW1160" s="15"/>
    </row>
    <row r="1161" spans="1:49" x14ac:dyDescent="0.4">
      <c r="D1161" s="115"/>
      <c r="E1161" s="115"/>
      <c r="F1161" s="115"/>
      <c r="G1161" s="115"/>
      <c r="H1161" s="115"/>
      <c r="I1161" s="115"/>
      <c r="J1161" s="115"/>
      <c r="K1161" s="115"/>
      <c r="L1161" s="115"/>
      <c r="M1161" s="115"/>
      <c r="N1161" s="115"/>
      <c r="O1161" s="115"/>
      <c r="P1161" s="115"/>
      <c r="Q1161" s="115"/>
      <c r="R1161" s="115"/>
      <c r="S1161" s="115"/>
      <c r="T1161" s="115"/>
      <c r="U1161" s="115"/>
      <c r="V1161" s="115"/>
      <c r="W1161" s="115"/>
      <c r="X1161" s="115"/>
      <c r="Y1161" s="115"/>
      <c r="Z1161" s="115"/>
      <c r="AA1161" s="115"/>
      <c r="AB1161" s="115"/>
      <c r="AC1161" s="115"/>
      <c r="AD1161" s="115"/>
      <c r="AE1161" s="122"/>
      <c r="AF1161" s="122"/>
      <c r="AG1161" s="122"/>
      <c r="AH1161" s="115"/>
      <c r="AI1161" s="115"/>
      <c r="AJ1161" s="115"/>
      <c r="AK1161" s="115"/>
      <c r="AL1161" s="115"/>
      <c r="AM1161" s="115"/>
      <c r="AN1161" s="115"/>
      <c r="AO1161" s="115"/>
      <c r="AP1161" s="115"/>
      <c r="AQ1161" s="115"/>
      <c r="AR1161" s="115"/>
      <c r="AS1161" s="115"/>
      <c r="AT1161" s="115"/>
      <c r="AU1161" s="115"/>
      <c r="AV1161" s="26"/>
      <c r="AW1161" s="15"/>
    </row>
    <row r="1162" spans="1:49" x14ac:dyDescent="0.4">
      <c r="D1162" s="115"/>
      <c r="E1162" s="115"/>
      <c r="F1162" s="115"/>
      <c r="G1162" s="115"/>
      <c r="H1162" s="115"/>
      <c r="I1162" s="115"/>
      <c r="J1162" s="115"/>
      <c r="K1162" s="115"/>
      <c r="L1162" s="115"/>
      <c r="M1162" s="115"/>
      <c r="N1162" s="115"/>
      <c r="O1162" s="115"/>
      <c r="P1162" s="115"/>
      <c r="Q1162" s="115"/>
      <c r="R1162" s="115"/>
      <c r="S1162" s="115"/>
      <c r="T1162" s="115"/>
      <c r="U1162" s="115"/>
      <c r="V1162" s="115"/>
      <c r="W1162" s="115"/>
      <c r="X1162" s="115"/>
      <c r="Y1162" s="115"/>
      <c r="Z1162" s="115"/>
      <c r="AA1162" s="115"/>
      <c r="AB1162" s="115"/>
      <c r="AC1162" s="115"/>
      <c r="AD1162" s="115"/>
      <c r="AE1162" s="122"/>
      <c r="AF1162" s="122"/>
      <c r="AG1162" s="122"/>
      <c r="AH1162" s="115"/>
      <c r="AI1162" s="115"/>
      <c r="AJ1162" s="115"/>
      <c r="AK1162" s="115"/>
      <c r="AL1162" s="115"/>
      <c r="AM1162" s="115"/>
      <c r="AN1162" s="115"/>
      <c r="AO1162" s="115"/>
      <c r="AP1162" s="115"/>
      <c r="AQ1162" s="115"/>
      <c r="AR1162" s="115"/>
      <c r="AS1162" s="115"/>
      <c r="AT1162" s="115"/>
      <c r="AU1162" s="115"/>
      <c r="AV1162" s="17"/>
      <c r="AW1162" s="15"/>
    </row>
    <row r="1163" spans="1:49" x14ac:dyDescent="0.4">
      <c r="AV1163" s="26"/>
      <c r="AW1163" s="15"/>
    </row>
    <row r="1164" spans="1:49" x14ac:dyDescent="0.4">
      <c r="AA1164" s="115"/>
      <c r="AB1164" s="115"/>
      <c r="AC1164" s="115"/>
      <c r="AD1164" s="115"/>
      <c r="AE1164" s="122"/>
      <c r="AF1164" s="122"/>
      <c r="AG1164" s="122"/>
      <c r="AH1164" s="115"/>
      <c r="AI1164" s="115"/>
      <c r="AJ1164" s="115"/>
      <c r="AK1164" s="115"/>
      <c r="AL1164" s="115"/>
      <c r="AM1164" s="115"/>
      <c r="AN1164" s="115"/>
      <c r="AO1164" s="115"/>
      <c r="AP1164" s="115"/>
      <c r="AQ1164" s="115"/>
      <c r="AR1164" s="115"/>
      <c r="AS1164" s="115"/>
      <c r="AT1164" s="115"/>
      <c r="AU1164" s="115"/>
      <c r="AV1164" s="17"/>
      <c r="AW1164" s="15"/>
    </row>
    <row r="1165" spans="1:49" x14ac:dyDescent="0.4">
      <c r="C1165" s="115"/>
      <c r="D1165" s="115"/>
      <c r="E1165" s="115"/>
      <c r="F1165" s="115"/>
      <c r="G1165" s="115"/>
      <c r="H1165" s="115"/>
      <c r="I1165" s="115"/>
      <c r="J1165" s="115"/>
      <c r="K1165" s="115"/>
      <c r="L1165" s="115"/>
      <c r="M1165" s="115"/>
      <c r="N1165" s="115"/>
      <c r="O1165" s="115"/>
      <c r="P1165" s="115"/>
      <c r="Q1165" s="115"/>
      <c r="R1165" s="115"/>
      <c r="S1165" s="115"/>
      <c r="T1165" s="115"/>
      <c r="U1165" s="115"/>
      <c r="V1165" s="115"/>
      <c r="W1165" s="115"/>
      <c r="X1165" s="115"/>
      <c r="Y1165" s="115"/>
      <c r="Z1165" s="115"/>
      <c r="AA1165" s="115"/>
      <c r="AB1165" s="115"/>
      <c r="AC1165" s="115"/>
      <c r="AD1165" s="115"/>
      <c r="AE1165" s="122"/>
      <c r="AF1165" s="122"/>
      <c r="AG1165" s="122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115"/>
      <c r="AS1165" s="115"/>
      <c r="AT1165" s="115"/>
      <c r="AU1165" s="115"/>
      <c r="AV1165" s="26"/>
      <c r="AW1165" s="15"/>
    </row>
    <row r="1166" spans="1:49" x14ac:dyDescent="0.4">
      <c r="C1166" s="115"/>
      <c r="D1166" s="115"/>
      <c r="E1166" s="115"/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15"/>
      <c r="AC1166" s="115"/>
      <c r="AD1166" s="115"/>
      <c r="AE1166" s="122"/>
      <c r="AF1166" s="122"/>
      <c r="AG1166" s="122"/>
      <c r="AH1166" s="115"/>
      <c r="AI1166" s="115"/>
      <c r="AJ1166" s="115"/>
      <c r="AK1166" s="115"/>
      <c r="AL1166" s="115"/>
      <c r="AM1166" s="115"/>
      <c r="AN1166" s="115"/>
      <c r="AO1166" s="115"/>
      <c r="AP1166" s="115"/>
      <c r="AQ1166" s="115"/>
      <c r="AR1166" s="115"/>
      <c r="AS1166" s="115"/>
      <c r="AT1166" s="115"/>
      <c r="AU1166" s="115"/>
      <c r="AV1166" s="17"/>
      <c r="AW1166" s="15"/>
    </row>
    <row r="1167" spans="1:49" x14ac:dyDescent="0.4">
      <c r="AV1167" s="26"/>
      <c r="AW1167" s="15"/>
    </row>
    <row r="1168" spans="1:49" x14ac:dyDescent="0.4">
      <c r="AV1168" s="26"/>
      <c r="AW1168" s="15"/>
    </row>
    <row r="1169" spans="3:49" x14ac:dyDescent="0.4">
      <c r="Z1169" s="115"/>
      <c r="AA1169" s="115"/>
      <c r="AB1169" s="115"/>
      <c r="AC1169" s="115"/>
      <c r="AD1169" s="115"/>
      <c r="AE1169" s="122"/>
      <c r="AF1169" s="122"/>
      <c r="AG1169" s="122"/>
      <c r="AH1169" s="115"/>
      <c r="AI1169" s="115"/>
      <c r="AJ1169" s="115"/>
      <c r="AK1169" s="115"/>
      <c r="AL1169" s="115"/>
      <c r="AM1169" s="115"/>
      <c r="AN1169" s="115"/>
      <c r="AO1169" s="115"/>
      <c r="AP1169" s="115"/>
      <c r="AQ1169" s="115"/>
      <c r="AR1169" s="115"/>
      <c r="AS1169" s="115"/>
      <c r="AT1169" s="115"/>
      <c r="AU1169" s="115"/>
      <c r="AV1169" s="26"/>
      <c r="AW1169" s="15"/>
    </row>
    <row r="1170" spans="3:49" x14ac:dyDescent="0.4">
      <c r="X1170" s="115"/>
      <c r="Y1170" s="115"/>
      <c r="Z1170" s="115"/>
      <c r="AA1170" s="115"/>
      <c r="AB1170" s="115"/>
      <c r="AC1170" s="115"/>
      <c r="AD1170" s="115"/>
      <c r="AE1170" s="122"/>
      <c r="AF1170" s="122"/>
      <c r="AG1170" s="122"/>
      <c r="AH1170" s="115"/>
      <c r="AI1170" s="115"/>
      <c r="AJ1170" s="115"/>
      <c r="AK1170" s="115"/>
      <c r="AL1170" s="115"/>
      <c r="AM1170" s="115"/>
      <c r="AN1170" s="115"/>
      <c r="AO1170" s="115"/>
      <c r="AP1170" s="115"/>
      <c r="AQ1170" s="115"/>
      <c r="AR1170" s="115"/>
      <c r="AS1170" s="115"/>
      <c r="AT1170" s="115"/>
      <c r="AU1170" s="115"/>
      <c r="AV1170" s="26"/>
      <c r="AW1170" s="15"/>
    </row>
    <row r="1171" spans="3:49" x14ac:dyDescent="0.4">
      <c r="X1171" s="115"/>
      <c r="Y1171" s="115"/>
      <c r="Z1171" s="115"/>
      <c r="AA1171" s="115"/>
      <c r="AB1171" s="115"/>
      <c r="AC1171" s="115"/>
      <c r="AD1171" s="115"/>
      <c r="AE1171" s="122"/>
      <c r="AF1171" s="122"/>
      <c r="AG1171" s="122"/>
      <c r="AH1171" s="115"/>
      <c r="AI1171" s="115"/>
      <c r="AJ1171" s="115"/>
      <c r="AK1171" s="115"/>
      <c r="AL1171" s="115"/>
      <c r="AM1171" s="115"/>
      <c r="AN1171" s="115"/>
      <c r="AO1171" s="115"/>
      <c r="AP1171" s="115"/>
      <c r="AQ1171" s="115"/>
      <c r="AR1171" s="115"/>
      <c r="AS1171" s="115"/>
      <c r="AT1171" s="115"/>
      <c r="AU1171" s="115"/>
      <c r="AV1171" s="26"/>
      <c r="AW1171" s="15"/>
    </row>
    <row r="1172" spans="3:49" x14ac:dyDescent="0.4">
      <c r="E1172" s="115"/>
      <c r="F1172" s="115"/>
      <c r="G1172" s="115"/>
      <c r="H1172" s="115"/>
      <c r="I1172" s="115"/>
      <c r="J1172" s="115"/>
      <c r="K1172" s="115"/>
      <c r="L1172" s="115"/>
      <c r="M1172" s="115"/>
      <c r="N1172" s="115"/>
      <c r="O1172" s="115"/>
      <c r="P1172" s="115"/>
      <c r="Q1172" s="115"/>
      <c r="R1172" s="115"/>
      <c r="S1172" s="115"/>
      <c r="T1172" s="115"/>
      <c r="U1172" s="115"/>
      <c r="V1172" s="115"/>
      <c r="W1172" s="115"/>
      <c r="X1172" s="115"/>
      <c r="Y1172" s="115"/>
      <c r="Z1172" s="115"/>
      <c r="AA1172" s="115"/>
      <c r="AB1172" s="115"/>
      <c r="AC1172" s="115"/>
      <c r="AD1172" s="115"/>
      <c r="AE1172" s="122"/>
      <c r="AF1172" s="122"/>
      <c r="AG1172" s="122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15"/>
      <c r="AT1172" s="115"/>
      <c r="AU1172" s="115"/>
      <c r="AV1172" s="26"/>
      <c r="AW1172" s="15"/>
    </row>
    <row r="1173" spans="3:49" x14ac:dyDescent="0.4">
      <c r="E1173" s="115"/>
      <c r="F1173" s="115"/>
      <c r="G1173" s="115"/>
      <c r="H1173" s="115"/>
      <c r="I1173" s="115"/>
      <c r="J1173" s="115"/>
      <c r="K1173" s="115"/>
      <c r="L1173" s="115"/>
      <c r="M1173" s="115"/>
      <c r="N1173" s="115"/>
      <c r="O1173" s="115"/>
      <c r="P1173" s="115"/>
      <c r="Q1173" s="115"/>
      <c r="R1173" s="115"/>
      <c r="S1173" s="115"/>
      <c r="T1173" s="115"/>
      <c r="U1173" s="115"/>
      <c r="V1173" s="115"/>
      <c r="W1173" s="115"/>
      <c r="X1173" s="115"/>
      <c r="Y1173" s="115"/>
      <c r="Z1173" s="115"/>
      <c r="AA1173" s="115"/>
      <c r="AB1173" s="115"/>
      <c r="AC1173" s="115"/>
      <c r="AD1173" s="115"/>
      <c r="AE1173" s="122"/>
      <c r="AF1173" s="122"/>
      <c r="AG1173" s="122"/>
      <c r="AH1173" s="115"/>
      <c r="AI1173" s="115"/>
      <c r="AJ1173" s="115"/>
      <c r="AK1173" s="115"/>
      <c r="AL1173" s="115"/>
      <c r="AM1173" s="115"/>
      <c r="AN1173" s="115"/>
      <c r="AO1173" s="115"/>
      <c r="AP1173" s="115"/>
      <c r="AQ1173" s="115"/>
      <c r="AR1173" s="115"/>
      <c r="AS1173" s="115"/>
      <c r="AT1173" s="115"/>
      <c r="AU1173" s="115"/>
      <c r="AV1173" s="26"/>
      <c r="AW1173" s="15"/>
    </row>
    <row r="1174" spans="3:49" x14ac:dyDescent="0.4">
      <c r="AV1174" s="26"/>
      <c r="AW1174" s="15"/>
    </row>
    <row r="1175" spans="3:49" x14ac:dyDescent="0.4">
      <c r="Z1175" s="115"/>
      <c r="AA1175" s="115"/>
      <c r="AB1175" s="115"/>
      <c r="AC1175" s="115"/>
      <c r="AD1175" s="115"/>
      <c r="AE1175" s="122"/>
      <c r="AF1175" s="122"/>
      <c r="AG1175" s="122"/>
      <c r="AH1175" s="115"/>
      <c r="AI1175" s="115"/>
      <c r="AJ1175" s="115"/>
      <c r="AK1175" s="115"/>
      <c r="AL1175" s="115"/>
      <c r="AM1175" s="115"/>
      <c r="AN1175" s="115"/>
      <c r="AO1175" s="115"/>
      <c r="AP1175" s="115"/>
      <c r="AQ1175" s="115"/>
      <c r="AR1175" s="115"/>
      <c r="AS1175" s="115"/>
      <c r="AT1175" s="115"/>
      <c r="AU1175" s="115"/>
      <c r="AV1175" s="26"/>
      <c r="AW1175" s="15"/>
    </row>
    <row r="1176" spans="3:49" x14ac:dyDescent="0.4">
      <c r="AV1176" s="26"/>
      <c r="AW1176" s="15"/>
    </row>
    <row r="1177" spans="3:49" x14ac:dyDescent="0.4">
      <c r="AA1177" s="115"/>
      <c r="AB1177" s="115"/>
      <c r="AC1177" s="115"/>
      <c r="AD1177" s="115"/>
      <c r="AE1177" s="122"/>
      <c r="AF1177" s="122"/>
      <c r="AG1177" s="122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115"/>
      <c r="AT1177" s="115"/>
      <c r="AU1177" s="115"/>
      <c r="AV1177" s="17"/>
      <c r="AW1177" s="15"/>
    </row>
    <row r="1178" spans="3:49" x14ac:dyDescent="0.4">
      <c r="Z1178" s="115"/>
      <c r="AA1178" s="115"/>
      <c r="AB1178" s="115"/>
      <c r="AC1178" s="115"/>
      <c r="AD1178" s="115"/>
      <c r="AE1178" s="122"/>
      <c r="AF1178" s="122"/>
      <c r="AG1178" s="122"/>
      <c r="AH1178" s="115"/>
      <c r="AI1178" s="115"/>
      <c r="AJ1178" s="115"/>
      <c r="AK1178" s="115"/>
      <c r="AL1178" s="115"/>
      <c r="AM1178" s="115"/>
      <c r="AN1178" s="115"/>
      <c r="AO1178" s="115"/>
      <c r="AP1178" s="115"/>
      <c r="AQ1178" s="115"/>
      <c r="AR1178" s="115"/>
      <c r="AS1178" s="115"/>
      <c r="AT1178" s="115"/>
      <c r="AU1178" s="115"/>
      <c r="AV1178" s="26"/>
      <c r="AW1178" s="15"/>
    </row>
    <row r="1179" spans="3:49" x14ac:dyDescent="0.4">
      <c r="C1179" s="115"/>
      <c r="D1179" s="115"/>
      <c r="E1179" s="115"/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22"/>
      <c r="AF1179" s="122"/>
      <c r="AG1179" s="122"/>
      <c r="AH1179" s="115"/>
      <c r="AI1179" s="115"/>
      <c r="AJ1179" s="115"/>
      <c r="AK1179" s="115"/>
      <c r="AL1179" s="115"/>
      <c r="AM1179" s="115"/>
      <c r="AN1179" s="115"/>
      <c r="AO1179" s="115"/>
      <c r="AP1179" s="115"/>
      <c r="AQ1179" s="115"/>
      <c r="AR1179" s="115"/>
      <c r="AS1179" s="115"/>
      <c r="AT1179" s="115"/>
      <c r="AU1179" s="115"/>
      <c r="AV1179" s="26"/>
      <c r="AW1179" s="15"/>
    </row>
    <row r="1180" spans="3:49" x14ac:dyDescent="0.4">
      <c r="C1180" s="115"/>
      <c r="D1180" s="115"/>
      <c r="E1180" s="115"/>
      <c r="F1180" s="115"/>
      <c r="G1180" s="115"/>
      <c r="H1180" s="115"/>
      <c r="I1180" s="115"/>
      <c r="J1180" s="115"/>
      <c r="K1180" s="115"/>
      <c r="L1180" s="115"/>
      <c r="M1180" s="115"/>
      <c r="N1180" s="115"/>
      <c r="O1180" s="115"/>
      <c r="P1180" s="115"/>
      <c r="Q1180" s="115"/>
      <c r="R1180" s="115"/>
      <c r="S1180" s="115"/>
      <c r="T1180" s="115"/>
      <c r="U1180" s="115"/>
      <c r="V1180" s="115"/>
      <c r="W1180" s="115"/>
      <c r="X1180" s="115"/>
      <c r="Y1180" s="115"/>
      <c r="Z1180" s="115"/>
      <c r="AA1180" s="115"/>
      <c r="AB1180" s="115"/>
      <c r="AC1180" s="115"/>
      <c r="AD1180" s="115"/>
      <c r="AE1180" s="122"/>
      <c r="AF1180" s="122"/>
      <c r="AG1180" s="122"/>
      <c r="AH1180" s="115"/>
      <c r="AI1180" s="115"/>
      <c r="AJ1180" s="115"/>
      <c r="AK1180" s="115"/>
      <c r="AL1180" s="115"/>
      <c r="AM1180" s="115"/>
      <c r="AN1180" s="115"/>
      <c r="AO1180" s="115"/>
      <c r="AP1180" s="115"/>
      <c r="AQ1180" s="115"/>
      <c r="AR1180" s="115"/>
      <c r="AS1180" s="115"/>
      <c r="AT1180" s="115"/>
      <c r="AU1180" s="115"/>
      <c r="AV1180" s="17"/>
      <c r="AW1180" s="15"/>
    </row>
    <row r="1181" spans="3:49" x14ac:dyDescent="0.4">
      <c r="AV1181" s="26"/>
      <c r="AW1181" s="15"/>
    </row>
    <row r="1182" spans="3:49" x14ac:dyDescent="0.4">
      <c r="AA1182" s="115"/>
      <c r="AB1182" s="115"/>
      <c r="AC1182" s="115"/>
      <c r="AD1182" s="115"/>
      <c r="AE1182" s="122"/>
      <c r="AF1182" s="122"/>
      <c r="AG1182" s="122"/>
      <c r="AH1182" s="115"/>
      <c r="AI1182" s="115"/>
      <c r="AJ1182" s="115"/>
      <c r="AK1182" s="115"/>
      <c r="AL1182" s="115"/>
      <c r="AM1182" s="115"/>
      <c r="AN1182" s="115"/>
      <c r="AO1182" s="115"/>
      <c r="AP1182" s="115"/>
      <c r="AQ1182" s="115"/>
      <c r="AR1182" s="115"/>
      <c r="AS1182" s="115"/>
      <c r="AT1182" s="115"/>
      <c r="AU1182" s="115"/>
      <c r="AV1182" s="17"/>
      <c r="AW1182" s="15"/>
    </row>
    <row r="1183" spans="3:49" x14ac:dyDescent="0.4">
      <c r="Z1183" s="115"/>
      <c r="AA1183" s="115"/>
      <c r="AB1183" s="115"/>
      <c r="AC1183" s="115"/>
      <c r="AD1183" s="115"/>
      <c r="AE1183" s="122"/>
      <c r="AF1183" s="122"/>
      <c r="AG1183" s="122"/>
      <c r="AH1183" s="115"/>
      <c r="AI1183" s="115"/>
      <c r="AJ1183" s="115"/>
      <c r="AK1183" s="115"/>
      <c r="AL1183" s="115"/>
      <c r="AM1183" s="115"/>
      <c r="AN1183" s="115"/>
      <c r="AO1183" s="115"/>
      <c r="AP1183" s="115"/>
      <c r="AQ1183" s="115"/>
      <c r="AR1183" s="115"/>
      <c r="AS1183" s="115"/>
      <c r="AT1183" s="115"/>
      <c r="AU1183" s="115"/>
      <c r="AV1183" s="26"/>
      <c r="AW1183" s="15"/>
    </row>
    <row r="1184" spans="3:49" x14ac:dyDescent="0.4">
      <c r="Z1184" s="115"/>
      <c r="AA1184" s="115"/>
      <c r="AB1184" s="115"/>
      <c r="AC1184" s="115"/>
      <c r="AD1184" s="115"/>
      <c r="AE1184" s="122"/>
      <c r="AF1184" s="122"/>
      <c r="AG1184" s="122"/>
      <c r="AH1184" s="115"/>
      <c r="AI1184" s="115"/>
      <c r="AJ1184" s="115"/>
      <c r="AK1184" s="115"/>
      <c r="AL1184" s="115"/>
      <c r="AM1184" s="115"/>
      <c r="AN1184" s="115"/>
      <c r="AO1184" s="115"/>
      <c r="AP1184" s="115"/>
      <c r="AQ1184" s="115"/>
      <c r="AR1184" s="115"/>
      <c r="AS1184" s="115"/>
      <c r="AT1184" s="115"/>
      <c r="AU1184" s="115"/>
      <c r="AV1184" s="17"/>
      <c r="AW1184" s="15"/>
    </row>
    <row r="1185" spans="4:49" x14ac:dyDescent="0.4">
      <c r="Z1185" s="115"/>
      <c r="AA1185" s="115"/>
      <c r="AB1185" s="115"/>
      <c r="AC1185" s="115"/>
      <c r="AD1185" s="115"/>
      <c r="AE1185" s="122"/>
      <c r="AF1185" s="122"/>
      <c r="AG1185" s="122"/>
      <c r="AH1185" s="115"/>
      <c r="AI1185" s="115"/>
      <c r="AJ1185" s="115"/>
      <c r="AK1185" s="115"/>
      <c r="AL1185" s="115"/>
      <c r="AM1185" s="115"/>
      <c r="AN1185" s="115"/>
      <c r="AO1185" s="115"/>
      <c r="AP1185" s="115"/>
      <c r="AQ1185" s="115"/>
      <c r="AR1185" s="115"/>
      <c r="AS1185" s="115"/>
      <c r="AT1185" s="115"/>
      <c r="AU1185" s="115"/>
      <c r="AV1185" s="17"/>
      <c r="AW1185" s="15"/>
    </row>
    <row r="1186" spans="4:49" x14ac:dyDescent="0.4">
      <c r="E1186" s="115"/>
      <c r="F1186" s="115"/>
      <c r="G1186" s="115"/>
      <c r="H1186" s="115"/>
      <c r="I1186" s="115"/>
      <c r="J1186" s="115"/>
      <c r="K1186" s="115"/>
      <c r="L1186" s="115"/>
      <c r="M1186" s="115"/>
      <c r="N1186" s="115"/>
      <c r="O1186" s="115"/>
      <c r="P1186" s="115"/>
      <c r="Q1186" s="115"/>
      <c r="R1186" s="115"/>
      <c r="S1186" s="115"/>
      <c r="T1186" s="115"/>
      <c r="U1186" s="115"/>
      <c r="V1186" s="115"/>
      <c r="W1186" s="115"/>
      <c r="X1186" s="115"/>
      <c r="Y1186" s="115"/>
      <c r="Z1186" s="115"/>
      <c r="AA1186" s="115"/>
      <c r="AB1186" s="115"/>
      <c r="AC1186" s="115"/>
      <c r="AD1186" s="115"/>
      <c r="AE1186" s="122"/>
      <c r="AF1186" s="122"/>
      <c r="AG1186" s="122"/>
      <c r="AH1186" s="115"/>
      <c r="AI1186" s="115"/>
      <c r="AJ1186" s="115"/>
      <c r="AK1186" s="115"/>
      <c r="AL1186" s="115"/>
      <c r="AM1186" s="115"/>
      <c r="AN1186" s="115"/>
      <c r="AO1186" s="115"/>
      <c r="AP1186" s="115"/>
      <c r="AQ1186" s="115"/>
      <c r="AR1186" s="115"/>
      <c r="AS1186" s="115"/>
      <c r="AT1186" s="115"/>
      <c r="AU1186" s="115"/>
      <c r="AV1186" s="26"/>
      <c r="AW1186" s="15"/>
    </row>
    <row r="1187" spans="4:49" x14ac:dyDescent="0.4">
      <c r="E1187" s="115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22"/>
      <c r="AF1187" s="122"/>
      <c r="AG1187" s="122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115"/>
      <c r="AU1187" s="115"/>
      <c r="AV1187" s="26"/>
      <c r="AW1187" s="15"/>
    </row>
    <row r="1188" spans="4:49" x14ac:dyDescent="0.4">
      <c r="E1188" s="115"/>
      <c r="F1188" s="115"/>
      <c r="G1188" s="115"/>
      <c r="H1188" s="115"/>
      <c r="I1188" s="115"/>
      <c r="J1188" s="115"/>
      <c r="K1188" s="115"/>
      <c r="L1188" s="115"/>
      <c r="M1188" s="115"/>
      <c r="N1188" s="115"/>
      <c r="O1188" s="115"/>
      <c r="P1188" s="115"/>
      <c r="Q1188" s="115"/>
      <c r="R1188" s="115"/>
      <c r="S1188" s="115"/>
      <c r="T1188" s="115"/>
      <c r="U1188" s="115"/>
      <c r="V1188" s="115"/>
      <c r="W1188" s="115"/>
      <c r="X1188" s="115"/>
      <c r="Y1188" s="115"/>
      <c r="Z1188" s="115"/>
      <c r="AA1188" s="115"/>
      <c r="AB1188" s="115"/>
      <c r="AC1188" s="115"/>
      <c r="AD1188" s="115"/>
      <c r="AE1188" s="122"/>
      <c r="AF1188" s="122"/>
      <c r="AG1188" s="122"/>
      <c r="AH1188" s="115"/>
      <c r="AI1188" s="115"/>
      <c r="AJ1188" s="115"/>
      <c r="AK1188" s="115"/>
      <c r="AL1188" s="115"/>
      <c r="AM1188" s="115"/>
      <c r="AN1188" s="115"/>
      <c r="AO1188" s="115"/>
      <c r="AP1188" s="115"/>
      <c r="AQ1188" s="115"/>
      <c r="AR1188" s="115"/>
      <c r="AS1188" s="115"/>
      <c r="AT1188" s="115"/>
      <c r="AU1188" s="115"/>
      <c r="AV1188" s="26"/>
      <c r="AW1188" s="15"/>
    </row>
    <row r="1189" spans="4:49" x14ac:dyDescent="0.4">
      <c r="D1189" s="115"/>
      <c r="E1189" s="115"/>
      <c r="F1189" s="115"/>
      <c r="G1189" s="115"/>
      <c r="H1189" s="115"/>
      <c r="I1189" s="115"/>
      <c r="J1189" s="115"/>
      <c r="K1189" s="115"/>
      <c r="L1189" s="115"/>
      <c r="M1189" s="115"/>
      <c r="N1189" s="115"/>
      <c r="O1189" s="115"/>
      <c r="P1189" s="115"/>
      <c r="Q1189" s="115"/>
      <c r="R1189" s="115"/>
      <c r="S1189" s="115"/>
      <c r="T1189" s="115"/>
      <c r="U1189" s="115"/>
      <c r="V1189" s="115"/>
      <c r="W1189" s="115"/>
      <c r="X1189" s="115"/>
      <c r="Y1189" s="115"/>
      <c r="Z1189" s="115"/>
      <c r="AA1189" s="115"/>
      <c r="AB1189" s="115"/>
      <c r="AC1189" s="115"/>
      <c r="AD1189" s="115"/>
      <c r="AE1189" s="122"/>
      <c r="AF1189" s="122"/>
      <c r="AG1189" s="122"/>
      <c r="AH1189" s="115"/>
      <c r="AI1189" s="115"/>
      <c r="AJ1189" s="115"/>
      <c r="AK1189" s="115"/>
      <c r="AL1189" s="115"/>
      <c r="AM1189" s="115"/>
      <c r="AN1189" s="115"/>
      <c r="AO1189" s="115"/>
      <c r="AP1189" s="115"/>
      <c r="AQ1189" s="115"/>
      <c r="AR1189" s="115"/>
      <c r="AS1189" s="115"/>
      <c r="AT1189" s="115"/>
      <c r="AU1189" s="115"/>
      <c r="AV1189" s="26"/>
      <c r="AW1189" s="15"/>
    </row>
    <row r="1190" spans="4:49" x14ac:dyDescent="0.4">
      <c r="D1190" s="115"/>
      <c r="E1190" s="115"/>
      <c r="F1190" s="115"/>
      <c r="G1190" s="115"/>
      <c r="H1190" s="115"/>
      <c r="I1190" s="115"/>
      <c r="J1190" s="115"/>
      <c r="K1190" s="115"/>
      <c r="L1190" s="115"/>
      <c r="M1190" s="115"/>
      <c r="N1190" s="115"/>
      <c r="O1190" s="115"/>
      <c r="P1190" s="115"/>
      <c r="Q1190" s="115"/>
      <c r="R1190" s="115"/>
      <c r="S1190" s="115"/>
      <c r="T1190" s="115"/>
      <c r="U1190" s="115"/>
      <c r="V1190" s="115"/>
      <c r="W1190" s="115"/>
      <c r="X1190" s="115"/>
      <c r="Y1190" s="115"/>
      <c r="Z1190" s="115"/>
      <c r="AA1190" s="115"/>
      <c r="AB1190" s="115"/>
      <c r="AC1190" s="115"/>
      <c r="AD1190" s="115"/>
      <c r="AE1190" s="122"/>
      <c r="AF1190" s="122"/>
      <c r="AG1190" s="122"/>
      <c r="AH1190" s="115"/>
      <c r="AI1190" s="115"/>
      <c r="AJ1190" s="115"/>
      <c r="AK1190" s="115"/>
      <c r="AL1190" s="115"/>
      <c r="AM1190" s="115"/>
      <c r="AN1190" s="115"/>
      <c r="AO1190" s="115"/>
      <c r="AP1190" s="115"/>
      <c r="AQ1190" s="115"/>
      <c r="AR1190" s="115"/>
      <c r="AS1190" s="115"/>
      <c r="AT1190" s="115"/>
      <c r="AU1190" s="115"/>
      <c r="AV1190" s="26"/>
      <c r="AW1190" s="15"/>
    </row>
    <row r="1191" spans="4:49" x14ac:dyDescent="0.4">
      <c r="D1191" s="115"/>
      <c r="E1191" s="115"/>
      <c r="F1191" s="115"/>
      <c r="G1191" s="115"/>
      <c r="H1191" s="115"/>
      <c r="I1191" s="115"/>
      <c r="J1191" s="115"/>
      <c r="K1191" s="115"/>
      <c r="L1191" s="115"/>
      <c r="M1191" s="115"/>
      <c r="N1191" s="115"/>
      <c r="O1191" s="115"/>
      <c r="P1191" s="115"/>
      <c r="Q1191" s="115"/>
      <c r="R1191" s="115"/>
      <c r="S1191" s="115"/>
      <c r="T1191" s="115"/>
      <c r="U1191" s="115"/>
      <c r="V1191" s="115"/>
      <c r="W1191" s="115"/>
      <c r="X1191" s="115"/>
      <c r="Y1191" s="115"/>
      <c r="Z1191" s="115"/>
      <c r="AA1191" s="115"/>
      <c r="AB1191" s="115"/>
      <c r="AC1191" s="115"/>
      <c r="AD1191" s="115"/>
      <c r="AE1191" s="122"/>
      <c r="AF1191" s="122"/>
      <c r="AG1191" s="122"/>
      <c r="AH1191" s="115"/>
      <c r="AI1191" s="115"/>
      <c r="AJ1191" s="115"/>
      <c r="AK1191" s="115"/>
      <c r="AL1191" s="115"/>
      <c r="AM1191" s="115"/>
      <c r="AN1191" s="115"/>
      <c r="AO1191" s="115"/>
      <c r="AP1191" s="115"/>
      <c r="AQ1191" s="115"/>
      <c r="AR1191" s="115"/>
      <c r="AS1191" s="115"/>
      <c r="AT1191" s="115"/>
      <c r="AU1191" s="115"/>
      <c r="AV1191" s="17"/>
      <c r="AW1191" s="15"/>
    </row>
    <row r="1192" spans="4:49" x14ac:dyDescent="0.4">
      <c r="AV1192" s="26"/>
      <c r="AW1192" s="15"/>
    </row>
    <row r="1193" spans="4:49" x14ac:dyDescent="0.4">
      <c r="Z1193" s="115"/>
      <c r="AA1193" s="115"/>
      <c r="AB1193" s="115"/>
      <c r="AC1193" s="115"/>
      <c r="AD1193" s="115"/>
      <c r="AE1193" s="122"/>
      <c r="AF1193" s="122"/>
      <c r="AG1193" s="122"/>
      <c r="AH1193" s="115"/>
      <c r="AI1193" s="115"/>
      <c r="AJ1193" s="115"/>
      <c r="AK1193" s="115"/>
      <c r="AL1193" s="115"/>
      <c r="AM1193" s="115"/>
      <c r="AN1193" s="115"/>
      <c r="AO1193" s="115"/>
      <c r="AP1193" s="115"/>
      <c r="AQ1193" s="115"/>
      <c r="AR1193" s="115"/>
      <c r="AS1193" s="115"/>
      <c r="AT1193" s="115"/>
      <c r="AU1193" s="115"/>
      <c r="AV1193" s="17"/>
      <c r="AW1193" s="13"/>
    </row>
    <row r="1194" spans="4:49" x14ac:dyDescent="0.4">
      <c r="Z1194" s="115"/>
      <c r="AA1194" s="115"/>
      <c r="AB1194" s="115"/>
      <c r="AC1194" s="115"/>
      <c r="AD1194" s="115"/>
      <c r="AE1194" s="122"/>
      <c r="AF1194" s="122"/>
      <c r="AG1194" s="122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15"/>
      <c r="AU1194" s="115"/>
      <c r="AV1194" s="17"/>
      <c r="AW1194" s="13"/>
    </row>
    <row r="1195" spans="4:49" x14ac:dyDescent="0.4">
      <c r="X1195" s="115"/>
      <c r="Y1195" s="115"/>
      <c r="Z1195" s="115"/>
      <c r="AA1195" s="115"/>
      <c r="AB1195" s="115"/>
      <c r="AC1195" s="115"/>
      <c r="AD1195" s="115"/>
      <c r="AE1195" s="122"/>
      <c r="AF1195" s="122"/>
      <c r="AG1195" s="122"/>
      <c r="AH1195" s="115"/>
      <c r="AI1195" s="115"/>
      <c r="AJ1195" s="115"/>
      <c r="AK1195" s="115"/>
      <c r="AL1195" s="115"/>
      <c r="AM1195" s="115"/>
      <c r="AN1195" s="115"/>
      <c r="AO1195" s="115"/>
      <c r="AP1195" s="115"/>
      <c r="AQ1195" s="115"/>
      <c r="AR1195" s="115"/>
      <c r="AS1195" s="115"/>
      <c r="AT1195" s="115"/>
      <c r="AU1195" s="115"/>
      <c r="AV1195" s="26"/>
      <c r="AW1195" s="13"/>
    </row>
    <row r="1196" spans="4:49" x14ac:dyDescent="0.4">
      <c r="X1196" s="115"/>
      <c r="Y1196" s="115"/>
      <c r="Z1196" s="115"/>
      <c r="AA1196" s="115"/>
      <c r="AB1196" s="115"/>
      <c r="AC1196" s="115"/>
      <c r="AD1196" s="115"/>
      <c r="AE1196" s="122"/>
      <c r="AF1196" s="122"/>
      <c r="AG1196" s="122"/>
      <c r="AH1196" s="115"/>
      <c r="AI1196" s="115"/>
      <c r="AJ1196" s="115"/>
      <c r="AK1196" s="115"/>
      <c r="AL1196" s="115"/>
      <c r="AM1196" s="115"/>
      <c r="AN1196" s="115"/>
      <c r="AO1196" s="115"/>
      <c r="AP1196" s="115"/>
      <c r="AQ1196" s="115"/>
      <c r="AR1196" s="115"/>
      <c r="AS1196" s="115"/>
      <c r="AT1196" s="115"/>
      <c r="AU1196" s="115"/>
      <c r="AV1196" s="17"/>
      <c r="AW1196" s="13"/>
    </row>
    <row r="1197" spans="4:49" x14ac:dyDescent="0.4">
      <c r="AV1197" s="26"/>
      <c r="AW1197" s="13"/>
    </row>
    <row r="1198" spans="4:49" x14ac:dyDescent="0.4">
      <c r="Y1198" s="115"/>
      <c r="Z1198" s="115"/>
      <c r="AA1198" s="115"/>
      <c r="AB1198" s="115"/>
      <c r="AC1198" s="115"/>
      <c r="AD1198" s="115"/>
      <c r="AE1198" s="122"/>
      <c r="AF1198" s="122"/>
      <c r="AG1198" s="122"/>
      <c r="AH1198" s="115"/>
      <c r="AI1198" s="115"/>
      <c r="AJ1198" s="115"/>
      <c r="AK1198" s="115"/>
      <c r="AL1198" s="115"/>
      <c r="AM1198" s="115"/>
      <c r="AN1198" s="115"/>
      <c r="AO1198" s="115"/>
      <c r="AP1198" s="115"/>
      <c r="AQ1198" s="115"/>
      <c r="AR1198" s="115"/>
      <c r="AS1198" s="115"/>
      <c r="AT1198" s="115"/>
      <c r="AU1198" s="115"/>
      <c r="AV1198" s="17"/>
      <c r="AW1198" s="13"/>
    </row>
    <row r="1199" spans="4:49" x14ac:dyDescent="0.4">
      <c r="AV1199" s="26"/>
      <c r="AW1199" s="13"/>
    </row>
    <row r="1200" spans="4:49" x14ac:dyDescent="0.4">
      <c r="AV1200" s="26"/>
      <c r="AW1200" s="13"/>
    </row>
    <row r="1201" spans="3:49" x14ac:dyDescent="0.4">
      <c r="D1201" s="115"/>
      <c r="E1201" s="115"/>
      <c r="F1201" s="115"/>
      <c r="G1201" s="115"/>
      <c r="H1201" s="115"/>
      <c r="I1201" s="115"/>
      <c r="J1201" s="115"/>
      <c r="K1201" s="115"/>
      <c r="L1201" s="115"/>
      <c r="M1201" s="115"/>
      <c r="N1201" s="115"/>
      <c r="O1201" s="115"/>
      <c r="P1201" s="115"/>
      <c r="Q1201" s="115"/>
      <c r="R1201" s="115"/>
      <c r="S1201" s="115"/>
      <c r="T1201" s="115"/>
      <c r="U1201" s="115"/>
      <c r="V1201" s="115"/>
      <c r="W1201" s="115"/>
      <c r="X1201" s="115"/>
      <c r="Y1201" s="115"/>
      <c r="Z1201" s="115"/>
      <c r="AA1201" s="115"/>
      <c r="AB1201" s="115"/>
      <c r="AC1201" s="115"/>
      <c r="AD1201" s="115"/>
      <c r="AE1201" s="122"/>
      <c r="AF1201" s="122"/>
      <c r="AG1201" s="122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115"/>
      <c r="AU1201" s="115"/>
      <c r="AV1201" s="26"/>
      <c r="AW1201" s="13"/>
    </row>
    <row r="1202" spans="3:49" x14ac:dyDescent="0.4">
      <c r="C1202" s="115"/>
      <c r="D1202" s="115"/>
      <c r="E1202" s="115"/>
      <c r="F1202" s="115"/>
      <c r="G1202" s="115"/>
      <c r="H1202" s="115"/>
      <c r="I1202" s="115"/>
      <c r="J1202" s="115"/>
      <c r="K1202" s="115"/>
      <c r="L1202" s="115"/>
      <c r="M1202" s="115"/>
      <c r="N1202" s="115"/>
      <c r="O1202" s="115"/>
      <c r="P1202" s="115"/>
      <c r="Q1202" s="115"/>
      <c r="R1202" s="115"/>
      <c r="S1202" s="115"/>
      <c r="T1202" s="115"/>
      <c r="U1202" s="115"/>
      <c r="V1202" s="115"/>
      <c r="W1202" s="115"/>
      <c r="X1202" s="115"/>
      <c r="Y1202" s="115"/>
      <c r="Z1202" s="115"/>
      <c r="AA1202" s="115"/>
      <c r="AB1202" s="115"/>
      <c r="AC1202" s="115"/>
      <c r="AD1202" s="115"/>
      <c r="AE1202" s="122"/>
      <c r="AF1202" s="122"/>
      <c r="AG1202" s="122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115"/>
      <c r="AU1202" s="115"/>
      <c r="AV1202" s="26"/>
      <c r="AW1202" s="13"/>
    </row>
    <row r="1203" spans="3:49" x14ac:dyDescent="0.4">
      <c r="AV1203" s="26"/>
      <c r="AW1203" s="13"/>
    </row>
    <row r="1204" spans="3:49" x14ac:dyDescent="0.4">
      <c r="AV1204" s="26"/>
      <c r="AW1204" s="13"/>
    </row>
    <row r="1205" spans="3:49" x14ac:dyDescent="0.4">
      <c r="E1205" s="115"/>
      <c r="F1205" s="115"/>
      <c r="G1205" s="115"/>
      <c r="H1205" s="115"/>
      <c r="I1205" s="115"/>
      <c r="J1205" s="115"/>
      <c r="K1205" s="115"/>
      <c r="L1205" s="115"/>
      <c r="M1205" s="115"/>
      <c r="N1205" s="115"/>
      <c r="O1205" s="115"/>
      <c r="P1205" s="115"/>
      <c r="Q1205" s="115"/>
      <c r="R1205" s="115"/>
      <c r="S1205" s="115"/>
      <c r="T1205" s="115"/>
      <c r="U1205" s="115"/>
      <c r="V1205" s="115"/>
      <c r="W1205" s="115"/>
      <c r="X1205" s="115"/>
      <c r="Y1205" s="115"/>
      <c r="Z1205" s="115"/>
      <c r="AA1205" s="115"/>
      <c r="AB1205" s="115"/>
      <c r="AC1205" s="115"/>
      <c r="AD1205" s="115"/>
      <c r="AE1205" s="122"/>
      <c r="AF1205" s="122"/>
      <c r="AG1205" s="122"/>
      <c r="AH1205" s="115"/>
      <c r="AI1205" s="115"/>
      <c r="AJ1205" s="115"/>
      <c r="AK1205" s="115"/>
      <c r="AL1205" s="115"/>
      <c r="AM1205" s="115"/>
      <c r="AN1205" s="115"/>
      <c r="AO1205" s="115"/>
      <c r="AP1205" s="115"/>
      <c r="AQ1205" s="115"/>
      <c r="AR1205" s="115"/>
      <c r="AS1205" s="115"/>
      <c r="AT1205" s="115"/>
      <c r="AU1205" s="115"/>
      <c r="AV1205" s="26"/>
      <c r="AW1205" s="13"/>
    </row>
    <row r="1206" spans="3:49" x14ac:dyDescent="0.4">
      <c r="AV1206" s="26"/>
      <c r="AW1206" s="105"/>
    </row>
    <row r="1207" spans="3:49" x14ac:dyDescent="0.4">
      <c r="E1207" s="115"/>
      <c r="F1207" s="115"/>
      <c r="G1207" s="115"/>
      <c r="H1207" s="115"/>
      <c r="I1207" s="115"/>
      <c r="J1207" s="115"/>
      <c r="K1207" s="115"/>
      <c r="L1207" s="115"/>
      <c r="M1207" s="115"/>
      <c r="N1207" s="115"/>
      <c r="O1207" s="115"/>
      <c r="P1207" s="115"/>
      <c r="Q1207" s="115"/>
      <c r="R1207" s="115"/>
      <c r="S1207" s="115"/>
      <c r="T1207" s="115"/>
      <c r="U1207" s="115"/>
      <c r="V1207" s="115"/>
      <c r="W1207" s="115"/>
      <c r="X1207" s="115"/>
      <c r="Y1207" s="115"/>
      <c r="Z1207" s="115"/>
      <c r="AA1207" s="115"/>
      <c r="AB1207" s="115"/>
      <c r="AC1207" s="115"/>
      <c r="AD1207" s="115"/>
      <c r="AE1207" s="122"/>
      <c r="AF1207" s="122"/>
      <c r="AG1207" s="122"/>
      <c r="AH1207" s="115"/>
      <c r="AI1207" s="115"/>
      <c r="AJ1207" s="115"/>
      <c r="AK1207" s="115"/>
      <c r="AL1207" s="115"/>
      <c r="AM1207" s="115"/>
      <c r="AN1207" s="115"/>
      <c r="AO1207" s="115"/>
      <c r="AP1207" s="115"/>
      <c r="AQ1207" s="115"/>
      <c r="AR1207" s="115"/>
      <c r="AS1207" s="115"/>
      <c r="AT1207" s="115"/>
      <c r="AU1207" s="115"/>
      <c r="AV1207" s="26"/>
      <c r="AW1207" s="15"/>
    </row>
    <row r="1208" spans="3:49" x14ac:dyDescent="0.4">
      <c r="E1208" s="115"/>
      <c r="F1208" s="115"/>
      <c r="G1208" s="115"/>
      <c r="H1208" s="115"/>
      <c r="I1208" s="115"/>
      <c r="J1208" s="115"/>
      <c r="K1208" s="115"/>
      <c r="L1208" s="115"/>
      <c r="M1208" s="115"/>
      <c r="N1208" s="115"/>
      <c r="O1208" s="115"/>
      <c r="P1208" s="115"/>
      <c r="Q1208" s="115"/>
      <c r="R1208" s="115"/>
      <c r="S1208" s="115"/>
      <c r="T1208" s="115"/>
      <c r="U1208" s="115"/>
      <c r="V1208" s="115"/>
      <c r="W1208" s="115"/>
      <c r="X1208" s="115"/>
      <c r="Y1208" s="115"/>
      <c r="Z1208" s="115"/>
      <c r="AA1208" s="115"/>
      <c r="AB1208" s="115"/>
      <c r="AC1208" s="115"/>
      <c r="AD1208" s="115"/>
      <c r="AE1208" s="122"/>
      <c r="AF1208" s="122"/>
      <c r="AG1208" s="122"/>
      <c r="AH1208" s="115"/>
      <c r="AI1208" s="115"/>
      <c r="AJ1208" s="115"/>
      <c r="AK1208" s="115"/>
      <c r="AL1208" s="115"/>
      <c r="AM1208" s="115"/>
      <c r="AN1208" s="115"/>
      <c r="AO1208" s="115"/>
      <c r="AP1208" s="115"/>
      <c r="AQ1208" s="115"/>
      <c r="AR1208" s="115"/>
      <c r="AS1208" s="115"/>
      <c r="AT1208" s="115"/>
      <c r="AU1208" s="115"/>
      <c r="AV1208" s="17"/>
      <c r="AW1208" s="15"/>
    </row>
    <row r="1209" spans="3:49" x14ac:dyDescent="0.4">
      <c r="AV1209" s="26"/>
      <c r="AW1209" s="15"/>
    </row>
    <row r="1210" spans="3:49" x14ac:dyDescent="0.4">
      <c r="E1210" s="115"/>
      <c r="F1210" s="115"/>
      <c r="G1210" s="115"/>
      <c r="H1210" s="115"/>
      <c r="I1210" s="115"/>
      <c r="J1210" s="115"/>
      <c r="K1210" s="115"/>
      <c r="L1210" s="115"/>
      <c r="M1210" s="115"/>
      <c r="N1210" s="115"/>
      <c r="O1210" s="115"/>
      <c r="P1210" s="115"/>
      <c r="Q1210" s="115"/>
      <c r="R1210" s="115"/>
      <c r="S1210" s="115"/>
      <c r="T1210" s="115"/>
      <c r="U1210" s="115"/>
      <c r="V1210" s="115"/>
      <c r="W1210" s="115"/>
      <c r="X1210" s="115"/>
      <c r="Y1210" s="115"/>
      <c r="Z1210" s="115"/>
      <c r="AA1210" s="115"/>
      <c r="AB1210" s="115"/>
      <c r="AC1210" s="115"/>
      <c r="AD1210" s="115"/>
      <c r="AE1210" s="122"/>
      <c r="AF1210" s="122"/>
      <c r="AG1210" s="122"/>
      <c r="AH1210" s="115"/>
      <c r="AI1210" s="115"/>
      <c r="AJ1210" s="115"/>
      <c r="AK1210" s="115"/>
      <c r="AL1210" s="115"/>
      <c r="AM1210" s="115"/>
      <c r="AN1210" s="115"/>
      <c r="AO1210" s="115"/>
      <c r="AP1210" s="115"/>
      <c r="AQ1210" s="115"/>
      <c r="AR1210" s="115"/>
      <c r="AS1210" s="115"/>
      <c r="AT1210" s="115"/>
      <c r="AU1210" s="115"/>
      <c r="AV1210" s="26"/>
      <c r="AW1210" s="15"/>
    </row>
    <row r="1211" spans="3:49" x14ac:dyDescent="0.4">
      <c r="C1211" s="115"/>
      <c r="D1211" s="115"/>
      <c r="E1211" s="115"/>
      <c r="F1211" s="115"/>
      <c r="G1211" s="115"/>
      <c r="H1211" s="115"/>
      <c r="I1211" s="115"/>
      <c r="J1211" s="115"/>
      <c r="K1211" s="115"/>
      <c r="L1211" s="115"/>
      <c r="M1211" s="115"/>
      <c r="N1211" s="115"/>
      <c r="O1211" s="115"/>
      <c r="P1211" s="115"/>
      <c r="Q1211" s="115"/>
      <c r="R1211" s="115"/>
      <c r="S1211" s="115"/>
      <c r="T1211" s="115"/>
      <c r="U1211" s="115"/>
      <c r="V1211" s="115"/>
      <c r="W1211" s="115"/>
      <c r="X1211" s="115"/>
      <c r="Y1211" s="115"/>
      <c r="Z1211" s="115"/>
      <c r="AA1211" s="115"/>
      <c r="AB1211" s="115"/>
      <c r="AC1211" s="115"/>
      <c r="AD1211" s="115"/>
      <c r="AE1211" s="122"/>
      <c r="AF1211" s="122"/>
      <c r="AG1211" s="122"/>
      <c r="AH1211" s="115"/>
      <c r="AI1211" s="115"/>
      <c r="AJ1211" s="115"/>
      <c r="AK1211" s="115"/>
      <c r="AL1211" s="115"/>
      <c r="AM1211" s="115"/>
      <c r="AN1211" s="115"/>
      <c r="AO1211" s="115"/>
      <c r="AP1211" s="115"/>
      <c r="AQ1211" s="115"/>
      <c r="AR1211" s="115"/>
      <c r="AS1211" s="115"/>
      <c r="AT1211" s="115"/>
      <c r="AU1211" s="115"/>
      <c r="AV1211" s="26"/>
      <c r="AW1211" s="15"/>
    </row>
    <row r="1212" spans="3:49" x14ac:dyDescent="0.4">
      <c r="C1212" s="115"/>
      <c r="D1212" s="115"/>
      <c r="E1212" s="115"/>
      <c r="F1212" s="115"/>
      <c r="G1212" s="115"/>
      <c r="H1212" s="115"/>
      <c r="I1212" s="115"/>
      <c r="J1212" s="115"/>
      <c r="K1212" s="115"/>
      <c r="L1212" s="115"/>
      <c r="M1212" s="115"/>
      <c r="N1212" s="115"/>
      <c r="O1212" s="115"/>
      <c r="P1212" s="115"/>
      <c r="Q1212" s="115"/>
      <c r="R1212" s="115"/>
      <c r="S1212" s="115"/>
      <c r="T1212" s="115"/>
      <c r="U1212" s="115"/>
      <c r="V1212" s="115"/>
      <c r="W1212" s="115"/>
      <c r="X1212" s="115"/>
      <c r="Y1212" s="115"/>
      <c r="Z1212" s="115"/>
      <c r="AA1212" s="115"/>
      <c r="AB1212" s="115"/>
      <c r="AC1212" s="115"/>
      <c r="AD1212" s="115"/>
      <c r="AE1212" s="122"/>
      <c r="AF1212" s="122"/>
      <c r="AG1212" s="122"/>
      <c r="AH1212" s="115"/>
      <c r="AI1212" s="115"/>
      <c r="AJ1212" s="115"/>
      <c r="AK1212" s="115"/>
      <c r="AL1212" s="115"/>
      <c r="AM1212" s="115"/>
      <c r="AN1212" s="115"/>
      <c r="AO1212" s="115"/>
      <c r="AP1212" s="115"/>
      <c r="AQ1212" s="115"/>
      <c r="AR1212" s="115"/>
      <c r="AS1212" s="115"/>
      <c r="AT1212" s="115"/>
      <c r="AU1212" s="115"/>
      <c r="AV1212" s="26"/>
      <c r="AW1212" s="13"/>
    </row>
    <row r="1213" spans="3:49" x14ac:dyDescent="0.4">
      <c r="AV1213" s="26"/>
      <c r="AW1213" s="15"/>
    </row>
    <row r="1214" spans="3:49" x14ac:dyDescent="0.4">
      <c r="E1214" s="115"/>
      <c r="F1214" s="115"/>
      <c r="G1214" s="115"/>
      <c r="H1214" s="115"/>
      <c r="I1214" s="115"/>
      <c r="J1214" s="115"/>
      <c r="K1214" s="115"/>
      <c r="L1214" s="115"/>
      <c r="M1214" s="115"/>
      <c r="N1214" s="115"/>
      <c r="O1214" s="115"/>
      <c r="P1214" s="115"/>
      <c r="Q1214" s="115"/>
      <c r="R1214" s="115"/>
      <c r="S1214" s="115"/>
      <c r="T1214" s="115"/>
      <c r="U1214" s="115"/>
      <c r="V1214" s="115"/>
      <c r="W1214" s="115"/>
      <c r="X1214" s="115"/>
      <c r="Y1214" s="115"/>
      <c r="Z1214" s="115"/>
      <c r="AA1214" s="115"/>
      <c r="AB1214" s="115"/>
      <c r="AC1214" s="115"/>
      <c r="AD1214" s="115"/>
      <c r="AE1214" s="122"/>
      <c r="AF1214" s="122"/>
      <c r="AG1214" s="122"/>
      <c r="AH1214" s="115"/>
      <c r="AI1214" s="115"/>
      <c r="AJ1214" s="115"/>
      <c r="AK1214" s="115"/>
      <c r="AL1214" s="115"/>
      <c r="AM1214" s="115"/>
      <c r="AN1214" s="115"/>
      <c r="AO1214" s="115"/>
      <c r="AP1214" s="115"/>
      <c r="AQ1214" s="115"/>
      <c r="AR1214" s="115"/>
      <c r="AS1214" s="115"/>
      <c r="AT1214" s="115"/>
      <c r="AU1214" s="115"/>
      <c r="AV1214" s="26"/>
      <c r="AW1214" s="15"/>
    </row>
    <row r="1215" spans="3:49" x14ac:dyDescent="0.4">
      <c r="E1215" s="115"/>
      <c r="F1215" s="115"/>
      <c r="G1215" s="115"/>
      <c r="H1215" s="115"/>
      <c r="I1215" s="115"/>
      <c r="J1215" s="115"/>
      <c r="K1215" s="115"/>
      <c r="L1215" s="115"/>
      <c r="M1215" s="115"/>
      <c r="N1215" s="115"/>
      <c r="O1215" s="115"/>
      <c r="P1215" s="115"/>
      <c r="Q1215" s="115"/>
      <c r="R1215" s="115"/>
      <c r="S1215" s="115"/>
      <c r="T1215" s="115"/>
      <c r="U1215" s="115"/>
      <c r="V1215" s="115"/>
      <c r="W1215" s="115"/>
      <c r="X1215" s="115"/>
      <c r="Y1215" s="115"/>
      <c r="Z1215" s="115"/>
      <c r="AA1215" s="115"/>
      <c r="AB1215" s="115"/>
      <c r="AC1215" s="115"/>
      <c r="AD1215" s="115"/>
      <c r="AE1215" s="122"/>
      <c r="AF1215" s="122"/>
      <c r="AG1215" s="122"/>
      <c r="AH1215" s="115"/>
      <c r="AI1215" s="115"/>
      <c r="AJ1215" s="115"/>
      <c r="AK1215" s="115"/>
      <c r="AL1215" s="115"/>
      <c r="AM1215" s="115"/>
      <c r="AN1215" s="115"/>
      <c r="AO1215" s="115"/>
      <c r="AP1215" s="115"/>
      <c r="AQ1215" s="115"/>
      <c r="AR1215" s="115"/>
      <c r="AS1215" s="115"/>
      <c r="AT1215" s="115"/>
      <c r="AU1215" s="115"/>
      <c r="AV1215" s="26"/>
      <c r="AW1215" s="15"/>
    </row>
    <row r="1216" spans="3:49" x14ac:dyDescent="0.4">
      <c r="D1216" s="115"/>
      <c r="E1216" s="115"/>
      <c r="F1216" s="115"/>
      <c r="G1216" s="115"/>
      <c r="H1216" s="115"/>
      <c r="I1216" s="115"/>
      <c r="J1216" s="115"/>
      <c r="K1216" s="115"/>
      <c r="L1216" s="115"/>
      <c r="M1216" s="115"/>
      <c r="N1216" s="115"/>
      <c r="O1216" s="115"/>
      <c r="P1216" s="115"/>
      <c r="Q1216" s="115"/>
      <c r="R1216" s="115"/>
      <c r="S1216" s="115"/>
      <c r="T1216" s="115"/>
      <c r="U1216" s="115"/>
      <c r="V1216" s="115"/>
      <c r="W1216" s="115"/>
      <c r="X1216" s="115"/>
      <c r="Y1216" s="115"/>
      <c r="Z1216" s="115"/>
      <c r="AA1216" s="115"/>
      <c r="AB1216" s="115"/>
      <c r="AC1216" s="115"/>
      <c r="AD1216" s="115"/>
      <c r="AE1216" s="122"/>
      <c r="AF1216" s="122"/>
      <c r="AG1216" s="122"/>
      <c r="AH1216" s="115"/>
      <c r="AI1216" s="115"/>
      <c r="AJ1216" s="115"/>
      <c r="AK1216" s="115"/>
      <c r="AL1216" s="115"/>
      <c r="AM1216" s="115"/>
      <c r="AN1216" s="115"/>
      <c r="AO1216" s="115"/>
      <c r="AP1216" s="115"/>
      <c r="AQ1216" s="115"/>
      <c r="AR1216" s="115"/>
      <c r="AS1216" s="115"/>
      <c r="AT1216" s="115"/>
      <c r="AU1216" s="115"/>
      <c r="AV1216" s="26"/>
      <c r="AW1216" s="15"/>
    </row>
    <row r="1217" spans="2:49" x14ac:dyDescent="0.4">
      <c r="D1217" s="115"/>
      <c r="E1217" s="115"/>
      <c r="F1217" s="115"/>
      <c r="G1217" s="115"/>
      <c r="H1217" s="115"/>
      <c r="I1217" s="115"/>
      <c r="J1217" s="115"/>
      <c r="K1217" s="115"/>
      <c r="L1217" s="115"/>
      <c r="M1217" s="115"/>
      <c r="N1217" s="115"/>
      <c r="O1217" s="115"/>
      <c r="P1217" s="115"/>
      <c r="Q1217" s="115"/>
      <c r="R1217" s="115"/>
      <c r="S1217" s="115"/>
      <c r="T1217" s="115"/>
      <c r="U1217" s="115"/>
      <c r="V1217" s="115"/>
      <c r="W1217" s="115"/>
      <c r="X1217" s="115"/>
      <c r="Y1217" s="115"/>
      <c r="Z1217" s="115"/>
      <c r="AA1217" s="115"/>
      <c r="AB1217" s="115"/>
      <c r="AC1217" s="115"/>
      <c r="AD1217" s="115"/>
      <c r="AE1217" s="122"/>
      <c r="AF1217" s="122"/>
      <c r="AG1217" s="122"/>
      <c r="AH1217" s="115"/>
      <c r="AI1217" s="115"/>
      <c r="AJ1217" s="115"/>
      <c r="AK1217" s="115"/>
      <c r="AL1217" s="115"/>
      <c r="AM1217" s="115"/>
      <c r="AN1217" s="115"/>
      <c r="AO1217" s="115"/>
      <c r="AP1217" s="115"/>
      <c r="AQ1217" s="115"/>
      <c r="AR1217" s="115"/>
      <c r="AS1217" s="115"/>
      <c r="AT1217" s="115"/>
      <c r="AU1217" s="115"/>
      <c r="AV1217" s="26"/>
      <c r="AW1217" s="15"/>
    </row>
    <row r="1218" spans="2:49" x14ac:dyDescent="0.4">
      <c r="D1218" s="115"/>
      <c r="E1218" s="115"/>
      <c r="F1218" s="115"/>
      <c r="G1218" s="115"/>
      <c r="H1218" s="115"/>
      <c r="I1218" s="115"/>
      <c r="J1218" s="115"/>
      <c r="K1218" s="115"/>
      <c r="L1218" s="115"/>
      <c r="M1218" s="115"/>
      <c r="N1218" s="115"/>
      <c r="O1218" s="115"/>
      <c r="P1218" s="115"/>
      <c r="Q1218" s="115"/>
      <c r="R1218" s="115"/>
      <c r="S1218" s="115"/>
      <c r="T1218" s="115"/>
      <c r="U1218" s="115"/>
      <c r="V1218" s="115"/>
      <c r="W1218" s="115"/>
      <c r="X1218" s="115"/>
      <c r="Y1218" s="115"/>
      <c r="Z1218" s="115"/>
      <c r="AA1218" s="115"/>
      <c r="AB1218" s="115"/>
      <c r="AC1218" s="115"/>
      <c r="AD1218" s="115"/>
      <c r="AE1218" s="122"/>
      <c r="AF1218" s="122"/>
      <c r="AG1218" s="122"/>
      <c r="AH1218" s="115"/>
      <c r="AI1218" s="115"/>
      <c r="AJ1218" s="115"/>
      <c r="AK1218" s="115"/>
      <c r="AL1218" s="115"/>
      <c r="AM1218" s="115"/>
      <c r="AN1218" s="115"/>
      <c r="AO1218" s="115"/>
      <c r="AP1218" s="115"/>
      <c r="AQ1218" s="115"/>
      <c r="AR1218" s="115"/>
      <c r="AS1218" s="115"/>
      <c r="AT1218" s="115"/>
      <c r="AU1218" s="115"/>
      <c r="AV1218" s="26"/>
      <c r="AW1218" s="15"/>
    </row>
    <row r="1219" spans="2:49" x14ac:dyDescent="0.4">
      <c r="C1219" s="115"/>
      <c r="D1219" s="115"/>
      <c r="E1219" s="115"/>
      <c r="F1219" s="115"/>
      <c r="G1219" s="115"/>
      <c r="H1219" s="115"/>
      <c r="I1219" s="115"/>
      <c r="J1219" s="115"/>
      <c r="K1219" s="115"/>
      <c r="L1219" s="115"/>
      <c r="M1219" s="115"/>
      <c r="N1219" s="115"/>
      <c r="O1219" s="115"/>
      <c r="P1219" s="115"/>
      <c r="Q1219" s="115"/>
      <c r="R1219" s="115"/>
      <c r="S1219" s="115"/>
      <c r="T1219" s="115"/>
      <c r="U1219" s="115"/>
      <c r="V1219" s="115"/>
      <c r="W1219" s="115"/>
      <c r="X1219" s="115"/>
      <c r="Y1219" s="115"/>
      <c r="Z1219" s="115"/>
      <c r="AA1219" s="115"/>
      <c r="AB1219" s="115"/>
      <c r="AC1219" s="115"/>
      <c r="AD1219" s="115"/>
      <c r="AE1219" s="122"/>
      <c r="AF1219" s="122"/>
      <c r="AG1219" s="122"/>
      <c r="AH1219" s="115"/>
      <c r="AI1219" s="115"/>
      <c r="AJ1219" s="115"/>
      <c r="AK1219" s="115"/>
      <c r="AL1219" s="115"/>
      <c r="AM1219" s="115"/>
      <c r="AN1219" s="115"/>
      <c r="AO1219" s="115"/>
      <c r="AP1219" s="115"/>
      <c r="AQ1219" s="115"/>
      <c r="AR1219" s="115"/>
      <c r="AS1219" s="115"/>
      <c r="AT1219" s="115"/>
      <c r="AU1219" s="115"/>
      <c r="AV1219" s="26"/>
      <c r="AW1219" s="15"/>
    </row>
    <row r="1220" spans="2:49" ht="19.5" customHeight="1" x14ac:dyDescent="0.4">
      <c r="B1220" s="115"/>
      <c r="C1220" s="115"/>
      <c r="D1220" s="115"/>
      <c r="E1220" s="115"/>
      <c r="F1220" s="115"/>
      <c r="G1220" s="115"/>
      <c r="H1220" s="115"/>
      <c r="I1220" s="115"/>
      <c r="J1220" s="115"/>
      <c r="K1220" s="115"/>
      <c r="L1220" s="115"/>
      <c r="M1220" s="115"/>
      <c r="N1220" s="115"/>
      <c r="O1220" s="115"/>
      <c r="P1220" s="115"/>
      <c r="Q1220" s="115"/>
      <c r="R1220" s="115"/>
      <c r="S1220" s="115"/>
      <c r="T1220" s="115"/>
      <c r="U1220" s="115"/>
      <c r="V1220" s="115"/>
      <c r="W1220" s="115"/>
      <c r="X1220" s="115"/>
      <c r="Y1220" s="115"/>
      <c r="Z1220" s="115"/>
      <c r="AA1220" s="115"/>
      <c r="AB1220" s="115"/>
      <c r="AC1220" s="115"/>
      <c r="AD1220" s="115"/>
      <c r="AE1220" s="122"/>
      <c r="AF1220" s="122"/>
      <c r="AG1220" s="122"/>
      <c r="AH1220" s="115"/>
      <c r="AI1220" s="115"/>
      <c r="AJ1220" s="115"/>
      <c r="AK1220" s="115"/>
      <c r="AL1220" s="115"/>
      <c r="AM1220" s="115"/>
      <c r="AN1220" s="115"/>
      <c r="AO1220" s="115"/>
      <c r="AP1220" s="115"/>
      <c r="AQ1220" s="115"/>
      <c r="AR1220" s="115"/>
      <c r="AS1220" s="115"/>
      <c r="AT1220" s="115"/>
      <c r="AU1220" s="115"/>
      <c r="AV1220" s="26"/>
      <c r="AW1220" s="15"/>
    </row>
    <row r="1221" spans="2:49" ht="19.5" customHeight="1" x14ac:dyDescent="0.4">
      <c r="B1221" s="115"/>
      <c r="C1221" s="115"/>
      <c r="D1221" s="115"/>
      <c r="E1221" s="115"/>
      <c r="F1221" s="115"/>
      <c r="G1221" s="115"/>
      <c r="H1221" s="115"/>
      <c r="I1221" s="115"/>
      <c r="J1221" s="115"/>
      <c r="K1221" s="115"/>
      <c r="L1221" s="115"/>
      <c r="M1221" s="115"/>
      <c r="N1221" s="115"/>
      <c r="O1221" s="115"/>
      <c r="P1221" s="115"/>
      <c r="Q1221" s="115"/>
      <c r="R1221" s="115"/>
      <c r="S1221" s="115"/>
      <c r="T1221" s="115"/>
      <c r="U1221" s="115"/>
      <c r="V1221" s="115"/>
      <c r="W1221" s="115"/>
      <c r="X1221" s="115"/>
      <c r="Y1221" s="115"/>
      <c r="Z1221" s="115"/>
      <c r="AA1221" s="115"/>
      <c r="AB1221" s="115"/>
      <c r="AC1221" s="115"/>
      <c r="AD1221" s="115"/>
      <c r="AE1221" s="122"/>
      <c r="AF1221" s="122"/>
      <c r="AG1221" s="122"/>
      <c r="AH1221" s="115"/>
      <c r="AI1221" s="115"/>
      <c r="AJ1221" s="115"/>
      <c r="AK1221" s="115"/>
      <c r="AL1221" s="115"/>
      <c r="AM1221" s="115"/>
      <c r="AN1221" s="115"/>
      <c r="AO1221" s="115"/>
      <c r="AP1221" s="115"/>
      <c r="AQ1221" s="115"/>
      <c r="AR1221" s="115"/>
      <c r="AS1221" s="115"/>
      <c r="AT1221" s="115"/>
      <c r="AU1221" s="115"/>
      <c r="AV1221" s="26"/>
      <c r="AW1221" s="15"/>
    </row>
    <row r="1222" spans="2:49" x14ac:dyDescent="0.4">
      <c r="AV1222" s="26"/>
      <c r="AW1222" s="15"/>
    </row>
    <row r="1223" spans="2:49" x14ac:dyDescent="0.4">
      <c r="D1223" s="115"/>
      <c r="E1223" s="115"/>
      <c r="F1223" s="115"/>
      <c r="G1223" s="115"/>
      <c r="H1223" s="115"/>
      <c r="I1223" s="115"/>
      <c r="J1223" s="115"/>
      <c r="K1223" s="115"/>
      <c r="L1223" s="115"/>
      <c r="M1223" s="115"/>
      <c r="N1223" s="115"/>
      <c r="O1223" s="115"/>
      <c r="P1223" s="115"/>
      <c r="Q1223" s="115"/>
      <c r="R1223" s="115"/>
      <c r="S1223" s="115"/>
      <c r="T1223" s="115"/>
      <c r="U1223" s="115"/>
      <c r="V1223" s="115"/>
      <c r="W1223" s="115"/>
      <c r="X1223" s="115"/>
      <c r="Y1223" s="115"/>
      <c r="Z1223" s="115"/>
      <c r="AA1223" s="115"/>
      <c r="AB1223" s="115"/>
      <c r="AC1223" s="115"/>
      <c r="AD1223" s="115"/>
      <c r="AE1223" s="122"/>
      <c r="AF1223" s="122"/>
      <c r="AG1223" s="122"/>
      <c r="AH1223" s="115"/>
      <c r="AI1223" s="115"/>
      <c r="AJ1223" s="115"/>
      <c r="AK1223" s="115"/>
      <c r="AL1223" s="115"/>
      <c r="AM1223" s="115"/>
      <c r="AN1223" s="115"/>
      <c r="AO1223" s="115"/>
      <c r="AP1223" s="115"/>
      <c r="AQ1223" s="115"/>
      <c r="AR1223" s="115"/>
      <c r="AS1223" s="115"/>
      <c r="AT1223" s="115"/>
      <c r="AU1223" s="115"/>
      <c r="AV1223" s="26"/>
      <c r="AW1223" s="15"/>
    </row>
    <row r="1224" spans="2:49" x14ac:dyDescent="0.4">
      <c r="C1224" s="115"/>
      <c r="D1224" s="115"/>
      <c r="E1224" s="115"/>
      <c r="F1224" s="115"/>
      <c r="G1224" s="115"/>
      <c r="H1224" s="115"/>
      <c r="I1224" s="115"/>
      <c r="J1224" s="115"/>
      <c r="K1224" s="115"/>
      <c r="L1224" s="115"/>
      <c r="M1224" s="115"/>
      <c r="N1224" s="115"/>
      <c r="O1224" s="115"/>
      <c r="P1224" s="115"/>
      <c r="Q1224" s="115"/>
      <c r="R1224" s="115"/>
      <c r="S1224" s="115"/>
      <c r="T1224" s="115"/>
      <c r="U1224" s="115"/>
      <c r="V1224" s="115"/>
      <c r="W1224" s="115"/>
      <c r="X1224" s="115"/>
      <c r="Y1224" s="115"/>
      <c r="Z1224" s="115"/>
      <c r="AA1224" s="115"/>
      <c r="AB1224" s="115"/>
      <c r="AC1224" s="115"/>
      <c r="AD1224" s="115"/>
      <c r="AE1224" s="122"/>
      <c r="AF1224" s="122"/>
      <c r="AG1224" s="122"/>
      <c r="AH1224" s="115"/>
      <c r="AI1224" s="115"/>
      <c r="AJ1224" s="115"/>
      <c r="AK1224" s="115"/>
      <c r="AL1224" s="115"/>
      <c r="AM1224" s="115"/>
      <c r="AN1224" s="115"/>
      <c r="AO1224" s="115"/>
      <c r="AP1224" s="115"/>
      <c r="AQ1224" s="115"/>
      <c r="AR1224" s="115"/>
      <c r="AS1224" s="115"/>
      <c r="AT1224" s="115"/>
      <c r="AU1224" s="115"/>
      <c r="AV1224" s="26"/>
      <c r="AW1224" s="15"/>
    </row>
    <row r="1225" spans="2:49" x14ac:dyDescent="0.4">
      <c r="C1225" s="115"/>
      <c r="D1225" s="115"/>
      <c r="E1225" s="115"/>
      <c r="F1225" s="115"/>
      <c r="G1225" s="115"/>
      <c r="H1225" s="115"/>
      <c r="I1225" s="115"/>
      <c r="J1225" s="115"/>
      <c r="K1225" s="115"/>
      <c r="L1225" s="115"/>
      <c r="M1225" s="115"/>
      <c r="N1225" s="115"/>
      <c r="O1225" s="115"/>
      <c r="P1225" s="115"/>
      <c r="Q1225" s="115"/>
      <c r="R1225" s="115"/>
      <c r="S1225" s="115"/>
      <c r="T1225" s="115"/>
      <c r="U1225" s="115"/>
      <c r="V1225" s="115"/>
      <c r="W1225" s="115"/>
      <c r="X1225" s="115"/>
      <c r="Y1225" s="115"/>
      <c r="Z1225" s="115"/>
      <c r="AA1225" s="115"/>
      <c r="AB1225" s="115"/>
      <c r="AC1225" s="115"/>
      <c r="AD1225" s="115"/>
      <c r="AE1225" s="122"/>
      <c r="AF1225" s="122"/>
      <c r="AG1225" s="122"/>
      <c r="AH1225" s="115"/>
      <c r="AI1225" s="115"/>
      <c r="AJ1225" s="115"/>
      <c r="AK1225" s="115"/>
      <c r="AL1225" s="115"/>
      <c r="AM1225" s="115"/>
      <c r="AN1225" s="115"/>
      <c r="AO1225" s="115"/>
      <c r="AP1225" s="115"/>
      <c r="AQ1225" s="115"/>
      <c r="AR1225" s="115"/>
      <c r="AS1225" s="115"/>
      <c r="AT1225" s="115"/>
      <c r="AU1225" s="115"/>
      <c r="AV1225" s="17"/>
      <c r="AW1225" s="15"/>
    </row>
    <row r="1226" spans="2:49" x14ac:dyDescent="0.4">
      <c r="AV1226" s="26"/>
      <c r="AW1226" s="15"/>
    </row>
    <row r="1227" spans="2:49" x14ac:dyDescent="0.4">
      <c r="Y1227" s="115"/>
      <c r="Z1227" s="115"/>
      <c r="AA1227" s="115"/>
      <c r="AB1227" s="115"/>
      <c r="AC1227" s="115"/>
      <c r="AD1227" s="115"/>
      <c r="AE1227" s="122"/>
      <c r="AF1227" s="122"/>
      <c r="AG1227" s="122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7"/>
      <c r="AW1227" s="15"/>
    </row>
    <row r="1228" spans="2:49" x14ac:dyDescent="0.4">
      <c r="C1228" s="115"/>
      <c r="D1228" s="115"/>
      <c r="E1228" s="115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22"/>
      <c r="AF1228" s="122"/>
      <c r="AG1228" s="122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15"/>
      <c r="AT1228" s="115"/>
      <c r="AU1228" s="115"/>
      <c r="AV1228" s="26"/>
      <c r="AW1228" s="15"/>
    </row>
    <row r="1229" spans="2:49" x14ac:dyDescent="0.4">
      <c r="AV1229" s="26"/>
      <c r="AW1229" s="15"/>
    </row>
    <row r="1230" spans="2:49" x14ac:dyDescent="0.4">
      <c r="AV1230" s="26"/>
      <c r="AW1230" s="15"/>
    </row>
    <row r="1231" spans="2:49" x14ac:dyDescent="0.4">
      <c r="X1231" s="115"/>
      <c r="Y1231" s="115"/>
      <c r="Z1231" s="115"/>
      <c r="AA1231" s="115"/>
      <c r="AB1231" s="115"/>
      <c r="AC1231" s="115"/>
      <c r="AD1231" s="115"/>
      <c r="AE1231" s="122"/>
      <c r="AF1231" s="122"/>
      <c r="AG1231" s="122"/>
      <c r="AH1231" s="115"/>
      <c r="AI1231" s="115"/>
      <c r="AJ1231" s="115"/>
      <c r="AK1231" s="115"/>
      <c r="AL1231" s="115"/>
      <c r="AM1231" s="115"/>
      <c r="AN1231" s="115"/>
      <c r="AO1231" s="115"/>
      <c r="AP1231" s="115"/>
      <c r="AQ1231" s="115"/>
      <c r="AR1231" s="115"/>
      <c r="AS1231" s="115"/>
      <c r="AT1231" s="115"/>
      <c r="AU1231" s="115"/>
      <c r="AV1231" s="26"/>
      <c r="AW1231" s="15"/>
    </row>
    <row r="1232" spans="2:49" x14ac:dyDescent="0.4">
      <c r="AV1232" s="26"/>
      <c r="AW1232" s="15"/>
    </row>
    <row r="1233" spans="1:49" x14ac:dyDescent="0.4">
      <c r="Y1233" s="115"/>
      <c r="Z1233" s="115"/>
      <c r="AA1233" s="115"/>
      <c r="AB1233" s="115"/>
      <c r="AC1233" s="115"/>
      <c r="AD1233" s="115"/>
      <c r="AE1233" s="122"/>
      <c r="AF1233" s="122"/>
      <c r="AG1233" s="122"/>
      <c r="AH1233" s="115"/>
      <c r="AI1233" s="115"/>
      <c r="AJ1233" s="115"/>
      <c r="AK1233" s="115"/>
      <c r="AL1233" s="115"/>
      <c r="AM1233" s="115"/>
      <c r="AN1233" s="115"/>
      <c r="AO1233" s="115"/>
      <c r="AP1233" s="115"/>
      <c r="AQ1233" s="115"/>
      <c r="AR1233" s="115"/>
      <c r="AS1233" s="115"/>
      <c r="AT1233" s="115"/>
      <c r="AU1233" s="115"/>
      <c r="AV1233" s="17"/>
      <c r="AW1233" s="15"/>
    </row>
    <row r="1234" spans="1:49" x14ac:dyDescent="0.4">
      <c r="A1234" s="115"/>
      <c r="B1234" s="115"/>
      <c r="C1234" s="115"/>
      <c r="D1234" s="115"/>
      <c r="E1234" s="115"/>
      <c r="F1234" s="115"/>
      <c r="G1234" s="115"/>
      <c r="H1234" s="115"/>
      <c r="I1234" s="115"/>
      <c r="J1234" s="115"/>
      <c r="K1234" s="115"/>
      <c r="L1234" s="115"/>
      <c r="M1234" s="115"/>
      <c r="N1234" s="115"/>
      <c r="O1234" s="115"/>
      <c r="P1234" s="115"/>
      <c r="Q1234" s="115"/>
      <c r="R1234" s="115"/>
      <c r="S1234" s="115"/>
      <c r="T1234" s="115"/>
      <c r="U1234" s="115"/>
      <c r="V1234" s="115"/>
      <c r="W1234" s="115"/>
      <c r="X1234" s="115"/>
      <c r="Y1234" s="115"/>
      <c r="Z1234" s="115"/>
      <c r="AA1234" s="115"/>
      <c r="AB1234" s="115"/>
      <c r="AC1234" s="115"/>
      <c r="AD1234" s="115"/>
      <c r="AE1234" s="122"/>
      <c r="AF1234" s="122"/>
      <c r="AG1234" s="122"/>
      <c r="AH1234" s="115"/>
      <c r="AI1234" s="115"/>
      <c r="AJ1234" s="115"/>
      <c r="AK1234" s="115"/>
      <c r="AL1234" s="115"/>
      <c r="AM1234" s="115"/>
      <c r="AN1234" s="115"/>
      <c r="AO1234" s="115"/>
      <c r="AP1234" s="115"/>
      <c r="AQ1234" s="115"/>
      <c r="AR1234" s="115"/>
      <c r="AS1234" s="115"/>
      <c r="AT1234" s="115"/>
      <c r="AU1234" s="115"/>
      <c r="AV1234" s="26"/>
      <c r="AW1234" s="15"/>
    </row>
    <row r="1235" spans="1:49" x14ac:dyDescent="0.4">
      <c r="A1235" s="115"/>
      <c r="B1235" s="115"/>
      <c r="C1235" s="115"/>
      <c r="D1235" s="115"/>
      <c r="E1235" s="115"/>
      <c r="F1235" s="115"/>
      <c r="G1235" s="115"/>
      <c r="H1235" s="115"/>
      <c r="I1235" s="115"/>
      <c r="J1235" s="115"/>
      <c r="K1235" s="115"/>
      <c r="L1235" s="115"/>
      <c r="M1235" s="115"/>
      <c r="N1235" s="115"/>
      <c r="O1235" s="115"/>
      <c r="P1235" s="115"/>
      <c r="Q1235" s="115"/>
      <c r="R1235" s="115"/>
      <c r="S1235" s="115"/>
      <c r="T1235" s="115"/>
      <c r="U1235" s="115"/>
      <c r="V1235" s="115"/>
      <c r="W1235" s="115"/>
      <c r="X1235" s="115"/>
      <c r="Y1235" s="115"/>
      <c r="Z1235" s="115"/>
      <c r="AA1235" s="115"/>
      <c r="AB1235" s="115"/>
      <c r="AC1235" s="115"/>
      <c r="AD1235" s="115"/>
      <c r="AE1235" s="122"/>
      <c r="AF1235" s="122"/>
      <c r="AG1235" s="122"/>
      <c r="AH1235" s="115"/>
      <c r="AI1235" s="115"/>
      <c r="AJ1235" s="115"/>
      <c r="AK1235" s="115"/>
      <c r="AL1235" s="115"/>
      <c r="AM1235" s="115"/>
      <c r="AN1235" s="115"/>
      <c r="AO1235" s="115"/>
      <c r="AP1235" s="115"/>
      <c r="AQ1235" s="115"/>
      <c r="AR1235" s="115"/>
      <c r="AS1235" s="115"/>
      <c r="AT1235" s="115"/>
      <c r="AU1235" s="115"/>
      <c r="AV1235" s="17"/>
      <c r="AW1235" s="13"/>
    </row>
    <row r="1236" spans="1:49" x14ac:dyDescent="0.4">
      <c r="A1236" s="115"/>
      <c r="B1236" s="115"/>
      <c r="C1236" s="115"/>
      <c r="D1236" s="115"/>
      <c r="E1236" s="115"/>
      <c r="F1236" s="115"/>
      <c r="G1236" s="115"/>
      <c r="H1236" s="115"/>
      <c r="I1236" s="115"/>
      <c r="J1236" s="115"/>
      <c r="K1236" s="115"/>
      <c r="L1236" s="115"/>
      <c r="M1236" s="115"/>
      <c r="N1236" s="115"/>
      <c r="O1236" s="115"/>
      <c r="P1236" s="115"/>
      <c r="Q1236" s="115"/>
      <c r="R1236" s="115"/>
      <c r="S1236" s="115"/>
      <c r="T1236" s="115"/>
      <c r="U1236" s="115"/>
      <c r="V1236" s="115"/>
      <c r="W1236" s="115"/>
      <c r="X1236" s="115"/>
      <c r="Y1236" s="115"/>
      <c r="Z1236" s="115"/>
      <c r="AA1236" s="115"/>
      <c r="AB1236" s="115"/>
      <c r="AC1236" s="115"/>
      <c r="AD1236" s="115"/>
      <c r="AE1236" s="122"/>
      <c r="AF1236" s="122"/>
      <c r="AG1236" s="122"/>
      <c r="AH1236" s="115"/>
      <c r="AI1236" s="115"/>
      <c r="AJ1236" s="115"/>
      <c r="AK1236" s="115"/>
      <c r="AL1236" s="115"/>
      <c r="AM1236" s="115"/>
      <c r="AN1236" s="115"/>
      <c r="AO1236" s="115"/>
      <c r="AP1236" s="115"/>
      <c r="AQ1236" s="115"/>
      <c r="AR1236" s="115"/>
      <c r="AS1236" s="115"/>
      <c r="AT1236" s="115"/>
      <c r="AU1236" s="115"/>
      <c r="AV1236" s="17"/>
      <c r="AW1236" s="13"/>
    </row>
    <row r="1237" spans="1:49" x14ac:dyDescent="0.4">
      <c r="AV1237" s="26"/>
      <c r="AW1237" s="13"/>
    </row>
    <row r="1238" spans="1:49" x14ac:dyDescent="0.4">
      <c r="C1238" s="115"/>
      <c r="D1238" s="115"/>
      <c r="E1238" s="115"/>
      <c r="F1238" s="115"/>
      <c r="G1238" s="115"/>
      <c r="H1238" s="115"/>
      <c r="I1238" s="115"/>
      <c r="J1238" s="115"/>
      <c r="K1238" s="115"/>
      <c r="L1238" s="115"/>
      <c r="M1238" s="115"/>
      <c r="N1238" s="115"/>
      <c r="O1238" s="115"/>
      <c r="P1238" s="115"/>
      <c r="Q1238" s="115"/>
      <c r="R1238" s="115"/>
      <c r="S1238" s="115"/>
      <c r="T1238" s="115"/>
      <c r="U1238" s="115"/>
      <c r="V1238" s="115"/>
      <c r="W1238" s="115"/>
      <c r="X1238" s="115"/>
      <c r="Y1238" s="115"/>
      <c r="Z1238" s="115"/>
      <c r="AA1238" s="115"/>
      <c r="AB1238" s="115"/>
      <c r="AC1238" s="115"/>
      <c r="AD1238" s="115"/>
      <c r="AE1238" s="122"/>
      <c r="AF1238" s="122"/>
      <c r="AG1238" s="122"/>
      <c r="AH1238" s="115"/>
      <c r="AI1238" s="115"/>
      <c r="AJ1238" s="115"/>
      <c r="AK1238" s="115"/>
      <c r="AL1238" s="115"/>
      <c r="AM1238" s="115"/>
      <c r="AN1238" s="115"/>
      <c r="AO1238" s="115"/>
      <c r="AP1238" s="115"/>
      <c r="AQ1238" s="115"/>
      <c r="AR1238" s="115"/>
      <c r="AS1238" s="115"/>
      <c r="AT1238" s="115"/>
      <c r="AU1238" s="115"/>
      <c r="AV1238" s="26"/>
      <c r="AW1238" s="15"/>
    </row>
    <row r="1239" spans="1:49" x14ac:dyDescent="0.4">
      <c r="C1239" s="115"/>
      <c r="D1239" s="115"/>
      <c r="E1239" s="115"/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22"/>
      <c r="AF1239" s="122"/>
      <c r="AG1239" s="122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26"/>
      <c r="AW1239" s="15"/>
    </row>
    <row r="1240" spans="1:49" x14ac:dyDescent="0.4">
      <c r="AV1240" s="26"/>
      <c r="AW1240" s="15"/>
    </row>
    <row r="1241" spans="1:49" x14ac:dyDescent="0.4">
      <c r="D1241" s="115"/>
      <c r="E1241" s="115"/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22"/>
      <c r="AF1241" s="122"/>
      <c r="AG1241" s="122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26"/>
      <c r="AW1241" s="15"/>
    </row>
    <row r="1242" spans="1:49" x14ac:dyDescent="0.4">
      <c r="C1242" s="115"/>
      <c r="D1242" s="115"/>
      <c r="E1242" s="115"/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22"/>
      <c r="AF1242" s="122"/>
      <c r="AG1242" s="122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26"/>
      <c r="AW1242" s="15"/>
    </row>
    <row r="1243" spans="1:49" x14ac:dyDescent="0.4">
      <c r="C1243" s="115"/>
      <c r="D1243" s="115"/>
      <c r="E1243" s="115"/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22"/>
      <c r="AF1243" s="122"/>
      <c r="AG1243" s="122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26"/>
      <c r="AW1243" s="15"/>
    </row>
    <row r="1244" spans="1:49" x14ac:dyDescent="0.4">
      <c r="C1244" s="115"/>
      <c r="D1244" s="115"/>
      <c r="E1244" s="115"/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22"/>
      <c r="AF1244" s="122"/>
      <c r="AG1244" s="122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26"/>
      <c r="AW1244" s="15"/>
    </row>
    <row r="1245" spans="1:49" x14ac:dyDescent="0.4">
      <c r="AV1245" s="26"/>
      <c r="AW1245" s="15"/>
    </row>
    <row r="1246" spans="1:49" x14ac:dyDescent="0.4">
      <c r="D1246" s="115"/>
      <c r="E1246" s="115"/>
      <c r="F1246" s="115"/>
      <c r="G1246" s="115"/>
      <c r="H1246" s="115"/>
      <c r="I1246" s="115"/>
      <c r="J1246" s="115"/>
      <c r="K1246" s="115"/>
      <c r="L1246" s="115"/>
      <c r="M1246" s="115"/>
      <c r="N1246" s="115"/>
      <c r="O1246" s="115"/>
      <c r="P1246" s="115"/>
      <c r="Q1246" s="115"/>
      <c r="R1246" s="115"/>
      <c r="S1246" s="115"/>
      <c r="T1246" s="115"/>
      <c r="U1246" s="115"/>
      <c r="V1246" s="115"/>
      <c r="W1246" s="115"/>
      <c r="X1246" s="115"/>
      <c r="Y1246" s="115"/>
      <c r="Z1246" s="115"/>
      <c r="AA1246" s="115"/>
      <c r="AB1246" s="115"/>
      <c r="AC1246" s="115"/>
      <c r="AD1246" s="115"/>
      <c r="AE1246" s="122"/>
      <c r="AF1246" s="122"/>
      <c r="AG1246" s="122"/>
      <c r="AH1246" s="115"/>
      <c r="AI1246" s="115"/>
      <c r="AJ1246" s="115"/>
      <c r="AK1246" s="115"/>
      <c r="AL1246" s="115"/>
      <c r="AM1246" s="115"/>
      <c r="AN1246" s="115"/>
      <c r="AO1246" s="115"/>
      <c r="AP1246" s="115"/>
      <c r="AQ1246" s="115"/>
      <c r="AR1246" s="115"/>
      <c r="AS1246" s="115"/>
      <c r="AT1246" s="115"/>
      <c r="AU1246" s="115"/>
      <c r="AV1246" s="26"/>
      <c r="AW1246" s="15"/>
    </row>
    <row r="1247" spans="1:49" x14ac:dyDescent="0.4">
      <c r="AV1247" s="26"/>
      <c r="AW1247" s="15"/>
    </row>
    <row r="1248" spans="1:49" x14ac:dyDescent="0.4">
      <c r="D1248" s="115"/>
      <c r="E1248" s="115"/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22"/>
      <c r="AF1248" s="122"/>
      <c r="AG1248" s="122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26"/>
      <c r="AW1248" s="15"/>
    </row>
    <row r="1249" spans="1:49" x14ac:dyDescent="0.4">
      <c r="D1249" s="115"/>
      <c r="E1249" s="115"/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22"/>
      <c r="AF1249" s="122"/>
      <c r="AG1249" s="122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26"/>
      <c r="AW1249" s="15"/>
    </row>
    <row r="1250" spans="1:49" x14ac:dyDescent="0.4">
      <c r="D1250" s="115"/>
      <c r="E1250" s="115"/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22"/>
      <c r="AF1250" s="122"/>
      <c r="AG1250" s="122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7"/>
      <c r="AW1250" s="15"/>
    </row>
    <row r="1251" spans="1:49" x14ac:dyDescent="0.4">
      <c r="AV1251" s="26"/>
      <c r="AW1251" s="15"/>
    </row>
    <row r="1252" spans="1:49" x14ac:dyDescent="0.4">
      <c r="AV1252" s="26"/>
      <c r="AW1252" s="15"/>
    </row>
    <row r="1253" spans="1:49" x14ac:dyDescent="0.4">
      <c r="A1253" s="115"/>
      <c r="B1253" s="115"/>
      <c r="C1253" s="115"/>
      <c r="D1253" s="115"/>
      <c r="E1253" s="115"/>
      <c r="F1253" s="115"/>
      <c r="G1253" s="115"/>
      <c r="H1253" s="115"/>
      <c r="I1253" s="115"/>
      <c r="J1253" s="115"/>
      <c r="K1253" s="115"/>
      <c r="L1253" s="115"/>
      <c r="M1253" s="115"/>
      <c r="N1253" s="115"/>
      <c r="O1253" s="115"/>
      <c r="P1253" s="115"/>
      <c r="Q1253" s="115"/>
      <c r="R1253" s="115"/>
      <c r="S1253" s="115"/>
      <c r="T1253" s="115"/>
      <c r="U1253" s="115"/>
      <c r="V1253" s="115"/>
      <c r="W1253" s="115"/>
      <c r="X1253" s="115"/>
      <c r="Y1253" s="115"/>
      <c r="Z1253" s="115"/>
      <c r="AA1253" s="115"/>
      <c r="AB1253" s="115"/>
      <c r="AC1253" s="115"/>
      <c r="AD1253" s="115"/>
      <c r="AE1253" s="122"/>
      <c r="AF1253" s="122"/>
      <c r="AG1253" s="122"/>
      <c r="AH1253" s="115"/>
      <c r="AI1253" s="115"/>
      <c r="AJ1253" s="115"/>
      <c r="AK1253" s="115"/>
      <c r="AL1253" s="115"/>
      <c r="AM1253" s="115"/>
      <c r="AN1253" s="115"/>
      <c r="AO1253" s="115"/>
      <c r="AP1253" s="115"/>
      <c r="AQ1253" s="115"/>
      <c r="AR1253" s="115"/>
      <c r="AS1253" s="115"/>
      <c r="AT1253" s="115"/>
      <c r="AU1253" s="115"/>
      <c r="AV1253" s="26"/>
      <c r="AW1253" s="15"/>
    </row>
    <row r="1254" spans="1:49" x14ac:dyDescent="0.4">
      <c r="A1254" s="115"/>
      <c r="B1254" s="115"/>
      <c r="C1254" s="115"/>
      <c r="D1254" s="115"/>
      <c r="E1254" s="115"/>
      <c r="F1254" s="115"/>
      <c r="G1254" s="115"/>
      <c r="H1254" s="115"/>
      <c r="I1254" s="115"/>
      <c r="J1254" s="115"/>
      <c r="K1254" s="115"/>
      <c r="L1254" s="115"/>
      <c r="M1254" s="115"/>
      <c r="N1254" s="115"/>
      <c r="O1254" s="115"/>
      <c r="P1254" s="115"/>
      <c r="Q1254" s="115"/>
      <c r="R1254" s="115"/>
      <c r="S1254" s="115"/>
      <c r="T1254" s="115"/>
      <c r="U1254" s="115"/>
      <c r="V1254" s="115"/>
      <c r="W1254" s="115"/>
      <c r="X1254" s="115"/>
      <c r="Y1254" s="115"/>
      <c r="Z1254" s="115"/>
      <c r="AA1254" s="115"/>
      <c r="AB1254" s="115"/>
      <c r="AC1254" s="115"/>
      <c r="AD1254" s="115"/>
      <c r="AE1254" s="122"/>
      <c r="AF1254" s="122"/>
      <c r="AG1254" s="122"/>
      <c r="AH1254" s="115"/>
      <c r="AI1254" s="115"/>
      <c r="AJ1254" s="115"/>
      <c r="AK1254" s="115"/>
      <c r="AL1254" s="115"/>
      <c r="AM1254" s="115"/>
      <c r="AN1254" s="115"/>
      <c r="AO1254" s="115"/>
      <c r="AP1254" s="115"/>
      <c r="AQ1254" s="115"/>
      <c r="AR1254" s="115"/>
      <c r="AS1254" s="115"/>
      <c r="AT1254" s="115"/>
      <c r="AU1254" s="115"/>
      <c r="AV1254" s="17"/>
      <c r="AW1254" s="15"/>
    </row>
    <row r="1255" spans="1:49" x14ac:dyDescent="0.4">
      <c r="AV1255" s="26"/>
      <c r="AW1255" s="15"/>
    </row>
    <row r="1256" spans="1:49" ht="17.25" customHeight="1" x14ac:dyDescent="0.4">
      <c r="B1256" s="115"/>
      <c r="C1256" s="115"/>
      <c r="D1256" s="115"/>
      <c r="E1256" s="115"/>
      <c r="F1256" s="115"/>
      <c r="G1256" s="115"/>
      <c r="H1256" s="115"/>
      <c r="I1256" s="115"/>
      <c r="J1256" s="115"/>
      <c r="K1256" s="115"/>
      <c r="L1256" s="115"/>
      <c r="M1256" s="115"/>
      <c r="N1256" s="115"/>
      <c r="O1256" s="115"/>
      <c r="P1256" s="115"/>
      <c r="Q1256" s="115"/>
      <c r="R1256" s="115"/>
      <c r="S1256" s="115"/>
      <c r="T1256" s="115"/>
      <c r="U1256" s="115"/>
      <c r="V1256" s="115"/>
      <c r="W1256" s="115"/>
      <c r="X1256" s="115"/>
      <c r="Y1256" s="115"/>
      <c r="Z1256" s="115"/>
      <c r="AA1256" s="115"/>
      <c r="AB1256" s="115"/>
      <c r="AC1256" s="115"/>
      <c r="AD1256" s="115"/>
      <c r="AE1256" s="122"/>
      <c r="AF1256" s="122"/>
      <c r="AG1256" s="122"/>
      <c r="AH1256" s="115"/>
      <c r="AI1256" s="115"/>
      <c r="AJ1256" s="115"/>
      <c r="AK1256" s="115"/>
      <c r="AL1256" s="115"/>
      <c r="AM1256" s="115"/>
      <c r="AN1256" s="115"/>
      <c r="AO1256" s="115"/>
      <c r="AP1256" s="115"/>
      <c r="AQ1256" s="115"/>
      <c r="AR1256" s="115"/>
      <c r="AS1256" s="115"/>
      <c r="AT1256" s="115"/>
      <c r="AU1256" s="115"/>
      <c r="AV1256" s="26"/>
      <c r="AW1256" s="15"/>
    </row>
    <row r="1257" spans="1:49" x14ac:dyDescent="0.4">
      <c r="AV1257" s="26"/>
      <c r="AW1257" s="15"/>
    </row>
    <row r="1258" spans="1:49" x14ac:dyDescent="0.4">
      <c r="X1258" s="115"/>
      <c r="Y1258" s="115"/>
      <c r="Z1258" s="115"/>
      <c r="AA1258" s="115"/>
      <c r="AB1258" s="115"/>
      <c r="AC1258" s="115"/>
      <c r="AD1258" s="115"/>
      <c r="AE1258" s="122"/>
      <c r="AF1258" s="122"/>
      <c r="AG1258" s="122"/>
      <c r="AH1258" s="115"/>
      <c r="AI1258" s="115"/>
      <c r="AJ1258" s="115"/>
      <c r="AK1258" s="115"/>
      <c r="AL1258" s="115"/>
      <c r="AM1258" s="115"/>
      <c r="AN1258" s="115"/>
      <c r="AO1258" s="115"/>
      <c r="AP1258" s="115"/>
      <c r="AQ1258" s="115"/>
      <c r="AR1258" s="115"/>
      <c r="AS1258" s="115"/>
      <c r="AT1258" s="115"/>
      <c r="AU1258" s="115"/>
      <c r="AV1258" s="17"/>
      <c r="AW1258" s="15"/>
    </row>
    <row r="1259" spans="1:49" ht="16.5" customHeight="1" x14ac:dyDescent="0.4">
      <c r="A1259" s="115"/>
      <c r="B1259" s="115"/>
      <c r="C1259" s="115"/>
      <c r="D1259" s="115"/>
      <c r="E1259" s="115"/>
      <c r="F1259" s="115"/>
      <c r="G1259" s="115"/>
      <c r="H1259" s="115"/>
      <c r="I1259" s="115"/>
      <c r="J1259" s="115"/>
      <c r="K1259" s="115"/>
      <c r="L1259" s="115"/>
      <c r="M1259" s="115"/>
      <c r="N1259" s="115"/>
      <c r="O1259" s="115"/>
      <c r="P1259" s="115"/>
      <c r="Q1259" s="115"/>
      <c r="R1259" s="115"/>
      <c r="S1259" s="115"/>
      <c r="T1259" s="115"/>
      <c r="U1259" s="115"/>
      <c r="V1259" s="115"/>
      <c r="W1259" s="115"/>
      <c r="X1259" s="115"/>
      <c r="Y1259" s="115"/>
      <c r="Z1259" s="115"/>
      <c r="AA1259" s="115"/>
      <c r="AB1259" s="115"/>
      <c r="AC1259" s="115"/>
      <c r="AD1259" s="115"/>
      <c r="AE1259" s="122"/>
      <c r="AF1259" s="122"/>
      <c r="AG1259" s="122"/>
      <c r="AH1259" s="115"/>
      <c r="AI1259" s="115"/>
      <c r="AJ1259" s="115"/>
      <c r="AK1259" s="115"/>
      <c r="AL1259" s="115"/>
      <c r="AM1259" s="115"/>
      <c r="AN1259" s="115"/>
      <c r="AO1259" s="115"/>
      <c r="AP1259" s="115"/>
      <c r="AQ1259" s="115"/>
      <c r="AR1259" s="115"/>
      <c r="AS1259" s="115"/>
      <c r="AT1259" s="115"/>
      <c r="AU1259" s="115"/>
      <c r="AV1259" s="26"/>
      <c r="AW1259" s="15"/>
    </row>
    <row r="1260" spans="1:49" ht="22.5" customHeight="1" x14ac:dyDescent="0.4">
      <c r="A1260" s="115"/>
      <c r="B1260" s="115"/>
      <c r="C1260" s="115"/>
      <c r="D1260" s="115"/>
      <c r="E1260" s="115"/>
      <c r="F1260" s="115"/>
      <c r="G1260" s="115"/>
      <c r="H1260" s="115"/>
      <c r="I1260" s="115"/>
      <c r="J1260" s="115"/>
      <c r="K1260" s="115"/>
      <c r="L1260" s="115"/>
      <c r="M1260" s="115"/>
      <c r="N1260" s="115"/>
      <c r="O1260" s="115"/>
      <c r="P1260" s="115"/>
      <c r="Q1260" s="115"/>
      <c r="R1260" s="115"/>
      <c r="S1260" s="115"/>
      <c r="T1260" s="115"/>
      <c r="U1260" s="115"/>
      <c r="V1260" s="115"/>
      <c r="W1260" s="115"/>
      <c r="X1260" s="115"/>
      <c r="Y1260" s="115"/>
      <c r="Z1260" s="115"/>
      <c r="AA1260" s="115"/>
      <c r="AB1260" s="115"/>
      <c r="AC1260" s="115"/>
      <c r="AD1260" s="115"/>
      <c r="AE1260" s="122"/>
      <c r="AF1260" s="122"/>
      <c r="AG1260" s="122"/>
      <c r="AH1260" s="115"/>
      <c r="AI1260" s="115"/>
      <c r="AJ1260" s="115"/>
      <c r="AK1260" s="115"/>
      <c r="AL1260" s="115"/>
      <c r="AM1260" s="115"/>
      <c r="AN1260" s="115"/>
      <c r="AO1260" s="115"/>
      <c r="AP1260" s="115"/>
      <c r="AQ1260" s="115"/>
      <c r="AR1260" s="115"/>
      <c r="AS1260" s="115"/>
      <c r="AT1260" s="115"/>
      <c r="AU1260" s="115"/>
      <c r="AV1260" s="26"/>
      <c r="AW1260" s="15"/>
    </row>
    <row r="1261" spans="1:49" x14ac:dyDescent="0.4">
      <c r="AV1261" s="26"/>
      <c r="AW1261" s="15"/>
    </row>
    <row r="1262" spans="1:49" x14ac:dyDescent="0.4">
      <c r="AV1262" s="26"/>
      <c r="AW1262" s="105"/>
    </row>
    <row r="1263" spans="1:49" x14ac:dyDescent="0.4">
      <c r="A1263" s="115"/>
      <c r="B1263" s="115"/>
      <c r="C1263" s="115"/>
      <c r="D1263" s="115"/>
      <c r="E1263" s="115"/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22"/>
      <c r="AF1263" s="122"/>
      <c r="AG1263" s="122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26"/>
      <c r="AW1263" s="15"/>
    </row>
    <row r="1264" spans="1:49" x14ac:dyDescent="0.4">
      <c r="AV1264" s="26"/>
      <c r="AW1264" s="15"/>
    </row>
    <row r="1265" spans="1:49" x14ac:dyDescent="0.4">
      <c r="AV1265" s="26"/>
      <c r="AW1265" s="15"/>
    </row>
    <row r="1266" spans="1:49" x14ac:dyDescent="0.4">
      <c r="AV1266" s="26"/>
      <c r="AW1266" s="15"/>
    </row>
    <row r="1267" spans="1:49" x14ac:dyDescent="0.4">
      <c r="AV1267" s="26"/>
      <c r="AW1267" s="15"/>
    </row>
    <row r="1268" spans="1:49" x14ac:dyDescent="0.4">
      <c r="A1268" s="115"/>
      <c r="B1268" s="115"/>
      <c r="C1268" s="115"/>
      <c r="D1268" s="115"/>
      <c r="E1268" s="115"/>
      <c r="F1268" s="115"/>
      <c r="G1268" s="115"/>
      <c r="H1268" s="115"/>
      <c r="I1268" s="115"/>
      <c r="J1268" s="115"/>
      <c r="K1268" s="115"/>
      <c r="L1268" s="115"/>
      <c r="M1268" s="115"/>
      <c r="N1268" s="115"/>
      <c r="O1268" s="115"/>
      <c r="P1268" s="115"/>
      <c r="Q1268" s="115"/>
      <c r="R1268" s="115"/>
      <c r="S1268" s="115"/>
      <c r="T1268" s="115"/>
      <c r="U1268" s="115"/>
      <c r="V1268" s="115"/>
      <c r="W1268" s="115"/>
      <c r="X1268" s="115"/>
      <c r="Y1268" s="115"/>
      <c r="Z1268" s="115"/>
      <c r="AA1268" s="115"/>
      <c r="AB1268" s="115"/>
      <c r="AC1268" s="115"/>
      <c r="AD1268" s="115"/>
      <c r="AE1268" s="122"/>
      <c r="AF1268" s="122"/>
      <c r="AG1268" s="122"/>
      <c r="AH1268" s="115"/>
      <c r="AI1268" s="115"/>
      <c r="AJ1268" s="115"/>
      <c r="AK1268" s="115"/>
      <c r="AL1268" s="115"/>
      <c r="AM1268" s="115"/>
      <c r="AN1268" s="115"/>
      <c r="AO1268" s="115"/>
      <c r="AP1268" s="115"/>
      <c r="AQ1268" s="115"/>
      <c r="AR1268" s="115"/>
      <c r="AS1268" s="115"/>
      <c r="AT1268" s="115"/>
      <c r="AU1268" s="115"/>
      <c r="AV1268" s="26"/>
      <c r="AW1268" s="15"/>
    </row>
    <row r="1269" spans="1:49" x14ac:dyDescent="0.4">
      <c r="AV1269" s="26"/>
      <c r="AW1269" s="15"/>
    </row>
    <row r="1270" spans="1:49" x14ac:dyDescent="0.4">
      <c r="AV1270" s="26"/>
      <c r="AW1270" s="15"/>
    </row>
    <row r="1271" spans="1:49" x14ac:dyDescent="0.4">
      <c r="AV1271" s="26"/>
      <c r="AW1271" s="15"/>
    </row>
    <row r="1272" spans="1:49" x14ac:dyDescent="0.4">
      <c r="AV1272" s="26"/>
      <c r="AW1272" s="15"/>
    </row>
    <row r="1273" spans="1:49" ht="18.75" customHeight="1" x14ac:dyDescent="0.4">
      <c r="B1273" s="115"/>
      <c r="C1273" s="115"/>
      <c r="D1273" s="115"/>
      <c r="E1273" s="115"/>
      <c r="F1273" s="115"/>
      <c r="G1273" s="115"/>
      <c r="H1273" s="115"/>
      <c r="I1273" s="115"/>
      <c r="J1273" s="115"/>
      <c r="K1273" s="115"/>
      <c r="L1273" s="115"/>
      <c r="M1273" s="115"/>
      <c r="N1273" s="115"/>
      <c r="O1273" s="115"/>
      <c r="P1273" s="115"/>
      <c r="Q1273" s="115"/>
      <c r="R1273" s="115"/>
      <c r="S1273" s="115"/>
      <c r="T1273" s="115"/>
      <c r="U1273" s="115"/>
      <c r="V1273" s="115"/>
      <c r="W1273" s="115"/>
      <c r="X1273" s="115"/>
      <c r="Y1273" s="115"/>
      <c r="Z1273" s="115"/>
      <c r="AA1273" s="115"/>
      <c r="AB1273" s="115"/>
      <c r="AC1273" s="115"/>
      <c r="AD1273" s="115"/>
      <c r="AE1273" s="122"/>
      <c r="AF1273" s="122"/>
      <c r="AG1273" s="122"/>
      <c r="AH1273" s="115"/>
      <c r="AI1273" s="115"/>
      <c r="AJ1273" s="115"/>
      <c r="AK1273" s="115"/>
      <c r="AL1273" s="115"/>
      <c r="AM1273" s="115"/>
      <c r="AN1273" s="115"/>
      <c r="AO1273" s="115"/>
      <c r="AP1273" s="115"/>
      <c r="AQ1273" s="115"/>
      <c r="AR1273" s="115"/>
      <c r="AS1273" s="115"/>
      <c r="AT1273" s="115"/>
      <c r="AU1273" s="115"/>
      <c r="AV1273" s="26"/>
      <c r="AW1273" s="15"/>
    </row>
    <row r="1274" spans="1:49" x14ac:dyDescent="0.4">
      <c r="AV1274" s="26"/>
      <c r="AW1274" s="15"/>
    </row>
    <row r="1275" spans="1:49" x14ac:dyDescent="0.4">
      <c r="AV1275" s="26"/>
      <c r="AW1275" s="15"/>
    </row>
    <row r="1276" spans="1:49" x14ac:dyDescent="0.4">
      <c r="B1276" s="115"/>
      <c r="C1276" s="115"/>
      <c r="D1276" s="115"/>
      <c r="E1276" s="115"/>
      <c r="F1276" s="115"/>
      <c r="G1276" s="115"/>
      <c r="H1276" s="115"/>
      <c r="I1276" s="115"/>
      <c r="J1276" s="115"/>
      <c r="K1276" s="115"/>
      <c r="L1276" s="115"/>
      <c r="M1276" s="115"/>
      <c r="N1276" s="115"/>
      <c r="O1276" s="115"/>
      <c r="P1276" s="115"/>
      <c r="Q1276" s="115"/>
      <c r="R1276" s="115"/>
      <c r="S1276" s="115"/>
      <c r="T1276" s="115"/>
      <c r="U1276" s="115"/>
      <c r="V1276" s="115"/>
      <c r="W1276" s="115"/>
      <c r="X1276" s="115"/>
      <c r="Y1276" s="115"/>
      <c r="Z1276" s="115"/>
      <c r="AA1276" s="115"/>
      <c r="AB1276" s="115"/>
      <c r="AC1276" s="115"/>
      <c r="AD1276" s="115"/>
      <c r="AE1276" s="122"/>
      <c r="AF1276" s="122"/>
      <c r="AG1276" s="122"/>
      <c r="AH1276" s="115"/>
      <c r="AI1276" s="115"/>
      <c r="AJ1276" s="115"/>
      <c r="AK1276" s="115"/>
      <c r="AL1276" s="115"/>
      <c r="AM1276" s="115"/>
      <c r="AN1276" s="115"/>
      <c r="AO1276" s="115"/>
      <c r="AP1276" s="115"/>
      <c r="AQ1276" s="115"/>
      <c r="AR1276" s="115"/>
      <c r="AS1276" s="115"/>
      <c r="AT1276" s="115"/>
      <c r="AU1276" s="115"/>
      <c r="AV1276" s="26"/>
      <c r="AW1276" s="15"/>
    </row>
    <row r="1277" spans="1:49" x14ac:dyDescent="0.4">
      <c r="A1277" s="115"/>
      <c r="B1277" s="115"/>
      <c r="C1277" s="115"/>
      <c r="D1277" s="115"/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22"/>
      <c r="AF1277" s="122"/>
      <c r="AG1277" s="122"/>
      <c r="AH1277" s="115"/>
      <c r="AI1277" s="115"/>
      <c r="AJ1277" s="115"/>
      <c r="AK1277" s="115"/>
      <c r="AL1277" s="115"/>
      <c r="AM1277" s="115"/>
      <c r="AN1277" s="115"/>
      <c r="AO1277" s="115"/>
      <c r="AP1277" s="115"/>
      <c r="AQ1277" s="115"/>
      <c r="AR1277" s="115"/>
      <c r="AS1277" s="115"/>
      <c r="AT1277" s="115"/>
      <c r="AU1277" s="115"/>
      <c r="AV1277" s="26"/>
      <c r="AW1277" s="15"/>
    </row>
    <row r="1278" spans="1:49" x14ac:dyDescent="0.4">
      <c r="AV1278" s="26"/>
      <c r="AW1278" s="15"/>
    </row>
    <row r="1279" spans="1:49" x14ac:dyDescent="0.4">
      <c r="X1279" s="115"/>
      <c r="Y1279" s="115"/>
      <c r="Z1279" s="115"/>
      <c r="AA1279" s="115"/>
      <c r="AB1279" s="115"/>
      <c r="AC1279" s="115"/>
      <c r="AD1279" s="115"/>
      <c r="AE1279" s="122"/>
      <c r="AF1279" s="122"/>
      <c r="AG1279" s="122"/>
      <c r="AH1279" s="115"/>
      <c r="AI1279" s="115"/>
      <c r="AJ1279" s="115"/>
      <c r="AK1279" s="115"/>
      <c r="AL1279" s="115"/>
      <c r="AM1279" s="115"/>
      <c r="AN1279" s="115"/>
      <c r="AO1279" s="115"/>
      <c r="AP1279" s="115"/>
      <c r="AQ1279" s="115"/>
      <c r="AR1279" s="115"/>
      <c r="AS1279" s="115"/>
      <c r="AT1279" s="115"/>
      <c r="AU1279" s="115"/>
      <c r="AV1279" s="17"/>
      <c r="AW1279" s="15"/>
    </row>
    <row r="1280" spans="1:49" x14ac:dyDescent="0.4">
      <c r="A1280" s="115"/>
      <c r="B1280" s="115"/>
      <c r="C1280" s="115"/>
      <c r="D1280" s="115"/>
      <c r="E1280" s="115"/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22"/>
      <c r="AF1280" s="122"/>
      <c r="AG1280" s="122"/>
      <c r="AH1280" s="115"/>
      <c r="AI1280" s="115"/>
      <c r="AJ1280" s="115"/>
      <c r="AK1280" s="115"/>
      <c r="AL1280" s="115"/>
      <c r="AM1280" s="115"/>
      <c r="AN1280" s="115"/>
      <c r="AO1280" s="115"/>
      <c r="AP1280" s="115"/>
      <c r="AQ1280" s="115"/>
      <c r="AR1280" s="115"/>
      <c r="AS1280" s="115"/>
      <c r="AT1280" s="115"/>
      <c r="AU1280" s="115"/>
      <c r="AV1280" s="26"/>
      <c r="AW1280" s="15"/>
    </row>
    <row r="1281" spans="1:49" x14ac:dyDescent="0.4">
      <c r="AV1281" s="26"/>
      <c r="AW1281" s="15"/>
    </row>
    <row r="1282" spans="1:49" x14ac:dyDescent="0.4">
      <c r="X1282" s="115"/>
      <c r="Y1282" s="115"/>
      <c r="Z1282" s="115"/>
      <c r="AA1282" s="115"/>
      <c r="AB1282" s="115"/>
      <c r="AC1282" s="115"/>
      <c r="AD1282" s="115"/>
      <c r="AE1282" s="122"/>
      <c r="AF1282" s="122"/>
      <c r="AG1282" s="122"/>
      <c r="AH1282" s="115"/>
      <c r="AI1282" s="115"/>
      <c r="AJ1282" s="115"/>
      <c r="AK1282" s="115"/>
      <c r="AL1282" s="115"/>
      <c r="AM1282" s="115"/>
      <c r="AN1282" s="115"/>
      <c r="AO1282" s="115"/>
      <c r="AP1282" s="115"/>
      <c r="AQ1282" s="115"/>
      <c r="AR1282" s="115"/>
      <c r="AS1282" s="115"/>
      <c r="AT1282" s="115"/>
      <c r="AU1282" s="115"/>
      <c r="AV1282" s="17"/>
      <c r="AW1282" s="15"/>
    </row>
    <row r="1283" spans="1:49" x14ac:dyDescent="0.4">
      <c r="AV1283" s="26"/>
      <c r="AW1283" s="15"/>
    </row>
    <row r="1284" spans="1:49" x14ac:dyDescent="0.4">
      <c r="B1284" s="115"/>
      <c r="C1284" s="115"/>
      <c r="D1284" s="115"/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22"/>
      <c r="AF1284" s="122"/>
      <c r="AG1284" s="122"/>
      <c r="AH1284" s="115"/>
      <c r="AI1284" s="115"/>
      <c r="AJ1284" s="115"/>
      <c r="AK1284" s="115"/>
      <c r="AL1284" s="115"/>
      <c r="AM1284" s="115"/>
      <c r="AN1284" s="115"/>
      <c r="AO1284" s="115"/>
      <c r="AP1284" s="115"/>
      <c r="AQ1284" s="115"/>
      <c r="AR1284" s="115"/>
      <c r="AS1284" s="115"/>
      <c r="AT1284" s="115"/>
      <c r="AU1284" s="115"/>
      <c r="AV1284" s="26"/>
      <c r="AW1284" s="15"/>
    </row>
    <row r="1285" spans="1:49" x14ac:dyDescent="0.4">
      <c r="A1285" s="115"/>
      <c r="B1285" s="115"/>
      <c r="C1285" s="115"/>
      <c r="D1285" s="115"/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22"/>
      <c r="AF1285" s="122"/>
      <c r="AG1285" s="122"/>
      <c r="AH1285" s="115"/>
      <c r="AI1285" s="115"/>
      <c r="AJ1285" s="115"/>
      <c r="AK1285" s="115"/>
      <c r="AL1285" s="115"/>
      <c r="AM1285" s="115"/>
      <c r="AN1285" s="115"/>
      <c r="AO1285" s="115"/>
      <c r="AP1285" s="115"/>
      <c r="AQ1285" s="115"/>
      <c r="AR1285" s="115"/>
      <c r="AS1285" s="115"/>
      <c r="AT1285" s="115"/>
      <c r="AU1285" s="115"/>
      <c r="AV1285" s="26"/>
      <c r="AW1285" s="15"/>
    </row>
    <row r="1286" spans="1:49" x14ac:dyDescent="0.4">
      <c r="A1286" s="115"/>
      <c r="B1286" s="115"/>
      <c r="C1286" s="115"/>
      <c r="D1286" s="115"/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22"/>
      <c r="AF1286" s="122"/>
      <c r="AG1286" s="122"/>
      <c r="AH1286" s="115"/>
      <c r="AI1286" s="115"/>
      <c r="AJ1286" s="115"/>
      <c r="AK1286" s="115"/>
      <c r="AL1286" s="115"/>
      <c r="AM1286" s="115"/>
      <c r="AN1286" s="115"/>
      <c r="AO1286" s="115"/>
      <c r="AP1286" s="115"/>
      <c r="AQ1286" s="115"/>
      <c r="AR1286" s="115"/>
      <c r="AS1286" s="115"/>
      <c r="AT1286" s="115"/>
      <c r="AU1286" s="115"/>
      <c r="AV1286" s="26"/>
      <c r="AW1286" s="15"/>
    </row>
    <row r="1287" spans="1:49" x14ac:dyDescent="0.4">
      <c r="AV1287" s="26"/>
      <c r="AW1287" s="15"/>
    </row>
    <row r="1288" spans="1:49" x14ac:dyDescent="0.4">
      <c r="B1288" s="115"/>
      <c r="C1288" s="115"/>
      <c r="D1288" s="115"/>
      <c r="E1288" s="115"/>
      <c r="F1288" s="115"/>
      <c r="G1288" s="115"/>
      <c r="H1288" s="115"/>
      <c r="I1288" s="115"/>
      <c r="J1288" s="115"/>
      <c r="K1288" s="115"/>
      <c r="L1288" s="115"/>
      <c r="M1288" s="115"/>
      <c r="N1288" s="115"/>
      <c r="O1288" s="115"/>
      <c r="P1288" s="115"/>
      <c r="Q1288" s="115"/>
      <c r="R1288" s="115"/>
      <c r="S1288" s="115"/>
      <c r="T1288" s="115"/>
      <c r="U1288" s="115"/>
      <c r="V1288" s="115"/>
      <c r="W1288" s="115"/>
      <c r="X1288" s="115"/>
      <c r="Y1288" s="115"/>
      <c r="Z1288" s="115"/>
      <c r="AA1288" s="115"/>
      <c r="AB1288" s="115"/>
      <c r="AC1288" s="115"/>
      <c r="AD1288" s="115"/>
      <c r="AE1288" s="122"/>
      <c r="AF1288" s="122"/>
      <c r="AG1288" s="122"/>
      <c r="AH1288" s="115"/>
      <c r="AI1288" s="115"/>
      <c r="AJ1288" s="115"/>
      <c r="AK1288" s="115"/>
      <c r="AL1288" s="115"/>
      <c r="AM1288" s="115"/>
      <c r="AN1288" s="115"/>
      <c r="AO1288" s="115"/>
      <c r="AP1288" s="115"/>
      <c r="AQ1288" s="115"/>
      <c r="AR1288" s="115"/>
      <c r="AS1288" s="115"/>
      <c r="AT1288" s="115"/>
      <c r="AU1288" s="115"/>
      <c r="AV1288" s="26"/>
      <c r="AW1288" s="15"/>
    </row>
    <row r="1289" spans="1:49" x14ac:dyDescent="0.4">
      <c r="AV1289" s="26"/>
      <c r="AW1289" s="15"/>
    </row>
    <row r="1290" spans="1:49" x14ac:dyDescent="0.4">
      <c r="B1290" s="115"/>
      <c r="C1290" s="115"/>
      <c r="D1290" s="115"/>
      <c r="E1290" s="115"/>
      <c r="F1290" s="115"/>
      <c r="G1290" s="115"/>
      <c r="H1290" s="115"/>
      <c r="I1290" s="115"/>
      <c r="J1290" s="115"/>
      <c r="K1290" s="115"/>
      <c r="L1290" s="115"/>
      <c r="M1290" s="115"/>
      <c r="N1290" s="115"/>
      <c r="O1290" s="115"/>
      <c r="P1290" s="115"/>
      <c r="Q1290" s="115"/>
      <c r="R1290" s="115"/>
      <c r="S1290" s="115"/>
      <c r="T1290" s="115"/>
      <c r="U1290" s="115"/>
      <c r="V1290" s="115"/>
      <c r="W1290" s="115"/>
      <c r="X1290" s="115"/>
      <c r="Y1290" s="115"/>
      <c r="Z1290" s="115"/>
      <c r="AA1290" s="115"/>
      <c r="AB1290" s="115"/>
      <c r="AC1290" s="115"/>
      <c r="AD1290" s="115"/>
      <c r="AE1290" s="122"/>
      <c r="AF1290" s="122"/>
      <c r="AG1290" s="122"/>
      <c r="AH1290" s="115"/>
      <c r="AI1290" s="115"/>
      <c r="AJ1290" s="115"/>
      <c r="AK1290" s="115"/>
      <c r="AL1290" s="115"/>
      <c r="AM1290" s="115"/>
      <c r="AN1290" s="115"/>
      <c r="AO1290" s="115"/>
      <c r="AP1290" s="115"/>
      <c r="AQ1290" s="115"/>
      <c r="AR1290" s="115"/>
      <c r="AS1290" s="115"/>
      <c r="AT1290" s="115"/>
      <c r="AU1290" s="115"/>
      <c r="AV1290" s="26"/>
      <c r="AW1290" s="15"/>
    </row>
    <row r="1291" spans="1:49" x14ac:dyDescent="0.4">
      <c r="AV1291" s="26"/>
      <c r="AW1291" s="15"/>
    </row>
    <row r="1292" spans="1:49" x14ac:dyDescent="0.4">
      <c r="AV1292" s="26"/>
      <c r="AW1292" s="15"/>
    </row>
    <row r="1293" spans="1:49" x14ac:dyDescent="0.4">
      <c r="AV1293" s="26"/>
      <c r="AW1293" s="15"/>
    </row>
    <row r="1294" spans="1:49" x14ac:dyDescent="0.4">
      <c r="AV1294" s="26"/>
      <c r="AW1294" s="15"/>
    </row>
    <row r="1295" spans="1:49" x14ac:dyDescent="0.4">
      <c r="AV1295" s="26"/>
      <c r="AW1295" s="15"/>
    </row>
    <row r="1296" spans="1:49" x14ac:dyDescent="0.4">
      <c r="AV1296" s="26"/>
      <c r="AW1296" s="15"/>
    </row>
    <row r="1297" spans="1:49" x14ac:dyDescent="0.4">
      <c r="A1297" s="115"/>
      <c r="B1297" s="115"/>
      <c r="C1297" s="115"/>
      <c r="D1297" s="115"/>
      <c r="E1297" s="115"/>
      <c r="F1297" s="115"/>
      <c r="G1297" s="115"/>
      <c r="H1297" s="115"/>
      <c r="I1297" s="115"/>
      <c r="J1297" s="115"/>
      <c r="K1297" s="115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  <c r="AA1297" s="115"/>
      <c r="AB1297" s="115"/>
      <c r="AC1297" s="115"/>
      <c r="AD1297" s="115"/>
      <c r="AE1297" s="122"/>
      <c r="AF1297" s="122"/>
      <c r="AG1297" s="122"/>
      <c r="AH1297" s="115"/>
      <c r="AI1297" s="115"/>
      <c r="AJ1297" s="115"/>
      <c r="AK1297" s="115"/>
      <c r="AL1297" s="115"/>
      <c r="AM1297" s="115"/>
      <c r="AN1297" s="115"/>
      <c r="AO1297" s="115"/>
      <c r="AP1297" s="115"/>
      <c r="AQ1297" s="115"/>
      <c r="AR1297" s="115"/>
      <c r="AS1297" s="115"/>
      <c r="AT1297" s="115"/>
      <c r="AU1297" s="115"/>
      <c r="AV1297" s="26"/>
      <c r="AW1297" s="15"/>
    </row>
    <row r="1298" spans="1:49" x14ac:dyDescent="0.4">
      <c r="AV1298" s="26"/>
      <c r="AW1298" s="15"/>
    </row>
    <row r="1299" spans="1:49" x14ac:dyDescent="0.4">
      <c r="AV1299" s="26"/>
      <c r="AW1299" s="15"/>
    </row>
    <row r="1300" spans="1:49" x14ac:dyDescent="0.4">
      <c r="AV1300" s="26"/>
      <c r="AW1300" s="15"/>
    </row>
    <row r="1301" spans="1:49" x14ac:dyDescent="0.4">
      <c r="AV1301" s="26"/>
      <c r="AW1301" s="15"/>
    </row>
    <row r="1302" spans="1:49" x14ac:dyDescent="0.4">
      <c r="AV1302" s="26"/>
      <c r="AW1302" s="15"/>
    </row>
    <row r="1303" spans="1:49" x14ac:dyDescent="0.4">
      <c r="X1303" s="115"/>
      <c r="Y1303" s="115"/>
      <c r="Z1303" s="115"/>
      <c r="AA1303" s="115"/>
      <c r="AB1303" s="115"/>
      <c r="AC1303" s="115"/>
      <c r="AD1303" s="115"/>
      <c r="AE1303" s="122"/>
      <c r="AF1303" s="122"/>
      <c r="AG1303" s="122"/>
      <c r="AH1303" s="115"/>
      <c r="AI1303" s="115"/>
      <c r="AJ1303" s="115"/>
      <c r="AK1303" s="115"/>
      <c r="AL1303" s="115"/>
      <c r="AM1303" s="115"/>
      <c r="AN1303" s="115"/>
      <c r="AO1303" s="115"/>
      <c r="AP1303" s="115"/>
      <c r="AQ1303" s="115"/>
      <c r="AR1303" s="115"/>
      <c r="AS1303" s="115"/>
      <c r="AT1303" s="115"/>
      <c r="AU1303" s="115"/>
      <c r="AV1303" s="17"/>
      <c r="AW1303" s="15"/>
    </row>
    <row r="1304" spans="1:49" x14ac:dyDescent="0.4">
      <c r="X1304" s="115"/>
      <c r="Y1304" s="115"/>
      <c r="Z1304" s="115"/>
      <c r="AA1304" s="115"/>
      <c r="AB1304" s="115"/>
      <c r="AC1304" s="115"/>
      <c r="AD1304" s="115"/>
      <c r="AE1304" s="122"/>
      <c r="AF1304" s="122"/>
      <c r="AG1304" s="122"/>
      <c r="AH1304" s="115"/>
      <c r="AI1304" s="115"/>
      <c r="AJ1304" s="115"/>
      <c r="AK1304" s="115"/>
      <c r="AL1304" s="115"/>
      <c r="AM1304" s="115"/>
      <c r="AN1304" s="115"/>
      <c r="AO1304" s="115"/>
      <c r="AP1304" s="115"/>
      <c r="AQ1304" s="115"/>
      <c r="AR1304" s="115"/>
      <c r="AS1304" s="115"/>
      <c r="AT1304" s="115"/>
      <c r="AU1304" s="115"/>
      <c r="AV1304" s="17"/>
      <c r="AW1304" s="15"/>
    </row>
    <row r="1305" spans="1:49" x14ac:dyDescent="0.4">
      <c r="AV1305" s="26"/>
      <c r="AW1305" s="15"/>
    </row>
    <row r="1306" spans="1:49" x14ac:dyDescent="0.4">
      <c r="AV1306" s="26"/>
      <c r="AW1306" s="15"/>
    </row>
    <row r="1307" spans="1:49" x14ac:dyDescent="0.4">
      <c r="A1307" s="115"/>
      <c r="B1307" s="115"/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22"/>
      <c r="AF1307" s="122"/>
      <c r="AG1307" s="122"/>
      <c r="AH1307" s="115"/>
      <c r="AI1307" s="115"/>
      <c r="AJ1307" s="115"/>
      <c r="AK1307" s="115"/>
      <c r="AL1307" s="115"/>
      <c r="AM1307" s="115"/>
      <c r="AN1307" s="115"/>
      <c r="AO1307" s="115"/>
      <c r="AP1307" s="115"/>
      <c r="AQ1307" s="115"/>
      <c r="AR1307" s="115"/>
      <c r="AS1307" s="115"/>
      <c r="AT1307" s="115"/>
      <c r="AU1307" s="115"/>
      <c r="AV1307" s="26"/>
      <c r="AW1307" s="15"/>
    </row>
    <row r="1308" spans="1:49" x14ac:dyDescent="0.4">
      <c r="A1308" s="115"/>
      <c r="B1308" s="115"/>
      <c r="C1308" s="115"/>
      <c r="D1308" s="115"/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22"/>
      <c r="AF1308" s="122"/>
      <c r="AG1308" s="122"/>
      <c r="AH1308" s="115"/>
      <c r="AI1308" s="115"/>
      <c r="AJ1308" s="115"/>
      <c r="AK1308" s="115"/>
      <c r="AL1308" s="115"/>
      <c r="AM1308" s="115"/>
      <c r="AN1308" s="115"/>
      <c r="AO1308" s="115"/>
      <c r="AP1308" s="115"/>
      <c r="AQ1308" s="115"/>
      <c r="AR1308" s="115"/>
      <c r="AS1308" s="115"/>
      <c r="AT1308" s="115"/>
      <c r="AU1308" s="115"/>
      <c r="AV1308" s="26"/>
      <c r="AW1308" s="13"/>
    </row>
    <row r="1309" spans="1:49" x14ac:dyDescent="0.4">
      <c r="AV1309" s="26"/>
      <c r="AW1309" s="15"/>
    </row>
    <row r="1310" spans="1:49" x14ac:dyDescent="0.4">
      <c r="B1310" s="115"/>
      <c r="C1310" s="115"/>
      <c r="D1310" s="115"/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22"/>
      <c r="AF1310" s="122"/>
      <c r="AG1310" s="122"/>
      <c r="AH1310" s="115"/>
      <c r="AI1310" s="115"/>
      <c r="AJ1310" s="115"/>
      <c r="AK1310" s="115"/>
      <c r="AL1310" s="115"/>
      <c r="AM1310" s="115"/>
      <c r="AN1310" s="115"/>
      <c r="AO1310" s="115"/>
      <c r="AP1310" s="115"/>
      <c r="AQ1310" s="115"/>
      <c r="AR1310" s="115"/>
      <c r="AS1310" s="115"/>
      <c r="AT1310" s="115"/>
      <c r="AU1310" s="115"/>
      <c r="AV1310" s="26"/>
      <c r="AW1310" s="15"/>
    </row>
    <row r="1311" spans="1:49" x14ac:dyDescent="0.4">
      <c r="AV1311" s="26"/>
      <c r="AW1311" s="15"/>
    </row>
    <row r="1312" spans="1:49" x14ac:dyDescent="0.4">
      <c r="AV1312" s="26"/>
      <c r="AW1312" s="15"/>
    </row>
    <row r="1313" spans="1:49" x14ac:dyDescent="0.4">
      <c r="A1313" s="115"/>
      <c r="B1313" s="115"/>
      <c r="C1313" s="115"/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22"/>
      <c r="AF1313" s="122"/>
      <c r="AG1313" s="122"/>
      <c r="AH1313" s="115"/>
      <c r="AI1313" s="115"/>
      <c r="AJ1313" s="115"/>
      <c r="AK1313" s="115"/>
      <c r="AL1313" s="115"/>
      <c r="AM1313" s="115"/>
      <c r="AN1313" s="115"/>
      <c r="AO1313" s="115"/>
      <c r="AP1313" s="115"/>
      <c r="AQ1313" s="115"/>
      <c r="AR1313" s="115"/>
      <c r="AS1313" s="115"/>
      <c r="AT1313" s="115"/>
      <c r="AU1313" s="115"/>
      <c r="AV1313" s="26"/>
      <c r="AW1313" s="15"/>
    </row>
    <row r="1314" spans="1:49" x14ac:dyDescent="0.4">
      <c r="AV1314" s="26"/>
      <c r="AW1314" s="13"/>
    </row>
    <row r="1315" spans="1:49" x14ac:dyDescent="0.4">
      <c r="AV1315" s="26"/>
      <c r="AW1315" s="13"/>
    </row>
    <row r="1316" spans="1:49" x14ac:dyDescent="0.4">
      <c r="A1316" s="115"/>
      <c r="B1316" s="115"/>
      <c r="C1316" s="115"/>
      <c r="D1316" s="115"/>
      <c r="E1316" s="115"/>
      <c r="F1316" s="115"/>
      <c r="G1316" s="115"/>
      <c r="H1316" s="115"/>
      <c r="I1316" s="115"/>
      <c r="J1316" s="115"/>
      <c r="K1316" s="115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22"/>
      <c r="AF1316" s="122"/>
      <c r="AG1316" s="122"/>
      <c r="AH1316" s="115"/>
      <c r="AI1316" s="115"/>
      <c r="AJ1316" s="115"/>
      <c r="AK1316" s="115"/>
      <c r="AL1316" s="115"/>
      <c r="AM1316" s="115"/>
      <c r="AN1316" s="115"/>
      <c r="AO1316" s="115"/>
      <c r="AP1316" s="115"/>
      <c r="AQ1316" s="115"/>
      <c r="AR1316" s="115"/>
      <c r="AS1316" s="115"/>
      <c r="AT1316" s="115"/>
      <c r="AU1316" s="115"/>
      <c r="AV1316" s="26"/>
      <c r="AW1316" s="13"/>
    </row>
    <row r="1317" spans="1:49" x14ac:dyDescent="0.4">
      <c r="AV1317" s="26"/>
      <c r="AW1317" s="13"/>
    </row>
    <row r="1318" spans="1:49" x14ac:dyDescent="0.4">
      <c r="AV1318" s="26"/>
      <c r="AW1318" s="13"/>
    </row>
    <row r="1319" spans="1:49" x14ac:dyDescent="0.4">
      <c r="AV1319" s="26"/>
      <c r="AW1319" s="13"/>
    </row>
    <row r="1320" spans="1:49" x14ac:dyDescent="0.4">
      <c r="AV1320" s="26"/>
      <c r="AW1320" s="13"/>
    </row>
    <row r="1321" spans="1:49" x14ac:dyDescent="0.4">
      <c r="AV1321" s="26"/>
      <c r="AW1321" s="13"/>
    </row>
    <row r="1322" spans="1:49" x14ac:dyDescent="0.4">
      <c r="A1322" s="115"/>
      <c r="B1322" s="115"/>
      <c r="C1322" s="115"/>
      <c r="D1322" s="115"/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22"/>
      <c r="AF1322" s="122"/>
      <c r="AG1322" s="122"/>
      <c r="AH1322" s="115"/>
      <c r="AI1322" s="115"/>
      <c r="AJ1322" s="115"/>
      <c r="AK1322" s="115"/>
      <c r="AL1322" s="115"/>
      <c r="AM1322" s="115"/>
      <c r="AN1322" s="115"/>
      <c r="AO1322" s="115"/>
      <c r="AP1322" s="115"/>
      <c r="AQ1322" s="115"/>
      <c r="AR1322" s="115"/>
      <c r="AS1322" s="115"/>
      <c r="AT1322" s="115"/>
      <c r="AU1322" s="115"/>
      <c r="AV1322" s="26"/>
      <c r="AW1322" s="25"/>
    </row>
    <row r="1323" spans="1:49" x14ac:dyDescent="0.4">
      <c r="AV1323" s="26"/>
      <c r="AW1323" s="13"/>
    </row>
    <row r="1324" spans="1:49" x14ac:dyDescent="0.4">
      <c r="A1324" s="115"/>
      <c r="B1324" s="115"/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22"/>
      <c r="AF1324" s="122"/>
      <c r="AG1324" s="122"/>
      <c r="AH1324" s="115"/>
      <c r="AI1324" s="115"/>
      <c r="AJ1324" s="115"/>
      <c r="AK1324" s="115"/>
      <c r="AL1324" s="115"/>
      <c r="AM1324" s="115"/>
      <c r="AN1324" s="115"/>
      <c r="AO1324" s="115"/>
      <c r="AP1324" s="115"/>
      <c r="AQ1324" s="115"/>
      <c r="AR1324" s="115"/>
      <c r="AS1324" s="115"/>
      <c r="AT1324" s="115"/>
      <c r="AU1324" s="115"/>
      <c r="AV1324" s="26"/>
      <c r="AW1324" s="13"/>
    </row>
    <row r="1325" spans="1:49" x14ac:dyDescent="0.4">
      <c r="A1325" s="115"/>
      <c r="B1325" s="115"/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22"/>
      <c r="AF1325" s="122"/>
      <c r="AG1325" s="122"/>
      <c r="AH1325" s="115"/>
      <c r="AI1325" s="115"/>
      <c r="AJ1325" s="115"/>
      <c r="AK1325" s="115"/>
      <c r="AL1325" s="115"/>
      <c r="AM1325" s="115"/>
      <c r="AN1325" s="115"/>
      <c r="AO1325" s="115"/>
      <c r="AP1325" s="115"/>
      <c r="AQ1325" s="115"/>
      <c r="AR1325" s="115"/>
      <c r="AS1325" s="115"/>
      <c r="AT1325" s="115"/>
      <c r="AU1325" s="115"/>
      <c r="AV1325" s="26"/>
      <c r="AW1325" s="13"/>
    </row>
    <row r="1326" spans="1:49" x14ac:dyDescent="0.4">
      <c r="AV1326" s="26"/>
      <c r="AW1326" s="15"/>
    </row>
    <row r="1327" spans="1:49" x14ac:dyDescent="0.4">
      <c r="AV1327" s="26"/>
      <c r="AW1327" s="15"/>
    </row>
    <row r="1328" spans="1:49" x14ac:dyDescent="0.4">
      <c r="AV1328" s="26"/>
      <c r="AW1328" s="15"/>
    </row>
    <row r="1329" spans="2:49" x14ac:dyDescent="0.4">
      <c r="AV1329" s="26"/>
      <c r="AW1329" s="13"/>
    </row>
    <row r="1330" spans="2:49" x14ac:dyDescent="0.4">
      <c r="AV1330" s="26"/>
      <c r="AW1330" s="15"/>
    </row>
    <row r="1331" spans="2:49" x14ac:dyDescent="0.4">
      <c r="B1331" s="115"/>
      <c r="C1331" s="115"/>
      <c r="D1331" s="115"/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22"/>
      <c r="AF1331" s="122"/>
      <c r="AG1331" s="122"/>
      <c r="AH1331" s="115"/>
      <c r="AI1331" s="115"/>
      <c r="AJ1331" s="115"/>
      <c r="AK1331" s="115"/>
      <c r="AL1331" s="115"/>
      <c r="AM1331" s="115"/>
      <c r="AN1331" s="115"/>
      <c r="AO1331" s="115"/>
      <c r="AP1331" s="115"/>
      <c r="AQ1331" s="115"/>
      <c r="AR1331" s="115"/>
      <c r="AS1331" s="115"/>
      <c r="AT1331" s="115"/>
      <c r="AU1331" s="115"/>
      <c r="AV1331" s="17"/>
      <c r="AW1331" s="15"/>
    </row>
    <row r="1332" spans="2:49" x14ac:dyDescent="0.4">
      <c r="AV1332" s="26"/>
      <c r="AW1332" s="15"/>
    </row>
    <row r="1333" spans="2:49" x14ac:dyDescent="0.4">
      <c r="B1333" s="115"/>
      <c r="C1333" s="115"/>
      <c r="D1333" s="115"/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22"/>
      <c r="AF1333" s="122"/>
      <c r="AG1333" s="122"/>
      <c r="AH1333" s="115"/>
      <c r="AI1333" s="115"/>
      <c r="AJ1333" s="115"/>
      <c r="AK1333" s="115"/>
      <c r="AL1333" s="115"/>
      <c r="AM1333" s="115"/>
      <c r="AN1333" s="115"/>
      <c r="AO1333" s="115"/>
      <c r="AP1333" s="115"/>
      <c r="AQ1333" s="115"/>
      <c r="AR1333" s="115"/>
      <c r="AS1333" s="115"/>
      <c r="AT1333" s="115"/>
      <c r="AU1333" s="115"/>
      <c r="AV1333" s="17"/>
      <c r="AW1333" s="15"/>
    </row>
    <row r="1334" spans="2:49" x14ac:dyDescent="0.4">
      <c r="AV1334" s="26"/>
      <c r="AW1334" s="15"/>
    </row>
    <row r="1335" spans="2:49" x14ac:dyDescent="0.4">
      <c r="AV1335" s="26"/>
      <c r="AW1335" s="15"/>
    </row>
    <row r="1336" spans="2:49" x14ac:dyDescent="0.4">
      <c r="B1336" s="115"/>
      <c r="C1336" s="115"/>
      <c r="D1336" s="115"/>
      <c r="E1336" s="115"/>
      <c r="F1336" s="115"/>
      <c r="G1336" s="115"/>
      <c r="H1336" s="115"/>
      <c r="I1336" s="115"/>
      <c r="J1336" s="115"/>
      <c r="K1336" s="115"/>
      <c r="L1336" s="115"/>
      <c r="M1336" s="115"/>
      <c r="N1336" s="115"/>
      <c r="O1336" s="115"/>
      <c r="P1336" s="115"/>
      <c r="Q1336" s="115"/>
      <c r="R1336" s="115"/>
      <c r="S1336" s="115"/>
      <c r="T1336" s="115"/>
      <c r="U1336" s="115"/>
      <c r="V1336" s="115"/>
      <c r="W1336" s="115"/>
      <c r="X1336" s="115"/>
      <c r="Y1336" s="115"/>
      <c r="Z1336" s="115"/>
      <c r="AA1336" s="115"/>
      <c r="AB1336" s="115"/>
      <c r="AC1336" s="115"/>
      <c r="AD1336" s="115"/>
      <c r="AE1336" s="122"/>
      <c r="AF1336" s="122"/>
      <c r="AG1336" s="122"/>
      <c r="AH1336" s="115"/>
      <c r="AI1336" s="115"/>
      <c r="AJ1336" s="115"/>
      <c r="AK1336" s="115"/>
      <c r="AL1336" s="115"/>
      <c r="AM1336" s="115"/>
      <c r="AN1336" s="115"/>
      <c r="AO1336" s="115"/>
      <c r="AP1336" s="115"/>
      <c r="AQ1336" s="115"/>
      <c r="AR1336" s="115"/>
      <c r="AS1336" s="115"/>
      <c r="AT1336" s="115"/>
      <c r="AU1336" s="115"/>
      <c r="AV1336" s="17"/>
      <c r="AW1336" s="15"/>
    </row>
    <row r="1337" spans="2:49" x14ac:dyDescent="0.4">
      <c r="AV1337" s="26"/>
      <c r="AW1337" s="15"/>
    </row>
    <row r="1338" spans="2:49" x14ac:dyDescent="0.4">
      <c r="AV1338" s="26"/>
      <c r="AW1338" s="15"/>
    </row>
    <row r="1339" spans="2:49" x14ac:dyDescent="0.4">
      <c r="AV1339" s="26"/>
      <c r="AW1339" s="105"/>
    </row>
    <row r="1340" spans="2:49" x14ac:dyDescent="0.4">
      <c r="AV1340" s="26"/>
      <c r="AW1340" s="15"/>
    </row>
    <row r="1341" spans="2:49" x14ac:dyDescent="0.4">
      <c r="AV1341" s="26"/>
      <c r="AW1341" s="15"/>
    </row>
    <row r="1342" spans="2:49" x14ac:dyDescent="0.4">
      <c r="AV1342" s="26"/>
      <c r="AW1342" s="15"/>
    </row>
    <row r="1343" spans="2:49" x14ac:dyDescent="0.4">
      <c r="AV1343" s="26"/>
      <c r="AW1343" s="15"/>
    </row>
    <row r="1344" spans="2:49" x14ac:dyDescent="0.4">
      <c r="AV1344" s="26"/>
      <c r="AW1344" s="15"/>
    </row>
    <row r="1345" spans="2:49" x14ac:dyDescent="0.4">
      <c r="B1345" s="115"/>
      <c r="C1345" s="115"/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22"/>
      <c r="AF1345" s="122"/>
      <c r="AG1345" s="122"/>
      <c r="AH1345" s="115"/>
      <c r="AI1345" s="115"/>
      <c r="AJ1345" s="115"/>
      <c r="AK1345" s="115"/>
      <c r="AL1345" s="115"/>
      <c r="AM1345" s="115"/>
      <c r="AN1345" s="115"/>
      <c r="AO1345" s="115"/>
      <c r="AP1345" s="115"/>
      <c r="AQ1345" s="115"/>
      <c r="AR1345" s="115"/>
      <c r="AS1345" s="115"/>
      <c r="AT1345" s="115"/>
      <c r="AU1345" s="115"/>
      <c r="AV1345" s="119"/>
      <c r="AW1345" s="119"/>
    </row>
    <row r="1346" spans="2:49" x14ac:dyDescent="0.4">
      <c r="B1346" s="115"/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22"/>
      <c r="AF1346" s="122"/>
      <c r="AG1346" s="122"/>
      <c r="AH1346" s="115"/>
      <c r="AI1346" s="115"/>
      <c r="AJ1346" s="115"/>
      <c r="AK1346" s="115"/>
      <c r="AL1346" s="115"/>
      <c r="AM1346" s="115"/>
      <c r="AN1346" s="115"/>
      <c r="AO1346" s="115"/>
      <c r="AP1346" s="115"/>
      <c r="AQ1346" s="115"/>
      <c r="AR1346" s="115"/>
      <c r="AS1346" s="115"/>
      <c r="AT1346" s="115"/>
      <c r="AU1346" s="115"/>
      <c r="AV1346" s="119"/>
      <c r="AW1346" s="119"/>
    </row>
  </sheetData>
  <sortState xmlns:xlrd2="http://schemas.microsoft.com/office/spreadsheetml/2017/richdata2" ref="M2:N155">
    <sortCondition ref="M2:M155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2025-04-03T06:09:52Z</cp:lastPrinted>
  <dcterms:created xsi:type="dcterms:W3CDTF">2020-05-08T06:29:04Z</dcterms:created>
  <dcterms:modified xsi:type="dcterms:W3CDTF">2025-04-04T01:05:04Z</dcterms:modified>
</cp:coreProperties>
</file>